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"/>
    </mc:Choice>
  </mc:AlternateContent>
  <xr:revisionPtr revIDLastSave="0" documentId="13_ncr:1_{5F3462A4-0843-4C22-8CA2-B411B611F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s" sheetId="1" r:id="rId1"/>
    <sheet name="categories" sheetId="2" r:id="rId2"/>
    <sheet name="customers" sheetId="3" r:id="rId3"/>
    <sheet name="orders" sheetId="4" r:id="rId4"/>
    <sheet name="Pivot" sheetId="11" r:id="rId5"/>
    <sheet name="order_items" sheetId="5" r:id="rId6"/>
    <sheet name="products" sheetId="6" r:id="rId7"/>
    <sheet name="staffs" sheetId="7" r:id="rId8"/>
    <sheet name="stocks" sheetId="8" r:id="rId9"/>
    <sheet name="stores" sheetId="9" r:id="rId10"/>
  </sheets>
  <definedNames>
    <definedName name="_xlnm._FilterDatabase" localSheetId="5" hidden="1">order_items!$A$1:$K$4723</definedName>
    <definedName name="_xlnm._FilterDatabase" localSheetId="3" hidden="1">orders!$A$1:$I$1616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3" i="5"/>
  <c r="J2" i="5"/>
  <c r="M9" i="5"/>
  <c r="M7" i="5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69" i="5"/>
  <c r="F169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 s="1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 s="1"/>
  <c r="E218" i="5"/>
  <c r="F218" i="5" s="1"/>
  <c r="E219" i="5"/>
  <c r="F219" i="5" s="1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 s="1"/>
  <c r="E284" i="5"/>
  <c r="F284" i="5" s="1"/>
  <c r="E285" i="5"/>
  <c r="F285" i="5" s="1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F308" i="5" s="1"/>
  <c r="E309" i="5"/>
  <c r="F309" i="5" s="1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 s="1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 s="1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 s="1"/>
  <c r="E380" i="5"/>
  <c r="F380" i="5" s="1"/>
  <c r="E381" i="5"/>
  <c r="F381" i="5" s="1"/>
  <c r="E382" i="5"/>
  <c r="F382" i="5" s="1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F388" i="5" s="1"/>
  <c r="E389" i="5"/>
  <c r="F389" i="5" s="1"/>
  <c r="E390" i="5"/>
  <c r="F390" i="5" s="1"/>
  <c r="E391" i="5"/>
  <c r="F391" i="5" s="1"/>
  <c r="E392" i="5"/>
  <c r="F392" i="5" s="1"/>
  <c r="E393" i="5"/>
  <c r="F393" i="5" s="1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F404" i="5" s="1"/>
  <c r="E405" i="5"/>
  <c r="F405" i="5" s="1"/>
  <c r="E406" i="5"/>
  <c r="F406" i="5" s="1"/>
  <c r="E407" i="5"/>
  <c r="F407" i="5" s="1"/>
  <c r="E408" i="5"/>
  <c r="F408" i="5" s="1"/>
  <c r="E409" i="5"/>
  <c r="F409" i="5" s="1"/>
  <c r="E410" i="5"/>
  <c r="F410" i="5" s="1"/>
  <c r="E411" i="5"/>
  <c r="F411" i="5" s="1"/>
  <c r="E412" i="5"/>
  <c r="F412" i="5" s="1"/>
  <c r="E413" i="5"/>
  <c r="F413" i="5" s="1"/>
  <c r="E414" i="5"/>
  <c r="F414" i="5" s="1"/>
  <c r="E415" i="5"/>
  <c r="F415" i="5" s="1"/>
  <c r="E416" i="5"/>
  <c r="F416" i="5" s="1"/>
  <c r="E417" i="5"/>
  <c r="F417" i="5" s="1"/>
  <c r="E418" i="5"/>
  <c r="F418" i="5" s="1"/>
  <c r="E419" i="5"/>
  <c r="F419" i="5" s="1"/>
  <c r="E420" i="5"/>
  <c r="F420" i="5" s="1"/>
  <c r="E421" i="5"/>
  <c r="F421" i="5" s="1"/>
  <c r="E422" i="5"/>
  <c r="F422" i="5" s="1"/>
  <c r="E423" i="5"/>
  <c r="F423" i="5" s="1"/>
  <c r="E424" i="5"/>
  <c r="F424" i="5" s="1"/>
  <c r="E425" i="5"/>
  <c r="F425" i="5" s="1"/>
  <c r="E426" i="5"/>
  <c r="F426" i="5" s="1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5" i="5"/>
  <c r="F435" i="5" s="1"/>
  <c r="E436" i="5"/>
  <c r="F436" i="5" s="1"/>
  <c r="E437" i="5"/>
  <c r="F437" i="5" s="1"/>
  <c r="E438" i="5"/>
  <c r="F438" i="5" s="1"/>
  <c r="E439" i="5"/>
  <c r="F439" i="5" s="1"/>
  <c r="E440" i="5"/>
  <c r="F440" i="5" s="1"/>
  <c r="E441" i="5"/>
  <c r="F441" i="5" s="1"/>
  <c r="E442" i="5"/>
  <c r="F442" i="5" s="1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F452" i="5" s="1"/>
  <c r="E453" i="5"/>
  <c r="F453" i="5" s="1"/>
  <c r="E454" i="5"/>
  <c r="F454" i="5" s="1"/>
  <c r="E455" i="5"/>
  <c r="F455" i="5" s="1"/>
  <c r="E456" i="5"/>
  <c r="F456" i="5" s="1"/>
  <c r="E457" i="5"/>
  <c r="F457" i="5" s="1"/>
  <c r="E458" i="5"/>
  <c r="F458" i="5" s="1"/>
  <c r="E459" i="5"/>
  <c r="F459" i="5" s="1"/>
  <c r="E460" i="5"/>
  <c r="F460" i="5" s="1"/>
  <c r="E461" i="5"/>
  <c r="F461" i="5" s="1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F468" i="5" s="1"/>
  <c r="E469" i="5"/>
  <c r="F469" i="5" s="1"/>
  <c r="E470" i="5"/>
  <c r="F470" i="5" s="1"/>
  <c r="E471" i="5"/>
  <c r="F471" i="5" s="1"/>
  <c r="E472" i="5"/>
  <c r="F472" i="5" s="1"/>
  <c r="E473" i="5"/>
  <c r="F473" i="5" s="1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F484" i="5" s="1"/>
  <c r="E485" i="5"/>
  <c r="F485" i="5" s="1"/>
  <c r="E486" i="5"/>
  <c r="F486" i="5" s="1"/>
  <c r="E487" i="5"/>
  <c r="F487" i="5" s="1"/>
  <c r="E488" i="5"/>
  <c r="F488" i="5" s="1"/>
  <c r="E489" i="5"/>
  <c r="F489" i="5" s="1"/>
  <c r="E490" i="5"/>
  <c r="F490" i="5" s="1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F500" i="5" s="1"/>
  <c r="E501" i="5"/>
  <c r="F501" i="5" s="1"/>
  <c r="E502" i="5"/>
  <c r="F502" i="5" s="1"/>
  <c r="E503" i="5"/>
  <c r="F503" i="5" s="1"/>
  <c r="E504" i="5"/>
  <c r="F504" i="5" s="1"/>
  <c r="E505" i="5"/>
  <c r="F505" i="5" s="1"/>
  <c r="E506" i="5"/>
  <c r="F506" i="5" s="1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F516" i="5" s="1"/>
  <c r="E517" i="5"/>
  <c r="F517" i="5" s="1"/>
  <c r="E518" i="5"/>
  <c r="F518" i="5" s="1"/>
  <c r="E519" i="5"/>
  <c r="F519" i="5" s="1"/>
  <c r="E520" i="5"/>
  <c r="F520" i="5" s="1"/>
  <c r="E521" i="5"/>
  <c r="F521" i="5" s="1"/>
  <c r="E522" i="5"/>
  <c r="F522" i="5" s="1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F528" i="5" s="1"/>
  <c r="E529" i="5"/>
  <c r="F529" i="5" s="1"/>
  <c r="E530" i="5"/>
  <c r="F530" i="5" s="1"/>
  <c r="E531" i="5"/>
  <c r="F531" i="5" s="1"/>
  <c r="E532" i="5"/>
  <c r="F532" i="5" s="1"/>
  <c r="E533" i="5"/>
  <c r="F533" i="5" s="1"/>
  <c r="E534" i="5"/>
  <c r="F534" i="5" s="1"/>
  <c r="E535" i="5"/>
  <c r="F535" i="5" s="1"/>
  <c r="E536" i="5"/>
  <c r="F536" i="5" s="1"/>
  <c r="E537" i="5"/>
  <c r="F537" i="5" s="1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F548" i="5" s="1"/>
  <c r="E549" i="5"/>
  <c r="F549" i="5" s="1"/>
  <c r="E550" i="5"/>
  <c r="F550" i="5" s="1"/>
  <c r="E551" i="5"/>
  <c r="F551" i="5" s="1"/>
  <c r="E552" i="5"/>
  <c r="F552" i="5" s="1"/>
  <c r="E553" i="5"/>
  <c r="F553" i="5" s="1"/>
  <c r="E554" i="5"/>
  <c r="F554" i="5" s="1"/>
  <c r="E555" i="5"/>
  <c r="F555" i="5" s="1"/>
  <c r="E556" i="5"/>
  <c r="F556" i="5" s="1"/>
  <c r="E557" i="5"/>
  <c r="F557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F564" i="5" s="1"/>
  <c r="E565" i="5"/>
  <c r="F565" i="5" s="1"/>
  <c r="E566" i="5"/>
  <c r="F566" i="5" s="1"/>
  <c r="E567" i="5"/>
  <c r="F567" i="5" s="1"/>
  <c r="E568" i="5"/>
  <c r="F568" i="5" s="1"/>
  <c r="E569" i="5"/>
  <c r="F569" i="5" s="1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F580" i="5" s="1"/>
  <c r="E581" i="5"/>
  <c r="F581" i="5" s="1"/>
  <c r="E582" i="5"/>
  <c r="F582" i="5" s="1"/>
  <c r="E583" i="5"/>
  <c r="F583" i="5" s="1"/>
  <c r="E584" i="5"/>
  <c r="F584" i="5" s="1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F596" i="5" s="1"/>
  <c r="E597" i="5"/>
  <c r="F597" i="5" s="1"/>
  <c r="E598" i="5"/>
  <c r="F598" i="5" s="1"/>
  <c r="E599" i="5"/>
  <c r="F599" i="5" s="1"/>
  <c r="E600" i="5"/>
  <c r="F600" i="5" s="1"/>
  <c r="E601" i="5"/>
  <c r="F601" i="5" s="1"/>
  <c r="E602" i="5"/>
  <c r="F602" i="5" s="1"/>
  <c r="E603" i="5"/>
  <c r="F603" i="5" s="1"/>
  <c r="E604" i="5"/>
  <c r="F604" i="5" s="1"/>
  <c r="E605" i="5"/>
  <c r="F605" i="5" s="1"/>
  <c r="E606" i="5"/>
  <c r="F606" i="5" s="1"/>
  <c r="E607" i="5"/>
  <c r="F607" i="5" s="1"/>
  <c r="E608" i="5"/>
  <c r="F608" i="5" s="1"/>
  <c r="E609" i="5"/>
  <c r="F609" i="5" s="1"/>
  <c r="E610" i="5"/>
  <c r="F610" i="5" s="1"/>
  <c r="E611" i="5"/>
  <c r="F611" i="5" s="1"/>
  <c r="E612" i="5"/>
  <c r="F612" i="5" s="1"/>
  <c r="E613" i="5"/>
  <c r="F613" i="5" s="1"/>
  <c r="E614" i="5"/>
  <c r="F614" i="5" s="1"/>
  <c r="E615" i="5"/>
  <c r="F615" i="5" s="1"/>
  <c r="E616" i="5"/>
  <c r="F616" i="5" s="1"/>
  <c r="E617" i="5"/>
  <c r="F617" i="5" s="1"/>
  <c r="E618" i="5"/>
  <c r="F618" i="5" s="1"/>
  <c r="E619" i="5"/>
  <c r="F619" i="5" s="1"/>
  <c r="E620" i="5"/>
  <c r="F620" i="5" s="1"/>
  <c r="E621" i="5"/>
  <c r="F621" i="5" s="1"/>
  <c r="E622" i="5"/>
  <c r="F622" i="5" s="1"/>
  <c r="E623" i="5"/>
  <c r="F623" i="5" s="1"/>
  <c r="E624" i="5"/>
  <c r="F624" i="5" s="1"/>
  <c r="E625" i="5"/>
  <c r="F625" i="5" s="1"/>
  <c r="E626" i="5"/>
  <c r="F626" i="5" s="1"/>
  <c r="E627" i="5"/>
  <c r="F627" i="5" s="1"/>
  <c r="E628" i="5"/>
  <c r="F628" i="5" s="1"/>
  <c r="E629" i="5"/>
  <c r="F629" i="5" s="1"/>
  <c r="E630" i="5"/>
  <c r="F630" i="5" s="1"/>
  <c r="E631" i="5"/>
  <c r="F631" i="5" s="1"/>
  <c r="E632" i="5"/>
  <c r="F632" i="5" s="1"/>
  <c r="E633" i="5"/>
  <c r="F633" i="5" s="1"/>
  <c r="E634" i="5"/>
  <c r="F634" i="5" s="1"/>
  <c r="E635" i="5"/>
  <c r="F635" i="5" s="1"/>
  <c r="E636" i="5"/>
  <c r="F636" i="5" s="1"/>
  <c r="E637" i="5"/>
  <c r="F637" i="5" s="1"/>
  <c r="E638" i="5"/>
  <c r="F638" i="5" s="1"/>
  <c r="E639" i="5"/>
  <c r="F639" i="5" s="1"/>
  <c r="E640" i="5"/>
  <c r="F640" i="5" s="1"/>
  <c r="E641" i="5"/>
  <c r="F641" i="5" s="1"/>
  <c r="E642" i="5"/>
  <c r="F642" i="5" s="1"/>
  <c r="E643" i="5"/>
  <c r="F643" i="5" s="1"/>
  <c r="E644" i="5"/>
  <c r="F644" i="5" s="1"/>
  <c r="E645" i="5"/>
  <c r="F645" i="5" s="1"/>
  <c r="E646" i="5"/>
  <c r="F646" i="5" s="1"/>
  <c r="E647" i="5"/>
  <c r="F647" i="5" s="1"/>
  <c r="E648" i="5"/>
  <c r="F648" i="5" s="1"/>
  <c r="E649" i="5"/>
  <c r="F649" i="5" s="1"/>
  <c r="E650" i="5"/>
  <c r="F650" i="5" s="1"/>
  <c r="E651" i="5"/>
  <c r="F651" i="5" s="1"/>
  <c r="E652" i="5"/>
  <c r="F652" i="5" s="1"/>
  <c r="E653" i="5"/>
  <c r="F653" i="5" s="1"/>
  <c r="E654" i="5"/>
  <c r="F654" i="5" s="1"/>
  <c r="E655" i="5"/>
  <c r="F655" i="5" s="1"/>
  <c r="E656" i="5"/>
  <c r="F656" i="5" s="1"/>
  <c r="E657" i="5"/>
  <c r="F657" i="5" s="1"/>
  <c r="E658" i="5"/>
  <c r="F658" i="5" s="1"/>
  <c r="E659" i="5"/>
  <c r="F659" i="5" s="1"/>
  <c r="E660" i="5"/>
  <c r="F660" i="5" s="1"/>
  <c r="E661" i="5"/>
  <c r="F661" i="5" s="1"/>
  <c r="E662" i="5"/>
  <c r="F662" i="5" s="1"/>
  <c r="E663" i="5"/>
  <c r="F663" i="5" s="1"/>
  <c r="E664" i="5"/>
  <c r="F664" i="5" s="1"/>
  <c r="E665" i="5"/>
  <c r="F665" i="5" s="1"/>
  <c r="E666" i="5"/>
  <c r="F666" i="5" s="1"/>
  <c r="E667" i="5"/>
  <c r="F667" i="5" s="1"/>
  <c r="E668" i="5"/>
  <c r="F668" i="5" s="1"/>
  <c r="E669" i="5"/>
  <c r="F669" i="5" s="1"/>
  <c r="E670" i="5"/>
  <c r="F670" i="5" s="1"/>
  <c r="E671" i="5"/>
  <c r="F671" i="5" s="1"/>
  <c r="E672" i="5"/>
  <c r="F672" i="5" s="1"/>
  <c r="E673" i="5"/>
  <c r="F673" i="5" s="1"/>
  <c r="E674" i="5"/>
  <c r="F674" i="5" s="1"/>
  <c r="E675" i="5"/>
  <c r="F675" i="5" s="1"/>
  <c r="E676" i="5"/>
  <c r="F676" i="5" s="1"/>
  <c r="E677" i="5"/>
  <c r="F677" i="5" s="1"/>
  <c r="E678" i="5"/>
  <c r="F678" i="5" s="1"/>
  <c r="E679" i="5"/>
  <c r="F679" i="5" s="1"/>
  <c r="E680" i="5"/>
  <c r="F680" i="5" s="1"/>
  <c r="E681" i="5"/>
  <c r="F681" i="5" s="1"/>
  <c r="E682" i="5"/>
  <c r="F682" i="5" s="1"/>
  <c r="E683" i="5"/>
  <c r="F683" i="5" s="1"/>
  <c r="E684" i="5"/>
  <c r="F684" i="5" s="1"/>
  <c r="E685" i="5"/>
  <c r="F685" i="5" s="1"/>
  <c r="E686" i="5"/>
  <c r="F686" i="5" s="1"/>
  <c r="E687" i="5"/>
  <c r="F687" i="5" s="1"/>
  <c r="E688" i="5"/>
  <c r="F688" i="5" s="1"/>
  <c r="E689" i="5"/>
  <c r="F689" i="5" s="1"/>
  <c r="E690" i="5"/>
  <c r="F690" i="5" s="1"/>
  <c r="E691" i="5"/>
  <c r="F691" i="5" s="1"/>
  <c r="E692" i="5"/>
  <c r="F692" i="5" s="1"/>
  <c r="E693" i="5"/>
  <c r="F693" i="5" s="1"/>
  <c r="E694" i="5"/>
  <c r="F694" i="5" s="1"/>
  <c r="E695" i="5"/>
  <c r="F695" i="5" s="1"/>
  <c r="E696" i="5"/>
  <c r="F696" i="5" s="1"/>
  <c r="E697" i="5"/>
  <c r="F697" i="5" s="1"/>
  <c r="E698" i="5"/>
  <c r="F698" i="5" s="1"/>
  <c r="E699" i="5"/>
  <c r="F699" i="5" s="1"/>
  <c r="E700" i="5"/>
  <c r="F700" i="5" s="1"/>
  <c r="E701" i="5"/>
  <c r="F701" i="5" s="1"/>
  <c r="E702" i="5"/>
  <c r="F702" i="5" s="1"/>
  <c r="E703" i="5"/>
  <c r="F703" i="5" s="1"/>
  <c r="E704" i="5"/>
  <c r="F704" i="5" s="1"/>
  <c r="E705" i="5"/>
  <c r="F705" i="5" s="1"/>
  <c r="E706" i="5"/>
  <c r="F706" i="5" s="1"/>
  <c r="E707" i="5"/>
  <c r="F707" i="5" s="1"/>
  <c r="E708" i="5"/>
  <c r="F708" i="5" s="1"/>
  <c r="E709" i="5"/>
  <c r="F709" i="5" s="1"/>
  <c r="E710" i="5"/>
  <c r="F710" i="5" s="1"/>
  <c r="E711" i="5"/>
  <c r="F711" i="5" s="1"/>
  <c r="E712" i="5"/>
  <c r="F712" i="5" s="1"/>
  <c r="E713" i="5"/>
  <c r="F713" i="5" s="1"/>
  <c r="E714" i="5"/>
  <c r="F714" i="5" s="1"/>
  <c r="E715" i="5"/>
  <c r="F715" i="5" s="1"/>
  <c r="E716" i="5"/>
  <c r="F716" i="5" s="1"/>
  <c r="E717" i="5"/>
  <c r="F717" i="5" s="1"/>
  <c r="E718" i="5"/>
  <c r="F718" i="5" s="1"/>
  <c r="E719" i="5"/>
  <c r="F719" i="5" s="1"/>
  <c r="E720" i="5"/>
  <c r="F720" i="5" s="1"/>
  <c r="E721" i="5"/>
  <c r="F721" i="5" s="1"/>
  <c r="E722" i="5"/>
  <c r="F722" i="5" s="1"/>
  <c r="E723" i="5"/>
  <c r="F723" i="5" s="1"/>
  <c r="E724" i="5"/>
  <c r="F724" i="5" s="1"/>
  <c r="E725" i="5"/>
  <c r="F725" i="5" s="1"/>
  <c r="E726" i="5"/>
  <c r="F726" i="5" s="1"/>
  <c r="E727" i="5"/>
  <c r="F727" i="5" s="1"/>
  <c r="E728" i="5"/>
  <c r="F728" i="5" s="1"/>
  <c r="E729" i="5"/>
  <c r="F729" i="5" s="1"/>
  <c r="E730" i="5"/>
  <c r="F730" i="5" s="1"/>
  <c r="E731" i="5"/>
  <c r="F731" i="5" s="1"/>
  <c r="E732" i="5"/>
  <c r="F732" i="5" s="1"/>
  <c r="E733" i="5"/>
  <c r="F733" i="5" s="1"/>
  <c r="E734" i="5"/>
  <c r="F734" i="5" s="1"/>
  <c r="E735" i="5"/>
  <c r="F735" i="5" s="1"/>
  <c r="E736" i="5"/>
  <c r="F736" i="5" s="1"/>
  <c r="E737" i="5"/>
  <c r="F737" i="5" s="1"/>
  <c r="E738" i="5"/>
  <c r="F738" i="5" s="1"/>
  <c r="E739" i="5"/>
  <c r="F739" i="5" s="1"/>
  <c r="E740" i="5"/>
  <c r="F740" i="5" s="1"/>
  <c r="E741" i="5"/>
  <c r="F741" i="5" s="1"/>
  <c r="E742" i="5"/>
  <c r="F742" i="5" s="1"/>
  <c r="E743" i="5"/>
  <c r="F743" i="5" s="1"/>
  <c r="E744" i="5"/>
  <c r="F744" i="5" s="1"/>
  <c r="E745" i="5"/>
  <c r="F745" i="5" s="1"/>
  <c r="E746" i="5"/>
  <c r="F746" i="5" s="1"/>
  <c r="E747" i="5"/>
  <c r="F747" i="5" s="1"/>
  <c r="E748" i="5"/>
  <c r="F748" i="5" s="1"/>
  <c r="E749" i="5"/>
  <c r="F749" i="5" s="1"/>
  <c r="E750" i="5"/>
  <c r="F750" i="5" s="1"/>
  <c r="E751" i="5"/>
  <c r="F751" i="5" s="1"/>
  <c r="E752" i="5"/>
  <c r="F752" i="5" s="1"/>
  <c r="E753" i="5"/>
  <c r="F753" i="5" s="1"/>
  <c r="E754" i="5"/>
  <c r="F754" i="5" s="1"/>
  <c r="E755" i="5"/>
  <c r="F755" i="5" s="1"/>
  <c r="E756" i="5"/>
  <c r="F756" i="5" s="1"/>
  <c r="E757" i="5"/>
  <c r="F757" i="5" s="1"/>
  <c r="E758" i="5"/>
  <c r="F758" i="5" s="1"/>
  <c r="E759" i="5"/>
  <c r="F759" i="5" s="1"/>
  <c r="E760" i="5"/>
  <c r="F760" i="5" s="1"/>
  <c r="E761" i="5"/>
  <c r="F761" i="5" s="1"/>
  <c r="E762" i="5"/>
  <c r="F762" i="5" s="1"/>
  <c r="E763" i="5"/>
  <c r="F763" i="5" s="1"/>
  <c r="E764" i="5"/>
  <c r="F764" i="5" s="1"/>
  <c r="E765" i="5"/>
  <c r="F765" i="5" s="1"/>
  <c r="E766" i="5"/>
  <c r="F766" i="5" s="1"/>
  <c r="E767" i="5"/>
  <c r="F767" i="5" s="1"/>
  <c r="E768" i="5"/>
  <c r="F768" i="5" s="1"/>
  <c r="E769" i="5"/>
  <c r="F769" i="5" s="1"/>
  <c r="E770" i="5"/>
  <c r="F770" i="5" s="1"/>
  <c r="E771" i="5"/>
  <c r="F771" i="5" s="1"/>
  <c r="E772" i="5"/>
  <c r="F772" i="5" s="1"/>
  <c r="E773" i="5"/>
  <c r="F773" i="5" s="1"/>
  <c r="E774" i="5"/>
  <c r="F774" i="5" s="1"/>
  <c r="E775" i="5"/>
  <c r="F775" i="5" s="1"/>
  <c r="E776" i="5"/>
  <c r="F776" i="5" s="1"/>
  <c r="E777" i="5"/>
  <c r="F777" i="5" s="1"/>
  <c r="E778" i="5"/>
  <c r="F778" i="5" s="1"/>
  <c r="E779" i="5"/>
  <c r="F779" i="5" s="1"/>
  <c r="E780" i="5"/>
  <c r="F780" i="5" s="1"/>
  <c r="E781" i="5"/>
  <c r="F781" i="5" s="1"/>
  <c r="E782" i="5"/>
  <c r="F782" i="5" s="1"/>
  <c r="E783" i="5"/>
  <c r="F783" i="5" s="1"/>
  <c r="E784" i="5"/>
  <c r="F784" i="5" s="1"/>
  <c r="E785" i="5"/>
  <c r="F785" i="5" s="1"/>
  <c r="E786" i="5"/>
  <c r="F786" i="5" s="1"/>
  <c r="E787" i="5"/>
  <c r="F787" i="5" s="1"/>
  <c r="E788" i="5"/>
  <c r="F788" i="5" s="1"/>
  <c r="E789" i="5"/>
  <c r="F789" i="5" s="1"/>
  <c r="E790" i="5"/>
  <c r="F790" i="5" s="1"/>
  <c r="E791" i="5"/>
  <c r="F791" i="5" s="1"/>
  <c r="E792" i="5"/>
  <c r="F792" i="5" s="1"/>
  <c r="E793" i="5"/>
  <c r="F793" i="5" s="1"/>
  <c r="E794" i="5"/>
  <c r="F794" i="5" s="1"/>
  <c r="E795" i="5"/>
  <c r="F795" i="5" s="1"/>
  <c r="E796" i="5"/>
  <c r="F796" i="5" s="1"/>
  <c r="E797" i="5"/>
  <c r="F797" i="5" s="1"/>
  <c r="E798" i="5"/>
  <c r="F798" i="5" s="1"/>
  <c r="E799" i="5"/>
  <c r="F799" i="5" s="1"/>
  <c r="E800" i="5"/>
  <c r="F800" i="5" s="1"/>
  <c r="E801" i="5"/>
  <c r="F801" i="5" s="1"/>
  <c r="E802" i="5"/>
  <c r="F802" i="5" s="1"/>
  <c r="E803" i="5"/>
  <c r="F803" i="5" s="1"/>
  <c r="E804" i="5"/>
  <c r="F804" i="5" s="1"/>
  <c r="E805" i="5"/>
  <c r="F805" i="5" s="1"/>
  <c r="E806" i="5"/>
  <c r="F806" i="5" s="1"/>
  <c r="E807" i="5"/>
  <c r="F807" i="5" s="1"/>
  <c r="E808" i="5"/>
  <c r="F808" i="5" s="1"/>
  <c r="E809" i="5"/>
  <c r="F809" i="5" s="1"/>
  <c r="E810" i="5"/>
  <c r="F810" i="5" s="1"/>
  <c r="E811" i="5"/>
  <c r="F811" i="5" s="1"/>
  <c r="E812" i="5"/>
  <c r="F812" i="5" s="1"/>
  <c r="E813" i="5"/>
  <c r="F813" i="5" s="1"/>
  <c r="E814" i="5"/>
  <c r="F814" i="5" s="1"/>
  <c r="E815" i="5"/>
  <c r="F815" i="5" s="1"/>
  <c r="E816" i="5"/>
  <c r="F816" i="5" s="1"/>
  <c r="E817" i="5"/>
  <c r="F817" i="5" s="1"/>
  <c r="E818" i="5"/>
  <c r="F818" i="5" s="1"/>
  <c r="E819" i="5"/>
  <c r="F819" i="5" s="1"/>
  <c r="E820" i="5"/>
  <c r="F820" i="5" s="1"/>
  <c r="E821" i="5"/>
  <c r="F821" i="5" s="1"/>
  <c r="E822" i="5"/>
  <c r="F822" i="5" s="1"/>
  <c r="E823" i="5"/>
  <c r="F823" i="5" s="1"/>
  <c r="E824" i="5"/>
  <c r="F824" i="5" s="1"/>
  <c r="E825" i="5"/>
  <c r="F825" i="5" s="1"/>
  <c r="E826" i="5"/>
  <c r="F826" i="5" s="1"/>
  <c r="E827" i="5"/>
  <c r="F827" i="5" s="1"/>
  <c r="E828" i="5"/>
  <c r="F828" i="5" s="1"/>
  <c r="E829" i="5"/>
  <c r="F829" i="5" s="1"/>
  <c r="E830" i="5"/>
  <c r="F830" i="5" s="1"/>
  <c r="E831" i="5"/>
  <c r="F831" i="5" s="1"/>
  <c r="E832" i="5"/>
  <c r="F832" i="5" s="1"/>
  <c r="E833" i="5"/>
  <c r="F833" i="5" s="1"/>
  <c r="E834" i="5"/>
  <c r="F834" i="5" s="1"/>
  <c r="E835" i="5"/>
  <c r="F835" i="5" s="1"/>
  <c r="E836" i="5"/>
  <c r="F836" i="5" s="1"/>
  <c r="E837" i="5"/>
  <c r="F837" i="5" s="1"/>
  <c r="E838" i="5"/>
  <c r="F838" i="5" s="1"/>
  <c r="E839" i="5"/>
  <c r="F839" i="5" s="1"/>
  <c r="E840" i="5"/>
  <c r="F840" i="5" s="1"/>
  <c r="E841" i="5"/>
  <c r="F841" i="5" s="1"/>
  <c r="E842" i="5"/>
  <c r="F842" i="5" s="1"/>
  <c r="E843" i="5"/>
  <c r="F843" i="5" s="1"/>
  <c r="E844" i="5"/>
  <c r="F844" i="5" s="1"/>
  <c r="E845" i="5"/>
  <c r="F845" i="5" s="1"/>
  <c r="E846" i="5"/>
  <c r="F846" i="5" s="1"/>
  <c r="E847" i="5"/>
  <c r="F847" i="5" s="1"/>
  <c r="E848" i="5"/>
  <c r="F848" i="5" s="1"/>
  <c r="E849" i="5"/>
  <c r="F849" i="5" s="1"/>
  <c r="E850" i="5"/>
  <c r="F850" i="5" s="1"/>
  <c r="E851" i="5"/>
  <c r="F851" i="5" s="1"/>
  <c r="E852" i="5"/>
  <c r="F852" i="5" s="1"/>
  <c r="E853" i="5"/>
  <c r="F853" i="5" s="1"/>
  <c r="E854" i="5"/>
  <c r="F854" i="5" s="1"/>
  <c r="E855" i="5"/>
  <c r="F855" i="5" s="1"/>
  <c r="E856" i="5"/>
  <c r="F856" i="5" s="1"/>
  <c r="E857" i="5"/>
  <c r="F857" i="5" s="1"/>
  <c r="E858" i="5"/>
  <c r="F858" i="5" s="1"/>
  <c r="E859" i="5"/>
  <c r="F859" i="5" s="1"/>
  <c r="E860" i="5"/>
  <c r="F860" i="5" s="1"/>
  <c r="E861" i="5"/>
  <c r="F861" i="5" s="1"/>
  <c r="E862" i="5"/>
  <c r="F862" i="5" s="1"/>
  <c r="E863" i="5"/>
  <c r="F863" i="5" s="1"/>
  <c r="E864" i="5"/>
  <c r="F864" i="5" s="1"/>
  <c r="E865" i="5"/>
  <c r="F865" i="5" s="1"/>
  <c r="E866" i="5"/>
  <c r="F866" i="5" s="1"/>
  <c r="E867" i="5"/>
  <c r="F867" i="5" s="1"/>
  <c r="E868" i="5"/>
  <c r="F868" i="5" s="1"/>
  <c r="E869" i="5"/>
  <c r="F869" i="5" s="1"/>
  <c r="E870" i="5"/>
  <c r="F870" i="5" s="1"/>
  <c r="E871" i="5"/>
  <c r="F871" i="5" s="1"/>
  <c r="E872" i="5"/>
  <c r="F872" i="5" s="1"/>
  <c r="E873" i="5"/>
  <c r="F873" i="5" s="1"/>
  <c r="E874" i="5"/>
  <c r="F874" i="5" s="1"/>
  <c r="E875" i="5"/>
  <c r="F875" i="5" s="1"/>
  <c r="E876" i="5"/>
  <c r="F876" i="5" s="1"/>
  <c r="E877" i="5"/>
  <c r="F877" i="5" s="1"/>
  <c r="E878" i="5"/>
  <c r="F878" i="5" s="1"/>
  <c r="E879" i="5"/>
  <c r="F879" i="5" s="1"/>
  <c r="E880" i="5"/>
  <c r="F880" i="5" s="1"/>
  <c r="E881" i="5"/>
  <c r="F881" i="5" s="1"/>
  <c r="E882" i="5"/>
  <c r="F882" i="5" s="1"/>
  <c r="E883" i="5"/>
  <c r="F883" i="5" s="1"/>
  <c r="E884" i="5"/>
  <c r="F884" i="5" s="1"/>
  <c r="E885" i="5"/>
  <c r="F885" i="5" s="1"/>
  <c r="E886" i="5"/>
  <c r="F886" i="5" s="1"/>
  <c r="E887" i="5"/>
  <c r="F887" i="5" s="1"/>
  <c r="E888" i="5"/>
  <c r="F888" i="5" s="1"/>
  <c r="E889" i="5"/>
  <c r="F889" i="5" s="1"/>
  <c r="E890" i="5"/>
  <c r="F890" i="5" s="1"/>
  <c r="E891" i="5"/>
  <c r="F891" i="5" s="1"/>
  <c r="E892" i="5"/>
  <c r="F892" i="5" s="1"/>
  <c r="E893" i="5"/>
  <c r="F893" i="5" s="1"/>
  <c r="E894" i="5"/>
  <c r="F894" i="5" s="1"/>
  <c r="E895" i="5"/>
  <c r="F895" i="5" s="1"/>
  <c r="E896" i="5"/>
  <c r="F896" i="5" s="1"/>
  <c r="E897" i="5"/>
  <c r="F897" i="5" s="1"/>
  <c r="E898" i="5"/>
  <c r="F898" i="5" s="1"/>
  <c r="E899" i="5"/>
  <c r="F899" i="5" s="1"/>
  <c r="E900" i="5"/>
  <c r="F900" i="5" s="1"/>
  <c r="E901" i="5"/>
  <c r="F901" i="5" s="1"/>
  <c r="E902" i="5"/>
  <c r="F902" i="5" s="1"/>
  <c r="E903" i="5"/>
  <c r="F903" i="5" s="1"/>
  <c r="E904" i="5"/>
  <c r="F904" i="5" s="1"/>
  <c r="E905" i="5"/>
  <c r="F905" i="5" s="1"/>
  <c r="E906" i="5"/>
  <c r="F906" i="5" s="1"/>
  <c r="E907" i="5"/>
  <c r="F907" i="5" s="1"/>
  <c r="E908" i="5"/>
  <c r="F908" i="5" s="1"/>
  <c r="E909" i="5"/>
  <c r="F909" i="5" s="1"/>
  <c r="E910" i="5"/>
  <c r="F910" i="5" s="1"/>
  <c r="E911" i="5"/>
  <c r="F911" i="5" s="1"/>
  <c r="E912" i="5"/>
  <c r="F912" i="5" s="1"/>
  <c r="E913" i="5"/>
  <c r="F913" i="5" s="1"/>
  <c r="E914" i="5"/>
  <c r="F914" i="5" s="1"/>
  <c r="E915" i="5"/>
  <c r="F915" i="5" s="1"/>
  <c r="E916" i="5"/>
  <c r="F916" i="5" s="1"/>
  <c r="E917" i="5"/>
  <c r="F917" i="5" s="1"/>
  <c r="E918" i="5"/>
  <c r="F918" i="5" s="1"/>
  <c r="E919" i="5"/>
  <c r="F919" i="5" s="1"/>
  <c r="E920" i="5"/>
  <c r="F920" i="5" s="1"/>
  <c r="E921" i="5"/>
  <c r="F921" i="5" s="1"/>
  <c r="E922" i="5"/>
  <c r="F922" i="5" s="1"/>
  <c r="E923" i="5"/>
  <c r="F923" i="5" s="1"/>
  <c r="E924" i="5"/>
  <c r="F924" i="5" s="1"/>
  <c r="E925" i="5"/>
  <c r="F925" i="5" s="1"/>
  <c r="E926" i="5"/>
  <c r="F926" i="5" s="1"/>
  <c r="E927" i="5"/>
  <c r="F927" i="5" s="1"/>
  <c r="E928" i="5"/>
  <c r="F928" i="5" s="1"/>
  <c r="E929" i="5"/>
  <c r="F929" i="5" s="1"/>
  <c r="E930" i="5"/>
  <c r="F930" i="5" s="1"/>
  <c r="E931" i="5"/>
  <c r="F931" i="5" s="1"/>
  <c r="E932" i="5"/>
  <c r="F932" i="5" s="1"/>
  <c r="E933" i="5"/>
  <c r="F933" i="5" s="1"/>
  <c r="E934" i="5"/>
  <c r="F934" i="5" s="1"/>
  <c r="E935" i="5"/>
  <c r="F935" i="5" s="1"/>
  <c r="E936" i="5"/>
  <c r="F936" i="5" s="1"/>
  <c r="E937" i="5"/>
  <c r="F937" i="5" s="1"/>
  <c r="E938" i="5"/>
  <c r="F938" i="5" s="1"/>
  <c r="E939" i="5"/>
  <c r="F939" i="5" s="1"/>
  <c r="E940" i="5"/>
  <c r="F940" i="5" s="1"/>
  <c r="E941" i="5"/>
  <c r="F941" i="5" s="1"/>
  <c r="E942" i="5"/>
  <c r="F942" i="5" s="1"/>
  <c r="E943" i="5"/>
  <c r="F943" i="5" s="1"/>
  <c r="E944" i="5"/>
  <c r="F944" i="5" s="1"/>
  <c r="E945" i="5"/>
  <c r="F945" i="5" s="1"/>
  <c r="E946" i="5"/>
  <c r="F946" i="5" s="1"/>
  <c r="E947" i="5"/>
  <c r="F947" i="5" s="1"/>
  <c r="E948" i="5"/>
  <c r="F948" i="5" s="1"/>
  <c r="E949" i="5"/>
  <c r="F949" i="5" s="1"/>
  <c r="E950" i="5"/>
  <c r="F950" i="5" s="1"/>
  <c r="E951" i="5"/>
  <c r="F951" i="5" s="1"/>
  <c r="E952" i="5"/>
  <c r="F952" i="5" s="1"/>
  <c r="E953" i="5"/>
  <c r="F953" i="5" s="1"/>
  <c r="E954" i="5"/>
  <c r="F954" i="5" s="1"/>
  <c r="E955" i="5"/>
  <c r="F955" i="5" s="1"/>
  <c r="E956" i="5"/>
  <c r="F956" i="5" s="1"/>
  <c r="E957" i="5"/>
  <c r="F957" i="5" s="1"/>
  <c r="E958" i="5"/>
  <c r="F958" i="5" s="1"/>
  <c r="E959" i="5"/>
  <c r="F959" i="5" s="1"/>
  <c r="E960" i="5"/>
  <c r="F960" i="5" s="1"/>
  <c r="E961" i="5"/>
  <c r="F961" i="5" s="1"/>
  <c r="E962" i="5"/>
  <c r="F962" i="5" s="1"/>
  <c r="E963" i="5"/>
  <c r="F963" i="5" s="1"/>
  <c r="E964" i="5"/>
  <c r="F964" i="5" s="1"/>
  <c r="E965" i="5"/>
  <c r="F965" i="5" s="1"/>
  <c r="E966" i="5"/>
  <c r="F966" i="5" s="1"/>
  <c r="E967" i="5"/>
  <c r="F967" i="5" s="1"/>
  <c r="E968" i="5"/>
  <c r="F968" i="5" s="1"/>
  <c r="E969" i="5"/>
  <c r="F969" i="5" s="1"/>
  <c r="E970" i="5"/>
  <c r="F970" i="5" s="1"/>
  <c r="E971" i="5"/>
  <c r="F971" i="5" s="1"/>
  <c r="E972" i="5"/>
  <c r="F972" i="5" s="1"/>
  <c r="E973" i="5"/>
  <c r="F973" i="5" s="1"/>
  <c r="E974" i="5"/>
  <c r="F974" i="5" s="1"/>
  <c r="E975" i="5"/>
  <c r="F975" i="5" s="1"/>
  <c r="E976" i="5"/>
  <c r="F976" i="5" s="1"/>
  <c r="E977" i="5"/>
  <c r="F977" i="5" s="1"/>
  <c r="E978" i="5"/>
  <c r="F978" i="5" s="1"/>
  <c r="E979" i="5"/>
  <c r="F979" i="5" s="1"/>
  <c r="E980" i="5"/>
  <c r="F980" i="5" s="1"/>
  <c r="E981" i="5"/>
  <c r="F981" i="5" s="1"/>
  <c r="E982" i="5"/>
  <c r="F982" i="5" s="1"/>
  <c r="E983" i="5"/>
  <c r="F983" i="5" s="1"/>
  <c r="E984" i="5"/>
  <c r="F984" i="5" s="1"/>
  <c r="E985" i="5"/>
  <c r="F985" i="5" s="1"/>
  <c r="E986" i="5"/>
  <c r="F986" i="5" s="1"/>
  <c r="E987" i="5"/>
  <c r="F987" i="5" s="1"/>
  <c r="E988" i="5"/>
  <c r="F988" i="5" s="1"/>
  <c r="E989" i="5"/>
  <c r="F989" i="5" s="1"/>
  <c r="E990" i="5"/>
  <c r="F990" i="5" s="1"/>
  <c r="E991" i="5"/>
  <c r="F991" i="5" s="1"/>
  <c r="E992" i="5"/>
  <c r="F992" i="5" s="1"/>
  <c r="E993" i="5"/>
  <c r="F993" i="5" s="1"/>
  <c r="E994" i="5"/>
  <c r="F994" i="5" s="1"/>
  <c r="E995" i="5"/>
  <c r="F995" i="5" s="1"/>
  <c r="E996" i="5"/>
  <c r="F996" i="5" s="1"/>
  <c r="E997" i="5"/>
  <c r="F997" i="5" s="1"/>
  <c r="E998" i="5"/>
  <c r="F998" i="5" s="1"/>
  <c r="E999" i="5"/>
  <c r="F999" i="5" s="1"/>
  <c r="E1000" i="5"/>
  <c r="F1000" i="5" s="1"/>
  <c r="E1001" i="5"/>
  <c r="F1001" i="5" s="1"/>
  <c r="E1002" i="5"/>
  <c r="F1002" i="5" s="1"/>
  <c r="E1003" i="5"/>
  <c r="F1003" i="5" s="1"/>
  <c r="E1004" i="5"/>
  <c r="F1004" i="5" s="1"/>
  <c r="E1005" i="5"/>
  <c r="F1005" i="5" s="1"/>
  <c r="E1006" i="5"/>
  <c r="F1006" i="5" s="1"/>
  <c r="E1007" i="5"/>
  <c r="F1007" i="5" s="1"/>
  <c r="E1008" i="5"/>
  <c r="F1008" i="5" s="1"/>
  <c r="E1009" i="5"/>
  <c r="F1009" i="5" s="1"/>
  <c r="E1010" i="5"/>
  <c r="F1010" i="5" s="1"/>
  <c r="E1011" i="5"/>
  <c r="F1011" i="5" s="1"/>
  <c r="E1012" i="5"/>
  <c r="F1012" i="5" s="1"/>
  <c r="E1013" i="5"/>
  <c r="F1013" i="5" s="1"/>
  <c r="E1014" i="5"/>
  <c r="F1014" i="5" s="1"/>
  <c r="E1015" i="5"/>
  <c r="F1015" i="5" s="1"/>
  <c r="E1016" i="5"/>
  <c r="F1016" i="5" s="1"/>
  <c r="E1017" i="5"/>
  <c r="F1017" i="5" s="1"/>
  <c r="E1018" i="5"/>
  <c r="F1018" i="5" s="1"/>
  <c r="E1019" i="5"/>
  <c r="F1019" i="5" s="1"/>
  <c r="E1020" i="5"/>
  <c r="F1020" i="5" s="1"/>
  <c r="E1021" i="5"/>
  <c r="F1021" i="5" s="1"/>
  <c r="E1022" i="5"/>
  <c r="F1022" i="5" s="1"/>
  <c r="E1023" i="5"/>
  <c r="F1023" i="5" s="1"/>
  <c r="E1024" i="5"/>
  <c r="F1024" i="5" s="1"/>
  <c r="E1025" i="5"/>
  <c r="F1025" i="5" s="1"/>
  <c r="E1026" i="5"/>
  <c r="F1026" i="5" s="1"/>
  <c r="E1027" i="5"/>
  <c r="F1027" i="5" s="1"/>
  <c r="E1028" i="5"/>
  <c r="F1028" i="5" s="1"/>
  <c r="E1029" i="5"/>
  <c r="F1029" i="5" s="1"/>
  <c r="E1030" i="5"/>
  <c r="F1030" i="5" s="1"/>
  <c r="E1031" i="5"/>
  <c r="F1031" i="5" s="1"/>
  <c r="E1032" i="5"/>
  <c r="F1032" i="5" s="1"/>
  <c r="E1033" i="5"/>
  <c r="F1033" i="5" s="1"/>
  <c r="E1034" i="5"/>
  <c r="F1034" i="5" s="1"/>
  <c r="E1035" i="5"/>
  <c r="F1035" i="5" s="1"/>
  <c r="E1036" i="5"/>
  <c r="F1036" i="5" s="1"/>
  <c r="E1037" i="5"/>
  <c r="F1037" i="5" s="1"/>
  <c r="E1038" i="5"/>
  <c r="F1038" i="5" s="1"/>
  <c r="E1039" i="5"/>
  <c r="F1039" i="5" s="1"/>
  <c r="E1040" i="5"/>
  <c r="F1040" i="5" s="1"/>
  <c r="E1041" i="5"/>
  <c r="F1041" i="5" s="1"/>
  <c r="E1042" i="5"/>
  <c r="F1042" i="5" s="1"/>
  <c r="E1043" i="5"/>
  <c r="F1043" i="5" s="1"/>
  <c r="E1044" i="5"/>
  <c r="F1044" i="5" s="1"/>
  <c r="E1045" i="5"/>
  <c r="F1045" i="5" s="1"/>
  <c r="E1046" i="5"/>
  <c r="F1046" i="5" s="1"/>
  <c r="E1047" i="5"/>
  <c r="F1047" i="5" s="1"/>
  <c r="E1048" i="5"/>
  <c r="F1048" i="5" s="1"/>
  <c r="E1049" i="5"/>
  <c r="F1049" i="5" s="1"/>
  <c r="E1050" i="5"/>
  <c r="F1050" i="5" s="1"/>
  <c r="E1051" i="5"/>
  <c r="F1051" i="5" s="1"/>
  <c r="E1052" i="5"/>
  <c r="F1052" i="5" s="1"/>
  <c r="E1053" i="5"/>
  <c r="F1053" i="5" s="1"/>
  <c r="E1054" i="5"/>
  <c r="F1054" i="5" s="1"/>
  <c r="E1055" i="5"/>
  <c r="F1055" i="5" s="1"/>
  <c r="E1056" i="5"/>
  <c r="F1056" i="5" s="1"/>
  <c r="E1057" i="5"/>
  <c r="F1057" i="5" s="1"/>
  <c r="E1058" i="5"/>
  <c r="F1058" i="5" s="1"/>
  <c r="E1059" i="5"/>
  <c r="F1059" i="5" s="1"/>
  <c r="E1060" i="5"/>
  <c r="F1060" i="5" s="1"/>
  <c r="E1061" i="5"/>
  <c r="F1061" i="5" s="1"/>
  <c r="E1062" i="5"/>
  <c r="F1062" i="5" s="1"/>
  <c r="E1063" i="5"/>
  <c r="F1063" i="5" s="1"/>
  <c r="E1064" i="5"/>
  <c r="F1064" i="5" s="1"/>
  <c r="E1065" i="5"/>
  <c r="F1065" i="5" s="1"/>
  <c r="E1066" i="5"/>
  <c r="F1066" i="5" s="1"/>
  <c r="E1067" i="5"/>
  <c r="F1067" i="5" s="1"/>
  <c r="E1068" i="5"/>
  <c r="F1068" i="5" s="1"/>
  <c r="E1069" i="5"/>
  <c r="F1069" i="5" s="1"/>
  <c r="E1070" i="5"/>
  <c r="F1070" i="5" s="1"/>
  <c r="E1071" i="5"/>
  <c r="F1071" i="5" s="1"/>
  <c r="E1072" i="5"/>
  <c r="F1072" i="5" s="1"/>
  <c r="E1073" i="5"/>
  <c r="F1073" i="5" s="1"/>
  <c r="E1074" i="5"/>
  <c r="F1074" i="5" s="1"/>
  <c r="E1075" i="5"/>
  <c r="F1075" i="5" s="1"/>
  <c r="E1076" i="5"/>
  <c r="F1076" i="5" s="1"/>
  <c r="E1077" i="5"/>
  <c r="F1077" i="5" s="1"/>
  <c r="E1078" i="5"/>
  <c r="F1078" i="5" s="1"/>
  <c r="E1079" i="5"/>
  <c r="F1079" i="5" s="1"/>
  <c r="E1080" i="5"/>
  <c r="F1080" i="5" s="1"/>
  <c r="E1081" i="5"/>
  <c r="F1081" i="5" s="1"/>
  <c r="E1082" i="5"/>
  <c r="F1082" i="5" s="1"/>
  <c r="E1083" i="5"/>
  <c r="F1083" i="5" s="1"/>
  <c r="E1084" i="5"/>
  <c r="F1084" i="5" s="1"/>
  <c r="E1085" i="5"/>
  <c r="F1085" i="5" s="1"/>
  <c r="E1086" i="5"/>
  <c r="F1086" i="5" s="1"/>
  <c r="E1087" i="5"/>
  <c r="F1087" i="5" s="1"/>
  <c r="E1088" i="5"/>
  <c r="F1088" i="5" s="1"/>
  <c r="E1089" i="5"/>
  <c r="F1089" i="5" s="1"/>
  <c r="E1090" i="5"/>
  <c r="F1090" i="5" s="1"/>
  <c r="E1091" i="5"/>
  <c r="F1091" i="5" s="1"/>
  <c r="E1092" i="5"/>
  <c r="F1092" i="5" s="1"/>
  <c r="E1093" i="5"/>
  <c r="F1093" i="5" s="1"/>
  <c r="E1094" i="5"/>
  <c r="F1094" i="5" s="1"/>
  <c r="E1095" i="5"/>
  <c r="F1095" i="5" s="1"/>
  <c r="E1096" i="5"/>
  <c r="F1096" i="5" s="1"/>
  <c r="E1097" i="5"/>
  <c r="F1097" i="5" s="1"/>
  <c r="E1098" i="5"/>
  <c r="F1098" i="5" s="1"/>
  <c r="E1099" i="5"/>
  <c r="F1099" i="5" s="1"/>
  <c r="E1100" i="5"/>
  <c r="F1100" i="5" s="1"/>
  <c r="E1101" i="5"/>
  <c r="F1101" i="5" s="1"/>
  <c r="E1102" i="5"/>
  <c r="F1102" i="5" s="1"/>
  <c r="E1103" i="5"/>
  <c r="F1103" i="5" s="1"/>
  <c r="E1104" i="5"/>
  <c r="F1104" i="5" s="1"/>
  <c r="E1105" i="5"/>
  <c r="F1105" i="5" s="1"/>
  <c r="E1106" i="5"/>
  <c r="F1106" i="5" s="1"/>
  <c r="E1107" i="5"/>
  <c r="F1107" i="5" s="1"/>
  <c r="E1108" i="5"/>
  <c r="F1108" i="5" s="1"/>
  <c r="E1109" i="5"/>
  <c r="F1109" i="5" s="1"/>
  <c r="E1110" i="5"/>
  <c r="F1110" i="5" s="1"/>
  <c r="E1111" i="5"/>
  <c r="F1111" i="5" s="1"/>
  <c r="E1112" i="5"/>
  <c r="F1112" i="5" s="1"/>
  <c r="E1113" i="5"/>
  <c r="F1113" i="5" s="1"/>
  <c r="E1114" i="5"/>
  <c r="F1114" i="5" s="1"/>
  <c r="E1115" i="5"/>
  <c r="F1115" i="5" s="1"/>
  <c r="E1116" i="5"/>
  <c r="F1116" i="5" s="1"/>
  <c r="E1117" i="5"/>
  <c r="F1117" i="5" s="1"/>
  <c r="E1118" i="5"/>
  <c r="F1118" i="5" s="1"/>
  <c r="E1119" i="5"/>
  <c r="F1119" i="5" s="1"/>
  <c r="E1120" i="5"/>
  <c r="F1120" i="5" s="1"/>
  <c r="E1121" i="5"/>
  <c r="F1121" i="5" s="1"/>
  <c r="E1122" i="5"/>
  <c r="F1122" i="5" s="1"/>
  <c r="E1123" i="5"/>
  <c r="F1123" i="5" s="1"/>
  <c r="E1124" i="5"/>
  <c r="F1124" i="5" s="1"/>
  <c r="E1125" i="5"/>
  <c r="F1125" i="5" s="1"/>
  <c r="E1126" i="5"/>
  <c r="F1126" i="5" s="1"/>
  <c r="E1127" i="5"/>
  <c r="F1127" i="5" s="1"/>
  <c r="E1128" i="5"/>
  <c r="F1128" i="5" s="1"/>
  <c r="E1129" i="5"/>
  <c r="F1129" i="5" s="1"/>
  <c r="E1130" i="5"/>
  <c r="F1130" i="5" s="1"/>
  <c r="E1131" i="5"/>
  <c r="F1131" i="5" s="1"/>
  <c r="E1132" i="5"/>
  <c r="F1132" i="5" s="1"/>
  <c r="E1133" i="5"/>
  <c r="F1133" i="5" s="1"/>
  <c r="E1134" i="5"/>
  <c r="F1134" i="5" s="1"/>
  <c r="E1135" i="5"/>
  <c r="F1135" i="5" s="1"/>
  <c r="E1136" i="5"/>
  <c r="F1136" i="5" s="1"/>
  <c r="E1137" i="5"/>
  <c r="F1137" i="5" s="1"/>
  <c r="E1138" i="5"/>
  <c r="F1138" i="5" s="1"/>
  <c r="E1139" i="5"/>
  <c r="F1139" i="5" s="1"/>
  <c r="E1140" i="5"/>
  <c r="F1140" i="5" s="1"/>
  <c r="E1141" i="5"/>
  <c r="F1141" i="5" s="1"/>
  <c r="E1142" i="5"/>
  <c r="F1142" i="5" s="1"/>
  <c r="E1143" i="5"/>
  <c r="F1143" i="5" s="1"/>
  <c r="E1144" i="5"/>
  <c r="F1144" i="5" s="1"/>
  <c r="E1145" i="5"/>
  <c r="F1145" i="5" s="1"/>
  <c r="E1146" i="5"/>
  <c r="F1146" i="5" s="1"/>
  <c r="E1147" i="5"/>
  <c r="F1147" i="5" s="1"/>
  <c r="E1148" i="5"/>
  <c r="F1148" i="5" s="1"/>
  <c r="E1149" i="5"/>
  <c r="F1149" i="5" s="1"/>
  <c r="E1150" i="5"/>
  <c r="F1150" i="5" s="1"/>
  <c r="E1151" i="5"/>
  <c r="F1151" i="5" s="1"/>
  <c r="E1152" i="5"/>
  <c r="F1152" i="5" s="1"/>
  <c r="E1153" i="5"/>
  <c r="F1153" i="5" s="1"/>
  <c r="E1154" i="5"/>
  <c r="F1154" i="5" s="1"/>
  <c r="E1155" i="5"/>
  <c r="F1155" i="5" s="1"/>
  <c r="E1156" i="5"/>
  <c r="F1156" i="5" s="1"/>
  <c r="E1157" i="5"/>
  <c r="F1157" i="5" s="1"/>
  <c r="E1158" i="5"/>
  <c r="F1158" i="5" s="1"/>
  <c r="E1159" i="5"/>
  <c r="F1159" i="5" s="1"/>
  <c r="E1160" i="5"/>
  <c r="F1160" i="5" s="1"/>
  <c r="E1161" i="5"/>
  <c r="F1161" i="5" s="1"/>
  <c r="E1162" i="5"/>
  <c r="F1162" i="5" s="1"/>
  <c r="E1163" i="5"/>
  <c r="F1163" i="5" s="1"/>
  <c r="E1164" i="5"/>
  <c r="F1164" i="5" s="1"/>
  <c r="E1165" i="5"/>
  <c r="F1165" i="5" s="1"/>
  <c r="E1166" i="5"/>
  <c r="F1166" i="5" s="1"/>
  <c r="E1167" i="5"/>
  <c r="F1167" i="5" s="1"/>
  <c r="E1168" i="5"/>
  <c r="F1168" i="5" s="1"/>
  <c r="E1169" i="5"/>
  <c r="F1169" i="5" s="1"/>
  <c r="E1170" i="5"/>
  <c r="F1170" i="5" s="1"/>
  <c r="E1171" i="5"/>
  <c r="F1171" i="5" s="1"/>
  <c r="E1172" i="5"/>
  <c r="F1172" i="5" s="1"/>
  <c r="E1173" i="5"/>
  <c r="F1173" i="5" s="1"/>
  <c r="E1174" i="5"/>
  <c r="F1174" i="5" s="1"/>
  <c r="E1175" i="5"/>
  <c r="F1175" i="5" s="1"/>
  <c r="E1176" i="5"/>
  <c r="F1176" i="5" s="1"/>
  <c r="E1177" i="5"/>
  <c r="F1177" i="5" s="1"/>
  <c r="E1178" i="5"/>
  <c r="F1178" i="5" s="1"/>
  <c r="E1179" i="5"/>
  <c r="F1179" i="5" s="1"/>
  <c r="E1180" i="5"/>
  <c r="F1180" i="5" s="1"/>
  <c r="E1181" i="5"/>
  <c r="F1181" i="5" s="1"/>
  <c r="E1182" i="5"/>
  <c r="F1182" i="5" s="1"/>
  <c r="E1183" i="5"/>
  <c r="F1183" i="5" s="1"/>
  <c r="E1184" i="5"/>
  <c r="F1184" i="5" s="1"/>
  <c r="E1185" i="5"/>
  <c r="F1185" i="5" s="1"/>
  <c r="E1186" i="5"/>
  <c r="F1186" i="5" s="1"/>
  <c r="E1187" i="5"/>
  <c r="F1187" i="5" s="1"/>
  <c r="E1188" i="5"/>
  <c r="F1188" i="5" s="1"/>
  <c r="E1189" i="5"/>
  <c r="F1189" i="5" s="1"/>
  <c r="E1190" i="5"/>
  <c r="F1190" i="5" s="1"/>
  <c r="E1191" i="5"/>
  <c r="F1191" i="5" s="1"/>
  <c r="E1192" i="5"/>
  <c r="F1192" i="5" s="1"/>
  <c r="E1193" i="5"/>
  <c r="F1193" i="5" s="1"/>
  <c r="E1194" i="5"/>
  <c r="F1194" i="5" s="1"/>
  <c r="E1195" i="5"/>
  <c r="F1195" i="5" s="1"/>
  <c r="E1196" i="5"/>
  <c r="F1196" i="5" s="1"/>
  <c r="E1197" i="5"/>
  <c r="F1197" i="5" s="1"/>
  <c r="E1198" i="5"/>
  <c r="F1198" i="5" s="1"/>
  <c r="E1199" i="5"/>
  <c r="F1199" i="5" s="1"/>
  <c r="E1200" i="5"/>
  <c r="F1200" i="5" s="1"/>
  <c r="E1201" i="5"/>
  <c r="F1201" i="5" s="1"/>
  <c r="E1202" i="5"/>
  <c r="F1202" i="5" s="1"/>
  <c r="E1203" i="5"/>
  <c r="F1203" i="5" s="1"/>
  <c r="E1204" i="5"/>
  <c r="F1204" i="5" s="1"/>
  <c r="E1205" i="5"/>
  <c r="F1205" i="5" s="1"/>
  <c r="E1206" i="5"/>
  <c r="F1206" i="5" s="1"/>
  <c r="E1207" i="5"/>
  <c r="F1207" i="5" s="1"/>
  <c r="E1208" i="5"/>
  <c r="F1208" i="5" s="1"/>
  <c r="E1209" i="5"/>
  <c r="F1209" i="5" s="1"/>
  <c r="E1210" i="5"/>
  <c r="F1210" i="5" s="1"/>
  <c r="E1211" i="5"/>
  <c r="F1211" i="5" s="1"/>
  <c r="E1212" i="5"/>
  <c r="F1212" i="5" s="1"/>
  <c r="E1213" i="5"/>
  <c r="F1213" i="5" s="1"/>
  <c r="E1214" i="5"/>
  <c r="F1214" i="5" s="1"/>
  <c r="E1215" i="5"/>
  <c r="F1215" i="5" s="1"/>
  <c r="E1216" i="5"/>
  <c r="F1216" i="5" s="1"/>
  <c r="E1217" i="5"/>
  <c r="F1217" i="5" s="1"/>
  <c r="E1218" i="5"/>
  <c r="F1218" i="5" s="1"/>
  <c r="E1219" i="5"/>
  <c r="F1219" i="5" s="1"/>
  <c r="E1220" i="5"/>
  <c r="F1220" i="5" s="1"/>
  <c r="E1221" i="5"/>
  <c r="F1221" i="5" s="1"/>
  <c r="E1222" i="5"/>
  <c r="F1222" i="5" s="1"/>
  <c r="E1223" i="5"/>
  <c r="F1223" i="5" s="1"/>
  <c r="E1224" i="5"/>
  <c r="F1224" i="5" s="1"/>
  <c r="E1225" i="5"/>
  <c r="F1225" i="5" s="1"/>
  <c r="E1226" i="5"/>
  <c r="F1226" i="5" s="1"/>
  <c r="E1227" i="5"/>
  <c r="F1227" i="5" s="1"/>
  <c r="E1228" i="5"/>
  <c r="F1228" i="5" s="1"/>
  <c r="E1229" i="5"/>
  <c r="F1229" i="5" s="1"/>
  <c r="E1230" i="5"/>
  <c r="F1230" i="5" s="1"/>
  <c r="E1231" i="5"/>
  <c r="F1231" i="5" s="1"/>
  <c r="E1232" i="5"/>
  <c r="F1232" i="5" s="1"/>
  <c r="E1233" i="5"/>
  <c r="F1233" i="5" s="1"/>
  <c r="E1234" i="5"/>
  <c r="F1234" i="5" s="1"/>
  <c r="E1235" i="5"/>
  <c r="F1235" i="5" s="1"/>
  <c r="E1236" i="5"/>
  <c r="F1236" i="5" s="1"/>
  <c r="E1237" i="5"/>
  <c r="F1237" i="5" s="1"/>
  <c r="E1238" i="5"/>
  <c r="F1238" i="5" s="1"/>
  <c r="E1239" i="5"/>
  <c r="F1239" i="5" s="1"/>
  <c r="E1240" i="5"/>
  <c r="F1240" i="5" s="1"/>
  <c r="E1241" i="5"/>
  <c r="F1241" i="5" s="1"/>
  <c r="E1242" i="5"/>
  <c r="F1242" i="5" s="1"/>
  <c r="E1243" i="5"/>
  <c r="F1243" i="5" s="1"/>
  <c r="E1244" i="5"/>
  <c r="F1244" i="5" s="1"/>
  <c r="E1245" i="5"/>
  <c r="F1245" i="5" s="1"/>
  <c r="E1246" i="5"/>
  <c r="F1246" i="5" s="1"/>
  <c r="E1247" i="5"/>
  <c r="F1247" i="5" s="1"/>
  <c r="E1248" i="5"/>
  <c r="F1248" i="5" s="1"/>
  <c r="E1249" i="5"/>
  <c r="F1249" i="5" s="1"/>
  <c r="E1250" i="5"/>
  <c r="F1250" i="5" s="1"/>
  <c r="E1251" i="5"/>
  <c r="F1251" i="5" s="1"/>
  <c r="E1252" i="5"/>
  <c r="F1252" i="5" s="1"/>
  <c r="E1253" i="5"/>
  <c r="F1253" i="5" s="1"/>
  <c r="E1254" i="5"/>
  <c r="F1254" i="5" s="1"/>
  <c r="E1255" i="5"/>
  <c r="F1255" i="5" s="1"/>
  <c r="E1256" i="5"/>
  <c r="F1256" i="5" s="1"/>
  <c r="E1257" i="5"/>
  <c r="F1257" i="5" s="1"/>
  <c r="E1258" i="5"/>
  <c r="F1258" i="5" s="1"/>
  <c r="E1259" i="5"/>
  <c r="F1259" i="5" s="1"/>
  <c r="E1260" i="5"/>
  <c r="F1260" i="5" s="1"/>
  <c r="E1261" i="5"/>
  <c r="F1261" i="5" s="1"/>
  <c r="E1262" i="5"/>
  <c r="F1262" i="5" s="1"/>
  <c r="E1263" i="5"/>
  <c r="F1263" i="5" s="1"/>
  <c r="E1264" i="5"/>
  <c r="F1264" i="5" s="1"/>
  <c r="E1265" i="5"/>
  <c r="F1265" i="5" s="1"/>
  <c r="E1266" i="5"/>
  <c r="F1266" i="5" s="1"/>
  <c r="E1267" i="5"/>
  <c r="F1267" i="5" s="1"/>
  <c r="E1268" i="5"/>
  <c r="F1268" i="5" s="1"/>
  <c r="E1269" i="5"/>
  <c r="F1269" i="5" s="1"/>
  <c r="E1270" i="5"/>
  <c r="F1270" i="5" s="1"/>
  <c r="E1271" i="5"/>
  <c r="F1271" i="5" s="1"/>
  <c r="E1272" i="5"/>
  <c r="F1272" i="5" s="1"/>
  <c r="E1273" i="5"/>
  <c r="F1273" i="5" s="1"/>
  <c r="E1274" i="5"/>
  <c r="F1274" i="5" s="1"/>
  <c r="E1275" i="5"/>
  <c r="F1275" i="5" s="1"/>
  <c r="E1276" i="5"/>
  <c r="F1276" i="5" s="1"/>
  <c r="E1277" i="5"/>
  <c r="F1277" i="5" s="1"/>
  <c r="E1278" i="5"/>
  <c r="F1278" i="5" s="1"/>
  <c r="E1279" i="5"/>
  <c r="F1279" i="5" s="1"/>
  <c r="E1280" i="5"/>
  <c r="F1280" i="5" s="1"/>
  <c r="E1281" i="5"/>
  <c r="F1281" i="5" s="1"/>
  <c r="E1282" i="5"/>
  <c r="F1282" i="5" s="1"/>
  <c r="E1283" i="5"/>
  <c r="F1283" i="5" s="1"/>
  <c r="E1284" i="5"/>
  <c r="F1284" i="5" s="1"/>
  <c r="E1285" i="5"/>
  <c r="F1285" i="5" s="1"/>
  <c r="E1286" i="5"/>
  <c r="F1286" i="5" s="1"/>
  <c r="E1287" i="5"/>
  <c r="F1287" i="5" s="1"/>
  <c r="E1288" i="5"/>
  <c r="F1288" i="5" s="1"/>
  <c r="E1289" i="5"/>
  <c r="F1289" i="5" s="1"/>
  <c r="E1290" i="5"/>
  <c r="F1290" i="5" s="1"/>
  <c r="E1291" i="5"/>
  <c r="F1291" i="5" s="1"/>
  <c r="E1292" i="5"/>
  <c r="F1292" i="5" s="1"/>
  <c r="E1293" i="5"/>
  <c r="F1293" i="5" s="1"/>
  <c r="E1294" i="5"/>
  <c r="F1294" i="5" s="1"/>
  <c r="E1295" i="5"/>
  <c r="F1295" i="5" s="1"/>
  <c r="E1296" i="5"/>
  <c r="F1296" i="5" s="1"/>
  <c r="E1297" i="5"/>
  <c r="F1297" i="5" s="1"/>
  <c r="E1298" i="5"/>
  <c r="F1298" i="5" s="1"/>
  <c r="E1299" i="5"/>
  <c r="F1299" i="5" s="1"/>
  <c r="E1300" i="5"/>
  <c r="F1300" i="5" s="1"/>
  <c r="E1301" i="5"/>
  <c r="F1301" i="5" s="1"/>
  <c r="E1302" i="5"/>
  <c r="F1302" i="5" s="1"/>
  <c r="E1303" i="5"/>
  <c r="F1303" i="5" s="1"/>
  <c r="E1304" i="5"/>
  <c r="F1304" i="5" s="1"/>
  <c r="E1305" i="5"/>
  <c r="F1305" i="5" s="1"/>
  <c r="E1306" i="5"/>
  <c r="F1306" i="5" s="1"/>
  <c r="E1307" i="5"/>
  <c r="F1307" i="5" s="1"/>
  <c r="E1308" i="5"/>
  <c r="F1308" i="5" s="1"/>
  <c r="E1309" i="5"/>
  <c r="F1309" i="5" s="1"/>
  <c r="E1310" i="5"/>
  <c r="F1310" i="5" s="1"/>
  <c r="E1311" i="5"/>
  <c r="F1311" i="5" s="1"/>
  <c r="E1312" i="5"/>
  <c r="F1312" i="5" s="1"/>
  <c r="E1313" i="5"/>
  <c r="F1313" i="5" s="1"/>
  <c r="E1314" i="5"/>
  <c r="F1314" i="5" s="1"/>
  <c r="E1315" i="5"/>
  <c r="F1315" i="5" s="1"/>
  <c r="E1316" i="5"/>
  <c r="F1316" i="5" s="1"/>
  <c r="E1317" i="5"/>
  <c r="F1317" i="5" s="1"/>
  <c r="E1318" i="5"/>
  <c r="F1318" i="5" s="1"/>
  <c r="E1319" i="5"/>
  <c r="F1319" i="5" s="1"/>
  <c r="E1320" i="5"/>
  <c r="F1320" i="5" s="1"/>
  <c r="E1321" i="5"/>
  <c r="F1321" i="5" s="1"/>
  <c r="E1322" i="5"/>
  <c r="F1322" i="5" s="1"/>
  <c r="E1323" i="5"/>
  <c r="F1323" i="5" s="1"/>
  <c r="E1324" i="5"/>
  <c r="F1324" i="5" s="1"/>
  <c r="E1325" i="5"/>
  <c r="F1325" i="5" s="1"/>
  <c r="E1326" i="5"/>
  <c r="F1326" i="5" s="1"/>
  <c r="E1327" i="5"/>
  <c r="F1327" i="5" s="1"/>
  <c r="E1328" i="5"/>
  <c r="F1328" i="5" s="1"/>
  <c r="E1329" i="5"/>
  <c r="F1329" i="5" s="1"/>
  <c r="E1330" i="5"/>
  <c r="F1330" i="5" s="1"/>
  <c r="E1331" i="5"/>
  <c r="F1331" i="5" s="1"/>
  <c r="E1332" i="5"/>
  <c r="F1332" i="5" s="1"/>
  <c r="E1333" i="5"/>
  <c r="F1333" i="5" s="1"/>
  <c r="E1334" i="5"/>
  <c r="F1334" i="5" s="1"/>
  <c r="E1335" i="5"/>
  <c r="F1335" i="5" s="1"/>
  <c r="E1336" i="5"/>
  <c r="F1336" i="5" s="1"/>
  <c r="E1337" i="5"/>
  <c r="F1337" i="5" s="1"/>
  <c r="E1338" i="5"/>
  <c r="F1338" i="5" s="1"/>
  <c r="E1339" i="5"/>
  <c r="F1339" i="5" s="1"/>
  <c r="E1340" i="5"/>
  <c r="F1340" i="5" s="1"/>
  <c r="E1341" i="5"/>
  <c r="F1341" i="5" s="1"/>
  <c r="E1342" i="5"/>
  <c r="F1342" i="5" s="1"/>
  <c r="E1343" i="5"/>
  <c r="F1343" i="5" s="1"/>
  <c r="E1344" i="5"/>
  <c r="F1344" i="5" s="1"/>
  <c r="E1345" i="5"/>
  <c r="F1345" i="5" s="1"/>
  <c r="E1346" i="5"/>
  <c r="F1346" i="5" s="1"/>
  <c r="E1347" i="5"/>
  <c r="F1347" i="5" s="1"/>
  <c r="E1348" i="5"/>
  <c r="F1348" i="5" s="1"/>
  <c r="E1349" i="5"/>
  <c r="F1349" i="5" s="1"/>
  <c r="E1350" i="5"/>
  <c r="F1350" i="5" s="1"/>
  <c r="E1351" i="5"/>
  <c r="F1351" i="5" s="1"/>
  <c r="E1352" i="5"/>
  <c r="F1352" i="5" s="1"/>
  <c r="E1353" i="5"/>
  <c r="F1353" i="5" s="1"/>
  <c r="E1354" i="5"/>
  <c r="F1354" i="5" s="1"/>
  <c r="E1355" i="5"/>
  <c r="F1355" i="5" s="1"/>
  <c r="E1356" i="5"/>
  <c r="F1356" i="5" s="1"/>
  <c r="E1357" i="5"/>
  <c r="F1357" i="5" s="1"/>
  <c r="E1358" i="5"/>
  <c r="F1358" i="5" s="1"/>
  <c r="E1359" i="5"/>
  <c r="F1359" i="5" s="1"/>
  <c r="E1360" i="5"/>
  <c r="F1360" i="5" s="1"/>
  <c r="E1361" i="5"/>
  <c r="F1361" i="5" s="1"/>
  <c r="E1362" i="5"/>
  <c r="F1362" i="5" s="1"/>
  <c r="E1363" i="5"/>
  <c r="F1363" i="5" s="1"/>
  <c r="E1364" i="5"/>
  <c r="F1364" i="5" s="1"/>
  <c r="E1365" i="5"/>
  <c r="F1365" i="5" s="1"/>
  <c r="E1366" i="5"/>
  <c r="F1366" i="5" s="1"/>
  <c r="E1367" i="5"/>
  <c r="F1367" i="5" s="1"/>
  <c r="E1368" i="5"/>
  <c r="F1368" i="5" s="1"/>
  <c r="E1369" i="5"/>
  <c r="F1369" i="5" s="1"/>
  <c r="E1370" i="5"/>
  <c r="F1370" i="5" s="1"/>
  <c r="E1371" i="5"/>
  <c r="F1371" i="5" s="1"/>
  <c r="E1372" i="5"/>
  <c r="F1372" i="5" s="1"/>
  <c r="E1373" i="5"/>
  <c r="F1373" i="5" s="1"/>
  <c r="E1374" i="5"/>
  <c r="F1374" i="5" s="1"/>
  <c r="E1375" i="5"/>
  <c r="F1375" i="5" s="1"/>
  <c r="E1376" i="5"/>
  <c r="F1376" i="5" s="1"/>
  <c r="E1377" i="5"/>
  <c r="F1377" i="5" s="1"/>
  <c r="E1378" i="5"/>
  <c r="F1378" i="5" s="1"/>
  <c r="E1379" i="5"/>
  <c r="F1379" i="5" s="1"/>
  <c r="E1380" i="5"/>
  <c r="F1380" i="5" s="1"/>
  <c r="E1381" i="5"/>
  <c r="F1381" i="5" s="1"/>
  <c r="E1382" i="5"/>
  <c r="F1382" i="5" s="1"/>
  <c r="E1383" i="5"/>
  <c r="F1383" i="5" s="1"/>
  <c r="E1384" i="5"/>
  <c r="F1384" i="5" s="1"/>
  <c r="E1385" i="5"/>
  <c r="F1385" i="5" s="1"/>
  <c r="E1386" i="5"/>
  <c r="F1386" i="5" s="1"/>
  <c r="E1387" i="5"/>
  <c r="F1387" i="5" s="1"/>
  <c r="E1388" i="5"/>
  <c r="F1388" i="5" s="1"/>
  <c r="E1389" i="5"/>
  <c r="F1389" i="5" s="1"/>
  <c r="E1390" i="5"/>
  <c r="F1390" i="5" s="1"/>
  <c r="E1391" i="5"/>
  <c r="F1391" i="5" s="1"/>
  <c r="E1392" i="5"/>
  <c r="F1392" i="5" s="1"/>
  <c r="E1393" i="5"/>
  <c r="F1393" i="5" s="1"/>
  <c r="E1394" i="5"/>
  <c r="F1394" i="5" s="1"/>
  <c r="E1395" i="5"/>
  <c r="F1395" i="5" s="1"/>
  <c r="E1396" i="5"/>
  <c r="F1396" i="5" s="1"/>
  <c r="E1397" i="5"/>
  <c r="F1397" i="5" s="1"/>
  <c r="E1398" i="5"/>
  <c r="F1398" i="5" s="1"/>
  <c r="E1399" i="5"/>
  <c r="F1399" i="5" s="1"/>
  <c r="E1400" i="5"/>
  <c r="F1400" i="5" s="1"/>
  <c r="E1401" i="5"/>
  <c r="F1401" i="5" s="1"/>
  <c r="E1402" i="5"/>
  <c r="F1402" i="5" s="1"/>
  <c r="E1403" i="5"/>
  <c r="F1403" i="5" s="1"/>
  <c r="E1404" i="5"/>
  <c r="F1404" i="5" s="1"/>
  <c r="E1405" i="5"/>
  <c r="F1405" i="5" s="1"/>
  <c r="E1406" i="5"/>
  <c r="F1406" i="5" s="1"/>
  <c r="E1407" i="5"/>
  <c r="F1407" i="5" s="1"/>
  <c r="E1408" i="5"/>
  <c r="F1408" i="5" s="1"/>
  <c r="E1409" i="5"/>
  <c r="F1409" i="5" s="1"/>
  <c r="E1410" i="5"/>
  <c r="F1410" i="5" s="1"/>
  <c r="E1411" i="5"/>
  <c r="F1411" i="5" s="1"/>
  <c r="E1412" i="5"/>
  <c r="F1412" i="5" s="1"/>
  <c r="E1413" i="5"/>
  <c r="F1413" i="5" s="1"/>
  <c r="E1414" i="5"/>
  <c r="F1414" i="5" s="1"/>
  <c r="E1415" i="5"/>
  <c r="F1415" i="5" s="1"/>
  <c r="E1416" i="5"/>
  <c r="F1416" i="5" s="1"/>
  <c r="E1417" i="5"/>
  <c r="F1417" i="5" s="1"/>
  <c r="E1418" i="5"/>
  <c r="F1418" i="5" s="1"/>
  <c r="E1419" i="5"/>
  <c r="F1419" i="5" s="1"/>
  <c r="E1420" i="5"/>
  <c r="F1420" i="5" s="1"/>
  <c r="E1421" i="5"/>
  <c r="F1421" i="5" s="1"/>
  <c r="E1422" i="5"/>
  <c r="F1422" i="5" s="1"/>
  <c r="E1423" i="5"/>
  <c r="F1423" i="5" s="1"/>
  <c r="E1424" i="5"/>
  <c r="F1424" i="5" s="1"/>
  <c r="E1425" i="5"/>
  <c r="F1425" i="5" s="1"/>
  <c r="E1426" i="5"/>
  <c r="F1426" i="5" s="1"/>
  <c r="E1427" i="5"/>
  <c r="F1427" i="5" s="1"/>
  <c r="E1428" i="5"/>
  <c r="F1428" i="5" s="1"/>
  <c r="E1429" i="5"/>
  <c r="F1429" i="5" s="1"/>
  <c r="E1430" i="5"/>
  <c r="F1430" i="5" s="1"/>
  <c r="E1431" i="5"/>
  <c r="F1431" i="5" s="1"/>
  <c r="E1432" i="5"/>
  <c r="F1432" i="5" s="1"/>
  <c r="E1433" i="5"/>
  <c r="F1433" i="5" s="1"/>
  <c r="E1434" i="5"/>
  <c r="F1434" i="5" s="1"/>
  <c r="E1435" i="5"/>
  <c r="F1435" i="5" s="1"/>
  <c r="E1436" i="5"/>
  <c r="F1436" i="5" s="1"/>
  <c r="E1437" i="5"/>
  <c r="F1437" i="5" s="1"/>
  <c r="E1438" i="5"/>
  <c r="F1438" i="5" s="1"/>
  <c r="E1439" i="5"/>
  <c r="F1439" i="5" s="1"/>
  <c r="E1440" i="5"/>
  <c r="F1440" i="5" s="1"/>
  <c r="E1441" i="5"/>
  <c r="F1441" i="5" s="1"/>
  <c r="E1442" i="5"/>
  <c r="F1442" i="5" s="1"/>
  <c r="E1443" i="5"/>
  <c r="F1443" i="5" s="1"/>
  <c r="E1444" i="5"/>
  <c r="F1444" i="5" s="1"/>
  <c r="E1445" i="5"/>
  <c r="F1445" i="5" s="1"/>
  <c r="E1446" i="5"/>
  <c r="F1446" i="5" s="1"/>
  <c r="E1447" i="5"/>
  <c r="F1447" i="5" s="1"/>
  <c r="E1448" i="5"/>
  <c r="F1448" i="5" s="1"/>
  <c r="E1449" i="5"/>
  <c r="F1449" i="5" s="1"/>
  <c r="E1450" i="5"/>
  <c r="F1450" i="5" s="1"/>
  <c r="E1451" i="5"/>
  <c r="F1451" i="5" s="1"/>
  <c r="E1452" i="5"/>
  <c r="F1452" i="5" s="1"/>
  <c r="E1453" i="5"/>
  <c r="F1453" i="5" s="1"/>
  <c r="E1454" i="5"/>
  <c r="F1454" i="5" s="1"/>
  <c r="E1455" i="5"/>
  <c r="F1455" i="5" s="1"/>
  <c r="E1456" i="5"/>
  <c r="F1456" i="5" s="1"/>
  <c r="E1457" i="5"/>
  <c r="F1457" i="5" s="1"/>
  <c r="E1458" i="5"/>
  <c r="F1458" i="5" s="1"/>
  <c r="E1459" i="5"/>
  <c r="F1459" i="5" s="1"/>
  <c r="E1460" i="5"/>
  <c r="F1460" i="5" s="1"/>
  <c r="E1461" i="5"/>
  <c r="F1461" i="5" s="1"/>
  <c r="E1462" i="5"/>
  <c r="F1462" i="5" s="1"/>
  <c r="E1463" i="5"/>
  <c r="F1463" i="5" s="1"/>
  <c r="E1464" i="5"/>
  <c r="F1464" i="5" s="1"/>
  <c r="E1465" i="5"/>
  <c r="F1465" i="5" s="1"/>
  <c r="E1466" i="5"/>
  <c r="F1466" i="5" s="1"/>
  <c r="E1467" i="5"/>
  <c r="F1467" i="5" s="1"/>
  <c r="E1468" i="5"/>
  <c r="F1468" i="5" s="1"/>
  <c r="E1469" i="5"/>
  <c r="F1469" i="5" s="1"/>
  <c r="E1470" i="5"/>
  <c r="F1470" i="5" s="1"/>
  <c r="E1471" i="5"/>
  <c r="F1471" i="5" s="1"/>
  <c r="E1472" i="5"/>
  <c r="F1472" i="5" s="1"/>
  <c r="E1473" i="5"/>
  <c r="F1473" i="5" s="1"/>
  <c r="E1474" i="5"/>
  <c r="F1474" i="5" s="1"/>
  <c r="E1475" i="5"/>
  <c r="F1475" i="5" s="1"/>
  <c r="E1476" i="5"/>
  <c r="F1476" i="5" s="1"/>
  <c r="E1477" i="5"/>
  <c r="F1477" i="5" s="1"/>
  <c r="E1478" i="5"/>
  <c r="F1478" i="5" s="1"/>
  <c r="E1479" i="5"/>
  <c r="F1479" i="5" s="1"/>
  <c r="E1480" i="5"/>
  <c r="F1480" i="5" s="1"/>
  <c r="E1481" i="5"/>
  <c r="F1481" i="5" s="1"/>
  <c r="E1482" i="5"/>
  <c r="F1482" i="5" s="1"/>
  <c r="E1483" i="5"/>
  <c r="F1483" i="5" s="1"/>
  <c r="E1484" i="5"/>
  <c r="F1484" i="5" s="1"/>
  <c r="E1485" i="5"/>
  <c r="F1485" i="5" s="1"/>
  <c r="E1486" i="5"/>
  <c r="F1486" i="5" s="1"/>
  <c r="E1487" i="5"/>
  <c r="F1487" i="5" s="1"/>
  <c r="E1488" i="5"/>
  <c r="F1488" i="5" s="1"/>
  <c r="E1489" i="5"/>
  <c r="F1489" i="5" s="1"/>
  <c r="E1490" i="5"/>
  <c r="F1490" i="5" s="1"/>
  <c r="E1491" i="5"/>
  <c r="F1491" i="5" s="1"/>
  <c r="E1492" i="5"/>
  <c r="F1492" i="5" s="1"/>
  <c r="E1493" i="5"/>
  <c r="F1493" i="5" s="1"/>
  <c r="E1494" i="5"/>
  <c r="F1494" i="5" s="1"/>
  <c r="E1495" i="5"/>
  <c r="F1495" i="5" s="1"/>
  <c r="E1496" i="5"/>
  <c r="F1496" i="5" s="1"/>
  <c r="E1497" i="5"/>
  <c r="F1497" i="5" s="1"/>
  <c r="E1498" i="5"/>
  <c r="F1498" i="5" s="1"/>
  <c r="E1499" i="5"/>
  <c r="F1499" i="5" s="1"/>
  <c r="E1500" i="5"/>
  <c r="F1500" i="5" s="1"/>
  <c r="E1501" i="5"/>
  <c r="F1501" i="5" s="1"/>
  <c r="E1502" i="5"/>
  <c r="F1502" i="5" s="1"/>
  <c r="E1503" i="5"/>
  <c r="F1503" i="5" s="1"/>
  <c r="E1504" i="5"/>
  <c r="F1504" i="5" s="1"/>
  <c r="E1505" i="5"/>
  <c r="F1505" i="5" s="1"/>
  <c r="E1506" i="5"/>
  <c r="F1506" i="5" s="1"/>
  <c r="E1507" i="5"/>
  <c r="F1507" i="5" s="1"/>
  <c r="E1508" i="5"/>
  <c r="F1508" i="5" s="1"/>
  <c r="E1509" i="5"/>
  <c r="F1509" i="5" s="1"/>
  <c r="E1510" i="5"/>
  <c r="F1510" i="5" s="1"/>
  <c r="E1511" i="5"/>
  <c r="F1511" i="5" s="1"/>
  <c r="E1512" i="5"/>
  <c r="F1512" i="5" s="1"/>
  <c r="E1513" i="5"/>
  <c r="F1513" i="5" s="1"/>
  <c r="E1514" i="5"/>
  <c r="F1514" i="5" s="1"/>
  <c r="E1515" i="5"/>
  <c r="F1515" i="5" s="1"/>
  <c r="E1516" i="5"/>
  <c r="F1516" i="5" s="1"/>
  <c r="E1517" i="5"/>
  <c r="F1517" i="5" s="1"/>
  <c r="E1518" i="5"/>
  <c r="F1518" i="5" s="1"/>
  <c r="E1519" i="5"/>
  <c r="F1519" i="5" s="1"/>
  <c r="E1520" i="5"/>
  <c r="F1520" i="5" s="1"/>
  <c r="E1521" i="5"/>
  <c r="F1521" i="5" s="1"/>
  <c r="E1522" i="5"/>
  <c r="F1522" i="5" s="1"/>
  <c r="E1523" i="5"/>
  <c r="F1523" i="5" s="1"/>
  <c r="E1524" i="5"/>
  <c r="F1524" i="5" s="1"/>
  <c r="E1525" i="5"/>
  <c r="F1525" i="5" s="1"/>
  <c r="E1526" i="5"/>
  <c r="F1526" i="5" s="1"/>
  <c r="E1527" i="5"/>
  <c r="F1527" i="5" s="1"/>
  <c r="E1528" i="5"/>
  <c r="F1528" i="5" s="1"/>
  <c r="E1529" i="5"/>
  <c r="F1529" i="5" s="1"/>
  <c r="E1530" i="5"/>
  <c r="F1530" i="5" s="1"/>
  <c r="E1531" i="5"/>
  <c r="F1531" i="5" s="1"/>
  <c r="E1532" i="5"/>
  <c r="F1532" i="5" s="1"/>
  <c r="E1533" i="5"/>
  <c r="F1533" i="5" s="1"/>
  <c r="E1534" i="5"/>
  <c r="F1534" i="5" s="1"/>
  <c r="E1535" i="5"/>
  <c r="F1535" i="5" s="1"/>
  <c r="E1536" i="5"/>
  <c r="F1536" i="5" s="1"/>
  <c r="E1537" i="5"/>
  <c r="F1537" i="5" s="1"/>
  <c r="E1538" i="5"/>
  <c r="F1538" i="5" s="1"/>
  <c r="E1539" i="5"/>
  <c r="F1539" i="5" s="1"/>
  <c r="E1540" i="5"/>
  <c r="F1540" i="5" s="1"/>
  <c r="E1541" i="5"/>
  <c r="F1541" i="5" s="1"/>
  <c r="E1542" i="5"/>
  <c r="F1542" i="5" s="1"/>
  <c r="E1543" i="5"/>
  <c r="F1543" i="5" s="1"/>
  <c r="E1544" i="5"/>
  <c r="F1544" i="5" s="1"/>
  <c r="E1545" i="5"/>
  <c r="F1545" i="5" s="1"/>
  <c r="E1546" i="5"/>
  <c r="F1546" i="5" s="1"/>
  <c r="E1547" i="5"/>
  <c r="F1547" i="5" s="1"/>
  <c r="E1548" i="5"/>
  <c r="F1548" i="5" s="1"/>
  <c r="E1549" i="5"/>
  <c r="F1549" i="5" s="1"/>
  <c r="E1550" i="5"/>
  <c r="F1550" i="5" s="1"/>
  <c r="E1551" i="5"/>
  <c r="F1551" i="5" s="1"/>
  <c r="E1552" i="5"/>
  <c r="F1552" i="5" s="1"/>
  <c r="E1553" i="5"/>
  <c r="F1553" i="5" s="1"/>
  <c r="E1554" i="5"/>
  <c r="F1554" i="5" s="1"/>
  <c r="E1555" i="5"/>
  <c r="F1555" i="5" s="1"/>
  <c r="E1556" i="5"/>
  <c r="F1556" i="5" s="1"/>
  <c r="E1557" i="5"/>
  <c r="F1557" i="5" s="1"/>
  <c r="E1558" i="5"/>
  <c r="F1558" i="5" s="1"/>
  <c r="E1559" i="5"/>
  <c r="F1559" i="5" s="1"/>
  <c r="E1560" i="5"/>
  <c r="F1560" i="5" s="1"/>
  <c r="E1561" i="5"/>
  <c r="F1561" i="5" s="1"/>
  <c r="E1562" i="5"/>
  <c r="F1562" i="5" s="1"/>
  <c r="E1563" i="5"/>
  <c r="F1563" i="5" s="1"/>
  <c r="E1564" i="5"/>
  <c r="F1564" i="5" s="1"/>
  <c r="E1565" i="5"/>
  <c r="F1565" i="5" s="1"/>
  <c r="E1566" i="5"/>
  <c r="F1566" i="5" s="1"/>
  <c r="E1567" i="5"/>
  <c r="F1567" i="5" s="1"/>
  <c r="E1568" i="5"/>
  <c r="F1568" i="5" s="1"/>
  <c r="E1569" i="5"/>
  <c r="F1569" i="5" s="1"/>
  <c r="E1570" i="5"/>
  <c r="F1570" i="5" s="1"/>
  <c r="E1571" i="5"/>
  <c r="F1571" i="5" s="1"/>
  <c r="E1572" i="5"/>
  <c r="F1572" i="5" s="1"/>
  <c r="E1573" i="5"/>
  <c r="F1573" i="5" s="1"/>
  <c r="E1574" i="5"/>
  <c r="F1574" i="5" s="1"/>
  <c r="E1575" i="5"/>
  <c r="F1575" i="5" s="1"/>
  <c r="E1576" i="5"/>
  <c r="F1576" i="5" s="1"/>
  <c r="E1577" i="5"/>
  <c r="F1577" i="5" s="1"/>
  <c r="E1578" i="5"/>
  <c r="F1578" i="5" s="1"/>
  <c r="E1579" i="5"/>
  <c r="F1579" i="5" s="1"/>
  <c r="E1580" i="5"/>
  <c r="F1580" i="5" s="1"/>
  <c r="E1581" i="5"/>
  <c r="F1581" i="5" s="1"/>
  <c r="E1582" i="5"/>
  <c r="F1582" i="5" s="1"/>
  <c r="E1583" i="5"/>
  <c r="F1583" i="5" s="1"/>
  <c r="E1584" i="5"/>
  <c r="F1584" i="5" s="1"/>
  <c r="E1585" i="5"/>
  <c r="F1585" i="5" s="1"/>
  <c r="E1586" i="5"/>
  <c r="F1586" i="5" s="1"/>
  <c r="E1587" i="5"/>
  <c r="F1587" i="5" s="1"/>
  <c r="E1588" i="5"/>
  <c r="F1588" i="5" s="1"/>
  <c r="E1589" i="5"/>
  <c r="F1589" i="5" s="1"/>
  <c r="E1590" i="5"/>
  <c r="F1590" i="5" s="1"/>
  <c r="E1591" i="5"/>
  <c r="F1591" i="5" s="1"/>
  <c r="E1592" i="5"/>
  <c r="F1592" i="5" s="1"/>
  <c r="E1593" i="5"/>
  <c r="F1593" i="5" s="1"/>
  <c r="E1594" i="5"/>
  <c r="F1594" i="5" s="1"/>
  <c r="E1595" i="5"/>
  <c r="F1595" i="5" s="1"/>
  <c r="E1596" i="5"/>
  <c r="F1596" i="5" s="1"/>
  <c r="E1597" i="5"/>
  <c r="F1597" i="5" s="1"/>
  <c r="E1598" i="5"/>
  <c r="F1598" i="5" s="1"/>
  <c r="E1599" i="5"/>
  <c r="F1599" i="5" s="1"/>
  <c r="E1600" i="5"/>
  <c r="F1600" i="5" s="1"/>
  <c r="E1601" i="5"/>
  <c r="F1601" i="5" s="1"/>
  <c r="E1602" i="5"/>
  <c r="F1602" i="5" s="1"/>
  <c r="E1603" i="5"/>
  <c r="F1603" i="5" s="1"/>
  <c r="E1604" i="5"/>
  <c r="F1604" i="5" s="1"/>
  <c r="E1605" i="5"/>
  <c r="F1605" i="5" s="1"/>
  <c r="E1606" i="5"/>
  <c r="F1606" i="5" s="1"/>
  <c r="E1607" i="5"/>
  <c r="F1607" i="5" s="1"/>
  <c r="E1608" i="5"/>
  <c r="F1608" i="5" s="1"/>
  <c r="E1609" i="5"/>
  <c r="F1609" i="5" s="1"/>
  <c r="E1610" i="5"/>
  <c r="F1610" i="5" s="1"/>
  <c r="E1611" i="5"/>
  <c r="F1611" i="5" s="1"/>
  <c r="E1612" i="5"/>
  <c r="F1612" i="5" s="1"/>
  <c r="E1613" i="5"/>
  <c r="F1613" i="5" s="1"/>
  <c r="E1614" i="5"/>
  <c r="F1614" i="5" s="1"/>
  <c r="E1615" i="5"/>
  <c r="F1615" i="5" s="1"/>
  <c r="E1616" i="5"/>
  <c r="F1616" i="5" s="1"/>
  <c r="E1617" i="5"/>
  <c r="F1617" i="5" s="1"/>
  <c r="E1618" i="5"/>
  <c r="F1618" i="5" s="1"/>
  <c r="E1619" i="5"/>
  <c r="F1619" i="5" s="1"/>
  <c r="E1620" i="5"/>
  <c r="F1620" i="5" s="1"/>
  <c r="E1621" i="5"/>
  <c r="F1621" i="5" s="1"/>
  <c r="E1622" i="5"/>
  <c r="F1622" i="5" s="1"/>
  <c r="E1623" i="5"/>
  <c r="F1623" i="5" s="1"/>
  <c r="E1624" i="5"/>
  <c r="F1624" i="5" s="1"/>
  <c r="E1625" i="5"/>
  <c r="F1625" i="5" s="1"/>
  <c r="E1626" i="5"/>
  <c r="F1626" i="5" s="1"/>
  <c r="E1627" i="5"/>
  <c r="F1627" i="5" s="1"/>
  <c r="E1628" i="5"/>
  <c r="F1628" i="5" s="1"/>
  <c r="E1629" i="5"/>
  <c r="F1629" i="5" s="1"/>
  <c r="E1630" i="5"/>
  <c r="F1630" i="5" s="1"/>
  <c r="E1631" i="5"/>
  <c r="F1631" i="5" s="1"/>
  <c r="E1632" i="5"/>
  <c r="F1632" i="5" s="1"/>
  <c r="E1633" i="5"/>
  <c r="F1633" i="5" s="1"/>
  <c r="E1634" i="5"/>
  <c r="F1634" i="5" s="1"/>
  <c r="E1635" i="5"/>
  <c r="F1635" i="5" s="1"/>
  <c r="E1636" i="5"/>
  <c r="F1636" i="5" s="1"/>
  <c r="E1637" i="5"/>
  <c r="F1637" i="5" s="1"/>
  <c r="E1638" i="5"/>
  <c r="F1638" i="5" s="1"/>
  <c r="E1639" i="5"/>
  <c r="F1639" i="5" s="1"/>
  <c r="E1640" i="5"/>
  <c r="F1640" i="5" s="1"/>
  <c r="E1641" i="5"/>
  <c r="F1641" i="5" s="1"/>
  <c r="E1642" i="5"/>
  <c r="F1642" i="5" s="1"/>
  <c r="E1643" i="5"/>
  <c r="F1643" i="5" s="1"/>
  <c r="E1644" i="5"/>
  <c r="F1644" i="5" s="1"/>
  <c r="E1645" i="5"/>
  <c r="F1645" i="5" s="1"/>
  <c r="E1646" i="5"/>
  <c r="F1646" i="5" s="1"/>
  <c r="E1647" i="5"/>
  <c r="F1647" i="5" s="1"/>
  <c r="E1648" i="5"/>
  <c r="F1648" i="5" s="1"/>
  <c r="E1649" i="5"/>
  <c r="F1649" i="5" s="1"/>
  <c r="E1650" i="5"/>
  <c r="F1650" i="5" s="1"/>
  <c r="E1651" i="5"/>
  <c r="F1651" i="5" s="1"/>
  <c r="E1652" i="5"/>
  <c r="F1652" i="5" s="1"/>
  <c r="E1653" i="5"/>
  <c r="F1653" i="5" s="1"/>
  <c r="E1654" i="5"/>
  <c r="F1654" i="5" s="1"/>
  <c r="E1655" i="5"/>
  <c r="F1655" i="5" s="1"/>
  <c r="E1656" i="5"/>
  <c r="F1656" i="5" s="1"/>
  <c r="E1657" i="5"/>
  <c r="F1657" i="5" s="1"/>
  <c r="E1658" i="5"/>
  <c r="F1658" i="5" s="1"/>
  <c r="E1659" i="5"/>
  <c r="F1659" i="5" s="1"/>
  <c r="E1660" i="5"/>
  <c r="F1660" i="5" s="1"/>
  <c r="E1661" i="5"/>
  <c r="F1661" i="5" s="1"/>
  <c r="E1662" i="5"/>
  <c r="F1662" i="5" s="1"/>
  <c r="E1663" i="5"/>
  <c r="F1663" i="5" s="1"/>
  <c r="E1664" i="5"/>
  <c r="F1664" i="5" s="1"/>
  <c r="E1665" i="5"/>
  <c r="F1665" i="5" s="1"/>
  <c r="E1666" i="5"/>
  <c r="F1666" i="5" s="1"/>
  <c r="E1667" i="5"/>
  <c r="F1667" i="5" s="1"/>
  <c r="E1668" i="5"/>
  <c r="F1668" i="5" s="1"/>
  <c r="E1669" i="5"/>
  <c r="F1669" i="5" s="1"/>
  <c r="E1670" i="5"/>
  <c r="F1670" i="5" s="1"/>
  <c r="E1671" i="5"/>
  <c r="F1671" i="5" s="1"/>
  <c r="E1672" i="5"/>
  <c r="F1672" i="5" s="1"/>
  <c r="E1673" i="5"/>
  <c r="F1673" i="5" s="1"/>
  <c r="E1674" i="5"/>
  <c r="F1674" i="5" s="1"/>
  <c r="E1675" i="5"/>
  <c r="F1675" i="5" s="1"/>
  <c r="E1676" i="5"/>
  <c r="F1676" i="5" s="1"/>
  <c r="E1677" i="5"/>
  <c r="F1677" i="5" s="1"/>
  <c r="E1678" i="5"/>
  <c r="F1678" i="5" s="1"/>
  <c r="E1679" i="5"/>
  <c r="F1679" i="5" s="1"/>
  <c r="E1680" i="5"/>
  <c r="F1680" i="5" s="1"/>
  <c r="E1681" i="5"/>
  <c r="F1681" i="5" s="1"/>
  <c r="E1682" i="5"/>
  <c r="F1682" i="5" s="1"/>
  <c r="E1683" i="5"/>
  <c r="F1683" i="5" s="1"/>
  <c r="E1684" i="5"/>
  <c r="F1684" i="5" s="1"/>
  <c r="E1685" i="5"/>
  <c r="F1685" i="5" s="1"/>
  <c r="E1686" i="5"/>
  <c r="F1686" i="5" s="1"/>
  <c r="E1687" i="5"/>
  <c r="F1687" i="5" s="1"/>
  <c r="E1688" i="5"/>
  <c r="F1688" i="5" s="1"/>
  <c r="E1689" i="5"/>
  <c r="F1689" i="5" s="1"/>
  <c r="E1690" i="5"/>
  <c r="F1690" i="5" s="1"/>
  <c r="E1691" i="5"/>
  <c r="F1691" i="5" s="1"/>
  <c r="E1692" i="5"/>
  <c r="F1692" i="5" s="1"/>
  <c r="E1693" i="5"/>
  <c r="F1693" i="5" s="1"/>
  <c r="E1694" i="5"/>
  <c r="F1694" i="5" s="1"/>
  <c r="E1695" i="5"/>
  <c r="F1695" i="5" s="1"/>
  <c r="E1696" i="5"/>
  <c r="F1696" i="5" s="1"/>
  <c r="E1697" i="5"/>
  <c r="F1697" i="5" s="1"/>
  <c r="E1698" i="5"/>
  <c r="F1698" i="5" s="1"/>
  <c r="E1699" i="5"/>
  <c r="F1699" i="5" s="1"/>
  <c r="E1700" i="5"/>
  <c r="F1700" i="5" s="1"/>
  <c r="E1701" i="5"/>
  <c r="F1701" i="5" s="1"/>
  <c r="E1702" i="5"/>
  <c r="F1702" i="5" s="1"/>
  <c r="E1703" i="5"/>
  <c r="F1703" i="5" s="1"/>
  <c r="E1704" i="5"/>
  <c r="F1704" i="5" s="1"/>
  <c r="E1705" i="5"/>
  <c r="F1705" i="5" s="1"/>
  <c r="E1706" i="5"/>
  <c r="F1706" i="5" s="1"/>
  <c r="E1707" i="5"/>
  <c r="F1707" i="5" s="1"/>
  <c r="E1708" i="5"/>
  <c r="F1708" i="5" s="1"/>
  <c r="E1709" i="5"/>
  <c r="F1709" i="5" s="1"/>
  <c r="E1710" i="5"/>
  <c r="F1710" i="5" s="1"/>
  <c r="E1711" i="5"/>
  <c r="F1711" i="5" s="1"/>
  <c r="E1712" i="5"/>
  <c r="F1712" i="5" s="1"/>
  <c r="E1713" i="5"/>
  <c r="F1713" i="5" s="1"/>
  <c r="E1714" i="5"/>
  <c r="F1714" i="5" s="1"/>
  <c r="E1715" i="5"/>
  <c r="F1715" i="5" s="1"/>
  <c r="E1716" i="5"/>
  <c r="F1716" i="5" s="1"/>
  <c r="E1717" i="5"/>
  <c r="F1717" i="5" s="1"/>
  <c r="E1718" i="5"/>
  <c r="F1718" i="5" s="1"/>
  <c r="E1719" i="5"/>
  <c r="F1719" i="5" s="1"/>
  <c r="E1720" i="5"/>
  <c r="F1720" i="5" s="1"/>
  <c r="E1721" i="5"/>
  <c r="F1721" i="5" s="1"/>
  <c r="E1722" i="5"/>
  <c r="F1722" i="5" s="1"/>
  <c r="E1723" i="5"/>
  <c r="F1723" i="5" s="1"/>
  <c r="E1724" i="5"/>
  <c r="F1724" i="5" s="1"/>
  <c r="E1725" i="5"/>
  <c r="F1725" i="5" s="1"/>
  <c r="E1726" i="5"/>
  <c r="F1726" i="5" s="1"/>
  <c r="E1727" i="5"/>
  <c r="F1727" i="5" s="1"/>
  <c r="E1728" i="5"/>
  <c r="F1728" i="5" s="1"/>
  <c r="E1729" i="5"/>
  <c r="F1729" i="5" s="1"/>
  <c r="E1730" i="5"/>
  <c r="F1730" i="5" s="1"/>
  <c r="E1731" i="5"/>
  <c r="F1731" i="5" s="1"/>
  <c r="E1732" i="5"/>
  <c r="F1732" i="5" s="1"/>
  <c r="E1733" i="5"/>
  <c r="F1733" i="5" s="1"/>
  <c r="E1734" i="5"/>
  <c r="F1734" i="5" s="1"/>
  <c r="E1735" i="5"/>
  <c r="F1735" i="5" s="1"/>
  <c r="E1736" i="5"/>
  <c r="F1736" i="5" s="1"/>
  <c r="E1737" i="5"/>
  <c r="F1737" i="5" s="1"/>
  <c r="E1738" i="5"/>
  <c r="F1738" i="5" s="1"/>
  <c r="E1739" i="5"/>
  <c r="F1739" i="5" s="1"/>
  <c r="E1740" i="5"/>
  <c r="F1740" i="5" s="1"/>
  <c r="E1741" i="5"/>
  <c r="F1741" i="5" s="1"/>
  <c r="E1742" i="5"/>
  <c r="F1742" i="5" s="1"/>
  <c r="E1743" i="5"/>
  <c r="F1743" i="5" s="1"/>
  <c r="E1744" i="5"/>
  <c r="F1744" i="5" s="1"/>
  <c r="E1745" i="5"/>
  <c r="F1745" i="5" s="1"/>
  <c r="E1746" i="5"/>
  <c r="F1746" i="5" s="1"/>
  <c r="E1747" i="5"/>
  <c r="F1747" i="5" s="1"/>
  <c r="E1748" i="5"/>
  <c r="F1748" i="5" s="1"/>
  <c r="E1749" i="5"/>
  <c r="F1749" i="5" s="1"/>
  <c r="E1750" i="5"/>
  <c r="F1750" i="5" s="1"/>
  <c r="E1751" i="5"/>
  <c r="F1751" i="5" s="1"/>
  <c r="E1752" i="5"/>
  <c r="F1752" i="5" s="1"/>
  <c r="E1753" i="5"/>
  <c r="F1753" i="5" s="1"/>
  <c r="E1754" i="5"/>
  <c r="F1754" i="5" s="1"/>
  <c r="E1755" i="5"/>
  <c r="F1755" i="5" s="1"/>
  <c r="E1756" i="5"/>
  <c r="F1756" i="5" s="1"/>
  <c r="E1757" i="5"/>
  <c r="F1757" i="5" s="1"/>
  <c r="E1758" i="5"/>
  <c r="F1758" i="5" s="1"/>
  <c r="E1759" i="5"/>
  <c r="F1759" i="5" s="1"/>
  <c r="E1760" i="5"/>
  <c r="F1760" i="5" s="1"/>
  <c r="E1761" i="5"/>
  <c r="F1761" i="5" s="1"/>
  <c r="E1762" i="5"/>
  <c r="F1762" i="5" s="1"/>
  <c r="E1763" i="5"/>
  <c r="F1763" i="5" s="1"/>
  <c r="E1764" i="5"/>
  <c r="F1764" i="5" s="1"/>
  <c r="E1765" i="5"/>
  <c r="F1765" i="5" s="1"/>
  <c r="E1766" i="5"/>
  <c r="F1766" i="5" s="1"/>
  <c r="E1767" i="5"/>
  <c r="F1767" i="5" s="1"/>
  <c r="E1768" i="5"/>
  <c r="F1768" i="5" s="1"/>
  <c r="E1769" i="5"/>
  <c r="F1769" i="5" s="1"/>
  <c r="E1770" i="5"/>
  <c r="F1770" i="5" s="1"/>
  <c r="E1771" i="5"/>
  <c r="F1771" i="5" s="1"/>
  <c r="E1772" i="5"/>
  <c r="F1772" i="5" s="1"/>
  <c r="E1773" i="5"/>
  <c r="F1773" i="5" s="1"/>
  <c r="E1774" i="5"/>
  <c r="F1774" i="5" s="1"/>
  <c r="E1775" i="5"/>
  <c r="F1775" i="5" s="1"/>
  <c r="E1776" i="5"/>
  <c r="F1776" i="5" s="1"/>
  <c r="E1777" i="5"/>
  <c r="F1777" i="5" s="1"/>
  <c r="E1778" i="5"/>
  <c r="F1778" i="5" s="1"/>
  <c r="E1779" i="5"/>
  <c r="F1779" i="5" s="1"/>
  <c r="E1780" i="5"/>
  <c r="F1780" i="5" s="1"/>
  <c r="E1781" i="5"/>
  <c r="F1781" i="5" s="1"/>
  <c r="E1782" i="5"/>
  <c r="F1782" i="5" s="1"/>
  <c r="E1783" i="5"/>
  <c r="F1783" i="5" s="1"/>
  <c r="E1784" i="5"/>
  <c r="F1784" i="5" s="1"/>
  <c r="E1785" i="5"/>
  <c r="F1785" i="5" s="1"/>
  <c r="E1786" i="5"/>
  <c r="F1786" i="5" s="1"/>
  <c r="E1787" i="5"/>
  <c r="F1787" i="5" s="1"/>
  <c r="E1788" i="5"/>
  <c r="F1788" i="5" s="1"/>
  <c r="E1789" i="5"/>
  <c r="F1789" i="5" s="1"/>
  <c r="E1790" i="5"/>
  <c r="F1790" i="5" s="1"/>
  <c r="E1791" i="5"/>
  <c r="F1791" i="5" s="1"/>
  <c r="E1792" i="5"/>
  <c r="F1792" i="5" s="1"/>
  <c r="E1793" i="5"/>
  <c r="F1793" i="5" s="1"/>
  <c r="E1794" i="5"/>
  <c r="F1794" i="5" s="1"/>
  <c r="E1795" i="5"/>
  <c r="F1795" i="5" s="1"/>
  <c r="E1796" i="5"/>
  <c r="F1796" i="5" s="1"/>
  <c r="E1797" i="5"/>
  <c r="F1797" i="5" s="1"/>
  <c r="E1798" i="5"/>
  <c r="F1798" i="5" s="1"/>
  <c r="E1799" i="5"/>
  <c r="F1799" i="5" s="1"/>
  <c r="E1800" i="5"/>
  <c r="F1800" i="5" s="1"/>
  <c r="E1801" i="5"/>
  <c r="F1801" i="5" s="1"/>
  <c r="E1802" i="5"/>
  <c r="F1802" i="5" s="1"/>
  <c r="E1803" i="5"/>
  <c r="F1803" i="5" s="1"/>
  <c r="E1804" i="5"/>
  <c r="F1804" i="5" s="1"/>
  <c r="E1805" i="5"/>
  <c r="F1805" i="5" s="1"/>
  <c r="E1806" i="5"/>
  <c r="F1806" i="5" s="1"/>
  <c r="E1807" i="5"/>
  <c r="F1807" i="5" s="1"/>
  <c r="E1808" i="5"/>
  <c r="F1808" i="5" s="1"/>
  <c r="E1809" i="5"/>
  <c r="F1809" i="5" s="1"/>
  <c r="E1810" i="5"/>
  <c r="F1810" i="5" s="1"/>
  <c r="E1811" i="5"/>
  <c r="F1811" i="5" s="1"/>
  <c r="E1812" i="5"/>
  <c r="F1812" i="5" s="1"/>
  <c r="E1813" i="5"/>
  <c r="F1813" i="5" s="1"/>
  <c r="E1814" i="5"/>
  <c r="F1814" i="5" s="1"/>
  <c r="E1815" i="5"/>
  <c r="F1815" i="5" s="1"/>
  <c r="E1816" i="5"/>
  <c r="F1816" i="5" s="1"/>
  <c r="E1817" i="5"/>
  <c r="F1817" i="5" s="1"/>
  <c r="E1818" i="5"/>
  <c r="F1818" i="5" s="1"/>
  <c r="E1819" i="5"/>
  <c r="F1819" i="5" s="1"/>
  <c r="E1820" i="5"/>
  <c r="F1820" i="5" s="1"/>
  <c r="E1821" i="5"/>
  <c r="F1821" i="5" s="1"/>
  <c r="E1822" i="5"/>
  <c r="F1822" i="5" s="1"/>
  <c r="E1823" i="5"/>
  <c r="F1823" i="5" s="1"/>
  <c r="E1824" i="5"/>
  <c r="F1824" i="5" s="1"/>
  <c r="E1825" i="5"/>
  <c r="F1825" i="5" s="1"/>
  <c r="E1826" i="5"/>
  <c r="F1826" i="5" s="1"/>
  <c r="E1827" i="5"/>
  <c r="F1827" i="5" s="1"/>
  <c r="E1828" i="5"/>
  <c r="F1828" i="5" s="1"/>
  <c r="E1829" i="5"/>
  <c r="F1829" i="5" s="1"/>
  <c r="E1830" i="5"/>
  <c r="F1830" i="5" s="1"/>
  <c r="E1831" i="5"/>
  <c r="F1831" i="5" s="1"/>
  <c r="E1832" i="5"/>
  <c r="F1832" i="5" s="1"/>
  <c r="E1833" i="5"/>
  <c r="F1833" i="5" s="1"/>
  <c r="E1834" i="5"/>
  <c r="F1834" i="5" s="1"/>
  <c r="E1835" i="5"/>
  <c r="F1835" i="5" s="1"/>
  <c r="E1836" i="5"/>
  <c r="F1836" i="5" s="1"/>
  <c r="E1837" i="5"/>
  <c r="F1837" i="5" s="1"/>
  <c r="E1838" i="5"/>
  <c r="F1838" i="5" s="1"/>
  <c r="E1839" i="5"/>
  <c r="F1839" i="5" s="1"/>
  <c r="E1840" i="5"/>
  <c r="F1840" i="5" s="1"/>
  <c r="E1841" i="5"/>
  <c r="F1841" i="5" s="1"/>
  <c r="E1842" i="5"/>
  <c r="F1842" i="5" s="1"/>
  <c r="E1843" i="5"/>
  <c r="F1843" i="5" s="1"/>
  <c r="E1844" i="5"/>
  <c r="F1844" i="5" s="1"/>
  <c r="E1845" i="5"/>
  <c r="F1845" i="5" s="1"/>
  <c r="E1846" i="5"/>
  <c r="F1846" i="5" s="1"/>
  <c r="E1847" i="5"/>
  <c r="F1847" i="5" s="1"/>
  <c r="E1848" i="5"/>
  <c r="F1848" i="5" s="1"/>
  <c r="E1849" i="5"/>
  <c r="F1849" i="5" s="1"/>
  <c r="E1850" i="5"/>
  <c r="F1850" i="5" s="1"/>
  <c r="E1851" i="5"/>
  <c r="F1851" i="5" s="1"/>
  <c r="E1852" i="5"/>
  <c r="F1852" i="5" s="1"/>
  <c r="E1853" i="5"/>
  <c r="F1853" i="5" s="1"/>
  <c r="E1854" i="5"/>
  <c r="F1854" i="5" s="1"/>
  <c r="E1855" i="5"/>
  <c r="F1855" i="5" s="1"/>
  <c r="E1856" i="5"/>
  <c r="F1856" i="5" s="1"/>
  <c r="E1857" i="5"/>
  <c r="F1857" i="5" s="1"/>
  <c r="E1858" i="5"/>
  <c r="F1858" i="5" s="1"/>
  <c r="E1859" i="5"/>
  <c r="F1859" i="5" s="1"/>
  <c r="E1860" i="5"/>
  <c r="F1860" i="5" s="1"/>
  <c r="E1861" i="5"/>
  <c r="F1861" i="5" s="1"/>
  <c r="E1862" i="5"/>
  <c r="F1862" i="5" s="1"/>
  <c r="E1863" i="5"/>
  <c r="F1863" i="5" s="1"/>
  <c r="E1864" i="5"/>
  <c r="F1864" i="5" s="1"/>
  <c r="E1865" i="5"/>
  <c r="F1865" i="5" s="1"/>
  <c r="E1866" i="5"/>
  <c r="F1866" i="5" s="1"/>
  <c r="E1867" i="5"/>
  <c r="F1867" i="5" s="1"/>
  <c r="E1868" i="5"/>
  <c r="F1868" i="5" s="1"/>
  <c r="E1869" i="5"/>
  <c r="F1869" i="5" s="1"/>
  <c r="E1870" i="5"/>
  <c r="F1870" i="5" s="1"/>
  <c r="E1871" i="5"/>
  <c r="F1871" i="5" s="1"/>
  <c r="E1872" i="5"/>
  <c r="F1872" i="5" s="1"/>
  <c r="E1873" i="5"/>
  <c r="F1873" i="5" s="1"/>
  <c r="E1874" i="5"/>
  <c r="F1874" i="5" s="1"/>
  <c r="E1875" i="5"/>
  <c r="F1875" i="5" s="1"/>
  <c r="E1876" i="5"/>
  <c r="F1876" i="5" s="1"/>
  <c r="E1877" i="5"/>
  <c r="F1877" i="5" s="1"/>
  <c r="E1878" i="5"/>
  <c r="F1878" i="5" s="1"/>
  <c r="E1879" i="5"/>
  <c r="F1879" i="5" s="1"/>
  <c r="E1880" i="5"/>
  <c r="F1880" i="5" s="1"/>
  <c r="E1881" i="5"/>
  <c r="F1881" i="5" s="1"/>
  <c r="E1882" i="5"/>
  <c r="F1882" i="5" s="1"/>
  <c r="E1883" i="5"/>
  <c r="F1883" i="5" s="1"/>
  <c r="E1884" i="5"/>
  <c r="F1884" i="5" s="1"/>
  <c r="E1885" i="5"/>
  <c r="F1885" i="5" s="1"/>
  <c r="E1886" i="5"/>
  <c r="F1886" i="5" s="1"/>
  <c r="E1887" i="5"/>
  <c r="F1887" i="5" s="1"/>
  <c r="E1888" i="5"/>
  <c r="F1888" i="5" s="1"/>
  <c r="E1889" i="5"/>
  <c r="F1889" i="5" s="1"/>
  <c r="E1890" i="5"/>
  <c r="F1890" i="5" s="1"/>
  <c r="E1891" i="5"/>
  <c r="F1891" i="5" s="1"/>
  <c r="E1892" i="5"/>
  <c r="F1892" i="5" s="1"/>
  <c r="E1893" i="5"/>
  <c r="F1893" i="5" s="1"/>
  <c r="E1894" i="5"/>
  <c r="F1894" i="5" s="1"/>
  <c r="E1895" i="5"/>
  <c r="F1895" i="5" s="1"/>
  <c r="E1896" i="5"/>
  <c r="F1896" i="5" s="1"/>
  <c r="E1897" i="5"/>
  <c r="F1897" i="5" s="1"/>
  <c r="E1898" i="5"/>
  <c r="F1898" i="5" s="1"/>
  <c r="E1899" i="5"/>
  <c r="F1899" i="5" s="1"/>
  <c r="E1900" i="5"/>
  <c r="F1900" i="5" s="1"/>
  <c r="E1901" i="5"/>
  <c r="F1901" i="5" s="1"/>
  <c r="E1902" i="5"/>
  <c r="F1902" i="5" s="1"/>
  <c r="E1903" i="5"/>
  <c r="F1903" i="5" s="1"/>
  <c r="E1904" i="5"/>
  <c r="F1904" i="5" s="1"/>
  <c r="E1905" i="5"/>
  <c r="F1905" i="5" s="1"/>
  <c r="E1906" i="5"/>
  <c r="F1906" i="5" s="1"/>
  <c r="E1907" i="5"/>
  <c r="F1907" i="5" s="1"/>
  <c r="E1908" i="5"/>
  <c r="F1908" i="5" s="1"/>
  <c r="E1909" i="5"/>
  <c r="F1909" i="5" s="1"/>
  <c r="E1910" i="5"/>
  <c r="F1910" i="5" s="1"/>
  <c r="E1911" i="5"/>
  <c r="F1911" i="5" s="1"/>
  <c r="E1912" i="5"/>
  <c r="F1912" i="5" s="1"/>
  <c r="E1913" i="5"/>
  <c r="F1913" i="5" s="1"/>
  <c r="E1914" i="5"/>
  <c r="F1914" i="5" s="1"/>
  <c r="E1915" i="5"/>
  <c r="F1915" i="5" s="1"/>
  <c r="E1916" i="5"/>
  <c r="F1916" i="5" s="1"/>
  <c r="E1917" i="5"/>
  <c r="F1917" i="5" s="1"/>
  <c r="E1918" i="5"/>
  <c r="F1918" i="5" s="1"/>
  <c r="E1919" i="5"/>
  <c r="F1919" i="5" s="1"/>
  <c r="E1920" i="5"/>
  <c r="F1920" i="5" s="1"/>
  <c r="E1921" i="5"/>
  <c r="F1921" i="5" s="1"/>
  <c r="E1922" i="5"/>
  <c r="F1922" i="5" s="1"/>
  <c r="E1923" i="5"/>
  <c r="F1923" i="5" s="1"/>
  <c r="E1924" i="5"/>
  <c r="F1924" i="5" s="1"/>
  <c r="E1925" i="5"/>
  <c r="F1925" i="5" s="1"/>
  <c r="E1926" i="5"/>
  <c r="F1926" i="5" s="1"/>
  <c r="E1927" i="5"/>
  <c r="F1927" i="5" s="1"/>
  <c r="E1928" i="5"/>
  <c r="F1928" i="5" s="1"/>
  <c r="E1929" i="5"/>
  <c r="F1929" i="5" s="1"/>
  <c r="E1930" i="5"/>
  <c r="F1930" i="5" s="1"/>
  <c r="E1931" i="5"/>
  <c r="F1931" i="5" s="1"/>
  <c r="E1932" i="5"/>
  <c r="F1932" i="5" s="1"/>
  <c r="E1933" i="5"/>
  <c r="F1933" i="5" s="1"/>
  <c r="E1934" i="5"/>
  <c r="F1934" i="5" s="1"/>
  <c r="E1935" i="5"/>
  <c r="F1935" i="5" s="1"/>
  <c r="E1936" i="5"/>
  <c r="F1936" i="5" s="1"/>
  <c r="E1937" i="5"/>
  <c r="F1937" i="5" s="1"/>
  <c r="E1938" i="5"/>
  <c r="F1938" i="5" s="1"/>
  <c r="E1939" i="5"/>
  <c r="F1939" i="5" s="1"/>
  <c r="E1940" i="5"/>
  <c r="F1940" i="5" s="1"/>
  <c r="E1941" i="5"/>
  <c r="F1941" i="5" s="1"/>
  <c r="E1942" i="5"/>
  <c r="F1942" i="5" s="1"/>
  <c r="E1943" i="5"/>
  <c r="F1943" i="5" s="1"/>
  <c r="E1944" i="5"/>
  <c r="F1944" i="5" s="1"/>
  <c r="E1945" i="5"/>
  <c r="F1945" i="5" s="1"/>
  <c r="E1946" i="5"/>
  <c r="F1946" i="5" s="1"/>
  <c r="E1947" i="5"/>
  <c r="F1947" i="5" s="1"/>
  <c r="E1948" i="5"/>
  <c r="F1948" i="5" s="1"/>
  <c r="E1949" i="5"/>
  <c r="F1949" i="5" s="1"/>
  <c r="E1950" i="5"/>
  <c r="F1950" i="5" s="1"/>
  <c r="E1951" i="5"/>
  <c r="F1951" i="5" s="1"/>
  <c r="E1952" i="5"/>
  <c r="F1952" i="5" s="1"/>
  <c r="E1953" i="5"/>
  <c r="F1953" i="5" s="1"/>
  <c r="E1954" i="5"/>
  <c r="F1954" i="5" s="1"/>
  <c r="E1955" i="5"/>
  <c r="F1955" i="5" s="1"/>
  <c r="E1956" i="5"/>
  <c r="F1956" i="5" s="1"/>
  <c r="E1957" i="5"/>
  <c r="F1957" i="5" s="1"/>
  <c r="E1958" i="5"/>
  <c r="F1958" i="5" s="1"/>
  <c r="E1959" i="5"/>
  <c r="F1959" i="5" s="1"/>
  <c r="E1960" i="5"/>
  <c r="F1960" i="5" s="1"/>
  <c r="E1961" i="5"/>
  <c r="F1961" i="5" s="1"/>
  <c r="E1962" i="5"/>
  <c r="F1962" i="5" s="1"/>
  <c r="E1963" i="5"/>
  <c r="F1963" i="5" s="1"/>
  <c r="E1964" i="5"/>
  <c r="F1964" i="5" s="1"/>
  <c r="E1965" i="5"/>
  <c r="F1965" i="5" s="1"/>
  <c r="E1966" i="5"/>
  <c r="F1966" i="5" s="1"/>
  <c r="E1967" i="5"/>
  <c r="F1967" i="5" s="1"/>
  <c r="E1968" i="5"/>
  <c r="F1968" i="5" s="1"/>
  <c r="E1969" i="5"/>
  <c r="F1969" i="5" s="1"/>
  <c r="E1970" i="5"/>
  <c r="F1970" i="5" s="1"/>
  <c r="E1971" i="5"/>
  <c r="F1971" i="5" s="1"/>
  <c r="E1972" i="5"/>
  <c r="F1972" i="5" s="1"/>
  <c r="E1973" i="5"/>
  <c r="F1973" i="5" s="1"/>
  <c r="E1974" i="5"/>
  <c r="F1974" i="5" s="1"/>
  <c r="E1975" i="5"/>
  <c r="F1975" i="5" s="1"/>
  <c r="E1976" i="5"/>
  <c r="F1976" i="5" s="1"/>
  <c r="E1977" i="5"/>
  <c r="F1977" i="5" s="1"/>
  <c r="E1978" i="5"/>
  <c r="F1978" i="5" s="1"/>
  <c r="E1979" i="5"/>
  <c r="F1979" i="5" s="1"/>
  <c r="E1980" i="5"/>
  <c r="F1980" i="5" s="1"/>
  <c r="E1981" i="5"/>
  <c r="F1981" i="5" s="1"/>
  <c r="E1982" i="5"/>
  <c r="F1982" i="5" s="1"/>
  <c r="E1983" i="5"/>
  <c r="F1983" i="5" s="1"/>
  <c r="E1984" i="5"/>
  <c r="F1984" i="5" s="1"/>
  <c r="E1985" i="5"/>
  <c r="F1985" i="5" s="1"/>
  <c r="E1986" i="5"/>
  <c r="F1986" i="5" s="1"/>
  <c r="E1987" i="5"/>
  <c r="F1987" i="5" s="1"/>
  <c r="E1988" i="5"/>
  <c r="F1988" i="5" s="1"/>
  <c r="E1989" i="5"/>
  <c r="F1989" i="5" s="1"/>
  <c r="E1990" i="5"/>
  <c r="F1990" i="5" s="1"/>
  <c r="E1991" i="5"/>
  <c r="F1991" i="5" s="1"/>
  <c r="E1992" i="5"/>
  <c r="F1992" i="5" s="1"/>
  <c r="E1993" i="5"/>
  <c r="F1993" i="5" s="1"/>
  <c r="E1994" i="5"/>
  <c r="F1994" i="5" s="1"/>
  <c r="E1995" i="5"/>
  <c r="F1995" i="5" s="1"/>
  <c r="E1996" i="5"/>
  <c r="F1996" i="5" s="1"/>
  <c r="E1997" i="5"/>
  <c r="F1997" i="5" s="1"/>
  <c r="E1998" i="5"/>
  <c r="F1998" i="5" s="1"/>
  <c r="E1999" i="5"/>
  <c r="F1999" i="5" s="1"/>
  <c r="E2000" i="5"/>
  <c r="F2000" i="5" s="1"/>
  <c r="E2001" i="5"/>
  <c r="F2001" i="5" s="1"/>
  <c r="E2002" i="5"/>
  <c r="F2002" i="5" s="1"/>
  <c r="E2003" i="5"/>
  <c r="F2003" i="5" s="1"/>
  <c r="E2004" i="5"/>
  <c r="F2004" i="5" s="1"/>
  <c r="E2005" i="5"/>
  <c r="F2005" i="5" s="1"/>
  <c r="E2006" i="5"/>
  <c r="F2006" i="5" s="1"/>
  <c r="E2007" i="5"/>
  <c r="F2007" i="5" s="1"/>
  <c r="E2008" i="5"/>
  <c r="F2008" i="5" s="1"/>
  <c r="E2009" i="5"/>
  <c r="F2009" i="5" s="1"/>
  <c r="E2010" i="5"/>
  <c r="F2010" i="5" s="1"/>
  <c r="E2011" i="5"/>
  <c r="F2011" i="5" s="1"/>
  <c r="E2012" i="5"/>
  <c r="F2012" i="5" s="1"/>
  <c r="E2013" i="5"/>
  <c r="F2013" i="5" s="1"/>
  <c r="E2014" i="5"/>
  <c r="F2014" i="5" s="1"/>
  <c r="E2015" i="5"/>
  <c r="F2015" i="5" s="1"/>
  <c r="E2016" i="5"/>
  <c r="F2016" i="5" s="1"/>
  <c r="E2017" i="5"/>
  <c r="F2017" i="5" s="1"/>
  <c r="E2018" i="5"/>
  <c r="F2018" i="5" s="1"/>
  <c r="E2019" i="5"/>
  <c r="F2019" i="5" s="1"/>
  <c r="E2020" i="5"/>
  <c r="F2020" i="5" s="1"/>
  <c r="E2021" i="5"/>
  <c r="F2021" i="5" s="1"/>
  <c r="E2022" i="5"/>
  <c r="F2022" i="5" s="1"/>
  <c r="E2023" i="5"/>
  <c r="F2023" i="5" s="1"/>
  <c r="E2024" i="5"/>
  <c r="F2024" i="5" s="1"/>
  <c r="E2025" i="5"/>
  <c r="F2025" i="5" s="1"/>
  <c r="E2026" i="5"/>
  <c r="F2026" i="5" s="1"/>
  <c r="E2027" i="5"/>
  <c r="F2027" i="5" s="1"/>
  <c r="E2028" i="5"/>
  <c r="F2028" i="5" s="1"/>
  <c r="E2029" i="5"/>
  <c r="F2029" i="5" s="1"/>
  <c r="E2030" i="5"/>
  <c r="F2030" i="5" s="1"/>
  <c r="E2031" i="5"/>
  <c r="F2031" i="5" s="1"/>
  <c r="E2032" i="5"/>
  <c r="F2032" i="5" s="1"/>
  <c r="E2033" i="5"/>
  <c r="F2033" i="5" s="1"/>
  <c r="E2034" i="5"/>
  <c r="F2034" i="5" s="1"/>
  <c r="E2035" i="5"/>
  <c r="F2035" i="5" s="1"/>
  <c r="E2036" i="5"/>
  <c r="F2036" i="5" s="1"/>
  <c r="E2037" i="5"/>
  <c r="F2037" i="5" s="1"/>
  <c r="E2038" i="5"/>
  <c r="F2038" i="5" s="1"/>
  <c r="E2039" i="5"/>
  <c r="F2039" i="5" s="1"/>
  <c r="E2040" i="5"/>
  <c r="F2040" i="5" s="1"/>
  <c r="E2041" i="5"/>
  <c r="F2041" i="5" s="1"/>
  <c r="E2042" i="5"/>
  <c r="F2042" i="5" s="1"/>
  <c r="E2043" i="5"/>
  <c r="F2043" i="5" s="1"/>
  <c r="E2044" i="5"/>
  <c r="F2044" i="5" s="1"/>
  <c r="E2045" i="5"/>
  <c r="F2045" i="5" s="1"/>
  <c r="E2046" i="5"/>
  <c r="F2046" i="5" s="1"/>
  <c r="E2047" i="5"/>
  <c r="F2047" i="5" s="1"/>
  <c r="E2048" i="5"/>
  <c r="F2048" i="5" s="1"/>
  <c r="E2049" i="5"/>
  <c r="F2049" i="5" s="1"/>
  <c r="E2050" i="5"/>
  <c r="F2050" i="5" s="1"/>
  <c r="E2051" i="5"/>
  <c r="F2051" i="5" s="1"/>
  <c r="E2052" i="5"/>
  <c r="F2052" i="5" s="1"/>
  <c r="E2053" i="5"/>
  <c r="F2053" i="5" s="1"/>
  <c r="E2054" i="5"/>
  <c r="F2054" i="5" s="1"/>
  <c r="E2055" i="5"/>
  <c r="F2055" i="5" s="1"/>
  <c r="E2056" i="5"/>
  <c r="F2056" i="5" s="1"/>
  <c r="E2057" i="5"/>
  <c r="F2057" i="5" s="1"/>
  <c r="E2058" i="5"/>
  <c r="F2058" i="5" s="1"/>
  <c r="E2059" i="5"/>
  <c r="F2059" i="5" s="1"/>
  <c r="E2060" i="5"/>
  <c r="F2060" i="5" s="1"/>
  <c r="E2061" i="5"/>
  <c r="F2061" i="5" s="1"/>
  <c r="E2062" i="5"/>
  <c r="F2062" i="5" s="1"/>
  <c r="E2063" i="5"/>
  <c r="F2063" i="5" s="1"/>
  <c r="E2064" i="5"/>
  <c r="F2064" i="5" s="1"/>
  <c r="E2065" i="5"/>
  <c r="F2065" i="5" s="1"/>
  <c r="E2066" i="5"/>
  <c r="F2066" i="5" s="1"/>
  <c r="E2067" i="5"/>
  <c r="F2067" i="5" s="1"/>
  <c r="E2068" i="5"/>
  <c r="F2068" i="5" s="1"/>
  <c r="E2069" i="5"/>
  <c r="F2069" i="5" s="1"/>
  <c r="E2070" i="5"/>
  <c r="F2070" i="5" s="1"/>
  <c r="E2071" i="5"/>
  <c r="F2071" i="5" s="1"/>
  <c r="E2072" i="5"/>
  <c r="F2072" i="5" s="1"/>
  <c r="E2073" i="5"/>
  <c r="F2073" i="5" s="1"/>
  <c r="E2074" i="5"/>
  <c r="F2074" i="5" s="1"/>
  <c r="E2075" i="5"/>
  <c r="F2075" i="5" s="1"/>
  <c r="E2076" i="5"/>
  <c r="F2076" i="5" s="1"/>
  <c r="E2077" i="5"/>
  <c r="F2077" i="5" s="1"/>
  <c r="E2078" i="5"/>
  <c r="F2078" i="5" s="1"/>
  <c r="E2079" i="5"/>
  <c r="F2079" i="5" s="1"/>
  <c r="E2080" i="5"/>
  <c r="F2080" i="5" s="1"/>
  <c r="E2081" i="5"/>
  <c r="F2081" i="5" s="1"/>
  <c r="E2082" i="5"/>
  <c r="F2082" i="5" s="1"/>
  <c r="E2083" i="5"/>
  <c r="F2083" i="5" s="1"/>
  <c r="E2084" i="5"/>
  <c r="F2084" i="5" s="1"/>
  <c r="E2085" i="5"/>
  <c r="F2085" i="5" s="1"/>
  <c r="E2086" i="5"/>
  <c r="F2086" i="5" s="1"/>
  <c r="E2087" i="5"/>
  <c r="F2087" i="5" s="1"/>
  <c r="E2088" i="5"/>
  <c r="F2088" i="5" s="1"/>
  <c r="E2089" i="5"/>
  <c r="F2089" i="5" s="1"/>
  <c r="E2090" i="5"/>
  <c r="F2090" i="5" s="1"/>
  <c r="E2091" i="5"/>
  <c r="F2091" i="5" s="1"/>
  <c r="E2092" i="5"/>
  <c r="F2092" i="5" s="1"/>
  <c r="E2093" i="5"/>
  <c r="F2093" i="5" s="1"/>
  <c r="E2094" i="5"/>
  <c r="F2094" i="5" s="1"/>
  <c r="E2095" i="5"/>
  <c r="F2095" i="5" s="1"/>
  <c r="E2096" i="5"/>
  <c r="F2096" i="5" s="1"/>
  <c r="E2097" i="5"/>
  <c r="F2097" i="5" s="1"/>
  <c r="E2098" i="5"/>
  <c r="F2098" i="5" s="1"/>
  <c r="E2099" i="5"/>
  <c r="F2099" i="5" s="1"/>
  <c r="E2100" i="5"/>
  <c r="F2100" i="5" s="1"/>
  <c r="E2101" i="5"/>
  <c r="F2101" i="5" s="1"/>
  <c r="E2102" i="5"/>
  <c r="F2102" i="5" s="1"/>
  <c r="E2103" i="5"/>
  <c r="F2103" i="5" s="1"/>
  <c r="E2104" i="5"/>
  <c r="F2104" i="5" s="1"/>
  <c r="E2105" i="5"/>
  <c r="F2105" i="5" s="1"/>
  <c r="E2106" i="5"/>
  <c r="F2106" i="5" s="1"/>
  <c r="E2107" i="5"/>
  <c r="F2107" i="5" s="1"/>
  <c r="E2108" i="5"/>
  <c r="F2108" i="5" s="1"/>
  <c r="E2109" i="5"/>
  <c r="F2109" i="5" s="1"/>
  <c r="E2110" i="5"/>
  <c r="F2110" i="5" s="1"/>
  <c r="E2111" i="5"/>
  <c r="F2111" i="5" s="1"/>
  <c r="E2112" i="5"/>
  <c r="F2112" i="5" s="1"/>
  <c r="E2113" i="5"/>
  <c r="F2113" i="5" s="1"/>
  <c r="E2114" i="5"/>
  <c r="F2114" i="5" s="1"/>
  <c r="E2115" i="5"/>
  <c r="F2115" i="5" s="1"/>
  <c r="E2116" i="5"/>
  <c r="F2116" i="5" s="1"/>
  <c r="E2117" i="5"/>
  <c r="F2117" i="5" s="1"/>
  <c r="E2118" i="5"/>
  <c r="F2118" i="5" s="1"/>
  <c r="E2119" i="5"/>
  <c r="F2119" i="5" s="1"/>
  <c r="E2120" i="5"/>
  <c r="F2120" i="5" s="1"/>
  <c r="E2121" i="5"/>
  <c r="F2121" i="5" s="1"/>
  <c r="E2122" i="5"/>
  <c r="F2122" i="5" s="1"/>
  <c r="E2123" i="5"/>
  <c r="F2123" i="5" s="1"/>
  <c r="E2124" i="5"/>
  <c r="F2124" i="5" s="1"/>
  <c r="E2125" i="5"/>
  <c r="F2125" i="5" s="1"/>
  <c r="E2126" i="5"/>
  <c r="F2126" i="5" s="1"/>
  <c r="E2127" i="5"/>
  <c r="F2127" i="5" s="1"/>
  <c r="E2128" i="5"/>
  <c r="F2128" i="5" s="1"/>
  <c r="E2129" i="5"/>
  <c r="F2129" i="5" s="1"/>
  <c r="E2130" i="5"/>
  <c r="F2130" i="5" s="1"/>
  <c r="E2131" i="5"/>
  <c r="F2131" i="5" s="1"/>
  <c r="E2132" i="5"/>
  <c r="F2132" i="5" s="1"/>
  <c r="E2133" i="5"/>
  <c r="F2133" i="5" s="1"/>
  <c r="E2134" i="5"/>
  <c r="F2134" i="5" s="1"/>
  <c r="E2135" i="5"/>
  <c r="F2135" i="5" s="1"/>
  <c r="E2136" i="5"/>
  <c r="F2136" i="5" s="1"/>
  <c r="E2137" i="5"/>
  <c r="F2137" i="5" s="1"/>
  <c r="E2138" i="5"/>
  <c r="F2138" i="5" s="1"/>
  <c r="E2139" i="5"/>
  <c r="F2139" i="5" s="1"/>
  <c r="E2140" i="5"/>
  <c r="F2140" i="5" s="1"/>
  <c r="E2141" i="5"/>
  <c r="F2141" i="5" s="1"/>
  <c r="E2142" i="5"/>
  <c r="F2142" i="5" s="1"/>
  <c r="E2143" i="5"/>
  <c r="F2143" i="5" s="1"/>
  <c r="E2144" i="5"/>
  <c r="F2144" i="5" s="1"/>
  <c r="E2145" i="5"/>
  <c r="F2145" i="5" s="1"/>
  <c r="E2146" i="5"/>
  <c r="F2146" i="5" s="1"/>
  <c r="E2147" i="5"/>
  <c r="F2147" i="5" s="1"/>
  <c r="E2148" i="5"/>
  <c r="F2148" i="5" s="1"/>
  <c r="E2149" i="5"/>
  <c r="F2149" i="5" s="1"/>
  <c r="E2150" i="5"/>
  <c r="F2150" i="5" s="1"/>
  <c r="E2151" i="5"/>
  <c r="F2151" i="5" s="1"/>
  <c r="E2152" i="5"/>
  <c r="F2152" i="5" s="1"/>
  <c r="E2153" i="5"/>
  <c r="F2153" i="5" s="1"/>
  <c r="E2154" i="5"/>
  <c r="F2154" i="5" s="1"/>
  <c r="E2155" i="5"/>
  <c r="F2155" i="5" s="1"/>
  <c r="E2156" i="5"/>
  <c r="F2156" i="5" s="1"/>
  <c r="E2157" i="5"/>
  <c r="F2157" i="5" s="1"/>
  <c r="E2158" i="5"/>
  <c r="F2158" i="5" s="1"/>
  <c r="E2159" i="5"/>
  <c r="F2159" i="5" s="1"/>
  <c r="E2160" i="5"/>
  <c r="F2160" i="5" s="1"/>
  <c r="E2161" i="5"/>
  <c r="F2161" i="5" s="1"/>
  <c r="E2162" i="5"/>
  <c r="F2162" i="5" s="1"/>
  <c r="E2163" i="5"/>
  <c r="F2163" i="5" s="1"/>
  <c r="E2164" i="5"/>
  <c r="F2164" i="5" s="1"/>
  <c r="E2165" i="5"/>
  <c r="F2165" i="5" s="1"/>
  <c r="E2166" i="5"/>
  <c r="F2166" i="5" s="1"/>
  <c r="E2167" i="5"/>
  <c r="F2167" i="5" s="1"/>
  <c r="E2168" i="5"/>
  <c r="F2168" i="5" s="1"/>
  <c r="E2169" i="5"/>
  <c r="F2169" i="5" s="1"/>
  <c r="E2170" i="5"/>
  <c r="F2170" i="5" s="1"/>
  <c r="E2171" i="5"/>
  <c r="F2171" i="5" s="1"/>
  <c r="E2172" i="5"/>
  <c r="F2172" i="5" s="1"/>
  <c r="E2173" i="5"/>
  <c r="F2173" i="5" s="1"/>
  <c r="E2174" i="5"/>
  <c r="F2174" i="5" s="1"/>
  <c r="E2175" i="5"/>
  <c r="F2175" i="5" s="1"/>
  <c r="E2176" i="5"/>
  <c r="F2176" i="5" s="1"/>
  <c r="E2177" i="5"/>
  <c r="F2177" i="5" s="1"/>
  <c r="E2178" i="5"/>
  <c r="F2178" i="5" s="1"/>
  <c r="E2179" i="5"/>
  <c r="F2179" i="5" s="1"/>
  <c r="E2180" i="5"/>
  <c r="F2180" i="5" s="1"/>
  <c r="E2181" i="5"/>
  <c r="F2181" i="5" s="1"/>
  <c r="E2182" i="5"/>
  <c r="F2182" i="5" s="1"/>
  <c r="E2183" i="5"/>
  <c r="F2183" i="5" s="1"/>
  <c r="E2184" i="5"/>
  <c r="F2184" i="5" s="1"/>
  <c r="E2185" i="5"/>
  <c r="F2185" i="5" s="1"/>
  <c r="E2186" i="5"/>
  <c r="F2186" i="5" s="1"/>
  <c r="E2187" i="5"/>
  <c r="F2187" i="5" s="1"/>
  <c r="E2188" i="5"/>
  <c r="F2188" i="5" s="1"/>
  <c r="E2189" i="5"/>
  <c r="F2189" i="5" s="1"/>
  <c r="E2190" i="5"/>
  <c r="F2190" i="5" s="1"/>
  <c r="E2191" i="5"/>
  <c r="F2191" i="5" s="1"/>
  <c r="E2192" i="5"/>
  <c r="F2192" i="5" s="1"/>
  <c r="E2193" i="5"/>
  <c r="F2193" i="5" s="1"/>
  <c r="E2194" i="5"/>
  <c r="F2194" i="5" s="1"/>
  <c r="E2195" i="5"/>
  <c r="F2195" i="5" s="1"/>
  <c r="E2196" i="5"/>
  <c r="F2196" i="5" s="1"/>
  <c r="E2197" i="5"/>
  <c r="F2197" i="5" s="1"/>
  <c r="E2198" i="5"/>
  <c r="F2198" i="5" s="1"/>
  <c r="E2199" i="5"/>
  <c r="F2199" i="5" s="1"/>
  <c r="E2200" i="5"/>
  <c r="F2200" i="5" s="1"/>
  <c r="E2201" i="5"/>
  <c r="F2201" i="5" s="1"/>
  <c r="E2202" i="5"/>
  <c r="F2202" i="5" s="1"/>
  <c r="E2203" i="5"/>
  <c r="F2203" i="5" s="1"/>
  <c r="E2204" i="5"/>
  <c r="F2204" i="5" s="1"/>
  <c r="E2205" i="5"/>
  <c r="F2205" i="5" s="1"/>
  <c r="E2206" i="5"/>
  <c r="F2206" i="5" s="1"/>
  <c r="E2207" i="5"/>
  <c r="F2207" i="5" s="1"/>
  <c r="E2208" i="5"/>
  <c r="F2208" i="5" s="1"/>
  <c r="E2209" i="5"/>
  <c r="F2209" i="5" s="1"/>
  <c r="E2210" i="5"/>
  <c r="F2210" i="5" s="1"/>
  <c r="E2211" i="5"/>
  <c r="F2211" i="5" s="1"/>
  <c r="E2212" i="5"/>
  <c r="F2212" i="5" s="1"/>
  <c r="E2213" i="5"/>
  <c r="F2213" i="5" s="1"/>
  <c r="E2214" i="5"/>
  <c r="F2214" i="5" s="1"/>
  <c r="E2215" i="5"/>
  <c r="F2215" i="5" s="1"/>
  <c r="E2216" i="5"/>
  <c r="F2216" i="5" s="1"/>
  <c r="E2217" i="5"/>
  <c r="F2217" i="5" s="1"/>
  <c r="E2218" i="5"/>
  <c r="F2218" i="5" s="1"/>
  <c r="E2219" i="5"/>
  <c r="F2219" i="5" s="1"/>
  <c r="E2220" i="5"/>
  <c r="F2220" i="5" s="1"/>
  <c r="E2221" i="5"/>
  <c r="F2221" i="5" s="1"/>
  <c r="E2222" i="5"/>
  <c r="F2222" i="5" s="1"/>
  <c r="E2223" i="5"/>
  <c r="F2223" i="5" s="1"/>
  <c r="E2224" i="5"/>
  <c r="F2224" i="5" s="1"/>
  <c r="E2225" i="5"/>
  <c r="F2225" i="5" s="1"/>
  <c r="E2226" i="5"/>
  <c r="F2226" i="5" s="1"/>
  <c r="E2227" i="5"/>
  <c r="F2227" i="5" s="1"/>
  <c r="E2228" i="5"/>
  <c r="F2228" i="5" s="1"/>
  <c r="E2229" i="5"/>
  <c r="F2229" i="5" s="1"/>
  <c r="E2230" i="5"/>
  <c r="F2230" i="5" s="1"/>
  <c r="E2231" i="5"/>
  <c r="F2231" i="5" s="1"/>
  <c r="E2232" i="5"/>
  <c r="F2232" i="5" s="1"/>
  <c r="E2233" i="5"/>
  <c r="F2233" i="5" s="1"/>
  <c r="E2234" i="5"/>
  <c r="F2234" i="5" s="1"/>
  <c r="E2235" i="5"/>
  <c r="F2235" i="5" s="1"/>
  <c r="E2236" i="5"/>
  <c r="F2236" i="5" s="1"/>
  <c r="E2237" i="5"/>
  <c r="F2237" i="5" s="1"/>
  <c r="E2238" i="5"/>
  <c r="F2238" i="5" s="1"/>
  <c r="E2239" i="5"/>
  <c r="F2239" i="5" s="1"/>
  <c r="E2240" i="5"/>
  <c r="F2240" i="5" s="1"/>
  <c r="E2241" i="5"/>
  <c r="F2241" i="5" s="1"/>
  <c r="E2242" i="5"/>
  <c r="F2242" i="5" s="1"/>
  <c r="E2243" i="5"/>
  <c r="F2243" i="5" s="1"/>
  <c r="E2244" i="5"/>
  <c r="F2244" i="5" s="1"/>
  <c r="E2245" i="5"/>
  <c r="F2245" i="5" s="1"/>
  <c r="E2246" i="5"/>
  <c r="F2246" i="5" s="1"/>
  <c r="E2247" i="5"/>
  <c r="F2247" i="5" s="1"/>
  <c r="E2248" i="5"/>
  <c r="F2248" i="5" s="1"/>
  <c r="E2249" i="5"/>
  <c r="F2249" i="5" s="1"/>
  <c r="E2250" i="5"/>
  <c r="F2250" i="5" s="1"/>
  <c r="E2251" i="5"/>
  <c r="F2251" i="5" s="1"/>
  <c r="E2252" i="5"/>
  <c r="F2252" i="5" s="1"/>
  <c r="E2253" i="5"/>
  <c r="F2253" i="5" s="1"/>
  <c r="E2254" i="5"/>
  <c r="F2254" i="5" s="1"/>
  <c r="E2255" i="5"/>
  <c r="F2255" i="5" s="1"/>
  <c r="E2256" i="5"/>
  <c r="F2256" i="5" s="1"/>
  <c r="E2257" i="5"/>
  <c r="F2257" i="5" s="1"/>
  <c r="E2258" i="5"/>
  <c r="F2258" i="5" s="1"/>
  <c r="E2259" i="5"/>
  <c r="F2259" i="5" s="1"/>
  <c r="E2260" i="5"/>
  <c r="F2260" i="5" s="1"/>
  <c r="E2261" i="5"/>
  <c r="F2261" i="5" s="1"/>
  <c r="E2262" i="5"/>
  <c r="F2262" i="5" s="1"/>
  <c r="E2263" i="5"/>
  <c r="F2263" i="5" s="1"/>
  <c r="E2264" i="5"/>
  <c r="F2264" i="5" s="1"/>
  <c r="E2265" i="5"/>
  <c r="F2265" i="5" s="1"/>
  <c r="E2266" i="5"/>
  <c r="F2266" i="5" s="1"/>
  <c r="E2267" i="5"/>
  <c r="F2267" i="5" s="1"/>
  <c r="E2268" i="5"/>
  <c r="F2268" i="5" s="1"/>
  <c r="E2269" i="5"/>
  <c r="F2269" i="5" s="1"/>
  <c r="E2270" i="5"/>
  <c r="F2270" i="5" s="1"/>
  <c r="E2271" i="5"/>
  <c r="F2271" i="5" s="1"/>
  <c r="E2272" i="5"/>
  <c r="F2272" i="5" s="1"/>
  <c r="E2273" i="5"/>
  <c r="F2273" i="5" s="1"/>
  <c r="E2274" i="5"/>
  <c r="F2274" i="5" s="1"/>
  <c r="E2275" i="5"/>
  <c r="F2275" i="5" s="1"/>
  <c r="E2276" i="5"/>
  <c r="F2276" i="5" s="1"/>
  <c r="E2277" i="5"/>
  <c r="F2277" i="5" s="1"/>
  <c r="E2278" i="5"/>
  <c r="F2278" i="5" s="1"/>
  <c r="E2279" i="5"/>
  <c r="F2279" i="5" s="1"/>
  <c r="E2280" i="5"/>
  <c r="F2280" i="5" s="1"/>
  <c r="E2281" i="5"/>
  <c r="F2281" i="5" s="1"/>
  <c r="E2282" i="5"/>
  <c r="F2282" i="5" s="1"/>
  <c r="E2283" i="5"/>
  <c r="F2283" i="5" s="1"/>
  <c r="E2284" i="5"/>
  <c r="F2284" i="5" s="1"/>
  <c r="E2285" i="5"/>
  <c r="F2285" i="5" s="1"/>
  <c r="E2286" i="5"/>
  <c r="F2286" i="5" s="1"/>
  <c r="E2287" i="5"/>
  <c r="F2287" i="5" s="1"/>
  <c r="E2288" i="5"/>
  <c r="F2288" i="5" s="1"/>
  <c r="E2289" i="5"/>
  <c r="F2289" i="5" s="1"/>
  <c r="E2290" i="5"/>
  <c r="F2290" i="5" s="1"/>
  <c r="E2291" i="5"/>
  <c r="F2291" i="5" s="1"/>
  <c r="E2292" i="5"/>
  <c r="F2292" i="5" s="1"/>
  <c r="E2293" i="5"/>
  <c r="F2293" i="5" s="1"/>
  <c r="E2294" i="5"/>
  <c r="F2294" i="5" s="1"/>
  <c r="E2295" i="5"/>
  <c r="F2295" i="5" s="1"/>
  <c r="E2296" i="5"/>
  <c r="F2296" i="5" s="1"/>
  <c r="E2297" i="5"/>
  <c r="F2297" i="5" s="1"/>
  <c r="E2298" i="5"/>
  <c r="F2298" i="5" s="1"/>
  <c r="E2299" i="5"/>
  <c r="F2299" i="5" s="1"/>
  <c r="E2300" i="5"/>
  <c r="F2300" i="5" s="1"/>
  <c r="E2301" i="5"/>
  <c r="F2301" i="5" s="1"/>
  <c r="E2302" i="5"/>
  <c r="F2302" i="5" s="1"/>
  <c r="E2303" i="5"/>
  <c r="F2303" i="5" s="1"/>
  <c r="E2304" i="5"/>
  <c r="F2304" i="5" s="1"/>
  <c r="E2305" i="5"/>
  <c r="F2305" i="5" s="1"/>
  <c r="E2306" i="5"/>
  <c r="F2306" i="5" s="1"/>
  <c r="E2307" i="5"/>
  <c r="F2307" i="5" s="1"/>
  <c r="E2308" i="5"/>
  <c r="F2308" i="5" s="1"/>
  <c r="E2309" i="5"/>
  <c r="F2309" i="5" s="1"/>
  <c r="E2310" i="5"/>
  <c r="F2310" i="5" s="1"/>
  <c r="E2311" i="5"/>
  <c r="F2311" i="5" s="1"/>
  <c r="E2312" i="5"/>
  <c r="F2312" i="5" s="1"/>
  <c r="E2313" i="5"/>
  <c r="F2313" i="5" s="1"/>
  <c r="E2314" i="5"/>
  <c r="F2314" i="5" s="1"/>
  <c r="E2315" i="5"/>
  <c r="F2315" i="5" s="1"/>
  <c r="E2316" i="5"/>
  <c r="F2316" i="5" s="1"/>
  <c r="E2317" i="5"/>
  <c r="F2317" i="5" s="1"/>
  <c r="E2318" i="5"/>
  <c r="F2318" i="5" s="1"/>
  <c r="E2319" i="5"/>
  <c r="F2319" i="5" s="1"/>
  <c r="E2320" i="5"/>
  <c r="F2320" i="5" s="1"/>
  <c r="E2321" i="5"/>
  <c r="F2321" i="5" s="1"/>
  <c r="E2322" i="5"/>
  <c r="F2322" i="5" s="1"/>
  <c r="E2323" i="5"/>
  <c r="F2323" i="5" s="1"/>
  <c r="E2324" i="5"/>
  <c r="F2324" i="5" s="1"/>
  <c r="E2325" i="5"/>
  <c r="F2325" i="5" s="1"/>
  <c r="E2326" i="5"/>
  <c r="F2326" i="5" s="1"/>
  <c r="E2327" i="5"/>
  <c r="F2327" i="5" s="1"/>
  <c r="E2328" i="5"/>
  <c r="F2328" i="5" s="1"/>
  <c r="E2329" i="5"/>
  <c r="F2329" i="5" s="1"/>
  <c r="E2330" i="5"/>
  <c r="F2330" i="5" s="1"/>
  <c r="E2331" i="5"/>
  <c r="F2331" i="5" s="1"/>
  <c r="E2332" i="5"/>
  <c r="F2332" i="5" s="1"/>
  <c r="E2333" i="5"/>
  <c r="F2333" i="5" s="1"/>
  <c r="E2334" i="5"/>
  <c r="F2334" i="5" s="1"/>
  <c r="E2335" i="5"/>
  <c r="F2335" i="5" s="1"/>
  <c r="E2336" i="5"/>
  <c r="F2336" i="5" s="1"/>
  <c r="E2337" i="5"/>
  <c r="F2337" i="5" s="1"/>
  <c r="E2338" i="5"/>
  <c r="F2338" i="5" s="1"/>
  <c r="E2339" i="5"/>
  <c r="F2339" i="5" s="1"/>
  <c r="E2340" i="5"/>
  <c r="F2340" i="5" s="1"/>
  <c r="E2341" i="5"/>
  <c r="F2341" i="5" s="1"/>
  <c r="E2342" i="5"/>
  <c r="F2342" i="5" s="1"/>
  <c r="E2343" i="5"/>
  <c r="F2343" i="5" s="1"/>
  <c r="E2344" i="5"/>
  <c r="F2344" i="5" s="1"/>
  <c r="E2345" i="5"/>
  <c r="F2345" i="5" s="1"/>
  <c r="E2346" i="5"/>
  <c r="F2346" i="5" s="1"/>
  <c r="E2347" i="5"/>
  <c r="F2347" i="5" s="1"/>
  <c r="E2348" i="5"/>
  <c r="F2348" i="5" s="1"/>
  <c r="E2349" i="5"/>
  <c r="F2349" i="5" s="1"/>
  <c r="E2350" i="5"/>
  <c r="F2350" i="5" s="1"/>
  <c r="E2351" i="5"/>
  <c r="F2351" i="5" s="1"/>
  <c r="E2352" i="5"/>
  <c r="F2352" i="5" s="1"/>
  <c r="E2353" i="5"/>
  <c r="F2353" i="5" s="1"/>
  <c r="E2354" i="5"/>
  <c r="F2354" i="5" s="1"/>
  <c r="E2355" i="5"/>
  <c r="F2355" i="5" s="1"/>
  <c r="E2356" i="5"/>
  <c r="F2356" i="5" s="1"/>
  <c r="E2357" i="5"/>
  <c r="F2357" i="5" s="1"/>
  <c r="E2358" i="5"/>
  <c r="F2358" i="5" s="1"/>
  <c r="E2359" i="5"/>
  <c r="F2359" i="5" s="1"/>
  <c r="E2360" i="5"/>
  <c r="F2360" i="5" s="1"/>
  <c r="E2361" i="5"/>
  <c r="F2361" i="5" s="1"/>
  <c r="E2362" i="5"/>
  <c r="F2362" i="5" s="1"/>
  <c r="E2363" i="5"/>
  <c r="F2363" i="5" s="1"/>
  <c r="E2364" i="5"/>
  <c r="F2364" i="5" s="1"/>
  <c r="E2365" i="5"/>
  <c r="F2365" i="5" s="1"/>
  <c r="E2366" i="5"/>
  <c r="F2366" i="5" s="1"/>
  <c r="E2367" i="5"/>
  <c r="F2367" i="5" s="1"/>
  <c r="E2368" i="5"/>
  <c r="F2368" i="5" s="1"/>
  <c r="E2369" i="5"/>
  <c r="F2369" i="5" s="1"/>
  <c r="E2370" i="5"/>
  <c r="F2370" i="5" s="1"/>
  <c r="E2371" i="5"/>
  <c r="F2371" i="5" s="1"/>
  <c r="E2372" i="5"/>
  <c r="F2372" i="5" s="1"/>
  <c r="E2373" i="5"/>
  <c r="F2373" i="5" s="1"/>
  <c r="E2374" i="5"/>
  <c r="F2374" i="5" s="1"/>
  <c r="E2375" i="5"/>
  <c r="F2375" i="5" s="1"/>
  <c r="E2376" i="5"/>
  <c r="F2376" i="5" s="1"/>
  <c r="E2377" i="5"/>
  <c r="F2377" i="5" s="1"/>
  <c r="E2378" i="5"/>
  <c r="F2378" i="5" s="1"/>
  <c r="E2379" i="5"/>
  <c r="F2379" i="5" s="1"/>
  <c r="E2380" i="5"/>
  <c r="F2380" i="5" s="1"/>
  <c r="E2381" i="5"/>
  <c r="F2381" i="5" s="1"/>
  <c r="E2382" i="5"/>
  <c r="F2382" i="5" s="1"/>
  <c r="E2383" i="5"/>
  <c r="F2383" i="5" s="1"/>
  <c r="E2384" i="5"/>
  <c r="F2384" i="5" s="1"/>
  <c r="E2385" i="5"/>
  <c r="F2385" i="5" s="1"/>
  <c r="E2386" i="5"/>
  <c r="F2386" i="5" s="1"/>
  <c r="E2387" i="5"/>
  <c r="F2387" i="5" s="1"/>
  <c r="E2388" i="5"/>
  <c r="F2388" i="5" s="1"/>
  <c r="E2389" i="5"/>
  <c r="F2389" i="5" s="1"/>
  <c r="E2390" i="5"/>
  <c r="F2390" i="5" s="1"/>
  <c r="E2391" i="5"/>
  <c r="F2391" i="5" s="1"/>
  <c r="E2392" i="5"/>
  <c r="F2392" i="5" s="1"/>
  <c r="E2393" i="5"/>
  <c r="F2393" i="5" s="1"/>
  <c r="E2394" i="5"/>
  <c r="F2394" i="5" s="1"/>
  <c r="E2395" i="5"/>
  <c r="F2395" i="5" s="1"/>
  <c r="E2396" i="5"/>
  <c r="F2396" i="5" s="1"/>
  <c r="E2397" i="5"/>
  <c r="F2397" i="5" s="1"/>
  <c r="E2398" i="5"/>
  <c r="F2398" i="5" s="1"/>
  <c r="E2399" i="5"/>
  <c r="F2399" i="5" s="1"/>
  <c r="E2400" i="5"/>
  <c r="F2400" i="5" s="1"/>
  <c r="E2401" i="5"/>
  <c r="F2401" i="5" s="1"/>
  <c r="E2402" i="5"/>
  <c r="F2402" i="5" s="1"/>
  <c r="E2403" i="5"/>
  <c r="F2403" i="5" s="1"/>
  <c r="E2404" i="5"/>
  <c r="F2404" i="5" s="1"/>
  <c r="E2405" i="5"/>
  <c r="F2405" i="5" s="1"/>
  <c r="E2406" i="5"/>
  <c r="F2406" i="5" s="1"/>
  <c r="E2407" i="5"/>
  <c r="F2407" i="5" s="1"/>
  <c r="E2408" i="5"/>
  <c r="F2408" i="5" s="1"/>
  <c r="E2409" i="5"/>
  <c r="F2409" i="5" s="1"/>
  <c r="E2410" i="5"/>
  <c r="F2410" i="5" s="1"/>
  <c r="E2411" i="5"/>
  <c r="F2411" i="5" s="1"/>
  <c r="E2412" i="5"/>
  <c r="F2412" i="5" s="1"/>
  <c r="E2413" i="5"/>
  <c r="F2413" i="5" s="1"/>
  <c r="E2414" i="5"/>
  <c r="F2414" i="5" s="1"/>
  <c r="E2415" i="5"/>
  <c r="F2415" i="5" s="1"/>
  <c r="E2416" i="5"/>
  <c r="F2416" i="5" s="1"/>
  <c r="E2417" i="5"/>
  <c r="F2417" i="5" s="1"/>
  <c r="E2418" i="5"/>
  <c r="F2418" i="5" s="1"/>
  <c r="E2419" i="5"/>
  <c r="F2419" i="5" s="1"/>
  <c r="E2420" i="5"/>
  <c r="F2420" i="5" s="1"/>
  <c r="E2421" i="5"/>
  <c r="F2421" i="5" s="1"/>
  <c r="E2422" i="5"/>
  <c r="F2422" i="5" s="1"/>
  <c r="E2423" i="5"/>
  <c r="F2423" i="5" s="1"/>
  <c r="E2424" i="5"/>
  <c r="F2424" i="5" s="1"/>
  <c r="E2425" i="5"/>
  <c r="F2425" i="5" s="1"/>
  <c r="E2426" i="5"/>
  <c r="F2426" i="5" s="1"/>
  <c r="E2427" i="5"/>
  <c r="F2427" i="5" s="1"/>
  <c r="E2428" i="5"/>
  <c r="F2428" i="5" s="1"/>
  <c r="E2429" i="5"/>
  <c r="F2429" i="5" s="1"/>
  <c r="E2430" i="5"/>
  <c r="F2430" i="5" s="1"/>
  <c r="E2431" i="5"/>
  <c r="F2431" i="5" s="1"/>
  <c r="E2432" i="5"/>
  <c r="F2432" i="5" s="1"/>
  <c r="E2433" i="5"/>
  <c r="F2433" i="5" s="1"/>
  <c r="E2434" i="5"/>
  <c r="F2434" i="5" s="1"/>
  <c r="E2435" i="5"/>
  <c r="F2435" i="5" s="1"/>
  <c r="E2436" i="5"/>
  <c r="F2436" i="5" s="1"/>
  <c r="E2437" i="5"/>
  <c r="F2437" i="5" s="1"/>
  <c r="E2438" i="5"/>
  <c r="F2438" i="5" s="1"/>
  <c r="E2439" i="5"/>
  <c r="F2439" i="5" s="1"/>
  <c r="E2440" i="5"/>
  <c r="F2440" i="5" s="1"/>
  <c r="E2441" i="5"/>
  <c r="F2441" i="5" s="1"/>
  <c r="E2442" i="5"/>
  <c r="F2442" i="5" s="1"/>
  <c r="E2443" i="5"/>
  <c r="F2443" i="5" s="1"/>
  <c r="E2444" i="5"/>
  <c r="F2444" i="5" s="1"/>
  <c r="E2445" i="5"/>
  <c r="F2445" i="5" s="1"/>
  <c r="E2446" i="5"/>
  <c r="F2446" i="5" s="1"/>
  <c r="E2447" i="5"/>
  <c r="F2447" i="5" s="1"/>
  <c r="E2448" i="5"/>
  <c r="F2448" i="5" s="1"/>
  <c r="E2449" i="5"/>
  <c r="F2449" i="5" s="1"/>
  <c r="E2450" i="5"/>
  <c r="F2450" i="5" s="1"/>
  <c r="E2451" i="5"/>
  <c r="F2451" i="5" s="1"/>
  <c r="E2452" i="5"/>
  <c r="F2452" i="5" s="1"/>
  <c r="E2453" i="5"/>
  <c r="F2453" i="5" s="1"/>
  <c r="E2454" i="5"/>
  <c r="F2454" i="5" s="1"/>
  <c r="E2455" i="5"/>
  <c r="F2455" i="5" s="1"/>
  <c r="E2456" i="5"/>
  <c r="F2456" i="5" s="1"/>
  <c r="E2457" i="5"/>
  <c r="F2457" i="5" s="1"/>
  <c r="E2458" i="5"/>
  <c r="F2458" i="5" s="1"/>
  <c r="E2459" i="5"/>
  <c r="F2459" i="5" s="1"/>
  <c r="E2460" i="5"/>
  <c r="F2460" i="5" s="1"/>
  <c r="E2461" i="5"/>
  <c r="F2461" i="5" s="1"/>
  <c r="E2462" i="5"/>
  <c r="F2462" i="5" s="1"/>
  <c r="E2463" i="5"/>
  <c r="F2463" i="5" s="1"/>
  <c r="E2464" i="5"/>
  <c r="F2464" i="5" s="1"/>
  <c r="E2465" i="5"/>
  <c r="F2465" i="5" s="1"/>
  <c r="E2466" i="5"/>
  <c r="F2466" i="5" s="1"/>
  <c r="E2467" i="5"/>
  <c r="F2467" i="5" s="1"/>
  <c r="E2468" i="5"/>
  <c r="F2468" i="5" s="1"/>
  <c r="E2469" i="5"/>
  <c r="F2469" i="5" s="1"/>
  <c r="E2470" i="5"/>
  <c r="F2470" i="5" s="1"/>
  <c r="E2471" i="5"/>
  <c r="F2471" i="5" s="1"/>
  <c r="E2472" i="5"/>
  <c r="F2472" i="5" s="1"/>
  <c r="E2473" i="5"/>
  <c r="F2473" i="5" s="1"/>
  <c r="E2474" i="5"/>
  <c r="F2474" i="5" s="1"/>
  <c r="E2475" i="5"/>
  <c r="F2475" i="5" s="1"/>
  <c r="E2476" i="5"/>
  <c r="F2476" i="5" s="1"/>
  <c r="E2477" i="5"/>
  <c r="F2477" i="5" s="1"/>
  <c r="E2478" i="5"/>
  <c r="F2478" i="5" s="1"/>
  <c r="E2479" i="5"/>
  <c r="F2479" i="5" s="1"/>
  <c r="E2480" i="5"/>
  <c r="F2480" i="5" s="1"/>
  <c r="E2481" i="5"/>
  <c r="F2481" i="5" s="1"/>
  <c r="E2482" i="5"/>
  <c r="F2482" i="5" s="1"/>
  <c r="E2483" i="5"/>
  <c r="F2483" i="5" s="1"/>
  <c r="E2484" i="5"/>
  <c r="F2484" i="5" s="1"/>
  <c r="E2485" i="5"/>
  <c r="F2485" i="5" s="1"/>
  <c r="E2486" i="5"/>
  <c r="F2486" i="5" s="1"/>
  <c r="E2487" i="5"/>
  <c r="F2487" i="5" s="1"/>
  <c r="E2488" i="5"/>
  <c r="F2488" i="5" s="1"/>
  <c r="E2489" i="5"/>
  <c r="F2489" i="5" s="1"/>
  <c r="E2490" i="5"/>
  <c r="F2490" i="5" s="1"/>
  <c r="E2491" i="5"/>
  <c r="F2491" i="5" s="1"/>
  <c r="E2492" i="5"/>
  <c r="F2492" i="5" s="1"/>
  <c r="E2493" i="5"/>
  <c r="F2493" i="5" s="1"/>
  <c r="E2494" i="5"/>
  <c r="F2494" i="5" s="1"/>
  <c r="E2495" i="5"/>
  <c r="F2495" i="5" s="1"/>
  <c r="E2496" i="5"/>
  <c r="F2496" i="5" s="1"/>
  <c r="E2497" i="5"/>
  <c r="F2497" i="5" s="1"/>
  <c r="E2498" i="5"/>
  <c r="F2498" i="5" s="1"/>
  <c r="E2499" i="5"/>
  <c r="F2499" i="5" s="1"/>
  <c r="E2500" i="5"/>
  <c r="F2500" i="5" s="1"/>
  <c r="E2501" i="5"/>
  <c r="F2501" i="5" s="1"/>
  <c r="E2502" i="5"/>
  <c r="F2502" i="5" s="1"/>
  <c r="E2503" i="5"/>
  <c r="F2503" i="5" s="1"/>
  <c r="E2504" i="5"/>
  <c r="F2504" i="5" s="1"/>
  <c r="E2505" i="5"/>
  <c r="F2505" i="5" s="1"/>
  <c r="E2506" i="5"/>
  <c r="F2506" i="5" s="1"/>
  <c r="E2507" i="5"/>
  <c r="F2507" i="5" s="1"/>
  <c r="E2508" i="5"/>
  <c r="F2508" i="5" s="1"/>
  <c r="E2509" i="5"/>
  <c r="F2509" i="5" s="1"/>
  <c r="E2510" i="5"/>
  <c r="F2510" i="5" s="1"/>
  <c r="E2511" i="5"/>
  <c r="F2511" i="5" s="1"/>
  <c r="E2512" i="5"/>
  <c r="F2512" i="5" s="1"/>
  <c r="E2513" i="5"/>
  <c r="F2513" i="5" s="1"/>
  <c r="E2514" i="5"/>
  <c r="F2514" i="5" s="1"/>
  <c r="E2515" i="5"/>
  <c r="F2515" i="5" s="1"/>
  <c r="E2516" i="5"/>
  <c r="F2516" i="5" s="1"/>
  <c r="E2517" i="5"/>
  <c r="F2517" i="5" s="1"/>
  <c r="E2518" i="5"/>
  <c r="F2518" i="5" s="1"/>
  <c r="E2519" i="5"/>
  <c r="F2519" i="5" s="1"/>
  <c r="E2520" i="5"/>
  <c r="F2520" i="5" s="1"/>
  <c r="E2521" i="5"/>
  <c r="F2521" i="5" s="1"/>
  <c r="E2522" i="5"/>
  <c r="F2522" i="5" s="1"/>
  <c r="E2523" i="5"/>
  <c r="F2523" i="5" s="1"/>
  <c r="E2524" i="5"/>
  <c r="F2524" i="5" s="1"/>
  <c r="E2525" i="5"/>
  <c r="F2525" i="5" s="1"/>
  <c r="E2526" i="5"/>
  <c r="F2526" i="5" s="1"/>
  <c r="E2527" i="5"/>
  <c r="F2527" i="5" s="1"/>
  <c r="E2528" i="5"/>
  <c r="F2528" i="5" s="1"/>
  <c r="E2529" i="5"/>
  <c r="F2529" i="5" s="1"/>
  <c r="E2530" i="5"/>
  <c r="F2530" i="5" s="1"/>
  <c r="E2531" i="5"/>
  <c r="F2531" i="5" s="1"/>
  <c r="E2532" i="5"/>
  <c r="F2532" i="5" s="1"/>
  <c r="E2533" i="5"/>
  <c r="F2533" i="5" s="1"/>
  <c r="E2534" i="5"/>
  <c r="F2534" i="5" s="1"/>
  <c r="E2535" i="5"/>
  <c r="F2535" i="5" s="1"/>
  <c r="E2536" i="5"/>
  <c r="F2536" i="5" s="1"/>
  <c r="E2537" i="5"/>
  <c r="F2537" i="5" s="1"/>
  <c r="E2538" i="5"/>
  <c r="F2538" i="5" s="1"/>
  <c r="E2539" i="5"/>
  <c r="F2539" i="5" s="1"/>
  <c r="E2540" i="5"/>
  <c r="F2540" i="5" s="1"/>
  <c r="E2541" i="5"/>
  <c r="F2541" i="5" s="1"/>
  <c r="E2542" i="5"/>
  <c r="F2542" i="5" s="1"/>
  <c r="E2543" i="5"/>
  <c r="F2543" i="5" s="1"/>
  <c r="E2544" i="5"/>
  <c r="F2544" i="5" s="1"/>
  <c r="E2545" i="5"/>
  <c r="F2545" i="5" s="1"/>
  <c r="E2546" i="5"/>
  <c r="F2546" i="5" s="1"/>
  <c r="E2547" i="5"/>
  <c r="F2547" i="5" s="1"/>
  <c r="E2548" i="5"/>
  <c r="F2548" i="5" s="1"/>
  <c r="E2549" i="5"/>
  <c r="F2549" i="5" s="1"/>
  <c r="E2550" i="5"/>
  <c r="F2550" i="5" s="1"/>
  <c r="E2551" i="5"/>
  <c r="F2551" i="5" s="1"/>
  <c r="E2552" i="5"/>
  <c r="F2552" i="5" s="1"/>
  <c r="E2553" i="5"/>
  <c r="F2553" i="5" s="1"/>
  <c r="E2554" i="5"/>
  <c r="F2554" i="5" s="1"/>
  <c r="E2555" i="5"/>
  <c r="F2555" i="5" s="1"/>
  <c r="E2556" i="5"/>
  <c r="F2556" i="5" s="1"/>
  <c r="E2557" i="5"/>
  <c r="F2557" i="5" s="1"/>
  <c r="E2558" i="5"/>
  <c r="F2558" i="5" s="1"/>
  <c r="E2559" i="5"/>
  <c r="F2559" i="5" s="1"/>
  <c r="E2560" i="5"/>
  <c r="F2560" i="5" s="1"/>
  <c r="E2561" i="5"/>
  <c r="F2561" i="5" s="1"/>
  <c r="E2562" i="5"/>
  <c r="F2562" i="5" s="1"/>
  <c r="E2563" i="5"/>
  <c r="F2563" i="5" s="1"/>
  <c r="E2564" i="5"/>
  <c r="F2564" i="5" s="1"/>
  <c r="E2565" i="5"/>
  <c r="F2565" i="5" s="1"/>
  <c r="E2566" i="5"/>
  <c r="F2566" i="5" s="1"/>
  <c r="E2567" i="5"/>
  <c r="F2567" i="5" s="1"/>
  <c r="E2568" i="5"/>
  <c r="F2568" i="5" s="1"/>
  <c r="E2569" i="5"/>
  <c r="F2569" i="5" s="1"/>
  <c r="E2570" i="5"/>
  <c r="F2570" i="5" s="1"/>
  <c r="E2571" i="5"/>
  <c r="F2571" i="5" s="1"/>
  <c r="E2572" i="5"/>
  <c r="F2572" i="5" s="1"/>
  <c r="E2573" i="5"/>
  <c r="F2573" i="5" s="1"/>
  <c r="E2574" i="5"/>
  <c r="F2574" i="5" s="1"/>
  <c r="E2575" i="5"/>
  <c r="F2575" i="5" s="1"/>
  <c r="E2576" i="5"/>
  <c r="F2576" i="5" s="1"/>
  <c r="E2577" i="5"/>
  <c r="F2577" i="5" s="1"/>
  <c r="E2578" i="5"/>
  <c r="F2578" i="5" s="1"/>
  <c r="E2579" i="5"/>
  <c r="F2579" i="5" s="1"/>
  <c r="E2580" i="5"/>
  <c r="F2580" i="5" s="1"/>
  <c r="E2581" i="5"/>
  <c r="F2581" i="5" s="1"/>
  <c r="E2582" i="5"/>
  <c r="F2582" i="5" s="1"/>
  <c r="E2583" i="5"/>
  <c r="F2583" i="5" s="1"/>
  <c r="E2584" i="5"/>
  <c r="F2584" i="5" s="1"/>
  <c r="E2585" i="5"/>
  <c r="F2585" i="5" s="1"/>
  <c r="E2586" i="5"/>
  <c r="F2586" i="5" s="1"/>
  <c r="E2587" i="5"/>
  <c r="F2587" i="5" s="1"/>
  <c r="E2588" i="5"/>
  <c r="F2588" i="5" s="1"/>
  <c r="E2589" i="5"/>
  <c r="F2589" i="5" s="1"/>
  <c r="E2590" i="5"/>
  <c r="F2590" i="5" s="1"/>
  <c r="E2591" i="5"/>
  <c r="F2591" i="5" s="1"/>
  <c r="E2592" i="5"/>
  <c r="F2592" i="5" s="1"/>
  <c r="E2593" i="5"/>
  <c r="F2593" i="5" s="1"/>
  <c r="E2594" i="5"/>
  <c r="F2594" i="5" s="1"/>
  <c r="E2595" i="5"/>
  <c r="F2595" i="5" s="1"/>
  <c r="E2596" i="5"/>
  <c r="F2596" i="5" s="1"/>
  <c r="E2597" i="5"/>
  <c r="F2597" i="5" s="1"/>
  <c r="E2598" i="5"/>
  <c r="F2598" i="5" s="1"/>
  <c r="E2599" i="5"/>
  <c r="F2599" i="5" s="1"/>
  <c r="E2600" i="5"/>
  <c r="F2600" i="5" s="1"/>
  <c r="E2601" i="5"/>
  <c r="F2601" i="5" s="1"/>
  <c r="E2602" i="5"/>
  <c r="F2602" i="5" s="1"/>
  <c r="E2603" i="5"/>
  <c r="F2603" i="5" s="1"/>
  <c r="E2604" i="5"/>
  <c r="F2604" i="5" s="1"/>
  <c r="E2605" i="5"/>
  <c r="F2605" i="5" s="1"/>
  <c r="E2606" i="5"/>
  <c r="F2606" i="5" s="1"/>
  <c r="E2607" i="5"/>
  <c r="F2607" i="5" s="1"/>
  <c r="E2608" i="5"/>
  <c r="F2608" i="5" s="1"/>
  <c r="E2609" i="5"/>
  <c r="F2609" i="5" s="1"/>
  <c r="E2610" i="5"/>
  <c r="F2610" i="5" s="1"/>
  <c r="E2611" i="5"/>
  <c r="F2611" i="5" s="1"/>
  <c r="E2612" i="5"/>
  <c r="F2612" i="5" s="1"/>
  <c r="E2613" i="5"/>
  <c r="F2613" i="5" s="1"/>
  <c r="E2614" i="5"/>
  <c r="F2614" i="5" s="1"/>
  <c r="E2615" i="5"/>
  <c r="F2615" i="5" s="1"/>
  <c r="E2616" i="5"/>
  <c r="F2616" i="5" s="1"/>
  <c r="E2617" i="5"/>
  <c r="F2617" i="5" s="1"/>
  <c r="E2618" i="5"/>
  <c r="F2618" i="5" s="1"/>
  <c r="E2619" i="5"/>
  <c r="F2619" i="5" s="1"/>
  <c r="E2620" i="5"/>
  <c r="F2620" i="5" s="1"/>
  <c r="E2621" i="5"/>
  <c r="F2621" i="5" s="1"/>
  <c r="E2622" i="5"/>
  <c r="F2622" i="5" s="1"/>
  <c r="E2623" i="5"/>
  <c r="F2623" i="5" s="1"/>
  <c r="E2624" i="5"/>
  <c r="F2624" i="5" s="1"/>
  <c r="E2625" i="5"/>
  <c r="F2625" i="5" s="1"/>
  <c r="E2626" i="5"/>
  <c r="F2626" i="5" s="1"/>
  <c r="E2627" i="5"/>
  <c r="F2627" i="5" s="1"/>
  <c r="E2628" i="5"/>
  <c r="F2628" i="5" s="1"/>
  <c r="E2629" i="5"/>
  <c r="F2629" i="5" s="1"/>
  <c r="E2630" i="5"/>
  <c r="F2630" i="5" s="1"/>
  <c r="E2631" i="5"/>
  <c r="F2631" i="5" s="1"/>
  <c r="E2632" i="5"/>
  <c r="F2632" i="5" s="1"/>
  <c r="E2633" i="5"/>
  <c r="F2633" i="5" s="1"/>
  <c r="E2634" i="5"/>
  <c r="F2634" i="5" s="1"/>
  <c r="E2635" i="5"/>
  <c r="F2635" i="5" s="1"/>
  <c r="E2636" i="5"/>
  <c r="F2636" i="5" s="1"/>
  <c r="E2637" i="5"/>
  <c r="F2637" i="5" s="1"/>
  <c r="E2638" i="5"/>
  <c r="F2638" i="5" s="1"/>
  <c r="E2639" i="5"/>
  <c r="F2639" i="5" s="1"/>
  <c r="E2640" i="5"/>
  <c r="F2640" i="5" s="1"/>
  <c r="E2641" i="5"/>
  <c r="F2641" i="5" s="1"/>
  <c r="E2642" i="5"/>
  <c r="F2642" i="5" s="1"/>
  <c r="E2643" i="5"/>
  <c r="F2643" i="5" s="1"/>
  <c r="E2644" i="5"/>
  <c r="F2644" i="5" s="1"/>
  <c r="E2645" i="5"/>
  <c r="F2645" i="5" s="1"/>
  <c r="E2646" i="5"/>
  <c r="F2646" i="5" s="1"/>
  <c r="E2647" i="5"/>
  <c r="F2647" i="5" s="1"/>
  <c r="E2648" i="5"/>
  <c r="F2648" i="5" s="1"/>
  <c r="E2649" i="5"/>
  <c r="F2649" i="5" s="1"/>
  <c r="E2650" i="5"/>
  <c r="F2650" i="5" s="1"/>
  <c r="E2651" i="5"/>
  <c r="F2651" i="5" s="1"/>
  <c r="E2652" i="5"/>
  <c r="F2652" i="5" s="1"/>
  <c r="E2653" i="5"/>
  <c r="F2653" i="5" s="1"/>
  <c r="E2654" i="5"/>
  <c r="F2654" i="5" s="1"/>
  <c r="E2655" i="5"/>
  <c r="F2655" i="5" s="1"/>
  <c r="E2656" i="5"/>
  <c r="F2656" i="5" s="1"/>
  <c r="E2657" i="5"/>
  <c r="F2657" i="5" s="1"/>
  <c r="E2658" i="5"/>
  <c r="F2658" i="5" s="1"/>
  <c r="E2659" i="5"/>
  <c r="F2659" i="5" s="1"/>
  <c r="E2660" i="5"/>
  <c r="F2660" i="5" s="1"/>
  <c r="E2661" i="5"/>
  <c r="F2661" i="5" s="1"/>
  <c r="E2662" i="5"/>
  <c r="F2662" i="5" s="1"/>
  <c r="E2663" i="5"/>
  <c r="F2663" i="5" s="1"/>
  <c r="E2664" i="5"/>
  <c r="F2664" i="5" s="1"/>
  <c r="E2665" i="5"/>
  <c r="F2665" i="5" s="1"/>
  <c r="E2666" i="5"/>
  <c r="F2666" i="5" s="1"/>
  <c r="E2667" i="5"/>
  <c r="F2667" i="5" s="1"/>
  <c r="E2668" i="5"/>
  <c r="F2668" i="5" s="1"/>
  <c r="E2669" i="5"/>
  <c r="F2669" i="5" s="1"/>
  <c r="E2670" i="5"/>
  <c r="F2670" i="5" s="1"/>
  <c r="E2671" i="5"/>
  <c r="F2671" i="5" s="1"/>
  <c r="E2672" i="5"/>
  <c r="F2672" i="5" s="1"/>
  <c r="E2673" i="5"/>
  <c r="F2673" i="5" s="1"/>
  <c r="E2674" i="5"/>
  <c r="F2674" i="5" s="1"/>
  <c r="E2675" i="5"/>
  <c r="F2675" i="5" s="1"/>
  <c r="E2676" i="5"/>
  <c r="F2676" i="5" s="1"/>
  <c r="E2677" i="5"/>
  <c r="F2677" i="5" s="1"/>
  <c r="E2678" i="5"/>
  <c r="F2678" i="5" s="1"/>
  <c r="E2679" i="5"/>
  <c r="F2679" i="5" s="1"/>
  <c r="E2680" i="5"/>
  <c r="F2680" i="5" s="1"/>
  <c r="E2681" i="5"/>
  <c r="F2681" i="5" s="1"/>
  <c r="E2682" i="5"/>
  <c r="F2682" i="5" s="1"/>
  <c r="E2683" i="5"/>
  <c r="F2683" i="5" s="1"/>
  <c r="E2684" i="5"/>
  <c r="F2684" i="5" s="1"/>
  <c r="E2685" i="5"/>
  <c r="F2685" i="5" s="1"/>
  <c r="E2686" i="5"/>
  <c r="F2686" i="5" s="1"/>
  <c r="E2687" i="5"/>
  <c r="F2687" i="5" s="1"/>
  <c r="E2688" i="5"/>
  <c r="F2688" i="5" s="1"/>
  <c r="E2689" i="5"/>
  <c r="F2689" i="5" s="1"/>
  <c r="E2690" i="5"/>
  <c r="F2690" i="5" s="1"/>
  <c r="E2691" i="5"/>
  <c r="F2691" i="5" s="1"/>
  <c r="E2692" i="5"/>
  <c r="F2692" i="5" s="1"/>
  <c r="E2693" i="5"/>
  <c r="F2693" i="5" s="1"/>
  <c r="E2694" i="5"/>
  <c r="F2694" i="5" s="1"/>
  <c r="E2695" i="5"/>
  <c r="F2695" i="5" s="1"/>
  <c r="E2696" i="5"/>
  <c r="F2696" i="5" s="1"/>
  <c r="E2697" i="5"/>
  <c r="F2697" i="5" s="1"/>
  <c r="E2698" i="5"/>
  <c r="F2698" i="5" s="1"/>
  <c r="E2699" i="5"/>
  <c r="F2699" i="5" s="1"/>
  <c r="E2700" i="5"/>
  <c r="F2700" i="5" s="1"/>
  <c r="E2701" i="5"/>
  <c r="F2701" i="5" s="1"/>
  <c r="E2702" i="5"/>
  <c r="F2702" i="5" s="1"/>
  <c r="E2703" i="5"/>
  <c r="F2703" i="5" s="1"/>
  <c r="E2704" i="5"/>
  <c r="F2704" i="5" s="1"/>
  <c r="E2705" i="5"/>
  <c r="F2705" i="5" s="1"/>
  <c r="E2706" i="5"/>
  <c r="F2706" i="5" s="1"/>
  <c r="E2707" i="5"/>
  <c r="F2707" i="5" s="1"/>
  <c r="E2708" i="5"/>
  <c r="F2708" i="5" s="1"/>
  <c r="E2709" i="5"/>
  <c r="F2709" i="5" s="1"/>
  <c r="E2710" i="5"/>
  <c r="F2710" i="5" s="1"/>
  <c r="E2711" i="5"/>
  <c r="F2711" i="5" s="1"/>
  <c r="E2712" i="5"/>
  <c r="F2712" i="5" s="1"/>
  <c r="E2713" i="5"/>
  <c r="F2713" i="5" s="1"/>
  <c r="E2714" i="5"/>
  <c r="F2714" i="5" s="1"/>
  <c r="E2715" i="5"/>
  <c r="F2715" i="5" s="1"/>
  <c r="E2716" i="5"/>
  <c r="F2716" i="5" s="1"/>
  <c r="E2717" i="5"/>
  <c r="F2717" i="5" s="1"/>
  <c r="E2718" i="5"/>
  <c r="F2718" i="5" s="1"/>
  <c r="E2719" i="5"/>
  <c r="F2719" i="5" s="1"/>
  <c r="E2720" i="5"/>
  <c r="F2720" i="5" s="1"/>
  <c r="E2721" i="5"/>
  <c r="F2721" i="5" s="1"/>
  <c r="E2722" i="5"/>
  <c r="F2722" i="5" s="1"/>
  <c r="E2723" i="5"/>
  <c r="F2723" i="5" s="1"/>
  <c r="E2724" i="5"/>
  <c r="F2724" i="5" s="1"/>
  <c r="E2725" i="5"/>
  <c r="F2725" i="5" s="1"/>
  <c r="E2726" i="5"/>
  <c r="F2726" i="5" s="1"/>
  <c r="E2727" i="5"/>
  <c r="F2727" i="5" s="1"/>
  <c r="E2728" i="5"/>
  <c r="F2728" i="5" s="1"/>
  <c r="E2729" i="5"/>
  <c r="F2729" i="5" s="1"/>
  <c r="E2730" i="5"/>
  <c r="F2730" i="5" s="1"/>
  <c r="E2731" i="5"/>
  <c r="F2731" i="5" s="1"/>
  <c r="E2732" i="5"/>
  <c r="F2732" i="5" s="1"/>
  <c r="E2733" i="5"/>
  <c r="F2733" i="5" s="1"/>
  <c r="E2734" i="5"/>
  <c r="F2734" i="5" s="1"/>
  <c r="E2735" i="5"/>
  <c r="F2735" i="5" s="1"/>
  <c r="E2736" i="5"/>
  <c r="F2736" i="5" s="1"/>
  <c r="E2737" i="5"/>
  <c r="F2737" i="5" s="1"/>
  <c r="E2738" i="5"/>
  <c r="F2738" i="5" s="1"/>
  <c r="E2739" i="5"/>
  <c r="F2739" i="5" s="1"/>
  <c r="E2740" i="5"/>
  <c r="F2740" i="5" s="1"/>
  <c r="E2741" i="5"/>
  <c r="F2741" i="5" s="1"/>
  <c r="E2742" i="5"/>
  <c r="F2742" i="5" s="1"/>
  <c r="E2743" i="5"/>
  <c r="F2743" i="5" s="1"/>
  <c r="E2744" i="5"/>
  <c r="F2744" i="5" s="1"/>
  <c r="E2745" i="5"/>
  <c r="F2745" i="5" s="1"/>
  <c r="E2746" i="5"/>
  <c r="F2746" i="5" s="1"/>
  <c r="E2747" i="5"/>
  <c r="F2747" i="5" s="1"/>
  <c r="E2748" i="5"/>
  <c r="F2748" i="5" s="1"/>
  <c r="E2749" i="5"/>
  <c r="F2749" i="5" s="1"/>
  <c r="E2750" i="5"/>
  <c r="F2750" i="5" s="1"/>
  <c r="E2751" i="5"/>
  <c r="F2751" i="5" s="1"/>
  <c r="E2752" i="5"/>
  <c r="F2752" i="5" s="1"/>
  <c r="E2753" i="5"/>
  <c r="F2753" i="5" s="1"/>
  <c r="E2754" i="5"/>
  <c r="F2754" i="5" s="1"/>
  <c r="E2755" i="5"/>
  <c r="F2755" i="5" s="1"/>
  <c r="E2756" i="5"/>
  <c r="F2756" i="5" s="1"/>
  <c r="E2757" i="5"/>
  <c r="F2757" i="5" s="1"/>
  <c r="E2758" i="5"/>
  <c r="F2758" i="5" s="1"/>
  <c r="E2759" i="5"/>
  <c r="F2759" i="5" s="1"/>
  <c r="E2760" i="5"/>
  <c r="F2760" i="5" s="1"/>
  <c r="E2761" i="5"/>
  <c r="F2761" i="5" s="1"/>
  <c r="E2762" i="5"/>
  <c r="F2762" i="5" s="1"/>
  <c r="E2763" i="5"/>
  <c r="F2763" i="5" s="1"/>
  <c r="E2764" i="5"/>
  <c r="F2764" i="5" s="1"/>
  <c r="E2765" i="5"/>
  <c r="F2765" i="5" s="1"/>
  <c r="E2766" i="5"/>
  <c r="F2766" i="5" s="1"/>
  <c r="E2767" i="5"/>
  <c r="F2767" i="5" s="1"/>
  <c r="E2768" i="5"/>
  <c r="F2768" i="5" s="1"/>
  <c r="E2769" i="5"/>
  <c r="F2769" i="5" s="1"/>
  <c r="E2770" i="5"/>
  <c r="F2770" i="5" s="1"/>
  <c r="E2771" i="5"/>
  <c r="F2771" i="5" s="1"/>
  <c r="E2772" i="5"/>
  <c r="F2772" i="5" s="1"/>
  <c r="E2773" i="5"/>
  <c r="F2773" i="5" s="1"/>
  <c r="E2774" i="5"/>
  <c r="F2774" i="5" s="1"/>
  <c r="E2775" i="5"/>
  <c r="F2775" i="5" s="1"/>
  <c r="E2776" i="5"/>
  <c r="F2776" i="5" s="1"/>
  <c r="E2777" i="5"/>
  <c r="F2777" i="5" s="1"/>
  <c r="E2778" i="5"/>
  <c r="F2778" i="5" s="1"/>
  <c r="E2779" i="5"/>
  <c r="F2779" i="5" s="1"/>
  <c r="E2780" i="5"/>
  <c r="F2780" i="5" s="1"/>
  <c r="E2781" i="5"/>
  <c r="F2781" i="5" s="1"/>
  <c r="E2782" i="5"/>
  <c r="F2782" i="5" s="1"/>
  <c r="E2783" i="5"/>
  <c r="F2783" i="5" s="1"/>
  <c r="E2784" i="5"/>
  <c r="F2784" i="5" s="1"/>
  <c r="E2785" i="5"/>
  <c r="F2785" i="5" s="1"/>
  <c r="E2786" i="5"/>
  <c r="F2786" i="5" s="1"/>
  <c r="E2787" i="5"/>
  <c r="F2787" i="5" s="1"/>
  <c r="E2788" i="5"/>
  <c r="F2788" i="5" s="1"/>
  <c r="E2789" i="5"/>
  <c r="F2789" i="5" s="1"/>
  <c r="E2790" i="5"/>
  <c r="F2790" i="5" s="1"/>
  <c r="E2791" i="5"/>
  <c r="F2791" i="5" s="1"/>
  <c r="E2792" i="5"/>
  <c r="F2792" i="5" s="1"/>
  <c r="E2793" i="5"/>
  <c r="F2793" i="5" s="1"/>
  <c r="E2794" i="5"/>
  <c r="F2794" i="5" s="1"/>
  <c r="E2795" i="5"/>
  <c r="F2795" i="5" s="1"/>
  <c r="E2796" i="5"/>
  <c r="F2796" i="5" s="1"/>
  <c r="E2797" i="5"/>
  <c r="F2797" i="5" s="1"/>
  <c r="E2798" i="5"/>
  <c r="F2798" i="5" s="1"/>
  <c r="E2799" i="5"/>
  <c r="F2799" i="5" s="1"/>
  <c r="E2800" i="5"/>
  <c r="F2800" i="5" s="1"/>
  <c r="E2801" i="5"/>
  <c r="F2801" i="5" s="1"/>
  <c r="E2802" i="5"/>
  <c r="F2802" i="5" s="1"/>
  <c r="E2803" i="5"/>
  <c r="F2803" i="5" s="1"/>
  <c r="E2804" i="5"/>
  <c r="F2804" i="5" s="1"/>
  <c r="E2805" i="5"/>
  <c r="F2805" i="5" s="1"/>
  <c r="E2806" i="5"/>
  <c r="F2806" i="5" s="1"/>
  <c r="E2807" i="5"/>
  <c r="F2807" i="5" s="1"/>
  <c r="E2808" i="5"/>
  <c r="F2808" i="5" s="1"/>
  <c r="E2809" i="5"/>
  <c r="F2809" i="5" s="1"/>
  <c r="E2810" i="5"/>
  <c r="F2810" i="5" s="1"/>
  <c r="E2811" i="5"/>
  <c r="F2811" i="5" s="1"/>
  <c r="E2812" i="5"/>
  <c r="F2812" i="5" s="1"/>
  <c r="E2813" i="5"/>
  <c r="F2813" i="5" s="1"/>
  <c r="E2814" i="5"/>
  <c r="F2814" i="5" s="1"/>
  <c r="E2815" i="5"/>
  <c r="F2815" i="5" s="1"/>
  <c r="E2816" i="5"/>
  <c r="F2816" i="5" s="1"/>
  <c r="E2817" i="5"/>
  <c r="F2817" i="5" s="1"/>
  <c r="E2818" i="5"/>
  <c r="F2818" i="5" s="1"/>
  <c r="E2819" i="5"/>
  <c r="F2819" i="5" s="1"/>
  <c r="E2820" i="5"/>
  <c r="F2820" i="5" s="1"/>
  <c r="E2821" i="5"/>
  <c r="F2821" i="5" s="1"/>
  <c r="E2822" i="5"/>
  <c r="F2822" i="5" s="1"/>
  <c r="E2823" i="5"/>
  <c r="F2823" i="5" s="1"/>
  <c r="E2824" i="5"/>
  <c r="F2824" i="5" s="1"/>
  <c r="E2825" i="5"/>
  <c r="F2825" i="5" s="1"/>
  <c r="E2826" i="5"/>
  <c r="F2826" i="5" s="1"/>
  <c r="E2827" i="5"/>
  <c r="F2827" i="5" s="1"/>
  <c r="E2828" i="5"/>
  <c r="F2828" i="5" s="1"/>
  <c r="E2829" i="5"/>
  <c r="F2829" i="5" s="1"/>
  <c r="E2830" i="5"/>
  <c r="F2830" i="5" s="1"/>
  <c r="E2831" i="5"/>
  <c r="F2831" i="5" s="1"/>
  <c r="E2832" i="5"/>
  <c r="F2832" i="5" s="1"/>
  <c r="E2833" i="5"/>
  <c r="F2833" i="5" s="1"/>
  <c r="E2834" i="5"/>
  <c r="F2834" i="5" s="1"/>
  <c r="E2835" i="5"/>
  <c r="F2835" i="5" s="1"/>
  <c r="E2836" i="5"/>
  <c r="F2836" i="5" s="1"/>
  <c r="E2837" i="5"/>
  <c r="F2837" i="5" s="1"/>
  <c r="E2838" i="5"/>
  <c r="F2838" i="5" s="1"/>
  <c r="E2839" i="5"/>
  <c r="F2839" i="5" s="1"/>
  <c r="E2840" i="5"/>
  <c r="F2840" i="5" s="1"/>
  <c r="E2841" i="5"/>
  <c r="F2841" i="5" s="1"/>
  <c r="E2842" i="5"/>
  <c r="F2842" i="5" s="1"/>
  <c r="E2843" i="5"/>
  <c r="F2843" i="5" s="1"/>
  <c r="E2844" i="5"/>
  <c r="F2844" i="5" s="1"/>
  <c r="E2845" i="5"/>
  <c r="F2845" i="5" s="1"/>
  <c r="E2846" i="5"/>
  <c r="F2846" i="5" s="1"/>
  <c r="E2847" i="5"/>
  <c r="F2847" i="5" s="1"/>
  <c r="E2848" i="5"/>
  <c r="F2848" i="5" s="1"/>
  <c r="E2849" i="5"/>
  <c r="F2849" i="5" s="1"/>
  <c r="E2850" i="5"/>
  <c r="F2850" i="5" s="1"/>
  <c r="E2851" i="5"/>
  <c r="F2851" i="5" s="1"/>
  <c r="E2852" i="5"/>
  <c r="F2852" i="5" s="1"/>
  <c r="E2853" i="5"/>
  <c r="F2853" i="5" s="1"/>
  <c r="E2854" i="5"/>
  <c r="F2854" i="5" s="1"/>
  <c r="E2855" i="5"/>
  <c r="F2855" i="5" s="1"/>
  <c r="E2856" i="5"/>
  <c r="F2856" i="5" s="1"/>
  <c r="E2857" i="5"/>
  <c r="F2857" i="5" s="1"/>
  <c r="E2858" i="5"/>
  <c r="F2858" i="5" s="1"/>
  <c r="E2859" i="5"/>
  <c r="F2859" i="5" s="1"/>
  <c r="E2860" i="5"/>
  <c r="F2860" i="5" s="1"/>
  <c r="E2861" i="5"/>
  <c r="F2861" i="5" s="1"/>
  <c r="E2862" i="5"/>
  <c r="F2862" i="5" s="1"/>
  <c r="E2863" i="5"/>
  <c r="F2863" i="5" s="1"/>
  <c r="E2864" i="5"/>
  <c r="F2864" i="5" s="1"/>
  <c r="E2865" i="5"/>
  <c r="F2865" i="5" s="1"/>
  <c r="E2866" i="5"/>
  <c r="F2866" i="5" s="1"/>
  <c r="E2867" i="5"/>
  <c r="F2867" i="5" s="1"/>
  <c r="E2868" i="5"/>
  <c r="F2868" i="5" s="1"/>
  <c r="E2869" i="5"/>
  <c r="F2869" i="5" s="1"/>
  <c r="E2870" i="5"/>
  <c r="F2870" i="5" s="1"/>
  <c r="E2871" i="5"/>
  <c r="F2871" i="5" s="1"/>
  <c r="E2872" i="5"/>
  <c r="F2872" i="5" s="1"/>
  <c r="E2873" i="5"/>
  <c r="F2873" i="5" s="1"/>
  <c r="E2874" i="5"/>
  <c r="F2874" i="5" s="1"/>
  <c r="E2875" i="5"/>
  <c r="F2875" i="5" s="1"/>
  <c r="E2876" i="5"/>
  <c r="F2876" i="5" s="1"/>
  <c r="E2877" i="5"/>
  <c r="F2877" i="5" s="1"/>
  <c r="E2878" i="5"/>
  <c r="F2878" i="5" s="1"/>
  <c r="E2879" i="5"/>
  <c r="F2879" i="5" s="1"/>
  <c r="E2880" i="5"/>
  <c r="F2880" i="5" s="1"/>
  <c r="E2881" i="5"/>
  <c r="F2881" i="5" s="1"/>
  <c r="E2882" i="5"/>
  <c r="F2882" i="5" s="1"/>
  <c r="E2883" i="5"/>
  <c r="F2883" i="5" s="1"/>
  <c r="E2884" i="5"/>
  <c r="F2884" i="5" s="1"/>
  <c r="E2885" i="5"/>
  <c r="F2885" i="5" s="1"/>
  <c r="E2886" i="5"/>
  <c r="F2886" i="5" s="1"/>
  <c r="E2887" i="5"/>
  <c r="F2887" i="5" s="1"/>
  <c r="E2888" i="5"/>
  <c r="F2888" i="5" s="1"/>
  <c r="E2889" i="5"/>
  <c r="F2889" i="5" s="1"/>
  <c r="E2890" i="5"/>
  <c r="F2890" i="5" s="1"/>
  <c r="E2891" i="5"/>
  <c r="F2891" i="5" s="1"/>
  <c r="E2892" i="5"/>
  <c r="F2892" i="5" s="1"/>
  <c r="E2893" i="5"/>
  <c r="F2893" i="5" s="1"/>
  <c r="E2894" i="5"/>
  <c r="F2894" i="5" s="1"/>
  <c r="E2895" i="5"/>
  <c r="F2895" i="5" s="1"/>
  <c r="E2896" i="5"/>
  <c r="F2896" i="5" s="1"/>
  <c r="E2897" i="5"/>
  <c r="F2897" i="5" s="1"/>
  <c r="E2898" i="5"/>
  <c r="F2898" i="5" s="1"/>
  <c r="E2899" i="5"/>
  <c r="F2899" i="5" s="1"/>
  <c r="E2900" i="5"/>
  <c r="F2900" i="5" s="1"/>
  <c r="E2901" i="5"/>
  <c r="F2901" i="5" s="1"/>
  <c r="E2902" i="5"/>
  <c r="F2902" i="5" s="1"/>
  <c r="E2903" i="5"/>
  <c r="F2903" i="5" s="1"/>
  <c r="E2904" i="5"/>
  <c r="F2904" i="5" s="1"/>
  <c r="E2905" i="5"/>
  <c r="F2905" i="5" s="1"/>
  <c r="E2906" i="5"/>
  <c r="F2906" i="5" s="1"/>
  <c r="E2907" i="5"/>
  <c r="F2907" i="5" s="1"/>
  <c r="E2908" i="5"/>
  <c r="F2908" i="5" s="1"/>
  <c r="E2909" i="5"/>
  <c r="F2909" i="5" s="1"/>
  <c r="E2910" i="5"/>
  <c r="F2910" i="5" s="1"/>
  <c r="E2911" i="5"/>
  <c r="F2911" i="5" s="1"/>
  <c r="E2912" i="5"/>
  <c r="F2912" i="5" s="1"/>
  <c r="E2913" i="5"/>
  <c r="F2913" i="5" s="1"/>
  <c r="E2914" i="5"/>
  <c r="F2914" i="5" s="1"/>
  <c r="E2915" i="5"/>
  <c r="F2915" i="5" s="1"/>
  <c r="E2916" i="5"/>
  <c r="F2916" i="5" s="1"/>
  <c r="E2917" i="5"/>
  <c r="F2917" i="5" s="1"/>
  <c r="E2918" i="5"/>
  <c r="F2918" i="5" s="1"/>
  <c r="E2919" i="5"/>
  <c r="F2919" i="5" s="1"/>
  <c r="E2920" i="5"/>
  <c r="F2920" i="5" s="1"/>
  <c r="E2921" i="5"/>
  <c r="F2921" i="5" s="1"/>
  <c r="E2922" i="5"/>
  <c r="F2922" i="5" s="1"/>
  <c r="E2923" i="5"/>
  <c r="F2923" i="5" s="1"/>
  <c r="E2924" i="5"/>
  <c r="F2924" i="5" s="1"/>
  <c r="E2925" i="5"/>
  <c r="F2925" i="5" s="1"/>
  <c r="E2926" i="5"/>
  <c r="F2926" i="5" s="1"/>
  <c r="E2927" i="5"/>
  <c r="F2927" i="5" s="1"/>
  <c r="E2928" i="5"/>
  <c r="F2928" i="5" s="1"/>
  <c r="E2929" i="5"/>
  <c r="F2929" i="5" s="1"/>
  <c r="E2930" i="5"/>
  <c r="F2930" i="5" s="1"/>
  <c r="E2931" i="5"/>
  <c r="F2931" i="5" s="1"/>
  <c r="E2932" i="5"/>
  <c r="F2932" i="5" s="1"/>
  <c r="E2933" i="5"/>
  <c r="F2933" i="5" s="1"/>
  <c r="E2934" i="5"/>
  <c r="F2934" i="5" s="1"/>
  <c r="E2935" i="5"/>
  <c r="F2935" i="5" s="1"/>
  <c r="E2936" i="5"/>
  <c r="F2936" i="5" s="1"/>
  <c r="E2937" i="5"/>
  <c r="F2937" i="5" s="1"/>
  <c r="E2938" i="5"/>
  <c r="F2938" i="5" s="1"/>
  <c r="E2939" i="5"/>
  <c r="F2939" i="5" s="1"/>
  <c r="E2940" i="5"/>
  <c r="F2940" i="5" s="1"/>
  <c r="E2941" i="5"/>
  <c r="F2941" i="5" s="1"/>
  <c r="E2942" i="5"/>
  <c r="F2942" i="5" s="1"/>
  <c r="E2943" i="5"/>
  <c r="F2943" i="5" s="1"/>
  <c r="E2944" i="5"/>
  <c r="F2944" i="5" s="1"/>
  <c r="E2945" i="5"/>
  <c r="F2945" i="5" s="1"/>
  <c r="E2946" i="5"/>
  <c r="F2946" i="5" s="1"/>
  <c r="E2947" i="5"/>
  <c r="F2947" i="5" s="1"/>
  <c r="E2948" i="5"/>
  <c r="F2948" i="5" s="1"/>
  <c r="E2949" i="5"/>
  <c r="F2949" i="5" s="1"/>
  <c r="E2950" i="5"/>
  <c r="F2950" i="5" s="1"/>
  <c r="E2951" i="5"/>
  <c r="F2951" i="5" s="1"/>
  <c r="E2952" i="5"/>
  <c r="F2952" i="5" s="1"/>
  <c r="E2953" i="5"/>
  <c r="F2953" i="5" s="1"/>
  <c r="E2954" i="5"/>
  <c r="F2954" i="5" s="1"/>
  <c r="E2955" i="5"/>
  <c r="F2955" i="5" s="1"/>
  <c r="E2956" i="5"/>
  <c r="F2956" i="5" s="1"/>
  <c r="E2957" i="5"/>
  <c r="F2957" i="5" s="1"/>
  <c r="E2958" i="5"/>
  <c r="F2958" i="5" s="1"/>
  <c r="E2959" i="5"/>
  <c r="F2959" i="5" s="1"/>
  <c r="E2960" i="5"/>
  <c r="F2960" i="5" s="1"/>
  <c r="E2961" i="5"/>
  <c r="F2961" i="5" s="1"/>
  <c r="E2962" i="5"/>
  <c r="F2962" i="5" s="1"/>
  <c r="E2963" i="5"/>
  <c r="F2963" i="5" s="1"/>
  <c r="E2964" i="5"/>
  <c r="F2964" i="5" s="1"/>
  <c r="E2965" i="5"/>
  <c r="F2965" i="5" s="1"/>
  <c r="E2966" i="5"/>
  <c r="F2966" i="5" s="1"/>
  <c r="E2967" i="5"/>
  <c r="F2967" i="5" s="1"/>
  <c r="E2968" i="5"/>
  <c r="F2968" i="5" s="1"/>
  <c r="E2969" i="5"/>
  <c r="F2969" i="5" s="1"/>
  <c r="E2970" i="5"/>
  <c r="F2970" i="5" s="1"/>
  <c r="E2971" i="5"/>
  <c r="F2971" i="5" s="1"/>
  <c r="E2972" i="5"/>
  <c r="F2972" i="5" s="1"/>
  <c r="E2973" i="5"/>
  <c r="F2973" i="5" s="1"/>
  <c r="E2974" i="5"/>
  <c r="F2974" i="5" s="1"/>
  <c r="E2975" i="5"/>
  <c r="F2975" i="5" s="1"/>
  <c r="E2976" i="5"/>
  <c r="F2976" i="5" s="1"/>
  <c r="E2977" i="5"/>
  <c r="F2977" i="5" s="1"/>
  <c r="E2978" i="5"/>
  <c r="F2978" i="5" s="1"/>
  <c r="E2979" i="5"/>
  <c r="F2979" i="5" s="1"/>
  <c r="E2980" i="5"/>
  <c r="F2980" i="5" s="1"/>
  <c r="E2981" i="5"/>
  <c r="F2981" i="5" s="1"/>
  <c r="E2982" i="5"/>
  <c r="F2982" i="5" s="1"/>
  <c r="E2983" i="5"/>
  <c r="F2983" i="5" s="1"/>
  <c r="E2984" i="5"/>
  <c r="F2984" i="5" s="1"/>
  <c r="E2985" i="5"/>
  <c r="F2985" i="5" s="1"/>
  <c r="E2986" i="5"/>
  <c r="F2986" i="5" s="1"/>
  <c r="E2987" i="5"/>
  <c r="F2987" i="5" s="1"/>
  <c r="E2988" i="5"/>
  <c r="F2988" i="5" s="1"/>
  <c r="E2989" i="5"/>
  <c r="F2989" i="5" s="1"/>
  <c r="E2990" i="5"/>
  <c r="F2990" i="5" s="1"/>
  <c r="E2991" i="5"/>
  <c r="F2991" i="5" s="1"/>
  <c r="E2992" i="5"/>
  <c r="F2992" i="5" s="1"/>
  <c r="E2993" i="5"/>
  <c r="F2993" i="5" s="1"/>
  <c r="E2994" i="5"/>
  <c r="F2994" i="5" s="1"/>
  <c r="E2995" i="5"/>
  <c r="F2995" i="5" s="1"/>
  <c r="E2996" i="5"/>
  <c r="F2996" i="5" s="1"/>
  <c r="E2997" i="5"/>
  <c r="F2997" i="5" s="1"/>
  <c r="E2998" i="5"/>
  <c r="F2998" i="5" s="1"/>
  <c r="E2999" i="5"/>
  <c r="F2999" i="5" s="1"/>
  <c r="E3000" i="5"/>
  <c r="F3000" i="5" s="1"/>
  <c r="E3001" i="5"/>
  <c r="F3001" i="5" s="1"/>
  <c r="E3002" i="5"/>
  <c r="F3002" i="5" s="1"/>
  <c r="E3003" i="5"/>
  <c r="F3003" i="5" s="1"/>
  <c r="E3004" i="5"/>
  <c r="F3004" i="5" s="1"/>
  <c r="E3005" i="5"/>
  <c r="F3005" i="5" s="1"/>
  <c r="E3006" i="5"/>
  <c r="F3006" i="5" s="1"/>
  <c r="E3007" i="5"/>
  <c r="F3007" i="5" s="1"/>
  <c r="E3008" i="5"/>
  <c r="F3008" i="5" s="1"/>
  <c r="E3009" i="5"/>
  <c r="F3009" i="5" s="1"/>
  <c r="E3010" i="5"/>
  <c r="F3010" i="5" s="1"/>
  <c r="E3011" i="5"/>
  <c r="F3011" i="5" s="1"/>
  <c r="E3012" i="5"/>
  <c r="F3012" i="5" s="1"/>
  <c r="E3013" i="5"/>
  <c r="F3013" i="5" s="1"/>
  <c r="E3014" i="5"/>
  <c r="F3014" i="5" s="1"/>
  <c r="E3015" i="5"/>
  <c r="F3015" i="5" s="1"/>
  <c r="E3016" i="5"/>
  <c r="F3016" i="5" s="1"/>
  <c r="E3017" i="5"/>
  <c r="F3017" i="5" s="1"/>
  <c r="E3018" i="5"/>
  <c r="F3018" i="5" s="1"/>
  <c r="E3019" i="5"/>
  <c r="F3019" i="5" s="1"/>
  <c r="E3020" i="5"/>
  <c r="F3020" i="5" s="1"/>
  <c r="E3021" i="5"/>
  <c r="F3021" i="5" s="1"/>
  <c r="E3022" i="5"/>
  <c r="F3022" i="5" s="1"/>
  <c r="E3023" i="5"/>
  <c r="F3023" i="5" s="1"/>
  <c r="E3024" i="5"/>
  <c r="F3024" i="5" s="1"/>
  <c r="E3025" i="5"/>
  <c r="F3025" i="5" s="1"/>
  <c r="E3026" i="5"/>
  <c r="F3026" i="5" s="1"/>
  <c r="E3027" i="5"/>
  <c r="F3027" i="5" s="1"/>
  <c r="E3028" i="5"/>
  <c r="F3028" i="5" s="1"/>
  <c r="E3029" i="5"/>
  <c r="F3029" i="5" s="1"/>
  <c r="E3030" i="5"/>
  <c r="F3030" i="5" s="1"/>
  <c r="E3031" i="5"/>
  <c r="F3031" i="5" s="1"/>
  <c r="E3032" i="5"/>
  <c r="F3032" i="5" s="1"/>
  <c r="E3033" i="5"/>
  <c r="F3033" i="5" s="1"/>
  <c r="E3034" i="5"/>
  <c r="F3034" i="5" s="1"/>
  <c r="E3035" i="5"/>
  <c r="F3035" i="5" s="1"/>
  <c r="E3036" i="5"/>
  <c r="F3036" i="5" s="1"/>
  <c r="E3037" i="5"/>
  <c r="F3037" i="5" s="1"/>
  <c r="E3038" i="5"/>
  <c r="F3038" i="5" s="1"/>
  <c r="E3039" i="5"/>
  <c r="F3039" i="5" s="1"/>
  <c r="E3040" i="5"/>
  <c r="F3040" i="5" s="1"/>
  <c r="E3041" i="5"/>
  <c r="F3041" i="5" s="1"/>
  <c r="E3042" i="5"/>
  <c r="F3042" i="5" s="1"/>
  <c r="E3043" i="5"/>
  <c r="F3043" i="5" s="1"/>
  <c r="E3044" i="5"/>
  <c r="F3044" i="5" s="1"/>
  <c r="E3045" i="5"/>
  <c r="F3045" i="5" s="1"/>
  <c r="E3046" i="5"/>
  <c r="F3046" i="5" s="1"/>
  <c r="E3047" i="5"/>
  <c r="F3047" i="5" s="1"/>
  <c r="E3048" i="5"/>
  <c r="F3048" i="5" s="1"/>
  <c r="E3049" i="5"/>
  <c r="F3049" i="5" s="1"/>
  <c r="E3050" i="5"/>
  <c r="F3050" i="5" s="1"/>
  <c r="E3051" i="5"/>
  <c r="F3051" i="5" s="1"/>
  <c r="E3052" i="5"/>
  <c r="F3052" i="5" s="1"/>
  <c r="E3053" i="5"/>
  <c r="F3053" i="5" s="1"/>
  <c r="E3054" i="5"/>
  <c r="F3054" i="5" s="1"/>
  <c r="E3055" i="5"/>
  <c r="F3055" i="5" s="1"/>
  <c r="E3056" i="5"/>
  <c r="F3056" i="5" s="1"/>
  <c r="E3057" i="5"/>
  <c r="F3057" i="5" s="1"/>
  <c r="E3058" i="5"/>
  <c r="F3058" i="5" s="1"/>
  <c r="E3059" i="5"/>
  <c r="F3059" i="5" s="1"/>
  <c r="E3060" i="5"/>
  <c r="F3060" i="5" s="1"/>
  <c r="E3061" i="5"/>
  <c r="F3061" i="5" s="1"/>
  <c r="E3062" i="5"/>
  <c r="F3062" i="5" s="1"/>
  <c r="E3063" i="5"/>
  <c r="F3063" i="5" s="1"/>
  <c r="E3064" i="5"/>
  <c r="F3064" i="5" s="1"/>
  <c r="E3065" i="5"/>
  <c r="F3065" i="5" s="1"/>
  <c r="E3066" i="5"/>
  <c r="F3066" i="5" s="1"/>
  <c r="E3067" i="5"/>
  <c r="F3067" i="5" s="1"/>
  <c r="E3068" i="5"/>
  <c r="F3068" i="5" s="1"/>
  <c r="E3069" i="5"/>
  <c r="F3069" i="5" s="1"/>
  <c r="E3070" i="5"/>
  <c r="F3070" i="5" s="1"/>
  <c r="E3071" i="5"/>
  <c r="F3071" i="5" s="1"/>
  <c r="E3072" i="5"/>
  <c r="F3072" i="5" s="1"/>
  <c r="E3073" i="5"/>
  <c r="F3073" i="5" s="1"/>
  <c r="E3074" i="5"/>
  <c r="F3074" i="5" s="1"/>
  <c r="E3075" i="5"/>
  <c r="F3075" i="5" s="1"/>
  <c r="E3076" i="5"/>
  <c r="F3076" i="5" s="1"/>
  <c r="E3077" i="5"/>
  <c r="F3077" i="5" s="1"/>
  <c r="E3078" i="5"/>
  <c r="F3078" i="5" s="1"/>
  <c r="E3079" i="5"/>
  <c r="F3079" i="5" s="1"/>
  <c r="E3080" i="5"/>
  <c r="F3080" i="5" s="1"/>
  <c r="E3081" i="5"/>
  <c r="F3081" i="5" s="1"/>
  <c r="E3082" i="5"/>
  <c r="F3082" i="5" s="1"/>
  <c r="E3083" i="5"/>
  <c r="F3083" i="5" s="1"/>
  <c r="E3084" i="5"/>
  <c r="F3084" i="5" s="1"/>
  <c r="E3085" i="5"/>
  <c r="F3085" i="5" s="1"/>
  <c r="E3086" i="5"/>
  <c r="F3086" i="5" s="1"/>
  <c r="E3087" i="5"/>
  <c r="F3087" i="5" s="1"/>
  <c r="E3088" i="5"/>
  <c r="F3088" i="5" s="1"/>
  <c r="E3089" i="5"/>
  <c r="F3089" i="5" s="1"/>
  <c r="E3090" i="5"/>
  <c r="F3090" i="5" s="1"/>
  <c r="E3091" i="5"/>
  <c r="F3091" i="5" s="1"/>
  <c r="E3092" i="5"/>
  <c r="F3092" i="5" s="1"/>
  <c r="E3093" i="5"/>
  <c r="F3093" i="5" s="1"/>
  <c r="E3094" i="5"/>
  <c r="F3094" i="5" s="1"/>
  <c r="E3095" i="5"/>
  <c r="F3095" i="5" s="1"/>
  <c r="E3096" i="5"/>
  <c r="F3096" i="5" s="1"/>
  <c r="E3097" i="5"/>
  <c r="F3097" i="5" s="1"/>
  <c r="E3098" i="5"/>
  <c r="F3098" i="5" s="1"/>
  <c r="E3099" i="5"/>
  <c r="F3099" i="5" s="1"/>
  <c r="E3100" i="5"/>
  <c r="F3100" i="5" s="1"/>
  <c r="E3101" i="5"/>
  <c r="F3101" i="5" s="1"/>
  <c r="E3102" i="5"/>
  <c r="F3102" i="5" s="1"/>
  <c r="E3103" i="5"/>
  <c r="F3103" i="5" s="1"/>
  <c r="E3104" i="5"/>
  <c r="F3104" i="5" s="1"/>
  <c r="E3105" i="5"/>
  <c r="F3105" i="5" s="1"/>
  <c r="E3106" i="5"/>
  <c r="F3106" i="5" s="1"/>
  <c r="E3107" i="5"/>
  <c r="F3107" i="5" s="1"/>
  <c r="E3108" i="5"/>
  <c r="F3108" i="5" s="1"/>
  <c r="E3109" i="5"/>
  <c r="F3109" i="5" s="1"/>
  <c r="E3110" i="5"/>
  <c r="F3110" i="5" s="1"/>
  <c r="E3111" i="5"/>
  <c r="F3111" i="5" s="1"/>
  <c r="E3112" i="5"/>
  <c r="F3112" i="5" s="1"/>
  <c r="E3113" i="5"/>
  <c r="F3113" i="5" s="1"/>
  <c r="E3114" i="5"/>
  <c r="F3114" i="5" s="1"/>
  <c r="E3115" i="5"/>
  <c r="F3115" i="5" s="1"/>
  <c r="E3116" i="5"/>
  <c r="F3116" i="5" s="1"/>
  <c r="E3117" i="5"/>
  <c r="F3117" i="5" s="1"/>
  <c r="E3118" i="5"/>
  <c r="F3118" i="5" s="1"/>
  <c r="E3119" i="5"/>
  <c r="F3119" i="5" s="1"/>
  <c r="E3120" i="5"/>
  <c r="F3120" i="5" s="1"/>
  <c r="E3121" i="5"/>
  <c r="F3121" i="5" s="1"/>
  <c r="E3122" i="5"/>
  <c r="F3122" i="5" s="1"/>
  <c r="E3123" i="5"/>
  <c r="F3123" i="5" s="1"/>
  <c r="E3124" i="5"/>
  <c r="F3124" i="5" s="1"/>
  <c r="E3125" i="5"/>
  <c r="F3125" i="5" s="1"/>
  <c r="E3126" i="5"/>
  <c r="F3126" i="5" s="1"/>
  <c r="E3127" i="5"/>
  <c r="F3127" i="5" s="1"/>
  <c r="E3128" i="5"/>
  <c r="F3128" i="5" s="1"/>
  <c r="E3129" i="5"/>
  <c r="F3129" i="5" s="1"/>
  <c r="E3130" i="5"/>
  <c r="F3130" i="5" s="1"/>
  <c r="E3131" i="5"/>
  <c r="F3131" i="5" s="1"/>
  <c r="E3132" i="5"/>
  <c r="F3132" i="5" s="1"/>
  <c r="E3133" i="5"/>
  <c r="F3133" i="5" s="1"/>
  <c r="E3134" i="5"/>
  <c r="F3134" i="5" s="1"/>
  <c r="E3135" i="5"/>
  <c r="F3135" i="5" s="1"/>
  <c r="E3136" i="5"/>
  <c r="F3136" i="5" s="1"/>
  <c r="E3137" i="5"/>
  <c r="F3137" i="5" s="1"/>
  <c r="E3138" i="5"/>
  <c r="F3138" i="5" s="1"/>
  <c r="E3139" i="5"/>
  <c r="F3139" i="5" s="1"/>
  <c r="E3140" i="5"/>
  <c r="F3140" i="5" s="1"/>
  <c r="E3141" i="5"/>
  <c r="F3141" i="5" s="1"/>
  <c r="E3142" i="5"/>
  <c r="F3142" i="5" s="1"/>
  <c r="E3143" i="5"/>
  <c r="F3143" i="5" s="1"/>
  <c r="E3144" i="5"/>
  <c r="F3144" i="5" s="1"/>
  <c r="E3145" i="5"/>
  <c r="F3145" i="5" s="1"/>
  <c r="E3146" i="5"/>
  <c r="F3146" i="5" s="1"/>
  <c r="E3147" i="5"/>
  <c r="F3147" i="5" s="1"/>
  <c r="E3148" i="5"/>
  <c r="F3148" i="5" s="1"/>
  <c r="E3149" i="5"/>
  <c r="F3149" i="5" s="1"/>
  <c r="E3150" i="5"/>
  <c r="F3150" i="5" s="1"/>
  <c r="E3151" i="5"/>
  <c r="F3151" i="5" s="1"/>
  <c r="E3152" i="5"/>
  <c r="F3152" i="5" s="1"/>
  <c r="E3153" i="5"/>
  <c r="F3153" i="5" s="1"/>
  <c r="E3154" i="5"/>
  <c r="F3154" i="5" s="1"/>
  <c r="E3155" i="5"/>
  <c r="F3155" i="5" s="1"/>
  <c r="E3156" i="5"/>
  <c r="F3156" i="5" s="1"/>
  <c r="E3157" i="5"/>
  <c r="F3157" i="5" s="1"/>
  <c r="E3158" i="5"/>
  <c r="F3158" i="5" s="1"/>
  <c r="E3159" i="5"/>
  <c r="F3159" i="5" s="1"/>
  <c r="E3160" i="5"/>
  <c r="F3160" i="5" s="1"/>
  <c r="E3161" i="5"/>
  <c r="F3161" i="5" s="1"/>
  <c r="E3162" i="5"/>
  <c r="F3162" i="5" s="1"/>
  <c r="E3163" i="5"/>
  <c r="F3163" i="5" s="1"/>
  <c r="E3164" i="5"/>
  <c r="F3164" i="5" s="1"/>
  <c r="E3165" i="5"/>
  <c r="F3165" i="5" s="1"/>
  <c r="E3166" i="5"/>
  <c r="F3166" i="5" s="1"/>
  <c r="E3167" i="5"/>
  <c r="F3167" i="5" s="1"/>
  <c r="E3168" i="5"/>
  <c r="F3168" i="5" s="1"/>
  <c r="E3169" i="5"/>
  <c r="F3169" i="5" s="1"/>
  <c r="E3170" i="5"/>
  <c r="F3170" i="5" s="1"/>
  <c r="E3171" i="5"/>
  <c r="F3171" i="5" s="1"/>
  <c r="E3172" i="5"/>
  <c r="F3172" i="5" s="1"/>
  <c r="E3173" i="5"/>
  <c r="F3173" i="5" s="1"/>
  <c r="E3174" i="5"/>
  <c r="F3174" i="5" s="1"/>
  <c r="E3175" i="5"/>
  <c r="F3175" i="5" s="1"/>
  <c r="E3176" i="5"/>
  <c r="F3176" i="5" s="1"/>
  <c r="E3177" i="5"/>
  <c r="F3177" i="5" s="1"/>
  <c r="E3178" i="5"/>
  <c r="F3178" i="5" s="1"/>
  <c r="E3179" i="5"/>
  <c r="F3179" i="5" s="1"/>
  <c r="E3180" i="5"/>
  <c r="F3180" i="5" s="1"/>
  <c r="E3181" i="5"/>
  <c r="F3181" i="5" s="1"/>
  <c r="E3182" i="5"/>
  <c r="F3182" i="5" s="1"/>
  <c r="E3183" i="5"/>
  <c r="F3183" i="5" s="1"/>
  <c r="E3184" i="5"/>
  <c r="F3184" i="5" s="1"/>
  <c r="E3185" i="5"/>
  <c r="F3185" i="5" s="1"/>
  <c r="E3186" i="5"/>
  <c r="F3186" i="5" s="1"/>
  <c r="E3187" i="5"/>
  <c r="F3187" i="5" s="1"/>
  <c r="E3188" i="5"/>
  <c r="F3188" i="5" s="1"/>
  <c r="E3189" i="5"/>
  <c r="F3189" i="5" s="1"/>
  <c r="E3190" i="5"/>
  <c r="F3190" i="5" s="1"/>
  <c r="E3191" i="5"/>
  <c r="F3191" i="5" s="1"/>
  <c r="E3192" i="5"/>
  <c r="F3192" i="5" s="1"/>
  <c r="E3193" i="5"/>
  <c r="F3193" i="5" s="1"/>
  <c r="E3194" i="5"/>
  <c r="F3194" i="5" s="1"/>
  <c r="E3195" i="5"/>
  <c r="F3195" i="5" s="1"/>
  <c r="E3196" i="5"/>
  <c r="F3196" i="5" s="1"/>
  <c r="E3197" i="5"/>
  <c r="F3197" i="5" s="1"/>
  <c r="E3198" i="5"/>
  <c r="F3198" i="5" s="1"/>
  <c r="E3199" i="5"/>
  <c r="F3199" i="5" s="1"/>
  <c r="E3200" i="5"/>
  <c r="F3200" i="5" s="1"/>
  <c r="E3201" i="5"/>
  <c r="F3201" i="5" s="1"/>
  <c r="E3202" i="5"/>
  <c r="F3202" i="5" s="1"/>
  <c r="E3203" i="5"/>
  <c r="F3203" i="5" s="1"/>
  <c r="E3204" i="5"/>
  <c r="F3204" i="5" s="1"/>
  <c r="E3205" i="5"/>
  <c r="F3205" i="5" s="1"/>
  <c r="E3206" i="5"/>
  <c r="F3206" i="5" s="1"/>
  <c r="E3207" i="5"/>
  <c r="F3207" i="5" s="1"/>
  <c r="E3208" i="5"/>
  <c r="F3208" i="5" s="1"/>
  <c r="E3209" i="5"/>
  <c r="F3209" i="5" s="1"/>
  <c r="E3210" i="5"/>
  <c r="F3210" i="5" s="1"/>
  <c r="E3211" i="5"/>
  <c r="F3211" i="5" s="1"/>
  <c r="E3212" i="5"/>
  <c r="F3212" i="5" s="1"/>
  <c r="E3213" i="5"/>
  <c r="F3213" i="5" s="1"/>
  <c r="E3214" i="5"/>
  <c r="F3214" i="5" s="1"/>
  <c r="E3215" i="5"/>
  <c r="F3215" i="5" s="1"/>
  <c r="E3216" i="5"/>
  <c r="F3216" i="5" s="1"/>
  <c r="E3217" i="5"/>
  <c r="F3217" i="5" s="1"/>
  <c r="E3218" i="5"/>
  <c r="F3218" i="5" s="1"/>
  <c r="E3219" i="5"/>
  <c r="F3219" i="5" s="1"/>
  <c r="E3220" i="5"/>
  <c r="F3220" i="5" s="1"/>
  <c r="E3221" i="5"/>
  <c r="F3221" i="5" s="1"/>
  <c r="E3222" i="5"/>
  <c r="F3222" i="5" s="1"/>
  <c r="E3223" i="5"/>
  <c r="F3223" i="5" s="1"/>
  <c r="E3224" i="5"/>
  <c r="F3224" i="5" s="1"/>
  <c r="E3225" i="5"/>
  <c r="F3225" i="5" s="1"/>
  <c r="E3226" i="5"/>
  <c r="F3226" i="5" s="1"/>
  <c r="E3227" i="5"/>
  <c r="F3227" i="5" s="1"/>
  <c r="E3228" i="5"/>
  <c r="F3228" i="5" s="1"/>
  <c r="E3229" i="5"/>
  <c r="F3229" i="5" s="1"/>
  <c r="E3230" i="5"/>
  <c r="F3230" i="5" s="1"/>
  <c r="E3231" i="5"/>
  <c r="F3231" i="5" s="1"/>
  <c r="E3232" i="5"/>
  <c r="F3232" i="5" s="1"/>
  <c r="E3233" i="5"/>
  <c r="F3233" i="5" s="1"/>
  <c r="E3234" i="5"/>
  <c r="F3234" i="5" s="1"/>
  <c r="E3235" i="5"/>
  <c r="F3235" i="5" s="1"/>
  <c r="E3236" i="5"/>
  <c r="F3236" i="5" s="1"/>
  <c r="E3237" i="5"/>
  <c r="F3237" i="5" s="1"/>
  <c r="E3238" i="5"/>
  <c r="F3238" i="5" s="1"/>
  <c r="E3239" i="5"/>
  <c r="F3239" i="5" s="1"/>
  <c r="E3240" i="5"/>
  <c r="F3240" i="5" s="1"/>
  <c r="E3241" i="5"/>
  <c r="F3241" i="5" s="1"/>
  <c r="E3242" i="5"/>
  <c r="F3242" i="5" s="1"/>
  <c r="E3243" i="5"/>
  <c r="F3243" i="5" s="1"/>
  <c r="E3244" i="5"/>
  <c r="F3244" i="5" s="1"/>
  <c r="E3245" i="5"/>
  <c r="F3245" i="5" s="1"/>
  <c r="E3246" i="5"/>
  <c r="F3246" i="5" s="1"/>
  <c r="E3247" i="5"/>
  <c r="F3247" i="5" s="1"/>
  <c r="E3248" i="5"/>
  <c r="F3248" i="5" s="1"/>
  <c r="E3249" i="5"/>
  <c r="F3249" i="5" s="1"/>
  <c r="E3250" i="5"/>
  <c r="F3250" i="5" s="1"/>
  <c r="E3251" i="5"/>
  <c r="F3251" i="5" s="1"/>
  <c r="E3252" i="5"/>
  <c r="F3252" i="5" s="1"/>
  <c r="E3253" i="5"/>
  <c r="F3253" i="5" s="1"/>
  <c r="E3254" i="5"/>
  <c r="F3254" i="5" s="1"/>
  <c r="E3255" i="5"/>
  <c r="F3255" i="5" s="1"/>
  <c r="E3256" i="5"/>
  <c r="F3256" i="5" s="1"/>
  <c r="E3257" i="5"/>
  <c r="F3257" i="5" s="1"/>
  <c r="E3258" i="5"/>
  <c r="F3258" i="5" s="1"/>
  <c r="E3259" i="5"/>
  <c r="F3259" i="5" s="1"/>
  <c r="E3260" i="5"/>
  <c r="F3260" i="5" s="1"/>
  <c r="E3261" i="5"/>
  <c r="F3261" i="5" s="1"/>
  <c r="E3262" i="5"/>
  <c r="F3262" i="5" s="1"/>
  <c r="E3263" i="5"/>
  <c r="F3263" i="5" s="1"/>
  <c r="E3264" i="5"/>
  <c r="F3264" i="5" s="1"/>
  <c r="E3265" i="5"/>
  <c r="F3265" i="5" s="1"/>
  <c r="E3266" i="5"/>
  <c r="F3266" i="5" s="1"/>
  <c r="E3267" i="5"/>
  <c r="F3267" i="5" s="1"/>
  <c r="E3268" i="5"/>
  <c r="F3268" i="5" s="1"/>
  <c r="E3269" i="5"/>
  <c r="F3269" i="5" s="1"/>
  <c r="E3270" i="5"/>
  <c r="F3270" i="5" s="1"/>
  <c r="E3271" i="5"/>
  <c r="F3271" i="5" s="1"/>
  <c r="E3272" i="5"/>
  <c r="F3272" i="5" s="1"/>
  <c r="E3273" i="5"/>
  <c r="F3273" i="5" s="1"/>
  <c r="E3274" i="5"/>
  <c r="F3274" i="5" s="1"/>
  <c r="E3275" i="5"/>
  <c r="F3275" i="5" s="1"/>
  <c r="E3276" i="5"/>
  <c r="F3276" i="5" s="1"/>
  <c r="E3277" i="5"/>
  <c r="F3277" i="5" s="1"/>
  <c r="E3278" i="5"/>
  <c r="F3278" i="5" s="1"/>
  <c r="E3279" i="5"/>
  <c r="F3279" i="5" s="1"/>
  <c r="E3280" i="5"/>
  <c r="F3280" i="5" s="1"/>
  <c r="E3281" i="5"/>
  <c r="F3281" i="5" s="1"/>
  <c r="E3282" i="5"/>
  <c r="F3282" i="5" s="1"/>
  <c r="E3283" i="5"/>
  <c r="F3283" i="5" s="1"/>
  <c r="E3284" i="5"/>
  <c r="F3284" i="5" s="1"/>
  <c r="E3285" i="5"/>
  <c r="F3285" i="5" s="1"/>
  <c r="E3286" i="5"/>
  <c r="F3286" i="5" s="1"/>
  <c r="E3287" i="5"/>
  <c r="F3287" i="5" s="1"/>
  <c r="E3288" i="5"/>
  <c r="F3288" i="5" s="1"/>
  <c r="E3289" i="5"/>
  <c r="F3289" i="5" s="1"/>
  <c r="E3290" i="5"/>
  <c r="F3290" i="5" s="1"/>
  <c r="E3291" i="5"/>
  <c r="F3291" i="5" s="1"/>
  <c r="E3292" i="5"/>
  <c r="F3292" i="5" s="1"/>
  <c r="E3293" i="5"/>
  <c r="F3293" i="5" s="1"/>
  <c r="E3294" i="5"/>
  <c r="F3294" i="5" s="1"/>
  <c r="E3295" i="5"/>
  <c r="F3295" i="5" s="1"/>
  <c r="E3296" i="5"/>
  <c r="F3296" i="5" s="1"/>
  <c r="E3297" i="5"/>
  <c r="F3297" i="5" s="1"/>
  <c r="E3298" i="5"/>
  <c r="F3298" i="5" s="1"/>
  <c r="E3299" i="5"/>
  <c r="F3299" i="5" s="1"/>
  <c r="E3300" i="5"/>
  <c r="F3300" i="5" s="1"/>
  <c r="E3301" i="5"/>
  <c r="F3301" i="5" s="1"/>
  <c r="E3302" i="5"/>
  <c r="F3302" i="5" s="1"/>
  <c r="E3303" i="5"/>
  <c r="F3303" i="5" s="1"/>
  <c r="E3304" i="5"/>
  <c r="F3304" i="5" s="1"/>
  <c r="E3305" i="5"/>
  <c r="F3305" i="5" s="1"/>
  <c r="E3306" i="5"/>
  <c r="F3306" i="5" s="1"/>
  <c r="E3307" i="5"/>
  <c r="F3307" i="5" s="1"/>
  <c r="E3308" i="5"/>
  <c r="F3308" i="5" s="1"/>
  <c r="E3309" i="5"/>
  <c r="F3309" i="5" s="1"/>
  <c r="E3310" i="5"/>
  <c r="F3310" i="5" s="1"/>
  <c r="E3311" i="5"/>
  <c r="F3311" i="5" s="1"/>
  <c r="E3312" i="5"/>
  <c r="F3312" i="5" s="1"/>
  <c r="E3313" i="5"/>
  <c r="F3313" i="5" s="1"/>
  <c r="E3314" i="5"/>
  <c r="F3314" i="5" s="1"/>
  <c r="E3315" i="5"/>
  <c r="F3315" i="5" s="1"/>
  <c r="E3316" i="5"/>
  <c r="F3316" i="5" s="1"/>
  <c r="E3317" i="5"/>
  <c r="F3317" i="5" s="1"/>
  <c r="E3318" i="5"/>
  <c r="F3318" i="5" s="1"/>
  <c r="E3319" i="5"/>
  <c r="F3319" i="5" s="1"/>
  <c r="E3320" i="5"/>
  <c r="F3320" i="5" s="1"/>
  <c r="E3321" i="5"/>
  <c r="F3321" i="5" s="1"/>
  <c r="E3322" i="5"/>
  <c r="F3322" i="5" s="1"/>
  <c r="E3323" i="5"/>
  <c r="F3323" i="5" s="1"/>
  <c r="E3324" i="5"/>
  <c r="F3324" i="5" s="1"/>
  <c r="E3325" i="5"/>
  <c r="F3325" i="5" s="1"/>
  <c r="E3326" i="5"/>
  <c r="F3326" i="5" s="1"/>
  <c r="E3327" i="5"/>
  <c r="F3327" i="5" s="1"/>
  <c r="E3328" i="5"/>
  <c r="F3328" i="5" s="1"/>
  <c r="E3329" i="5"/>
  <c r="F3329" i="5" s="1"/>
  <c r="E3330" i="5"/>
  <c r="F3330" i="5" s="1"/>
  <c r="E3331" i="5"/>
  <c r="F3331" i="5" s="1"/>
  <c r="E3332" i="5"/>
  <c r="F3332" i="5" s="1"/>
  <c r="E3333" i="5"/>
  <c r="F3333" i="5" s="1"/>
  <c r="E3334" i="5"/>
  <c r="F3334" i="5" s="1"/>
  <c r="E3335" i="5"/>
  <c r="F3335" i="5" s="1"/>
  <c r="E3336" i="5"/>
  <c r="F3336" i="5" s="1"/>
  <c r="E3337" i="5"/>
  <c r="F3337" i="5" s="1"/>
  <c r="E3338" i="5"/>
  <c r="F3338" i="5" s="1"/>
  <c r="E3339" i="5"/>
  <c r="F3339" i="5" s="1"/>
  <c r="E3340" i="5"/>
  <c r="F3340" i="5" s="1"/>
  <c r="E3341" i="5"/>
  <c r="F3341" i="5" s="1"/>
  <c r="E3342" i="5"/>
  <c r="F3342" i="5" s="1"/>
  <c r="E3343" i="5"/>
  <c r="F3343" i="5" s="1"/>
  <c r="E3344" i="5"/>
  <c r="F3344" i="5" s="1"/>
  <c r="E3345" i="5"/>
  <c r="F3345" i="5" s="1"/>
  <c r="E3346" i="5"/>
  <c r="F3346" i="5" s="1"/>
  <c r="E3347" i="5"/>
  <c r="F3347" i="5" s="1"/>
  <c r="E3348" i="5"/>
  <c r="F3348" i="5" s="1"/>
  <c r="E3349" i="5"/>
  <c r="F3349" i="5" s="1"/>
  <c r="E3350" i="5"/>
  <c r="F3350" i="5" s="1"/>
  <c r="E3351" i="5"/>
  <c r="F3351" i="5" s="1"/>
  <c r="E3352" i="5"/>
  <c r="F3352" i="5" s="1"/>
  <c r="E3353" i="5"/>
  <c r="F3353" i="5" s="1"/>
  <c r="E3354" i="5"/>
  <c r="F3354" i="5" s="1"/>
  <c r="E3355" i="5"/>
  <c r="F3355" i="5" s="1"/>
  <c r="E3356" i="5"/>
  <c r="F3356" i="5" s="1"/>
  <c r="E3357" i="5"/>
  <c r="F3357" i="5" s="1"/>
  <c r="E3358" i="5"/>
  <c r="F3358" i="5" s="1"/>
  <c r="E3359" i="5"/>
  <c r="F3359" i="5" s="1"/>
  <c r="E3360" i="5"/>
  <c r="F3360" i="5" s="1"/>
  <c r="E3361" i="5"/>
  <c r="F3361" i="5" s="1"/>
  <c r="E3362" i="5"/>
  <c r="F3362" i="5" s="1"/>
  <c r="E3363" i="5"/>
  <c r="F3363" i="5" s="1"/>
  <c r="E3364" i="5"/>
  <c r="F3364" i="5" s="1"/>
  <c r="E3365" i="5"/>
  <c r="F3365" i="5" s="1"/>
  <c r="E3366" i="5"/>
  <c r="F3366" i="5" s="1"/>
  <c r="E3367" i="5"/>
  <c r="F3367" i="5" s="1"/>
  <c r="E3368" i="5"/>
  <c r="F3368" i="5" s="1"/>
  <c r="E3369" i="5"/>
  <c r="F3369" i="5" s="1"/>
  <c r="E3370" i="5"/>
  <c r="F3370" i="5" s="1"/>
  <c r="E3371" i="5"/>
  <c r="F3371" i="5" s="1"/>
  <c r="E3372" i="5"/>
  <c r="F3372" i="5" s="1"/>
  <c r="E3373" i="5"/>
  <c r="F3373" i="5" s="1"/>
  <c r="E3374" i="5"/>
  <c r="F3374" i="5" s="1"/>
  <c r="E3375" i="5"/>
  <c r="F3375" i="5" s="1"/>
  <c r="E3376" i="5"/>
  <c r="F3376" i="5" s="1"/>
  <c r="E3377" i="5"/>
  <c r="F3377" i="5" s="1"/>
  <c r="E3378" i="5"/>
  <c r="F3378" i="5" s="1"/>
  <c r="E3379" i="5"/>
  <c r="F3379" i="5" s="1"/>
  <c r="E3380" i="5"/>
  <c r="F3380" i="5" s="1"/>
  <c r="E3381" i="5"/>
  <c r="F3381" i="5" s="1"/>
  <c r="E3382" i="5"/>
  <c r="F3382" i="5" s="1"/>
  <c r="E3383" i="5"/>
  <c r="F3383" i="5" s="1"/>
  <c r="E3384" i="5"/>
  <c r="F3384" i="5" s="1"/>
  <c r="E3385" i="5"/>
  <c r="F3385" i="5" s="1"/>
  <c r="E3386" i="5"/>
  <c r="F3386" i="5" s="1"/>
  <c r="E3387" i="5"/>
  <c r="F3387" i="5" s="1"/>
  <c r="E3388" i="5"/>
  <c r="F3388" i="5" s="1"/>
  <c r="E3389" i="5"/>
  <c r="F3389" i="5" s="1"/>
  <c r="E3390" i="5"/>
  <c r="F3390" i="5" s="1"/>
  <c r="E3391" i="5"/>
  <c r="F3391" i="5" s="1"/>
  <c r="E3392" i="5"/>
  <c r="F3392" i="5" s="1"/>
  <c r="E3393" i="5"/>
  <c r="F3393" i="5" s="1"/>
  <c r="E3394" i="5"/>
  <c r="F3394" i="5" s="1"/>
  <c r="E3395" i="5"/>
  <c r="F3395" i="5" s="1"/>
  <c r="E3396" i="5"/>
  <c r="F3396" i="5" s="1"/>
  <c r="E3397" i="5"/>
  <c r="F3397" i="5" s="1"/>
  <c r="E3398" i="5"/>
  <c r="F3398" i="5" s="1"/>
  <c r="E3399" i="5"/>
  <c r="F3399" i="5" s="1"/>
  <c r="E3400" i="5"/>
  <c r="F3400" i="5" s="1"/>
  <c r="E3401" i="5"/>
  <c r="F3401" i="5" s="1"/>
  <c r="E3402" i="5"/>
  <c r="F3402" i="5" s="1"/>
  <c r="E3403" i="5"/>
  <c r="F3403" i="5" s="1"/>
  <c r="E3404" i="5"/>
  <c r="F3404" i="5" s="1"/>
  <c r="E3405" i="5"/>
  <c r="F3405" i="5" s="1"/>
  <c r="E3406" i="5"/>
  <c r="F3406" i="5" s="1"/>
  <c r="E3407" i="5"/>
  <c r="F3407" i="5" s="1"/>
  <c r="E3408" i="5"/>
  <c r="F3408" i="5" s="1"/>
  <c r="E3409" i="5"/>
  <c r="F3409" i="5" s="1"/>
  <c r="E3410" i="5"/>
  <c r="F3410" i="5" s="1"/>
  <c r="E3411" i="5"/>
  <c r="F3411" i="5" s="1"/>
  <c r="E3412" i="5"/>
  <c r="F3412" i="5" s="1"/>
  <c r="E3413" i="5"/>
  <c r="F3413" i="5" s="1"/>
  <c r="E3414" i="5"/>
  <c r="F3414" i="5" s="1"/>
  <c r="E3415" i="5"/>
  <c r="F3415" i="5" s="1"/>
  <c r="E3416" i="5"/>
  <c r="F3416" i="5" s="1"/>
  <c r="E3417" i="5"/>
  <c r="F3417" i="5" s="1"/>
  <c r="E3418" i="5"/>
  <c r="F3418" i="5" s="1"/>
  <c r="E3419" i="5"/>
  <c r="F3419" i="5" s="1"/>
  <c r="E3420" i="5"/>
  <c r="F3420" i="5" s="1"/>
  <c r="E3421" i="5"/>
  <c r="F3421" i="5" s="1"/>
  <c r="E3422" i="5"/>
  <c r="F3422" i="5" s="1"/>
  <c r="E3423" i="5"/>
  <c r="F3423" i="5" s="1"/>
  <c r="E3424" i="5"/>
  <c r="F3424" i="5" s="1"/>
  <c r="E3425" i="5"/>
  <c r="F3425" i="5" s="1"/>
  <c r="E3426" i="5"/>
  <c r="F3426" i="5" s="1"/>
  <c r="E3427" i="5"/>
  <c r="F3427" i="5" s="1"/>
  <c r="E3428" i="5"/>
  <c r="F3428" i="5" s="1"/>
  <c r="E3429" i="5"/>
  <c r="F3429" i="5" s="1"/>
  <c r="E3430" i="5"/>
  <c r="F3430" i="5" s="1"/>
  <c r="E3431" i="5"/>
  <c r="F3431" i="5" s="1"/>
  <c r="E3432" i="5"/>
  <c r="F3432" i="5" s="1"/>
  <c r="E3433" i="5"/>
  <c r="F3433" i="5" s="1"/>
  <c r="E3434" i="5"/>
  <c r="F3434" i="5" s="1"/>
  <c r="E3435" i="5"/>
  <c r="F3435" i="5" s="1"/>
  <c r="E3436" i="5"/>
  <c r="F3436" i="5" s="1"/>
  <c r="E3437" i="5"/>
  <c r="F3437" i="5" s="1"/>
  <c r="E3438" i="5"/>
  <c r="F3438" i="5" s="1"/>
  <c r="E3439" i="5"/>
  <c r="F3439" i="5" s="1"/>
  <c r="E3440" i="5"/>
  <c r="F3440" i="5" s="1"/>
  <c r="E3441" i="5"/>
  <c r="F3441" i="5" s="1"/>
  <c r="E3442" i="5"/>
  <c r="F3442" i="5" s="1"/>
  <c r="E3443" i="5"/>
  <c r="F3443" i="5" s="1"/>
  <c r="E3444" i="5"/>
  <c r="F3444" i="5" s="1"/>
  <c r="E3445" i="5"/>
  <c r="F3445" i="5" s="1"/>
  <c r="E3446" i="5"/>
  <c r="F3446" i="5" s="1"/>
  <c r="E3447" i="5"/>
  <c r="F3447" i="5" s="1"/>
  <c r="E3448" i="5"/>
  <c r="F3448" i="5" s="1"/>
  <c r="E3449" i="5"/>
  <c r="F3449" i="5" s="1"/>
  <c r="E3450" i="5"/>
  <c r="F3450" i="5" s="1"/>
  <c r="E3451" i="5"/>
  <c r="F3451" i="5" s="1"/>
  <c r="E3452" i="5"/>
  <c r="F3452" i="5" s="1"/>
  <c r="E3453" i="5"/>
  <c r="F3453" i="5" s="1"/>
  <c r="E3454" i="5"/>
  <c r="F3454" i="5" s="1"/>
  <c r="E3455" i="5"/>
  <c r="F3455" i="5" s="1"/>
  <c r="E3456" i="5"/>
  <c r="F3456" i="5" s="1"/>
  <c r="E3457" i="5"/>
  <c r="F3457" i="5" s="1"/>
  <c r="E3458" i="5"/>
  <c r="F3458" i="5" s="1"/>
  <c r="E3459" i="5"/>
  <c r="F3459" i="5" s="1"/>
  <c r="E3460" i="5"/>
  <c r="F3460" i="5" s="1"/>
  <c r="E3461" i="5"/>
  <c r="F3461" i="5" s="1"/>
  <c r="E3462" i="5"/>
  <c r="F3462" i="5" s="1"/>
  <c r="E3463" i="5"/>
  <c r="F3463" i="5" s="1"/>
  <c r="E3464" i="5"/>
  <c r="F3464" i="5" s="1"/>
  <c r="E3465" i="5"/>
  <c r="F3465" i="5" s="1"/>
  <c r="E3466" i="5"/>
  <c r="F3466" i="5" s="1"/>
  <c r="E3467" i="5"/>
  <c r="F3467" i="5" s="1"/>
  <c r="E3468" i="5"/>
  <c r="F3468" i="5" s="1"/>
  <c r="E3469" i="5"/>
  <c r="F3469" i="5" s="1"/>
  <c r="E3470" i="5"/>
  <c r="F3470" i="5" s="1"/>
  <c r="E3471" i="5"/>
  <c r="F3471" i="5" s="1"/>
  <c r="E3472" i="5"/>
  <c r="F3472" i="5" s="1"/>
  <c r="E3473" i="5"/>
  <c r="F3473" i="5" s="1"/>
  <c r="E3474" i="5"/>
  <c r="F3474" i="5" s="1"/>
  <c r="E3475" i="5"/>
  <c r="F3475" i="5" s="1"/>
  <c r="E3476" i="5"/>
  <c r="F3476" i="5" s="1"/>
  <c r="E3477" i="5"/>
  <c r="F3477" i="5" s="1"/>
  <c r="E3478" i="5"/>
  <c r="F3478" i="5" s="1"/>
  <c r="E3479" i="5"/>
  <c r="F3479" i="5" s="1"/>
  <c r="E3480" i="5"/>
  <c r="F3480" i="5" s="1"/>
  <c r="E3481" i="5"/>
  <c r="F3481" i="5" s="1"/>
  <c r="E3482" i="5"/>
  <c r="F3482" i="5" s="1"/>
  <c r="E3483" i="5"/>
  <c r="F3483" i="5" s="1"/>
  <c r="E3484" i="5"/>
  <c r="F3484" i="5" s="1"/>
  <c r="E3485" i="5"/>
  <c r="F3485" i="5" s="1"/>
  <c r="E3486" i="5"/>
  <c r="F3486" i="5" s="1"/>
  <c r="E3487" i="5"/>
  <c r="F3487" i="5" s="1"/>
  <c r="E3488" i="5"/>
  <c r="F3488" i="5" s="1"/>
  <c r="E3489" i="5"/>
  <c r="F3489" i="5" s="1"/>
  <c r="E3490" i="5"/>
  <c r="F3490" i="5" s="1"/>
  <c r="E3491" i="5"/>
  <c r="F3491" i="5" s="1"/>
  <c r="E3492" i="5"/>
  <c r="F3492" i="5" s="1"/>
  <c r="E3493" i="5"/>
  <c r="F3493" i="5" s="1"/>
  <c r="E3494" i="5"/>
  <c r="F3494" i="5" s="1"/>
  <c r="E3495" i="5"/>
  <c r="F3495" i="5" s="1"/>
  <c r="E3496" i="5"/>
  <c r="F3496" i="5" s="1"/>
  <c r="E3497" i="5"/>
  <c r="F3497" i="5" s="1"/>
  <c r="E3498" i="5"/>
  <c r="F3498" i="5" s="1"/>
  <c r="E3499" i="5"/>
  <c r="F3499" i="5" s="1"/>
  <c r="E3500" i="5"/>
  <c r="F3500" i="5" s="1"/>
  <c r="E3501" i="5"/>
  <c r="F3501" i="5" s="1"/>
  <c r="E3502" i="5"/>
  <c r="F3502" i="5" s="1"/>
  <c r="E3503" i="5"/>
  <c r="F3503" i="5" s="1"/>
  <c r="E3504" i="5"/>
  <c r="F3504" i="5" s="1"/>
  <c r="E3505" i="5"/>
  <c r="F3505" i="5" s="1"/>
  <c r="E3506" i="5"/>
  <c r="F3506" i="5" s="1"/>
  <c r="E3507" i="5"/>
  <c r="F3507" i="5" s="1"/>
  <c r="E3508" i="5"/>
  <c r="F3508" i="5" s="1"/>
  <c r="E3509" i="5"/>
  <c r="F3509" i="5" s="1"/>
  <c r="E3510" i="5"/>
  <c r="F3510" i="5" s="1"/>
  <c r="E3511" i="5"/>
  <c r="F3511" i="5" s="1"/>
  <c r="E3512" i="5"/>
  <c r="F3512" i="5" s="1"/>
  <c r="E3513" i="5"/>
  <c r="F3513" i="5" s="1"/>
  <c r="E3514" i="5"/>
  <c r="F3514" i="5" s="1"/>
  <c r="E3515" i="5"/>
  <c r="F3515" i="5" s="1"/>
  <c r="E3516" i="5"/>
  <c r="F3516" i="5" s="1"/>
  <c r="E3517" i="5"/>
  <c r="F3517" i="5" s="1"/>
  <c r="E3518" i="5"/>
  <c r="F3518" i="5" s="1"/>
  <c r="E3519" i="5"/>
  <c r="F3519" i="5" s="1"/>
  <c r="E3520" i="5"/>
  <c r="F3520" i="5" s="1"/>
  <c r="E3521" i="5"/>
  <c r="F3521" i="5" s="1"/>
  <c r="E3522" i="5"/>
  <c r="F3522" i="5" s="1"/>
  <c r="E3523" i="5"/>
  <c r="F3523" i="5" s="1"/>
  <c r="E3524" i="5"/>
  <c r="F3524" i="5" s="1"/>
  <c r="E3525" i="5"/>
  <c r="F3525" i="5" s="1"/>
  <c r="E3526" i="5"/>
  <c r="F3526" i="5" s="1"/>
  <c r="E3527" i="5"/>
  <c r="F3527" i="5" s="1"/>
  <c r="E3528" i="5"/>
  <c r="F3528" i="5" s="1"/>
  <c r="E3529" i="5"/>
  <c r="F3529" i="5" s="1"/>
  <c r="E3530" i="5"/>
  <c r="F3530" i="5" s="1"/>
  <c r="E3531" i="5"/>
  <c r="F3531" i="5" s="1"/>
  <c r="E3532" i="5"/>
  <c r="F3532" i="5" s="1"/>
  <c r="E3533" i="5"/>
  <c r="F3533" i="5" s="1"/>
  <c r="E3534" i="5"/>
  <c r="F3534" i="5" s="1"/>
  <c r="E3535" i="5"/>
  <c r="F3535" i="5" s="1"/>
  <c r="E3536" i="5"/>
  <c r="F3536" i="5" s="1"/>
  <c r="E3537" i="5"/>
  <c r="F3537" i="5" s="1"/>
  <c r="E3538" i="5"/>
  <c r="F3538" i="5" s="1"/>
  <c r="E3539" i="5"/>
  <c r="F3539" i="5" s="1"/>
  <c r="E3540" i="5"/>
  <c r="F3540" i="5" s="1"/>
  <c r="E3541" i="5"/>
  <c r="F3541" i="5" s="1"/>
  <c r="E3542" i="5"/>
  <c r="F3542" i="5" s="1"/>
  <c r="E3543" i="5"/>
  <c r="F3543" i="5" s="1"/>
  <c r="E3544" i="5"/>
  <c r="F3544" i="5" s="1"/>
  <c r="E3545" i="5"/>
  <c r="F3545" i="5" s="1"/>
  <c r="E3546" i="5"/>
  <c r="F3546" i="5" s="1"/>
  <c r="E3547" i="5"/>
  <c r="F3547" i="5" s="1"/>
  <c r="E3548" i="5"/>
  <c r="F3548" i="5" s="1"/>
  <c r="E3549" i="5"/>
  <c r="F3549" i="5" s="1"/>
  <c r="E3550" i="5"/>
  <c r="F3550" i="5" s="1"/>
  <c r="E3551" i="5"/>
  <c r="F3551" i="5" s="1"/>
  <c r="E3552" i="5"/>
  <c r="F3552" i="5" s="1"/>
  <c r="E3553" i="5"/>
  <c r="F3553" i="5" s="1"/>
  <c r="E3554" i="5"/>
  <c r="F3554" i="5" s="1"/>
  <c r="E3555" i="5"/>
  <c r="F3555" i="5" s="1"/>
  <c r="E3556" i="5"/>
  <c r="F3556" i="5" s="1"/>
  <c r="E3557" i="5"/>
  <c r="F3557" i="5" s="1"/>
  <c r="E3558" i="5"/>
  <c r="F3558" i="5" s="1"/>
  <c r="E3559" i="5"/>
  <c r="F3559" i="5" s="1"/>
  <c r="E3560" i="5"/>
  <c r="F3560" i="5" s="1"/>
  <c r="E3561" i="5"/>
  <c r="F3561" i="5" s="1"/>
  <c r="E3562" i="5"/>
  <c r="F3562" i="5" s="1"/>
  <c r="E3563" i="5"/>
  <c r="F3563" i="5" s="1"/>
  <c r="E3564" i="5"/>
  <c r="F3564" i="5" s="1"/>
  <c r="E3565" i="5"/>
  <c r="F3565" i="5" s="1"/>
  <c r="E3566" i="5"/>
  <c r="F3566" i="5" s="1"/>
  <c r="E3567" i="5"/>
  <c r="F3567" i="5" s="1"/>
  <c r="E3568" i="5"/>
  <c r="F3568" i="5" s="1"/>
  <c r="E3569" i="5"/>
  <c r="F3569" i="5" s="1"/>
  <c r="E3570" i="5"/>
  <c r="F3570" i="5" s="1"/>
  <c r="E3571" i="5"/>
  <c r="F3571" i="5" s="1"/>
  <c r="E3572" i="5"/>
  <c r="F3572" i="5" s="1"/>
  <c r="E3573" i="5"/>
  <c r="F3573" i="5" s="1"/>
  <c r="E3574" i="5"/>
  <c r="F3574" i="5" s="1"/>
  <c r="E3575" i="5"/>
  <c r="F3575" i="5" s="1"/>
  <c r="E3576" i="5"/>
  <c r="F3576" i="5" s="1"/>
  <c r="E3577" i="5"/>
  <c r="F3577" i="5" s="1"/>
  <c r="E3578" i="5"/>
  <c r="F3578" i="5" s="1"/>
  <c r="E3579" i="5"/>
  <c r="F3579" i="5" s="1"/>
  <c r="E3580" i="5"/>
  <c r="F3580" i="5" s="1"/>
  <c r="E3581" i="5"/>
  <c r="F3581" i="5" s="1"/>
  <c r="E3582" i="5"/>
  <c r="F3582" i="5" s="1"/>
  <c r="E3583" i="5"/>
  <c r="F3583" i="5" s="1"/>
  <c r="E3584" i="5"/>
  <c r="F3584" i="5" s="1"/>
  <c r="E3585" i="5"/>
  <c r="F3585" i="5" s="1"/>
  <c r="E3586" i="5"/>
  <c r="F3586" i="5" s="1"/>
  <c r="E3587" i="5"/>
  <c r="F3587" i="5" s="1"/>
  <c r="E3588" i="5"/>
  <c r="F3588" i="5" s="1"/>
  <c r="E3589" i="5"/>
  <c r="F3589" i="5" s="1"/>
  <c r="E3590" i="5"/>
  <c r="F3590" i="5" s="1"/>
  <c r="E3591" i="5"/>
  <c r="F3591" i="5" s="1"/>
  <c r="E3592" i="5"/>
  <c r="F3592" i="5" s="1"/>
  <c r="E3593" i="5"/>
  <c r="F3593" i="5" s="1"/>
  <c r="E3594" i="5"/>
  <c r="F3594" i="5" s="1"/>
  <c r="E3595" i="5"/>
  <c r="F3595" i="5" s="1"/>
  <c r="E3596" i="5"/>
  <c r="F3596" i="5" s="1"/>
  <c r="E3597" i="5"/>
  <c r="F3597" i="5" s="1"/>
  <c r="E3598" i="5"/>
  <c r="F3598" i="5" s="1"/>
  <c r="E3599" i="5"/>
  <c r="F3599" i="5" s="1"/>
  <c r="E3600" i="5"/>
  <c r="F3600" i="5" s="1"/>
  <c r="E3601" i="5"/>
  <c r="F3601" i="5" s="1"/>
  <c r="E3602" i="5"/>
  <c r="F3602" i="5" s="1"/>
  <c r="E3603" i="5"/>
  <c r="F3603" i="5" s="1"/>
  <c r="E3604" i="5"/>
  <c r="F3604" i="5" s="1"/>
  <c r="E3605" i="5"/>
  <c r="F3605" i="5" s="1"/>
  <c r="E3606" i="5"/>
  <c r="F3606" i="5" s="1"/>
  <c r="E3607" i="5"/>
  <c r="F3607" i="5" s="1"/>
  <c r="E3608" i="5"/>
  <c r="F3608" i="5" s="1"/>
  <c r="E3609" i="5"/>
  <c r="F3609" i="5" s="1"/>
  <c r="E3610" i="5"/>
  <c r="F3610" i="5" s="1"/>
  <c r="E3611" i="5"/>
  <c r="F3611" i="5" s="1"/>
  <c r="E3612" i="5"/>
  <c r="F3612" i="5" s="1"/>
  <c r="E3613" i="5"/>
  <c r="F3613" i="5" s="1"/>
  <c r="E3614" i="5"/>
  <c r="F3614" i="5" s="1"/>
  <c r="E3615" i="5"/>
  <c r="F3615" i="5" s="1"/>
  <c r="E3616" i="5"/>
  <c r="F3616" i="5" s="1"/>
  <c r="E3617" i="5"/>
  <c r="F3617" i="5" s="1"/>
  <c r="E3618" i="5"/>
  <c r="F3618" i="5" s="1"/>
  <c r="E3619" i="5"/>
  <c r="F3619" i="5" s="1"/>
  <c r="E3620" i="5"/>
  <c r="F3620" i="5" s="1"/>
  <c r="E3621" i="5"/>
  <c r="F3621" i="5" s="1"/>
  <c r="E3622" i="5"/>
  <c r="F3622" i="5" s="1"/>
  <c r="E3623" i="5"/>
  <c r="F3623" i="5" s="1"/>
  <c r="E3624" i="5"/>
  <c r="F3624" i="5" s="1"/>
  <c r="E3625" i="5"/>
  <c r="F3625" i="5" s="1"/>
  <c r="E3626" i="5"/>
  <c r="F3626" i="5" s="1"/>
  <c r="E3627" i="5"/>
  <c r="F3627" i="5" s="1"/>
  <c r="E3628" i="5"/>
  <c r="F3628" i="5" s="1"/>
  <c r="E3629" i="5"/>
  <c r="F3629" i="5" s="1"/>
  <c r="E3630" i="5"/>
  <c r="F3630" i="5" s="1"/>
  <c r="E3631" i="5"/>
  <c r="F3631" i="5" s="1"/>
  <c r="E3632" i="5"/>
  <c r="F3632" i="5" s="1"/>
  <c r="E3633" i="5"/>
  <c r="F3633" i="5" s="1"/>
  <c r="E3634" i="5"/>
  <c r="F3634" i="5" s="1"/>
  <c r="E3635" i="5"/>
  <c r="F3635" i="5" s="1"/>
  <c r="E3636" i="5"/>
  <c r="F3636" i="5" s="1"/>
  <c r="E3637" i="5"/>
  <c r="F3637" i="5" s="1"/>
  <c r="E3638" i="5"/>
  <c r="F3638" i="5" s="1"/>
  <c r="E3639" i="5"/>
  <c r="F3639" i="5" s="1"/>
  <c r="E3640" i="5"/>
  <c r="F3640" i="5" s="1"/>
  <c r="E3641" i="5"/>
  <c r="F3641" i="5" s="1"/>
  <c r="E3642" i="5"/>
  <c r="F3642" i="5" s="1"/>
  <c r="E3643" i="5"/>
  <c r="F3643" i="5" s="1"/>
  <c r="E3644" i="5"/>
  <c r="F3644" i="5" s="1"/>
  <c r="E3645" i="5"/>
  <c r="F3645" i="5" s="1"/>
  <c r="E3646" i="5"/>
  <c r="F3646" i="5" s="1"/>
  <c r="E3647" i="5"/>
  <c r="F3647" i="5" s="1"/>
  <c r="E3648" i="5"/>
  <c r="F3648" i="5" s="1"/>
  <c r="E3649" i="5"/>
  <c r="F3649" i="5" s="1"/>
  <c r="E3650" i="5"/>
  <c r="F3650" i="5" s="1"/>
  <c r="E3651" i="5"/>
  <c r="F3651" i="5" s="1"/>
  <c r="E3652" i="5"/>
  <c r="F3652" i="5" s="1"/>
  <c r="E3653" i="5"/>
  <c r="F3653" i="5" s="1"/>
  <c r="E3654" i="5"/>
  <c r="F3654" i="5" s="1"/>
  <c r="E3655" i="5"/>
  <c r="F3655" i="5" s="1"/>
  <c r="E3656" i="5"/>
  <c r="F3656" i="5" s="1"/>
  <c r="E3657" i="5"/>
  <c r="F3657" i="5" s="1"/>
  <c r="E3658" i="5"/>
  <c r="F3658" i="5" s="1"/>
  <c r="E3659" i="5"/>
  <c r="F3659" i="5" s="1"/>
  <c r="E3660" i="5"/>
  <c r="F3660" i="5" s="1"/>
  <c r="E3661" i="5"/>
  <c r="F3661" i="5" s="1"/>
  <c r="E3662" i="5"/>
  <c r="F3662" i="5" s="1"/>
  <c r="E3663" i="5"/>
  <c r="F3663" i="5" s="1"/>
  <c r="E3664" i="5"/>
  <c r="F3664" i="5" s="1"/>
  <c r="E3665" i="5"/>
  <c r="F3665" i="5" s="1"/>
  <c r="E3666" i="5"/>
  <c r="F3666" i="5" s="1"/>
  <c r="E3667" i="5"/>
  <c r="F3667" i="5" s="1"/>
  <c r="E3668" i="5"/>
  <c r="F3668" i="5" s="1"/>
  <c r="E3669" i="5"/>
  <c r="F3669" i="5" s="1"/>
  <c r="E3670" i="5"/>
  <c r="F3670" i="5" s="1"/>
  <c r="E3671" i="5"/>
  <c r="F3671" i="5" s="1"/>
  <c r="E3672" i="5"/>
  <c r="F3672" i="5" s="1"/>
  <c r="E3673" i="5"/>
  <c r="F3673" i="5" s="1"/>
  <c r="E3674" i="5"/>
  <c r="F3674" i="5" s="1"/>
  <c r="E3675" i="5"/>
  <c r="F3675" i="5" s="1"/>
  <c r="E3676" i="5"/>
  <c r="F3676" i="5" s="1"/>
  <c r="E3677" i="5"/>
  <c r="F3677" i="5" s="1"/>
  <c r="E3678" i="5"/>
  <c r="F3678" i="5" s="1"/>
  <c r="E3679" i="5"/>
  <c r="F3679" i="5" s="1"/>
  <c r="E3680" i="5"/>
  <c r="F3680" i="5" s="1"/>
  <c r="E3681" i="5"/>
  <c r="F3681" i="5" s="1"/>
  <c r="E3682" i="5"/>
  <c r="F3682" i="5" s="1"/>
  <c r="E3683" i="5"/>
  <c r="F3683" i="5" s="1"/>
  <c r="E3684" i="5"/>
  <c r="F3684" i="5" s="1"/>
  <c r="E3685" i="5"/>
  <c r="F3685" i="5" s="1"/>
  <c r="E3686" i="5"/>
  <c r="F3686" i="5" s="1"/>
  <c r="E3687" i="5"/>
  <c r="F3687" i="5" s="1"/>
  <c r="E3688" i="5"/>
  <c r="F3688" i="5" s="1"/>
  <c r="E3689" i="5"/>
  <c r="F3689" i="5" s="1"/>
  <c r="E3690" i="5"/>
  <c r="F3690" i="5" s="1"/>
  <c r="E3691" i="5"/>
  <c r="F3691" i="5" s="1"/>
  <c r="E3692" i="5"/>
  <c r="F3692" i="5" s="1"/>
  <c r="E3693" i="5"/>
  <c r="F3693" i="5" s="1"/>
  <c r="E3694" i="5"/>
  <c r="F3694" i="5" s="1"/>
  <c r="E3695" i="5"/>
  <c r="F3695" i="5" s="1"/>
  <c r="E3696" i="5"/>
  <c r="F3696" i="5" s="1"/>
  <c r="E3697" i="5"/>
  <c r="F3697" i="5" s="1"/>
  <c r="E3698" i="5"/>
  <c r="F3698" i="5" s="1"/>
  <c r="E3699" i="5"/>
  <c r="F3699" i="5" s="1"/>
  <c r="E3700" i="5"/>
  <c r="F3700" i="5" s="1"/>
  <c r="E3701" i="5"/>
  <c r="F3701" i="5" s="1"/>
  <c r="E3702" i="5"/>
  <c r="F3702" i="5" s="1"/>
  <c r="E3703" i="5"/>
  <c r="F3703" i="5" s="1"/>
  <c r="E3704" i="5"/>
  <c r="F3704" i="5" s="1"/>
  <c r="E3705" i="5"/>
  <c r="F3705" i="5" s="1"/>
  <c r="E3706" i="5"/>
  <c r="F3706" i="5" s="1"/>
  <c r="E3707" i="5"/>
  <c r="F3707" i="5" s="1"/>
  <c r="E3708" i="5"/>
  <c r="F3708" i="5" s="1"/>
  <c r="E3709" i="5"/>
  <c r="F3709" i="5" s="1"/>
  <c r="E3710" i="5"/>
  <c r="F3710" i="5" s="1"/>
  <c r="E3711" i="5"/>
  <c r="F3711" i="5" s="1"/>
  <c r="E3712" i="5"/>
  <c r="F3712" i="5" s="1"/>
  <c r="E3713" i="5"/>
  <c r="F3713" i="5" s="1"/>
  <c r="E3714" i="5"/>
  <c r="F3714" i="5" s="1"/>
  <c r="E3715" i="5"/>
  <c r="F3715" i="5" s="1"/>
  <c r="E3716" i="5"/>
  <c r="F3716" i="5" s="1"/>
  <c r="E3717" i="5"/>
  <c r="F3717" i="5" s="1"/>
  <c r="E3718" i="5"/>
  <c r="F3718" i="5" s="1"/>
  <c r="E3719" i="5"/>
  <c r="F3719" i="5" s="1"/>
  <c r="E3720" i="5"/>
  <c r="F3720" i="5" s="1"/>
  <c r="E3721" i="5"/>
  <c r="F3721" i="5" s="1"/>
  <c r="E3722" i="5"/>
  <c r="F3722" i="5" s="1"/>
  <c r="E3723" i="5"/>
  <c r="F3723" i="5" s="1"/>
  <c r="E3724" i="5"/>
  <c r="F3724" i="5" s="1"/>
  <c r="E3725" i="5"/>
  <c r="F3725" i="5" s="1"/>
  <c r="E3726" i="5"/>
  <c r="F3726" i="5" s="1"/>
  <c r="E3727" i="5"/>
  <c r="F3727" i="5" s="1"/>
  <c r="E3728" i="5"/>
  <c r="F3728" i="5" s="1"/>
  <c r="E3729" i="5"/>
  <c r="F3729" i="5" s="1"/>
  <c r="E3730" i="5"/>
  <c r="F3730" i="5" s="1"/>
  <c r="E3731" i="5"/>
  <c r="F3731" i="5" s="1"/>
  <c r="E3732" i="5"/>
  <c r="F3732" i="5" s="1"/>
  <c r="E3733" i="5"/>
  <c r="F3733" i="5" s="1"/>
  <c r="E3734" i="5"/>
  <c r="F3734" i="5" s="1"/>
  <c r="E3735" i="5"/>
  <c r="F3735" i="5" s="1"/>
  <c r="E3736" i="5"/>
  <c r="F3736" i="5" s="1"/>
  <c r="E3737" i="5"/>
  <c r="F3737" i="5" s="1"/>
  <c r="E3738" i="5"/>
  <c r="F3738" i="5" s="1"/>
  <c r="E3739" i="5"/>
  <c r="F3739" i="5" s="1"/>
  <c r="E3740" i="5"/>
  <c r="F3740" i="5" s="1"/>
  <c r="E3741" i="5"/>
  <c r="F3741" i="5" s="1"/>
  <c r="E3742" i="5"/>
  <c r="F3742" i="5" s="1"/>
  <c r="E3743" i="5"/>
  <c r="F3743" i="5" s="1"/>
  <c r="E3744" i="5"/>
  <c r="F3744" i="5" s="1"/>
  <c r="E3745" i="5"/>
  <c r="F3745" i="5" s="1"/>
  <c r="E3746" i="5"/>
  <c r="F3746" i="5" s="1"/>
  <c r="E3747" i="5"/>
  <c r="F3747" i="5" s="1"/>
  <c r="E3748" i="5"/>
  <c r="F3748" i="5" s="1"/>
  <c r="E3749" i="5"/>
  <c r="F3749" i="5" s="1"/>
  <c r="E3750" i="5"/>
  <c r="F3750" i="5" s="1"/>
  <c r="E3751" i="5"/>
  <c r="F3751" i="5" s="1"/>
  <c r="E3752" i="5"/>
  <c r="F3752" i="5" s="1"/>
  <c r="E3753" i="5"/>
  <c r="F3753" i="5" s="1"/>
  <c r="E3754" i="5"/>
  <c r="F3754" i="5" s="1"/>
  <c r="E3755" i="5"/>
  <c r="F3755" i="5" s="1"/>
  <c r="E3756" i="5"/>
  <c r="F3756" i="5" s="1"/>
  <c r="E3757" i="5"/>
  <c r="F3757" i="5" s="1"/>
  <c r="E3758" i="5"/>
  <c r="F3758" i="5" s="1"/>
  <c r="E3759" i="5"/>
  <c r="F3759" i="5" s="1"/>
  <c r="E3760" i="5"/>
  <c r="F3760" i="5" s="1"/>
  <c r="E3761" i="5"/>
  <c r="F3761" i="5" s="1"/>
  <c r="E3762" i="5"/>
  <c r="F3762" i="5" s="1"/>
  <c r="E3763" i="5"/>
  <c r="F3763" i="5" s="1"/>
  <c r="E3764" i="5"/>
  <c r="F3764" i="5" s="1"/>
  <c r="E3765" i="5"/>
  <c r="F3765" i="5" s="1"/>
  <c r="E3766" i="5"/>
  <c r="F3766" i="5" s="1"/>
  <c r="E3767" i="5"/>
  <c r="F3767" i="5" s="1"/>
  <c r="E3768" i="5"/>
  <c r="F3768" i="5" s="1"/>
  <c r="E3769" i="5"/>
  <c r="F3769" i="5" s="1"/>
  <c r="E3770" i="5"/>
  <c r="F3770" i="5" s="1"/>
  <c r="E3771" i="5"/>
  <c r="F3771" i="5" s="1"/>
  <c r="E3772" i="5"/>
  <c r="F3772" i="5" s="1"/>
  <c r="E3773" i="5"/>
  <c r="F3773" i="5" s="1"/>
  <c r="E3774" i="5"/>
  <c r="F3774" i="5" s="1"/>
  <c r="E3775" i="5"/>
  <c r="F3775" i="5" s="1"/>
  <c r="E3776" i="5"/>
  <c r="F3776" i="5" s="1"/>
  <c r="E3777" i="5"/>
  <c r="F3777" i="5" s="1"/>
  <c r="E3778" i="5"/>
  <c r="F3778" i="5" s="1"/>
  <c r="E3779" i="5"/>
  <c r="F3779" i="5" s="1"/>
  <c r="E3780" i="5"/>
  <c r="F3780" i="5" s="1"/>
  <c r="E3781" i="5"/>
  <c r="F3781" i="5" s="1"/>
  <c r="E3782" i="5"/>
  <c r="F3782" i="5" s="1"/>
  <c r="E3783" i="5"/>
  <c r="F3783" i="5" s="1"/>
  <c r="E3784" i="5"/>
  <c r="F3784" i="5" s="1"/>
  <c r="E3785" i="5"/>
  <c r="F3785" i="5" s="1"/>
  <c r="E3786" i="5"/>
  <c r="F3786" i="5" s="1"/>
  <c r="E3787" i="5"/>
  <c r="F3787" i="5" s="1"/>
  <c r="E3788" i="5"/>
  <c r="F3788" i="5" s="1"/>
  <c r="E3789" i="5"/>
  <c r="F3789" i="5" s="1"/>
  <c r="E3790" i="5"/>
  <c r="F3790" i="5" s="1"/>
  <c r="E3791" i="5"/>
  <c r="F3791" i="5" s="1"/>
  <c r="E3792" i="5"/>
  <c r="F3792" i="5" s="1"/>
  <c r="E3793" i="5"/>
  <c r="F3793" i="5" s="1"/>
  <c r="E3794" i="5"/>
  <c r="F3794" i="5" s="1"/>
  <c r="E3795" i="5"/>
  <c r="F3795" i="5" s="1"/>
  <c r="E3796" i="5"/>
  <c r="F3796" i="5" s="1"/>
  <c r="E3797" i="5"/>
  <c r="F3797" i="5" s="1"/>
  <c r="E3798" i="5"/>
  <c r="F3798" i="5" s="1"/>
  <c r="E3799" i="5"/>
  <c r="F3799" i="5" s="1"/>
  <c r="E3800" i="5"/>
  <c r="F3800" i="5" s="1"/>
  <c r="E3801" i="5"/>
  <c r="F3801" i="5" s="1"/>
  <c r="E3802" i="5"/>
  <c r="F3802" i="5" s="1"/>
  <c r="E3803" i="5"/>
  <c r="F3803" i="5" s="1"/>
  <c r="E3804" i="5"/>
  <c r="F3804" i="5" s="1"/>
  <c r="E3805" i="5"/>
  <c r="F3805" i="5" s="1"/>
  <c r="E3806" i="5"/>
  <c r="F3806" i="5" s="1"/>
  <c r="E3807" i="5"/>
  <c r="F3807" i="5" s="1"/>
  <c r="E3808" i="5"/>
  <c r="F3808" i="5" s="1"/>
  <c r="E3809" i="5"/>
  <c r="F3809" i="5" s="1"/>
  <c r="E3810" i="5"/>
  <c r="F3810" i="5" s="1"/>
  <c r="E3811" i="5"/>
  <c r="F3811" i="5" s="1"/>
  <c r="E3812" i="5"/>
  <c r="F3812" i="5" s="1"/>
  <c r="E3813" i="5"/>
  <c r="F3813" i="5" s="1"/>
  <c r="E3814" i="5"/>
  <c r="F3814" i="5" s="1"/>
  <c r="E3815" i="5"/>
  <c r="F3815" i="5" s="1"/>
  <c r="E3816" i="5"/>
  <c r="F3816" i="5" s="1"/>
  <c r="E3817" i="5"/>
  <c r="F3817" i="5" s="1"/>
  <c r="E3818" i="5"/>
  <c r="F3818" i="5" s="1"/>
  <c r="E3819" i="5"/>
  <c r="F3819" i="5" s="1"/>
  <c r="E3820" i="5"/>
  <c r="F3820" i="5" s="1"/>
  <c r="E3821" i="5"/>
  <c r="F3821" i="5" s="1"/>
  <c r="E3822" i="5"/>
  <c r="F3822" i="5" s="1"/>
  <c r="E3823" i="5"/>
  <c r="F3823" i="5" s="1"/>
  <c r="E3824" i="5"/>
  <c r="F3824" i="5" s="1"/>
  <c r="E3825" i="5"/>
  <c r="F3825" i="5" s="1"/>
  <c r="E3826" i="5"/>
  <c r="F3826" i="5" s="1"/>
  <c r="E3827" i="5"/>
  <c r="F3827" i="5" s="1"/>
  <c r="E3828" i="5"/>
  <c r="F3828" i="5" s="1"/>
  <c r="E3829" i="5"/>
  <c r="F3829" i="5" s="1"/>
  <c r="E3830" i="5"/>
  <c r="F3830" i="5" s="1"/>
  <c r="E3831" i="5"/>
  <c r="F3831" i="5" s="1"/>
  <c r="E3832" i="5"/>
  <c r="F3832" i="5" s="1"/>
  <c r="E3833" i="5"/>
  <c r="F3833" i="5" s="1"/>
  <c r="E3834" i="5"/>
  <c r="F3834" i="5" s="1"/>
  <c r="E3835" i="5"/>
  <c r="F3835" i="5" s="1"/>
  <c r="E3836" i="5"/>
  <c r="F3836" i="5" s="1"/>
  <c r="E3837" i="5"/>
  <c r="F3837" i="5" s="1"/>
  <c r="E3838" i="5"/>
  <c r="F3838" i="5" s="1"/>
  <c r="E3839" i="5"/>
  <c r="F3839" i="5" s="1"/>
  <c r="E3840" i="5"/>
  <c r="F3840" i="5" s="1"/>
  <c r="E3841" i="5"/>
  <c r="F3841" i="5" s="1"/>
  <c r="E3842" i="5"/>
  <c r="F3842" i="5" s="1"/>
  <c r="E3843" i="5"/>
  <c r="F3843" i="5" s="1"/>
  <c r="E3844" i="5"/>
  <c r="F3844" i="5" s="1"/>
  <c r="E3845" i="5"/>
  <c r="F3845" i="5" s="1"/>
  <c r="E3846" i="5"/>
  <c r="F3846" i="5" s="1"/>
  <c r="E3847" i="5"/>
  <c r="F3847" i="5" s="1"/>
  <c r="E3848" i="5"/>
  <c r="F3848" i="5" s="1"/>
  <c r="E3849" i="5"/>
  <c r="F3849" i="5" s="1"/>
  <c r="E3850" i="5"/>
  <c r="F3850" i="5" s="1"/>
  <c r="E3851" i="5"/>
  <c r="F3851" i="5" s="1"/>
  <c r="E3852" i="5"/>
  <c r="F3852" i="5" s="1"/>
  <c r="E3853" i="5"/>
  <c r="F3853" i="5" s="1"/>
  <c r="E3854" i="5"/>
  <c r="F3854" i="5" s="1"/>
  <c r="E3855" i="5"/>
  <c r="F3855" i="5" s="1"/>
  <c r="E3856" i="5"/>
  <c r="F3856" i="5" s="1"/>
  <c r="E3857" i="5"/>
  <c r="F3857" i="5" s="1"/>
  <c r="E3858" i="5"/>
  <c r="F3858" i="5" s="1"/>
  <c r="E3859" i="5"/>
  <c r="F3859" i="5" s="1"/>
  <c r="E3860" i="5"/>
  <c r="F3860" i="5" s="1"/>
  <c r="E3861" i="5"/>
  <c r="F3861" i="5" s="1"/>
  <c r="E3862" i="5"/>
  <c r="F3862" i="5" s="1"/>
  <c r="E3863" i="5"/>
  <c r="F3863" i="5" s="1"/>
  <c r="E3864" i="5"/>
  <c r="F3864" i="5" s="1"/>
  <c r="E3865" i="5"/>
  <c r="F3865" i="5" s="1"/>
  <c r="E3866" i="5"/>
  <c r="F3866" i="5" s="1"/>
  <c r="E3867" i="5"/>
  <c r="F3867" i="5" s="1"/>
  <c r="E3868" i="5"/>
  <c r="F3868" i="5" s="1"/>
  <c r="E3869" i="5"/>
  <c r="F3869" i="5" s="1"/>
  <c r="E3870" i="5"/>
  <c r="F3870" i="5" s="1"/>
  <c r="E3871" i="5"/>
  <c r="F3871" i="5" s="1"/>
  <c r="E3872" i="5"/>
  <c r="F3872" i="5" s="1"/>
  <c r="E3873" i="5"/>
  <c r="F3873" i="5" s="1"/>
  <c r="E3874" i="5"/>
  <c r="F3874" i="5" s="1"/>
  <c r="E3875" i="5"/>
  <c r="F3875" i="5" s="1"/>
  <c r="E3876" i="5"/>
  <c r="F3876" i="5" s="1"/>
  <c r="E3877" i="5"/>
  <c r="F3877" i="5" s="1"/>
  <c r="E3878" i="5"/>
  <c r="F3878" i="5" s="1"/>
  <c r="E3879" i="5"/>
  <c r="F3879" i="5" s="1"/>
  <c r="E3880" i="5"/>
  <c r="F3880" i="5" s="1"/>
  <c r="E3881" i="5"/>
  <c r="F3881" i="5" s="1"/>
  <c r="E3882" i="5"/>
  <c r="F3882" i="5" s="1"/>
  <c r="E3883" i="5"/>
  <c r="F3883" i="5" s="1"/>
  <c r="E3884" i="5"/>
  <c r="F3884" i="5" s="1"/>
  <c r="E3885" i="5"/>
  <c r="F3885" i="5" s="1"/>
  <c r="E3886" i="5"/>
  <c r="F3886" i="5" s="1"/>
  <c r="E3887" i="5"/>
  <c r="F3887" i="5" s="1"/>
  <c r="E3888" i="5"/>
  <c r="F3888" i="5" s="1"/>
  <c r="E3889" i="5"/>
  <c r="F3889" i="5" s="1"/>
  <c r="E3890" i="5"/>
  <c r="F3890" i="5" s="1"/>
  <c r="E3891" i="5"/>
  <c r="F3891" i="5" s="1"/>
  <c r="E3892" i="5"/>
  <c r="F3892" i="5" s="1"/>
  <c r="E3893" i="5"/>
  <c r="F3893" i="5" s="1"/>
  <c r="E3894" i="5"/>
  <c r="F3894" i="5" s="1"/>
  <c r="E3895" i="5"/>
  <c r="F3895" i="5" s="1"/>
  <c r="E3896" i="5"/>
  <c r="F3896" i="5" s="1"/>
  <c r="E3897" i="5"/>
  <c r="F3897" i="5" s="1"/>
  <c r="E3898" i="5"/>
  <c r="F3898" i="5" s="1"/>
  <c r="E3899" i="5"/>
  <c r="F3899" i="5" s="1"/>
  <c r="E3900" i="5"/>
  <c r="F3900" i="5" s="1"/>
  <c r="E3901" i="5"/>
  <c r="F3901" i="5" s="1"/>
  <c r="E3902" i="5"/>
  <c r="F3902" i="5" s="1"/>
  <c r="E3903" i="5"/>
  <c r="F3903" i="5" s="1"/>
  <c r="E3904" i="5"/>
  <c r="F3904" i="5" s="1"/>
  <c r="E3905" i="5"/>
  <c r="F3905" i="5" s="1"/>
  <c r="E3906" i="5"/>
  <c r="F3906" i="5" s="1"/>
  <c r="E3907" i="5"/>
  <c r="F3907" i="5" s="1"/>
  <c r="E3908" i="5"/>
  <c r="F3908" i="5" s="1"/>
  <c r="E3909" i="5"/>
  <c r="F3909" i="5" s="1"/>
  <c r="E3910" i="5"/>
  <c r="F3910" i="5" s="1"/>
  <c r="E3911" i="5"/>
  <c r="F3911" i="5" s="1"/>
  <c r="E3912" i="5"/>
  <c r="F3912" i="5" s="1"/>
  <c r="E3913" i="5"/>
  <c r="F3913" i="5" s="1"/>
  <c r="E3914" i="5"/>
  <c r="F3914" i="5" s="1"/>
  <c r="E3915" i="5"/>
  <c r="F3915" i="5" s="1"/>
  <c r="E3916" i="5"/>
  <c r="F3916" i="5" s="1"/>
  <c r="E3917" i="5"/>
  <c r="F3917" i="5" s="1"/>
  <c r="E3918" i="5"/>
  <c r="F3918" i="5" s="1"/>
  <c r="E3919" i="5"/>
  <c r="F3919" i="5" s="1"/>
  <c r="E3920" i="5"/>
  <c r="F3920" i="5" s="1"/>
  <c r="E3921" i="5"/>
  <c r="F3921" i="5" s="1"/>
  <c r="E3922" i="5"/>
  <c r="F3922" i="5" s="1"/>
  <c r="E3923" i="5"/>
  <c r="F3923" i="5" s="1"/>
  <c r="E3924" i="5"/>
  <c r="F3924" i="5" s="1"/>
  <c r="E3925" i="5"/>
  <c r="F3925" i="5" s="1"/>
  <c r="E3926" i="5"/>
  <c r="F3926" i="5" s="1"/>
  <c r="E3927" i="5"/>
  <c r="F3927" i="5" s="1"/>
  <c r="E3928" i="5"/>
  <c r="F3928" i="5" s="1"/>
  <c r="E3929" i="5"/>
  <c r="F3929" i="5" s="1"/>
  <c r="E3930" i="5"/>
  <c r="F3930" i="5" s="1"/>
  <c r="E3931" i="5"/>
  <c r="F3931" i="5" s="1"/>
  <c r="E3932" i="5"/>
  <c r="F3932" i="5" s="1"/>
  <c r="E3933" i="5"/>
  <c r="F3933" i="5" s="1"/>
  <c r="E3934" i="5"/>
  <c r="F3934" i="5" s="1"/>
  <c r="E3935" i="5"/>
  <c r="F3935" i="5" s="1"/>
  <c r="E3936" i="5"/>
  <c r="F3936" i="5" s="1"/>
  <c r="E3937" i="5"/>
  <c r="F3937" i="5" s="1"/>
  <c r="E3938" i="5"/>
  <c r="F3938" i="5" s="1"/>
  <c r="E3939" i="5"/>
  <c r="F3939" i="5" s="1"/>
  <c r="E3940" i="5"/>
  <c r="F3940" i="5" s="1"/>
  <c r="E3941" i="5"/>
  <c r="F3941" i="5" s="1"/>
  <c r="E3942" i="5"/>
  <c r="F3942" i="5" s="1"/>
  <c r="E3943" i="5"/>
  <c r="F3943" i="5" s="1"/>
  <c r="E3944" i="5"/>
  <c r="F3944" i="5" s="1"/>
  <c r="E3945" i="5"/>
  <c r="F3945" i="5" s="1"/>
  <c r="E3946" i="5"/>
  <c r="F3946" i="5" s="1"/>
  <c r="E3947" i="5"/>
  <c r="F3947" i="5" s="1"/>
  <c r="E3948" i="5"/>
  <c r="F3948" i="5" s="1"/>
  <c r="E3949" i="5"/>
  <c r="F3949" i="5" s="1"/>
  <c r="E3950" i="5"/>
  <c r="F3950" i="5" s="1"/>
  <c r="E3951" i="5"/>
  <c r="F3951" i="5" s="1"/>
  <c r="E3952" i="5"/>
  <c r="F3952" i="5" s="1"/>
  <c r="E3953" i="5"/>
  <c r="F3953" i="5" s="1"/>
  <c r="E3954" i="5"/>
  <c r="F3954" i="5" s="1"/>
  <c r="E3955" i="5"/>
  <c r="F3955" i="5" s="1"/>
  <c r="E3956" i="5"/>
  <c r="F3956" i="5" s="1"/>
  <c r="E3957" i="5"/>
  <c r="F3957" i="5" s="1"/>
  <c r="E3958" i="5"/>
  <c r="F3958" i="5" s="1"/>
  <c r="E3959" i="5"/>
  <c r="F3959" i="5" s="1"/>
  <c r="E3960" i="5"/>
  <c r="F3960" i="5" s="1"/>
  <c r="E3961" i="5"/>
  <c r="F3961" i="5" s="1"/>
  <c r="E3962" i="5"/>
  <c r="F3962" i="5" s="1"/>
  <c r="E3963" i="5"/>
  <c r="F3963" i="5" s="1"/>
  <c r="E3964" i="5"/>
  <c r="F3964" i="5" s="1"/>
  <c r="E3965" i="5"/>
  <c r="F3965" i="5" s="1"/>
  <c r="E3966" i="5"/>
  <c r="F3966" i="5" s="1"/>
  <c r="E3967" i="5"/>
  <c r="F3967" i="5" s="1"/>
  <c r="E3968" i="5"/>
  <c r="F3968" i="5" s="1"/>
  <c r="E3969" i="5"/>
  <c r="F3969" i="5" s="1"/>
  <c r="E3970" i="5"/>
  <c r="F3970" i="5" s="1"/>
  <c r="E3971" i="5"/>
  <c r="F3971" i="5" s="1"/>
  <c r="E3972" i="5"/>
  <c r="F3972" i="5" s="1"/>
  <c r="E3973" i="5"/>
  <c r="F3973" i="5" s="1"/>
  <c r="E3974" i="5"/>
  <c r="F3974" i="5" s="1"/>
  <c r="E3975" i="5"/>
  <c r="F3975" i="5" s="1"/>
  <c r="E3976" i="5"/>
  <c r="F3976" i="5" s="1"/>
  <c r="E3977" i="5"/>
  <c r="F3977" i="5" s="1"/>
  <c r="E3978" i="5"/>
  <c r="F3978" i="5" s="1"/>
  <c r="E3979" i="5"/>
  <c r="F3979" i="5" s="1"/>
  <c r="E3980" i="5"/>
  <c r="F3980" i="5" s="1"/>
  <c r="E3981" i="5"/>
  <c r="F3981" i="5" s="1"/>
  <c r="E3982" i="5"/>
  <c r="F3982" i="5" s="1"/>
  <c r="E3983" i="5"/>
  <c r="F3983" i="5" s="1"/>
  <c r="E3984" i="5"/>
  <c r="F3984" i="5" s="1"/>
  <c r="E3985" i="5"/>
  <c r="F3985" i="5" s="1"/>
  <c r="E3986" i="5"/>
  <c r="F3986" i="5" s="1"/>
  <c r="E3987" i="5"/>
  <c r="F3987" i="5" s="1"/>
  <c r="E3988" i="5"/>
  <c r="F3988" i="5" s="1"/>
  <c r="E3989" i="5"/>
  <c r="F3989" i="5" s="1"/>
  <c r="E3990" i="5"/>
  <c r="F3990" i="5" s="1"/>
  <c r="E3991" i="5"/>
  <c r="F3991" i="5" s="1"/>
  <c r="E3992" i="5"/>
  <c r="F3992" i="5" s="1"/>
  <c r="E3993" i="5"/>
  <c r="F3993" i="5" s="1"/>
  <c r="E3994" i="5"/>
  <c r="F3994" i="5" s="1"/>
  <c r="E3995" i="5"/>
  <c r="F3995" i="5" s="1"/>
  <c r="E3996" i="5"/>
  <c r="F3996" i="5" s="1"/>
  <c r="E3997" i="5"/>
  <c r="F3997" i="5" s="1"/>
  <c r="E3998" i="5"/>
  <c r="F3998" i="5" s="1"/>
  <c r="E3999" i="5"/>
  <c r="F3999" i="5" s="1"/>
  <c r="E4000" i="5"/>
  <c r="F4000" i="5" s="1"/>
  <c r="E4001" i="5"/>
  <c r="F4001" i="5" s="1"/>
  <c r="E4002" i="5"/>
  <c r="F4002" i="5" s="1"/>
  <c r="E4003" i="5"/>
  <c r="F4003" i="5" s="1"/>
  <c r="E4004" i="5"/>
  <c r="F4004" i="5" s="1"/>
  <c r="E4005" i="5"/>
  <c r="F4005" i="5" s="1"/>
  <c r="E4006" i="5"/>
  <c r="F4006" i="5" s="1"/>
  <c r="E4007" i="5"/>
  <c r="F4007" i="5" s="1"/>
  <c r="E4008" i="5"/>
  <c r="F4008" i="5" s="1"/>
  <c r="E4009" i="5"/>
  <c r="F4009" i="5" s="1"/>
  <c r="E4010" i="5"/>
  <c r="F4010" i="5" s="1"/>
  <c r="E4011" i="5"/>
  <c r="F4011" i="5" s="1"/>
  <c r="E4012" i="5"/>
  <c r="F4012" i="5" s="1"/>
  <c r="E4013" i="5"/>
  <c r="F4013" i="5" s="1"/>
  <c r="E4014" i="5"/>
  <c r="F4014" i="5" s="1"/>
  <c r="E4015" i="5"/>
  <c r="F4015" i="5" s="1"/>
  <c r="E4016" i="5"/>
  <c r="F4016" i="5" s="1"/>
  <c r="E4017" i="5"/>
  <c r="F4017" i="5" s="1"/>
  <c r="E4018" i="5"/>
  <c r="F4018" i="5" s="1"/>
  <c r="E4019" i="5"/>
  <c r="F4019" i="5" s="1"/>
  <c r="E4020" i="5"/>
  <c r="F4020" i="5" s="1"/>
  <c r="E4021" i="5"/>
  <c r="F4021" i="5" s="1"/>
  <c r="E4022" i="5"/>
  <c r="F4022" i="5" s="1"/>
  <c r="E4023" i="5"/>
  <c r="F4023" i="5" s="1"/>
  <c r="E4024" i="5"/>
  <c r="F4024" i="5" s="1"/>
  <c r="E4025" i="5"/>
  <c r="F4025" i="5" s="1"/>
  <c r="E4026" i="5"/>
  <c r="F4026" i="5" s="1"/>
  <c r="E4027" i="5"/>
  <c r="F4027" i="5" s="1"/>
  <c r="E4028" i="5"/>
  <c r="F4028" i="5" s="1"/>
  <c r="E4029" i="5"/>
  <c r="F4029" i="5" s="1"/>
  <c r="E4030" i="5"/>
  <c r="F4030" i="5" s="1"/>
  <c r="E4031" i="5"/>
  <c r="F4031" i="5" s="1"/>
  <c r="E4032" i="5"/>
  <c r="F4032" i="5" s="1"/>
  <c r="E4033" i="5"/>
  <c r="F4033" i="5" s="1"/>
  <c r="E4034" i="5"/>
  <c r="F4034" i="5" s="1"/>
  <c r="E4035" i="5"/>
  <c r="F4035" i="5" s="1"/>
  <c r="E4036" i="5"/>
  <c r="F4036" i="5" s="1"/>
  <c r="E4037" i="5"/>
  <c r="F4037" i="5" s="1"/>
  <c r="E4038" i="5"/>
  <c r="F4038" i="5" s="1"/>
  <c r="E4039" i="5"/>
  <c r="F4039" i="5" s="1"/>
  <c r="E4040" i="5"/>
  <c r="F4040" i="5" s="1"/>
  <c r="E4041" i="5"/>
  <c r="F4041" i="5" s="1"/>
  <c r="E4042" i="5"/>
  <c r="F4042" i="5" s="1"/>
  <c r="E4043" i="5"/>
  <c r="F4043" i="5" s="1"/>
  <c r="E4044" i="5"/>
  <c r="F4044" i="5" s="1"/>
  <c r="E4045" i="5"/>
  <c r="F4045" i="5" s="1"/>
  <c r="E4046" i="5"/>
  <c r="F4046" i="5" s="1"/>
  <c r="E4047" i="5"/>
  <c r="F4047" i="5" s="1"/>
  <c r="E4048" i="5"/>
  <c r="F4048" i="5" s="1"/>
  <c r="E4049" i="5"/>
  <c r="F4049" i="5" s="1"/>
  <c r="E4050" i="5"/>
  <c r="F4050" i="5" s="1"/>
  <c r="E4051" i="5"/>
  <c r="F4051" i="5" s="1"/>
  <c r="E4052" i="5"/>
  <c r="F4052" i="5" s="1"/>
  <c r="E4053" i="5"/>
  <c r="F4053" i="5" s="1"/>
  <c r="E4054" i="5"/>
  <c r="F4054" i="5" s="1"/>
  <c r="E4055" i="5"/>
  <c r="F4055" i="5" s="1"/>
  <c r="E4056" i="5"/>
  <c r="F4056" i="5" s="1"/>
  <c r="E4057" i="5"/>
  <c r="F4057" i="5" s="1"/>
  <c r="E4058" i="5"/>
  <c r="F4058" i="5" s="1"/>
  <c r="E4059" i="5"/>
  <c r="F4059" i="5" s="1"/>
  <c r="E4060" i="5"/>
  <c r="F4060" i="5" s="1"/>
  <c r="E4061" i="5"/>
  <c r="F4061" i="5" s="1"/>
  <c r="E4062" i="5"/>
  <c r="F4062" i="5" s="1"/>
  <c r="E4063" i="5"/>
  <c r="F4063" i="5" s="1"/>
  <c r="E4064" i="5"/>
  <c r="F4064" i="5" s="1"/>
  <c r="E4065" i="5"/>
  <c r="F4065" i="5" s="1"/>
  <c r="E4066" i="5"/>
  <c r="F4066" i="5" s="1"/>
  <c r="E4067" i="5"/>
  <c r="F4067" i="5" s="1"/>
  <c r="E4068" i="5"/>
  <c r="F4068" i="5" s="1"/>
  <c r="E4069" i="5"/>
  <c r="F4069" i="5" s="1"/>
  <c r="E4070" i="5"/>
  <c r="F4070" i="5" s="1"/>
  <c r="E4071" i="5"/>
  <c r="F4071" i="5" s="1"/>
  <c r="E4072" i="5"/>
  <c r="F4072" i="5" s="1"/>
  <c r="E4073" i="5"/>
  <c r="F4073" i="5" s="1"/>
  <c r="E4074" i="5"/>
  <c r="F4074" i="5" s="1"/>
  <c r="E4075" i="5"/>
  <c r="F4075" i="5" s="1"/>
  <c r="E4076" i="5"/>
  <c r="F4076" i="5" s="1"/>
  <c r="E4077" i="5"/>
  <c r="F4077" i="5" s="1"/>
  <c r="E4078" i="5"/>
  <c r="F4078" i="5" s="1"/>
  <c r="E4079" i="5"/>
  <c r="F4079" i="5" s="1"/>
  <c r="E4080" i="5"/>
  <c r="F4080" i="5" s="1"/>
  <c r="E4081" i="5"/>
  <c r="F4081" i="5" s="1"/>
  <c r="E4082" i="5"/>
  <c r="F4082" i="5" s="1"/>
  <c r="E4083" i="5"/>
  <c r="F4083" i="5" s="1"/>
  <c r="E4084" i="5"/>
  <c r="F4084" i="5" s="1"/>
  <c r="E4085" i="5"/>
  <c r="F4085" i="5" s="1"/>
  <c r="E4086" i="5"/>
  <c r="F4086" i="5" s="1"/>
  <c r="E4087" i="5"/>
  <c r="F4087" i="5" s="1"/>
  <c r="E4088" i="5"/>
  <c r="F4088" i="5" s="1"/>
  <c r="E4089" i="5"/>
  <c r="F4089" i="5" s="1"/>
  <c r="E4090" i="5"/>
  <c r="F4090" i="5" s="1"/>
  <c r="E4091" i="5"/>
  <c r="F4091" i="5" s="1"/>
  <c r="E4092" i="5"/>
  <c r="F4092" i="5" s="1"/>
  <c r="E4093" i="5"/>
  <c r="F4093" i="5" s="1"/>
  <c r="E4094" i="5"/>
  <c r="F4094" i="5" s="1"/>
  <c r="E4095" i="5"/>
  <c r="F4095" i="5" s="1"/>
  <c r="E4096" i="5"/>
  <c r="F4096" i="5" s="1"/>
  <c r="E4097" i="5"/>
  <c r="F4097" i="5" s="1"/>
  <c r="E4098" i="5"/>
  <c r="F4098" i="5" s="1"/>
  <c r="E4099" i="5"/>
  <c r="F4099" i="5" s="1"/>
  <c r="E4100" i="5"/>
  <c r="F4100" i="5" s="1"/>
  <c r="E4101" i="5"/>
  <c r="F4101" i="5" s="1"/>
  <c r="E4102" i="5"/>
  <c r="F4102" i="5" s="1"/>
  <c r="E4103" i="5"/>
  <c r="F4103" i="5" s="1"/>
  <c r="E4104" i="5"/>
  <c r="F4104" i="5" s="1"/>
  <c r="E4105" i="5"/>
  <c r="F4105" i="5" s="1"/>
  <c r="E4106" i="5"/>
  <c r="F4106" i="5" s="1"/>
  <c r="E4107" i="5"/>
  <c r="F4107" i="5" s="1"/>
  <c r="E4108" i="5"/>
  <c r="F4108" i="5" s="1"/>
  <c r="E4109" i="5"/>
  <c r="F4109" i="5" s="1"/>
  <c r="E4110" i="5"/>
  <c r="F4110" i="5" s="1"/>
  <c r="E4111" i="5"/>
  <c r="F4111" i="5" s="1"/>
  <c r="E4112" i="5"/>
  <c r="F4112" i="5" s="1"/>
  <c r="E4113" i="5"/>
  <c r="F4113" i="5" s="1"/>
  <c r="E4114" i="5"/>
  <c r="F4114" i="5" s="1"/>
  <c r="E4115" i="5"/>
  <c r="F4115" i="5" s="1"/>
  <c r="E4116" i="5"/>
  <c r="F4116" i="5" s="1"/>
  <c r="E4117" i="5"/>
  <c r="F4117" i="5" s="1"/>
  <c r="E4118" i="5"/>
  <c r="F4118" i="5" s="1"/>
  <c r="E4119" i="5"/>
  <c r="F4119" i="5" s="1"/>
  <c r="E4120" i="5"/>
  <c r="F4120" i="5" s="1"/>
  <c r="E4121" i="5"/>
  <c r="F4121" i="5" s="1"/>
  <c r="E4122" i="5"/>
  <c r="F4122" i="5" s="1"/>
  <c r="E4123" i="5"/>
  <c r="F4123" i="5" s="1"/>
  <c r="E4124" i="5"/>
  <c r="F4124" i="5" s="1"/>
  <c r="E4125" i="5"/>
  <c r="F4125" i="5" s="1"/>
  <c r="E4126" i="5"/>
  <c r="F4126" i="5" s="1"/>
  <c r="E4127" i="5"/>
  <c r="F4127" i="5" s="1"/>
  <c r="E4128" i="5"/>
  <c r="F4128" i="5" s="1"/>
  <c r="E4129" i="5"/>
  <c r="F4129" i="5" s="1"/>
  <c r="E4130" i="5"/>
  <c r="F4130" i="5" s="1"/>
  <c r="E4131" i="5"/>
  <c r="F4131" i="5" s="1"/>
  <c r="E4132" i="5"/>
  <c r="F4132" i="5" s="1"/>
  <c r="E4133" i="5"/>
  <c r="F4133" i="5" s="1"/>
  <c r="E4134" i="5"/>
  <c r="F4134" i="5" s="1"/>
  <c r="E4135" i="5"/>
  <c r="F4135" i="5" s="1"/>
  <c r="E4136" i="5"/>
  <c r="F4136" i="5" s="1"/>
  <c r="E4137" i="5"/>
  <c r="F4137" i="5" s="1"/>
  <c r="E4138" i="5"/>
  <c r="F4138" i="5" s="1"/>
  <c r="E4139" i="5"/>
  <c r="F4139" i="5" s="1"/>
  <c r="E4140" i="5"/>
  <c r="F4140" i="5" s="1"/>
  <c r="E4141" i="5"/>
  <c r="F4141" i="5" s="1"/>
  <c r="E4142" i="5"/>
  <c r="F4142" i="5" s="1"/>
  <c r="E4143" i="5"/>
  <c r="F4143" i="5" s="1"/>
  <c r="E4144" i="5"/>
  <c r="F4144" i="5" s="1"/>
  <c r="E4145" i="5"/>
  <c r="F4145" i="5" s="1"/>
  <c r="E4146" i="5"/>
  <c r="F4146" i="5" s="1"/>
  <c r="E4147" i="5"/>
  <c r="F4147" i="5" s="1"/>
  <c r="E4148" i="5"/>
  <c r="F4148" i="5" s="1"/>
  <c r="E4149" i="5"/>
  <c r="F4149" i="5" s="1"/>
  <c r="E4150" i="5"/>
  <c r="F4150" i="5" s="1"/>
  <c r="E4151" i="5"/>
  <c r="F4151" i="5" s="1"/>
  <c r="E4152" i="5"/>
  <c r="F4152" i="5" s="1"/>
  <c r="E4153" i="5"/>
  <c r="F4153" i="5" s="1"/>
  <c r="E4154" i="5"/>
  <c r="F4154" i="5" s="1"/>
  <c r="E4155" i="5"/>
  <c r="F4155" i="5" s="1"/>
  <c r="E4156" i="5"/>
  <c r="F4156" i="5" s="1"/>
  <c r="E4157" i="5"/>
  <c r="F4157" i="5" s="1"/>
  <c r="E4158" i="5"/>
  <c r="F4158" i="5" s="1"/>
  <c r="E4159" i="5"/>
  <c r="F4159" i="5" s="1"/>
  <c r="E4160" i="5"/>
  <c r="F4160" i="5" s="1"/>
  <c r="E4161" i="5"/>
  <c r="F4161" i="5" s="1"/>
  <c r="E4162" i="5"/>
  <c r="F4162" i="5" s="1"/>
  <c r="E4163" i="5"/>
  <c r="F4163" i="5" s="1"/>
  <c r="E4164" i="5"/>
  <c r="F4164" i="5" s="1"/>
  <c r="E4165" i="5"/>
  <c r="F4165" i="5" s="1"/>
  <c r="E4166" i="5"/>
  <c r="F4166" i="5" s="1"/>
  <c r="E4167" i="5"/>
  <c r="F4167" i="5" s="1"/>
  <c r="E4168" i="5"/>
  <c r="F4168" i="5" s="1"/>
  <c r="E4169" i="5"/>
  <c r="F4169" i="5" s="1"/>
  <c r="E4170" i="5"/>
  <c r="F4170" i="5" s="1"/>
  <c r="E4171" i="5"/>
  <c r="F4171" i="5" s="1"/>
  <c r="E4172" i="5"/>
  <c r="F4172" i="5" s="1"/>
  <c r="E4173" i="5"/>
  <c r="F4173" i="5" s="1"/>
  <c r="E4174" i="5"/>
  <c r="F4174" i="5" s="1"/>
  <c r="E4175" i="5"/>
  <c r="F4175" i="5" s="1"/>
  <c r="E4176" i="5"/>
  <c r="F4176" i="5" s="1"/>
  <c r="E4177" i="5"/>
  <c r="F4177" i="5" s="1"/>
  <c r="E4178" i="5"/>
  <c r="F4178" i="5" s="1"/>
  <c r="E4179" i="5"/>
  <c r="F4179" i="5" s="1"/>
  <c r="E4180" i="5"/>
  <c r="F4180" i="5" s="1"/>
  <c r="E4181" i="5"/>
  <c r="F4181" i="5" s="1"/>
  <c r="E4182" i="5"/>
  <c r="F4182" i="5" s="1"/>
  <c r="E4183" i="5"/>
  <c r="F4183" i="5" s="1"/>
  <c r="E4184" i="5"/>
  <c r="F4184" i="5" s="1"/>
  <c r="E4185" i="5"/>
  <c r="F4185" i="5" s="1"/>
  <c r="E4186" i="5"/>
  <c r="F4186" i="5" s="1"/>
  <c r="E4187" i="5"/>
  <c r="F4187" i="5" s="1"/>
  <c r="E4188" i="5"/>
  <c r="F4188" i="5" s="1"/>
  <c r="E4189" i="5"/>
  <c r="F4189" i="5" s="1"/>
  <c r="E4190" i="5"/>
  <c r="F4190" i="5" s="1"/>
  <c r="E4191" i="5"/>
  <c r="F4191" i="5" s="1"/>
  <c r="E4192" i="5"/>
  <c r="F4192" i="5" s="1"/>
  <c r="E4193" i="5"/>
  <c r="F4193" i="5" s="1"/>
  <c r="E4194" i="5"/>
  <c r="F4194" i="5" s="1"/>
  <c r="E4195" i="5"/>
  <c r="F4195" i="5" s="1"/>
  <c r="E4196" i="5"/>
  <c r="F4196" i="5" s="1"/>
  <c r="E4197" i="5"/>
  <c r="F4197" i="5" s="1"/>
  <c r="E4198" i="5"/>
  <c r="F4198" i="5" s="1"/>
  <c r="E4199" i="5"/>
  <c r="F4199" i="5" s="1"/>
  <c r="E4200" i="5"/>
  <c r="F4200" i="5" s="1"/>
  <c r="E4201" i="5"/>
  <c r="F4201" i="5" s="1"/>
  <c r="E4202" i="5"/>
  <c r="F4202" i="5" s="1"/>
  <c r="E4203" i="5"/>
  <c r="F4203" i="5" s="1"/>
  <c r="E4204" i="5"/>
  <c r="F4204" i="5" s="1"/>
  <c r="E4205" i="5"/>
  <c r="F4205" i="5" s="1"/>
  <c r="E4206" i="5"/>
  <c r="F4206" i="5" s="1"/>
  <c r="E4207" i="5"/>
  <c r="F4207" i="5" s="1"/>
  <c r="E4208" i="5"/>
  <c r="F4208" i="5" s="1"/>
  <c r="E4209" i="5"/>
  <c r="F4209" i="5" s="1"/>
  <c r="E4210" i="5"/>
  <c r="F4210" i="5" s="1"/>
  <c r="E4211" i="5"/>
  <c r="F4211" i="5" s="1"/>
  <c r="E4212" i="5"/>
  <c r="F4212" i="5" s="1"/>
  <c r="E4213" i="5"/>
  <c r="F4213" i="5" s="1"/>
  <c r="E4214" i="5"/>
  <c r="F4214" i="5" s="1"/>
  <c r="E4215" i="5"/>
  <c r="F4215" i="5" s="1"/>
  <c r="E4216" i="5"/>
  <c r="F4216" i="5" s="1"/>
  <c r="E4217" i="5"/>
  <c r="F4217" i="5" s="1"/>
  <c r="E4218" i="5"/>
  <c r="F4218" i="5" s="1"/>
  <c r="E4219" i="5"/>
  <c r="F4219" i="5" s="1"/>
  <c r="E4220" i="5"/>
  <c r="F4220" i="5" s="1"/>
  <c r="E4221" i="5"/>
  <c r="F4221" i="5" s="1"/>
  <c r="E4222" i="5"/>
  <c r="F4222" i="5" s="1"/>
  <c r="E4223" i="5"/>
  <c r="F4223" i="5" s="1"/>
  <c r="E4224" i="5"/>
  <c r="F4224" i="5" s="1"/>
  <c r="E4225" i="5"/>
  <c r="F4225" i="5" s="1"/>
  <c r="E4226" i="5"/>
  <c r="F4226" i="5" s="1"/>
  <c r="E4227" i="5"/>
  <c r="F4227" i="5" s="1"/>
  <c r="E4228" i="5"/>
  <c r="F4228" i="5" s="1"/>
  <c r="E4229" i="5"/>
  <c r="F4229" i="5" s="1"/>
  <c r="E4230" i="5"/>
  <c r="F4230" i="5" s="1"/>
  <c r="E4231" i="5"/>
  <c r="F4231" i="5" s="1"/>
  <c r="E4232" i="5"/>
  <c r="F4232" i="5" s="1"/>
  <c r="E4233" i="5"/>
  <c r="F4233" i="5" s="1"/>
  <c r="E4234" i="5"/>
  <c r="F4234" i="5" s="1"/>
  <c r="E4235" i="5"/>
  <c r="F4235" i="5" s="1"/>
  <c r="E4236" i="5"/>
  <c r="F4236" i="5" s="1"/>
  <c r="E4237" i="5"/>
  <c r="F4237" i="5" s="1"/>
  <c r="E4238" i="5"/>
  <c r="F4238" i="5" s="1"/>
  <c r="E4239" i="5"/>
  <c r="F4239" i="5" s="1"/>
  <c r="E4240" i="5"/>
  <c r="F4240" i="5" s="1"/>
  <c r="E4241" i="5"/>
  <c r="F4241" i="5" s="1"/>
  <c r="E4242" i="5"/>
  <c r="F4242" i="5" s="1"/>
  <c r="E4243" i="5"/>
  <c r="F4243" i="5" s="1"/>
  <c r="E4244" i="5"/>
  <c r="F4244" i="5" s="1"/>
  <c r="E4245" i="5"/>
  <c r="F4245" i="5" s="1"/>
  <c r="E4246" i="5"/>
  <c r="F4246" i="5" s="1"/>
  <c r="E4247" i="5"/>
  <c r="F4247" i="5" s="1"/>
  <c r="E4248" i="5"/>
  <c r="F4248" i="5" s="1"/>
  <c r="E4249" i="5"/>
  <c r="F4249" i="5" s="1"/>
  <c r="E4250" i="5"/>
  <c r="F4250" i="5" s="1"/>
  <c r="E4251" i="5"/>
  <c r="F4251" i="5" s="1"/>
  <c r="E4252" i="5"/>
  <c r="F4252" i="5" s="1"/>
  <c r="E4253" i="5"/>
  <c r="F4253" i="5" s="1"/>
  <c r="E4254" i="5"/>
  <c r="F4254" i="5" s="1"/>
  <c r="E4255" i="5"/>
  <c r="F4255" i="5" s="1"/>
  <c r="E4256" i="5"/>
  <c r="F4256" i="5" s="1"/>
  <c r="E4257" i="5"/>
  <c r="F4257" i="5" s="1"/>
  <c r="E4258" i="5"/>
  <c r="F4258" i="5" s="1"/>
  <c r="E4259" i="5"/>
  <c r="F4259" i="5" s="1"/>
  <c r="E4260" i="5"/>
  <c r="F4260" i="5" s="1"/>
  <c r="E4261" i="5"/>
  <c r="F4261" i="5" s="1"/>
  <c r="E4262" i="5"/>
  <c r="F4262" i="5" s="1"/>
  <c r="E4263" i="5"/>
  <c r="F4263" i="5" s="1"/>
  <c r="E4264" i="5"/>
  <c r="F4264" i="5" s="1"/>
  <c r="E4265" i="5"/>
  <c r="F4265" i="5" s="1"/>
  <c r="E4266" i="5"/>
  <c r="F4266" i="5" s="1"/>
  <c r="E4267" i="5"/>
  <c r="F4267" i="5" s="1"/>
  <c r="E4268" i="5"/>
  <c r="F4268" i="5" s="1"/>
  <c r="E4269" i="5"/>
  <c r="F4269" i="5" s="1"/>
  <c r="E4270" i="5"/>
  <c r="F4270" i="5" s="1"/>
  <c r="E4271" i="5"/>
  <c r="F4271" i="5" s="1"/>
  <c r="E4272" i="5"/>
  <c r="F4272" i="5" s="1"/>
  <c r="E4273" i="5"/>
  <c r="F4273" i="5" s="1"/>
  <c r="E4274" i="5"/>
  <c r="F4274" i="5" s="1"/>
  <c r="E4275" i="5"/>
  <c r="F4275" i="5" s="1"/>
  <c r="E4276" i="5"/>
  <c r="F4276" i="5" s="1"/>
  <c r="E4277" i="5"/>
  <c r="F4277" i="5" s="1"/>
  <c r="E4278" i="5"/>
  <c r="F4278" i="5" s="1"/>
  <c r="E4279" i="5"/>
  <c r="F4279" i="5" s="1"/>
  <c r="E4280" i="5"/>
  <c r="F4280" i="5" s="1"/>
  <c r="E4281" i="5"/>
  <c r="F4281" i="5" s="1"/>
  <c r="E4282" i="5"/>
  <c r="F4282" i="5" s="1"/>
  <c r="E4283" i="5"/>
  <c r="F4283" i="5" s="1"/>
  <c r="E4284" i="5"/>
  <c r="F4284" i="5" s="1"/>
  <c r="E4285" i="5"/>
  <c r="F4285" i="5" s="1"/>
  <c r="E4286" i="5"/>
  <c r="F4286" i="5" s="1"/>
  <c r="E4287" i="5"/>
  <c r="F4287" i="5" s="1"/>
  <c r="E4288" i="5"/>
  <c r="F4288" i="5" s="1"/>
  <c r="E4289" i="5"/>
  <c r="F4289" i="5" s="1"/>
  <c r="E4290" i="5"/>
  <c r="F4290" i="5" s="1"/>
  <c r="E4291" i="5"/>
  <c r="F4291" i="5" s="1"/>
  <c r="E4292" i="5"/>
  <c r="F4292" i="5" s="1"/>
  <c r="E4293" i="5"/>
  <c r="F4293" i="5" s="1"/>
  <c r="E4294" i="5"/>
  <c r="F4294" i="5" s="1"/>
  <c r="E4295" i="5"/>
  <c r="F4295" i="5" s="1"/>
  <c r="E4296" i="5"/>
  <c r="F4296" i="5" s="1"/>
  <c r="E4297" i="5"/>
  <c r="F4297" i="5" s="1"/>
  <c r="E4298" i="5"/>
  <c r="F4298" i="5" s="1"/>
  <c r="E4299" i="5"/>
  <c r="F4299" i="5" s="1"/>
  <c r="E4300" i="5"/>
  <c r="F4300" i="5" s="1"/>
  <c r="E4301" i="5"/>
  <c r="F4301" i="5" s="1"/>
  <c r="E4302" i="5"/>
  <c r="F4302" i="5" s="1"/>
  <c r="E4303" i="5"/>
  <c r="F4303" i="5" s="1"/>
  <c r="E4304" i="5"/>
  <c r="F4304" i="5" s="1"/>
  <c r="E4305" i="5"/>
  <c r="F4305" i="5" s="1"/>
  <c r="E4306" i="5"/>
  <c r="F4306" i="5" s="1"/>
  <c r="E4307" i="5"/>
  <c r="F4307" i="5" s="1"/>
  <c r="E4308" i="5"/>
  <c r="F4308" i="5" s="1"/>
  <c r="E4309" i="5"/>
  <c r="F4309" i="5" s="1"/>
  <c r="E4310" i="5"/>
  <c r="F4310" i="5" s="1"/>
  <c r="E4311" i="5"/>
  <c r="F4311" i="5" s="1"/>
  <c r="E4312" i="5"/>
  <c r="F4312" i="5" s="1"/>
  <c r="E4313" i="5"/>
  <c r="F4313" i="5" s="1"/>
  <c r="E4314" i="5"/>
  <c r="F4314" i="5" s="1"/>
  <c r="E4315" i="5"/>
  <c r="F4315" i="5" s="1"/>
  <c r="E4316" i="5"/>
  <c r="F4316" i="5" s="1"/>
  <c r="E4317" i="5"/>
  <c r="F4317" i="5" s="1"/>
  <c r="E4318" i="5"/>
  <c r="F4318" i="5" s="1"/>
  <c r="E4319" i="5"/>
  <c r="F4319" i="5" s="1"/>
  <c r="E4320" i="5"/>
  <c r="F4320" i="5" s="1"/>
  <c r="E4321" i="5"/>
  <c r="F4321" i="5" s="1"/>
  <c r="E4322" i="5"/>
  <c r="F4322" i="5" s="1"/>
  <c r="E4323" i="5"/>
  <c r="F4323" i="5" s="1"/>
  <c r="E4324" i="5"/>
  <c r="F4324" i="5" s="1"/>
  <c r="E4325" i="5"/>
  <c r="F4325" i="5" s="1"/>
  <c r="E4326" i="5"/>
  <c r="F4326" i="5" s="1"/>
  <c r="E4327" i="5"/>
  <c r="F4327" i="5" s="1"/>
  <c r="E4328" i="5"/>
  <c r="F4328" i="5" s="1"/>
  <c r="E4329" i="5"/>
  <c r="F4329" i="5" s="1"/>
  <c r="E4330" i="5"/>
  <c r="F4330" i="5" s="1"/>
  <c r="E4331" i="5"/>
  <c r="F4331" i="5" s="1"/>
  <c r="E4332" i="5"/>
  <c r="F4332" i="5" s="1"/>
  <c r="E4333" i="5"/>
  <c r="F4333" i="5" s="1"/>
  <c r="E4334" i="5"/>
  <c r="F4334" i="5" s="1"/>
  <c r="E4335" i="5"/>
  <c r="F4335" i="5" s="1"/>
  <c r="E4336" i="5"/>
  <c r="F4336" i="5" s="1"/>
  <c r="E4337" i="5"/>
  <c r="F4337" i="5" s="1"/>
  <c r="E4338" i="5"/>
  <c r="F4338" i="5" s="1"/>
  <c r="E4339" i="5"/>
  <c r="F4339" i="5" s="1"/>
  <c r="E4340" i="5"/>
  <c r="F4340" i="5" s="1"/>
  <c r="E4341" i="5"/>
  <c r="F4341" i="5" s="1"/>
  <c r="E4342" i="5"/>
  <c r="F4342" i="5" s="1"/>
  <c r="E4343" i="5"/>
  <c r="F4343" i="5" s="1"/>
  <c r="E4344" i="5"/>
  <c r="F4344" i="5" s="1"/>
  <c r="E4345" i="5"/>
  <c r="F4345" i="5" s="1"/>
  <c r="E4346" i="5"/>
  <c r="F4346" i="5" s="1"/>
  <c r="E4347" i="5"/>
  <c r="F4347" i="5" s="1"/>
  <c r="E4348" i="5"/>
  <c r="F4348" i="5" s="1"/>
  <c r="E4349" i="5"/>
  <c r="F4349" i="5" s="1"/>
  <c r="E4350" i="5"/>
  <c r="F4350" i="5" s="1"/>
  <c r="E4351" i="5"/>
  <c r="F4351" i="5" s="1"/>
  <c r="E4352" i="5"/>
  <c r="F4352" i="5" s="1"/>
  <c r="E4353" i="5"/>
  <c r="F4353" i="5" s="1"/>
  <c r="E4354" i="5"/>
  <c r="F4354" i="5" s="1"/>
  <c r="E4355" i="5"/>
  <c r="F4355" i="5" s="1"/>
  <c r="E4356" i="5"/>
  <c r="F4356" i="5" s="1"/>
  <c r="E4357" i="5"/>
  <c r="F4357" i="5" s="1"/>
  <c r="E4358" i="5"/>
  <c r="F4358" i="5" s="1"/>
  <c r="E4359" i="5"/>
  <c r="F4359" i="5" s="1"/>
  <c r="E4360" i="5"/>
  <c r="F4360" i="5" s="1"/>
  <c r="E4361" i="5"/>
  <c r="F4361" i="5" s="1"/>
  <c r="E4362" i="5"/>
  <c r="F4362" i="5" s="1"/>
  <c r="E4363" i="5"/>
  <c r="F4363" i="5" s="1"/>
  <c r="E4364" i="5"/>
  <c r="F4364" i="5" s="1"/>
  <c r="E4365" i="5"/>
  <c r="F4365" i="5" s="1"/>
  <c r="E4366" i="5"/>
  <c r="F4366" i="5" s="1"/>
  <c r="E4367" i="5"/>
  <c r="F4367" i="5" s="1"/>
  <c r="E4368" i="5"/>
  <c r="F4368" i="5" s="1"/>
  <c r="E4369" i="5"/>
  <c r="F4369" i="5" s="1"/>
  <c r="E4370" i="5"/>
  <c r="F4370" i="5" s="1"/>
  <c r="E4371" i="5"/>
  <c r="F4371" i="5" s="1"/>
  <c r="E4372" i="5"/>
  <c r="F4372" i="5" s="1"/>
  <c r="E4373" i="5"/>
  <c r="F4373" i="5" s="1"/>
  <c r="E4374" i="5"/>
  <c r="F4374" i="5" s="1"/>
  <c r="E4375" i="5"/>
  <c r="F4375" i="5" s="1"/>
  <c r="E4376" i="5"/>
  <c r="F4376" i="5" s="1"/>
  <c r="E4377" i="5"/>
  <c r="F4377" i="5" s="1"/>
  <c r="E4378" i="5"/>
  <c r="F4378" i="5" s="1"/>
  <c r="E4379" i="5"/>
  <c r="F4379" i="5" s="1"/>
  <c r="E4380" i="5"/>
  <c r="F4380" i="5" s="1"/>
  <c r="E4381" i="5"/>
  <c r="F4381" i="5" s="1"/>
  <c r="E4382" i="5"/>
  <c r="F4382" i="5" s="1"/>
  <c r="E4383" i="5"/>
  <c r="F4383" i="5" s="1"/>
  <c r="E4384" i="5"/>
  <c r="F4384" i="5" s="1"/>
  <c r="E4385" i="5"/>
  <c r="F4385" i="5" s="1"/>
  <c r="E4386" i="5"/>
  <c r="F4386" i="5" s="1"/>
  <c r="E4387" i="5"/>
  <c r="F4387" i="5" s="1"/>
  <c r="E4388" i="5"/>
  <c r="F4388" i="5" s="1"/>
  <c r="E4389" i="5"/>
  <c r="F4389" i="5" s="1"/>
  <c r="E4390" i="5"/>
  <c r="F4390" i="5" s="1"/>
  <c r="E4391" i="5"/>
  <c r="F4391" i="5" s="1"/>
  <c r="E4392" i="5"/>
  <c r="F4392" i="5" s="1"/>
  <c r="E4393" i="5"/>
  <c r="F4393" i="5" s="1"/>
  <c r="E4394" i="5"/>
  <c r="F4394" i="5" s="1"/>
  <c r="E4395" i="5"/>
  <c r="F4395" i="5" s="1"/>
  <c r="E4396" i="5"/>
  <c r="F4396" i="5" s="1"/>
  <c r="E4397" i="5"/>
  <c r="F4397" i="5" s="1"/>
  <c r="E4398" i="5"/>
  <c r="F4398" i="5" s="1"/>
  <c r="E4399" i="5"/>
  <c r="F4399" i="5" s="1"/>
  <c r="E4400" i="5"/>
  <c r="F4400" i="5" s="1"/>
  <c r="E4401" i="5"/>
  <c r="F4401" i="5" s="1"/>
  <c r="E4402" i="5"/>
  <c r="F4402" i="5" s="1"/>
  <c r="E4403" i="5"/>
  <c r="F4403" i="5" s="1"/>
  <c r="E4404" i="5"/>
  <c r="F4404" i="5" s="1"/>
  <c r="E4405" i="5"/>
  <c r="F4405" i="5" s="1"/>
  <c r="E4406" i="5"/>
  <c r="F4406" i="5" s="1"/>
  <c r="E4407" i="5"/>
  <c r="F4407" i="5" s="1"/>
  <c r="E4408" i="5"/>
  <c r="F4408" i="5" s="1"/>
  <c r="E4409" i="5"/>
  <c r="F4409" i="5" s="1"/>
  <c r="E4410" i="5"/>
  <c r="F4410" i="5" s="1"/>
  <c r="E4411" i="5"/>
  <c r="F4411" i="5" s="1"/>
  <c r="E4412" i="5"/>
  <c r="F4412" i="5" s="1"/>
  <c r="E4413" i="5"/>
  <c r="F4413" i="5" s="1"/>
  <c r="E4414" i="5"/>
  <c r="F4414" i="5" s="1"/>
  <c r="E4415" i="5"/>
  <c r="F4415" i="5" s="1"/>
  <c r="E4416" i="5"/>
  <c r="F4416" i="5" s="1"/>
  <c r="E4417" i="5"/>
  <c r="F4417" i="5" s="1"/>
  <c r="E4418" i="5"/>
  <c r="F4418" i="5" s="1"/>
  <c r="E4419" i="5"/>
  <c r="F4419" i="5" s="1"/>
  <c r="E4420" i="5"/>
  <c r="F4420" i="5" s="1"/>
  <c r="E4421" i="5"/>
  <c r="F4421" i="5" s="1"/>
  <c r="E4422" i="5"/>
  <c r="F4422" i="5" s="1"/>
  <c r="E4423" i="5"/>
  <c r="F4423" i="5" s="1"/>
  <c r="E4424" i="5"/>
  <c r="F4424" i="5" s="1"/>
  <c r="E4425" i="5"/>
  <c r="F4425" i="5" s="1"/>
  <c r="E4426" i="5"/>
  <c r="F4426" i="5" s="1"/>
  <c r="E4427" i="5"/>
  <c r="F4427" i="5" s="1"/>
  <c r="E4428" i="5"/>
  <c r="F4428" i="5" s="1"/>
  <c r="E4429" i="5"/>
  <c r="F4429" i="5" s="1"/>
  <c r="E4430" i="5"/>
  <c r="F4430" i="5" s="1"/>
  <c r="E4431" i="5"/>
  <c r="F4431" i="5" s="1"/>
  <c r="E4432" i="5"/>
  <c r="F4432" i="5" s="1"/>
  <c r="E4433" i="5"/>
  <c r="F4433" i="5" s="1"/>
  <c r="E4434" i="5"/>
  <c r="F4434" i="5" s="1"/>
  <c r="E4435" i="5"/>
  <c r="F4435" i="5" s="1"/>
  <c r="E4436" i="5"/>
  <c r="F4436" i="5" s="1"/>
  <c r="E4437" i="5"/>
  <c r="F4437" i="5" s="1"/>
  <c r="E4438" i="5"/>
  <c r="F4438" i="5" s="1"/>
  <c r="E4439" i="5"/>
  <c r="F4439" i="5" s="1"/>
  <c r="E4440" i="5"/>
  <c r="F4440" i="5" s="1"/>
  <c r="E4441" i="5"/>
  <c r="F4441" i="5" s="1"/>
  <c r="E4442" i="5"/>
  <c r="F4442" i="5" s="1"/>
  <c r="E4443" i="5"/>
  <c r="F4443" i="5" s="1"/>
  <c r="E4444" i="5"/>
  <c r="F4444" i="5" s="1"/>
  <c r="E4445" i="5"/>
  <c r="F4445" i="5" s="1"/>
  <c r="E4446" i="5"/>
  <c r="F4446" i="5" s="1"/>
  <c r="E4447" i="5"/>
  <c r="F4447" i="5" s="1"/>
  <c r="E4448" i="5"/>
  <c r="F4448" i="5" s="1"/>
  <c r="E4449" i="5"/>
  <c r="F4449" i="5" s="1"/>
  <c r="E4450" i="5"/>
  <c r="F4450" i="5" s="1"/>
  <c r="E4451" i="5"/>
  <c r="F4451" i="5" s="1"/>
  <c r="E4452" i="5"/>
  <c r="F4452" i="5" s="1"/>
  <c r="E4453" i="5"/>
  <c r="F4453" i="5" s="1"/>
  <c r="E4454" i="5"/>
  <c r="F4454" i="5" s="1"/>
  <c r="E4455" i="5"/>
  <c r="F4455" i="5" s="1"/>
  <c r="E4456" i="5"/>
  <c r="F4456" i="5" s="1"/>
  <c r="E4457" i="5"/>
  <c r="F4457" i="5" s="1"/>
  <c r="E4458" i="5"/>
  <c r="F4458" i="5" s="1"/>
  <c r="E4459" i="5"/>
  <c r="F4459" i="5" s="1"/>
  <c r="E4460" i="5"/>
  <c r="F4460" i="5" s="1"/>
  <c r="E4461" i="5"/>
  <c r="F4461" i="5" s="1"/>
  <c r="E4462" i="5"/>
  <c r="F4462" i="5" s="1"/>
  <c r="E4463" i="5"/>
  <c r="F4463" i="5" s="1"/>
  <c r="E4464" i="5"/>
  <c r="F4464" i="5" s="1"/>
  <c r="E4465" i="5"/>
  <c r="F4465" i="5" s="1"/>
  <c r="E4466" i="5"/>
  <c r="F4466" i="5" s="1"/>
  <c r="E4467" i="5"/>
  <c r="F4467" i="5" s="1"/>
  <c r="E4468" i="5"/>
  <c r="F4468" i="5" s="1"/>
  <c r="E4469" i="5"/>
  <c r="F4469" i="5" s="1"/>
  <c r="E4470" i="5"/>
  <c r="F4470" i="5" s="1"/>
  <c r="E4471" i="5"/>
  <c r="F4471" i="5" s="1"/>
  <c r="E4472" i="5"/>
  <c r="F4472" i="5" s="1"/>
  <c r="E4473" i="5"/>
  <c r="F4473" i="5" s="1"/>
  <c r="E4474" i="5"/>
  <c r="F4474" i="5" s="1"/>
  <c r="E4475" i="5"/>
  <c r="F4475" i="5" s="1"/>
  <c r="E4476" i="5"/>
  <c r="F4476" i="5" s="1"/>
  <c r="E4477" i="5"/>
  <c r="F4477" i="5" s="1"/>
  <c r="E4478" i="5"/>
  <c r="F4478" i="5" s="1"/>
  <c r="E4479" i="5"/>
  <c r="F4479" i="5" s="1"/>
  <c r="E4480" i="5"/>
  <c r="F4480" i="5" s="1"/>
  <c r="E4481" i="5"/>
  <c r="F4481" i="5" s="1"/>
  <c r="E4482" i="5"/>
  <c r="F4482" i="5" s="1"/>
  <c r="E4483" i="5"/>
  <c r="F4483" i="5" s="1"/>
  <c r="E4484" i="5"/>
  <c r="F4484" i="5" s="1"/>
  <c r="E4485" i="5"/>
  <c r="F4485" i="5" s="1"/>
  <c r="E4486" i="5"/>
  <c r="F4486" i="5" s="1"/>
  <c r="E4487" i="5"/>
  <c r="F4487" i="5" s="1"/>
  <c r="E4488" i="5"/>
  <c r="F4488" i="5" s="1"/>
  <c r="E4489" i="5"/>
  <c r="F4489" i="5" s="1"/>
  <c r="E4490" i="5"/>
  <c r="F4490" i="5" s="1"/>
  <c r="E4491" i="5"/>
  <c r="F4491" i="5" s="1"/>
  <c r="E4492" i="5"/>
  <c r="F4492" i="5" s="1"/>
  <c r="E4493" i="5"/>
  <c r="F4493" i="5" s="1"/>
  <c r="E4494" i="5"/>
  <c r="F4494" i="5" s="1"/>
  <c r="E4495" i="5"/>
  <c r="F4495" i="5" s="1"/>
  <c r="E4496" i="5"/>
  <c r="F4496" i="5" s="1"/>
  <c r="E4497" i="5"/>
  <c r="F4497" i="5" s="1"/>
  <c r="E4498" i="5"/>
  <c r="F4498" i="5" s="1"/>
  <c r="E4499" i="5"/>
  <c r="F4499" i="5" s="1"/>
  <c r="E4500" i="5"/>
  <c r="F4500" i="5" s="1"/>
  <c r="E4501" i="5"/>
  <c r="F4501" i="5" s="1"/>
  <c r="E4502" i="5"/>
  <c r="F4502" i="5" s="1"/>
  <c r="E4503" i="5"/>
  <c r="F4503" i="5" s="1"/>
  <c r="E4504" i="5"/>
  <c r="F4504" i="5" s="1"/>
  <c r="E4505" i="5"/>
  <c r="F4505" i="5" s="1"/>
  <c r="E4506" i="5"/>
  <c r="F4506" i="5" s="1"/>
  <c r="E4507" i="5"/>
  <c r="F4507" i="5" s="1"/>
  <c r="E4508" i="5"/>
  <c r="F4508" i="5" s="1"/>
  <c r="E4509" i="5"/>
  <c r="F4509" i="5" s="1"/>
  <c r="E4510" i="5"/>
  <c r="F4510" i="5" s="1"/>
  <c r="E4511" i="5"/>
  <c r="F4511" i="5" s="1"/>
  <c r="E4512" i="5"/>
  <c r="F4512" i="5" s="1"/>
  <c r="E4513" i="5"/>
  <c r="F4513" i="5" s="1"/>
  <c r="E4514" i="5"/>
  <c r="F4514" i="5" s="1"/>
  <c r="E4515" i="5"/>
  <c r="F4515" i="5" s="1"/>
  <c r="E4516" i="5"/>
  <c r="F4516" i="5" s="1"/>
  <c r="E4517" i="5"/>
  <c r="F4517" i="5" s="1"/>
  <c r="E4518" i="5"/>
  <c r="F4518" i="5" s="1"/>
  <c r="E4519" i="5"/>
  <c r="F4519" i="5" s="1"/>
  <c r="E4520" i="5"/>
  <c r="F4520" i="5" s="1"/>
  <c r="E4521" i="5"/>
  <c r="F4521" i="5" s="1"/>
  <c r="E4522" i="5"/>
  <c r="F4522" i="5" s="1"/>
  <c r="E4523" i="5"/>
  <c r="F4523" i="5" s="1"/>
  <c r="E4524" i="5"/>
  <c r="F4524" i="5" s="1"/>
  <c r="E4525" i="5"/>
  <c r="F4525" i="5" s="1"/>
  <c r="E4526" i="5"/>
  <c r="F4526" i="5" s="1"/>
  <c r="E4527" i="5"/>
  <c r="F4527" i="5" s="1"/>
  <c r="E4528" i="5"/>
  <c r="F4528" i="5" s="1"/>
  <c r="E4529" i="5"/>
  <c r="F4529" i="5" s="1"/>
  <c r="E4530" i="5"/>
  <c r="F4530" i="5" s="1"/>
  <c r="E4531" i="5"/>
  <c r="F4531" i="5" s="1"/>
  <c r="E4532" i="5"/>
  <c r="F4532" i="5" s="1"/>
  <c r="E4533" i="5"/>
  <c r="F4533" i="5" s="1"/>
  <c r="E4534" i="5"/>
  <c r="F4534" i="5" s="1"/>
  <c r="E4535" i="5"/>
  <c r="F4535" i="5" s="1"/>
  <c r="E4536" i="5"/>
  <c r="F4536" i="5" s="1"/>
  <c r="E4537" i="5"/>
  <c r="F4537" i="5" s="1"/>
  <c r="E4538" i="5"/>
  <c r="F4538" i="5" s="1"/>
  <c r="E4539" i="5"/>
  <c r="F4539" i="5" s="1"/>
  <c r="E4540" i="5"/>
  <c r="F4540" i="5" s="1"/>
  <c r="E4541" i="5"/>
  <c r="F4541" i="5" s="1"/>
  <c r="E4542" i="5"/>
  <c r="F4542" i="5" s="1"/>
  <c r="E4543" i="5"/>
  <c r="F4543" i="5" s="1"/>
  <c r="E4544" i="5"/>
  <c r="F4544" i="5" s="1"/>
  <c r="E4545" i="5"/>
  <c r="F4545" i="5" s="1"/>
  <c r="E4546" i="5"/>
  <c r="F4546" i="5" s="1"/>
  <c r="E4547" i="5"/>
  <c r="F4547" i="5" s="1"/>
  <c r="E4548" i="5"/>
  <c r="F4548" i="5" s="1"/>
  <c r="E4549" i="5"/>
  <c r="F4549" i="5" s="1"/>
  <c r="E4550" i="5"/>
  <c r="F4550" i="5" s="1"/>
  <c r="E4551" i="5"/>
  <c r="F4551" i="5" s="1"/>
  <c r="E4552" i="5"/>
  <c r="F4552" i="5" s="1"/>
  <c r="E4553" i="5"/>
  <c r="F4553" i="5" s="1"/>
  <c r="E4554" i="5"/>
  <c r="F4554" i="5" s="1"/>
  <c r="E4555" i="5"/>
  <c r="F4555" i="5" s="1"/>
  <c r="E4556" i="5"/>
  <c r="F4556" i="5" s="1"/>
  <c r="E4557" i="5"/>
  <c r="F4557" i="5" s="1"/>
  <c r="E4558" i="5"/>
  <c r="F4558" i="5" s="1"/>
  <c r="E4559" i="5"/>
  <c r="F4559" i="5" s="1"/>
  <c r="E4560" i="5"/>
  <c r="F4560" i="5" s="1"/>
  <c r="E4561" i="5"/>
  <c r="F4561" i="5" s="1"/>
  <c r="E4562" i="5"/>
  <c r="F4562" i="5" s="1"/>
  <c r="E4563" i="5"/>
  <c r="F4563" i="5" s="1"/>
  <c r="E4564" i="5"/>
  <c r="F4564" i="5" s="1"/>
  <c r="E4565" i="5"/>
  <c r="F4565" i="5" s="1"/>
  <c r="E4566" i="5"/>
  <c r="F4566" i="5" s="1"/>
  <c r="E4567" i="5"/>
  <c r="F4567" i="5" s="1"/>
  <c r="E4568" i="5"/>
  <c r="F4568" i="5" s="1"/>
  <c r="E4569" i="5"/>
  <c r="F4569" i="5" s="1"/>
  <c r="E4570" i="5"/>
  <c r="F4570" i="5" s="1"/>
  <c r="E4571" i="5"/>
  <c r="F4571" i="5" s="1"/>
  <c r="E4572" i="5"/>
  <c r="F4572" i="5" s="1"/>
  <c r="E4573" i="5"/>
  <c r="F4573" i="5" s="1"/>
  <c r="E4574" i="5"/>
  <c r="F4574" i="5" s="1"/>
  <c r="E4575" i="5"/>
  <c r="F4575" i="5" s="1"/>
  <c r="E4576" i="5"/>
  <c r="F4576" i="5" s="1"/>
  <c r="E4577" i="5"/>
  <c r="F4577" i="5" s="1"/>
  <c r="E4578" i="5"/>
  <c r="F4578" i="5" s="1"/>
  <c r="E4579" i="5"/>
  <c r="F4579" i="5" s="1"/>
  <c r="E4580" i="5"/>
  <c r="F4580" i="5" s="1"/>
  <c r="E4581" i="5"/>
  <c r="F4581" i="5" s="1"/>
  <c r="E4582" i="5"/>
  <c r="F4582" i="5" s="1"/>
  <c r="E4583" i="5"/>
  <c r="F4583" i="5" s="1"/>
  <c r="E4584" i="5"/>
  <c r="F4584" i="5" s="1"/>
  <c r="E4585" i="5"/>
  <c r="F4585" i="5" s="1"/>
  <c r="E4586" i="5"/>
  <c r="F4586" i="5" s="1"/>
  <c r="E4587" i="5"/>
  <c r="F4587" i="5" s="1"/>
  <c r="E4588" i="5"/>
  <c r="F4588" i="5" s="1"/>
  <c r="E4589" i="5"/>
  <c r="F4589" i="5" s="1"/>
  <c r="E4590" i="5"/>
  <c r="F4590" i="5" s="1"/>
  <c r="E4591" i="5"/>
  <c r="F4591" i="5" s="1"/>
  <c r="E4592" i="5"/>
  <c r="F4592" i="5" s="1"/>
  <c r="E4593" i="5"/>
  <c r="F4593" i="5" s="1"/>
  <c r="E4594" i="5"/>
  <c r="F4594" i="5" s="1"/>
  <c r="E4595" i="5"/>
  <c r="F4595" i="5" s="1"/>
  <c r="E4596" i="5"/>
  <c r="F4596" i="5" s="1"/>
  <c r="E4597" i="5"/>
  <c r="F4597" i="5" s="1"/>
  <c r="E4598" i="5"/>
  <c r="F4598" i="5" s="1"/>
  <c r="E4599" i="5"/>
  <c r="F4599" i="5" s="1"/>
  <c r="E4600" i="5"/>
  <c r="F4600" i="5" s="1"/>
  <c r="E4601" i="5"/>
  <c r="F4601" i="5" s="1"/>
  <c r="E4602" i="5"/>
  <c r="F4602" i="5" s="1"/>
  <c r="E4603" i="5"/>
  <c r="F4603" i="5" s="1"/>
  <c r="E4604" i="5"/>
  <c r="F4604" i="5" s="1"/>
  <c r="E4605" i="5"/>
  <c r="F4605" i="5" s="1"/>
  <c r="E4606" i="5"/>
  <c r="F4606" i="5" s="1"/>
  <c r="E4607" i="5"/>
  <c r="F4607" i="5" s="1"/>
  <c r="E4608" i="5"/>
  <c r="F4608" i="5" s="1"/>
  <c r="E4609" i="5"/>
  <c r="F4609" i="5" s="1"/>
  <c r="E4610" i="5"/>
  <c r="F4610" i="5" s="1"/>
  <c r="E4611" i="5"/>
  <c r="F4611" i="5" s="1"/>
  <c r="E4612" i="5"/>
  <c r="F4612" i="5" s="1"/>
  <c r="E4613" i="5"/>
  <c r="F4613" i="5" s="1"/>
  <c r="E4614" i="5"/>
  <c r="F4614" i="5" s="1"/>
  <c r="E4615" i="5"/>
  <c r="F4615" i="5" s="1"/>
  <c r="E4616" i="5"/>
  <c r="F4616" i="5" s="1"/>
  <c r="E4617" i="5"/>
  <c r="F4617" i="5" s="1"/>
  <c r="E4618" i="5"/>
  <c r="F4618" i="5" s="1"/>
  <c r="E4619" i="5"/>
  <c r="F4619" i="5" s="1"/>
  <c r="E4620" i="5"/>
  <c r="F4620" i="5" s="1"/>
  <c r="E4621" i="5"/>
  <c r="F4621" i="5" s="1"/>
  <c r="E4622" i="5"/>
  <c r="F4622" i="5" s="1"/>
  <c r="E4623" i="5"/>
  <c r="F4623" i="5" s="1"/>
  <c r="E4624" i="5"/>
  <c r="F4624" i="5" s="1"/>
  <c r="E4625" i="5"/>
  <c r="F4625" i="5" s="1"/>
  <c r="E4626" i="5"/>
  <c r="F4626" i="5" s="1"/>
  <c r="E4627" i="5"/>
  <c r="F4627" i="5" s="1"/>
  <c r="E4628" i="5"/>
  <c r="F4628" i="5" s="1"/>
  <c r="E4629" i="5"/>
  <c r="F4629" i="5" s="1"/>
  <c r="E4630" i="5"/>
  <c r="F4630" i="5" s="1"/>
  <c r="E4631" i="5"/>
  <c r="F4631" i="5" s="1"/>
  <c r="E4632" i="5"/>
  <c r="F4632" i="5" s="1"/>
  <c r="E4633" i="5"/>
  <c r="F4633" i="5" s="1"/>
  <c r="E4634" i="5"/>
  <c r="F4634" i="5" s="1"/>
  <c r="E4635" i="5"/>
  <c r="F4635" i="5" s="1"/>
  <c r="E4636" i="5"/>
  <c r="F4636" i="5" s="1"/>
  <c r="E4637" i="5"/>
  <c r="F4637" i="5" s="1"/>
  <c r="E4638" i="5"/>
  <c r="F4638" i="5" s="1"/>
  <c r="E4639" i="5"/>
  <c r="F4639" i="5" s="1"/>
  <c r="E4640" i="5"/>
  <c r="F4640" i="5" s="1"/>
  <c r="E4641" i="5"/>
  <c r="F4641" i="5" s="1"/>
  <c r="E4642" i="5"/>
  <c r="F4642" i="5" s="1"/>
  <c r="E4643" i="5"/>
  <c r="F4643" i="5" s="1"/>
  <c r="E4644" i="5"/>
  <c r="F4644" i="5" s="1"/>
  <c r="E4645" i="5"/>
  <c r="F4645" i="5" s="1"/>
  <c r="E4646" i="5"/>
  <c r="F4646" i="5" s="1"/>
  <c r="E4647" i="5"/>
  <c r="F4647" i="5" s="1"/>
  <c r="E4648" i="5"/>
  <c r="F4648" i="5" s="1"/>
  <c r="E4649" i="5"/>
  <c r="F4649" i="5" s="1"/>
  <c r="E4650" i="5"/>
  <c r="F4650" i="5" s="1"/>
  <c r="E4651" i="5"/>
  <c r="F4651" i="5" s="1"/>
  <c r="E4652" i="5"/>
  <c r="F4652" i="5" s="1"/>
  <c r="E4653" i="5"/>
  <c r="F4653" i="5" s="1"/>
  <c r="E4654" i="5"/>
  <c r="F4654" i="5" s="1"/>
  <c r="E4655" i="5"/>
  <c r="F4655" i="5" s="1"/>
  <c r="E4656" i="5"/>
  <c r="F4656" i="5" s="1"/>
  <c r="E4657" i="5"/>
  <c r="F4657" i="5" s="1"/>
  <c r="E4658" i="5"/>
  <c r="F4658" i="5" s="1"/>
  <c r="E4659" i="5"/>
  <c r="F4659" i="5" s="1"/>
  <c r="E4660" i="5"/>
  <c r="F4660" i="5" s="1"/>
  <c r="E4661" i="5"/>
  <c r="F4661" i="5" s="1"/>
  <c r="E4662" i="5"/>
  <c r="F4662" i="5" s="1"/>
  <c r="E4663" i="5"/>
  <c r="F4663" i="5" s="1"/>
  <c r="E4664" i="5"/>
  <c r="F4664" i="5" s="1"/>
  <c r="E4665" i="5"/>
  <c r="F4665" i="5" s="1"/>
  <c r="E4666" i="5"/>
  <c r="F4666" i="5" s="1"/>
  <c r="E4667" i="5"/>
  <c r="F4667" i="5" s="1"/>
  <c r="E4668" i="5"/>
  <c r="F4668" i="5" s="1"/>
  <c r="E4669" i="5"/>
  <c r="F4669" i="5" s="1"/>
  <c r="E4670" i="5"/>
  <c r="F4670" i="5" s="1"/>
  <c r="E4671" i="5"/>
  <c r="F4671" i="5" s="1"/>
  <c r="E4672" i="5"/>
  <c r="F4672" i="5" s="1"/>
  <c r="E4673" i="5"/>
  <c r="F4673" i="5" s="1"/>
  <c r="E4674" i="5"/>
  <c r="F4674" i="5" s="1"/>
  <c r="E4675" i="5"/>
  <c r="F4675" i="5" s="1"/>
  <c r="E4676" i="5"/>
  <c r="F4676" i="5" s="1"/>
  <c r="E4677" i="5"/>
  <c r="F4677" i="5" s="1"/>
  <c r="E4678" i="5"/>
  <c r="F4678" i="5" s="1"/>
  <c r="E4679" i="5"/>
  <c r="F4679" i="5" s="1"/>
  <c r="E4680" i="5"/>
  <c r="F4680" i="5" s="1"/>
  <c r="E4681" i="5"/>
  <c r="F4681" i="5" s="1"/>
  <c r="E4682" i="5"/>
  <c r="F4682" i="5" s="1"/>
  <c r="E4683" i="5"/>
  <c r="F4683" i="5" s="1"/>
  <c r="E4684" i="5"/>
  <c r="F4684" i="5" s="1"/>
  <c r="E4685" i="5"/>
  <c r="F4685" i="5" s="1"/>
  <c r="E4686" i="5"/>
  <c r="F4686" i="5" s="1"/>
  <c r="E4687" i="5"/>
  <c r="F4687" i="5" s="1"/>
  <c r="E4688" i="5"/>
  <c r="F4688" i="5" s="1"/>
  <c r="E4689" i="5"/>
  <c r="F4689" i="5" s="1"/>
  <c r="E4690" i="5"/>
  <c r="F4690" i="5" s="1"/>
  <c r="E4691" i="5"/>
  <c r="F4691" i="5" s="1"/>
  <c r="E4692" i="5"/>
  <c r="F4692" i="5" s="1"/>
  <c r="E4693" i="5"/>
  <c r="F4693" i="5" s="1"/>
  <c r="E4694" i="5"/>
  <c r="F4694" i="5" s="1"/>
  <c r="E4695" i="5"/>
  <c r="F4695" i="5" s="1"/>
  <c r="E4696" i="5"/>
  <c r="F4696" i="5" s="1"/>
  <c r="E4697" i="5"/>
  <c r="F4697" i="5" s="1"/>
  <c r="E4698" i="5"/>
  <c r="F4698" i="5" s="1"/>
  <c r="E4699" i="5"/>
  <c r="F4699" i="5" s="1"/>
  <c r="E4700" i="5"/>
  <c r="F4700" i="5" s="1"/>
  <c r="E4701" i="5"/>
  <c r="F4701" i="5" s="1"/>
  <c r="E4702" i="5"/>
  <c r="F4702" i="5" s="1"/>
  <c r="E4703" i="5"/>
  <c r="F4703" i="5" s="1"/>
  <c r="E4704" i="5"/>
  <c r="F4704" i="5" s="1"/>
  <c r="E4705" i="5"/>
  <c r="F4705" i="5" s="1"/>
  <c r="E4706" i="5"/>
  <c r="F4706" i="5" s="1"/>
  <c r="E4707" i="5"/>
  <c r="F4707" i="5" s="1"/>
  <c r="E4708" i="5"/>
  <c r="F4708" i="5" s="1"/>
  <c r="E4709" i="5"/>
  <c r="F4709" i="5" s="1"/>
  <c r="E4710" i="5"/>
  <c r="F4710" i="5" s="1"/>
  <c r="E4711" i="5"/>
  <c r="F4711" i="5" s="1"/>
  <c r="E4712" i="5"/>
  <c r="F4712" i="5" s="1"/>
  <c r="E4713" i="5"/>
  <c r="F4713" i="5" s="1"/>
  <c r="E4714" i="5"/>
  <c r="F4714" i="5" s="1"/>
  <c r="E4715" i="5"/>
  <c r="F4715" i="5" s="1"/>
  <c r="E4716" i="5"/>
  <c r="F4716" i="5" s="1"/>
  <c r="E4717" i="5"/>
  <c r="F4717" i="5" s="1"/>
  <c r="E4718" i="5"/>
  <c r="F4718" i="5" s="1"/>
  <c r="E4719" i="5"/>
  <c r="F4719" i="5" s="1"/>
  <c r="E4720" i="5"/>
  <c r="F4720" i="5" s="1"/>
  <c r="E4721" i="5"/>
  <c r="F4721" i="5" s="1"/>
  <c r="E4722" i="5"/>
  <c r="F4722" i="5" s="1"/>
  <c r="E4723" i="5"/>
  <c r="F4723" i="5" s="1"/>
  <c r="E2" i="5"/>
  <c r="F2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2" i="5"/>
  <c r="K3916" i="5" l="1"/>
  <c r="K2233" i="5"/>
  <c r="K3660" i="5"/>
  <c r="K4494" i="5"/>
  <c r="K3077" i="5"/>
  <c r="K4702" i="5"/>
  <c r="K4579" i="5"/>
  <c r="K4483" i="5"/>
  <c r="K4354" i="5"/>
  <c r="K4139" i="5"/>
  <c r="K3883" i="5"/>
  <c r="K3547" i="5"/>
  <c r="K2839" i="5"/>
  <c r="K4701" i="5"/>
  <c r="K4574" i="5"/>
  <c r="K4451" i="5"/>
  <c r="K4343" i="5"/>
  <c r="K4138" i="5"/>
  <c r="K3802" i="5"/>
  <c r="K3546" i="5"/>
  <c r="K2724" i="5"/>
  <c r="K4392" i="5"/>
  <c r="K4611" i="5"/>
  <c r="K4220" i="5"/>
  <c r="K3579" i="5"/>
  <c r="K4669" i="5"/>
  <c r="K4573" i="5"/>
  <c r="K4446" i="5"/>
  <c r="K4306" i="5"/>
  <c r="K4106" i="5"/>
  <c r="K3788" i="5"/>
  <c r="K3367" i="5"/>
  <c r="K2674" i="5"/>
  <c r="K4621" i="5"/>
  <c r="K3078" i="5"/>
  <c r="K4707" i="5"/>
  <c r="K4493" i="5"/>
  <c r="K4355" i="5"/>
  <c r="K3884" i="5"/>
  <c r="K4659" i="5"/>
  <c r="K4541" i="5"/>
  <c r="K4445" i="5"/>
  <c r="K4299" i="5"/>
  <c r="K4012" i="5"/>
  <c r="K3756" i="5"/>
  <c r="K3366" i="5"/>
  <c r="K2234" i="5"/>
  <c r="K4229" i="5"/>
  <c r="K4654" i="5"/>
  <c r="K4531" i="5"/>
  <c r="K4409" i="5"/>
  <c r="K4298" i="5"/>
  <c r="K4011" i="5"/>
  <c r="K3675" i="5"/>
  <c r="K3302" i="5"/>
  <c r="K1280" i="5"/>
  <c r="K4622" i="5"/>
  <c r="K4526" i="5"/>
  <c r="K4397" i="5"/>
  <c r="K4251" i="5"/>
  <c r="K4010" i="5"/>
  <c r="K3674" i="5"/>
  <c r="K3110" i="5"/>
  <c r="K2042" i="5"/>
  <c r="K4691" i="5"/>
  <c r="K4653" i="5"/>
  <c r="K4606" i="5"/>
  <c r="K4563" i="5"/>
  <c r="K4525" i="5"/>
  <c r="K4478" i="5"/>
  <c r="K4434" i="5"/>
  <c r="K4391" i="5"/>
  <c r="K4337" i="5"/>
  <c r="K4280" i="5"/>
  <c r="K4219" i="5"/>
  <c r="K4092" i="5"/>
  <c r="K3978" i="5"/>
  <c r="K3882" i="5"/>
  <c r="K3755" i="5"/>
  <c r="K3628" i="5"/>
  <c r="K3527" i="5"/>
  <c r="K3301" i="5"/>
  <c r="K2983" i="5"/>
  <c r="K2651" i="5"/>
  <c r="K1964" i="5"/>
  <c r="K4686" i="5"/>
  <c r="K4643" i="5"/>
  <c r="K4605" i="5"/>
  <c r="K4558" i="5"/>
  <c r="K4515" i="5"/>
  <c r="K4477" i="5"/>
  <c r="K4428" i="5"/>
  <c r="K4379" i="5"/>
  <c r="K4336" i="5"/>
  <c r="K4279" i="5"/>
  <c r="K4187" i="5"/>
  <c r="K4091" i="5"/>
  <c r="K3964" i="5"/>
  <c r="K3850" i="5"/>
  <c r="K3754" i="5"/>
  <c r="K3627" i="5"/>
  <c r="K3463" i="5"/>
  <c r="K3271" i="5"/>
  <c r="K2982" i="5"/>
  <c r="K2490" i="5"/>
  <c r="K1963" i="5"/>
  <c r="K4723" i="5"/>
  <c r="K4685" i="5"/>
  <c r="K4638" i="5"/>
  <c r="K4595" i="5"/>
  <c r="K4557" i="5"/>
  <c r="K4510" i="5"/>
  <c r="K4467" i="5"/>
  <c r="K4427" i="5"/>
  <c r="K4373" i="5"/>
  <c r="K4324" i="5"/>
  <c r="K4272" i="5"/>
  <c r="K4186" i="5"/>
  <c r="K4059" i="5"/>
  <c r="K3963" i="5"/>
  <c r="K3836" i="5"/>
  <c r="K3722" i="5"/>
  <c r="K3626" i="5"/>
  <c r="K3462" i="5"/>
  <c r="K3206" i="5"/>
  <c r="K2948" i="5"/>
  <c r="K2489" i="5"/>
  <c r="K1666" i="5"/>
  <c r="K4718" i="5"/>
  <c r="K4675" i="5"/>
  <c r="K4637" i="5"/>
  <c r="K4590" i="5"/>
  <c r="K4547" i="5"/>
  <c r="K4509" i="5"/>
  <c r="K4462" i="5"/>
  <c r="K4416" i="5"/>
  <c r="K4372" i="5"/>
  <c r="K4319" i="5"/>
  <c r="K4253" i="5"/>
  <c r="K4172" i="5"/>
  <c r="K4058" i="5"/>
  <c r="K3931" i="5"/>
  <c r="K3835" i="5"/>
  <c r="K3708" i="5"/>
  <c r="K3594" i="5"/>
  <c r="K3461" i="5"/>
  <c r="K3205" i="5"/>
  <c r="K2856" i="5"/>
  <c r="K2425" i="5"/>
  <c r="K1566" i="5"/>
  <c r="K4717" i="5"/>
  <c r="K4670" i="5"/>
  <c r="K4627" i="5"/>
  <c r="K4589" i="5"/>
  <c r="K4542" i="5"/>
  <c r="K4499" i="5"/>
  <c r="K4461" i="5"/>
  <c r="K4410" i="5"/>
  <c r="K4361" i="5"/>
  <c r="K4317" i="5"/>
  <c r="K4252" i="5"/>
  <c r="K4140" i="5"/>
  <c r="K4044" i="5"/>
  <c r="K3930" i="5"/>
  <c r="K3803" i="5"/>
  <c r="K3707" i="5"/>
  <c r="K3580" i="5"/>
  <c r="K3397" i="5"/>
  <c r="K3191" i="5"/>
  <c r="K2840" i="5"/>
  <c r="K2235" i="5"/>
  <c r="K1304" i="5"/>
  <c r="K4716" i="5"/>
  <c r="K4700" i="5"/>
  <c r="K4684" i="5"/>
  <c r="K4668" i="5"/>
  <c r="K4652" i="5"/>
  <c r="K4636" i="5"/>
  <c r="K4620" i="5"/>
  <c r="K4604" i="5"/>
  <c r="K4588" i="5"/>
  <c r="K4572" i="5"/>
  <c r="K4556" i="5"/>
  <c r="K4540" i="5"/>
  <c r="K4524" i="5"/>
  <c r="K4508" i="5"/>
  <c r="K4492" i="5"/>
  <c r="K4476" i="5"/>
  <c r="K4460" i="5"/>
  <c r="K4444" i="5"/>
  <c r="K4426" i="5"/>
  <c r="K4408" i="5"/>
  <c r="K4389" i="5"/>
  <c r="K4371" i="5"/>
  <c r="K4353" i="5"/>
  <c r="K4335" i="5"/>
  <c r="K4316" i="5"/>
  <c r="K4297" i="5"/>
  <c r="K4271" i="5"/>
  <c r="K4243" i="5"/>
  <c r="K4218" i="5"/>
  <c r="K4171" i="5"/>
  <c r="K4124" i="5"/>
  <c r="K4090" i="5"/>
  <c r="K4043" i="5"/>
  <c r="K3996" i="5"/>
  <c r="K3962" i="5"/>
  <c r="K3915" i="5"/>
  <c r="K3868" i="5"/>
  <c r="K3834" i="5"/>
  <c r="K3787" i="5"/>
  <c r="K3740" i="5"/>
  <c r="K3706" i="5"/>
  <c r="K3659" i="5"/>
  <c r="K3612" i="5"/>
  <c r="K3578" i="5"/>
  <c r="K3526" i="5"/>
  <c r="K3431" i="5"/>
  <c r="K3365" i="5"/>
  <c r="K3270" i="5"/>
  <c r="K3159" i="5"/>
  <c r="K3063" i="5"/>
  <c r="K2947" i="5"/>
  <c r="K2796" i="5"/>
  <c r="K2650" i="5"/>
  <c r="K2395" i="5"/>
  <c r="K2169" i="5"/>
  <c r="K1962" i="5"/>
  <c r="K1285" i="5"/>
  <c r="K4715" i="5"/>
  <c r="K4699" i="5"/>
  <c r="K4683" i="5"/>
  <c r="K4667" i="5"/>
  <c r="K4651" i="5"/>
  <c r="K4635" i="5"/>
  <c r="K4619" i="5"/>
  <c r="K4603" i="5"/>
  <c r="K4587" i="5"/>
  <c r="K4571" i="5"/>
  <c r="K4555" i="5"/>
  <c r="K4539" i="5"/>
  <c r="K4523" i="5"/>
  <c r="K4507" i="5"/>
  <c r="K4491" i="5"/>
  <c r="K4475" i="5"/>
  <c r="K4459" i="5"/>
  <c r="K4443" i="5"/>
  <c r="K4425" i="5"/>
  <c r="K4407" i="5"/>
  <c r="K4388" i="5"/>
  <c r="K4370" i="5"/>
  <c r="K4352" i="5"/>
  <c r="K4333" i="5"/>
  <c r="K4315" i="5"/>
  <c r="K4290" i="5"/>
  <c r="K4269" i="5"/>
  <c r="K4242" i="5"/>
  <c r="K4204" i="5"/>
  <c r="K4170" i="5"/>
  <c r="K4123" i="5"/>
  <c r="K4076" i="5"/>
  <c r="K4042" i="5"/>
  <c r="K3995" i="5"/>
  <c r="K3948" i="5"/>
  <c r="K3914" i="5"/>
  <c r="K3867" i="5"/>
  <c r="K3820" i="5"/>
  <c r="K3786" i="5"/>
  <c r="K3739" i="5"/>
  <c r="K3692" i="5"/>
  <c r="K3658" i="5"/>
  <c r="K3611" i="5"/>
  <c r="K3564" i="5"/>
  <c r="K3525" i="5"/>
  <c r="K3430" i="5"/>
  <c r="K3335" i="5"/>
  <c r="K3269" i="5"/>
  <c r="K3158" i="5"/>
  <c r="K3031" i="5"/>
  <c r="K2931" i="5"/>
  <c r="K2795" i="5"/>
  <c r="K2586" i="5"/>
  <c r="K2394" i="5"/>
  <c r="K2139" i="5"/>
  <c r="K1856" i="5"/>
  <c r="K3" i="5"/>
  <c r="K11" i="5"/>
  <c r="K19" i="5"/>
  <c r="K27" i="5"/>
  <c r="K35" i="5"/>
  <c r="K43" i="5"/>
  <c r="K51" i="5"/>
  <c r="K59" i="5"/>
  <c r="K67" i="5"/>
  <c r="K75" i="5"/>
  <c r="K83" i="5"/>
  <c r="K91" i="5"/>
  <c r="K99" i="5"/>
  <c r="K107" i="5"/>
  <c r="K115" i="5"/>
  <c r="K123" i="5"/>
  <c r="K131" i="5"/>
  <c r="K139" i="5"/>
  <c r="K147" i="5"/>
  <c r="K155" i="5"/>
  <c r="K163" i="5"/>
  <c r="K171" i="5"/>
  <c r="K179" i="5"/>
  <c r="K187" i="5"/>
  <c r="K195" i="5"/>
  <c r="K203" i="5"/>
  <c r="K211" i="5"/>
  <c r="K219" i="5"/>
  <c r="K227" i="5"/>
  <c r="K235" i="5"/>
  <c r="K243" i="5"/>
  <c r="K251" i="5"/>
  <c r="K259" i="5"/>
  <c r="K267" i="5"/>
  <c r="K275" i="5"/>
  <c r="K283" i="5"/>
  <c r="K291" i="5"/>
  <c r="K299" i="5"/>
  <c r="K307" i="5"/>
  <c r="K315" i="5"/>
  <c r="K323" i="5"/>
  <c r="K331" i="5"/>
  <c r="K339" i="5"/>
  <c r="K347" i="5"/>
  <c r="K355" i="5"/>
  <c r="K363" i="5"/>
  <c r="K371" i="5"/>
  <c r="K379" i="5"/>
  <c r="K387" i="5"/>
  <c r="K395" i="5"/>
  <c r="K403" i="5"/>
  <c r="K411" i="5"/>
  <c r="K419" i="5"/>
  <c r="K427" i="5"/>
  <c r="K435" i="5"/>
  <c r="K443" i="5"/>
  <c r="K451" i="5"/>
  <c r="K459" i="5"/>
  <c r="K467" i="5"/>
  <c r="K475" i="5"/>
  <c r="K483" i="5"/>
  <c r="K491" i="5"/>
  <c r="K499" i="5"/>
  <c r="K507" i="5"/>
  <c r="K515" i="5"/>
  <c r="K523" i="5"/>
  <c r="K531" i="5"/>
  <c r="K539" i="5"/>
  <c r="K547" i="5"/>
  <c r="K555" i="5"/>
  <c r="K563" i="5"/>
  <c r="K571" i="5"/>
  <c r="K579" i="5"/>
  <c r="K587" i="5"/>
  <c r="K595" i="5"/>
  <c r="K603" i="5"/>
  <c r="K611" i="5"/>
  <c r="K619" i="5"/>
  <c r="K627" i="5"/>
  <c r="K635" i="5"/>
  <c r="K643" i="5"/>
  <c r="K651" i="5"/>
  <c r="K659" i="5"/>
  <c r="K667" i="5"/>
  <c r="K675" i="5"/>
  <c r="K4" i="5"/>
  <c r="K12" i="5"/>
  <c r="K20" i="5"/>
  <c r="K28" i="5"/>
  <c r="K36" i="5"/>
  <c r="K44" i="5"/>
  <c r="K52" i="5"/>
  <c r="K60" i="5"/>
  <c r="K68" i="5"/>
  <c r="K76" i="5"/>
  <c r="K84" i="5"/>
  <c r="K92" i="5"/>
  <c r="K100" i="5"/>
  <c r="K108" i="5"/>
  <c r="K116" i="5"/>
  <c r="K124" i="5"/>
  <c r="K132" i="5"/>
  <c r="K140" i="5"/>
  <c r="K148" i="5"/>
  <c r="K156" i="5"/>
  <c r="K164" i="5"/>
  <c r="K172" i="5"/>
  <c r="K180" i="5"/>
  <c r="K188" i="5"/>
  <c r="K196" i="5"/>
  <c r="K204" i="5"/>
  <c r="K212" i="5"/>
  <c r="K220" i="5"/>
  <c r="K228" i="5"/>
  <c r="K236" i="5"/>
  <c r="K244" i="5"/>
  <c r="K252" i="5"/>
  <c r="K260" i="5"/>
  <c r="K268" i="5"/>
  <c r="K276" i="5"/>
  <c r="K284" i="5"/>
  <c r="K292" i="5"/>
  <c r="K300" i="5"/>
  <c r="K308" i="5"/>
  <c r="K316" i="5"/>
  <c r="K324" i="5"/>
  <c r="K332" i="5"/>
  <c r="K340" i="5"/>
  <c r="K348" i="5"/>
  <c r="K356" i="5"/>
  <c r="K364" i="5"/>
  <c r="K372" i="5"/>
  <c r="K380" i="5"/>
  <c r="K388" i="5"/>
  <c r="K396" i="5"/>
  <c r="K404" i="5"/>
  <c r="K412" i="5"/>
  <c r="K420" i="5"/>
  <c r="K428" i="5"/>
  <c r="K436" i="5"/>
  <c r="K444" i="5"/>
  <c r="K452" i="5"/>
  <c r="K460" i="5"/>
  <c r="K468" i="5"/>
  <c r="K476" i="5"/>
  <c r="K484" i="5"/>
  <c r="K492" i="5"/>
  <c r="K500" i="5"/>
  <c r="K508" i="5"/>
  <c r="K516" i="5"/>
  <c r="K524" i="5"/>
  <c r="K532" i="5"/>
  <c r="K540" i="5"/>
  <c r="K548" i="5"/>
  <c r="K556" i="5"/>
  <c r="K564" i="5"/>
  <c r="K572" i="5"/>
  <c r="K580" i="5"/>
  <c r="K588" i="5"/>
  <c r="K596" i="5"/>
  <c r="K604" i="5"/>
  <c r="K612" i="5"/>
  <c r="K620" i="5"/>
  <c r="K628" i="5"/>
  <c r="K636" i="5"/>
  <c r="K644" i="5"/>
  <c r="K5" i="5"/>
  <c r="K13" i="5"/>
  <c r="K21" i="5"/>
  <c r="K29" i="5"/>
  <c r="K37" i="5"/>
  <c r="K45" i="5"/>
  <c r="K53" i="5"/>
  <c r="K61" i="5"/>
  <c r="K69" i="5"/>
  <c r="K77" i="5"/>
  <c r="K85" i="5"/>
  <c r="K93" i="5"/>
  <c r="K101" i="5"/>
  <c r="K109" i="5"/>
  <c r="K117" i="5"/>
  <c r="K125" i="5"/>
  <c r="K133" i="5"/>
  <c r="K141" i="5"/>
  <c r="K149" i="5"/>
  <c r="K157" i="5"/>
  <c r="K165" i="5"/>
  <c r="K173" i="5"/>
  <c r="K181" i="5"/>
  <c r="K189" i="5"/>
  <c r="K197" i="5"/>
  <c r="K205" i="5"/>
  <c r="K213" i="5"/>
  <c r="K221" i="5"/>
  <c r="K229" i="5"/>
  <c r="K237" i="5"/>
  <c r="K245" i="5"/>
  <c r="K253" i="5"/>
  <c r="K261" i="5"/>
  <c r="K269" i="5"/>
  <c r="K277" i="5"/>
  <c r="K285" i="5"/>
  <c r="K293" i="5"/>
  <c r="K301" i="5"/>
  <c r="K309" i="5"/>
  <c r="K317" i="5"/>
  <c r="K325" i="5"/>
  <c r="K333" i="5"/>
  <c r="K341" i="5"/>
  <c r="K349" i="5"/>
  <c r="K357" i="5"/>
  <c r="K365" i="5"/>
  <c r="K373" i="5"/>
  <c r="K381" i="5"/>
  <c r="K389" i="5"/>
  <c r="K397" i="5"/>
  <c r="K405" i="5"/>
  <c r="K413" i="5"/>
  <c r="K421" i="5"/>
  <c r="K429" i="5"/>
  <c r="K437" i="5"/>
  <c r="K445" i="5"/>
  <c r="K453" i="5"/>
  <c r="K461" i="5"/>
  <c r="K469" i="5"/>
  <c r="K477" i="5"/>
  <c r="K485" i="5"/>
  <c r="K493" i="5"/>
  <c r="K501" i="5"/>
  <c r="K509" i="5"/>
  <c r="K517" i="5"/>
  <c r="K525" i="5"/>
  <c r="K533" i="5"/>
  <c r="K541" i="5"/>
  <c r="K549" i="5"/>
  <c r="K557" i="5"/>
  <c r="K565" i="5"/>
  <c r="K573" i="5"/>
  <c r="K581" i="5"/>
  <c r="K589" i="5"/>
  <c r="K597" i="5"/>
  <c r="K605" i="5"/>
  <c r="K613" i="5"/>
  <c r="K621" i="5"/>
  <c r="K629" i="5"/>
  <c r="K637" i="5"/>
  <c r="K645" i="5"/>
  <c r="K653" i="5"/>
  <c r="K661" i="5"/>
  <c r="K669" i="5"/>
  <c r="K677" i="5"/>
  <c r="K6" i="5"/>
  <c r="K17" i="5"/>
  <c r="K31" i="5"/>
  <c r="K42" i="5"/>
  <c r="K56" i="5"/>
  <c r="K70" i="5"/>
  <c r="K81" i="5"/>
  <c r="K95" i="5"/>
  <c r="K106" i="5"/>
  <c r="K120" i="5"/>
  <c r="K134" i="5"/>
  <c r="K145" i="5"/>
  <c r="K159" i="5"/>
  <c r="K170" i="5"/>
  <c r="K184" i="5"/>
  <c r="K198" i="5"/>
  <c r="K209" i="5"/>
  <c r="K223" i="5"/>
  <c r="K234" i="5"/>
  <c r="K248" i="5"/>
  <c r="K262" i="5"/>
  <c r="K273" i="5"/>
  <c r="K287" i="5"/>
  <c r="K298" i="5"/>
  <c r="K312" i="5"/>
  <c r="K326" i="5"/>
  <c r="K337" i="5"/>
  <c r="K351" i="5"/>
  <c r="K362" i="5"/>
  <c r="K376" i="5"/>
  <c r="K390" i="5"/>
  <c r="K401" i="5"/>
  <c r="K415" i="5"/>
  <c r="K426" i="5"/>
  <c r="K440" i="5"/>
  <c r="K454" i="5"/>
  <c r="K465" i="5"/>
  <c r="K479" i="5"/>
  <c r="K490" i="5"/>
  <c r="K504" i="5"/>
  <c r="K518" i="5"/>
  <c r="K529" i="5"/>
  <c r="K543" i="5"/>
  <c r="K554" i="5"/>
  <c r="K568" i="5"/>
  <c r="K582" i="5"/>
  <c r="K593" i="5"/>
  <c r="K607" i="5"/>
  <c r="K618" i="5"/>
  <c r="K632" i="5"/>
  <c r="K646" i="5"/>
  <c r="K656" i="5"/>
  <c r="K666" i="5"/>
  <c r="K678" i="5"/>
  <c r="K686" i="5"/>
  <c r="K694" i="5"/>
  <c r="K702" i="5"/>
  <c r="K710" i="5"/>
  <c r="K718" i="5"/>
  <c r="K726" i="5"/>
  <c r="K734" i="5"/>
  <c r="K742" i="5"/>
  <c r="K750" i="5"/>
  <c r="K758" i="5"/>
  <c r="K766" i="5"/>
  <c r="K774" i="5"/>
  <c r="K782" i="5"/>
  <c r="K790" i="5"/>
  <c r="K798" i="5"/>
  <c r="K806" i="5"/>
  <c r="K814" i="5"/>
  <c r="K822" i="5"/>
  <c r="K830" i="5"/>
  <c r="K838" i="5"/>
  <c r="K846" i="5"/>
  <c r="K854" i="5"/>
  <c r="K862" i="5"/>
  <c r="K870" i="5"/>
  <c r="K878" i="5"/>
  <c r="K886" i="5"/>
  <c r="K894" i="5"/>
  <c r="K902" i="5"/>
  <c r="K910" i="5"/>
  <c r="K918" i="5"/>
  <c r="K926" i="5"/>
  <c r="K934" i="5"/>
  <c r="K942" i="5"/>
  <c r="K950" i="5"/>
  <c r="K958" i="5"/>
  <c r="K966" i="5"/>
  <c r="K974" i="5"/>
  <c r="K982" i="5"/>
  <c r="K990" i="5"/>
  <c r="K998" i="5"/>
  <c r="K1006" i="5"/>
  <c r="K1014" i="5"/>
  <c r="K1022" i="5"/>
  <c r="K7" i="5"/>
  <c r="K18" i="5"/>
  <c r="K32" i="5"/>
  <c r="K46" i="5"/>
  <c r="K57" i="5"/>
  <c r="K71" i="5"/>
  <c r="K82" i="5"/>
  <c r="K96" i="5"/>
  <c r="K110" i="5"/>
  <c r="K121" i="5"/>
  <c r="K135" i="5"/>
  <c r="K146" i="5"/>
  <c r="K160" i="5"/>
  <c r="K174" i="5"/>
  <c r="K185" i="5"/>
  <c r="K199" i="5"/>
  <c r="K210" i="5"/>
  <c r="K224" i="5"/>
  <c r="K238" i="5"/>
  <c r="K249" i="5"/>
  <c r="K263" i="5"/>
  <c r="K274" i="5"/>
  <c r="K288" i="5"/>
  <c r="K302" i="5"/>
  <c r="K313" i="5"/>
  <c r="K327" i="5"/>
  <c r="K338" i="5"/>
  <c r="K352" i="5"/>
  <c r="K366" i="5"/>
  <c r="K377" i="5"/>
  <c r="K391" i="5"/>
  <c r="K402" i="5"/>
  <c r="K416" i="5"/>
  <c r="K430" i="5"/>
  <c r="K441" i="5"/>
  <c r="K455" i="5"/>
  <c r="K466" i="5"/>
  <c r="K480" i="5"/>
  <c r="K494" i="5"/>
  <c r="K505" i="5"/>
  <c r="K519" i="5"/>
  <c r="K530" i="5"/>
  <c r="K544" i="5"/>
  <c r="K558" i="5"/>
  <c r="K569" i="5"/>
  <c r="K583" i="5"/>
  <c r="K594" i="5"/>
  <c r="K608" i="5"/>
  <c r="K622" i="5"/>
  <c r="K633" i="5"/>
  <c r="K647" i="5"/>
  <c r="K657" i="5"/>
  <c r="K668" i="5"/>
  <c r="K679" i="5"/>
  <c r="K687" i="5"/>
  <c r="K695" i="5"/>
  <c r="K703" i="5"/>
  <c r="K711" i="5"/>
  <c r="K719" i="5"/>
  <c r="K727" i="5"/>
  <c r="K735" i="5"/>
  <c r="K743" i="5"/>
  <c r="K751" i="5"/>
  <c r="K759" i="5"/>
  <c r="K767" i="5"/>
  <c r="K775" i="5"/>
  <c r="K783" i="5"/>
  <c r="K791" i="5"/>
  <c r="K799" i="5"/>
  <c r="K807" i="5"/>
  <c r="K815" i="5"/>
  <c r="K823" i="5"/>
  <c r="K831" i="5"/>
  <c r="K839" i="5"/>
  <c r="K847" i="5"/>
  <c r="K855" i="5"/>
  <c r="K863" i="5"/>
  <c r="K871" i="5"/>
  <c r="K879" i="5"/>
  <c r="K887" i="5"/>
  <c r="K895" i="5"/>
  <c r="K903" i="5"/>
  <c r="K911" i="5"/>
  <c r="K919" i="5"/>
  <c r="K927" i="5"/>
  <c r="K8" i="5"/>
  <c r="K22" i="5"/>
  <c r="K33" i="5"/>
  <c r="K47" i="5"/>
  <c r="K58" i="5"/>
  <c r="K72" i="5"/>
  <c r="K86" i="5"/>
  <c r="K97" i="5"/>
  <c r="K111" i="5"/>
  <c r="K122" i="5"/>
  <c r="K136" i="5"/>
  <c r="K150" i="5"/>
  <c r="K161" i="5"/>
  <c r="K175" i="5"/>
  <c r="K186" i="5"/>
  <c r="K200" i="5"/>
  <c r="K214" i="5"/>
  <c r="K225" i="5"/>
  <c r="K239" i="5"/>
  <c r="K250" i="5"/>
  <c r="K264" i="5"/>
  <c r="K278" i="5"/>
  <c r="K289" i="5"/>
  <c r="K303" i="5"/>
  <c r="K314" i="5"/>
  <c r="K328" i="5"/>
  <c r="K342" i="5"/>
  <c r="K353" i="5"/>
  <c r="K367" i="5"/>
  <c r="K378" i="5"/>
  <c r="K392" i="5"/>
  <c r="K406" i="5"/>
  <c r="K417" i="5"/>
  <c r="K431" i="5"/>
  <c r="K442" i="5"/>
  <c r="K456" i="5"/>
  <c r="K470" i="5"/>
  <c r="K481" i="5"/>
  <c r="K495" i="5"/>
  <c r="K506" i="5"/>
  <c r="K520" i="5"/>
  <c r="K534" i="5"/>
  <c r="K545" i="5"/>
  <c r="K559" i="5"/>
  <c r="K570" i="5"/>
  <c r="K584" i="5"/>
  <c r="K598" i="5"/>
  <c r="K609" i="5"/>
  <c r="K623" i="5"/>
  <c r="K634" i="5"/>
  <c r="K648" i="5"/>
  <c r="K658" i="5"/>
  <c r="K670" i="5"/>
  <c r="K680" i="5"/>
  <c r="K688" i="5"/>
  <c r="K696" i="5"/>
  <c r="K704" i="5"/>
  <c r="K712" i="5"/>
  <c r="K720" i="5"/>
  <c r="K728" i="5"/>
  <c r="K736" i="5"/>
  <c r="K744" i="5"/>
  <c r="K752" i="5"/>
  <c r="K760" i="5"/>
  <c r="K768" i="5"/>
  <c r="K776" i="5"/>
  <c r="K784" i="5"/>
  <c r="K792" i="5"/>
  <c r="K800" i="5"/>
  <c r="K808" i="5"/>
  <c r="K816" i="5"/>
  <c r="K824" i="5"/>
  <c r="K832" i="5"/>
  <c r="K840" i="5"/>
  <c r="K848" i="5"/>
  <c r="K856" i="5"/>
  <c r="K864" i="5"/>
  <c r="K872" i="5"/>
  <c r="K880" i="5"/>
  <c r="K888" i="5"/>
  <c r="K896" i="5"/>
  <c r="K904" i="5"/>
  <c r="K912" i="5"/>
  <c r="K920" i="5"/>
  <c r="K928" i="5"/>
  <c r="K9" i="5"/>
  <c r="K26" i="5"/>
  <c r="K49" i="5"/>
  <c r="K66" i="5"/>
  <c r="K89" i="5"/>
  <c r="K112" i="5"/>
  <c r="K129" i="5"/>
  <c r="K152" i="5"/>
  <c r="K169" i="5"/>
  <c r="K192" i="5"/>
  <c r="K215" i="5"/>
  <c r="K232" i="5"/>
  <c r="K255" i="5"/>
  <c r="K272" i="5"/>
  <c r="K295" i="5"/>
  <c r="K318" i="5"/>
  <c r="K335" i="5"/>
  <c r="K358" i="5"/>
  <c r="K375" i="5"/>
  <c r="K398" i="5"/>
  <c r="K418" i="5"/>
  <c r="K438" i="5"/>
  <c r="K458" i="5"/>
  <c r="K478" i="5"/>
  <c r="K498" i="5"/>
  <c r="K521" i="5"/>
  <c r="K538" i="5"/>
  <c r="K561" i="5"/>
  <c r="K578" i="5"/>
  <c r="K601" i="5"/>
  <c r="K624" i="5"/>
  <c r="K641" i="5"/>
  <c r="K662" i="5"/>
  <c r="K676" i="5"/>
  <c r="K691" i="5"/>
  <c r="K705" i="5"/>
  <c r="K716" i="5"/>
  <c r="K730" i="5"/>
  <c r="K741" i="5"/>
  <c r="K755" i="5"/>
  <c r="K769" i="5"/>
  <c r="K780" i="5"/>
  <c r="K794" i="5"/>
  <c r="K805" i="5"/>
  <c r="K819" i="5"/>
  <c r="K833" i="5"/>
  <c r="K844" i="5"/>
  <c r="K858" i="5"/>
  <c r="K869" i="5"/>
  <c r="K883" i="5"/>
  <c r="K897" i="5"/>
  <c r="K908" i="5"/>
  <c r="K922" i="5"/>
  <c r="K933" i="5"/>
  <c r="K943" i="5"/>
  <c r="K952" i="5"/>
  <c r="K961" i="5"/>
  <c r="K970" i="5"/>
  <c r="K979" i="5"/>
  <c r="K988" i="5"/>
  <c r="K997" i="5"/>
  <c r="K1007" i="5"/>
  <c r="K1016" i="5"/>
  <c r="K1025" i="5"/>
  <c r="K1033" i="5"/>
  <c r="K1041" i="5"/>
  <c r="K1049" i="5"/>
  <c r="K1057" i="5"/>
  <c r="K1065" i="5"/>
  <c r="K1073" i="5"/>
  <c r="K1081" i="5"/>
  <c r="K1089" i="5"/>
  <c r="K1097" i="5"/>
  <c r="K1105" i="5"/>
  <c r="K1113" i="5"/>
  <c r="K1121" i="5"/>
  <c r="K1129" i="5"/>
  <c r="K1137" i="5"/>
  <c r="K1145" i="5"/>
  <c r="K1153" i="5"/>
  <c r="K1161" i="5"/>
  <c r="K1169" i="5"/>
  <c r="K1177" i="5"/>
  <c r="K1185" i="5"/>
  <c r="K1193" i="5"/>
  <c r="K1201" i="5"/>
  <c r="K1209" i="5"/>
  <c r="K1217" i="5"/>
  <c r="K1225" i="5"/>
  <c r="K1233" i="5"/>
  <c r="K1241" i="5"/>
  <c r="K1249" i="5"/>
  <c r="K1257" i="5"/>
  <c r="K1265" i="5"/>
  <c r="K1273" i="5"/>
  <c r="K1281" i="5"/>
  <c r="K1289" i="5"/>
  <c r="K1297" i="5"/>
  <c r="K1305" i="5"/>
  <c r="K1313" i="5"/>
  <c r="K1321" i="5"/>
  <c r="K1329" i="5"/>
  <c r="K1337" i="5"/>
  <c r="K1345" i="5"/>
  <c r="K1353" i="5"/>
  <c r="K1361" i="5"/>
  <c r="K1369" i="5"/>
  <c r="K1377" i="5"/>
  <c r="K1385" i="5"/>
  <c r="K1393" i="5"/>
  <c r="K1401" i="5"/>
  <c r="K1409" i="5"/>
  <c r="K1417" i="5"/>
  <c r="K1425" i="5"/>
  <c r="K1433" i="5"/>
  <c r="K1441" i="5"/>
  <c r="K1449" i="5"/>
  <c r="K1457" i="5"/>
  <c r="K1465" i="5"/>
  <c r="K1473" i="5"/>
  <c r="K1481" i="5"/>
  <c r="K1489" i="5"/>
  <c r="K1497" i="5"/>
  <c r="K1505" i="5"/>
  <c r="K1513" i="5"/>
  <c r="K1521" i="5"/>
  <c r="K1529" i="5"/>
  <c r="K1537" i="5"/>
  <c r="K1545" i="5"/>
  <c r="K1553" i="5"/>
  <c r="K1561" i="5"/>
  <c r="K1569" i="5"/>
  <c r="K1577" i="5"/>
  <c r="K1585" i="5"/>
  <c r="K1593" i="5"/>
  <c r="K1601" i="5"/>
  <c r="K1609" i="5"/>
  <c r="K1617" i="5"/>
  <c r="K1625" i="5"/>
  <c r="K1633" i="5"/>
  <c r="K1641" i="5"/>
  <c r="K1649" i="5"/>
  <c r="K1657" i="5"/>
  <c r="K1665" i="5"/>
  <c r="K1673" i="5"/>
  <c r="K1681" i="5"/>
  <c r="K1689" i="5"/>
  <c r="K1697" i="5"/>
  <c r="K1705" i="5"/>
  <c r="K1713" i="5"/>
  <c r="K1721" i="5"/>
  <c r="K1729" i="5"/>
  <c r="K1737" i="5"/>
  <c r="K1745" i="5"/>
  <c r="K1753" i="5"/>
  <c r="K1761" i="5"/>
  <c r="K1769" i="5"/>
  <c r="K1777" i="5"/>
  <c r="K1785" i="5"/>
  <c r="K1793" i="5"/>
  <c r="K1801" i="5"/>
  <c r="K1809" i="5"/>
  <c r="K1817" i="5"/>
  <c r="K1825" i="5"/>
  <c r="K1833" i="5"/>
  <c r="K1841" i="5"/>
  <c r="K1849" i="5"/>
  <c r="K1857" i="5"/>
  <c r="K1865" i="5"/>
  <c r="K1873" i="5"/>
  <c r="K10" i="5"/>
  <c r="K30" i="5"/>
  <c r="K50" i="5"/>
  <c r="K73" i="5"/>
  <c r="K90" i="5"/>
  <c r="K113" i="5"/>
  <c r="K130" i="5"/>
  <c r="K153" i="5"/>
  <c r="K176" i="5"/>
  <c r="K193" i="5"/>
  <c r="K216" i="5"/>
  <c r="K233" i="5"/>
  <c r="K256" i="5"/>
  <c r="K279" i="5"/>
  <c r="K296" i="5"/>
  <c r="K319" i="5"/>
  <c r="K336" i="5"/>
  <c r="K359" i="5"/>
  <c r="K382" i="5"/>
  <c r="K399" i="5"/>
  <c r="K422" i="5"/>
  <c r="K439" i="5"/>
  <c r="K462" i="5"/>
  <c r="K482" i="5"/>
  <c r="K502" i="5"/>
  <c r="K522" i="5"/>
  <c r="K542" i="5"/>
  <c r="K562" i="5"/>
  <c r="K585" i="5"/>
  <c r="K602" i="5"/>
  <c r="K625" i="5"/>
  <c r="K642" i="5"/>
  <c r="K663" i="5"/>
  <c r="K681" i="5"/>
  <c r="K692" i="5"/>
  <c r="K706" i="5"/>
  <c r="K717" i="5"/>
  <c r="K731" i="5"/>
  <c r="K745" i="5"/>
  <c r="K756" i="5"/>
  <c r="K770" i="5"/>
  <c r="K781" i="5"/>
  <c r="K795" i="5"/>
  <c r="K809" i="5"/>
  <c r="K820" i="5"/>
  <c r="K834" i="5"/>
  <c r="K845" i="5"/>
  <c r="K859" i="5"/>
  <c r="K873" i="5"/>
  <c r="K884" i="5"/>
  <c r="K898" i="5"/>
  <c r="K909" i="5"/>
  <c r="K923" i="5"/>
  <c r="K935" i="5"/>
  <c r="K944" i="5"/>
  <c r="K953" i="5"/>
  <c r="K962" i="5"/>
  <c r="K971" i="5"/>
  <c r="K980" i="5"/>
  <c r="K989" i="5"/>
  <c r="K999" i="5"/>
  <c r="K1008" i="5"/>
  <c r="K1017" i="5"/>
  <c r="K1026" i="5"/>
  <c r="K1034" i="5"/>
  <c r="K1042" i="5"/>
  <c r="K1050" i="5"/>
  <c r="K1058" i="5"/>
  <c r="K1066" i="5"/>
  <c r="K1074" i="5"/>
  <c r="K1082" i="5"/>
  <c r="K1090" i="5"/>
  <c r="K1098" i="5"/>
  <c r="K1106" i="5"/>
  <c r="K1114" i="5"/>
  <c r="K1122" i="5"/>
  <c r="K1130" i="5"/>
  <c r="K1138" i="5"/>
  <c r="K1146" i="5"/>
  <c r="K1154" i="5"/>
  <c r="K1162" i="5"/>
  <c r="K1170" i="5"/>
  <c r="K1178" i="5"/>
  <c r="K1186" i="5"/>
  <c r="K1194" i="5"/>
  <c r="K1202" i="5"/>
  <c r="K1210" i="5"/>
  <c r="K1218" i="5"/>
  <c r="K1226" i="5"/>
  <c r="K1234" i="5"/>
  <c r="K1242" i="5"/>
  <c r="K1250" i="5"/>
  <c r="K1258" i="5"/>
  <c r="K1266" i="5"/>
  <c r="K1274" i="5"/>
  <c r="K1282" i="5"/>
  <c r="K1290" i="5"/>
  <c r="K1298" i="5"/>
  <c r="K1306" i="5"/>
  <c r="K1314" i="5"/>
  <c r="K1322" i="5"/>
  <c r="K1330" i="5"/>
  <c r="K1338" i="5"/>
  <c r="K1346" i="5"/>
  <c r="K1354" i="5"/>
  <c r="K1362" i="5"/>
  <c r="K1370" i="5"/>
  <c r="K1378" i="5"/>
  <c r="K1386" i="5"/>
  <c r="K1394" i="5"/>
  <c r="K1402" i="5"/>
  <c r="K1410" i="5"/>
  <c r="K1418" i="5"/>
  <c r="K1426" i="5"/>
  <c r="K1434" i="5"/>
  <c r="K1442" i="5"/>
  <c r="K1450" i="5"/>
  <c r="K1458" i="5"/>
  <c r="K1466" i="5"/>
  <c r="K1474" i="5"/>
  <c r="K1482" i="5"/>
  <c r="K1490" i="5"/>
  <c r="K1498" i="5"/>
  <c r="K1506" i="5"/>
  <c r="K1514" i="5"/>
  <c r="K1522" i="5"/>
  <c r="K1530" i="5"/>
  <c r="K1538" i="5"/>
  <c r="K1546" i="5"/>
  <c r="K1554" i="5"/>
  <c r="K1562" i="5"/>
  <c r="K1570" i="5"/>
  <c r="K1578" i="5"/>
  <c r="K1586" i="5"/>
  <c r="K1594" i="5"/>
  <c r="K1602" i="5"/>
  <c r="K1610" i="5"/>
  <c r="K1618" i="5"/>
  <c r="K1626" i="5"/>
  <c r="K14" i="5"/>
  <c r="K34" i="5"/>
  <c r="K54" i="5"/>
  <c r="K74" i="5"/>
  <c r="K94" i="5"/>
  <c r="K114" i="5"/>
  <c r="K137" i="5"/>
  <c r="K154" i="5"/>
  <c r="K177" i="5"/>
  <c r="K194" i="5"/>
  <c r="K217" i="5"/>
  <c r="K240" i="5"/>
  <c r="K257" i="5"/>
  <c r="K280" i="5"/>
  <c r="K297" i="5"/>
  <c r="K320" i="5"/>
  <c r="K343" i="5"/>
  <c r="K360" i="5"/>
  <c r="K383" i="5"/>
  <c r="K400" i="5"/>
  <c r="K423" i="5"/>
  <c r="K446" i="5"/>
  <c r="K463" i="5"/>
  <c r="K486" i="5"/>
  <c r="K503" i="5"/>
  <c r="K526" i="5"/>
  <c r="K546" i="5"/>
  <c r="K566" i="5"/>
  <c r="K586" i="5"/>
  <c r="K606" i="5"/>
  <c r="K626" i="5"/>
  <c r="K649" i="5"/>
  <c r="K664" i="5"/>
  <c r="K682" i="5"/>
  <c r="K693" i="5"/>
  <c r="K707" i="5"/>
  <c r="K721" i="5"/>
  <c r="K732" i="5"/>
  <c r="K746" i="5"/>
  <c r="K757" i="5"/>
  <c r="K771" i="5"/>
  <c r="K785" i="5"/>
  <c r="K796" i="5"/>
  <c r="K810" i="5"/>
  <c r="K821" i="5"/>
  <c r="K835" i="5"/>
  <c r="K849" i="5"/>
  <c r="K860" i="5"/>
  <c r="K874" i="5"/>
  <c r="K885" i="5"/>
  <c r="K899" i="5"/>
  <c r="K913" i="5"/>
  <c r="K924" i="5"/>
  <c r="K936" i="5"/>
  <c r="K945" i="5"/>
  <c r="K954" i="5"/>
  <c r="K963" i="5"/>
  <c r="K972" i="5"/>
  <c r="K981" i="5"/>
  <c r="K991" i="5"/>
  <c r="K1000" i="5"/>
  <c r="K1009" i="5"/>
  <c r="K1018" i="5"/>
  <c r="K1027" i="5"/>
  <c r="K1035" i="5"/>
  <c r="K1043" i="5"/>
  <c r="K1051" i="5"/>
  <c r="K1059" i="5"/>
  <c r="K1067" i="5"/>
  <c r="K1075" i="5"/>
  <c r="K1083" i="5"/>
  <c r="K1091" i="5"/>
  <c r="K1099" i="5"/>
  <c r="K1107" i="5"/>
  <c r="K1115" i="5"/>
  <c r="K1123" i="5"/>
  <c r="K1131" i="5"/>
  <c r="K1139" i="5"/>
  <c r="K1147" i="5"/>
  <c r="K1155" i="5"/>
  <c r="K1163" i="5"/>
  <c r="K1171" i="5"/>
  <c r="K1179" i="5"/>
  <c r="K1187" i="5"/>
  <c r="K1195" i="5"/>
  <c r="K1203" i="5"/>
  <c r="K1211" i="5"/>
  <c r="K1219" i="5"/>
  <c r="K1227" i="5"/>
  <c r="K1235" i="5"/>
  <c r="K1243" i="5"/>
  <c r="K1251" i="5"/>
  <c r="K1259" i="5"/>
  <c r="K1267" i="5"/>
  <c r="K1275" i="5"/>
  <c r="K1283" i="5"/>
  <c r="K1291" i="5"/>
  <c r="K1299" i="5"/>
  <c r="K1307" i="5"/>
  <c r="K1315" i="5"/>
  <c r="K1323" i="5"/>
  <c r="K1331" i="5"/>
  <c r="K1339" i="5"/>
  <c r="K1347" i="5"/>
  <c r="K1355" i="5"/>
  <c r="K1363" i="5"/>
  <c r="K1371" i="5"/>
  <c r="K1379" i="5"/>
  <c r="K1387" i="5"/>
  <c r="K1395" i="5"/>
  <c r="K1403" i="5"/>
  <c r="K1411" i="5"/>
  <c r="K1419" i="5"/>
  <c r="K1427" i="5"/>
  <c r="K1435" i="5"/>
  <c r="K1443" i="5"/>
  <c r="K1451" i="5"/>
  <c r="K1459" i="5"/>
  <c r="K1467" i="5"/>
  <c r="K1475" i="5"/>
  <c r="K1483" i="5"/>
  <c r="K1491" i="5"/>
  <c r="K1499" i="5"/>
  <c r="K1507" i="5"/>
  <c r="K1515" i="5"/>
  <c r="K1523" i="5"/>
  <c r="K1531" i="5"/>
  <c r="K1539" i="5"/>
  <c r="K1547" i="5"/>
  <c r="K1555" i="5"/>
  <c r="K1563" i="5"/>
  <c r="K1571" i="5"/>
  <c r="K15" i="5"/>
  <c r="K38" i="5"/>
  <c r="K55" i="5"/>
  <c r="K78" i="5"/>
  <c r="K98" i="5"/>
  <c r="K118" i="5"/>
  <c r="K138" i="5"/>
  <c r="K158" i="5"/>
  <c r="K178" i="5"/>
  <c r="K201" i="5"/>
  <c r="K218" i="5"/>
  <c r="K241" i="5"/>
  <c r="K258" i="5"/>
  <c r="K281" i="5"/>
  <c r="K304" i="5"/>
  <c r="K321" i="5"/>
  <c r="K344" i="5"/>
  <c r="K361" i="5"/>
  <c r="K384" i="5"/>
  <c r="K407" i="5"/>
  <c r="K424" i="5"/>
  <c r="K447" i="5"/>
  <c r="K464" i="5"/>
  <c r="K487" i="5"/>
  <c r="K510" i="5"/>
  <c r="K527" i="5"/>
  <c r="K550" i="5"/>
  <c r="K567" i="5"/>
  <c r="K590" i="5"/>
  <c r="K610" i="5"/>
  <c r="K630" i="5"/>
  <c r="K650" i="5"/>
  <c r="K665" i="5"/>
  <c r="K683" i="5"/>
  <c r="K697" i="5"/>
  <c r="K708" i="5"/>
  <c r="K722" i="5"/>
  <c r="K733" i="5"/>
  <c r="K747" i="5"/>
  <c r="K761" i="5"/>
  <c r="K772" i="5"/>
  <c r="K786" i="5"/>
  <c r="K797" i="5"/>
  <c r="K811" i="5"/>
  <c r="K825" i="5"/>
  <c r="K836" i="5"/>
  <c r="K850" i="5"/>
  <c r="K861" i="5"/>
  <c r="K875" i="5"/>
  <c r="K889" i="5"/>
  <c r="K900" i="5"/>
  <c r="K914" i="5"/>
  <c r="K925" i="5"/>
  <c r="K937" i="5"/>
  <c r="K946" i="5"/>
  <c r="K955" i="5"/>
  <c r="K964" i="5"/>
  <c r="K973" i="5"/>
  <c r="K983" i="5"/>
  <c r="K992" i="5"/>
  <c r="K16" i="5"/>
  <c r="K23" i="5"/>
  <c r="K63" i="5"/>
  <c r="K103" i="5"/>
  <c r="K143" i="5"/>
  <c r="K183" i="5"/>
  <c r="K226" i="5"/>
  <c r="K266" i="5"/>
  <c r="K306" i="5"/>
  <c r="K346" i="5"/>
  <c r="K386" i="5"/>
  <c r="K432" i="5"/>
  <c r="K472" i="5"/>
  <c r="K512" i="5"/>
  <c r="K552" i="5"/>
  <c r="K592" i="5"/>
  <c r="K638" i="5"/>
  <c r="K672" i="5"/>
  <c r="K699" i="5"/>
  <c r="K724" i="5"/>
  <c r="K749" i="5"/>
  <c r="K777" i="5"/>
  <c r="K802" i="5"/>
  <c r="K827" i="5"/>
  <c r="K852" i="5"/>
  <c r="K877" i="5"/>
  <c r="K905" i="5"/>
  <c r="K930" i="5"/>
  <c r="K948" i="5"/>
  <c r="K967" i="5"/>
  <c r="K985" i="5"/>
  <c r="K1002" i="5"/>
  <c r="K1015" i="5"/>
  <c r="K1030" i="5"/>
  <c r="K1044" i="5"/>
  <c r="K1055" i="5"/>
  <c r="K1069" i="5"/>
  <c r="K1080" i="5"/>
  <c r="K1094" i="5"/>
  <c r="K1108" i="5"/>
  <c r="K1119" i="5"/>
  <c r="K1133" i="5"/>
  <c r="K1144" i="5"/>
  <c r="K1158" i="5"/>
  <c r="K1172" i="5"/>
  <c r="K1183" i="5"/>
  <c r="K1197" i="5"/>
  <c r="K1208" i="5"/>
  <c r="K1222" i="5"/>
  <c r="K1236" i="5"/>
  <c r="K1247" i="5"/>
  <c r="K1261" i="5"/>
  <c r="K1272" i="5"/>
  <c r="K1286" i="5"/>
  <c r="K1300" i="5"/>
  <c r="K1311" i="5"/>
  <c r="K1325" i="5"/>
  <c r="K1336" i="5"/>
  <c r="K1350" i="5"/>
  <c r="K1364" i="5"/>
  <c r="K1375" i="5"/>
  <c r="K1389" i="5"/>
  <c r="K1400" i="5"/>
  <c r="K1414" i="5"/>
  <c r="K1428" i="5"/>
  <c r="K1439" i="5"/>
  <c r="K1453" i="5"/>
  <c r="K1464" i="5"/>
  <c r="K1478" i="5"/>
  <c r="K1492" i="5"/>
  <c r="K1503" i="5"/>
  <c r="K1517" i="5"/>
  <c r="K1528" i="5"/>
  <c r="K1542" i="5"/>
  <c r="K1556" i="5"/>
  <c r="K1567" i="5"/>
  <c r="K1580" i="5"/>
  <c r="K1590" i="5"/>
  <c r="K1600" i="5"/>
  <c r="K1612" i="5"/>
  <c r="K1622" i="5"/>
  <c r="K1632" i="5"/>
  <c r="K1642" i="5"/>
  <c r="K1651" i="5"/>
  <c r="K1660" i="5"/>
  <c r="K1669" i="5"/>
  <c r="K1678" i="5"/>
  <c r="K1687" i="5"/>
  <c r="K1696" i="5"/>
  <c r="K1706" i="5"/>
  <c r="K1715" i="5"/>
  <c r="K1724" i="5"/>
  <c r="K1733" i="5"/>
  <c r="K1742" i="5"/>
  <c r="K1751" i="5"/>
  <c r="K1760" i="5"/>
  <c r="K1770" i="5"/>
  <c r="K1779" i="5"/>
  <c r="K1788" i="5"/>
  <c r="K1797" i="5"/>
  <c r="K1806" i="5"/>
  <c r="K1815" i="5"/>
  <c r="K1824" i="5"/>
  <c r="K1834" i="5"/>
  <c r="K1843" i="5"/>
  <c r="K1852" i="5"/>
  <c r="K1861" i="5"/>
  <c r="K1870" i="5"/>
  <c r="K1879" i="5"/>
  <c r="K1887" i="5"/>
  <c r="K1895" i="5"/>
  <c r="K1903" i="5"/>
  <c r="K1911" i="5"/>
  <c r="K1919" i="5"/>
  <c r="K1927" i="5"/>
  <c r="K1935" i="5"/>
  <c r="K1943" i="5"/>
  <c r="K1951" i="5"/>
  <c r="K1959" i="5"/>
  <c r="K1967" i="5"/>
  <c r="K1975" i="5"/>
  <c r="K1983" i="5"/>
  <c r="K1991" i="5"/>
  <c r="K1999" i="5"/>
  <c r="K2007" i="5"/>
  <c r="K2015" i="5"/>
  <c r="K2023" i="5"/>
  <c r="K2031" i="5"/>
  <c r="K2039" i="5"/>
  <c r="K2047" i="5"/>
  <c r="K24" i="5"/>
  <c r="K64" i="5"/>
  <c r="K104" i="5"/>
  <c r="K144" i="5"/>
  <c r="K190" i="5"/>
  <c r="K230" i="5"/>
  <c r="K270" i="5"/>
  <c r="K310" i="5"/>
  <c r="K350" i="5"/>
  <c r="K393" i="5"/>
  <c r="K433" i="5"/>
  <c r="K473" i="5"/>
  <c r="K513" i="5"/>
  <c r="K553" i="5"/>
  <c r="K599" i="5"/>
  <c r="K639" i="5"/>
  <c r="K673" i="5"/>
  <c r="K700" i="5"/>
  <c r="K725" i="5"/>
  <c r="K753" i="5"/>
  <c r="K778" i="5"/>
  <c r="K803" i="5"/>
  <c r="K828" i="5"/>
  <c r="K853" i="5"/>
  <c r="K881" i="5"/>
  <c r="K906" i="5"/>
  <c r="K931" i="5"/>
  <c r="K949" i="5"/>
  <c r="K968" i="5"/>
  <c r="K986" i="5"/>
  <c r="K1003" i="5"/>
  <c r="K1019" i="5"/>
  <c r="K1031" i="5"/>
  <c r="K1045" i="5"/>
  <c r="K1056" i="5"/>
  <c r="K1070" i="5"/>
  <c r="K1084" i="5"/>
  <c r="K1095" i="5"/>
  <c r="K1109" i="5"/>
  <c r="K1120" i="5"/>
  <c r="K1134" i="5"/>
  <c r="K1148" i="5"/>
  <c r="K1159" i="5"/>
  <c r="K1173" i="5"/>
  <c r="K1184" i="5"/>
  <c r="K1198" i="5"/>
  <c r="K1212" i="5"/>
  <c r="K1223" i="5"/>
  <c r="K1237" i="5"/>
  <c r="K1248" i="5"/>
  <c r="K1262" i="5"/>
  <c r="K1276" i="5"/>
  <c r="K1287" i="5"/>
  <c r="K1301" i="5"/>
  <c r="K1312" i="5"/>
  <c r="K1326" i="5"/>
  <c r="K1340" i="5"/>
  <c r="K1351" i="5"/>
  <c r="K1365" i="5"/>
  <c r="K1376" i="5"/>
  <c r="K1390" i="5"/>
  <c r="K1404" i="5"/>
  <c r="K1415" i="5"/>
  <c r="K1429" i="5"/>
  <c r="K1440" i="5"/>
  <c r="K1454" i="5"/>
  <c r="K1468" i="5"/>
  <c r="K1479" i="5"/>
  <c r="K1493" i="5"/>
  <c r="K1504" i="5"/>
  <c r="K1518" i="5"/>
  <c r="K1532" i="5"/>
  <c r="K1543" i="5"/>
  <c r="K1557" i="5"/>
  <c r="K1568" i="5"/>
  <c r="K1581" i="5"/>
  <c r="K1591" i="5"/>
  <c r="K1603" i="5"/>
  <c r="K1613" i="5"/>
  <c r="K1623" i="5"/>
  <c r="K1634" i="5"/>
  <c r="K1643" i="5"/>
  <c r="K1652" i="5"/>
  <c r="K1661" i="5"/>
  <c r="K1670" i="5"/>
  <c r="K1679" i="5"/>
  <c r="K1688" i="5"/>
  <c r="K1698" i="5"/>
  <c r="K1707" i="5"/>
  <c r="K1716" i="5"/>
  <c r="K1725" i="5"/>
  <c r="K1734" i="5"/>
  <c r="K1743" i="5"/>
  <c r="K1752" i="5"/>
  <c r="K1762" i="5"/>
  <c r="K1771" i="5"/>
  <c r="K1780" i="5"/>
  <c r="K1789" i="5"/>
  <c r="K1798" i="5"/>
  <c r="K1807" i="5"/>
  <c r="K1816" i="5"/>
  <c r="K1826" i="5"/>
  <c r="K1835" i="5"/>
  <c r="K1844" i="5"/>
  <c r="K1853" i="5"/>
  <c r="K1862" i="5"/>
  <c r="K1871" i="5"/>
  <c r="K1880" i="5"/>
  <c r="K1888" i="5"/>
  <c r="K1896" i="5"/>
  <c r="K1904" i="5"/>
  <c r="K1912" i="5"/>
  <c r="K1920" i="5"/>
  <c r="K1928" i="5"/>
  <c r="K1936" i="5"/>
  <c r="K1944" i="5"/>
  <c r="K1952" i="5"/>
  <c r="K1960" i="5"/>
  <c r="K1968" i="5"/>
  <c r="K1976" i="5"/>
  <c r="K1984" i="5"/>
  <c r="K25" i="5"/>
  <c r="K65" i="5"/>
  <c r="K105" i="5"/>
  <c r="K151" i="5"/>
  <c r="K191" i="5"/>
  <c r="K231" i="5"/>
  <c r="K271" i="5"/>
  <c r="K311" i="5"/>
  <c r="K354" i="5"/>
  <c r="K394" i="5"/>
  <c r="K434" i="5"/>
  <c r="K474" i="5"/>
  <c r="K514" i="5"/>
  <c r="K560" i="5"/>
  <c r="K600" i="5"/>
  <c r="K640" i="5"/>
  <c r="K674" i="5"/>
  <c r="K701" i="5"/>
  <c r="K729" i="5"/>
  <c r="K754" i="5"/>
  <c r="K779" i="5"/>
  <c r="K804" i="5"/>
  <c r="K829" i="5"/>
  <c r="K857" i="5"/>
  <c r="K882" i="5"/>
  <c r="K907" i="5"/>
  <c r="K932" i="5"/>
  <c r="K951" i="5"/>
  <c r="K969" i="5"/>
  <c r="K987" i="5"/>
  <c r="K1004" i="5"/>
  <c r="K1020" i="5"/>
  <c r="K1032" i="5"/>
  <c r="K1046" i="5"/>
  <c r="K1060" i="5"/>
  <c r="K1071" i="5"/>
  <c r="K1085" i="5"/>
  <c r="K1096" i="5"/>
  <c r="K1110" i="5"/>
  <c r="K1124" i="5"/>
  <c r="K1135" i="5"/>
  <c r="K1149" i="5"/>
  <c r="K1160" i="5"/>
  <c r="K1174" i="5"/>
  <c r="K1188" i="5"/>
  <c r="K1199" i="5"/>
  <c r="K1213" i="5"/>
  <c r="K1224" i="5"/>
  <c r="K1238" i="5"/>
  <c r="K1252" i="5"/>
  <c r="K1263" i="5"/>
  <c r="K1277" i="5"/>
  <c r="K1288" i="5"/>
  <c r="K1302" i="5"/>
  <c r="K1316" i="5"/>
  <c r="K1327" i="5"/>
  <c r="K1341" i="5"/>
  <c r="K1352" i="5"/>
  <c r="K1366" i="5"/>
  <c r="K1380" i="5"/>
  <c r="K1391" i="5"/>
  <c r="K1405" i="5"/>
  <c r="K1416" i="5"/>
  <c r="K1430" i="5"/>
  <c r="K1444" i="5"/>
  <c r="K1455" i="5"/>
  <c r="K1469" i="5"/>
  <c r="K1480" i="5"/>
  <c r="K1494" i="5"/>
  <c r="K1508" i="5"/>
  <c r="K1519" i="5"/>
  <c r="K1533" i="5"/>
  <c r="K1544" i="5"/>
  <c r="K1558" i="5"/>
  <c r="K1572" i="5"/>
  <c r="K1582" i="5"/>
  <c r="K1592" i="5"/>
  <c r="K1604" i="5"/>
  <c r="K1614" i="5"/>
  <c r="K1624" i="5"/>
  <c r="K1635" i="5"/>
  <c r="K1644" i="5"/>
  <c r="K1653" i="5"/>
  <c r="K1662" i="5"/>
  <c r="K1671" i="5"/>
  <c r="K1680" i="5"/>
  <c r="K1690" i="5"/>
  <c r="K1699" i="5"/>
  <c r="K1708" i="5"/>
  <c r="K1717" i="5"/>
  <c r="K1726" i="5"/>
  <c r="K1735" i="5"/>
  <c r="K1744" i="5"/>
  <c r="K1754" i="5"/>
  <c r="K1763" i="5"/>
  <c r="K1772" i="5"/>
  <c r="K1781" i="5"/>
  <c r="K1790" i="5"/>
  <c r="K1799" i="5"/>
  <c r="K1808" i="5"/>
  <c r="K1818" i="5"/>
  <c r="K1827" i="5"/>
  <c r="K1836" i="5"/>
  <c r="K1845" i="5"/>
  <c r="K1854" i="5"/>
  <c r="K1863" i="5"/>
  <c r="K1872" i="5"/>
  <c r="K1881" i="5"/>
  <c r="K1889" i="5"/>
  <c r="K1897" i="5"/>
  <c r="K1905" i="5"/>
  <c r="K1913" i="5"/>
  <c r="K1921" i="5"/>
  <c r="K1929" i="5"/>
  <c r="K1937" i="5"/>
  <c r="K1945" i="5"/>
  <c r="K1953" i="5"/>
  <c r="K1961" i="5"/>
  <c r="K1969" i="5"/>
  <c r="K39" i="5"/>
  <c r="K79" i="5"/>
  <c r="K119" i="5"/>
  <c r="K162" i="5"/>
  <c r="K202" i="5"/>
  <c r="K242" i="5"/>
  <c r="K282" i="5"/>
  <c r="K322" i="5"/>
  <c r="K368" i="5"/>
  <c r="K408" i="5"/>
  <c r="K448" i="5"/>
  <c r="K488" i="5"/>
  <c r="K528" i="5"/>
  <c r="K574" i="5"/>
  <c r="K614" i="5"/>
  <c r="K652" i="5"/>
  <c r="K684" i="5"/>
  <c r="K709" i="5"/>
  <c r="K737" i="5"/>
  <c r="K762" i="5"/>
  <c r="K787" i="5"/>
  <c r="K812" i="5"/>
  <c r="K837" i="5"/>
  <c r="K865" i="5"/>
  <c r="K890" i="5"/>
  <c r="K915" i="5"/>
  <c r="K938" i="5"/>
  <c r="K956" i="5"/>
  <c r="K975" i="5"/>
  <c r="K993" i="5"/>
  <c r="K1005" i="5"/>
  <c r="K1021" i="5"/>
  <c r="K1036" i="5"/>
  <c r="K1047" i="5"/>
  <c r="K1061" i="5"/>
  <c r="K1072" i="5"/>
  <c r="K1086" i="5"/>
  <c r="K1100" i="5"/>
  <c r="K1111" i="5"/>
  <c r="K1125" i="5"/>
  <c r="K1136" i="5"/>
  <c r="K1150" i="5"/>
  <c r="K1164" i="5"/>
  <c r="K1175" i="5"/>
  <c r="K1189" i="5"/>
  <c r="K1200" i="5"/>
  <c r="K1214" i="5"/>
  <c r="K1228" i="5"/>
  <c r="K1239" i="5"/>
  <c r="K1253" i="5"/>
  <c r="K1264" i="5"/>
  <c r="K1278" i="5"/>
  <c r="K1292" i="5"/>
  <c r="K1303" i="5"/>
  <c r="K1317" i="5"/>
  <c r="K1328" i="5"/>
  <c r="K1342" i="5"/>
  <c r="K1356" i="5"/>
  <c r="K1367" i="5"/>
  <c r="K1381" i="5"/>
  <c r="K1392" i="5"/>
  <c r="K1406" i="5"/>
  <c r="K1420" i="5"/>
  <c r="K1431" i="5"/>
  <c r="K1445" i="5"/>
  <c r="K1456" i="5"/>
  <c r="K1470" i="5"/>
  <c r="K1484" i="5"/>
  <c r="K1495" i="5"/>
  <c r="K1509" i="5"/>
  <c r="K1520" i="5"/>
  <c r="K1534" i="5"/>
  <c r="K1548" i="5"/>
  <c r="K1559" i="5"/>
  <c r="K1573" i="5"/>
  <c r="K1583" i="5"/>
  <c r="K1595" i="5"/>
  <c r="K1605" i="5"/>
  <c r="K1615" i="5"/>
  <c r="K1627" i="5"/>
  <c r="K1636" i="5"/>
  <c r="K1645" i="5"/>
  <c r="K1654" i="5"/>
  <c r="K1663" i="5"/>
  <c r="K1672" i="5"/>
  <c r="K40" i="5"/>
  <c r="K126" i="5"/>
  <c r="K206" i="5"/>
  <c r="K286" i="5"/>
  <c r="K369" i="5"/>
  <c r="K449" i="5"/>
  <c r="K535" i="5"/>
  <c r="K615" i="5"/>
  <c r="K685" i="5"/>
  <c r="K738" i="5"/>
  <c r="K788" i="5"/>
  <c r="K841" i="5"/>
  <c r="K891" i="5"/>
  <c r="K939" i="5"/>
  <c r="K976" i="5"/>
  <c r="K1010" i="5"/>
  <c r="K1037" i="5"/>
  <c r="K1062" i="5"/>
  <c r="K1087" i="5"/>
  <c r="K1112" i="5"/>
  <c r="K1140" i="5"/>
  <c r="K1165" i="5"/>
  <c r="K1190" i="5"/>
  <c r="K1215" i="5"/>
  <c r="K1240" i="5"/>
  <c r="K1268" i="5"/>
  <c r="K1293" i="5"/>
  <c r="K1318" i="5"/>
  <c r="K1343" i="5"/>
  <c r="K1368" i="5"/>
  <c r="K1396" i="5"/>
  <c r="K1421" i="5"/>
  <c r="K1446" i="5"/>
  <c r="K1471" i="5"/>
  <c r="K1496" i="5"/>
  <c r="K1524" i="5"/>
  <c r="K1549" i="5"/>
  <c r="K1574" i="5"/>
  <c r="K1596" i="5"/>
  <c r="K1616" i="5"/>
  <c r="K1637" i="5"/>
  <c r="K1655" i="5"/>
  <c r="K1674" i="5"/>
  <c r="K1686" i="5"/>
  <c r="K1702" i="5"/>
  <c r="K1718" i="5"/>
  <c r="K1731" i="5"/>
  <c r="K1747" i="5"/>
  <c r="K1759" i="5"/>
  <c r="K1775" i="5"/>
  <c r="K1791" i="5"/>
  <c r="K1804" i="5"/>
  <c r="K1820" i="5"/>
  <c r="K1832" i="5"/>
  <c r="K1848" i="5"/>
  <c r="K1864" i="5"/>
  <c r="K1877" i="5"/>
  <c r="K1891" i="5"/>
  <c r="K1902" i="5"/>
  <c r="K1916" i="5"/>
  <c r="K1930" i="5"/>
  <c r="K1941" i="5"/>
  <c r="K1955" i="5"/>
  <c r="K1966" i="5"/>
  <c r="K1979" i="5"/>
  <c r="K1989" i="5"/>
  <c r="K1998" i="5"/>
  <c r="K2008" i="5"/>
  <c r="K2017" i="5"/>
  <c r="K2026" i="5"/>
  <c r="K2035" i="5"/>
  <c r="K2044" i="5"/>
  <c r="K2053" i="5"/>
  <c r="K2061" i="5"/>
  <c r="K2069" i="5"/>
  <c r="K2077" i="5"/>
  <c r="K2085" i="5"/>
  <c r="K2093" i="5"/>
  <c r="K2101" i="5"/>
  <c r="K2109" i="5"/>
  <c r="K2117" i="5"/>
  <c r="K2125" i="5"/>
  <c r="K2133" i="5"/>
  <c r="K2141" i="5"/>
  <c r="K2149" i="5"/>
  <c r="K2157" i="5"/>
  <c r="K2165" i="5"/>
  <c r="K2173" i="5"/>
  <c r="K2181" i="5"/>
  <c r="K2189" i="5"/>
  <c r="K2197" i="5"/>
  <c r="K2205" i="5"/>
  <c r="K2213" i="5"/>
  <c r="K2221" i="5"/>
  <c r="K2229" i="5"/>
  <c r="K2237" i="5"/>
  <c r="K2245" i="5"/>
  <c r="K2253" i="5"/>
  <c r="K2261" i="5"/>
  <c r="K2269" i="5"/>
  <c r="K2277" i="5"/>
  <c r="K2285" i="5"/>
  <c r="K2293" i="5"/>
  <c r="K2301" i="5"/>
  <c r="K2309" i="5"/>
  <c r="K2317" i="5"/>
  <c r="K2325" i="5"/>
  <c r="K2333" i="5"/>
  <c r="K2341" i="5"/>
  <c r="K2349" i="5"/>
  <c r="K2357" i="5"/>
  <c r="K2365" i="5"/>
  <c r="K2373" i="5"/>
  <c r="K2381" i="5"/>
  <c r="K2389" i="5"/>
  <c r="K2397" i="5"/>
  <c r="K2405" i="5"/>
  <c r="K2413" i="5"/>
  <c r="K2421" i="5"/>
  <c r="K2429" i="5"/>
  <c r="K2437" i="5"/>
  <c r="K2445" i="5"/>
  <c r="K2453" i="5"/>
  <c r="K2461" i="5"/>
  <c r="K2469" i="5"/>
  <c r="K2477" i="5"/>
  <c r="K2485" i="5"/>
  <c r="K2493" i="5"/>
  <c r="K2501" i="5"/>
  <c r="K2509" i="5"/>
  <c r="K2517" i="5"/>
  <c r="K2525" i="5"/>
  <c r="K2533" i="5"/>
  <c r="K2541" i="5"/>
  <c r="K2549" i="5"/>
  <c r="K2557" i="5"/>
  <c r="K2565" i="5"/>
  <c r="K2573" i="5"/>
  <c r="K2581" i="5"/>
  <c r="K2589" i="5"/>
  <c r="K2597" i="5"/>
  <c r="K2605" i="5"/>
  <c r="K2613" i="5"/>
  <c r="K2621" i="5"/>
  <c r="K2629" i="5"/>
  <c r="K2637" i="5"/>
  <c r="K2645" i="5"/>
  <c r="K2653" i="5"/>
  <c r="K2661" i="5"/>
  <c r="K2669" i="5"/>
  <c r="K2677" i="5"/>
  <c r="K2685" i="5"/>
  <c r="K2693" i="5"/>
  <c r="K2701" i="5"/>
  <c r="K2709" i="5"/>
  <c r="K2717" i="5"/>
  <c r="K2725" i="5"/>
  <c r="K2733" i="5"/>
  <c r="K2741" i="5"/>
  <c r="K2749" i="5"/>
  <c r="K2757" i="5"/>
  <c r="K2765" i="5"/>
  <c r="K2773" i="5"/>
  <c r="K2781" i="5"/>
  <c r="K2789" i="5"/>
  <c r="K2797" i="5"/>
  <c r="K2805" i="5"/>
  <c r="K2813" i="5"/>
  <c r="K2821" i="5"/>
  <c r="K2829" i="5"/>
  <c r="K2837" i="5"/>
  <c r="K2845" i="5"/>
  <c r="K2853" i="5"/>
  <c r="K2861" i="5"/>
  <c r="K2869" i="5"/>
  <c r="K2877" i="5"/>
  <c r="K2885" i="5"/>
  <c r="K2893" i="5"/>
  <c r="K2901" i="5"/>
  <c r="K2909" i="5"/>
  <c r="K2917" i="5"/>
  <c r="K2925" i="5"/>
  <c r="K2933" i="5"/>
  <c r="K2941" i="5"/>
  <c r="K2949" i="5"/>
  <c r="K2957" i="5"/>
  <c r="K41" i="5"/>
  <c r="K127" i="5"/>
  <c r="K207" i="5"/>
  <c r="K290" i="5"/>
  <c r="K370" i="5"/>
  <c r="K450" i="5"/>
  <c r="K536" i="5"/>
  <c r="K616" i="5"/>
  <c r="K689" i="5"/>
  <c r="K739" i="5"/>
  <c r="K789" i="5"/>
  <c r="K842" i="5"/>
  <c r="K892" i="5"/>
  <c r="K940" i="5"/>
  <c r="K977" i="5"/>
  <c r="K1011" i="5"/>
  <c r="K1038" i="5"/>
  <c r="K1063" i="5"/>
  <c r="K1088" i="5"/>
  <c r="K1116" i="5"/>
  <c r="K1141" i="5"/>
  <c r="K1166" i="5"/>
  <c r="K1191" i="5"/>
  <c r="K1216" i="5"/>
  <c r="K1244" i="5"/>
  <c r="K1269" i="5"/>
  <c r="K1294" i="5"/>
  <c r="K1319" i="5"/>
  <c r="K1344" i="5"/>
  <c r="K1372" i="5"/>
  <c r="K1397" i="5"/>
  <c r="K1422" i="5"/>
  <c r="K1447" i="5"/>
  <c r="K1472" i="5"/>
  <c r="K1500" i="5"/>
  <c r="K1525" i="5"/>
  <c r="K1550" i="5"/>
  <c r="K1575" i="5"/>
  <c r="K1597" i="5"/>
  <c r="K1619" i="5"/>
  <c r="K1638" i="5"/>
  <c r="K1656" i="5"/>
  <c r="K1675" i="5"/>
  <c r="K1691" i="5"/>
  <c r="K1703" i="5"/>
  <c r="K1719" i="5"/>
  <c r="K1732" i="5"/>
  <c r="K1748" i="5"/>
  <c r="K1764" i="5"/>
  <c r="K1776" i="5"/>
  <c r="K1792" i="5"/>
  <c r="K1805" i="5"/>
  <c r="K1821" i="5"/>
  <c r="K1837" i="5"/>
  <c r="K1850" i="5"/>
  <c r="K1866" i="5"/>
  <c r="K1878" i="5"/>
  <c r="K1892" i="5"/>
  <c r="K1906" i="5"/>
  <c r="K1917" i="5"/>
  <c r="K1931" i="5"/>
  <c r="K1942" i="5"/>
  <c r="K1956" i="5"/>
  <c r="K1970" i="5"/>
  <c r="K1980" i="5"/>
  <c r="K1990" i="5"/>
  <c r="K2000" i="5"/>
  <c r="K2009" i="5"/>
  <c r="K2018" i="5"/>
  <c r="K2027" i="5"/>
  <c r="K2036" i="5"/>
  <c r="K2045" i="5"/>
  <c r="K2054" i="5"/>
  <c r="K2062" i="5"/>
  <c r="K2070" i="5"/>
  <c r="K2078" i="5"/>
  <c r="K2086" i="5"/>
  <c r="K2094" i="5"/>
  <c r="K2102" i="5"/>
  <c r="K2110" i="5"/>
  <c r="K2118" i="5"/>
  <c r="K2126" i="5"/>
  <c r="K2134" i="5"/>
  <c r="K2142" i="5"/>
  <c r="K2150" i="5"/>
  <c r="K2158" i="5"/>
  <c r="K2166" i="5"/>
  <c r="K2174" i="5"/>
  <c r="K2182" i="5"/>
  <c r="K2190" i="5"/>
  <c r="K2198" i="5"/>
  <c r="K2206" i="5"/>
  <c r="K2214" i="5"/>
  <c r="K2222" i="5"/>
  <c r="K2230" i="5"/>
  <c r="K2238" i="5"/>
  <c r="K2246" i="5"/>
  <c r="K2254" i="5"/>
  <c r="K2262" i="5"/>
  <c r="K2270" i="5"/>
  <c r="K2278" i="5"/>
  <c r="K2286" i="5"/>
  <c r="K2294" i="5"/>
  <c r="K2302" i="5"/>
  <c r="K2310" i="5"/>
  <c r="K2318" i="5"/>
  <c r="K2326" i="5"/>
  <c r="K2334" i="5"/>
  <c r="K2342" i="5"/>
  <c r="K2350" i="5"/>
  <c r="K2358" i="5"/>
  <c r="K2366" i="5"/>
  <c r="K2374" i="5"/>
  <c r="K2382" i="5"/>
  <c r="K2390" i="5"/>
  <c r="K2398" i="5"/>
  <c r="K2406" i="5"/>
  <c r="K2414" i="5"/>
  <c r="K2422" i="5"/>
  <c r="K2430" i="5"/>
  <c r="K2438" i="5"/>
  <c r="K2446" i="5"/>
  <c r="K2454" i="5"/>
  <c r="K2462" i="5"/>
  <c r="K2470" i="5"/>
  <c r="K2478" i="5"/>
  <c r="K2486" i="5"/>
  <c r="K2494" i="5"/>
  <c r="K2502" i="5"/>
  <c r="K2510" i="5"/>
  <c r="K2518" i="5"/>
  <c r="K2526" i="5"/>
  <c r="K2534" i="5"/>
  <c r="K2542" i="5"/>
  <c r="K2550" i="5"/>
  <c r="K2558" i="5"/>
  <c r="K2566" i="5"/>
  <c r="K2574" i="5"/>
  <c r="K2582" i="5"/>
  <c r="K2590" i="5"/>
  <c r="K2598" i="5"/>
  <c r="K2606" i="5"/>
  <c r="K2614" i="5"/>
  <c r="K2622" i="5"/>
  <c r="K2630" i="5"/>
  <c r="K2638" i="5"/>
  <c r="K2646" i="5"/>
  <c r="K2654" i="5"/>
  <c r="K2662" i="5"/>
  <c r="K2670" i="5"/>
  <c r="K2678" i="5"/>
  <c r="K2686" i="5"/>
  <c r="K2694" i="5"/>
  <c r="K2702" i="5"/>
  <c r="K2710" i="5"/>
  <c r="K2718" i="5"/>
  <c r="K2726" i="5"/>
  <c r="K2734" i="5"/>
  <c r="K2742" i="5"/>
  <c r="K2750" i="5"/>
  <c r="K2758" i="5"/>
  <c r="K48" i="5"/>
  <c r="K128" i="5"/>
  <c r="K208" i="5"/>
  <c r="K294" i="5"/>
  <c r="K374" i="5"/>
  <c r="K457" i="5"/>
  <c r="K537" i="5"/>
  <c r="K617" i="5"/>
  <c r="K690" i="5"/>
  <c r="K740" i="5"/>
  <c r="K793" i="5"/>
  <c r="K843" i="5"/>
  <c r="K893" i="5"/>
  <c r="K941" i="5"/>
  <c r="K978" i="5"/>
  <c r="K1012" i="5"/>
  <c r="K1039" i="5"/>
  <c r="K1064" i="5"/>
  <c r="K1092" i="5"/>
  <c r="K1117" i="5"/>
  <c r="K1142" i="5"/>
  <c r="K1167" i="5"/>
  <c r="K1192" i="5"/>
  <c r="K1220" i="5"/>
  <c r="K1245" i="5"/>
  <c r="K1270" i="5"/>
  <c r="K1295" i="5"/>
  <c r="K1320" i="5"/>
  <c r="K1348" i="5"/>
  <c r="K1373" i="5"/>
  <c r="K1398" i="5"/>
  <c r="K1423" i="5"/>
  <c r="K1448" i="5"/>
  <c r="K1476" i="5"/>
  <c r="K1501" i="5"/>
  <c r="K1526" i="5"/>
  <c r="K1551" i="5"/>
  <c r="K1576" i="5"/>
  <c r="K1598" i="5"/>
  <c r="K1620" i="5"/>
  <c r="K1639" i="5"/>
  <c r="K1658" i="5"/>
  <c r="K1676" i="5"/>
  <c r="K1692" i="5"/>
  <c r="K1704" i="5"/>
  <c r="K1720" i="5"/>
  <c r="K1736" i="5"/>
  <c r="K1749" i="5"/>
  <c r="K1765" i="5"/>
  <c r="K1778" i="5"/>
  <c r="K1794" i="5"/>
  <c r="K1810" i="5"/>
  <c r="K1822" i="5"/>
  <c r="K1838" i="5"/>
  <c r="K1851" i="5"/>
  <c r="K1867" i="5"/>
  <c r="K1882" i="5"/>
  <c r="K1893" i="5"/>
  <c r="K1907" i="5"/>
  <c r="K1918" i="5"/>
  <c r="K1932" i="5"/>
  <c r="K1946" i="5"/>
  <c r="K1957" i="5"/>
  <c r="K1971" i="5"/>
  <c r="K1981" i="5"/>
  <c r="K1992" i="5"/>
  <c r="K2001" i="5"/>
  <c r="K2010" i="5"/>
  <c r="K2019" i="5"/>
  <c r="K2028" i="5"/>
  <c r="K2037" i="5"/>
  <c r="K2046" i="5"/>
  <c r="K2055" i="5"/>
  <c r="K2063" i="5"/>
  <c r="K2071" i="5"/>
  <c r="K2079" i="5"/>
  <c r="K2087" i="5"/>
  <c r="K2095" i="5"/>
  <c r="K2103" i="5"/>
  <c r="K2111" i="5"/>
  <c r="K2119" i="5"/>
  <c r="K2127" i="5"/>
  <c r="K2135" i="5"/>
  <c r="K2143" i="5"/>
  <c r="K2151" i="5"/>
  <c r="K2159" i="5"/>
  <c r="K2167" i="5"/>
  <c r="K2175" i="5"/>
  <c r="K2183" i="5"/>
  <c r="K2191" i="5"/>
  <c r="K2199" i="5"/>
  <c r="K2207" i="5"/>
  <c r="K2215" i="5"/>
  <c r="K2223" i="5"/>
  <c r="K2231" i="5"/>
  <c r="K2239" i="5"/>
  <c r="K2247" i="5"/>
  <c r="K2255" i="5"/>
  <c r="K2263" i="5"/>
  <c r="K2271" i="5"/>
  <c r="K2279" i="5"/>
  <c r="K2287" i="5"/>
  <c r="K2295" i="5"/>
  <c r="K2303" i="5"/>
  <c r="K2311" i="5"/>
  <c r="K2319" i="5"/>
  <c r="K2327" i="5"/>
  <c r="K2335" i="5"/>
  <c r="K2343" i="5"/>
  <c r="K2351" i="5"/>
  <c r="K2359" i="5"/>
  <c r="K2367" i="5"/>
  <c r="K2375" i="5"/>
  <c r="K2383" i="5"/>
  <c r="K2391" i="5"/>
  <c r="K2399" i="5"/>
  <c r="K2407" i="5"/>
  <c r="K2415" i="5"/>
  <c r="K2423" i="5"/>
  <c r="K2431" i="5"/>
  <c r="K2439" i="5"/>
  <c r="K2447" i="5"/>
  <c r="K2455" i="5"/>
  <c r="K2463" i="5"/>
  <c r="K2471" i="5"/>
  <c r="K2479" i="5"/>
  <c r="K2487" i="5"/>
  <c r="K2495" i="5"/>
  <c r="K2503" i="5"/>
  <c r="K2511" i="5"/>
  <c r="K2519" i="5"/>
  <c r="K2527" i="5"/>
  <c r="K2535" i="5"/>
  <c r="K2543" i="5"/>
  <c r="K2551" i="5"/>
  <c r="K2559" i="5"/>
  <c r="K2567" i="5"/>
  <c r="K2575" i="5"/>
  <c r="K2583" i="5"/>
  <c r="K2591" i="5"/>
  <c r="K2599" i="5"/>
  <c r="K2607" i="5"/>
  <c r="K2615" i="5"/>
  <c r="K2623" i="5"/>
  <c r="K2631" i="5"/>
  <c r="K2639" i="5"/>
  <c r="K2647" i="5"/>
  <c r="K62" i="5"/>
  <c r="K142" i="5"/>
  <c r="K222" i="5"/>
  <c r="K305" i="5"/>
  <c r="K385" i="5"/>
  <c r="K471" i="5"/>
  <c r="K551" i="5"/>
  <c r="K631" i="5"/>
  <c r="K698" i="5"/>
  <c r="K748" i="5"/>
  <c r="K801" i="5"/>
  <c r="K851" i="5"/>
  <c r="K901" i="5"/>
  <c r="K947" i="5"/>
  <c r="K984" i="5"/>
  <c r="K1013" i="5"/>
  <c r="K1040" i="5"/>
  <c r="K1068" i="5"/>
  <c r="K1093" i="5"/>
  <c r="K1118" i="5"/>
  <c r="K1143" i="5"/>
  <c r="K1168" i="5"/>
  <c r="K1196" i="5"/>
  <c r="K1221" i="5"/>
  <c r="K1246" i="5"/>
  <c r="K1271" i="5"/>
  <c r="K1296" i="5"/>
  <c r="K1324" i="5"/>
  <c r="K1349" i="5"/>
  <c r="K1374" i="5"/>
  <c r="K1399" i="5"/>
  <c r="K1424" i="5"/>
  <c r="K1452" i="5"/>
  <c r="K1477" i="5"/>
  <c r="K1502" i="5"/>
  <c r="K1527" i="5"/>
  <c r="K1552" i="5"/>
  <c r="K1579" i="5"/>
  <c r="K1599" i="5"/>
  <c r="K1621" i="5"/>
  <c r="K1640" i="5"/>
  <c r="K1659" i="5"/>
  <c r="K1677" i="5"/>
  <c r="K1693" i="5"/>
  <c r="K1709" i="5"/>
  <c r="K1722" i="5"/>
  <c r="K1738" i="5"/>
  <c r="K1750" i="5"/>
  <c r="K1766" i="5"/>
  <c r="K1782" i="5"/>
  <c r="K1795" i="5"/>
  <c r="K1811" i="5"/>
  <c r="K1823" i="5"/>
  <c r="K1839" i="5"/>
  <c r="K1855" i="5"/>
  <c r="K1868" i="5"/>
  <c r="K1883" i="5"/>
  <c r="K1894" i="5"/>
  <c r="K1908" i="5"/>
  <c r="K1922" i="5"/>
  <c r="K1933" i="5"/>
  <c r="K1947" i="5"/>
  <c r="K1958" i="5"/>
  <c r="K1972" i="5"/>
  <c r="K1982" i="5"/>
  <c r="K1993" i="5"/>
  <c r="K2002" i="5"/>
  <c r="K2011" i="5"/>
  <c r="K2020" i="5"/>
  <c r="K2029" i="5"/>
  <c r="K2038" i="5"/>
  <c r="K2048" i="5"/>
  <c r="K2056" i="5"/>
  <c r="K2064" i="5"/>
  <c r="K2072" i="5"/>
  <c r="K2080" i="5"/>
  <c r="K2088" i="5"/>
  <c r="K2096" i="5"/>
  <c r="K2104" i="5"/>
  <c r="K2112" i="5"/>
  <c r="K2120" i="5"/>
  <c r="K2128" i="5"/>
  <c r="K2136" i="5"/>
  <c r="K2144" i="5"/>
  <c r="K2152" i="5"/>
  <c r="K2160" i="5"/>
  <c r="K2168" i="5"/>
  <c r="K2176" i="5"/>
  <c r="K2184" i="5"/>
  <c r="K2192" i="5"/>
  <c r="K2200" i="5"/>
  <c r="K2208" i="5"/>
  <c r="K2216" i="5"/>
  <c r="K2224" i="5"/>
  <c r="K2232" i="5"/>
  <c r="K2240" i="5"/>
  <c r="K2248" i="5"/>
  <c r="K2256" i="5"/>
  <c r="K2264" i="5"/>
  <c r="K2272" i="5"/>
  <c r="K2280" i="5"/>
  <c r="K2288" i="5"/>
  <c r="K2296" i="5"/>
  <c r="K2304" i="5"/>
  <c r="K2312" i="5"/>
  <c r="K2320" i="5"/>
  <c r="K2328" i="5"/>
  <c r="K2336" i="5"/>
  <c r="K2344" i="5"/>
  <c r="K2352" i="5"/>
  <c r="K2360" i="5"/>
  <c r="K2368" i="5"/>
  <c r="K2376" i="5"/>
  <c r="K2384" i="5"/>
  <c r="K2392" i="5"/>
  <c r="K2400" i="5"/>
  <c r="K2408" i="5"/>
  <c r="K2416" i="5"/>
  <c r="K2424" i="5"/>
  <c r="K2432" i="5"/>
  <c r="K2440" i="5"/>
  <c r="K2448" i="5"/>
  <c r="K2456" i="5"/>
  <c r="K2464" i="5"/>
  <c r="K2472" i="5"/>
  <c r="K2480" i="5"/>
  <c r="K2488" i="5"/>
  <c r="K2496" i="5"/>
  <c r="K2504" i="5"/>
  <c r="K2512" i="5"/>
  <c r="K2520" i="5"/>
  <c r="K2528" i="5"/>
  <c r="K2536" i="5"/>
  <c r="K2544" i="5"/>
  <c r="K2552" i="5"/>
  <c r="K2560" i="5"/>
  <c r="K2568" i="5"/>
  <c r="K2576" i="5"/>
  <c r="K2584" i="5"/>
  <c r="K2592" i="5"/>
  <c r="K2600" i="5"/>
  <c r="K2608" i="5"/>
  <c r="K2616" i="5"/>
  <c r="K2624" i="5"/>
  <c r="K2632" i="5"/>
  <c r="K2640" i="5"/>
  <c r="K2648" i="5"/>
  <c r="K2656" i="5"/>
  <c r="K2664" i="5"/>
  <c r="K2672" i="5"/>
  <c r="K2680" i="5"/>
  <c r="K2688" i="5"/>
  <c r="K2696" i="5"/>
  <c r="K2704" i="5"/>
  <c r="K2712" i="5"/>
  <c r="K2720" i="5"/>
  <c r="K2728" i="5"/>
  <c r="K2736" i="5"/>
  <c r="K2744" i="5"/>
  <c r="K2752" i="5"/>
  <c r="K2760" i="5"/>
  <c r="K2768" i="5"/>
  <c r="K2776" i="5"/>
  <c r="K2784" i="5"/>
  <c r="K2792" i="5"/>
  <c r="K2800" i="5"/>
  <c r="K2808" i="5"/>
  <c r="K2816" i="5"/>
  <c r="K2824" i="5"/>
  <c r="K2832" i="5"/>
  <c r="K88" i="5"/>
  <c r="K168" i="5"/>
  <c r="K254" i="5"/>
  <c r="K334" i="5"/>
  <c r="K414" i="5"/>
  <c r="K497" i="5"/>
  <c r="K577" i="5"/>
  <c r="K660" i="5"/>
  <c r="K715" i="5"/>
  <c r="K765" i="5"/>
  <c r="K818" i="5"/>
  <c r="K868" i="5"/>
  <c r="K921" i="5"/>
  <c r="K960" i="5"/>
  <c r="K996" i="5"/>
  <c r="K1028" i="5"/>
  <c r="K1053" i="5"/>
  <c r="K1078" i="5"/>
  <c r="K1103" i="5"/>
  <c r="K1128" i="5"/>
  <c r="K1156" i="5"/>
  <c r="K1181" i="5"/>
  <c r="K1206" i="5"/>
  <c r="K1231" i="5"/>
  <c r="K1256" i="5"/>
  <c r="K1284" i="5"/>
  <c r="K1309" i="5"/>
  <c r="K1334" i="5"/>
  <c r="K1359" i="5"/>
  <c r="K1384" i="5"/>
  <c r="K1412" i="5"/>
  <c r="K1437" i="5"/>
  <c r="K1462" i="5"/>
  <c r="K1487" i="5"/>
  <c r="K1512" i="5"/>
  <c r="K1540" i="5"/>
  <c r="K1565" i="5"/>
  <c r="K1588" i="5"/>
  <c r="K1608" i="5"/>
  <c r="K1630" i="5"/>
  <c r="K1648" i="5"/>
  <c r="K1667" i="5"/>
  <c r="K1684" i="5"/>
  <c r="K1700" i="5"/>
  <c r="K80" i="5"/>
  <c r="K265" i="5"/>
  <c r="K496" i="5"/>
  <c r="K713" i="5"/>
  <c r="K826" i="5"/>
  <c r="K959" i="5"/>
  <c r="K1048" i="5"/>
  <c r="K1104" i="5"/>
  <c r="K1180" i="5"/>
  <c r="K1254" i="5"/>
  <c r="K1310" i="5"/>
  <c r="K1383" i="5"/>
  <c r="K1460" i="5"/>
  <c r="K1516" i="5"/>
  <c r="K1587" i="5"/>
  <c r="K1646" i="5"/>
  <c r="K1685" i="5"/>
  <c r="K1723" i="5"/>
  <c r="K1755" i="5"/>
  <c r="K1783" i="5"/>
  <c r="K1812" i="5"/>
  <c r="K1840" i="5"/>
  <c r="K1869" i="5"/>
  <c r="K1898" i="5"/>
  <c r="K1923" i="5"/>
  <c r="K1948" i="5"/>
  <c r="K1973" i="5"/>
  <c r="K1994" i="5"/>
  <c r="K2012" i="5"/>
  <c r="K2030" i="5"/>
  <c r="K2049" i="5"/>
  <c r="K2065" i="5"/>
  <c r="K2081" i="5"/>
  <c r="K2097" i="5"/>
  <c r="K2113" i="5"/>
  <c r="K2129" i="5"/>
  <c r="K2145" i="5"/>
  <c r="K2161" i="5"/>
  <c r="K2177" i="5"/>
  <c r="K2193" i="5"/>
  <c r="K2209" i="5"/>
  <c r="K2225" i="5"/>
  <c r="K2241" i="5"/>
  <c r="K2257" i="5"/>
  <c r="K2273" i="5"/>
  <c r="K2289" i="5"/>
  <c r="K2305" i="5"/>
  <c r="K2321" i="5"/>
  <c r="K2337" i="5"/>
  <c r="K2353" i="5"/>
  <c r="K2369" i="5"/>
  <c r="K2385" i="5"/>
  <c r="K2401" i="5"/>
  <c r="K2417" i="5"/>
  <c r="K2433" i="5"/>
  <c r="K2449" i="5"/>
  <c r="K2465" i="5"/>
  <c r="K2481" i="5"/>
  <c r="K2497" i="5"/>
  <c r="K2513" i="5"/>
  <c r="K2529" i="5"/>
  <c r="K2545" i="5"/>
  <c r="K2561" i="5"/>
  <c r="K2577" i="5"/>
  <c r="K2593" i="5"/>
  <c r="K2609" i="5"/>
  <c r="K2625" i="5"/>
  <c r="K2641" i="5"/>
  <c r="K2655" i="5"/>
  <c r="K2667" i="5"/>
  <c r="K2681" i="5"/>
  <c r="K2692" i="5"/>
  <c r="K2706" i="5"/>
  <c r="K2719" i="5"/>
  <c r="K2731" i="5"/>
  <c r="K2745" i="5"/>
  <c r="K2756" i="5"/>
  <c r="K2769" i="5"/>
  <c r="K2779" i="5"/>
  <c r="K2790" i="5"/>
  <c r="K2801" i="5"/>
  <c r="K2811" i="5"/>
  <c r="K2822" i="5"/>
  <c r="K2833" i="5"/>
  <c r="K2842" i="5"/>
  <c r="K2851" i="5"/>
  <c r="K2860" i="5"/>
  <c r="K2870" i="5"/>
  <c r="K2879" i="5"/>
  <c r="K2888" i="5"/>
  <c r="K2897" i="5"/>
  <c r="K2906" i="5"/>
  <c r="K2915" i="5"/>
  <c r="K2924" i="5"/>
  <c r="K2934" i="5"/>
  <c r="K2943" i="5"/>
  <c r="K2952" i="5"/>
  <c r="K2961" i="5"/>
  <c r="K2969" i="5"/>
  <c r="K2977" i="5"/>
  <c r="K2985" i="5"/>
  <c r="K2993" i="5"/>
  <c r="K3001" i="5"/>
  <c r="K3009" i="5"/>
  <c r="K3017" i="5"/>
  <c r="K3025" i="5"/>
  <c r="K3033" i="5"/>
  <c r="K3041" i="5"/>
  <c r="K3049" i="5"/>
  <c r="K3057" i="5"/>
  <c r="K3065" i="5"/>
  <c r="K3073" i="5"/>
  <c r="K3081" i="5"/>
  <c r="K3089" i="5"/>
  <c r="K3097" i="5"/>
  <c r="K3105" i="5"/>
  <c r="K3113" i="5"/>
  <c r="K3121" i="5"/>
  <c r="K3129" i="5"/>
  <c r="K3137" i="5"/>
  <c r="K3145" i="5"/>
  <c r="K3153" i="5"/>
  <c r="K3161" i="5"/>
  <c r="K3169" i="5"/>
  <c r="K3177" i="5"/>
  <c r="K3185" i="5"/>
  <c r="K3193" i="5"/>
  <c r="K3201" i="5"/>
  <c r="K3209" i="5"/>
  <c r="K3217" i="5"/>
  <c r="K3225" i="5"/>
  <c r="K3233" i="5"/>
  <c r="K3241" i="5"/>
  <c r="K3249" i="5"/>
  <c r="K3257" i="5"/>
  <c r="K3265" i="5"/>
  <c r="K3273" i="5"/>
  <c r="K3281" i="5"/>
  <c r="K3289" i="5"/>
  <c r="K3297" i="5"/>
  <c r="K3305" i="5"/>
  <c r="K3313" i="5"/>
  <c r="K3321" i="5"/>
  <c r="K3329" i="5"/>
  <c r="K3337" i="5"/>
  <c r="K3345" i="5"/>
  <c r="K3353" i="5"/>
  <c r="K3361" i="5"/>
  <c r="K3369" i="5"/>
  <c r="K3377" i="5"/>
  <c r="K3385" i="5"/>
  <c r="K3393" i="5"/>
  <c r="K3401" i="5"/>
  <c r="K3409" i="5"/>
  <c r="K3417" i="5"/>
  <c r="K3425" i="5"/>
  <c r="K3433" i="5"/>
  <c r="K3441" i="5"/>
  <c r="K3449" i="5"/>
  <c r="K3457" i="5"/>
  <c r="K3465" i="5"/>
  <c r="K3473" i="5"/>
  <c r="K3481" i="5"/>
  <c r="K3489" i="5"/>
  <c r="K3497" i="5"/>
  <c r="K3505" i="5"/>
  <c r="K3513" i="5"/>
  <c r="K3521" i="5"/>
  <c r="K3529" i="5"/>
  <c r="K3537" i="5"/>
  <c r="K3545" i="5"/>
  <c r="K87" i="5"/>
  <c r="K329" i="5"/>
  <c r="K511" i="5"/>
  <c r="K714" i="5"/>
  <c r="K866" i="5"/>
  <c r="K965" i="5"/>
  <c r="K1052" i="5"/>
  <c r="K1126" i="5"/>
  <c r="K1182" i="5"/>
  <c r="K1255" i="5"/>
  <c r="K1332" i="5"/>
  <c r="K1388" i="5"/>
  <c r="K1461" i="5"/>
  <c r="K1535" i="5"/>
  <c r="K1589" i="5"/>
  <c r="K1647" i="5"/>
  <c r="K1694" i="5"/>
  <c r="K1727" i="5"/>
  <c r="K1756" i="5"/>
  <c r="K1784" i="5"/>
  <c r="K1813" i="5"/>
  <c r="K1842" i="5"/>
  <c r="K1874" i="5"/>
  <c r="K1899" i="5"/>
  <c r="K1924" i="5"/>
  <c r="K1949" i="5"/>
  <c r="K1974" i="5"/>
  <c r="K1995" i="5"/>
  <c r="K2013" i="5"/>
  <c r="K2032" i="5"/>
  <c r="K2050" i="5"/>
  <c r="K2066" i="5"/>
  <c r="K2082" i="5"/>
  <c r="K2098" i="5"/>
  <c r="K2114" i="5"/>
  <c r="K2130" i="5"/>
  <c r="K2146" i="5"/>
  <c r="K2162" i="5"/>
  <c r="K2178" i="5"/>
  <c r="K2194" i="5"/>
  <c r="K2210" i="5"/>
  <c r="K2226" i="5"/>
  <c r="K2242" i="5"/>
  <c r="K2258" i="5"/>
  <c r="K2274" i="5"/>
  <c r="K2290" i="5"/>
  <c r="K2306" i="5"/>
  <c r="K2322" i="5"/>
  <c r="K2338" i="5"/>
  <c r="K2354" i="5"/>
  <c r="K2370" i="5"/>
  <c r="K2386" i="5"/>
  <c r="K2402" i="5"/>
  <c r="K2418" i="5"/>
  <c r="K2434" i="5"/>
  <c r="K2450" i="5"/>
  <c r="K2466" i="5"/>
  <c r="K2482" i="5"/>
  <c r="K2498" i="5"/>
  <c r="K2514" i="5"/>
  <c r="K2530" i="5"/>
  <c r="K2546" i="5"/>
  <c r="K2562" i="5"/>
  <c r="K2578" i="5"/>
  <c r="K2594" i="5"/>
  <c r="K2610" i="5"/>
  <c r="K2626" i="5"/>
  <c r="K2642" i="5"/>
  <c r="K2657" i="5"/>
  <c r="K2668" i="5"/>
  <c r="K2682" i="5"/>
  <c r="K2695" i="5"/>
  <c r="K2707" i="5"/>
  <c r="K2721" i="5"/>
  <c r="K2732" i="5"/>
  <c r="K2746" i="5"/>
  <c r="K2759" i="5"/>
  <c r="K2770" i="5"/>
  <c r="K2780" i="5"/>
  <c r="K2791" i="5"/>
  <c r="K2802" i="5"/>
  <c r="K2812" i="5"/>
  <c r="K2823" i="5"/>
  <c r="K2834" i="5"/>
  <c r="K2843" i="5"/>
  <c r="K2852" i="5"/>
  <c r="K2862" i="5"/>
  <c r="K2871" i="5"/>
  <c r="K2880" i="5"/>
  <c r="K2889" i="5"/>
  <c r="K2898" i="5"/>
  <c r="K2907" i="5"/>
  <c r="K2916" i="5"/>
  <c r="K2926" i="5"/>
  <c r="K2935" i="5"/>
  <c r="K2944" i="5"/>
  <c r="K2953" i="5"/>
  <c r="K2962" i="5"/>
  <c r="K2970" i="5"/>
  <c r="K2978" i="5"/>
  <c r="K2986" i="5"/>
  <c r="K2994" i="5"/>
  <c r="K3002" i="5"/>
  <c r="K3010" i="5"/>
  <c r="K3018" i="5"/>
  <c r="K3026" i="5"/>
  <c r="K3034" i="5"/>
  <c r="K3042" i="5"/>
  <c r="K3050" i="5"/>
  <c r="K3058" i="5"/>
  <c r="K3066" i="5"/>
  <c r="K3074" i="5"/>
  <c r="K3082" i="5"/>
  <c r="K3090" i="5"/>
  <c r="K3098" i="5"/>
  <c r="K3106" i="5"/>
  <c r="K3114" i="5"/>
  <c r="K3122" i="5"/>
  <c r="K3130" i="5"/>
  <c r="K3138" i="5"/>
  <c r="K3146" i="5"/>
  <c r="K3154" i="5"/>
  <c r="K3162" i="5"/>
  <c r="K3170" i="5"/>
  <c r="K3178" i="5"/>
  <c r="K3186" i="5"/>
  <c r="K3194" i="5"/>
  <c r="K3202" i="5"/>
  <c r="K3210" i="5"/>
  <c r="K3218" i="5"/>
  <c r="K3226" i="5"/>
  <c r="K3234" i="5"/>
  <c r="K3242" i="5"/>
  <c r="K3250" i="5"/>
  <c r="K3258" i="5"/>
  <c r="K3266" i="5"/>
  <c r="K3274" i="5"/>
  <c r="K3282" i="5"/>
  <c r="K3290" i="5"/>
  <c r="K3298" i="5"/>
  <c r="K3306" i="5"/>
  <c r="K3314" i="5"/>
  <c r="K3322" i="5"/>
  <c r="K3330" i="5"/>
  <c r="K3338" i="5"/>
  <c r="K3346" i="5"/>
  <c r="K3354" i="5"/>
  <c r="K3362" i="5"/>
  <c r="K3370" i="5"/>
  <c r="K3378" i="5"/>
  <c r="K3386" i="5"/>
  <c r="K3394" i="5"/>
  <c r="K3402" i="5"/>
  <c r="K3410" i="5"/>
  <c r="K3418" i="5"/>
  <c r="K3426" i="5"/>
  <c r="K3434" i="5"/>
  <c r="K3442" i="5"/>
  <c r="K3450" i="5"/>
  <c r="K3458" i="5"/>
  <c r="K3466" i="5"/>
  <c r="K3474" i="5"/>
  <c r="K3482" i="5"/>
  <c r="K3490" i="5"/>
  <c r="K3498" i="5"/>
  <c r="K3506" i="5"/>
  <c r="K3514" i="5"/>
  <c r="K3522" i="5"/>
  <c r="K3530" i="5"/>
  <c r="K3538" i="5"/>
  <c r="K102" i="5"/>
  <c r="K330" i="5"/>
  <c r="K575" i="5"/>
  <c r="K723" i="5"/>
  <c r="K867" i="5"/>
  <c r="K994" i="5"/>
  <c r="K1054" i="5"/>
  <c r="K1127" i="5"/>
  <c r="K1204" i="5"/>
  <c r="K1260" i="5"/>
  <c r="K1333" i="5"/>
  <c r="K1407" i="5"/>
  <c r="K1463" i="5"/>
  <c r="K1536" i="5"/>
  <c r="K1606" i="5"/>
  <c r="K1650" i="5"/>
  <c r="K1695" i="5"/>
  <c r="K1728" i="5"/>
  <c r="K1757" i="5"/>
  <c r="K1786" i="5"/>
  <c r="K1814" i="5"/>
  <c r="K1846" i="5"/>
  <c r="K1875" i="5"/>
  <c r="K1900" i="5"/>
  <c r="K1925" i="5"/>
  <c r="K1950" i="5"/>
  <c r="K1977" i="5"/>
  <c r="K1996" i="5"/>
  <c r="K2014" i="5"/>
  <c r="K2033" i="5"/>
  <c r="K2051" i="5"/>
  <c r="K2067" i="5"/>
  <c r="K2083" i="5"/>
  <c r="K2099" i="5"/>
  <c r="K2115" i="5"/>
  <c r="K2131" i="5"/>
  <c r="K2147" i="5"/>
  <c r="K2163" i="5"/>
  <c r="K2179" i="5"/>
  <c r="K2195" i="5"/>
  <c r="K2211" i="5"/>
  <c r="K2227" i="5"/>
  <c r="K2243" i="5"/>
  <c r="K2259" i="5"/>
  <c r="K2275" i="5"/>
  <c r="K2291" i="5"/>
  <c r="K2307" i="5"/>
  <c r="K2323" i="5"/>
  <c r="K2339" i="5"/>
  <c r="K2355" i="5"/>
  <c r="K2371" i="5"/>
  <c r="K2387" i="5"/>
  <c r="K2403" i="5"/>
  <c r="K2419" i="5"/>
  <c r="K2435" i="5"/>
  <c r="K2451" i="5"/>
  <c r="K2467" i="5"/>
  <c r="K2483" i="5"/>
  <c r="K2499" i="5"/>
  <c r="K2515" i="5"/>
  <c r="K2531" i="5"/>
  <c r="K2547" i="5"/>
  <c r="K2563" i="5"/>
  <c r="K2579" i="5"/>
  <c r="K2595" i="5"/>
  <c r="K2611" i="5"/>
  <c r="K2627" i="5"/>
  <c r="K2643" i="5"/>
  <c r="K2658" i="5"/>
  <c r="K2671" i="5"/>
  <c r="K2683" i="5"/>
  <c r="K2697" i="5"/>
  <c r="K2708" i="5"/>
  <c r="K2722" i="5"/>
  <c r="K2735" i="5"/>
  <c r="K2747" i="5"/>
  <c r="K2761" i="5"/>
  <c r="K2771" i="5"/>
  <c r="K2782" i="5"/>
  <c r="K2793" i="5"/>
  <c r="K2803" i="5"/>
  <c r="K2814" i="5"/>
  <c r="K2825" i="5"/>
  <c r="K2835" i="5"/>
  <c r="K2844" i="5"/>
  <c r="K2854" i="5"/>
  <c r="K2863" i="5"/>
  <c r="K2872" i="5"/>
  <c r="K2881" i="5"/>
  <c r="K2890" i="5"/>
  <c r="K2899" i="5"/>
  <c r="K2908" i="5"/>
  <c r="K2918" i="5"/>
  <c r="K2927" i="5"/>
  <c r="K2936" i="5"/>
  <c r="K2945" i="5"/>
  <c r="K2954" i="5"/>
  <c r="K2963" i="5"/>
  <c r="K2971" i="5"/>
  <c r="K2979" i="5"/>
  <c r="K2987" i="5"/>
  <c r="K2995" i="5"/>
  <c r="K3003" i="5"/>
  <c r="K3011" i="5"/>
  <c r="K3019" i="5"/>
  <c r="K3027" i="5"/>
  <c r="K3035" i="5"/>
  <c r="K3043" i="5"/>
  <c r="K3051" i="5"/>
  <c r="K3059" i="5"/>
  <c r="K3067" i="5"/>
  <c r="K3075" i="5"/>
  <c r="K3083" i="5"/>
  <c r="K3091" i="5"/>
  <c r="K3099" i="5"/>
  <c r="K3107" i="5"/>
  <c r="K3115" i="5"/>
  <c r="K3123" i="5"/>
  <c r="K3131" i="5"/>
  <c r="K3139" i="5"/>
  <c r="K3147" i="5"/>
  <c r="K3155" i="5"/>
  <c r="K3163" i="5"/>
  <c r="K3171" i="5"/>
  <c r="K3179" i="5"/>
  <c r="K3187" i="5"/>
  <c r="K3195" i="5"/>
  <c r="K3203" i="5"/>
  <c r="K3211" i="5"/>
  <c r="K3219" i="5"/>
  <c r="K3227" i="5"/>
  <c r="K3235" i="5"/>
  <c r="K3243" i="5"/>
  <c r="K3251" i="5"/>
  <c r="K3259" i="5"/>
  <c r="K3267" i="5"/>
  <c r="K3275" i="5"/>
  <c r="K3283" i="5"/>
  <c r="K3291" i="5"/>
  <c r="K3299" i="5"/>
  <c r="K3307" i="5"/>
  <c r="K3315" i="5"/>
  <c r="K3323" i="5"/>
  <c r="K3331" i="5"/>
  <c r="K3339" i="5"/>
  <c r="K3347" i="5"/>
  <c r="K3355" i="5"/>
  <c r="K3363" i="5"/>
  <c r="K3371" i="5"/>
  <c r="K3379" i="5"/>
  <c r="K3387" i="5"/>
  <c r="K3395" i="5"/>
  <c r="K3403" i="5"/>
  <c r="K3411" i="5"/>
  <c r="K3419" i="5"/>
  <c r="K3427" i="5"/>
  <c r="K3435" i="5"/>
  <c r="K3443" i="5"/>
  <c r="K3451" i="5"/>
  <c r="K3459" i="5"/>
  <c r="K3467" i="5"/>
  <c r="K3475" i="5"/>
  <c r="K3483" i="5"/>
  <c r="K3491" i="5"/>
  <c r="K3499" i="5"/>
  <c r="K3507" i="5"/>
  <c r="K3515" i="5"/>
  <c r="K3523" i="5"/>
  <c r="K166" i="5"/>
  <c r="K345" i="5"/>
  <c r="K576" i="5"/>
  <c r="K763" i="5"/>
  <c r="K876" i="5"/>
  <c r="K995" i="5"/>
  <c r="K1076" i="5"/>
  <c r="K1132" i="5"/>
  <c r="K1205" i="5"/>
  <c r="K1279" i="5"/>
  <c r="K1335" i="5"/>
  <c r="K1408" i="5"/>
  <c r="K1485" i="5"/>
  <c r="K1541" i="5"/>
  <c r="K1607" i="5"/>
  <c r="K1664" i="5"/>
  <c r="K1701" i="5"/>
  <c r="K1730" i="5"/>
  <c r="K1758" i="5"/>
  <c r="K1787" i="5"/>
  <c r="K1819" i="5"/>
  <c r="K1847" i="5"/>
  <c r="K1876" i="5"/>
  <c r="K1901" i="5"/>
  <c r="K1926" i="5"/>
  <c r="K1954" i="5"/>
  <c r="K1978" i="5"/>
  <c r="K1997" i="5"/>
  <c r="K2016" i="5"/>
  <c r="K2034" i="5"/>
  <c r="K2052" i="5"/>
  <c r="K2068" i="5"/>
  <c r="K2084" i="5"/>
  <c r="K2100" i="5"/>
  <c r="K2116" i="5"/>
  <c r="K2132" i="5"/>
  <c r="K2148" i="5"/>
  <c r="K2164" i="5"/>
  <c r="K2180" i="5"/>
  <c r="K2196" i="5"/>
  <c r="K2212" i="5"/>
  <c r="K2228" i="5"/>
  <c r="K2244" i="5"/>
  <c r="K2260" i="5"/>
  <c r="K2276" i="5"/>
  <c r="K2292" i="5"/>
  <c r="K2308" i="5"/>
  <c r="K2324" i="5"/>
  <c r="K2340" i="5"/>
  <c r="K2356" i="5"/>
  <c r="K2372" i="5"/>
  <c r="K2388" i="5"/>
  <c r="K2404" i="5"/>
  <c r="K2420" i="5"/>
  <c r="K2436" i="5"/>
  <c r="K2452" i="5"/>
  <c r="K2468" i="5"/>
  <c r="K2484" i="5"/>
  <c r="K2500" i="5"/>
  <c r="K2516" i="5"/>
  <c r="K2532" i="5"/>
  <c r="K2548" i="5"/>
  <c r="K2564" i="5"/>
  <c r="K2580" i="5"/>
  <c r="K2596" i="5"/>
  <c r="K2612" i="5"/>
  <c r="K2628" i="5"/>
  <c r="K2644" i="5"/>
  <c r="K2659" i="5"/>
  <c r="K2673" i="5"/>
  <c r="K2684" i="5"/>
  <c r="K2698" i="5"/>
  <c r="K2711" i="5"/>
  <c r="K2723" i="5"/>
  <c r="K2737" i="5"/>
  <c r="K2748" i="5"/>
  <c r="K2762" i="5"/>
  <c r="K2772" i="5"/>
  <c r="K2783" i="5"/>
  <c r="K2794" i="5"/>
  <c r="K2804" i="5"/>
  <c r="K2815" i="5"/>
  <c r="K2826" i="5"/>
  <c r="K2836" i="5"/>
  <c r="K2846" i="5"/>
  <c r="K2855" i="5"/>
  <c r="K2864" i="5"/>
  <c r="K2873" i="5"/>
  <c r="K2882" i="5"/>
  <c r="K2891" i="5"/>
  <c r="K2900" i="5"/>
  <c r="K2910" i="5"/>
  <c r="K2919" i="5"/>
  <c r="K2928" i="5"/>
  <c r="K2937" i="5"/>
  <c r="K2946" i="5"/>
  <c r="K2955" i="5"/>
  <c r="K2964" i="5"/>
  <c r="K2972" i="5"/>
  <c r="K2980" i="5"/>
  <c r="K2988" i="5"/>
  <c r="K2996" i="5"/>
  <c r="K3004" i="5"/>
  <c r="K3012" i="5"/>
  <c r="K3020" i="5"/>
  <c r="K3028" i="5"/>
  <c r="K3036" i="5"/>
  <c r="K3044" i="5"/>
  <c r="K3052" i="5"/>
  <c r="K3060" i="5"/>
  <c r="K3068" i="5"/>
  <c r="K3076" i="5"/>
  <c r="K3084" i="5"/>
  <c r="K3092" i="5"/>
  <c r="K3100" i="5"/>
  <c r="K3108" i="5"/>
  <c r="K3116" i="5"/>
  <c r="K3124" i="5"/>
  <c r="K3132" i="5"/>
  <c r="K3140" i="5"/>
  <c r="K3148" i="5"/>
  <c r="K3156" i="5"/>
  <c r="K3164" i="5"/>
  <c r="K3172" i="5"/>
  <c r="K3180" i="5"/>
  <c r="K3188" i="5"/>
  <c r="K3196" i="5"/>
  <c r="K3204" i="5"/>
  <c r="K3212" i="5"/>
  <c r="K3220" i="5"/>
  <c r="K3228" i="5"/>
  <c r="K3236" i="5"/>
  <c r="K3244" i="5"/>
  <c r="K3252" i="5"/>
  <c r="K3260" i="5"/>
  <c r="K3268" i="5"/>
  <c r="K3276" i="5"/>
  <c r="K3284" i="5"/>
  <c r="K3292" i="5"/>
  <c r="K3300" i="5"/>
  <c r="K3308" i="5"/>
  <c r="K3316" i="5"/>
  <c r="K3324" i="5"/>
  <c r="K3332" i="5"/>
  <c r="K3340" i="5"/>
  <c r="K3348" i="5"/>
  <c r="K3356" i="5"/>
  <c r="K3364" i="5"/>
  <c r="K3372" i="5"/>
  <c r="K3380" i="5"/>
  <c r="K3388" i="5"/>
  <c r="K3396" i="5"/>
  <c r="K3404" i="5"/>
  <c r="K3412" i="5"/>
  <c r="K3420" i="5"/>
  <c r="K3428" i="5"/>
  <c r="K3436" i="5"/>
  <c r="K3444" i="5"/>
  <c r="K3452" i="5"/>
  <c r="K3460" i="5"/>
  <c r="K3468" i="5"/>
  <c r="K3476" i="5"/>
  <c r="K3484" i="5"/>
  <c r="K3492" i="5"/>
  <c r="K3500" i="5"/>
  <c r="K3508" i="5"/>
  <c r="K3516" i="5"/>
  <c r="K3524" i="5"/>
  <c r="K167" i="5"/>
  <c r="K591" i="5"/>
  <c r="K916" i="5"/>
  <c r="K1077" i="5"/>
  <c r="K1207" i="5"/>
  <c r="K1357" i="5"/>
  <c r="K1486" i="5"/>
  <c r="K1611" i="5"/>
  <c r="K1710" i="5"/>
  <c r="K1767" i="5"/>
  <c r="K1828" i="5"/>
  <c r="K1884" i="5"/>
  <c r="K1934" i="5"/>
  <c r="K1985" i="5"/>
  <c r="K2021" i="5"/>
  <c r="K2057" i="5"/>
  <c r="K2089" i="5"/>
  <c r="K2121" i="5"/>
  <c r="K2153" i="5"/>
  <c r="K2185" i="5"/>
  <c r="K2217" i="5"/>
  <c r="K2249" i="5"/>
  <c r="K2281" i="5"/>
  <c r="K2313" i="5"/>
  <c r="K2345" i="5"/>
  <c r="K2377" i="5"/>
  <c r="K2409" i="5"/>
  <c r="K2441" i="5"/>
  <c r="K2473" i="5"/>
  <c r="K2505" i="5"/>
  <c r="K2537" i="5"/>
  <c r="K2569" i="5"/>
  <c r="K2601" i="5"/>
  <c r="K2633" i="5"/>
  <c r="K2660" i="5"/>
  <c r="K2687" i="5"/>
  <c r="K2713" i="5"/>
  <c r="K2738" i="5"/>
  <c r="K2763" i="5"/>
  <c r="K2785" i="5"/>
  <c r="K2806" i="5"/>
  <c r="K2827" i="5"/>
  <c r="K2847" i="5"/>
  <c r="K2865" i="5"/>
  <c r="K2883" i="5"/>
  <c r="K2902" i="5"/>
  <c r="K2920" i="5"/>
  <c r="K2938" i="5"/>
  <c r="K2956" i="5"/>
  <c r="K2973" i="5"/>
  <c r="K2989" i="5"/>
  <c r="K3005" i="5"/>
  <c r="K3021" i="5"/>
  <c r="K3037" i="5"/>
  <c r="K3053" i="5"/>
  <c r="K3069" i="5"/>
  <c r="K3085" i="5"/>
  <c r="K3101" i="5"/>
  <c r="K3117" i="5"/>
  <c r="K3133" i="5"/>
  <c r="K3149" i="5"/>
  <c r="K3165" i="5"/>
  <c r="K3181" i="5"/>
  <c r="K3197" i="5"/>
  <c r="K3213" i="5"/>
  <c r="K3229" i="5"/>
  <c r="K3245" i="5"/>
  <c r="K3261" i="5"/>
  <c r="K3277" i="5"/>
  <c r="K3293" i="5"/>
  <c r="K3309" i="5"/>
  <c r="K3325" i="5"/>
  <c r="K3341" i="5"/>
  <c r="K3357" i="5"/>
  <c r="K3373" i="5"/>
  <c r="K3389" i="5"/>
  <c r="K3405" i="5"/>
  <c r="K3421" i="5"/>
  <c r="K3437" i="5"/>
  <c r="K3453" i="5"/>
  <c r="K3469" i="5"/>
  <c r="K3485" i="5"/>
  <c r="K3501" i="5"/>
  <c r="K3517" i="5"/>
  <c r="K3531" i="5"/>
  <c r="K3541" i="5"/>
  <c r="K3550" i="5"/>
  <c r="K3558" i="5"/>
  <c r="K3566" i="5"/>
  <c r="K3574" i="5"/>
  <c r="K3582" i="5"/>
  <c r="K3590" i="5"/>
  <c r="K3598" i="5"/>
  <c r="K3606" i="5"/>
  <c r="K3614" i="5"/>
  <c r="K3622" i="5"/>
  <c r="K3630" i="5"/>
  <c r="K3638" i="5"/>
  <c r="K3646" i="5"/>
  <c r="K3654" i="5"/>
  <c r="K3662" i="5"/>
  <c r="K3670" i="5"/>
  <c r="K3678" i="5"/>
  <c r="K3686" i="5"/>
  <c r="K3694" i="5"/>
  <c r="K3702" i="5"/>
  <c r="K3710" i="5"/>
  <c r="K3718" i="5"/>
  <c r="K3726" i="5"/>
  <c r="K3734" i="5"/>
  <c r="K3742" i="5"/>
  <c r="K3750" i="5"/>
  <c r="K3758" i="5"/>
  <c r="K3766" i="5"/>
  <c r="K3774" i="5"/>
  <c r="K3782" i="5"/>
  <c r="K3790" i="5"/>
  <c r="K3798" i="5"/>
  <c r="K3806" i="5"/>
  <c r="K3814" i="5"/>
  <c r="K3822" i="5"/>
  <c r="K3830" i="5"/>
  <c r="K3838" i="5"/>
  <c r="K3846" i="5"/>
  <c r="K3854" i="5"/>
  <c r="K3862" i="5"/>
  <c r="K3870" i="5"/>
  <c r="K3878" i="5"/>
  <c r="K3886" i="5"/>
  <c r="K3894" i="5"/>
  <c r="K3902" i="5"/>
  <c r="K3910" i="5"/>
  <c r="K3918" i="5"/>
  <c r="K3926" i="5"/>
  <c r="K3934" i="5"/>
  <c r="K3942" i="5"/>
  <c r="K3950" i="5"/>
  <c r="K3958" i="5"/>
  <c r="K3966" i="5"/>
  <c r="K3974" i="5"/>
  <c r="K3982" i="5"/>
  <c r="K3990" i="5"/>
  <c r="K3998" i="5"/>
  <c r="K4006" i="5"/>
  <c r="K4014" i="5"/>
  <c r="K4022" i="5"/>
  <c r="K4030" i="5"/>
  <c r="K4038" i="5"/>
  <c r="K4046" i="5"/>
  <c r="K4054" i="5"/>
  <c r="K4062" i="5"/>
  <c r="K4070" i="5"/>
  <c r="K4078" i="5"/>
  <c r="K4086" i="5"/>
  <c r="K4094" i="5"/>
  <c r="K4102" i="5"/>
  <c r="K4110" i="5"/>
  <c r="K4118" i="5"/>
  <c r="K4126" i="5"/>
  <c r="K4134" i="5"/>
  <c r="K4142" i="5"/>
  <c r="K4150" i="5"/>
  <c r="K4158" i="5"/>
  <c r="K4166" i="5"/>
  <c r="K4174" i="5"/>
  <c r="K4182" i="5"/>
  <c r="K4190" i="5"/>
  <c r="K4198" i="5"/>
  <c r="K4206" i="5"/>
  <c r="K4214" i="5"/>
  <c r="K4222" i="5"/>
  <c r="K4230" i="5"/>
  <c r="K4238" i="5"/>
  <c r="K4246" i="5"/>
  <c r="K4254" i="5"/>
  <c r="K4262" i="5"/>
  <c r="K4270" i="5"/>
  <c r="K4278" i="5"/>
  <c r="K4286" i="5"/>
  <c r="K4294" i="5"/>
  <c r="K4302" i="5"/>
  <c r="K4310" i="5"/>
  <c r="K4318" i="5"/>
  <c r="K4326" i="5"/>
  <c r="K4334" i="5"/>
  <c r="K4342" i="5"/>
  <c r="K4350" i="5"/>
  <c r="K4358" i="5"/>
  <c r="K4366" i="5"/>
  <c r="K4374" i="5"/>
  <c r="K4382" i="5"/>
  <c r="K4390" i="5"/>
  <c r="K4398" i="5"/>
  <c r="K4406" i="5"/>
  <c r="K4414" i="5"/>
  <c r="K4422" i="5"/>
  <c r="K4430" i="5"/>
  <c r="K4438" i="5"/>
  <c r="K182" i="5"/>
  <c r="K654" i="5"/>
  <c r="K917" i="5"/>
  <c r="K1079" i="5"/>
  <c r="K1229" i="5"/>
  <c r="K1358" i="5"/>
  <c r="K1488" i="5"/>
  <c r="K1628" i="5"/>
  <c r="K1711" i="5"/>
  <c r="K1768" i="5"/>
  <c r="K1829" i="5"/>
  <c r="K1885" i="5"/>
  <c r="K1938" i="5"/>
  <c r="K1986" i="5"/>
  <c r="K2022" i="5"/>
  <c r="K2058" i="5"/>
  <c r="K2090" i="5"/>
  <c r="K2122" i="5"/>
  <c r="K2154" i="5"/>
  <c r="K2186" i="5"/>
  <c r="K2218" i="5"/>
  <c r="K2250" i="5"/>
  <c r="K2282" i="5"/>
  <c r="K2314" i="5"/>
  <c r="K2346" i="5"/>
  <c r="K2378" i="5"/>
  <c r="K2410" i="5"/>
  <c r="K2442" i="5"/>
  <c r="K2474" i="5"/>
  <c r="K2506" i="5"/>
  <c r="K2538" i="5"/>
  <c r="K2570" i="5"/>
  <c r="K2602" i="5"/>
  <c r="K2634" i="5"/>
  <c r="K2663" i="5"/>
  <c r="K2689" i="5"/>
  <c r="K2714" i="5"/>
  <c r="K2739" i="5"/>
  <c r="K2764" i="5"/>
  <c r="K2786" i="5"/>
  <c r="K2807" i="5"/>
  <c r="K2828" i="5"/>
  <c r="K2848" i="5"/>
  <c r="K2866" i="5"/>
  <c r="K2884" i="5"/>
  <c r="K2903" i="5"/>
  <c r="K2921" i="5"/>
  <c r="K2939" i="5"/>
  <c r="K2958" i="5"/>
  <c r="K2974" i="5"/>
  <c r="K2990" i="5"/>
  <c r="K3006" i="5"/>
  <c r="K3022" i="5"/>
  <c r="K3038" i="5"/>
  <c r="K3054" i="5"/>
  <c r="K3070" i="5"/>
  <c r="K3086" i="5"/>
  <c r="K3102" i="5"/>
  <c r="K3118" i="5"/>
  <c r="K3134" i="5"/>
  <c r="K3150" i="5"/>
  <c r="K3166" i="5"/>
  <c r="K3182" i="5"/>
  <c r="K3198" i="5"/>
  <c r="K3214" i="5"/>
  <c r="K3230" i="5"/>
  <c r="K3246" i="5"/>
  <c r="K3262" i="5"/>
  <c r="K3278" i="5"/>
  <c r="K3294" i="5"/>
  <c r="K3310" i="5"/>
  <c r="K3326" i="5"/>
  <c r="K3342" i="5"/>
  <c r="K3358" i="5"/>
  <c r="K3374" i="5"/>
  <c r="K3390" i="5"/>
  <c r="K3406" i="5"/>
  <c r="K3422" i="5"/>
  <c r="K3438" i="5"/>
  <c r="K3454" i="5"/>
  <c r="K3470" i="5"/>
  <c r="K3486" i="5"/>
  <c r="K3502" i="5"/>
  <c r="K3518" i="5"/>
  <c r="K3532" i="5"/>
  <c r="K3542" i="5"/>
  <c r="K3551" i="5"/>
  <c r="K3559" i="5"/>
  <c r="K3567" i="5"/>
  <c r="K3575" i="5"/>
  <c r="K3583" i="5"/>
  <c r="K3591" i="5"/>
  <c r="K3599" i="5"/>
  <c r="K3607" i="5"/>
  <c r="K3615" i="5"/>
  <c r="K3623" i="5"/>
  <c r="K3631" i="5"/>
  <c r="K3639" i="5"/>
  <c r="K3647" i="5"/>
  <c r="K3655" i="5"/>
  <c r="K3663" i="5"/>
  <c r="K3671" i="5"/>
  <c r="K3679" i="5"/>
  <c r="K3687" i="5"/>
  <c r="K3695" i="5"/>
  <c r="K3703" i="5"/>
  <c r="K3711" i="5"/>
  <c r="K3719" i="5"/>
  <c r="K3727" i="5"/>
  <c r="K3735" i="5"/>
  <c r="K3743" i="5"/>
  <c r="K3751" i="5"/>
  <c r="K3759" i="5"/>
  <c r="K3767" i="5"/>
  <c r="K3775" i="5"/>
  <c r="K3783" i="5"/>
  <c r="K3791" i="5"/>
  <c r="K3799" i="5"/>
  <c r="K3807" i="5"/>
  <c r="K3815" i="5"/>
  <c r="K3823" i="5"/>
  <c r="K3831" i="5"/>
  <c r="K3839" i="5"/>
  <c r="K3847" i="5"/>
  <c r="K3855" i="5"/>
  <c r="K3863" i="5"/>
  <c r="K3871" i="5"/>
  <c r="K3879" i="5"/>
  <c r="K3887" i="5"/>
  <c r="K3895" i="5"/>
  <c r="K3903" i="5"/>
  <c r="K3911" i="5"/>
  <c r="K3919" i="5"/>
  <c r="K3927" i="5"/>
  <c r="K3935" i="5"/>
  <c r="K3943" i="5"/>
  <c r="K3951" i="5"/>
  <c r="K3959" i="5"/>
  <c r="K3967" i="5"/>
  <c r="K3975" i="5"/>
  <c r="K3983" i="5"/>
  <c r="K3991" i="5"/>
  <c r="K3999" i="5"/>
  <c r="K4007" i="5"/>
  <c r="K4015" i="5"/>
  <c r="K4023" i="5"/>
  <c r="K4031" i="5"/>
  <c r="K4039" i="5"/>
  <c r="K4047" i="5"/>
  <c r="K4055" i="5"/>
  <c r="K4063" i="5"/>
  <c r="K4071" i="5"/>
  <c r="K4079" i="5"/>
  <c r="K4087" i="5"/>
  <c r="K4095" i="5"/>
  <c r="K4103" i="5"/>
  <c r="K4111" i="5"/>
  <c r="K4119" i="5"/>
  <c r="K4127" i="5"/>
  <c r="K4135" i="5"/>
  <c r="K4143" i="5"/>
  <c r="K4151" i="5"/>
  <c r="K4159" i="5"/>
  <c r="K4167" i="5"/>
  <c r="K4175" i="5"/>
  <c r="K4183" i="5"/>
  <c r="K4191" i="5"/>
  <c r="K4199" i="5"/>
  <c r="K4207" i="5"/>
  <c r="K4215" i="5"/>
  <c r="K4223" i="5"/>
  <c r="K246" i="5"/>
  <c r="K655" i="5"/>
  <c r="K929" i="5"/>
  <c r="K1101" i="5"/>
  <c r="K1230" i="5"/>
  <c r="K1360" i="5"/>
  <c r="K1510" i="5"/>
  <c r="K1629" i="5"/>
  <c r="K1712" i="5"/>
  <c r="K1773" i="5"/>
  <c r="K1830" i="5"/>
  <c r="K1886" i="5"/>
  <c r="K1939" i="5"/>
  <c r="K1987" i="5"/>
  <c r="K2024" i="5"/>
  <c r="K2059" i="5"/>
  <c r="K2091" i="5"/>
  <c r="K2123" i="5"/>
  <c r="K2155" i="5"/>
  <c r="K2187" i="5"/>
  <c r="K2219" i="5"/>
  <c r="K2251" i="5"/>
  <c r="K2283" i="5"/>
  <c r="K2315" i="5"/>
  <c r="K2347" i="5"/>
  <c r="K2379" i="5"/>
  <c r="K2411" i="5"/>
  <c r="K2443" i="5"/>
  <c r="K2475" i="5"/>
  <c r="K2507" i="5"/>
  <c r="K2539" i="5"/>
  <c r="K2571" i="5"/>
  <c r="K2603" i="5"/>
  <c r="K2635" i="5"/>
  <c r="K2665" i="5"/>
  <c r="K2690" i="5"/>
  <c r="K2715" i="5"/>
  <c r="K2740" i="5"/>
  <c r="K2766" i="5"/>
  <c r="K2787" i="5"/>
  <c r="K2809" i="5"/>
  <c r="K2830" i="5"/>
  <c r="K2849" i="5"/>
  <c r="K2867" i="5"/>
  <c r="K2886" i="5"/>
  <c r="K2904" i="5"/>
  <c r="K2922" i="5"/>
  <c r="K2940" i="5"/>
  <c r="K2959" i="5"/>
  <c r="K2975" i="5"/>
  <c r="K2991" i="5"/>
  <c r="K3007" i="5"/>
  <c r="K3023" i="5"/>
  <c r="K3039" i="5"/>
  <c r="K3055" i="5"/>
  <c r="K3071" i="5"/>
  <c r="K3087" i="5"/>
  <c r="K3103" i="5"/>
  <c r="K3119" i="5"/>
  <c r="K3135" i="5"/>
  <c r="K3151" i="5"/>
  <c r="K3167" i="5"/>
  <c r="K3183" i="5"/>
  <c r="K3199" i="5"/>
  <c r="K3215" i="5"/>
  <c r="K3231" i="5"/>
  <c r="K3247" i="5"/>
  <c r="K3263" i="5"/>
  <c r="K3279" i="5"/>
  <c r="K3295" i="5"/>
  <c r="K3311" i="5"/>
  <c r="K3327" i="5"/>
  <c r="K3343" i="5"/>
  <c r="K3359" i="5"/>
  <c r="K3375" i="5"/>
  <c r="K3391" i="5"/>
  <c r="K3407" i="5"/>
  <c r="K3423" i="5"/>
  <c r="K3439" i="5"/>
  <c r="K3455" i="5"/>
  <c r="K3471" i="5"/>
  <c r="K3487" i="5"/>
  <c r="K3503" i="5"/>
  <c r="K3519" i="5"/>
  <c r="K3533" i="5"/>
  <c r="K3543" i="5"/>
  <c r="K3552" i="5"/>
  <c r="K3560" i="5"/>
  <c r="K3568" i="5"/>
  <c r="K3576" i="5"/>
  <c r="K3584" i="5"/>
  <c r="K3592" i="5"/>
  <c r="K3600" i="5"/>
  <c r="K3608" i="5"/>
  <c r="K3616" i="5"/>
  <c r="K3624" i="5"/>
  <c r="K3632" i="5"/>
  <c r="K3640" i="5"/>
  <c r="K3648" i="5"/>
  <c r="K3656" i="5"/>
  <c r="K3664" i="5"/>
  <c r="K3672" i="5"/>
  <c r="K3680" i="5"/>
  <c r="K3688" i="5"/>
  <c r="K3696" i="5"/>
  <c r="K3704" i="5"/>
  <c r="K3712" i="5"/>
  <c r="K3720" i="5"/>
  <c r="K3728" i="5"/>
  <c r="K3736" i="5"/>
  <c r="K3744" i="5"/>
  <c r="K3752" i="5"/>
  <c r="K3760" i="5"/>
  <c r="K3768" i="5"/>
  <c r="K3776" i="5"/>
  <c r="K3784" i="5"/>
  <c r="K3792" i="5"/>
  <c r="K3800" i="5"/>
  <c r="K3808" i="5"/>
  <c r="K3816" i="5"/>
  <c r="K3824" i="5"/>
  <c r="K3832" i="5"/>
  <c r="K3840" i="5"/>
  <c r="K3848" i="5"/>
  <c r="K3856" i="5"/>
  <c r="K3864" i="5"/>
  <c r="K3872" i="5"/>
  <c r="K3880" i="5"/>
  <c r="K3888" i="5"/>
  <c r="K3896" i="5"/>
  <c r="K3904" i="5"/>
  <c r="K3912" i="5"/>
  <c r="K3920" i="5"/>
  <c r="K3928" i="5"/>
  <c r="K3936" i="5"/>
  <c r="K3944" i="5"/>
  <c r="K3952" i="5"/>
  <c r="K3960" i="5"/>
  <c r="K3968" i="5"/>
  <c r="K3976" i="5"/>
  <c r="K3984" i="5"/>
  <c r="K3992" i="5"/>
  <c r="K4000" i="5"/>
  <c r="K4008" i="5"/>
  <c r="K4016" i="5"/>
  <c r="K4024" i="5"/>
  <c r="K4032" i="5"/>
  <c r="K4040" i="5"/>
  <c r="K4048" i="5"/>
  <c r="K4056" i="5"/>
  <c r="K4064" i="5"/>
  <c r="K4072" i="5"/>
  <c r="K4080" i="5"/>
  <c r="K4088" i="5"/>
  <c r="K4096" i="5"/>
  <c r="K4104" i="5"/>
  <c r="K4112" i="5"/>
  <c r="K4120" i="5"/>
  <c r="K4128" i="5"/>
  <c r="K4136" i="5"/>
  <c r="K4144" i="5"/>
  <c r="K4152" i="5"/>
  <c r="K4160" i="5"/>
  <c r="K4168" i="5"/>
  <c r="K4176" i="5"/>
  <c r="K4184" i="5"/>
  <c r="K4192" i="5"/>
  <c r="K4200" i="5"/>
  <c r="K4208" i="5"/>
  <c r="K4216" i="5"/>
  <c r="K247" i="5"/>
  <c r="K671" i="5"/>
  <c r="K957" i="5"/>
  <c r="K1102" i="5"/>
  <c r="K1232" i="5"/>
  <c r="K1382" i="5"/>
  <c r="K1511" i="5"/>
  <c r="K1631" i="5"/>
  <c r="K1714" i="5"/>
  <c r="K1774" i="5"/>
  <c r="K1831" i="5"/>
  <c r="K1890" i="5"/>
  <c r="K1940" i="5"/>
  <c r="K1988" i="5"/>
  <c r="K2025" i="5"/>
  <c r="K2060" i="5"/>
  <c r="K2092" i="5"/>
  <c r="K2124" i="5"/>
  <c r="K2156" i="5"/>
  <c r="K2188" i="5"/>
  <c r="K2220" i="5"/>
  <c r="K2252" i="5"/>
  <c r="K2284" i="5"/>
  <c r="K2316" i="5"/>
  <c r="K2348" i="5"/>
  <c r="K2380" i="5"/>
  <c r="K2412" i="5"/>
  <c r="K2444" i="5"/>
  <c r="K2476" i="5"/>
  <c r="K2508" i="5"/>
  <c r="K2540" i="5"/>
  <c r="K2572" i="5"/>
  <c r="K2604" i="5"/>
  <c r="K2636" i="5"/>
  <c r="K2666" i="5"/>
  <c r="K2691" i="5"/>
  <c r="K2716" i="5"/>
  <c r="K2743" i="5"/>
  <c r="K2767" i="5"/>
  <c r="K2788" i="5"/>
  <c r="K2810" i="5"/>
  <c r="K2831" i="5"/>
  <c r="K2850" i="5"/>
  <c r="K2868" i="5"/>
  <c r="K2887" i="5"/>
  <c r="K2905" i="5"/>
  <c r="K2923" i="5"/>
  <c r="K2942" i="5"/>
  <c r="K2960" i="5"/>
  <c r="K2976" i="5"/>
  <c r="K2992" i="5"/>
  <c r="K3008" i="5"/>
  <c r="K3024" i="5"/>
  <c r="K3040" i="5"/>
  <c r="K3056" i="5"/>
  <c r="K3072" i="5"/>
  <c r="K3088" i="5"/>
  <c r="K3104" i="5"/>
  <c r="K3120" i="5"/>
  <c r="K3136" i="5"/>
  <c r="K3152" i="5"/>
  <c r="K3168" i="5"/>
  <c r="K3184" i="5"/>
  <c r="K3200" i="5"/>
  <c r="K3216" i="5"/>
  <c r="K3232" i="5"/>
  <c r="K3248" i="5"/>
  <c r="K3264" i="5"/>
  <c r="K3280" i="5"/>
  <c r="K3296" i="5"/>
  <c r="K3312" i="5"/>
  <c r="K3328" i="5"/>
  <c r="K3344" i="5"/>
  <c r="K3360" i="5"/>
  <c r="K3376" i="5"/>
  <c r="K3392" i="5"/>
  <c r="K3408" i="5"/>
  <c r="K3424" i="5"/>
  <c r="K3440" i="5"/>
  <c r="K3456" i="5"/>
  <c r="K3472" i="5"/>
  <c r="K3488" i="5"/>
  <c r="K3504" i="5"/>
  <c r="K3520" i="5"/>
  <c r="K3534" i="5"/>
  <c r="K3544" i="5"/>
  <c r="K3553" i="5"/>
  <c r="K3561" i="5"/>
  <c r="K3569" i="5"/>
  <c r="K3577" i="5"/>
  <c r="K3585" i="5"/>
  <c r="K3593" i="5"/>
  <c r="K3601" i="5"/>
  <c r="K3609" i="5"/>
  <c r="K3617" i="5"/>
  <c r="K3625" i="5"/>
  <c r="K3633" i="5"/>
  <c r="K3641" i="5"/>
  <c r="K3649" i="5"/>
  <c r="K3657" i="5"/>
  <c r="K3665" i="5"/>
  <c r="K3673" i="5"/>
  <c r="K3681" i="5"/>
  <c r="K3689" i="5"/>
  <c r="K3697" i="5"/>
  <c r="K3705" i="5"/>
  <c r="K3713" i="5"/>
  <c r="K3721" i="5"/>
  <c r="K3729" i="5"/>
  <c r="K3737" i="5"/>
  <c r="K3745" i="5"/>
  <c r="K3753" i="5"/>
  <c r="K3761" i="5"/>
  <c r="K3769" i="5"/>
  <c r="K3777" i="5"/>
  <c r="K3785" i="5"/>
  <c r="K3793" i="5"/>
  <c r="K3801" i="5"/>
  <c r="K3809" i="5"/>
  <c r="K3817" i="5"/>
  <c r="K3825" i="5"/>
  <c r="K3833" i="5"/>
  <c r="K3841" i="5"/>
  <c r="K3849" i="5"/>
  <c r="K3857" i="5"/>
  <c r="K3865" i="5"/>
  <c r="K3873" i="5"/>
  <c r="K3881" i="5"/>
  <c r="K3889" i="5"/>
  <c r="K3897" i="5"/>
  <c r="K3905" i="5"/>
  <c r="K3913" i="5"/>
  <c r="K3921" i="5"/>
  <c r="K3929" i="5"/>
  <c r="K3937" i="5"/>
  <c r="K3945" i="5"/>
  <c r="K3953" i="5"/>
  <c r="K3961" i="5"/>
  <c r="K3969" i="5"/>
  <c r="K3977" i="5"/>
  <c r="K3985" i="5"/>
  <c r="K3993" i="5"/>
  <c r="K4001" i="5"/>
  <c r="K4009" i="5"/>
  <c r="K4017" i="5"/>
  <c r="K4025" i="5"/>
  <c r="K4033" i="5"/>
  <c r="K4041" i="5"/>
  <c r="K4049" i="5"/>
  <c r="K4057" i="5"/>
  <c r="K4065" i="5"/>
  <c r="K4073" i="5"/>
  <c r="K4081" i="5"/>
  <c r="K4089" i="5"/>
  <c r="K4097" i="5"/>
  <c r="K4105" i="5"/>
  <c r="K4113" i="5"/>
  <c r="K4121" i="5"/>
  <c r="K4129" i="5"/>
  <c r="K4137" i="5"/>
  <c r="K4145" i="5"/>
  <c r="K4153" i="5"/>
  <c r="K4161" i="5"/>
  <c r="K4169" i="5"/>
  <c r="K4177" i="5"/>
  <c r="K4185" i="5"/>
  <c r="K4193" i="5"/>
  <c r="K4201" i="5"/>
  <c r="K4209" i="5"/>
  <c r="K4217" i="5"/>
  <c r="K4225" i="5"/>
  <c r="K4233" i="5"/>
  <c r="K4241" i="5"/>
  <c r="K4249" i="5"/>
  <c r="K489" i="5"/>
  <c r="K817" i="5"/>
  <c r="K1029" i="5"/>
  <c r="K1176" i="5"/>
  <c r="K1308" i="5"/>
  <c r="K1438" i="5"/>
  <c r="K1584" i="5"/>
  <c r="K1683" i="5"/>
  <c r="K1746" i="5"/>
  <c r="K1803" i="5"/>
  <c r="K1860" i="5"/>
  <c r="K1915" i="5"/>
  <c r="K1965" i="5"/>
  <c r="K2006" i="5"/>
  <c r="K2043" i="5"/>
  <c r="K2076" i="5"/>
  <c r="K2108" i="5"/>
  <c r="K2140" i="5"/>
  <c r="K2172" i="5"/>
  <c r="K2204" i="5"/>
  <c r="K2236" i="5"/>
  <c r="K2268" i="5"/>
  <c r="K2300" i="5"/>
  <c r="K2332" i="5"/>
  <c r="K2364" i="5"/>
  <c r="K2396" i="5"/>
  <c r="K2428" i="5"/>
  <c r="K2460" i="5"/>
  <c r="K2492" i="5"/>
  <c r="K2524" i="5"/>
  <c r="K2556" i="5"/>
  <c r="K2588" i="5"/>
  <c r="K2620" i="5"/>
  <c r="K2652" i="5"/>
  <c r="K2679" i="5"/>
  <c r="K2705" i="5"/>
  <c r="K2730" i="5"/>
  <c r="K2755" i="5"/>
  <c r="K2778" i="5"/>
  <c r="K2799" i="5"/>
  <c r="K2820" i="5"/>
  <c r="K2841" i="5"/>
  <c r="K2859" i="5"/>
  <c r="K2878" i="5"/>
  <c r="K2896" i="5"/>
  <c r="K2914" i="5"/>
  <c r="K2932" i="5"/>
  <c r="K2951" i="5"/>
  <c r="K2968" i="5"/>
  <c r="K2984" i="5"/>
  <c r="K3000" i="5"/>
  <c r="K3016" i="5"/>
  <c r="K3032" i="5"/>
  <c r="K3048" i="5"/>
  <c r="K3064" i="5"/>
  <c r="K3080" i="5"/>
  <c r="K3096" i="5"/>
  <c r="K3112" i="5"/>
  <c r="K3128" i="5"/>
  <c r="K3144" i="5"/>
  <c r="K3160" i="5"/>
  <c r="K3176" i="5"/>
  <c r="K3192" i="5"/>
  <c r="K3208" i="5"/>
  <c r="K409" i="5"/>
  <c r="K1024" i="5"/>
  <c r="K1432" i="5"/>
  <c r="K1739" i="5"/>
  <c r="K1859" i="5"/>
  <c r="K2004" i="5"/>
  <c r="K2105" i="5"/>
  <c r="K2171" i="5"/>
  <c r="K2266" i="5"/>
  <c r="K2361" i="5"/>
  <c r="K2427" i="5"/>
  <c r="K2522" i="5"/>
  <c r="K2617" i="5"/>
  <c r="K2676" i="5"/>
  <c r="K2753" i="5"/>
  <c r="K2817" i="5"/>
  <c r="K2858" i="5"/>
  <c r="K2912" i="5"/>
  <c r="K2965" i="5"/>
  <c r="K2999" i="5"/>
  <c r="K3046" i="5"/>
  <c r="K3093" i="5"/>
  <c r="K3127" i="5"/>
  <c r="K3174" i="5"/>
  <c r="K3221" i="5"/>
  <c r="K3253" i="5"/>
  <c r="K3285" i="5"/>
  <c r="K3317" i="5"/>
  <c r="K3349" i="5"/>
  <c r="K3381" i="5"/>
  <c r="K3413" i="5"/>
  <c r="K3445" i="5"/>
  <c r="K3477" i="5"/>
  <c r="K3509" i="5"/>
  <c r="K3535" i="5"/>
  <c r="K3554" i="5"/>
  <c r="K3570" i="5"/>
  <c r="K3586" i="5"/>
  <c r="K3602" i="5"/>
  <c r="K3618" i="5"/>
  <c r="K3634" i="5"/>
  <c r="K3650" i="5"/>
  <c r="K3666" i="5"/>
  <c r="K3682" i="5"/>
  <c r="K3698" i="5"/>
  <c r="K3714" i="5"/>
  <c r="K3730" i="5"/>
  <c r="K3746" i="5"/>
  <c r="K3762" i="5"/>
  <c r="K3778" i="5"/>
  <c r="K3794" i="5"/>
  <c r="K3810" i="5"/>
  <c r="K3826" i="5"/>
  <c r="K3842" i="5"/>
  <c r="K3858" i="5"/>
  <c r="K3874" i="5"/>
  <c r="K3890" i="5"/>
  <c r="K3906" i="5"/>
  <c r="K3922" i="5"/>
  <c r="K3938" i="5"/>
  <c r="K3954" i="5"/>
  <c r="K3970" i="5"/>
  <c r="K3986" i="5"/>
  <c r="K4002" i="5"/>
  <c r="K4018" i="5"/>
  <c r="K4034" i="5"/>
  <c r="K4050" i="5"/>
  <c r="K4066" i="5"/>
  <c r="K4082" i="5"/>
  <c r="K4098" i="5"/>
  <c r="K4114" i="5"/>
  <c r="K4130" i="5"/>
  <c r="K4146" i="5"/>
  <c r="K4162" i="5"/>
  <c r="K4178" i="5"/>
  <c r="K4194" i="5"/>
  <c r="K4210" i="5"/>
  <c r="K4224" i="5"/>
  <c r="K4235" i="5"/>
  <c r="K4245" i="5"/>
  <c r="K4256" i="5"/>
  <c r="K4265" i="5"/>
  <c r="K4274" i="5"/>
  <c r="K4283" i="5"/>
  <c r="K4292" i="5"/>
  <c r="K4301" i="5"/>
  <c r="K4311" i="5"/>
  <c r="K4320" i="5"/>
  <c r="K4329" i="5"/>
  <c r="K4338" i="5"/>
  <c r="K4347" i="5"/>
  <c r="K4356" i="5"/>
  <c r="K4365" i="5"/>
  <c r="K4375" i="5"/>
  <c r="K4384" i="5"/>
  <c r="K4393" i="5"/>
  <c r="K4402" i="5"/>
  <c r="K4411" i="5"/>
  <c r="K4420" i="5"/>
  <c r="K4429" i="5"/>
  <c r="K4439" i="5"/>
  <c r="K4447" i="5"/>
  <c r="K4455" i="5"/>
  <c r="K4463" i="5"/>
  <c r="K4471" i="5"/>
  <c r="K4479" i="5"/>
  <c r="K4487" i="5"/>
  <c r="K4495" i="5"/>
  <c r="K4503" i="5"/>
  <c r="K4511" i="5"/>
  <c r="K4519" i="5"/>
  <c r="K4527" i="5"/>
  <c r="K4535" i="5"/>
  <c r="K4543" i="5"/>
  <c r="K4551" i="5"/>
  <c r="K4559" i="5"/>
  <c r="K4567" i="5"/>
  <c r="K4575" i="5"/>
  <c r="K4583" i="5"/>
  <c r="K4591" i="5"/>
  <c r="K4599" i="5"/>
  <c r="K4607" i="5"/>
  <c r="K4615" i="5"/>
  <c r="K4623" i="5"/>
  <c r="K4631" i="5"/>
  <c r="K4639" i="5"/>
  <c r="K4647" i="5"/>
  <c r="K4655" i="5"/>
  <c r="K4663" i="5"/>
  <c r="K4671" i="5"/>
  <c r="K4679" i="5"/>
  <c r="K4687" i="5"/>
  <c r="K4695" i="5"/>
  <c r="K4703" i="5"/>
  <c r="K4711" i="5"/>
  <c r="K4719" i="5"/>
  <c r="K410" i="5"/>
  <c r="K1151" i="5"/>
  <c r="K1436" i="5"/>
  <c r="K1740" i="5"/>
  <c r="K1909" i="5"/>
  <c r="K2005" i="5"/>
  <c r="K2106" i="5"/>
  <c r="K2201" i="5"/>
  <c r="K2267" i="5"/>
  <c r="K2362" i="5"/>
  <c r="K2457" i="5"/>
  <c r="K2523" i="5"/>
  <c r="K2618" i="5"/>
  <c r="K2699" i="5"/>
  <c r="K2754" i="5"/>
  <c r="K2818" i="5"/>
  <c r="K2874" i="5"/>
  <c r="K2913" i="5"/>
  <c r="K2966" i="5"/>
  <c r="K3013" i="5"/>
  <c r="K3047" i="5"/>
  <c r="K3094" i="5"/>
  <c r="K3141" i="5"/>
  <c r="K3175" i="5"/>
  <c r="K3222" i="5"/>
  <c r="K3254" i="5"/>
  <c r="K3286" i="5"/>
  <c r="K3318" i="5"/>
  <c r="K3350" i="5"/>
  <c r="K3382" i="5"/>
  <c r="K3414" i="5"/>
  <c r="K3446" i="5"/>
  <c r="K3478" i="5"/>
  <c r="K3510" i="5"/>
  <c r="K3536" i="5"/>
  <c r="K3555" i="5"/>
  <c r="K3571" i="5"/>
  <c r="K3587" i="5"/>
  <c r="K3603" i="5"/>
  <c r="K3619" i="5"/>
  <c r="K3635" i="5"/>
  <c r="K3651" i="5"/>
  <c r="K3667" i="5"/>
  <c r="K3683" i="5"/>
  <c r="K3699" i="5"/>
  <c r="K3715" i="5"/>
  <c r="K3731" i="5"/>
  <c r="K3747" i="5"/>
  <c r="K3763" i="5"/>
  <c r="K3779" i="5"/>
  <c r="K3795" i="5"/>
  <c r="K3811" i="5"/>
  <c r="K3827" i="5"/>
  <c r="K3843" i="5"/>
  <c r="K3859" i="5"/>
  <c r="K3875" i="5"/>
  <c r="K3891" i="5"/>
  <c r="K3907" i="5"/>
  <c r="K3923" i="5"/>
  <c r="K3939" i="5"/>
  <c r="K3955" i="5"/>
  <c r="K3971" i="5"/>
  <c r="K3987" i="5"/>
  <c r="K4003" i="5"/>
  <c r="K4019" i="5"/>
  <c r="K4035" i="5"/>
  <c r="K4051" i="5"/>
  <c r="K4067" i="5"/>
  <c r="K4083" i="5"/>
  <c r="K4099" i="5"/>
  <c r="K4115" i="5"/>
  <c r="K4131" i="5"/>
  <c r="K4147" i="5"/>
  <c r="K4163" i="5"/>
  <c r="K4179" i="5"/>
  <c r="K4195" i="5"/>
  <c r="K4211" i="5"/>
  <c r="K4226" i="5"/>
  <c r="K4236" i="5"/>
  <c r="K4247" i="5"/>
  <c r="K4257" i="5"/>
  <c r="K4266" i="5"/>
  <c r="K4275" i="5"/>
  <c r="K4284" i="5"/>
  <c r="K4293" i="5"/>
  <c r="K4303" i="5"/>
  <c r="K4312" i="5"/>
  <c r="K4321" i="5"/>
  <c r="K4330" i="5"/>
  <c r="K4339" i="5"/>
  <c r="K4348" i="5"/>
  <c r="K4357" i="5"/>
  <c r="K4367" i="5"/>
  <c r="K4376" i="5"/>
  <c r="K4385" i="5"/>
  <c r="K4394" i="5"/>
  <c r="K4403" i="5"/>
  <c r="K4412" i="5"/>
  <c r="K4421" i="5"/>
  <c r="K4431" i="5"/>
  <c r="K4440" i="5"/>
  <c r="K4448" i="5"/>
  <c r="K4456" i="5"/>
  <c r="K4464" i="5"/>
  <c r="K4472" i="5"/>
  <c r="K4480" i="5"/>
  <c r="K4488" i="5"/>
  <c r="K4496" i="5"/>
  <c r="K4504" i="5"/>
  <c r="K4512" i="5"/>
  <c r="K4520" i="5"/>
  <c r="K4528" i="5"/>
  <c r="K4536" i="5"/>
  <c r="K4544" i="5"/>
  <c r="K4552" i="5"/>
  <c r="K4560" i="5"/>
  <c r="K4568" i="5"/>
  <c r="K4576" i="5"/>
  <c r="K4584" i="5"/>
  <c r="K4592" i="5"/>
  <c r="K4600" i="5"/>
  <c r="K4608" i="5"/>
  <c r="K4616" i="5"/>
  <c r="K4624" i="5"/>
  <c r="K4632" i="5"/>
  <c r="K4640" i="5"/>
  <c r="K4648" i="5"/>
  <c r="K4656" i="5"/>
  <c r="K4664" i="5"/>
  <c r="K4672" i="5"/>
  <c r="K4680" i="5"/>
  <c r="K4688" i="5"/>
  <c r="K4696" i="5"/>
  <c r="K4704" i="5"/>
  <c r="K4712" i="5"/>
  <c r="K4720" i="5"/>
  <c r="K425" i="5"/>
  <c r="K1152" i="5"/>
  <c r="K1560" i="5"/>
  <c r="K1741" i="5"/>
  <c r="K1910" i="5"/>
  <c r="K2040" i="5"/>
  <c r="K2107" i="5"/>
  <c r="K2202" i="5"/>
  <c r="K2297" i="5"/>
  <c r="K2363" i="5"/>
  <c r="K2458" i="5"/>
  <c r="K2553" i="5"/>
  <c r="K2619" i="5"/>
  <c r="K2700" i="5"/>
  <c r="K2774" i="5"/>
  <c r="K2819" i="5"/>
  <c r="K2875" i="5"/>
  <c r="K2929" i="5"/>
  <c r="K2967" i="5"/>
  <c r="K3014" i="5"/>
  <c r="K3061" i="5"/>
  <c r="K3095" i="5"/>
  <c r="K3142" i="5"/>
  <c r="K3189" i="5"/>
  <c r="K3223" i="5"/>
  <c r="K3255" i="5"/>
  <c r="K3287" i="5"/>
  <c r="K3319" i="5"/>
  <c r="K3351" i="5"/>
  <c r="K3383" i="5"/>
  <c r="K3415" i="5"/>
  <c r="K3447" i="5"/>
  <c r="K3479" i="5"/>
  <c r="K3511" i="5"/>
  <c r="K3539" i="5"/>
  <c r="K3556" i="5"/>
  <c r="K3572" i="5"/>
  <c r="K3588" i="5"/>
  <c r="K3604" i="5"/>
  <c r="K3620" i="5"/>
  <c r="K3636" i="5"/>
  <c r="K3652" i="5"/>
  <c r="K3668" i="5"/>
  <c r="K3684" i="5"/>
  <c r="K3700" i="5"/>
  <c r="K3716" i="5"/>
  <c r="K3732" i="5"/>
  <c r="K3748" i="5"/>
  <c r="K3764" i="5"/>
  <c r="K3780" i="5"/>
  <c r="K3796" i="5"/>
  <c r="K3812" i="5"/>
  <c r="K3828" i="5"/>
  <c r="K3844" i="5"/>
  <c r="K3860" i="5"/>
  <c r="K3876" i="5"/>
  <c r="K3892" i="5"/>
  <c r="K3908" i="5"/>
  <c r="K3924" i="5"/>
  <c r="K3940" i="5"/>
  <c r="K3956" i="5"/>
  <c r="K3972" i="5"/>
  <c r="K3988" i="5"/>
  <c r="K4004" i="5"/>
  <c r="K4020" i="5"/>
  <c r="K4036" i="5"/>
  <c r="K4052" i="5"/>
  <c r="K4068" i="5"/>
  <c r="K4084" i="5"/>
  <c r="K4100" i="5"/>
  <c r="K4116" i="5"/>
  <c r="K4132" i="5"/>
  <c r="K4148" i="5"/>
  <c r="K4164" i="5"/>
  <c r="K4180" i="5"/>
  <c r="K4196" i="5"/>
  <c r="K4212" i="5"/>
  <c r="K4227" i="5"/>
  <c r="K4237" i="5"/>
  <c r="K4248" i="5"/>
  <c r="K4258" i="5"/>
  <c r="K4267" i="5"/>
  <c r="K4276" i="5"/>
  <c r="K4285" i="5"/>
  <c r="K4295" i="5"/>
  <c r="K4304" i="5"/>
  <c r="K4313" i="5"/>
  <c r="K4322" i="5"/>
  <c r="K4331" i="5"/>
  <c r="K4340" i="5"/>
  <c r="K4349" i="5"/>
  <c r="K4359" i="5"/>
  <c r="K4368" i="5"/>
  <c r="K4377" i="5"/>
  <c r="K4386" i="5"/>
  <c r="K4395" i="5"/>
  <c r="K4404" i="5"/>
  <c r="K4413" i="5"/>
  <c r="K4423" i="5"/>
  <c r="K4432" i="5"/>
  <c r="K4441" i="5"/>
  <c r="K4449" i="5"/>
  <c r="K4457" i="5"/>
  <c r="K4465" i="5"/>
  <c r="K4473" i="5"/>
  <c r="K4481" i="5"/>
  <c r="K4489" i="5"/>
  <c r="K4497" i="5"/>
  <c r="K4505" i="5"/>
  <c r="K4513" i="5"/>
  <c r="K4521" i="5"/>
  <c r="K4529" i="5"/>
  <c r="K4537" i="5"/>
  <c r="K4545" i="5"/>
  <c r="K4553" i="5"/>
  <c r="K4561" i="5"/>
  <c r="K4569" i="5"/>
  <c r="K4577" i="5"/>
  <c r="K4585" i="5"/>
  <c r="K4593" i="5"/>
  <c r="K4601" i="5"/>
  <c r="K4609" i="5"/>
  <c r="K4617" i="5"/>
  <c r="K4625" i="5"/>
  <c r="K4633" i="5"/>
  <c r="K4641" i="5"/>
  <c r="K4649" i="5"/>
  <c r="K4657" i="5"/>
  <c r="K4665" i="5"/>
  <c r="K4673" i="5"/>
  <c r="K4681" i="5"/>
  <c r="K4689" i="5"/>
  <c r="K4697" i="5"/>
  <c r="K4705" i="5"/>
  <c r="K4713" i="5"/>
  <c r="K4721" i="5"/>
  <c r="K764" i="5"/>
  <c r="K1157" i="5"/>
  <c r="K1564" i="5"/>
  <c r="K1796" i="5"/>
  <c r="K1914" i="5"/>
  <c r="K2041" i="5"/>
  <c r="K2137" i="5"/>
  <c r="K2203" i="5"/>
  <c r="K2298" i="5"/>
  <c r="K2393" i="5"/>
  <c r="K2459" i="5"/>
  <c r="K2554" i="5"/>
  <c r="K2649" i="5"/>
  <c r="K2703" i="5"/>
  <c r="K2775" i="5"/>
  <c r="K2838" i="5"/>
  <c r="K2876" i="5"/>
  <c r="K2930" i="5"/>
  <c r="K2981" i="5"/>
  <c r="K3015" i="5"/>
  <c r="K3062" i="5"/>
  <c r="K3109" i="5"/>
  <c r="K3143" i="5"/>
  <c r="K3190" i="5"/>
  <c r="K3224" i="5"/>
  <c r="K3256" i="5"/>
  <c r="K3288" i="5"/>
  <c r="K3320" i="5"/>
  <c r="K3352" i="5"/>
  <c r="K3384" i="5"/>
  <c r="K3416" i="5"/>
  <c r="K3448" i="5"/>
  <c r="K3480" i="5"/>
  <c r="K3512" i="5"/>
  <c r="K3540" i="5"/>
  <c r="K3557" i="5"/>
  <c r="K3573" i="5"/>
  <c r="K3589" i="5"/>
  <c r="K3605" i="5"/>
  <c r="K3621" i="5"/>
  <c r="K3637" i="5"/>
  <c r="K3653" i="5"/>
  <c r="K3669" i="5"/>
  <c r="K3685" i="5"/>
  <c r="K3701" i="5"/>
  <c r="K3717" i="5"/>
  <c r="K3733" i="5"/>
  <c r="K3749" i="5"/>
  <c r="K3765" i="5"/>
  <c r="K3781" i="5"/>
  <c r="K3797" i="5"/>
  <c r="K3813" i="5"/>
  <c r="K3829" i="5"/>
  <c r="K3845" i="5"/>
  <c r="K3861" i="5"/>
  <c r="K3877" i="5"/>
  <c r="K3893" i="5"/>
  <c r="K3909" i="5"/>
  <c r="K3925" i="5"/>
  <c r="K3941" i="5"/>
  <c r="K3957" i="5"/>
  <c r="K3973" i="5"/>
  <c r="K3989" i="5"/>
  <c r="K4005" i="5"/>
  <c r="K4021" i="5"/>
  <c r="K4037" i="5"/>
  <c r="K4053" i="5"/>
  <c r="K4069" i="5"/>
  <c r="K4085" i="5"/>
  <c r="K4101" i="5"/>
  <c r="K4117" i="5"/>
  <c r="K4133" i="5"/>
  <c r="K4149" i="5"/>
  <c r="K4165" i="5"/>
  <c r="K4181" i="5"/>
  <c r="K4197" i="5"/>
  <c r="K4213" i="5"/>
  <c r="K4228" i="5"/>
  <c r="K4239" i="5"/>
  <c r="K4250" i="5"/>
  <c r="K4259" i="5"/>
  <c r="K4268" i="5"/>
  <c r="K4277" i="5"/>
  <c r="K4287" i="5"/>
  <c r="K4296" i="5"/>
  <c r="K4305" i="5"/>
  <c r="K4314" i="5"/>
  <c r="K4323" i="5"/>
  <c r="K4332" i="5"/>
  <c r="K4341" i="5"/>
  <c r="K4351" i="5"/>
  <c r="K4360" i="5"/>
  <c r="K4369" i="5"/>
  <c r="K4378" i="5"/>
  <c r="K4387" i="5"/>
  <c r="K4396" i="5"/>
  <c r="K4405" i="5"/>
  <c r="K4415" i="5"/>
  <c r="K4424" i="5"/>
  <c r="K4433" i="5"/>
  <c r="K4442" i="5"/>
  <c r="K4450" i="5"/>
  <c r="K4458" i="5"/>
  <c r="K4466" i="5"/>
  <c r="K4474" i="5"/>
  <c r="K4482" i="5"/>
  <c r="K4490" i="5"/>
  <c r="K4498" i="5"/>
  <c r="K4506" i="5"/>
  <c r="K4514" i="5"/>
  <c r="K4522" i="5"/>
  <c r="K4530" i="5"/>
  <c r="K4538" i="5"/>
  <c r="K4546" i="5"/>
  <c r="K4554" i="5"/>
  <c r="K4562" i="5"/>
  <c r="K4570" i="5"/>
  <c r="K4578" i="5"/>
  <c r="K4586" i="5"/>
  <c r="K4594" i="5"/>
  <c r="K4602" i="5"/>
  <c r="K4610" i="5"/>
  <c r="K4618" i="5"/>
  <c r="K4626" i="5"/>
  <c r="K4634" i="5"/>
  <c r="K4642" i="5"/>
  <c r="K4650" i="5"/>
  <c r="K4658" i="5"/>
  <c r="K4666" i="5"/>
  <c r="K4674" i="5"/>
  <c r="K4682" i="5"/>
  <c r="K4690" i="5"/>
  <c r="K4698" i="5"/>
  <c r="K4706" i="5"/>
  <c r="K4714" i="5"/>
  <c r="K4722" i="5"/>
  <c r="K1023" i="5"/>
  <c r="K1413" i="5"/>
  <c r="K1682" i="5"/>
  <c r="K1858" i="5"/>
  <c r="K2003" i="5"/>
  <c r="K2075" i="5"/>
  <c r="K2170" i="5"/>
  <c r="K2265" i="5"/>
  <c r="K2331" i="5"/>
  <c r="K2426" i="5"/>
  <c r="K2521" i="5"/>
  <c r="K2587" i="5"/>
  <c r="K2675" i="5"/>
  <c r="K2751" i="5"/>
  <c r="K2798" i="5"/>
  <c r="K2857" i="5"/>
  <c r="K2911" i="5"/>
  <c r="K2950" i="5"/>
  <c r="K2998" i="5"/>
  <c r="K3045" i="5"/>
  <c r="K3079" i="5"/>
  <c r="K3126" i="5"/>
  <c r="K3173" i="5"/>
  <c r="K3207" i="5"/>
  <c r="K3240" i="5"/>
  <c r="K3272" i="5"/>
  <c r="K3304" i="5"/>
  <c r="K3336" i="5"/>
  <c r="K3368" i="5"/>
  <c r="K3400" i="5"/>
  <c r="K3432" i="5"/>
  <c r="K3464" i="5"/>
  <c r="K3496" i="5"/>
  <c r="K3528" i="5"/>
  <c r="K3549" i="5"/>
  <c r="K3565" i="5"/>
  <c r="K3581" i="5"/>
  <c r="K3597" i="5"/>
  <c r="K3613" i="5"/>
  <c r="K3629" i="5"/>
  <c r="K3645" i="5"/>
  <c r="K3661" i="5"/>
  <c r="K3677" i="5"/>
  <c r="K3693" i="5"/>
  <c r="K3709" i="5"/>
  <c r="K3725" i="5"/>
  <c r="K3741" i="5"/>
  <c r="K3757" i="5"/>
  <c r="K3773" i="5"/>
  <c r="K3789" i="5"/>
  <c r="K3805" i="5"/>
  <c r="K3821" i="5"/>
  <c r="K3837" i="5"/>
  <c r="K3853" i="5"/>
  <c r="K3869" i="5"/>
  <c r="K3885" i="5"/>
  <c r="K3901" i="5"/>
  <c r="K3917" i="5"/>
  <c r="K3933" i="5"/>
  <c r="K3949" i="5"/>
  <c r="K3965" i="5"/>
  <c r="K3981" i="5"/>
  <c r="K3997" i="5"/>
  <c r="K4013" i="5"/>
  <c r="K4029" i="5"/>
  <c r="K4045" i="5"/>
  <c r="K4061" i="5"/>
  <c r="K4077" i="5"/>
  <c r="K4093" i="5"/>
  <c r="K4109" i="5"/>
  <c r="K4125" i="5"/>
  <c r="K4141" i="5"/>
  <c r="K4157" i="5"/>
  <c r="K4173" i="5"/>
  <c r="K4189" i="5"/>
  <c r="K4205" i="5"/>
  <c r="K4221" i="5"/>
  <c r="K4234" i="5"/>
  <c r="K4244" i="5"/>
  <c r="K4255" i="5"/>
  <c r="K4264" i="5"/>
  <c r="K4273" i="5"/>
  <c r="K4282" i="5"/>
  <c r="K4291" i="5"/>
  <c r="K4300" i="5"/>
  <c r="K4710" i="5"/>
  <c r="K4694" i="5"/>
  <c r="K4678" i="5"/>
  <c r="K4662" i="5"/>
  <c r="K4646" i="5"/>
  <c r="K4630" i="5"/>
  <c r="K4614" i="5"/>
  <c r="K4598" i="5"/>
  <c r="K4582" i="5"/>
  <c r="K4566" i="5"/>
  <c r="K4550" i="5"/>
  <c r="K4534" i="5"/>
  <c r="K4518" i="5"/>
  <c r="K4502" i="5"/>
  <c r="K4486" i="5"/>
  <c r="K4470" i="5"/>
  <c r="K4454" i="5"/>
  <c r="K4437" i="5"/>
  <c r="K4419" i="5"/>
  <c r="K4401" i="5"/>
  <c r="K4383" i="5"/>
  <c r="K4364" i="5"/>
  <c r="K4346" i="5"/>
  <c r="K4328" i="5"/>
  <c r="K4309" i="5"/>
  <c r="K4289" i="5"/>
  <c r="K4263" i="5"/>
  <c r="K4240" i="5"/>
  <c r="K4203" i="5"/>
  <c r="K4156" i="5"/>
  <c r="K4122" i="5"/>
  <c r="K4075" i="5"/>
  <c r="K4028" i="5"/>
  <c r="K3994" i="5"/>
  <c r="K3947" i="5"/>
  <c r="K3900" i="5"/>
  <c r="K3866" i="5"/>
  <c r="K3819" i="5"/>
  <c r="K3772" i="5"/>
  <c r="K3738" i="5"/>
  <c r="K3691" i="5"/>
  <c r="K3644" i="5"/>
  <c r="K3610" i="5"/>
  <c r="K3563" i="5"/>
  <c r="K3495" i="5"/>
  <c r="K3429" i="5"/>
  <c r="K3334" i="5"/>
  <c r="K3239" i="5"/>
  <c r="K3157" i="5"/>
  <c r="K3030" i="5"/>
  <c r="K2895" i="5"/>
  <c r="K2777" i="5"/>
  <c r="K2585" i="5"/>
  <c r="K2330" i="5"/>
  <c r="K2138" i="5"/>
  <c r="K1802" i="5"/>
  <c r="K1001" i="5"/>
  <c r="K4709" i="5"/>
  <c r="K4693" i="5"/>
  <c r="K4677" i="5"/>
  <c r="K4661" i="5"/>
  <c r="K4645" i="5"/>
  <c r="K4629" i="5"/>
  <c r="K4613" i="5"/>
  <c r="K4597" i="5"/>
  <c r="K4581" i="5"/>
  <c r="K4565" i="5"/>
  <c r="K4549" i="5"/>
  <c r="K4533" i="5"/>
  <c r="K4517" i="5"/>
  <c r="K4501" i="5"/>
  <c r="K4485" i="5"/>
  <c r="K4469" i="5"/>
  <c r="K4453" i="5"/>
  <c r="K4436" i="5"/>
  <c r="K4418" i="5"/>
  <c r="K4400" i="5"/>
  <c r="K4381" i="5"/>
  <c r="K4363" i="5"/>
  <c r="K4345" i="5"/>
  <c r="K4327" i="5"/>
  <c r="K4308" i="5"/>
  <c r="K4288" i="5"/>
  <c r="K4261" i="5"/>
  <c r="K4232" i="5"/>
  <c r="K4202" i="5"/>
  <c r="K4155" i="5"/>
  <c r="K4108" i="5"/>
  <c r="K4074" i="5"/>
  <c r="K4027" i="5"/>
  <c r="K3980" i="5"/>
  <c r="K3946" i="5"/>
  <c r="K3899" i="5"/>
  <c r="K3852" i="5"/>
  <c r="K3818" i="5"/>
  <c r="K3771" i="5"/>
  <c r="K3724" i="5"/>
  <c r="K3690" i="5"/>
  <c r="K3643" i="5"/>
  <c r="K3596" i="5"/>
  <c r="K3562" i="5"/>
  <c r="K3494" i="5"/>
  <c r="K3399" i="5"/>
  <c r="K3333" i="5"/>
  <c r="K3238" i="5"/>
  <c r="K3125" i="5"/>
  <c r="K3029" i="5"/>
  <c r="K2894" i="5"/>
  <c r="K2729" i="5"/>
  <c r="K2555" i="5"/>
  <c r="K2329" i="5"/>
  <c r="K2074" i="5"/>
  <c r="K1800" i="5"/>
  <c r="K813" i="5"/>
  <c r="K2" i="5"/>
  <c r="K4708" i="5"/>
  <c r="K4692" i="5"/>
  <c r="K4676" i="5"/>
  <c r="K4660" i="5"/>
  <c r="K4644" i="5"/>
  <c r="K4628" i="5"/>
  <c r="K4612" i="5"/>
  <c r="K4596" i="5"/>
  <c r="K4580" i="5"/>
  <c r="K4564" i="5"/>
  <c r="K4548" i="5"/>
  <c r="K4532" i="5"/>
  <c r="K4516" i="5"/>
  <c r="K4500" i="5"/>
  <c r="K4484" i="5"/>
  <c r="K4468" i="5"/>
  <c r="K4452" i="5"/>
  <c r="K4435" i="5"/>
  <c r="K4417" i="5"/>
  <c r="K4399" i="5"/>
  <c r="K4380" i="5"/>
  <c r="K4362" i="5"/>
  <c r="K4344" i="5"/>
  <c r="K4325" i="5"/>
  <c r="K4307" i="5"/>
  <c r="K4281" i="5"/>
  <c r="K4260" i="5"/>
  <c r="K4231" i="5"/>
  <c r="K4188" i="5"/>
  <c r="K4154" i="5"/>
  <c r="K4107" i="5"/>
  <c r="K4060" i="5"/>
  <c r="K4026" i="5"/>
  <c r="K3979" i="5"/>
  <c r="K3932" i="5"/>
  <c r="K3898" i="5"/>
  <c r="K3851" i="5"/>
  <c r="K3804" i="5"/>
  <c r="K3770" i="5"/>
  <c r="K3723" i="5"/>
  <c r="K3676" i="5"/>
  <c r="K3642" i="5"/>
  <c r="K3595" i="5"/>
  <c r="K3548" i="5"/>
  <c r="K3493" i="5"/>
  <c r="K3398" i="5"/>
  <c r="K3303" i="5"/>
  <c r="K3237" i="5"/>
  <c r="K3111" i="5"/>
  <c r="K2997" i="5"/>
  <c r="K2892" i="5"/>
  <c r="K2727" i="5"/>
  <c r="K2491" i="5"/>
  <c r="K2299" i="5"/>
  <c r="K2073" i="5"/>
  <c r="K1668" i="5"/>
  <c r="K773" i="5"/>
</calcChain>
</file>

<file path=xl/sharedStrings.xml><?xml version="1.0" encoding="utf-8"?>
<sst xmlns="http://schemas.openxmlformats.org/spreadsheetml/2006/main" count="10753" uniqueCount="5621">
  <si>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</si>
  <si>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</si>
  <si>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</si>
  <si>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</si>
  <si>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</si>
  <si>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</si>
  <si>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</si>
  <si>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</si>
  <si>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</si>
  <si>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</si>
  <si>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</si>
  <si>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</si>
  <si>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</si>
  <si>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</si>
  <si>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</si>
  <si>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</si>
  <si>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</si>
  <si>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</si>
  <si>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</si>
  <si>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</si>
  <si>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</si>
  <si>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</si>
  <si>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</si>
  <si>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</si>
  <si>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</si>
  <si>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</si>
  <si>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</si>
  <si>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</si>
  <si>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</si>
  <si>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</si>
  <si>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</si>
  <si>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</si>
  <si>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</si>
  <si>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</si>
  <si>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</si>
  <si>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</si>
  <si>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</si>
  <si>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</si>
  <si>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</si>
  <si>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</si>
  <si>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</si>
  <si>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</si>
  <si>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</si>
  <si>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</si>
  <si>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</si>
  <si>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</si>
  <si>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</si>
  <si>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</si>
  <si>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</si>
  <si>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</si>
  <si>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</si>
  <si>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</si>
  <si>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</si>
  <si>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</si>
  <si>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</si>
  <si>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</si>
  <si>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</si>
  <si>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</si>
  <si>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</si>
  <si>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</si>
  <si>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</si>
  <si>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</si>
  <si>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</si>
  <si>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</si>
  <si>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</si>
  <si>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</si>
  <si>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</si>
  <si>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</si>
  <si>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</si>
  <si>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</si>
  <si>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</si>
  <si>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</si>
  <si>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</si>
  <si>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</si>
  <si>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</si>
  <si>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</si>
  <si>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</si>
  <si>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</si>
  <si>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</si>
  <si>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</si>
  <si>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</si>
  <si>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</si>
  <si>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</si>
  <si>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</si>
  <si>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</si>
  <si>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</si>
  <si>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</si>
  <si>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</si>
  <si>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</si>
  <si>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</si>
  <si>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</si>
  <si>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</si>
  <si>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</si>
  <si>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</si>
  <si>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</si>
  <si>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</si>
  <si>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</si>
  <si>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</si>
  <si>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</si>
  <si>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</si>
  <si>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</si>
  <si>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</si>
  <si>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</si>
  <si>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</si>
  <si>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</si>
  <si>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</si>
  <si>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</si>
  <si>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</si>
  <si>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</si>
  <si>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</si>
  <si>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</si>
  <si>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</si>
  <si>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</si>
  <si>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</si>
  <si>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</si>
  <si>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</si>
  <si>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</si>
  <si>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</si>
  <si>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</si>
  <si>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</si>
  <si>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</si>
  <si>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</si>
  <si>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</si>
  <si>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</si>
  <si>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</si>
  <si>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</si>
  <si>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</si>
  <si>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</si>
  <si>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</si>
  <si>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</si>
  <si>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</si>
  <si>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</si>
  <si>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</si>
  <si>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</si>
  <si>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</si>
  <si>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</si>
  <si>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</si>
  <si>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</si>
  <si>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</si>
  <si>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</si>
  <si>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</si>
  <si>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</si>
  <si>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</si>
  <si>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</si>
  <si>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</si>
  <si>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</si>
  <si>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</si>
  <si>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</si>
  <si>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</si>
  <si>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</si>
  <si>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</si>
  <si>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</si>
  <si>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</si>
  <si>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</si>
  <si>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</si>
  <si>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</si>
  <si>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</si>
  <si>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</si>
  <si>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</si>
  <si>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</si>
  <si>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</si>
  <si>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</si>
  <si>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</si>
  <si>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</si>
  <si>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</si>
  <si>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</si>
  <si>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</si>
  <si>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</si>
  <si>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</si>
  <si>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</si>
  <si>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</si>
  <si>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</si>
  <si>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</si>
  <si>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</si>
  <si>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</si>
  <si>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</si>
  <si>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</si>
  <si>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</si>
  <si>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</si>
  <si>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</si>
  <si>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</si>
  <si>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</si>
  <si>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</si>
  <si>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</si>
  <si>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</si>
  <si>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</si>
  <si>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</si>
  <si>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</si>
  <si>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</si>
  <si>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</si>
  <si>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</si>
  <si>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</si>
  <si>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</si>
  <si>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</si>
  <si>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</si>
  <si>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</si>
  <si>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</si>
  <si>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</si>
  <si>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</si>
  <si>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</si>
  <si>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</si>
  <si>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</si>
  <si>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</si>
  <si>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</si>
  <si>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</si>
  <si>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</si>
  <si>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</si>
  <si>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</si>
  <si>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</si>
  <si>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</si>
  <si>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</si>
  <si>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</si>
  <si>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</si>
  <si>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</si>
  <si>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</si>
  <si>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</si>
  <si>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</si>
  <si>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</si>
  <si>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</si>
  <si>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</si>
  <si>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</si>
  <si>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</si>
  <si>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</si>
  <si>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</si>
  <si>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</si>
  <si>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</si>
  <si>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</si>
  <si>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</si>
  <si>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</si>
  <si>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</si>
  <si>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</si>
  <si>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</si>
  <si>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</si>
  <si>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</si>
  <si>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</si>
  <si>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</si>
  <si>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</si>
  <si>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</si>
  <si>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</si>
  <si>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</si>
  <si>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</si>
  <si>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</si>
  <si>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</si>
  <si>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</si>
  <si>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</si>
  <si>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</si>
  <si>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</si>
  <si>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</si>
  <si>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</si>
  <si>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</si>
  <si>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</si>
  <si>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</si>
  <si>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</si>
  <si>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</si>
  <si>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</si>
  <si>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</si>
  <si>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</si>
  <si>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</si>
  <si>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</si>
  <si>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</si>
  <si>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</si>
  <si>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</si>
  <si>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</si>
  <si>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</si>
  <si>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</si>
  <si>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</si>
  <si>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</si>
  <si>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</si>
  <si>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</si>
  <si>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</si>
  <si>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</si>
  <si>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</si>
  <si>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</si>
  <si>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</si>
  <si>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</si>
  <si>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</si>
  <si>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</si>
  <si>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</si>
  <si>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</si>
  <si>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</si>
  <si>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</si>
  <si>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</si>
  <si>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</si>
  <si>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</si>
  <si>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</si>
  <si>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</si>
  <si>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</si>
  <si>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</si>
  <si>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</si>
  <si>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</si>
  <si>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</si>
  <si>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</si>
  <si>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</si>
  <si>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</si>
  <si>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</si>
  <si>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</si>
  <si>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</si>
  <si>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</si>
  <si>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</si>
  <si>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</si>
  <si>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</si>
  <si>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</si>
  <si>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</si>
  <si>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</si>
  <si>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</si>
  <si>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</si>
  <si>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</si>
  <si>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</si>
  <si>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</si>
  <si>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</si>
  <si>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</si>
  <si>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</si>
  <si>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</si>
  <si>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</si>
  <si>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</si>
  <si>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</si>
  <si>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</si>
  <si>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</si>
  <si>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</si>
  <si>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</si>
  <si>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</si>
  <si>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</si>
  <si>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</si>
  <si>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</si>
  <si>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</si>
  <si>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</si>
  <si>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</si>
  <si>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</si>
  <si>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</si>
  <si>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</si>
  <si>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</si>
  <si>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</si>
  <si>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</si>
  <si>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</si>
  <si>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</si>
  <si>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</si>
  <si>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</si>
  <si>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</si>
  <si>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</si>
  <si>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</si>
  <si>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</si>
  <si>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</si>
  <si>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</si>
  <si>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</si>
  <si>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</si>
  <si>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</si>
  <si>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</si>
  <si>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</si>
  <si>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</si>
  <si>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</si>
  <si>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</si>
  <si>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</si>
  <si>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</si>
  <si>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</si>
  <si>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</si>
  <si>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</si>
  <si>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</si>
  <si>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</si>
  <si>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</si>
  <si>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</si>
  <si>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</si>
  <si>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</si>
  <si>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</si>
  <si>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</si>
  <si>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</si>
  <si>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</si>
  <si>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</si>
  <si>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</si>
  <si>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</si>
  <si>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</si>
  <si>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</si>
  <si>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</si>
  <si>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</si>
  <si>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</si>
  <si>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</si>
  <si>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</si>
  <si>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</si>
  <si>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</si>
  <si>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</si>
  <si>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</si>
  <si>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</si>
  <si>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</si>
  <si>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</si>
  <si>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</si>
  <si>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</si>
  <si>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</si>
  <si>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</si>
  <si>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</si>
  <si>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</si>
  <si>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</si>
  <si>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</si>
  <si>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</si>
  <si>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</si>
  <si>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</si>
  <si>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</si>
  <si>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</si>
  <si>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</si>
  <si>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</si>
  <si>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</si>
  <si>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</si>
  <si>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</si>
  <si>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</si>
  <si>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</si>
  <si>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</si>
  <si>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</si>
  <si>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</si>
  <si>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</si>
  <si>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</si>
  <si>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</si>
  <si>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</si>
  <si>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</si>
  <si>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</si>
  <si>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</si>
  <si>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</si>
  <si>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</si>
  <si>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</si>
  <si>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</si>
  <si>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</si>
  <si>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</si>
  <si>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</si>
  <si>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</si>
  <si>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</si>
  <si>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</si>
  <si>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</si>
  <si>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</si>
  <si>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</si>
  <si>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</si>
  <si>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</si>
  <si>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</si>
  <si>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</si>
  <si>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</si>
  <si>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</si>
  <si>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</si>
  <si>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</si>
  <si>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</si>
  <si>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</si>
  <si>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</si>
  <si>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</si>
  <si>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</si>
  <si>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</si>
  <si>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</si>
  <si>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</si>
  <si>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</si>
  <si>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</si>
  <si>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</si>
  <si>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</si>
  <si>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</si>
  <si>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</si>
  <si>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</si>
  <si>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</si>
  <si>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</si>
  <si>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</si>
  <si>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</si>
  <si>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</si>
  <si>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</si>
  <si>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</si>
  <si>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</si>
  <si>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</si>
  <si>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</si>
  <si>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</si>
  <si>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</si>
  <si>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</si>
  <si>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</si>
  <si>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</si>
  <si>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</si>
  <si>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</si>
  <si>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</si>
  <si>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</si>
  <si>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</si>
  <si>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</si>
  <si>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</si>
  <si>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</si>
  <si>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</si>
  <si>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</si>
  <si>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</si>
  <si>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</si>
  <si>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</si>
  <si>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</si>
  <si>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</si>
  <si>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</si>
  <si>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</si>
  <si>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</si>
  <si>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</si>
  <si>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</si>
  <si>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</si>
  <si>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</si>
  <si>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</si>
  <si>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</si>
  <si>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</si>
  <si>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</si>
  <si>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</si>
  <si>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</si>
  <si>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</si>
  <si>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</si>
  <si>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</si>
  <si>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</si>
  <si>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</si>
  <si>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</si>
  <si>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</si>
  <si>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</si>
  <si>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</si>
  <si>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</si>
  <si>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</si>
  <si>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</si>
  <si>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</si>
  <si>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</si>
  <si>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</si>
  <si>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</si>
  <si>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</si>
  <si>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</si>
  <si>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</si>
  <si>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</si>
  <si>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</si>
  <si>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</si>
  <si>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</si>
  <si>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</si>
  <si>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</si>
  <si>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</si>
  <si>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</si>
  <si>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</si>
  <si>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</si>
  <si>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</si>
  <si>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</si>
  <si>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</si>
  <si>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</si>
  <si>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</si>
  <si>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</si>
  <si>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</si>
  <si>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</si>
  <si>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</si>
  <si>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</si>
  <si>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</si>
  <si>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</si>
  <si>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</si>
  <si>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</si>
  <si>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</si>
  <si>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</si>
  <si>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</si>
  <si>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</si>
  <si>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</si>
  <si>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</si>
  <si>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</si>
  <si>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</si>
  <si>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</si>
  <si>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</si>
  <si>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</si>
  <si>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</si>
  <si>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</si>
  <si>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</si>
  <si>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</si>
  <si>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</si>
  <si>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</si>
  <si>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</si>
  <si>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</si>
  <si>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</si>
  <si>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</si>
  <si>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</si>
  <si>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</si>
  <si>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</si>
  <si>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</si>
  <si>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</si>
  <si>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</si>
  <si>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</si>
  <si>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</si>
  <si>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</si>
  <si>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</si>
  <si>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</si>
  <si>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</si>
  <si>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</si>
  <si>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</si>
  <si>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</si>
  <si>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</si>
  <si>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</si>
  <si>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</si>
  <si>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</si>
  <si>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</si>
  <si>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</si>
  <si>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</si>
  <si>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</si>
  <si>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</si>
  <si>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</si>
  <si>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</si>
  <si>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</si>
  <si>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</si>
  <si>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</si>
  <si>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</si>
  <si>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</si>
  <si>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</si>
  <si>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</si>
  <si>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</si>
  <si>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</si>
  <si>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</si>
  <si>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</si>
  <si>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</si>
  <si>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</si>
  <si>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</si>
  <si>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</si>
  <si>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</si>
  <si>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</si>
  <si>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</si>
  <si>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</si>
  <si>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</si>
  <si>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</si>
  <si>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</si>
  <si>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</si>
  <si>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</si>
  <si>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</si>
  <si>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</si>
  <si>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</si>
  <si>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</si>
  <si>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</si>
  <si>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</si>
  <si>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</si>
  <si>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</si>
  <si>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</si>
  <si>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</si>
  <si>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</si>
  <si>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</si>
  <si>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</si>
  <si>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</si>
  <si>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</si>
  <si>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</si>
  <si>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</si>
  <si>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</si>
  <si>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</si>
  <si>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</si>
  <si>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</si>
  <si>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</si>
  <si>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</si>
  <si>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</si>
  <si>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</si>
  <si>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</si>
  <si>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</si>
  <si>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</si>
  <si>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</si>
  <si>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</si>
  <si>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</si>
  <si>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</si>
  <si>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</si>
  <si>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</si>
  <si>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</si>
  <si>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</si>
  <si>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</si>
  <si>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</si>
  <si>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</si>
  <si>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</si>
  <si>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</si>
  <si>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</si>
  <si>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</si>
  <si>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</si>
  <si>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</si>
  <si>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</si>
  <si>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</si>
  <si>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</si>
  <si>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</si>
  <si>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</si>
  <si>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</si>
  <si>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</si>
  <si>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</si>
  <si>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</si>
  <si>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</si>
  <si>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</si>
  <si>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</si>
  <si>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</si>
  <si>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</si>
  <si>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</si>
  <si>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</si>
  <si>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</si>
  <si>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</si>
  <si>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</si>
  <si>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</si>
  <si>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</si>
  <si>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</si>
  <si>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</si>
  <si>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</si>
  <si>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</si>
  <si>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</si>
  <si>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</si>
  <si>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</si>
  <si>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</si>
  <si>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</si>
  <si>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</si>
  <si>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</si>
  <si>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</si>
  <si>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</si>
  <si>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</si>
  <si>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</si>
  <si>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</si>
  <si>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</si>
  <si>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</si>
  <si>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</si>
  <si>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</si>
  <si>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</si>
  <si>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</si>
  <si>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</si>
  <si>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</si>
  <si>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</si>
  <si>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</si>
  <si>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</si>
  <si>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</si>
  <si>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</si>
  <si>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</si>
  <si>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</si>
  <si>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</si>
  <si>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</si>
  <si>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</si>
  <si>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</si>
  <si>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</si>
  <si>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</si>
  <si>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</si>
  <si>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</si>
  <si>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</si>
  <si>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</si>
  <si>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</si>
  <si>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</si>
  <si>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</si>
  <si>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</si>
  <si>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</si>
  <si>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</si>
  <si>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</si>
  <si>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</si>
  <si>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</si>
  <si>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</si>
  <si>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</si>
  <si>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</si>
  <si>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</si>
  <si>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</si>
  <si>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</si>
  <si>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</si>
  <si>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</si>
  <si>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</si>
  <si>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</si>
  <si>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</si>
  <si>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</si>
  <si>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</si>
  <si>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</si>
  <si>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</si>
  <si>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</si>
  <si>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</si>
  <si>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</si>
  <si>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</si>
  <si>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</si>
  <si>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</si>
  <si>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</si>
  <si>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</si>
  <si>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</si>
  <si>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</si>
  <si>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</si>
  <si>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</si>
  <si>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</si>
  <si>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</si>
  <si>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</si>
  <si>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</si>
  <si>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</si>
  <si>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</si>
  <si>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</si>
  <si>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</si>
  <si>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</si>
  <si>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</si>
  <si>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</si>
  <si>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</si>
  <si>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</si>
  <si>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</si>
  <si>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</si>
  <si>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</si>
  <si>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</si>
  <si>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</si>
  <si>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</si>
  <si>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</si>
  <si>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</si>
  <si>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</si>
  <si>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</si>
  <si>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</si>
  <si>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</si>
  <si>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</si>
  <si>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</si>
  <si>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</si>
  <si>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</si>
  <si>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</si>
  <si>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</si>
  <si>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</si>
  <si>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</si>
  <si>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</si>
  <si>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</si>
  <si>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</si>
  <si>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</si>
  <si>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</si>
  <si>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</si>
  <si>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</si>
  <si>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</si>
  <si>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</si>
  <si>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</si>
  <si>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</si>
  <si>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</si>
  <si>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</si>
  <si>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</si>
  <si>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</si>
  <si>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</si>
  <si>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</si>
  <si>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</si>
  <si>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</si>
  <si>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</si>
  <si>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</si>
  <si>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</si>
  <si>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</si>
  <si>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</si>
  <si>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</si>
  <si>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</si>
  <si>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</si>
  <si>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</si>
  <si>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</si>
  <si>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</si>
  <si>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</si>
  <si>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</si>
  <si>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</si>
  <si>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</si>
  <si>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</si>
  <si>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</si>
  <si>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</si>
  <si>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</si>
  <si>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</si>
  <si>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</si>
  <si>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</si>
  <si>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</si>
  <si>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</si>
  <si>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</si>
  <si>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</si>
  <si>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</si>
  <si>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</si>
  <si>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</si>
  <si>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</si>
  <si>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</si>
  <si>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</si>
  <si>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</si>
  <si>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</si>
  <si>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</si>
  <si>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</si>
  <si>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</si>
  <si>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</si>
  <si>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</si>
  <si>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</si>
  <si>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</si>
  <si>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</si>
  <si>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</si>
  <si>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</si>
  <si>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</si>
  <si>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</si>
  <si>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</si>
  <si>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</si>
  <si>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</si>
  <si>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</si>
  <si>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</si>
  <si>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</si>
  <si>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</si>
  <si>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</si>
  <si>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</si>
  <si>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</si>
  <si>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</si>
  <si>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</si>
  <si>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</si>
  <si>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</si>
  <si>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</si>
  <si>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</si>
  <si>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</si>
  <si>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</si>
  <si>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</si>
  <si>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</si>
  <si>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</si>
  <si>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</si>
  <si>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</si>
  <si>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</si>
  <si>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</si>
  <si>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</si>
  <si>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</si>
  <si>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</si>
  <si>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</si>
  <si>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</si>
  <si>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</si>
  <si>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</si>
  <si>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</si>
  <si>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</si>
  <si>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</si>
  <si>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</si>
  <si>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</si>
  <si>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</si>
  <si>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</si>
  <si>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</si>
  <si>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</si>
  <si>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</si>
  <si>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</si>
  <si>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</si>
  <si>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</si>
  <si>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</si>
  <si>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</si>
  <si>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</si>
  <si>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</si>
  <si>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</si>
  <si>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</si>
  <si>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</si>
  <si>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</si>
  <si>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</si>
  <si>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</si>
  <si>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</si>
  <si>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</si>
  <si>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</si>
  <si>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</si>
  <si>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</si>
  <si>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</si>
  <si>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</si>
  <si>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</si>
  <si>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</si>
  <si>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</si>
  <si>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</si>
  <si>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</si>
  <si>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</si>
  <si>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</si>
  <si>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</si>
  <si>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</si>
  <si>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</si>
  <si>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</si>
  <si>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</si>
  <si>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</si>
  <si>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</si>
  <si>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</si>
  <si>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</si>
  <si>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</si>
  <si>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</si>
  <si>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</si>
  <si>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</si>
  <si>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</si>
  <si>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</si>
  <si>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</si>
  <si>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</si>
  <si>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</si>
  <si>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</si>
  <si>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</si>
  <si>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</si>
  <si>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</si>
  <si>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</si>
  <si>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</si>
  <si>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</si>
  <si>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</si>
  <si>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</si>
  <si>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</si>
  <si>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</si>
  <si>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</si>
  <si>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</si>
  <si>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</si>
  <si>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</si>
  <si>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</si>
  <si>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</si>
  <si>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</si>
  <si>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</si>
  <si>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</si>
  <si>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</si>
  <si>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</si>
  <si>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</si>
  <si>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</si>
  <si>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</si>
  <si>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</si>
  <si>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</si>
  <si>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</si>
  <si>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</si>
  <si>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</si>
  <si>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</si>
  <si>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</si>
  <si>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</si>
  <si>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</si>
  <si>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</si>
  <si>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</si>
  <si>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</si>
  <si>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</si>
  <si>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</si>
  <si>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</si>
  <si>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</si>
  <si>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</si>
  <si>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</si>
  <si>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</si>
  <si>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</si>
  <si>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</si>
  <si>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</si>
  <si>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</si>
  <si>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</si>
  <si>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</si>
  <si>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</si>
  <si>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</si>
  <si>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</si>
  <si>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</si>
  <si>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</si>
  <si>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</si>
  <si>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</si>
  <si>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</si>
  <si>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</si>
  <si>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</si>
  <si>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</si>
  <si>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</si>
  <si>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</si>
  <si>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</si>
  <si>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</si>
  <si>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</si>
  <si>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</si>
  <si>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</si>
  <si>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</si>
  <si>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</si>
  <si>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</si>
  <si>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</si>
  <si>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</si>
  <si>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</si>
  <si>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</si>
  <si>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</si>
  <si>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</si>
  <si>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</si>
  <si>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</si>
  <si>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</si>
  <si>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</si>
  <si>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</si>
  <si>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</si>
  <si>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</si>
  <si>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</si>
  <si>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</si>
  <si>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</si>
  <si>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</si>
  <si>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</si>
  <si>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</si>
  <si>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</si>
  <si>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</si>
  <si>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</si>
  <si>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</si>
  <si>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</si>
  <si>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</si>
  <si>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</si>
  <si>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</si>
  <si>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</si>
  <si>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</si>
  <si>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</si>
  <si>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</si>
  <si>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</si>
  <si>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</si>
  <si>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</si>
  <si>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</si>
  <si>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</si>
  <si>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</si>
  <si>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</si>
  <si>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</si>
  <si>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</si>
  <si>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</si>
  <si>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</si>
  <si>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</si>
  <si>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</si>
  <si>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</si>
  <si>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</si>
  <si>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</si>
  <si>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</si>
  <si>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</si>
  <si>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</si>
  <si>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</si>
  <si>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</si>
  <si>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</si>
  <si>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</si>
  <si>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</si>
  <si>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</si>
  <si>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</si>
  <si>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</si>
  <si>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</si>
  <si>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</si>
  <si>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</si>
  <si>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</si>
  <si>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</si>
  <si>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</si>
  <si>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</si>
  <si>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</si>
  <si>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</si>
  <si>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</si>
  <si>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</si>
  <si>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</si>
  <si>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</si>
  <si>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</si>
  <si>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</si>
  <si>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</si>
  <si>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</si>
  <si>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</si>
  <si>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</si>
  <si>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</si>
  <si>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</si>
  <si>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</si>
  <si>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</si>
  <si>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</si>
  <si>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</si>
  <si>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</si>
  <si>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</si>
  <si>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</si>
  <si>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</si>
  <si>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</si>
  <si>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</si>
  <si>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</si>
  <si>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</si>
  <si>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</si>
  <si>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</si>
  <si>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</si>
  <si>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</si>
  <si>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</si>
  <si>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</si>
  <si>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</si>
  <si>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</si>
  <si>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</si>
  <si>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</si>
  <si>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</si>
  <si>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</si>
  <si>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</si>
  <si>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</si>
  <si>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</si>
  <si>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</si>
  <si>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</si>
  <si>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</si>
  <si>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</si>
  <si>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</si>
  <si>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</si>
  <si>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</si>
  <si>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</si>
  <si>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</si>
  <si>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</si>
  <si>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</si>
  <si>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</si>
  <si>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</si>
  <si>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</si>
  <si>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</si>
  <si>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</si>
  <si>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</si>
  <si>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</si>
  <si>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</si>
  <si>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</si>
  <si>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</si>
  <si>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</si>
  <si>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</si>
  <si>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</si>
  <si>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</si>
  <si>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</si>
  <si>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</si>
  <si>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</si>
  <si>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</si>
  <si>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</si>
  <si>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</si>
  <si>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</si>
  <si>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</si>
  <si>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</si>
  <si>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</si>
  <si>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</si>
  <si>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</si>
  <si>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</si>
  <si>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</si>
  <si>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</si>
  <si>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</si>
  <si>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</si>
  <si>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</si>
  <si>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</si>
  <si>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</si>
  <si>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</si>
  <si>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</si>
  <si>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</si>
  <si>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</si>
  <si>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</si>
  <si>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</si>
  <si>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</si>
  <si>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</si>
  <si>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</si>
  <si>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</si>
  <si>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</si>
  <si>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</si>
  <si>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</si>
  <si>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</si>
  <si>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</si>
  <si>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</si>
  <si>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</si>
  <si>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</si>
  <si>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</si>
  <si>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</si>
  <si>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</si>
  <si>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</si>
  <si>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</si>
  <si>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</si>
  <si>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</si>
  <si>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</si>
  <si>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</si>
  <si>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</si>
  <si>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</si>
  <si>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</si>
  <si>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</si>
  <si>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</si>
  <si>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</si>
  <si>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</si>
  <si>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</si>
  <si>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</si>
  <si>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</si>
  <si>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</si>
  <si>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</si>
  <si>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</si>
  <si>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</si>
  <si>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</si>
  <si>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</si>
  <si>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</si>
  <si>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</si>
  <si>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</si>
  <si>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</si>
  <si>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</si>
  <si>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</si>
  <si>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</si>
  <si>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</si>
  <si>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</si>
  <si>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</si>
  <si>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</si>
  <si>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</si>
  <si>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</si>
  <si>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</si>
  <si>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</si>
  <si>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</si>
  <si>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</si>
  <si>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</si>
  <si>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</si>
  <si>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</si>
  <si>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</si>
  <si>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</si>
  <si>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</si>
  <si>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</si>
  <si>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</si>
  <si>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</si>
  <si>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</si>
  <si>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</si>
  <si>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</si>
  <si>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</si>
  <si>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</si>
  <si>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</si>
  <si>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</si>
  <si>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</si>
  <si>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</si>
  <si>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</si>
  <si>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</si>
  <si>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</si>
  <si>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</si>
  <si>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</si>
  <si>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</si>
  <si>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</si>
  <si>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</si>
  <si>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</si>
  <si>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</si>
  <si>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</si>
  <si>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</si>
  <si>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</si>
  <si>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</si>
  <si>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</si>
  <si>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</si>
  <si>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</si>
  <si>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</si>
  <si>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</si>
  <si>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</si>
  <si>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</si>
  <si>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</si>
  <si>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</si>
  <si>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</si>
  <si>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</si>
  <si>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</si>
  <si>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</si>
  <si>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</si>
  <si>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</si>
  <si>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</si>
  <si>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</si>
  <si>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</si>
  <si>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</si>
  <si>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</si>
  <si>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</si>
  <si>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</si>
  <si>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</si>
  <si>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</si>
  <si>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</si>
  <si>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</si>
  <si>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</si>
  <si>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</si>
  <si>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</si>
  <si>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</si>
  <si>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</si>
  <si>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</si>
  <si>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</si>
  <si>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</si>
  <si>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</si>
  <si>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</si>
  <si>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</si>
  <si>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</si>
  <si>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</si>
  <si>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</si>
  <si>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</si>
  <si>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</si>
  <si>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</si>
  <si>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</si>
  <si>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</si>
  <si>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</si>
  <si>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</si>
  <si>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</si>
  <si>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</si>
  <si>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</si>
  <si>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</si>
  <si>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</si>
  <si>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</si>
  <si>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</si>
  <si>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</si>
  <si>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</si>
  <si>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</si>
  <si>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</si>
  <si>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</si>
  <si>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</si>
  <si>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</si>
  <si>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</si>
  <si>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</si>
  <si>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</si>
  <si>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</si>
  <si>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</si>
  <si>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</si>
  <si>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</si>
  <si>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</si>
  <si>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</si>
  <si>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</si>
  <si>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</si>
  <si>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</si>
  <si>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</si>
  <si>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</si>
  <si>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</si>
  <si>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</si>
  <si>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</si>
  <si>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</si>
  <si>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</si>
  <si>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</si>
  <si>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</si>
  <si>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</si>
  <si>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</si>
  <si>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</si>
  <si>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</si>
  <si>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</si>
  <si>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</si>
  <si>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</si>
  <si>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</si>
  <si>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</si>
  <si>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</si>
  <si>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</si>
  <si>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</si>
  <si>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</si>
  <si>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</si>
  <si>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</si>
  <si>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</si>
  <si>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</si>
  <si>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</si>
  <si>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</si>
  <si>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</si>
  <si>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</si>
  <si>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</si>
  <si>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</si>
  <si>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</si>
  <si>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</si>
  <si>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</si>
  <si>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</si>
  <si>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</si>
  <si>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</si>
  <si>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</si>
  <si>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</si>
  <si>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</si>
  <si>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</si>
  <si>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</si>
  <si>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</si>
  <si>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</si>
  <si>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</si>
  <si>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</si>
  <si>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</si>
  <si>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</si>
  <si>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</si>
  <si>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</si>
  <si>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</si>
  <si>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</si>
  <si>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</si>
  <si>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</si>
  <si>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</si>
  <si>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</si>
  <si>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</si>
  <si>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</si>
  <si>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</si>
  <si>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</si>
  <si>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</si>
  <si>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</si>
  <si>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</si>
  <si>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</si>
  <si>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</si>
  <si>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</si>
  <si>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</si>
  <si>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</si>
  <si>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</si>
  <si>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</si>
  <si>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</si>
  <si>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</si>
  <si>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</si>
  <si>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</si>
  <si>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</si>
  <si>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</si>
  <si>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</si>
  <si>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</si>
  <si>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</si>
  <si>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</si>
  <si>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</si>
  <si>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</si>
  <si>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</si>
  <si>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</si>
  <si>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</si>
  <si>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</si>
  <si>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</si>
  <si>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</si>
  <si>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</si>
  <si>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</si>
  <si>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</si>
  <si>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</si>
  <si>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</si>
  <si>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</si>
  <si>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</si>
  <si>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</si>
  <si>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</si>
  <si>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</si>
  <si>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</si>
  <si>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</si>
  <si>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</si>
  <si>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</si>
  <si>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</si>
  <si>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</si>
  <si>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</si>
  <si>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</si>
  <si>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</si>
  <si>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</si>
  <si>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</si>
  <si>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</si>
  <si>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</si>
  <si>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</si>
  <si>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</si>
  <si>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</si>
  <si>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</si>
  <si>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</si>
  <si>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</si>
  <si>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</si>
  <si>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</si>
  <si>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</si>
  <si>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</si>
  <si>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</si>
  <si>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</si>
  <si>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</si>
  <si>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</si>
  <si>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</si>
  <si>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</si>
  <si>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</si>
  <si>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</si>
  <si>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</si>
  <si>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</si>
  <si>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</si>
  <si>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</si>
  <si>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</si>
  <si>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</si>
  <si>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</si>
  <si>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</si>
  <si>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</si>
  <si>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</si>
  <si>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</si>
  <si>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</si>
  <si>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</si>
  <si>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</si>
  <si>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</si>
  <si>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</si>
  <si>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</si>
  <si>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</si>
  <si>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</si>
  <si>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</si>
  <si>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</si>
  <si>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</si>
  <si>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</si>
  <si>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</si>
  <si>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</si>
  <si>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</si>
  <si>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</si>
  <si>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</si>
  <si>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</si>
  <si>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</si>
  <si>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</si>
  <si>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</si>
  <si>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</si>
  <si>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</si>
  <si>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</si>
  <si>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</si>
  <si>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</si>
  <si>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</si>
  <si>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</si>
  <si>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</si>
  <si>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</si>
  <si>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</si>
  <si>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</si>
  <si>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</si>
  <si>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</si>
  <si>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</si>
  <si>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</si>
  <si>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</si>
  <si>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</si>
  <si>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</si>
  <si>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</si>
  <si>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</si>
  <si>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</si>
  <si>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</si>
  <si>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</si>
  <si>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</si>
  <si>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</si>
  <si>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</si>
  <si>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</si>
  <si>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</si>
  <si>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</si>
  <si>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</si>
  <si>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</si>
  <si>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</si>
  <si>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</si>
  <si>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</si>
  <si>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</si>
  <si>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</si>
  <si>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</si>
  <si>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</si>
  <si>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</si>
  <si>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</si>
  <si>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</si>
  <si>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</si>
  <si>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</si>
  <si>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</si>
  <si>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</si>
  <si>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</si>
  <si>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</si>
  <si>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</si>
  <si>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</si>
  <si>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</si>
  <si>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</si>
  <si>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</si>
  <si>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</si>
  <si>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</si>
  <si>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</si>
  <si>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</si>
  <si>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</si>
  <si>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</si>
  <si>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</si>
  <si>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</si>
  <si>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</si>
  <si>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</si>
  <si>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</si>
  <si>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</si>
  <si>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</si>
  <si>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</si>
  <si>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</si>
  <si>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</si>
  <si>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</si>
  <si>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</si>
  <si>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</si>
  <si>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</si>
  <si>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</si>
  <si>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</si>
  <si>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</si>
  <si>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</si>
  <si>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</si>
  <si>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</si>
  <si>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</si>
  <si>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</si>
  <si>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</si>
  <si>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</si>
  <si>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</si>
  <si>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</si>
  <si>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</si>
  <si>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</si>
  <si>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</si>
  <si>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</si>
  <si>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</si>
  <si>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</si>
  <si>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</si>
  <si>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</si>
  <si>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</si>
  <si>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</si>
  <si>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</si>
  <si>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</si>
  <si>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</si>
  <si>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</si>
  <si>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</si>
  <si>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</si>
  <si>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</si>
  <si>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</si>
  <si>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</si>
  <si>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</si>
  <si>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</si>
  <si>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</si>
  <si>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</si>
  <si>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</si>
  <si>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</si>
  <si>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</si>
  <si>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</si>
  <si>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</si>
  <si>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</si>
  <si>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</si>
  <si>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</si>
  <si>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</si>
  <si>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</si>
  <si>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</si>
  <si>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</si>
  <si>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</si>
  <si>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</si>
  <si>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</si>
  <si>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</si>
  <si>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</si>
  <si>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</si>
  <si>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</si>
  <si>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</si>
  <si>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</si>
  <si>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</si>
  <si>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</si>
  <si>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</si>
  <si>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</si>
  <si>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</si>
  <si>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</si>
  <si>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</si>
  <si>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</si>
  <si>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</si>
  <si>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</si>
  <si>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</si>
  <si>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</si>
  <si>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</si>
  <si>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</si>
  <si>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</si>
  <si>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</si>
  <si>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</si>
  <si>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</si>
  <si>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</si>
  <si>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</si>
  <si>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</si>
  <si>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</si>
  <si>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</si>
  <si>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</si>
  <si>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</si>
  <si>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</si>
  <si>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</si>
  <si>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</si>
  <si>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</si>
  <si>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</si>
  <si>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</si>
  <si>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</si>
  <si>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</si>
  <si>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</si>
  <si>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</si>
  <si>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</si>
  <si>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</si>
  <si>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</si>
  <si>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</si>
  <si>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</si>
  <si>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</si>
  <si>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</si>
  <si>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</si>
  <si>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</si>
  <si>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</si>
  <si>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</si>
  <si>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</si>
  <si>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</si>
  <si>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</si>
  <si>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</si>
  <si>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</si>
  <si>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</si>
  <si>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</si>
  <si>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</si>
  <si>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</si>
  <si>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</si>
  <si>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</si>
  <si>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</si>
  <si>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</si>
  <si>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</si>
  <si>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</si>
  <si>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</si>
  <si>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</si>
  <si>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</si>
  <si>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</si>
  <si>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</si>
  <si>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</si>
  <si>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</si>
  <si>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</si>
  <si>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</si>
  <si>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</si>
  <si>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</si>
  <si>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</si>
  <si>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</si>
  <si>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</si>
  <si>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</si>
  <si>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</si>
  <si>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</si>
  <si>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</si>
  <si>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</si>
  <si>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</si>
  <si>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</si>
  <si>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</si>
  <si>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</si>
  <si>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</si>
  <si>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</si>
  <si>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</si>
  <si>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</si>
  <si>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</si>
  <si>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</si>
  <si>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</si>
  <si>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</si>
  <si>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</si>
  <si>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</si>
  <si>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</si>
  <si>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</si>
  <si>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</si>
  <si>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</si>
  <si>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</si>
  <si>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</si>
  <si>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</si>
  <si>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</si>
  <si>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</si>
  <si>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</si>
  <si>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</si>
  <si>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</si>
  <si>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</si>
  <si>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</si>
  <si>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</si>
  <si>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</si>
  <si>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</si>
  <si>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</si>
  <si>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</si>
  <si>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</si>
  <si>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</si>
  <si>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</si>
  <si>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</si>
  <si>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</si>
  <si>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</si>
  <si>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</si>
  <si>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</si>
  <si>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</si>
  <si>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</si>
  <si>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</si>
  <si>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</si>
  <si>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</si>
  <si>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</si>
  <si>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</si>
  <si>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</si>
  <si>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</si>
  <si>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</si>
  <si>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</si>
  <si>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</si>
  <si>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</si>
  <si>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</si>
  <si>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</si>
  <si>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</si>
  <si>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</si>
  <si>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</si>
  <si>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</si>
  <si>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</si>
  <si>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</si>
  <si>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</si>
  <si>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</si>
  <si>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</si>
  <si>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</si>
  <si>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</si>
  <si>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</si>
  <si>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</si>
  <si>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</si>
  <si>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</si>
  <si>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</si>
  <si>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</si>
  <si>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</si>
  <si>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</si>
  <si>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</si>
  <si>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</si>
  <si>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</si>
  <si>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</si>
  <si>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</si>
  <si>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</si>
  <si>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</si>
  <si>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</si>
  <si>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</si>
  <si>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</si>
  <si>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</si>
  <si>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</si>
  <si>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</si>
  <si>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</si>
  <si>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</si>
  <si>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</si>
  <si>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</si>
  <si>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</si>
  <si>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</si>
  <si>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</si>
  <si>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</si>
  <si>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</si>
  <si>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</si>
  <si>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</si>
  <si>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</si>
  <si>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</si>
  <si>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</si>
  <si>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</si>
  <si>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</si>
  <si>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</si>
  <si>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</si>
  <si>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</si>
  <si>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</si>
  <si>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</si>
  <si>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</si>
  <si>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</si>
  <si>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</si>
  <si>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</si>
  <si>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</si>
  <si>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</si>
  <si>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</si>
  <si>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</si>
  <si>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</si>
  <si>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</si>
  <si>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</si>
  <si>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</si>
  <si>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</si>
  <si>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</si>
  <si>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</si>
  <si>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</si>
  <si>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</si>
  <si>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</si>
  <si>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</si>
  <si>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</si>
  <si>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</si>
  <si>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</si>
  <si>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</si>
  <si>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</si>
  <si>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</si>
  <si>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</si>
  <si>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</si>
  <si>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</si>
  <si>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</si>
  <si>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</si>
  <si>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</si>
  <si>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</si>
  <si>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</si>
  <si>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</si>
  <si>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</si>
  <si>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</si>
  <si>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</si>
  <si>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</si>
  <si>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</si>
  <si>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</si>
  <si>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</si>
  <si>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</si>
  <si>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</si>
  <si>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</si>
  <si>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</si>
  <si>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</si>
  <si>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</si>
  <si>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</si>
  <si>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</si>
  <si>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</si>
  <si>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</si>
  <si>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</si>
  <si>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</si>
  <si>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</si>
  <si>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</si>
  <si>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</si>
  <si>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</si>
  <si>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</si>
  <si>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</si>
  <si>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</si>
  <si>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</si>
  <si>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</si>
  <si>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</si>
  <si>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</si>
  <si>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</si>
  <si>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</si>
  <si>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</si>
  <si>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</si>
  <si>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</si>
  <si>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</si>
  <si>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</si>
  <si>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</si>
  <si>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</si>
  <si>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</si>
  <si>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</si>
  <si>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</si>
  <si>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</si>
  <si>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</si>
  <si>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</si>
  <si>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</si>
  <si>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</si>
  <si>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</si>
  <si>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</si>
  <si>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</si>
  <si>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</si>
  <si>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</si>
  <si>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</si>
  <si>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</si>
  <si>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</si>
  <si>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</si>
  <si>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</si>
  <si>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</si>
  <si>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</si>
  <si>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</si>
  <si>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</si>
  <si>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</si>
  <si>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</si>
  <si>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</si>
  <si>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</si>
  <si>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</si>
  <si>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</si>
  <si>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</si>
  <si>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</si>
  <si>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</si>
  <si>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</si>
  <si>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</si>
  <si>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</si>
  <si>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</si>
  <si>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</si>
  <si>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</si>
  <si>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</si>
  <si>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</si>
  <si>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</si>
  <si>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</si>
  <si>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</si>
  <si>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</si>
  <si>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</si>
  <si>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</si>
  <si>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</si>
  <si>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</si>
  <si>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</si>
  <si>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</si>
  <si>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</si>
  <si>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</si>
  <si>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</si>
  <si>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</si>
  <si>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</si>
  <si>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</si>
  <si>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</si>
  <si>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</si>
  <si>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</si>
  <si>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</si>
  <si>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</si>
  <si>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</si>
  <si>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</si>
  <si>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</si>
  <si>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</si>
  <si>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</si>
  <si>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</si>
  <si>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</si>
  <si>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</si>
  <si>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</si>
  <si>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</si>
  <si>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</si>
  <si>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</si>
  <si>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</si>
  <si>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</si>
  <si>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</si>
  <si>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</si>
  <si>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</si>
  <si>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</si>
  <si>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</si>
  <si>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</si>
  <si>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</si>
  <si>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</si>
  <si>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</si>
  <si>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</si>
  <si>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</si>
  <si>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</si>
  <si>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</si>
  <si>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</si>
  <si>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</si>
  <si>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</si>
  <si>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</si>
  <si>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</si>
  <si>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</si>
  <si>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</si>
  <si>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</si>
  <si>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</si>
  <si>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</si>
  <si>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</si>
  <si>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</si>
  <si>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</si>
  <si>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</si>
  <si>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</si>
  <si>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</si>
  <si>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</si>
  <si>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</si>
  <si>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</si>
  <si>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</si>
  <si>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</si>
  <si>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</si>
  <si>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</si>
  <si>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</si>
  <si>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</si>
  <si>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</si>
  <si>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</si>
  <si>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</si>
  <si>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</si>
  <si>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</si>
  <si>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</si>
  <si>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</si>
  <si>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</si>
  <si>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</si>
  <si>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</si>
  <si>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</si>
  <si>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</si>
  <si>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</si>
  <si>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</si>
  <si>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</si>
  <si>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</si>
  <si>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</si>
  <si>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</si>
  <si>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</si>
  <si>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</si>
  <si>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</si>
  <si>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</si>
  <si>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</si>
  <si>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</si>
  <si>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</si>
  <si>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</si>
  <si>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</si>
  <si>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</si>
  <si>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</si>
  <si>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</si>
  <si>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</si>
  <si>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</si>
  <si>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</si>
  <si>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</si>
  <si>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</si>
  <si>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</si>
  <si>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</si>
  <si>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</si>
  <si>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</si>
  <si>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</si>
  <si>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</si>
  <si>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</si>
  <si>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</si>
  <si>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</si>
  <si>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</si>
  <si>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</si>
  <si>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</si>
  <si>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</si>
  <si>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</si>
  <si>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</si>
  <si>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</si>
  <si>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</si>
  <si>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</si>
  <si>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</si>
  <si>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</si>
  <si>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</si>
  <si>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</si>
  <si>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</si>
  <si>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</si>
  <si>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</si>
  <si>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</si>
  <si>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</si>
  <si>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</si>
  <si>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</si>
  <si>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</si>
  <si>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</si>
  <si>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</si>
  <si>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</si>
  <si>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</si>
  <si>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</si>
  <si>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</si>
  <si>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</si>
  <si>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</si>
  <si>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</si>
  <si>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</si>
  <si>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</si>
  <si>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</si>
  <si>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</si>
  <si>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</si>
  <si>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</si>
  <si>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</si>
  <si>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</si>
  <si>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</si>
  <si>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</si>
  <si>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</si>
  <si>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</si>
  <si>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</si>
  <si>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</si>
  <si>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</si>
  <si>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</si>
  <si>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</si>
  <si>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</si>
  <si>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</si>
  <si>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</si>
  <si>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</si>
  <si>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</si>
  <si>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</si>
  <si>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</si>
  <si>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</si>
  <si>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</si>
  <si>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</si>
  <si>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</si>
  <si>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</si>
  <si>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</si>
  <si>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</si>
  <si>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</si>
  <si>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</si>
  <si>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</si>
  <si>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</si>
  <si>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</si>
  <si>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</si>
  <si>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</si>
  <si>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</si>
  <si>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</si>
  <si>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</si>
  <si>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</si>
  <si>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</si>
  <si>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</si>
  <si>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</si>
  <si>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</si>
  <si>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</si>
  <si>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</si>
  <si>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</si>
  <si>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</si>
  <si>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</si>
  <si>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</si>
  <si>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</si>
  <si>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</si>
  <si>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</si>
  <si>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</si>
  <si>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</si>
  <si>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</si>
  <si>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</si>
  <si>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</si>
  <si>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</si>
  <si>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</si>
  <si>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</si>
  <si>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</si>
  <si>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</si>
  <si>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</si>
  <si>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</si>
  <si>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</si>
  <si>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</si>
  <si>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</si>
  <si>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</si>
  <si>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</si>
  <si>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</si>
  <si>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</si>
  <si>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</si>
  <si>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</si>
  <si>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</si>
  <si>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</si>
  <si>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</si>
  <si>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</si>
  <si>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</si>
  <si>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</si>
  <si>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</si>
  <si>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</si>
  <si>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</si>
  <si>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</si>
  <si>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</si>
  <si>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</si>
  <si>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</si>
  <si>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</si>
  <si>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</si>
  <si>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</si>
  <si>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</si>
  <si>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</si>
  <si>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</si>
  <si>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</si>
  <si>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</si>
  <si>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</si>
  <si>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</si>
  <si>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</si>
  <si>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</si>
  <si>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</si>
  <si>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</si>
  <si>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</si>
  <si>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</si>
  <si>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</si>
  <si>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</si>
  <si>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</si>
  <si>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</si>
  <si>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</si>
  <si>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</si>
  <si>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</si>
  <si>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</si>
  <si>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</si>
  <si>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</si>
  <si>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</si>
  <si>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</si>
  <si>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</si>
  <si>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</si>
  <si>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</si>
  <si>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</si>
  <si>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</si>
  <si>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</si>
  <si>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</si>
  <si>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</si>
  <si>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</si>
  <si>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</si>
  <si>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</si>
  <si>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</si>
  <si>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</si>
  <si>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</si>
  <si>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</si>
  <si>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</si>
  <si>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</si>
  <si>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</si>
  <si>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</si>
  <si>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</si>
  <si>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</si>
  <si>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</si>
  <si>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</si>
  <si>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</si>
  <si>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</si>
  <si>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</si>
  <si>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</si>
  <si>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</si>
  <si>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</si>
  <si>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</si>
  <si>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</si>
  <si>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</si>
  <si>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</si>
  <si>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</si>
  <si>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</si>
  <si>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</si>
  <si>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</si>
  <si>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</si>
  <si>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</si>
  <si>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</si>
  <si>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</si>
  <si>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</si>
  <si>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</si>
  <si>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</si>
  <si>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</si>
  <si>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</si>
  <si>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</si>
  <si>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</si>
  <si>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</si>
  <si>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</si>
  <si>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</si>
  <si>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</si>
  <si>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</si>
  <si>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</si>
  <si>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</si>
  <si>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</si>
  <si>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</si>
  <si>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</si>
  <si>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</si>
  <si>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</si>
  <si>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</si>
  <si>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</si>
  <si>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</si>
  <si>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</si>
  <si>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</si>
  <si>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</si>
  <si>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</si>
  <si>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</si>
  <si>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</si>
  <si>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</si>
  <si>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</si>
  <si>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</si>
  <si>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</si>
  <si>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</si>
  <si>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</si>
  <si>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</si>
  <si>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</si>
  <si>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</si>
  <si>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</si>
  <si>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</si>
  <si>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</si>
  <si>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</si>
  <si>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</si>
  <si>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</si>
  <si>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</si>
  <si>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</si>
  <si>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</si>
  <si>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</si>
  <si>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</si>
  <si>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</si>
  <si>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</si>
  <si>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</si>
  <si>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</si>
  <si>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</si>
  <si>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</si>
  <si>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</si>
  <si>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</si>
  <si>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</si>
  <si>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</si>
  <si>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</si>
  <si>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</si>
  <si>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</si>
  <si>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</si>
  <si>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</si>
  <si>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</si>
  <si>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</si>
  <si>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</si>
  <si>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</si>
  <si>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</si>
  <si>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</si>
  <si>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</si>
  <si>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</si>
  <si>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</si>
  <si>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</si>
  <si>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</si>
  <si>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</si>
  <si>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</si>
  <si>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</si>
  <si>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</si>
  <si>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</si>
  <si>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</si>
  <si>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</si>
  <si>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</si>
  <si>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</si>
  <si>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</si>
  <si>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</si>
  <si>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</si>
  <si>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</si>
  <si>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</si>
  <si>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</si>
  <si>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</si>
  <si>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</si>
  <si>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</si>
  <si>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</si>
  <si>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</si>
  <si>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</si>
  <si>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</si>
  <si>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</si>
  <si>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</si>
  <si>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</si>
  <si>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</si>
  <si>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</si>
  <si>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</si>
  <si>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</si>
  <si>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</si>
  <si>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</si>
  <si>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</si>
  <si>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</si>
  <si>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</si>
  <si>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</si>
  <si>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</si>
  <si>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</si>
  <si>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</si>
  <si>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</si>
  <si>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</si>
  <si>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</si>
  <si>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</si>
  <si>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</si>
  <si>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</si>
  <si>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</si>
  <si>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</si>
  <si>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</si>
  <si>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</si>
  <si>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</si>
  <si>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</si>
  <si>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</si>
  <si>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</si>
  <si>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</si>
  <si>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</si>
  <si>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</si>
  <si>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</si>
  <si>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</si>
  <si>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</si>
  <si>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</si>
  <si>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</si>
  <si>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</si>
  <si>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</si>
  <si>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</si>
  <si>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</si>
  <si>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</si>
  <si>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</si>
  <si>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</si>
  <si>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</si>
  <si>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</si>
  <si>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</si>
  <si>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</si>
  <si>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</si>
  <si>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</si>
  <si>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</si>
  <si>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</si>
  <si>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</si>
  <si>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</si>
  <si>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</si>
  <si>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</si>
  <si>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</si>
  <si>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</si>
  <si>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</si>
  <si>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</si>
  <si>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</si>
  <si>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</si>
  <si>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</si>
  <si>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</si>
  <si>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</si>
  <si>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</si>
  <si>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</si>
  <si>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</si>
  <si>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</si>
  <si>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</si>
  <si>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</si>
  <si>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</si>
  <si>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</si>
  <si>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</si>
  <si>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</si>
  <si>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</si>
  <si>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</si>
  <si>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</si>
  <si>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</si>
  <si>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</si>
  <si>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</si>
  <si>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</si>
  <si>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</si>
  <si>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</si>
  <si>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</si>
  <si>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</si>
  <si>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</si>
  <si>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</si>
  <si>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</si>
  <si>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</si>
  <si>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</si>
  <si>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</si>
  <si>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</si>
  <si>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</si>
  <si>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</si>
  <si>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</si>
  <si>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</si>
  <si>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</si>
  <si>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</si>
  <si>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</si>
  <si>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</si>
  <si>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</si>
  <si>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</si>
  <si>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</si>
  <si>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</si>
  <si>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</si>
  <si>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</si>
  <si>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</si>
  <si>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</si>
  <si>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</si>
  <si>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</si>
  <si>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</si>
  <si>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</si>
  <si>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</si>
  <si>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</si>
  <si>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</si>
  <si>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</si>
  <si>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</si>
  <si>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</si>
  <si>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</si>
  <si>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</si>
  <si>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</si>
  <si>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</si>
  <si>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</si>
  <si>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</si>
  <si>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</si>
  <si>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</si>
  <si>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</si>
  <si>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</si>
  <si>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</si>
  <si>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</si>
  <si>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</si>
  <si>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</si>
  <si>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</si>
  <si>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</si>
  <si>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</si>
  <si>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</si>
  <si>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</si>
  <si>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</si>
  <si>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</si>
  <si>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</si>
  <si>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</si>
  <si>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</si>
  <si>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</si>
  <si>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</si>
  <si>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</si>
  <si>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</si>
  <si>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</si>
  <si>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</si>
  <si>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</si>
  <si>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</si>
  <si>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</si>
  <si>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</si>
  <si>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</si>
  <si>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</si>
  <si>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</si>
  <si>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</si>
  <si>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</si>
  <si>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</si>
  <si>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</si>
  <si>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</si>
  <si>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</si>
  <si>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</si>
  <si>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</si>
  <si>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</si>
  <si>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</si>
  <si>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</si>
  <si>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</si>
  <si>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</si>
  <si>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</si>
  <si>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</si>
  <si>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</si>
  <si>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</si>
  <si>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</si>
  <si>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</si>
  <si>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</si>
  <si>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</si>
  <si>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</si>
  <si>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</si>
  <si>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</si>
  <si>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</si>
  <si>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</si>
  <si>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</si>
  <si>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</si>
  <si>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</si>
  <si>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</si>
  <si>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</si>
  <si>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</si>
  <si>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</si>
  <si>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</si>
  <si>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</si>
  <si>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</si>
  <si>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</si>
  <si>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</si>
  <si>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</si>
  <si>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</si>
  <si>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</si>
  <si>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</si>
  <si>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</si>
  <si>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</si>
  <si>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</si>
  <si>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</si>
  <si>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</si>
  <si>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</si>
  <si>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</si>
  <si>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</si>
  <si>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</si>
  <si>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</si>
  <si>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</si>
  <si>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</si>
  <si>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</si>
  <si>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</si>
  <si>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</si>
  <si>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</si>
  <si>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</si>
  <si>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</si>
  <si>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</si>
  <si>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</si>
  <si>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</si>
  <si>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</si>
  <si>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</si>
  <si>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</si>
  <si>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</si>
  <si>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</si>
  <si>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</si>
  <si>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</si>
  <si>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</si>
  <si>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</si>
  <si>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</si>
  <si>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</si>
  <si>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</si>
  <si>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</si>
  <si>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</si>
  <si>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</si>
  <si>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</si>
  <si>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</si>
  <si>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</si>
  <si>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</si>
  <si>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</si>
  <si>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</si>
  <si>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</si>
  <si>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</si>
  <si>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</si>
  <si>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</si>
  <si>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</si>
  <si>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</si>
  <si>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</si>
  <si>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</si>
  <si>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</si>
  <si>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</si>
  <si>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</si>
  <si>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</si>
  <si>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</si>
  <si>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</si>
  <si>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</si>
  <si>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</si>
  <si>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</si>
  <si>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</si>
  <si>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</si>
  <si>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</si>
  <si>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</si>
  <si>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</si>
  <si>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</si>
  <si>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</si>
  <si>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</si>
  <si>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</si>
  <si>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</si>
  <si>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</si>
  <si>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</si>
  <si>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</si>
  <si>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</si>
  <si>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</si>
  <si>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</si>
  <si>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</si>
  <si>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</si>
  <si>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</si>
  <si>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</si>
  <si>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</si>
  <si>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</si>
  <si>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</si>
  <si>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</si>
  <si>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</si>
  <si>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</si>
  <si>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</si>
  <si>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</si>
  <si>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</si>
  <si>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</si>
  <si>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</si>
  <si>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</si>
  <si>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</si>
  <si>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</si>
  <si>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</si>
  <si>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</si>
  <si>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</si>
  <si>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</si>
  <si>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</si>
  <si>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</si>
  <si>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</si>
  <si>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</si>
  <si>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</si>
  <si>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</si>
  <si>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</si>
  <si>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</si>
  <si>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</si>
  <si>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</si>
  <si>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</si>
  <si>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</si>
  <si>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</si>
  <si>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</si>
  <si>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</si>
  <si>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</si>
  <si>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</si>
  <si>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</si>
  <si>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</si>
  <si>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</si>
  <si>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</si>
  <si>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</si>
  <si>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</si>
  <si>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</si>
  <si>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</si>
  <si>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</si>
  <si>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</si>
  <si>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</si>
  <si>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</si>
  <si>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</si>
  <si>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</si>
  <si>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</si>
  <si>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</si>
  <si>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</si>
  <si>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</si>
  <si>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</si>
  <si>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</si>
  <si>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</si>
  <si>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</si>
  <si>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</si>
  <si>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</si>
  <si>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</si>
  <si>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</si>
  <si>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</si>
  <si>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</si>
  <si>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</si>
  <si>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</si>
  <si>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</si>
  <si>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</si>
  <si>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</si>
  <si>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</si>
  <si>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</si>
  <si>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</si>
  <si>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</si>
  <si>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</si>
  <si>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</si>
  <si>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</si>
  <si>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</si>
  <si>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</si>
  <si>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</si>
  <si>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</si>
  <si>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</si>
  <si>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</si>
  <si>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</si>
  <si>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</si>
  <si>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</si>
  <si>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</si>
  <si>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</si>
  <si>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</si>
  <si>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</si>
  <si>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</si>
  <si>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</si>
  <si>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</si>
  <si>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</si>
  <si>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</si>
  <si>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</si>
  <si>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</si>
  <si>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</si>
  <si>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</si>
  <si>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</si>
  <si>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</si>
  <si>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</si>
  <si>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</si>
  <si>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</si>
  <si>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</si>
  <si>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</si>
  <si>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</si>
  <si>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</si>
  <si>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</si>
  <si>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</si>
  <si>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</si>
  <si>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</si>
  <si>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</si>
  <si>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</si>
  <si>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</si>
  <si>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</si>
  <si>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</si>
  <si>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</si>
  <si>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</si>
  <si>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</si>
  <si>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</si>
  <si>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</si>
  <si>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</si>
  <si>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</si>
  <si>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</si>
  <si>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</si>
  <si>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</si>
  <si>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</si>
  <si>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</si>
  <si>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</si>
  <si>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</si>
  <si>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</si>
  <si>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</si>
  <si>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</si>
  <si>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</si>
  <si>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</si>
  <si>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</si>
  <si>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</si>
  <si>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</si>
  <si>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</si>
  <si>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</si>
  <si>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</si>
  <si>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</si>
  <si>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</si>
  <si>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</si>
  <si>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</si>
  <si>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</si>
  <si>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</si>
  <si>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</si>
  <si>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</si>
  <si>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</si>
  <si>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</si>
  <si>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</si>
  <si>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</si>
  <si>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</si>
  <si>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</si>
  <si>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</si>
  <si>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</si>
  <si>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</si>
  <si>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</si>
  <si>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</si>
  <si>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</si>
  <si>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</si>
  <si>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</si>
  <si>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</si>
  <si>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</si>
  <si>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</si>
  <si>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</si>
  <si>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</si>
  <si>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</si>
  <si>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</si>
  <si>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</si>
  <si>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</si>
  <si>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</si>
  <si>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</si>
  <si>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</si>
  <si>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</si>
  <si>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</si>
  <si>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</si>
  <si>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</si>
  <si>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</si>
  <si>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</si>
  <si>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</si>
  <si>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</si>
  <si>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</si>
  <si>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</si>
  <si>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</si>
  <si>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</si>
  <si>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</si>
  <si>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</si>
  <si>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</si>
  <si>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</si>
  <si>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</si>
  <si>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</si>
  <si>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</si>
  <si>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</si>
  <si>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</si>
  <si>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</si>
  <si>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</si>
  <si>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</si>
  <si>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</si>
  <si>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</si>
  <si>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</si>
  <si>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</si>
  <si>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</si>
  <si>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</si>
  <si>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</si>
  <si>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</si>
  <si>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</si>
  <si>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</si>
  <si>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</si>
  <si>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</si>
  <si>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</si>
  <si>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</si>
  <si>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</si>
  <si>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</si>
  <si>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</si>
  <si>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</si>
  <si>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</si>
  <si>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</si>
  <si>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</si>
  <si>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</si>
  <si>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</si>
  <si>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</si>
  <si>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</si>
  <si>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</si>
  <si>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</si>
  <si>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</si>
  <si>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</si>
  <si>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</si>
  <si>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</si>
  <si>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</si>
  <si>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</si>
  <si>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</si>
  <si>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</si>
  <si>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</si>
  <si>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</si>
  <si>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</si>
  <si>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</si>
  <si>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</si>
  <si>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</si>
  <si>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</si>
  <si>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</si>
  <si>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</si>
  <si>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</si>
  <si>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</si>
  <si>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</si>
  <si>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</si>
  <si>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</si>
  <si>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</si>
  <si>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</si>
  <si>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</si>
  <si>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</si>
  <si>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</si>
  <si>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</si>
  <si>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</si>
  <si>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</si>
  <si>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</si>
  <si>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</si>
  <si>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</si>
  <si>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</si>
  <si>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</si>
  <si>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</si>
  <si>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</si>
  <si>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</si>
  <si>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</si>
  <si>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</si>
  <si>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</si>
  <si>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</si>
  <si>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</si>
  <si>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</si>
  <si>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</si>
  <si>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</si>
  <si>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</si>
  <si>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</si>
  <si>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</si>
  <si>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</si>
  <si>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</si>
  <si>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</si>
  <si>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</si>
  <si>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</si>
  <si>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</si>
  <si>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</si>
  <si>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</si>
  <si>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</si>
  <si>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</si>
  <si>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</si>
  <si>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</si>
  <si>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</si>
  <si>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</si>
  <si>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</si>
  <si>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</si>
  <si>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</si>
  <si>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</si>
  <si>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</si>
  <si>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</si>
  <si>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</si>
  <si>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</si>
  <si>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</si>
  <si>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</si>
  <si>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</si>
  <si>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</si>
  <si>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</si>
  <si>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</si>
  <si>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</si>
  <si>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</si>
  <si>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</si>
  <si>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</si>
  <si>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</si>
  <si>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</si>
  <si>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</si>
  <si>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</si>
  <si>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</si>
  <si>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</si>
  <si>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</si>
  <si>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</si>
  <si>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</si>
  <si>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</si>
  <si>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</si>
  <si>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</si>
  <si>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</si>
  <si>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</si>
  <si>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</si>
  <si>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</si>
  <si>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</si>
  <si>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</si>
  <si>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</si>
  <si>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</si>
  <si>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</si>
  <si>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</si>
  <si>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</si>
  <si>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</si>
  <si>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</si>
  <si>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</si>
  <si>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</si>
  <si>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</si>
  <si>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</si>
  <si>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</si>
  <si>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</si>
  <si>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</si>
  <si>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</si>
  <si>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</si>
  <si>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</si>
  <si>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</si>
  <si>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</si>
  <si>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</si>
  <si>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</si>
  <si>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</si>
  <si>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</si>
  <si>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</si>
  <si>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</si>
  <si>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</si>
  <si>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</si>
  <si>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</si>
  <si>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</si>
  <si>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</si>
  <si>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</si>
  <si>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</si>
  <si>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</si>
  <si>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</si>
  <si>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</si>
  <si>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</si>
  <si>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</si>
  <si>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</si>
  <si>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</si>
  <si>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</si>
  <si>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</si>
  <si>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</si>
  <si>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</si>
  <si>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</si>
  <si>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</si>
  <si>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</si>
  <si>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</si>
  <si>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</si>
  <si>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</si>
  <si>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</si>
  <si>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</si>
  <si>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</si>
  <si>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</si>
  <si>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</si>
  <si>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</si>
  <si>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</si>
  <si>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</si>
  <si>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</si>
  <si>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</si>
  <si>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</si>
  <si>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</si>
  <si>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</si>
  <si>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</si>
  <si>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</si>
  <si>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</si>
  <si>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</si>
  <si>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</si>
  <si>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</si>
  <si>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</si>
  <si>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</si>
  <si>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</si>
  <si>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</si>
  <si>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</si>
  <si>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</si>
  <si>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</si>
  <si>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</si>
  <si>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</si>
  <si>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</si>
  <si>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</si>
  <si>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</si>
  <si>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</si>
  <si>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</si>
  <si>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</si>
  <si>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</si>
  <si>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</si>
  <si>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</si>
  <si>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</si>
  <si>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</si>
  <si>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</si>
  <si>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</si>
  <si>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</si>
  <si>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</si>
  <si>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</si>
  <si>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</si>
  <si>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</si>
  <si>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</si>
  <si>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</si>
  <si>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</si>
  <si>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</si>
  <si>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</si>
  <si>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</si>
  <si>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</si>
  <si>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</si>
  <si>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</si>
  <si>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</si>
  <si>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</si>
  <si>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</si>
  <si>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</si>
  <si>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</si>
  <si>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</si>
  <si>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</si>
  <si>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</si>
  <si>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</si>
  <si>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</si>
  <si>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</si>
  <si>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</si>
  <si>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</si>
  <si>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</si>
  <si>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</si>
  <si>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</si>
  <si>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</si>
  <si>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</si>
  <si>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</si>
  <si>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</si>
  <si>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</si>
  <si>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</si>
  <si>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</si>
  <si>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</si>
  <si>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</si>
  <si>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</si>
  <si>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</si>
  <si>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</si>
  <si>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</si>
  <si>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</si>
  <si>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</si>
  <si>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</si>
  <si>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</si>
  <si>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</si>
  <si>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</si>
  <si>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</si>
  <si>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</si>
  <si>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</si>
  <si>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</si>
  <si>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</si>
  <si>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</si>
  <si>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</si>
  <si>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</si>
  <si>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</si>
  <si>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</si>
  <si>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</si>
  <si>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</si>
  <si>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</si>
  <si>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</si>
  <si>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</si>
  <si>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</si>
  <si>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</si>
  <si>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</si>
  <si>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</si>
  <si>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</si>
  <si>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</si>
  <si>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</si>
  <si>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</si>
  <si>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</si>
  <si>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</si>
  <si>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</si>
  <si>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</si>
  <si>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</si>
  <si>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</si>
  <si>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</si>
  <si>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</si>
  <si>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</si>
  <si>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</si>
  <si>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</si>
  <si>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</si>
  <si>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</si>
  <si>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</si>
  <si>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</si>
  <si>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</si>
  <si>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</si>
  <si>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</si>
  <si>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</si>
  <si>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</si>
  <si>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</si>
  <si>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</si>
  <si>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</si>
  <si>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</si>
  <si>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</si>
  <si>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</si>
  <si>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</si>
  <si>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</si>
  <si>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</si>
  <si>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</si>
  <si>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</si>
  <si>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</si>
  <si>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</si>
  <si>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</si>
  <si>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</si>
  <si>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</si>
  <si>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</si>
  <si>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</si>
  <si>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</si>
  <si>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</si>
  <si>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</si>
  <si>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</si>
  <si>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</si>
  <si>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</si>
  <si>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</si>
  <si>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</si>
  <si>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</si>
  <si>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</si>
  <si>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</si>
  <si>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</si>
  <si>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</si>
  <si>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</si>
  <si>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</si>
  <si>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</si>
  <si>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</si>
  <si>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</si>
  <si>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</si>
  <si>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</si>
  <si>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</si>
  <si>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</si>
  <si>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</si>
  <si>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</si>
  <si>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</si>
  <si>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</si>
  <si>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</si>
  <si>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</si>
  <si>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</si>
  <si>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</si>
  <si>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</si>
  <si>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</si>
  <si>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</si>
  <si>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</si>
  <si>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</si>
  <si>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</si>
  <si>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</si>
  <si>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</si>
  <si>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</si>
  <si>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</si>
  <si>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</si>
  <si>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</si>
  <si>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</si>
  <si>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</si>
  <si>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</si>
  <si>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</si>
  <si>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</si>
  <si>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</si>
  <si>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</si>
  <si>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</si>
  <si>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</si>
  <si>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</si>
  <si>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</si>
  <si>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</si>
  <si>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</si>
  <si>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</si>
  <si>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</si>
  <si>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</si>
  <si>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</si>
  <si>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</si>
  <si>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</si>
  <si>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</si>
  <si>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</si>
  <si>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</si>
  <si>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</si>
  <si>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</si>
  <si>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</si>
  <si>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</si>
  <si>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</si>
  <si>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</si>
  <si>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</si>
  <si>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</si>
  <si>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</si>
  <si>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</si>
  <si>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</si>
  <si>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</si>
  <si>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</si>
  <si>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</si>
  <si>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</si>
  <si>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</si>
  <si>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</si>
  <si>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</si>
  <si>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</si>
  <si>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</si>
  <si>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</si>
  <si>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</si>
  <si>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</si>
  <si>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</si>
  <si>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</si>
  <si>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</si>
  <si>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</si>
  <si>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</si>
  <si>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</si>
  <si>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</si>
  <si>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</si>
  <si>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</si>
  <si>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</si>
  <si>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</si>
  <si>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</si>
  <si>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</si>
  <si>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</si>
  <si>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</si>
  <si>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</si>
  <si>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</si>
  <si>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</si>
  <si>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</si>
  <si>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</si>
  <si>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</si>
  <si>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</si>
  <si>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</si>
  <si>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</si>
  <si>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</si>
  <si>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</si>
  <si>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</si>
  <si>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</si>
  <si>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</si>
  <si>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</si>
  <si>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</si>
  <si>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</si>
  <si>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</si>
  <si>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</si>
  <si>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</si>
  <si>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</si>
  <si>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</si>
  <si>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</si>
  <si>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</si>
  <si>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</si>
  <si>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</si>
  <si>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</si>
  <si>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</si>
  <si>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</si>
  <si>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</si>
  <si>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</si>
  <si>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</si>
  <si>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</si>
  <si>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</si>
  <si>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</si>
  <si>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</si>
  <si>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</si>
  <si>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</si>
  <si>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</si>
  <si>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</si>
  <si>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</si>
  <si>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</si>
  <si>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</si>
  <si>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</si>
  <si>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</si>
  <si>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</si>
  <si>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</si>
  <si>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</si>
  <si>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</si>
  <si>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</si>
  <si>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</si>
  <si>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</si>
  <si>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</si>
  <si>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</si>
  <si>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</si>
  <si>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</si>
  <si>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</si>
  <si>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</si>
  <si>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</si>
  <si>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</si>
  <si>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</si>
  <si>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</si>
  <si>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</si>
  <si>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</si>
  <si>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</si>
  <si>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</si>
  <si>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</si>
  <si>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</si>
  <si>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</si>
  <si>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</si>
  <si>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</si>
  <si>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</si>
  <si>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</si>
  <si>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</si>
  <si>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</si>
  <si>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</si>
  <si>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</si>
  <si>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</si>
  <si>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</si>
  <si>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</si>
  <si>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</si>
  <si>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</si>
  <si>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</si>
  <si>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</si>
  <si>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</si>
  <si>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</si>
  <si>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</si>
  <si>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</si>
  <si>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</si>
  <si>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</si>
  <si>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</si>
  <si>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</si>
  <si>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</si>
  <si>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</si>
  <si>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</si>
  <si>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</si>
  <si>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</si>
  <si>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</si>
  <si>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</si>
  <si>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</si>
  <si>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</si>
  <si>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</si>
  <si>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</si>
  <si>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</si>
  <si>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</si>
  <si>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</si>
  <si>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</si>
  <si>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</si>
  <si>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</si>
  <si>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</si>
  <si>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</si>
  <si>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</si>
  <si>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</si>
  <si>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</si>
  <si>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</si>
  <si>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</si>
  <si>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</si>
  <si>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</si>
  <si>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</si>
  <si>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</si>
  <si>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</si>
  <si>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</si>
  <si>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</si>
  <si>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</si>
  <si>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</si>
  <si>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</si>
  <si>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</si>
  <si>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</si>
  <si>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</si>
  <si>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</si>
  <si>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</si>
  <si>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</si>
  <si>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</si>
  <si>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</si>
  <si>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</si>
  <si>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</si>
  <si>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</si>
  <si>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</si>
  <si>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</si>
  <si>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</si>
  <si>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</si>
  <si>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</si>
  <si>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</si>
  <si>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</si>
  <si>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</si>
  <si>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</si>
  <si>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</si>
  <si>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</si>
  <si>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</si>
  <si>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</si>
  <si>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</si>
  <si>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</si>
  <si>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</si>
  <si>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</si>
  <si>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</si>
  <si>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</si>
  <si>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</si>
  <si>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</si>
  <si>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</si>
  <si>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</si>
  <si>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</si>
  <si>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</si>
  <si>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</si>
  <si>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</si>
  <si>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</si>
  <si>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</si>
  <si>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</si>
  <si>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</si>
  <si>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</si>
  <si>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</si>
  <si>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</si>
  <si>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</si>
  <si>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</si>
  <si>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</si>
  <si>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</si>
  <si>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</si>
  <si>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</si>
  <si>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</si>
  <si>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</si>
  <si>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</si>
  <si>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</si>
  <si>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</si>
  <si>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</si>
  <si>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</si>
  <si>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</si>
  <si>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</si>
  <si>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</si>
  <si>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</si>
  <si>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</si>
  <si>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</si>
  <si>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</si>
  <si>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</si>
  <si>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</si>
  <si>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</si>
  <si>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</si>
  <si>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</si>
  <si>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</si>
  <si>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</si>
  <si>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</si>
  <si>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</si>
  <si>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</si>
  <si>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</si>
  <si>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</si>
  <si>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</si>
  <si>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</si>
  <si>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</si>
  <si>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</si>
  <si>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</si>
  <si>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</si>
  <si>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</si>
  <si>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</si>
  <si>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</si>
  <si>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</si>
  <si>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</si>
  <si>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</si>
  <si>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</si>
  <si>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</si>
  <si>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</si>
  <si>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</si>
  <si>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</si>
  <si>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</si>
  <si>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</si>
  <si>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</si>
  <si>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</si>
  <si>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</si>
  <si>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</si>
  <si>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</si>
  <si>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</si>
  <si>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</si>
  <si>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</si>
  <si>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</si>
  <si>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</si>
  <si>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</si>
  <si>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</si>
  <si>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</si>
  <si>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</si>
  <si>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</si>
  <si>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</si>
  <si>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</si>
  <si>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</si>
  <si>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</si>
  <si>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</si>
  <si>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</si>
  <si>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</si>
  <si>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</si>
  <si>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</si>
  <si>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</si>
  <si>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</si>
  <si>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</si>
  <si>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</si>
  <si>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</si>
  <si>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</si>
  <si>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</si>
  <si>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</si>
  <si>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</si>
  <si>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</si>
  <si>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</si>
  <si>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</si>
  <si>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</si>
  <si>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</si>
  <si>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</si>
  <si>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</si>
  <si>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</si>
  <si>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</si>
  <si>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</si>
  <si>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</si>
  <si>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</si>
  <si>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</si>
  <si>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</si>
  <si>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</si>
  <si>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</si>
  <si>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</si>
  <si>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</si>
  <si>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</si>
  <si>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</si>
  <si>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</si>
  <si>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</si>
  <si>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</si>
  <si>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</si>
  <si>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</si>
  <si>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</si>
  <si>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</si>
  <si>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</si>
  <si>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</si>
  <si>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</si>
  <si>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</si>
  <si>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</si>
  <si>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</si>
  <si>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</si>
  <si>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</si>
  <si>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</si>
  <si>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</si>
  <si>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</si>
  <si>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</si>
  <si>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</si>
  <si>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</si>
  <si>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</si>
  <si>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</si>
  <si>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</si>
  <si>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</si>
  <si>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</si>
  <si>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</si>
  <si>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</si>
  <si>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</si>
  <si>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</si>
  <si>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</si>
  <si>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</si>
  <si>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</si>
  <si>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</si>
  <si>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</si>
  <si>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</si>
  <si>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</si>
  <si>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</si>
  <si>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</si>
  <si>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</si>
  <si>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</si>
  <si>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</si>
  <si>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</si>
  <si>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</si>
  <si>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</si>
  <si>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</si>
  <si>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</si>
  <si>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</si>
  <si>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</si>
  <si>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</si>
  <si>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</si>
  <si>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</si>
  <si>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</si>
  <si>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</si>
  <si>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</si>
  <si>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</si>
  <si>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</si>
  <si>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</si>
  <si>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</si>
  <si>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</si>
  <si>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</si>
  <si>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</si>
  <si>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</si>
  <si>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</si>
  <si>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</si>
  <si>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</si>
  <si>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</si>
  <si>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</si>
  <si>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</si>
  <si>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</si>
  <si>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</si>
  <si>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</si>
  <si>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</si>
  <si>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</si>
  <si>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</si>
  <si>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</si>
  <si>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</si>
  <si>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</si>
  <si>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</si>
  <si>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</si>
  <si>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</si>
  <si>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</si>
  <si>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</si>
  <si>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</si>
  <si>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</si>
  <si>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</si>
  <si>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</si>
  <si>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</si>
  <si>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</si>
  <si>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</si>
  <si>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</si>
  <si>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</si>
  <si>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</si>
  <si>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</si>
  <si>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</si>
  <si>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</si>
  <si>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</si>
  <si>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</si>
  <si>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</si>
  <si>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</si>
  <si>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</si>
  <si>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</si>
  <si>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</si>
  <si>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</si>
  <si>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</si>
  <si>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</si>
  <si>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</si>
  <si>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</si>
  <si>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</si>
  <si>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</si>
  <si>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</si>
  <si>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</si>
  <si>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</si>
  <si>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</si>
  <si>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</si>
  <si>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</si>
  <si>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</si>
  <si>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</si>
  <si>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</si>
  <si>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</si>
  <si>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</si>
  <si>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</si>
  <si>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</si>
  <si>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</si>
  <si>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</si>
  <si>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</si>
  <si>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</si>
  <si>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</si>
  <si>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</si>
  <si>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</si>
  <si>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</si>
  <si>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</si>
  <si>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</si>
  <si>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</si>
  <si>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</si>
  <si>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</si>
  <si>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</si>
  <si>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</si>
  <si>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</si>
  <si>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</si>
  <si>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</si>
  <si>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</si>
  <si>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</si>
  <si>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</si>
  <si>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</si>
  <si>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</si>
  <si>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</si>
  <si>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</si>
  <si>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</si>
  <si>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</si>
  <si>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</si>
  <si>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</si>
  <si>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</si>
  <si>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</si>
  <si>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</si>
  <si>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</si>
  <si>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</si>
  <si>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</si>
  <si>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</si>
  <si>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</si>
  <si>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</si>
  <si>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</si>
  <si>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</si>
  <si>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</si>
  <si>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</si>
  <si>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</si>
  <si>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</si>
  <si>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</si>
  <si>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</si>
  <si>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</si>
  <si>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</si>
  <si>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</si>
  <si>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</si>
  <si>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</si>
  <si>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</si>
  <si>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</si>
  <si>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</si>
  <si>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</si>
  <si>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</si>
  <si>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</si>
  <si>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</si>
  <si>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</si>
  <si>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</si>
  <si>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</si>
  <si>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</si>
  <si>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</si>
  <si>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</si>
  <si>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</si>
  <si>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</si>
  <si>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</si>
  <si>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</si>
  <si>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</si>
  <si>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</si>
  <si>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</si>
  <si>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</si>
  <si>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</si>
  <si>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</si>
  <si>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</si>
  <si>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</si>
  <si>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</si>
  <si>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</si>
  <si>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</si>
  <si>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</si>
  <si>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</si>
  <si>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</si>
  <si>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</si>
  <si>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</si>
  <si>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</si>
  <si>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</si>
  <si>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</si>
  <si>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</si>
  <si>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</si>
  <si>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</si>
  <si>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</si>
  <si>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</si>
  <si>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</si>
  <si>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</si>
  <si>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</si>
  <si>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</si>
  <si>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</si>
  <si>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</si>
  <si>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</si>
  <si>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</si>
  <si>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</si>
  <si>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</si>
  <si>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</si>
  <si>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</si>
  <si>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</si>
  <si>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</si>
  <si>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</si>
  <si>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</si>
  <si>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</si>
  <si>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</si>
  <si>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</si>
  <si>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</si>
  <si>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</si>
  <si>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</si>
  <si>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</si>
  <si>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</si>
  <si>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</si>
  <si>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</si>
  <si>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</si>
  <si>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</si>
  <si>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</si>
  <si>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</si>
  <si>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</si>
  <si>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</si>
  <si>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</si>
  <si>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</si>
  <si>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</si>
  <si>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</si>
  <si>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</si>
  <si>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</si>
  <si>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</si>
  <si>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</si>
  <si>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</si>
  <si>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</si>
  <si>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</si>
  <si>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</si>
  <si>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</si>
  <si>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</si>
  <si>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</si>
  <si>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</si>
  <si>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</si>
  <si>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</si>
  <si>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</si>
  <si>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</si>
  <si>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</si>
  <si>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</si>
  <si>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</si>
  <si>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</si>
  <si>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</si>
  <si>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</si>
  <si>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</si>
  <si>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</si>
  <si>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</si>
  <si>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</si>
  <si>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</si>
  <si>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</si>
  <si>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</si>
  <si>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</si>
  <si>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</si>
  <si>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</si>
  <si>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</si>
  <si>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</si>
  <si>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</si>
  <si>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</si>
  <si>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</si>
  <si>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</si>
  <si>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</si>
  <si>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</si>
  <si>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</si>
  <si>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</si>
  <si>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</si>
  <si>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</si>
  <si>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</si>
  <si>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</si>
  <si>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</si>
  <si>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</si>
  <si>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</si>
  <si>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</si>
  <si>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</si>
  <si>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</si>
  <si>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</si>
  <si>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</si>
  <si>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</si>
  <si>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</si>
  <si>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</si>
  <si>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</si>
  <si>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</si>
  <si>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</si>
  <si>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</si>
  <si>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</si>
  <si>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</si>
  <si>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</si>
  <si>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</si>
  <si>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</si>
  <si>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</si>
  <si>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</si>
  <si>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</si>
  <si>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</si>
  <si>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</si>
  <si>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</si>
  <si>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</si>
  <si>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</si>
  <si>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</si>
  <si>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</si>
  <si>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</si>
  <si>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</si>
  <si>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</si>
  <si>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</si>
  <si>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</si>
  <si>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</si>
  <si>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</si>
  <si>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</si>
  <si>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</si>
  <si>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</si>
  <si>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</si>
  <si>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</si>
  <si>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</si>
  <si>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</si>
  <si>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</si>
  <si>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</si>
  <si>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</si>
  <si>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</si>
  <si>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</si>
  <si>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</si>
  <si>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</si>
  <si>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</si>
  <si>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</si>
  <si>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</si>
  <si>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</si>
  <si>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</si>
  <si>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</si>
  <si>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</si>
  <si>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</si>
  <si>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</si>
  <si>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</si>
  <si>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</si>
  <si>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</si>
  <si>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</si>
  <si>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</si>
  <si>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</si>
  <si>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</si>
  <si>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</si>
  <si>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</si>
  <si>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</si>
  <si>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</si>
  <si>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</si>
  <si>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</si>
  <si>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</si>
  <si>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</si>
  <si>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</si>
  <si>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</si>
  <si>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</si>
  <si>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</si>
  <si>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</si>
  <si>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</si>
  <si>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</si>
  <si>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</si>
  <si>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</si>
  <si>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</si>
  <si>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</si>
  <si>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</si>
  <si>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</si>
  <si>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</si>
  <si>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</si>
  <si>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</si>
  <si>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</si>
  <si>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</si>
  <si>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</si>
  <si>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</si>
  <si>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</si>
  <si>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</si>
  <si>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</si>
  <si>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</si>
  <si>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</si>
  <si>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</si>
  <si>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</si>
  <si>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</si>
  <si>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</si>
  <si>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</si>
  <si>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</si>
  <si>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</si>
  <si>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</si>
  <si>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</si>
  <si>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</si>
  <si>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</si>
  <si>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</si>
  <si>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</si>
  <si>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</si>
  <si>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</si>
  <si>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</si>
  <si>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</si>
  <si>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</si>
  <si>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</si>
  <si>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</si>
  <si>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</si>
  <si>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</si>
  <si>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</si>
  <si>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</si>
  <si>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</si>
  <si>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</si>
  <si>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</si>
  <si>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</si>
  <si>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</si>
  <si>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</si>
  <si>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</si>
  <si>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</si>
  <si>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</si>
  <si>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</si>
  <si>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</si>
  <si>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</si>
  <si>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</si>
  <si>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</si>
  <si>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</si>
  <si>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</si>
  <si>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</si>
  <si>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</si>
  <si>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</si>
  <si>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</si>
  <si>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</si>
  <si>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</si>
  <si>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</si>
  <si>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</si>
  <si>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</si>
  <si>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</si>
  <si>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</si>
  <si>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</si>
  <si>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</si>
  <si>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</si>
  <si>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</si>
  <si>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</si>
  <si>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</si>
  <si>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</si>
  <si>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</si>
  <si>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</si>
  <si>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</si>
  <si>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</si>
  <si>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</si>
  <si>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</si>
  <si>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</si>
  <si>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</si>
  <si>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</si>
  <si>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</si>
  <si>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</si>
  <si>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</si>
  <si>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</si>
  <si>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</si>
  <si>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</si>
  <si>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</si>
  <si>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</si>
  <si>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</si>
  <si>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</si>
  <si>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</si>
  <si>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</si>
  <si>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</si>
  <si>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</si>
  <si>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</si>
  <si>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</si>
  <si>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</si>
  <si>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</si>
  <si>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</si>
  <si>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</si>
  <si>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</si>
  <si>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</si>
  <si>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</si>
  <si>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</si>
  <si>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</si>
  <si>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</si>
  <si>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</si>
  <si>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</si>
  <si>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</si>
  <si>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</si>
  <si>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</si>
  <si>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</si>
  <si>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</si>
  <si>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</si>
  <si>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</si>
  <si>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</si>
  <si>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</si>
  <si>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</si>
  <si>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</si>
  <si>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</si>
  <si>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</si>
  <si>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</si>
  <si>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</si>
  <si>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</si>
  <si>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</si>
  <si>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</si>
  <si>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</si>
  <si>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</si>
  <si>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</si>
  <si>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</si>
  <si>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</si>
  <si>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</si>
  <si>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</si>
  <si>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</si>
  <si>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</si>
  <si>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</si>
  <si>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</si>
  <si>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</si>
  <si>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</si>
  <si>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</si>
  <si>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</si>
  <si>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</si>
  <si>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</si>
  <si>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</si>
  <si>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</si>
  <si>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</si>
  <si>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</si>
  <si>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</si>
  <si>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</si>
  <si>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</si>
  <si>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</si>
  <si>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</si>
  <si>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</si>
  <si>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</si>
  <si>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</si>
  <si>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</si>
  <si>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</si>
  <si>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</si>
  <si>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</si>
  <si>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</si>
  <si>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</si>
  <si>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</si>
  <si>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</si>
  <si>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</si>
  <si>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</si>
  <si>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</si>
  <si>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</si>
  <si>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</si>
  <si>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</si>
  <si>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</si>
  <si>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</si>
  <si>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</si>
  <si>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</si>
  <si>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</si>
  <si>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</si>
  <si>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</si>
  <si>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</si>
  <si>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</si>
  <si>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</si>
  <si>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</si>
  <si>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</si>
  <si>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</si>
  <si>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</si>
  <si>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</si>
  <si>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</si>
  <si>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</si>
  <si>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</si>
  <si>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</si>
  <si>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</si>
  <si>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</si>
  <si>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</si>
  <si>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</si>
  <si>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</si>
  <si>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</si>
  <si>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</si>
  <si>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</si>
  <si>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</si>
  <si>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</si>
  <si>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</si>
  <si>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</si>
  <si>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</si>
  <si>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</si>
  <si>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</si>
  <si>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</si>
  <si>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</si>
  <si>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</si>
  <si>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</si>
  <si>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</si>
  <si>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</si>
  <si>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</si>
  <si>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</si>
  <si>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</si>
  <si>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</si>
  <si>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</si>
  <si>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</si>
  <si>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</si>
  <si>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</si>
  <si>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</si>
  <si>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</si>
  <si>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</si>
  <si>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</si>
  <si>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</si>
  <si>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</si>
  <si>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</si>
  <si>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</si>
  <si>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</si>
  <si>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</si>
  <si>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</si>
  <si>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</si>
  <si>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</si>
  <si>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</si>
  <si>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</si>
  <si>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</si>
  <si>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</si>
  <si>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</si>
  <si>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</si>
  <si>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</si>
  <si>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</si>
  <si>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</si>
  <si>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</si>
  <si>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</si>
  <si>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</si>
  <si>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</si>
  <si>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</si>
  <si>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</si>
  <si>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</si>
  <si>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</si>
  <si>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</si>
  <si>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</si>
  <si>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</si>
  <si>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</si>
  <si>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</si>
  <si>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</si>
  <si>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</si>
  <si>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</si>
  <si>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</si>
  <si>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</si>
  <si>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</si>
  <si>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</si>
  <si>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</si>
  <si>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</si>
  <si>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</si>
  <si>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</si>
  <si>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</si>
  <si>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</si>
  <si>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</si>
  <si>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</si>
  <si>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</si>
  <si>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</si>
  <si>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</si>
  <si>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</si>
  <si>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</si>
  <si>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</si>
  <si>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</si>
  <si>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</si>
  <si>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</si>
  <si>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</si>
  <si>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</si>
  <si>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</si>
  <si>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</si>
  <si>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</si>
  <si>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</si>
  <si>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</si>
  <si>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</si>
  <si>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</si>
  <si>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</si>
  <si>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</si>
  <si>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</si>
  <si>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</si>
  <si>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</si>
  <si>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</si>
  <si>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</si>
  <si>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</si>
  <si>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</si>
  <si>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</si>
  <si>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</si>
  <si>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</si>
  <si>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</si>
  <si>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</si>
  <si>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</si>
  <si>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</si>
  <si>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</si>
  <si>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</si>
  <si>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</si>
  <si>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</si>
  <si>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</si>
  <si>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</si>
  <si>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</si>
  <si>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</si>
  <si>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</si>
  <si>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</si>
  <si>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</si>
  <si>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</si>
  <si>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</si>
  <si>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</si>
  <si>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</si>
  <si>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</si>
  <si>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</si>
  <si>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</si>
  <si>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</si>
  <si>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</si>
  <si>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</si>
  <si>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</si>
  <si>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</si>
  <si>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</si>
  <si>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</si>
  <si>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</si>
  <si>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</si>
  <si>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</si>
  <si>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</si>
  <si>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</si>
  <si>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</si>
  <si>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</si>
  <si>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</si>
  <si>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</si>
  <si>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</si>
  <si>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</si>
  <si>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</si>
  <si>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</si>
  <si>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</si>
  <si>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</si>
  <si>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</si>
  <si>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</si>
  <si>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</si>
  <si>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</si>
  <si>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</si>
  <si>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</si>
  <si>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</si>
  <si>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</si>
  <si>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</si>
  <si>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</si>
  <si>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</si>
  <si>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</si>
  <si>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</si>
  <si>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</si>
  <si>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</si>
  <si>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</si>
  <si>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</si>
  <si>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</si>
  <si>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</si>
  <si>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</si>
  <si>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</si>
  <si>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</si>
  <si>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</si>
  <si>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</si>
  <si>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</si>
  <si>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</si>
  <si>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</si>
  <si>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</si>
  <si>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</si>
  <si>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</si>
  <si>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</si>
  <si>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</si>
  <si>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</si>
  <si>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</si>
  <si>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</si>
  <si>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</si>
  <si>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</si>
  <si>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</si>
  <si>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</si>
  <si>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</si>
  <si>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</si>
  <si>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</si>
  <si>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</si>
  <si>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</si>
  <si>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</si>
  <si>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</si>
  <si>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</si>
  <si>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</si>
  <si>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</si>
  <si>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</si>
  <si>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</si>
  <si>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</si>
  <si>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</si>
  <si>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</si>
  <si>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</si>
  <si>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</si>
  <si>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</si>
  <si>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</si>
  <si>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</si>
  <si>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</si>
  <si>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</si>
  <si>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</si>
  <si>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</si>
  <si>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</si>
  <si>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</si>
  <si>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</si>
  <si>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</si>
  <si>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</si>
  <si>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</si>
  <si>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</si>
  <si>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</si>
  <si>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</si>
  <si>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</si>
  <si>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</si>
  <si>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</si>
  <si>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</si>
  <si>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</si>
  <si>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</si>
  <si>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</si>
  <si>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</si>
  <si>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</si>
  <si>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</si>
  <si>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</si>
  <si>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</si>
  <si>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</si>
  <si>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</si>
  <si>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</si>
  <si>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</si>
  <si>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</si>
  <si>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</si>
  <si>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</si>
  <si>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</si>
  <si>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</si>
  <si>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</si>
  <si>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</si>
  <si>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</si>
  <si>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</si>
  <si>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</si>
  <si>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</si>
  <si>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</si>
  <si>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</si>
  <si>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</si>
  <si>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</si>
  <si>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</si>
  <si>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</si>
  <si>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</si>
  <si>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</si>
  <si>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</si>
  <si>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</si>
  <si>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</si>
  <si>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</si>
  <si>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</si>
  <si>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</si>
  <si>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</si>
  <si>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</si>
  <si>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</si>
  <si>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</si>
  <si>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</si>
  <si>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</si>
  <si>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</si>
  <si>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</si>
  <si>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</si>
  <si>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</si>
  <si>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</si>
  <si>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</si>
  <si>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</si>
  <si>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</si>
  <si>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</si>
  <si>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</si>
  <si>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</si>
  <si>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</si>
  <si>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</si>
  <si>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</si>
  <si>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</si>
  <si>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</si>
  <si>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</si>
  <si>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</si>
  <si>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</si>
  <si>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</si>
  <si>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</si>
  <si>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</si>
  <si>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</si>
  <si>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</si>
  <si>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</si>
  <si>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</si>
  <si>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</si>
  <si>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</si>
  <si>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</si>
  <si>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</si>
  <si>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</si>
  <si>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</si>
  <si>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</si>
  <si>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</si>
  <si>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</si>
  <si>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</si>
  <si>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</si>
  <si>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</si>
  <si>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</si>
  <si>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</si>
  <si>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</si>
  <si>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</si>
  <si>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</si>
  <si>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</si>
  <si>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</si>
  <si>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</si>
  <si>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</si>
  <si>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</si>
  <si>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</si>
  <si>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</si>
  <si>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</si>
  <si>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</si>
  <si>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</si>
  <si>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</si>
  <si>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</si>
  <si>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</si>
  <si>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</si>
  <si>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</si>
  <si>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</si>
  <si>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</si>
  <si>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</si>
  <si>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</si>
  <si>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</si>
  <si>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</si>
  <si>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</si>
  <si>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</si>
  <si>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</si>
  <si>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</si>
  <si>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</si>
  <si>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</si>
  <si>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</si>
  <si>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</si>
  <si>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</si>
  <si>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</si>
  <si>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</si>
  <si>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</si>
  <si>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</si>
  <si>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</si>
  <si>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</si>
  <si>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</si>
  <si>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</si>
  <si>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</si>
  <si>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</si>
  <si>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</si>
  <si>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</si>
  <si>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</si>
  <si>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</si>
  <si>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</si>
  <si>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</si>
  <si>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</si>
  <si>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</si>
  <si>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</si>
  <si>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</si>
  <si>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</si>
  <si>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</si>
  <si>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</si>
  <si>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</si>
  <si>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</si>
  <si>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</si>
  <si>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</si>
  <si>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</si>
  <si>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</si>
  <si>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</si>
  <si>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</si>
  <si>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</si>
  <si>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</si>
  <si>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</si>
  <si>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</si>
  <si>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</si>
  <si>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</si>
  <si>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</si>
  <si>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</si>
  <si>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</si>
  <si>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</si>
  <si>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</si>
  <si>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</si>
  <si>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</si>
  <si>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</si>
  <si>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</si>
  <si>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</si>
  <si>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</si>
  <si>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</si>
  <si>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</si>
  <si>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</si>
  <si>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</si>
  <si>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</si>
  <si>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</si>
  <si>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</si>
  <si>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</si>
  <si>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</si>
  <si>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</si>
  <si>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</si>
  <si>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</si>
  <si>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</si>
  <si>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</si>
  <si>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</si>
  <si>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</si>
  <si>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</si>
  <si>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</si>
  <si>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</si>
  <si>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</si>
  <si>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</si>
  <si>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</si>
  <si>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</si>
  <si>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</si>
  <si>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</si>
  <si>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</si>
  <si>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</si>
  <si>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</si>
  <si>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</si>
  <si>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</si>
  <si>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</si>
  <si>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</si>
  <si>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</si>
  <si>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</si>
  <si>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</si>
  <si>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</si>
  <si>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</si>
  <si>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</si>
  <si>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</si>
  <si>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</si>
  <si>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</si>
  <si>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</si>
  <si>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</si>
  <si>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</si>
  <si>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</si>
  <si>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</si>
  <si>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</si>
  <si>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</si>
  <si>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</si>
  <si>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</si>
  <si>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</si>
  <si>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</si>
  <si>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</si>
  <si>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</si>
  <si>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</si>
  <si>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</si>
  <si>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</si>
  <si>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</si>
  <si>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</si>
  <si>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</si>
  <si>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</si>
  <si>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</si>
  <si>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</si>
  <si>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</si>
  <si>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</si>
  <si>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</si>
  <si>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</si>
  <si>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</si>
  <si>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</si>
  <si>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</si>
  <si>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</si>
  <si>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</si>
  <si>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</si>
  <si>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</si>
  <si>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</si>
  <si>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</si>
  <si>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</si>
  <si>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</si>
  <si>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</si>
  <si>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</si>
  <si>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</si>
  <si>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</si>
  <si>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</si>
  <si>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</si>
  <si>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</si>
  <si>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</si>
  <si>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</si>
  <si>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</si>
  <si>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</si>
  <si>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</si>
  <si>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</si>
  <si>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</si>
  <si>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</si>
  <si>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</si>
  <si>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</si>
  <si>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</si>
  <si>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</si>
  <si>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</si>
  <si>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</si>
  <si>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</si>
  <si>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</si>
  <si>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</si>
  <si>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</si>
  <si>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</si>
  <si>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</si>
  <si>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</si>
  <si>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</si>
  <si>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</si>
  <si>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</si>
  <si>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</si>
  <si>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</si>
  <si>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</si>
  <si>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</si>
  <si>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</si>
  <si>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</si>
  <si>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</si>
  <si>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</si>
  <si>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</si>
  <si>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</si>
  <si>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</si>
  <si>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</si>
  <si>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</si>
  <si>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</si>
  <si>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</si>
  <si>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</si>
  <si>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</si>
  <si>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</si>
  <si>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</si>
  <si>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</si>
  <si>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</si>
  <si>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</si>
  <si>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</si>
  <si>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</si>
  <si>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</si>
  <si>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</si>
  <si>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</si>
  <si>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</si>
  <si>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</si>
  <si>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</si>
  <si>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</si>
  <si>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</si>
  <si>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</si>
  <si>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</si>
  <si>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</si>
  <si>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</si>
  <si>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</si>
  <si>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</si>
  <si>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</si>
  <si>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</si>
  <si>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</si>
  <si>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</si>
  <si>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</si>
  <si>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</si>
  <si>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</si>
  <si>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</si>
  <si>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</si>
  <si>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</si>
  <si>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</si>
  <si>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</si>
  <si>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</si>
  <si>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</si>
  <si>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</si>
  <si>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</si>
  <si>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</si>
  <si>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</si>
  <si>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</si>
  <si>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</si>
  <si>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</si>
  <si>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</si>
  <si>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</si>
  <si>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</si>
  <si>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</si>
  <si>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</si>
  <si>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</si>
  <si>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</si>
  <si>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</si>
  <si>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</si>
  <si>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</si>
  <si>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</si>
  <si>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</si>
  <si>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</si>
  <si>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</si>
  <si>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</si>
  <si>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</si>
  <si>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</si>
  <si>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</si>
  <si>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</si>
  <si>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</si>
  <si>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</si>
  <si>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</si>
  <si>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</si>
  <si>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</si>
  <si>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</si>
  <si>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</si>
  <si>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</si>
  <si>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</si>
  <si>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</si>
  <si>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</si>
  <si>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</si>
  <si>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</si>
  <si>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</si>
  <si>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</si>
  <si>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</si>
  <si>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</si>
  <si>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</si>
  <si>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</si>
  <si>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</si>
  <si>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</si>
  <si>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</si>
  <si>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</si>
  <si>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</si>
  <si>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</si>
  <si>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</si>
  <si>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</si>
  <si>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</si>
  <si>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</si>
  <si>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</si>
  <si>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</si>
  <si>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</si>
  <si>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</si>
  <si>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</si>
  <si>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</si>
  <si>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</si>
  <si>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</si>
  <si>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</si>
  <si>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</si>
  <si>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</si>
  <si>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</si>
  <si>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</si>
  <si>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</si>
  <si>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</si>
  <si>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</si>
  <si>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</si>
  <si>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</si>
  <si>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</si>
  <si>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</si>
  <si>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</si>
  <si>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</si>
  <si>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</si>
  <si>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</si>
  <si>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</si>
  <si>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</si>
  <si>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</si>
  <si>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</si>
  <si>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</si>
  <si>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</si>
  <si>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</si>
  <si>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</si>
  <si>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</si>
  <si>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</si>
  <si>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</si>
  <si>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</si>
  <si>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</si>
  <si>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</si>
  <si>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</si>
  <si>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</si>
  <si>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</si>
  <si>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</si>
  <si>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</si>
  <si>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</si>
  <si>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</si>
  <si>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</si>
  <si>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</si>
  <si>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</si>
  <si>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</si>
  <si>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</si>
  <si>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</si>
  <si>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</si>
  <si>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</si>
  <si>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</si>
  <si>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</si>
  <si>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</si>
  <si>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</si>
  <si>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</si>
  <si>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</si>
  <si>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</si>
  <si>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</si>
  <si>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</si>
  <si>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</si>
  <si>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</si>
  <si>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</si>
  <si>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</si>
  <si>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</si>
  <si>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</si>
  <si>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</si>
  <si>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</si>
  <si>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</si>
  <si>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</si>
  <si>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</si>
  <si>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</si>
  <si>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</si>
  <si>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</si>
  <si>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</si>
  <si>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</si>
  <si>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</si>
  <si>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</si>
  <si>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</si>
  <si>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</si>
  <si>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</si>
  <si>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</si>
  <si>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</si>
  <si>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</si>
  <si>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</si>
  <si>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</si>
  <si>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</si>
  <si>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</si>
  <si>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</si>
  <si>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</si>
  <si>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</si>
  <si>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</si>
  <si>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</si>
  <si>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</si>
  <si>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</si>
  <si>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</si>
  <si>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</si>
  <si>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</si>
  <si>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</si>
  <si>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</si>
  <si>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</si>
  <si>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</si>
  <si>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</si>
  <si>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</si>
  <si>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</si>
  <si>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</si>
  <si>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</si>
  <si>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</si>
  <si>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</si>
  <si>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</si>
  <si>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</si>
  <si>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</si>
  <si>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</si>
  <si>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</si>
  <si>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</si>
  <si>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</si>
  <si>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</si>
  <si>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</si>
  <si>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</si>
  <si>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</si>
  <si>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</si>
  <si>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</si>
  <si>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</si>
  <si>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</si>
  <si>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</si>
  <si>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</si>
  <si>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</si>
  <si>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</si>
  <si>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</si>
  <si>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</si>
  <si>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</si>
  <si>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</si>
  <si>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</si>
  <si>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</si>
  <si>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</si>
  <si>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</si>
  <si>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</si>
  <si>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</si>
  <si>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</si>
  <si>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</si>
  <si>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</si>
  <si>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</si>
  <si>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</si>
  <si>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</si>
  <si>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</si>
  <si>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</si>
  <si>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</si>
  <si>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</si>
  <si>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</si>
  <si>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</si>
  <si>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</si>
  <si>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</si>
  <si>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</si>
  <si>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</si>
  <si>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</si>
  <si>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</si>
  <si>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</si>
  <si>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</si>
  <si>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</si>
  <si>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</si>
  <si>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</si>
  <si>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</si>
  <si>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</si>
  <si>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</si>
  <si>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</si>
  <si>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</si>
  <si>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</si>
  <si>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</si>
  <si>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</si>
  <si>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</si>
  <si>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</si>
  <si>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</si>
  <si>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</si>
  <si>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</si>
  <si>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</si>
  <si>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</si>
  <si>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</si>
  <si>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</si>
  <si>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</si>
  <si>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</si>
  <si>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</si>
  <si>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</si>
  <si>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</si>
  <si>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</si>
  <si>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</si>
  <si>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</si>
  <si>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</si>
  <si>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</si>
  <si>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</si>
  <si>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</si>
  <si>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</si>
  <si>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</si>
  <si>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</si>
  <si>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</si>
  <si>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</si>
  <si>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</si>
  <si>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</si>
  <si>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</si>
  <si>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</si>
  <si>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</si>
  <si>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</si>
  <si>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</si>
  <si>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</si>
  <si>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</si>
  <si>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</si>
  <si>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</si>
  <si>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</si>
  <si>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</si>
  <si>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</si>
  <si>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</si>
  <si>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</si>
  <si>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</si>
  <si>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</si>
  <si>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</si>
  <si>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</si>
  <si>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</si>
  <si>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</si>
  <si>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</si>
  <si>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</si>
  <si>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</si>
  <si>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</si>
  <si>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</si>
  <si>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</si>
  <si>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</si>
  <si>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</si>
  <si>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</si>
  <si>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</si>
  <si>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</si>
  <si>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</si>
  <si>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</si>
  <si>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</si>
  <si>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</si>
  <si>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</si>
  <si>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</si>
  <si>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</si>
  <si>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</si>
  <si>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</si>
  <si>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</si>
  <si>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</si>
  <si>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</si>
  <si>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</si>
  <si>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</si>
  <si>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</si>
  <si>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</si>
  <si>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</si>
  <si>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</si>
  <si>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</si>
  <si>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</si>
  <si>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</si>
  <si>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</si>
  <si>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</si>
  <si>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</si>
  <si>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</si>
  <si>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</si>
  <si>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</si>
  <si>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</si>
  <si>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</si>
  <si>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</si>
  <si>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</si>
  <si>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</si>
  <si>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</si>
  <si>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</si>
  <si>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</si>
  <si>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</si>
  <si>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</si>
  <si>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</si>
  <si>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</si>
  <si>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</si>
  <si>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</si>
  <si>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</si>
  <si>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</si>
  <si>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</si>
  <si>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</si>
  <si>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</si>
  <si>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</si>
  <si>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</si>
  <si>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</si>
  <si>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</si>
  <si>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</si>
  <si>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</si>
  <si>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</si>
  <si>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</si>
  <si>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</si>
  <si>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</si>
  <si>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</si>
  <si>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</si>
  <si>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</si>
  <si>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</si>
  <si>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</si>
  <si>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</si>
  <si>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</si>
  <si>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</si>
  <si>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</si>
  <si>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</si>
  <si>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</si>
  <si>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</si>
  <si>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</si>
  <si>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</si>
  <si>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</si>
  <si>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</si>
  <si>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</si>
  <si>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</si>
  <si>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</si>
  <si>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</si>
  <si>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</si>
  <si>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</si>
  <si>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</si>
  <si>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</si>
  <si>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</si>
  <si>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</si>
  <si>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</si>
  <si>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</si>
  <si>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</si>
  <si>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</si>
  <si>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</si>
  <si>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</si>
  <si>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</si>
  <si>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</si>
  <si>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</si>
  <si>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</si>
  <si>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</si>
  <si>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</si>
  <si>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</si>
  <si>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</si>
  <si>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</si>
  <si>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</si>
  <si>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</si>
  <si>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</si>
  <si>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</si>
  <si>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</si>
  <si>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</si>
  <si>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</si>
  <si>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</si>
  <si>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</si>
  <si>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</si>
  <si>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</si>
  <si>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</si>
  <si>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</si>
  <si>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</si>
  <si>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</si>
  <si>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</si>
  <si>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</si>
  <si>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</si>
  <si>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</si>
  <si>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</si>
  <si>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</si>
  <si>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</si>
  <si>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</si>
  <si>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</si>
  <si>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</si>
  <si>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</si>
  <si>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</si>
  <si>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</si>
  <si>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</si>
  <si>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</si>
  <si>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</si>
  <si>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</si>
  <si>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</si>
  <si>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</si>
  <si>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</si>
  <si>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</si>
  <si>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</si>
  <si>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</si>
  <si>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</si>
  <si>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</si>
  <si>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</si>
  <si>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</si>
  <si>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</si>
  <si>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</si>
  <si>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</si>
  <si>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</si>
  <si>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</si>
  <si>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</si>
  <si>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</si>
  <si>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</si>
  <si>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</si>
  <si>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</si>
  <si>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</si>
  <si>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</si>
  <si>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</si>
  <si>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</si>
  <si>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</si>
  <si>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</si>
  <si>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</si>
  <si>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</si>
  <si>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</si>
  <si>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</si>
  <si>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</si>
  <si>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</si>
  <si>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</si>
  <si>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</si>
  <si>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</si>
  <si>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</si>
  <si>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</si>
  <si>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</si>
  <si>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</si>
  <si>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</si>
  <si>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</si>
  <si>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</si>
  <si>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</si>
  <si>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</si>
  <si>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</si>
  <si>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</si>
  <si>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</si>
  <si>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</si>
  <si>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</si>
  <si>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</si>
  <si>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</si>
  <si>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</si>
  <si>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</si>
  <si>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</si>
  <si>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</si>
  <si>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</si>
  <si>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</si>
  <si>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</si>
  <si>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</si>
  <si>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</si>
  <si>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</si>
  <si>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</si>
  <si>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</si>
  <si>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</si>
  <si>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</si>
  <si>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</si>
  <si>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</si>
  <si>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</si>
  <si>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</si>
  <si>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</si>
  <si>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</si>
  <si>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</si>
  <si>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</si>
  <si>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</si>
  <si>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</si>
  <si>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</si>
  <si>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</si>
  <si>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</si>
  <si>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</si>
  <si>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</si>
  <si>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</si>
  <si>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</si>
  <si>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</si>
  <si>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</si>
  <si>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</si>
  <si>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</si>
  <si>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</si>
  <si>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</si>
  <si>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</si>
  <si>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</si>
  <si>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</si>
  <si>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</si>
  <si>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</si>
  <si>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</si>
  <si>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</si>
  <si>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</si>
  <si>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</si>
  <si>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</si>
  <si>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</si>
  <si>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</si>
  <si>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</si>
  <si>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</si>
  <si>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</si>
  <si>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</si>
  <si>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</si>
  <si>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</si>
  <si>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</si>
  <si>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</si>
  <si>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</si>
  <si>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</si>
  <si>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</si>
  <si>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</si>
  <si>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</si>
  <si>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</si>
  <si>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</si>
  <si>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</si>
  <si>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</si>
  <si>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</si>
  <si>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</si>
  <si>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</si>
  <si>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</si>
  <si>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</si>
  <si>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</si>
  <si>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</si>
  <si>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</si>
  <si>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</si>
  <si>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</si>
  <si>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</si>
  <si>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</si>
  <si>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</si>
  <si>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</si>
  <si>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</si>
  <si>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</si>
  <si>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</si>
  <si>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</si>
  <si>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</si>
  <si>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</si>
  <si>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</si>
  <si>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</si>
  <si>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</si>
  <si>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</si>
  <si>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</si>
  <si>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</si>
  <si>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</si>
  <si>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</si>
  <si>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</si>
  <si>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</si>
  <si>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</si>
  <si>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</si>
  <si>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</si>
  <si>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</si>
  <si>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</si>
  <si>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</si>
  <si>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</si>
  <si>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</si>
  <si>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</si>
  <si>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</si>
  <si>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</si>
  <si>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</si>
  <si>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</si>
  <si>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</si>
  <si>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</si>
  <si>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</si>
  <si>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</si>
  <si>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</si>
  <si>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</si>
  <si>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</si>
  <si>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</si>
  <si>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</si>
  <si>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</si>
  <si>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</si>
  <si>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</si>
  <si>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</si>
  <si>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</si>
  <si>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</si>
  <si>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</si>
  <si>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</si>
  <si>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</si>
  <si>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</si>
  <si>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</si>
  <si>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</si>
  <si>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</si>
  <si>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</si>
  <si>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</si>
  <si>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</si>
  <si>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</si>
  <si>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</si>
  <si>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</si>
  <si>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</si>
  <si>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</si>
  <si>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</si>
  <si>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</si>
  <si>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</si>
  <si>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</si>
  <si>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</si>
  <si>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</si>
  <si>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</si>
  <si>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</si>
  <si>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</si>
  <si>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</si>
  <si>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</si>
  <si>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</si>
  <si>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</si>
  <si>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</si>
  <si>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</si>
  <si>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</si>
  <si>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</si>
  <si>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</si>
  <si>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</si>
  <si>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</si>
  <si>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</si>
  <si>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</si>
  <si>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</si>
  <si>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</si>
  <si>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</si>
  <si>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</si>
  <si>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</si>
  <si>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</si>
  <si>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</si>
  <si>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</si>
  <si>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</si>
  <si>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</si>
  <si>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</si>
  <si>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</si>
  <si>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</si>
  <si>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</si>
  <si>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</si>
  <si>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</si>
  <si>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</si>
  <si>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</si>
  <si>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</si>
  <si>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</si>
  <si>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</si>
  <si>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</si>
  <si>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item_id</t>
  </si>
  <si>
    <t>product_id</t>
  </si>
  <si>
    <t>quantity</t>
  </si>
  <si>
    <t>list_price</t>
  </si>
  <si>
    <t>discount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</si>
  <si>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</si>
  <si>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</si>
  <si>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</si>
  <si>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</si>
  <si>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</si>
  <si>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</si>
  <si>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</si>
  <si>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</si>
  <si>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</si>
  <si>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</si>
  <si>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</si>
  <si>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</si>
  <si>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</si>
  <si>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</si>
  <si>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</si>
  <si>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</si>
  <si>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</si>
  <si>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</si>
  <si>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</si>
  <si>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</si>
  <si>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</si>
  <si>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</si>
  <si>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</si>
  <si>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</si>
  <si>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</si>
  <si>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</si>
  <si>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</si>
  <si>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</si>
  <si>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</si>
  <si>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</si>
  <si>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</si>
  <si>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</si>
  <si>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</si>
  <si>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</si>
  <si>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</si>
  <si>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</si>
  <si>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</si>
  <si>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</si>
  <si>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</si>
  <si>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</si>
  <si>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</si>
  <si>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</si>
  <si>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</si>
  <si>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</si>
  <si>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</si>
  <si>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</si>
  <si>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</si>
  <si>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</si>
  <si>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</si>
  <si>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</si>
  <si>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</si>
  <si>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</si>
  <si>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</si>
  <si>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</si>
  <si>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</si>
  <si>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</si>
  <si>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</si>
  <si>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</si>
  <si>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</si>
  <si>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</si>
  <si>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</si>
  <si>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</si>
  <si>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</si>
  <si>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</si>
  <si>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</si>
  <si>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</si>
  <si>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</si>
  <si>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</si>
  <si>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</si>
  <si>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</si>
  <si>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</si>
  <si>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</si>
  <si>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</si>
  <si>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</si>
  <si>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</si>
  <si>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</si>
  <si>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</si>
  <si>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</si>
  <si>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</si>
  <si>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</si>
  <si>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</si>
  <si>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</si>
  <si>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</si>
  <si>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</si>
  <si>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</si>
  <si>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</si>
  <si>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</si>
  <si>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</si>
  <si>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</si>
  <si>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</si>
  <si>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</si>
  <si>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</si>
  <si>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</si>
  <si>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</si>
  <si>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</si>
  <si>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</si>
  <si>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</si>
  <si>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</si>
  <si>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</si>
  <si>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</si>
  <si>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</si>
  <si>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</si>
  <si>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</si>
  <si>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</si>
  <si>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</si>
  <si>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</si>
  <si>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</si>
  <si>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</si>
  <si>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</si>
  <si>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</si>
  <si>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</si>
  <si>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</si>
  <si>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</si>
  <si>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</si>
  <si>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</si>
  <si>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</si>
  <si>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</si>
  <si>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</si>
  <si>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</si>
  <si>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</si>
  <si>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</si>
  <si>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</si>
  <si>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</si>
  <si>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</si>
  <si>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</si>
  <si>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</si>
  <si>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</si>
  <si>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</si>
  <si>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</si>
  <si>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</si>
  <si>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</si>
  <si>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</si>
  <si>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</si>
  <si>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</si>
  <si>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</si>
  <si>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</si>
  <si>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</si>
  <si>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</si>
  <si>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</si>
  <si>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</si>
  <si>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</si>
  <si>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</si>
  <si>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</si>
  <si>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</si>
  <si>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</si>
  <si>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</si>
  <si>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</si>
  <si>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</si>
  <si>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</si>
  <si>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</si>
  <si>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</si>
  <si>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</si>
  <si>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</si>
  <si>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</si>
  <si>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</si>
  <si>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</si>
  <si>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</si>
  <si>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</si>
  <si>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</si>
  <si>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</si>
  <si>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</si>
  <si>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</si>
  <si>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</si>
  <si>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</si>
  <si>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</si>
  <si>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</si>
  <si>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</si>
  <si>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</si>
  <si>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</si>
  <si>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</si>
  <si>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</si>
  <si>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</si>
  <si>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</si>
  <si>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</si>
  <si>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</si>
  <si>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</si>
  <si>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</si>
  <si>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</si>
  <si>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</si>
  <si>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</si>
  <si>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</si>
  <si>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</si>
  <si>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</si>
  <si>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</si>
  <si>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</si>
  <si>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</si>
  <si>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</si>
  <si>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</si>
  <si>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</si>
  <si>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</si>
  <si>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</si>
  <si>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</si>
  <si>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</si>
  <si>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</si>
  <si>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</si>
  <si>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</si>
  <si>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</si>
  <si>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</si>
  <si>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</si>
  <si>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</si>
  <si>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</si>
  <si>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</si>
  <si>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</si>
  <si>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</si>
  <si>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</si>
  <si>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</si>
  <si>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</si>
  <si>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</si>
  <si>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</si>
  <si>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</si>
  <si>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</si>
  <si>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</si>
  <si>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</si>
  <si>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</si>
  <si>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</si>
  <si>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</si>
  <si>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</si>
  <si>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</si>
  <si>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</si>
  <si>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</si>
  <si>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</si>
  <si>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</si>
  <si>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</si>
  <si>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</si>
  <si>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</si>
  <si>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</si>
  <si>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</si>
  <si>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</si>
  <si>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</si>
  <si>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</si>
  <si>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</si>
  <si>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</si>
  <si>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</si>
  <si>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</si>
  <si>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</si>
  <si>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</si>
  <si>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</si>
  <si>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</si>
  <si>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</si>
  <si>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</si>
  <si>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</si>
  <si>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</si>
  <si>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</si>
  <si>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</si>
  <si>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</si>
  <si>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</si>
  <si>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</si>
  <si>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</si>
  <si>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</si>
  <si>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</si>
  <si>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</si>
  <si>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</si>
  <si>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</si>
  <si>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</si>
  <si>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</si>
  <si>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</si>
  <si>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</si>
  <si>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</si>
  <si>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</si>
  <si>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</si>
  <si>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</si>
  <si>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</si>
  <si>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</si>
  <si>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</si>
  <si>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</si>
  <si>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</si>
  <si>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</si>
  <si>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</si>
  <si>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</si>
  <si>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</si>
  <si>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</si>
  <si>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</si>
  <si>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</si>
  <si>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</si>
  <si>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</si>
  <si>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</si>
  <si>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</si>
  <si>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</si>
  <si>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</si>
  <si>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</si>
  <si>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</si>
  <si>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</si>
  <si>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</si>
  <si>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</si>
  <si>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</si>
  <si>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</si>
  <si>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</si>
  <si>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</si>
  <si>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</si>
  <si>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</si>
  <si>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</si>
  <si>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</si>
  <si>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</si>
  <si>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</si>
  <si>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</si>
  <si>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</si>
  <si>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</si>
  <si>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</si>
  <si>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</si>
  <si>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</si>
  <si>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</si>
  <si>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</si>
  <si>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</si>
  <si>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</si>
  <si>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</si>
  <si>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</si>
  <si>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</si>
  <si>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</si>
  <si>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</si>
  <si>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</si>
  <si>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</si>
  <si>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</si>
  <si>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</si>
  <si>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</si>
  <si>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</si>
  <si>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</si>
  <si>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</si>
  <si>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</si>
  <si>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</si>
  <si>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</si>
  <si>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</si>
  <si>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</si>
  <si>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</si>
  <si>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</si>
  <si>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</si>
  <si>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</si>
  <si>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</si>
  <si>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</si>
  <si>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</si>
  <si>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</si>
  <si>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</si>
  <si>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</si>
  <si>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</si>
  <si>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</si>
  <si>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</si>
  <si>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</si>
  <si>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</si>
  <si>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</si>
  <si>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</si>
  <si>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</si>
  <si>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NA</t>
  </si>
  <si>
    <t>total_price</t>
  </si>
  <si>
    <t>Row Labels</t>
  </si>
  <si>
    <t>Grand Total</t>
  </si>
  <si>
    <t>Sum of total_price</t>
  </si>
  <si>
    <t>Outliers In Pricing</t>
  </si>
  <si>
    <t>Average of price</t>
  </si>
  <si>
    <t>Standard Deviation</t>
  </si>
  <si>
    <t>Z-score</t>
  </si>
  <si>
    <t xml:space="preserve">Conditional formatting used and highlighted the highest outliers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</si>
</sst>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14009]yyyy/mm/dd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 tint="0.59999389629810485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4" fillId="0" borderId="0" xfId="0" applyFont="1" applyAlignment="1">
      <alignment horizontal="center" vertical="top"/>
    </xf>
    <xf numFmtId="9" fontId="1" fillId="0" borderId="0" xfId="1" applyFont="1" applyBorder="1" applyAlignment="1">
      <alignment horizontal="center" vertical="top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5" fillId="2" borderId="0" xfId="0" applyFont="1" applyFill="1"/>
    <xf numFmtId="165" fontId="1" fillId="0" borderId="0" xfId="0" applyNumberFormat="1" applyFont="1" applyAlignment="1">
      <alignment horizontal="center" vertical="top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2">
    <dxf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6F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Raasendiran" refreshedDate="45975.84635324074" createdVersion="8" refreshedVersion="8" minRefreshableVersion="3" recordCount="4722" xr:uid="{E5BD3045-2934-41AF-8730-CF3859BE833B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product_name" numFmtId="0">
      <sharedItems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9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71.99199999999999" maxValue="21599.9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s v="Electra Townie Original 7D EQ - Women's - 2016"/>
    <n v="3"/>
    <x v="0"/>
    <n v="1"/>
    <n v="599.99"/>
    <n v="0.2"/>
    <n v="479.99200000000002"/>
  </r>
  <r>
    <n v="1"/>
    <n v="2"/>
    <n v="8"/>
    <s v="Trek Remedy 29 Carbon Frameset - 2016"/>
    <n v="6"/>
    <x v="1"/>
    <n v="2"/>
    <n v="1799.99"/>
    <n v="7.0000000000000007E-2"/>
    <n v="3347.9814000000001"/>
  </r>
  <r>
    <n v="1"/>
    <n v="3"/>
    <n v="10"/>
    <s v="Surly Straggler - 2016"/>
    <n v="4"/>
    <x v="2"/>
    <n v="2"/>
    <n v="1549"/>
    <n v="0.05"/>
    <n v="2943.1"/>
  </r>
  <r>
    <n v="1"/>
    <n v="4"/>
    <n v="16"/>
    <s v="Electra Townie Original 7D EQ - 2016"/>
    <n v="3"/>
    <x v="0"/>
    <n v="2"/>
    <n v="599.99"/>
    <n v="0.05"/>
    <n v="1139.981"/>
  </r>
  <r>
    <n v="1"/>
    <n v="5"/>
    <n v="4"/>
    <s v="Trek Fuel EX 8 29 - 2016"/>
    <n v="6"/>
    <x v="1"/>
    <n v="1"/>
    <n v="2899.99"/>
    <n v="0.2"/>
    <n v="2319.9919999999997"/>
  </r>
  <r>
    <n v="2"/>
    <n v="1"/>
    <n v="20"/>
    <s v="Electra Townie Original 7D EQ - Women's - 2016"/>
    <n v="3"/>
    <x v="0"/>
    <n v="1"/>
    <n v="599.99"/>
    <n v="7.0000000000000007E-2"/>
    <n v="557.99070000000006"/>
  </r>
  <r>
    <n v="2"/>
    <n v="2"/>
    <n v="16"/>
    <s v="Electra Townie Original 7D EQ - 2016"/>
    <n v="3"/>
    <x v="0"/>
    <n v="2"/>
    <n v="599.99"/>
    <n v="0.05"/>
    <n v="1139.981"/>
  </r>
  <r>
    <n v="3"/>
    <n v="1"/>
    <n v="3"/>
    <s v="Surly Wednesday Frameset - 2016"/>
    <n v="6"/>
    <x v="1"/>
    <n v="1"/>
    <n v="999.99"/>
    <n v="0.05"/>
    <n v="949.9905"/>
  </r>
  <r>
    <n v="3"/>
    <n v="2"/>
    <n v="20"/>
    <s v="Electra Townie Original 7D EQ - Women's - 2016"/>
    <n v="3"/>
    <x v="0"/>
    <n v="1"/>
    <n v="599.99"/>
    <n v="0.05"/>
    <n v="569.9905"/>
  </r>
  <r>
    <n v="4"/>
    <n v="1"/>
    <n v="2"/>
    <s v="Ritchey Timberwolf Frameset - 2016"/>
    <n v="6"/>
    <x v="1"/>
    <n v="2"/>
    <n v="749.99"/>
    <n v="0.1"/>
    <n v="1349.982"/>
  </r>
  <r>
    <n v="5"/>
    <n v="1"/>
    <n v="10"/>
    <s v="Surly Straggler - 2016"/>
    <n v="4"/>
    <x v="2"/>
    <n v="2"/>
    <n v="1549"/>
    <n v="0.05"/>
    <n v="2943.1"/>
  </r>
  <r>
    <n v="5"/>
    <n v="2"/>
    <n v="17"/>
    <s v="Pure Cycles Vine 8-Speed - 2016"/>
    <n v="3"/>
    <x v="0"/>
    <n v="1"/>
    <n v="429"/>
    <n v="7.0000000000000007E-2"/>
    <n v="398.97"/>
  </r>
  <r>
    <n v="5"/>
    <n v="3"/>
    <n v="26"/>
    <s v="Electra Townie Original 7D EQ - 2016"/>
    <n v="2"/>
    <x v="3"/>
    <n v="1"/>
    <n v="599.99"/>
    <n v="7.0000000000000007E-2"/>
    <n v="557.99070000000006"/>
  </r>
  <r>
    <n v="6"/>
    <n v="1"/>
    <n v="18"/>
    <s v="Pure Cycles Western 3-Speed - Women's - 2015/2016"/>
    <n v="3"/>
    <x v="0"/>
    <n v="1"/>
    <n v="449"/>
    <n v="7.0000000000000007E-2"/>
    <n v="417.57"/>
  </r>
  <r>
    <n v="6"/>
    <n v="2"/>
    <n v="12"/>
    <s v="Electra Townie Original 21D - 2016"/>
    <n v="3"/>
    <x v="0"/>
    <n v="2"/>
    <n v="549.99"/>
    <n v="0.05"/>
    <n v="1044.981"/>
  </r>
  <r>
    <n v="6"/>
    <n v="3"/>
    <n v="20"/>
    <s v="Electra Townie Original 7D EQ - Women's - 2016"/>
    <n v="3"/>
    <x v="0"/>
    <n v="1"/>
    <n v="599.99"/>
    <n v="0.1"/>
    <n v="539.99099999999999"/>
  </r>
  <r>
    <n v="6"/>
    <n v="4"/>
    <n v="3"/>
    <s v="Surly Wednesday Frameset - 2016"/>
    <n v="6"/>
    <x v="1"/>
    <n v="2"/>
    <n v="999.99"/>
    <n v="7.0000000000000007E-2"/>
    <n v="1859.9814000000001"/>
  </r>
  <r>
    <n v="6"/>
    <n v="5"/>
    <n v="9"/>
    <s v="Trek Conduit+ - 2016"/>
    <n v="5"/>
    <x v="4"/>
    <n v="2"/>
    <n v="2999.99"/>
    <n v="7.0000000000000007E-2"/>
    <n v="5579.9813999999997"/>
  </r>
  <r>
    <n v="7"/>
    <n v="1"/>
    <n v="15"/>
    <s v="Electra Moto 1 - 2016"/>
    <n v="3"/>
    <x v="0"/>
    <n v="1"/>
    <n v="529.99"/>
    <n v="7.0000000000000007E-2"/>
    <n v="492.89069999999998"/>
  </r>
  <r>
    <n v="7"/>
    <n v="2"/>
    <n v="3"/>
    <s v="Surly Wednesday Frameset - 2016"/>
    <n v="6"/>
    <x v="1"/>
    <n v="1"/>
    <n v="999.99"/>
    <n v="0.1"/>
    <n v="899.99099999999999"/>
  </r>
  <r>
    <n v="7"/>
    <n v="3"/>
    <n v="17"/>
    <s v="Pure Cycles Vine 8-Speed - 2016"/>
    <n v="3"/>
    <x v="0"/>
    <n v="2"/>
    <n v="429"/>
    <n v="0.1"/>
    <n v="772.2"/>
  </r>
  <r>
    <n v="8"/>
    <n v="1"/>
    <n v="22"/>
    <s v="Electra Girl's Hawaii 1 (16-inch) - 2015/2016"/>
    <n v="1"/>
    <x v="5"/>
    <n v="1"/>
    <n v="269.99"/>
    <n v="0.05"/>
    <n v="256.4905"/>
  </r>
  <r>
    <n v="8"/>
    <n v="2"/>
    <n v="20"/>
    <s v="Electra Townie Original 7D EQ - Women's - 2016"/>
    <n v="3"/>
    <x v="0"/>
    <n v="2"/>
    <n v="599.99"/>
    <n v="7.0000000000000007E-2"/>
    <n v="1115.9814000000001"/>
  </r>
  <r>
    <n v="9"/>
    <n v="1"/>
    <n v="7"/>
    <s v="Trek Slash 8 27.5 - 2016"/>
    <n v="6"/>
    <x v="1"/>
    <n v="2"/>
    <n v="3999.99"/>
    <n v="0.1"/>
    <n v="7199.982"/>
  </r>
  <r>
    <n v="10"/>
    <n v="1"/>
    <n v="14"/>
    <s v="Electra Girl's Hawaii 1 (16-inch) - 2015/2016"/>
    <n v="3"/>
    <x v="0"/>
    <n v="1"/>
    <n v="269.99"/>
    <n v="0.1"/>
    <n v="242.99100000000001"/>
  </r>
  <r>
    <n v="11"/>
    <n v="1"/>
    <n v="8"/>
    <s v="Trek Remedy 29 Carbon Frameset - 2016"/>
    <n v="6"/>
    <x v="1"/>
    <n v="1"/>
    <n v="1799.99"/>
    <n v="0.05"/>
    <n v="1709.9904999999999"/>
  </r>
  <r>
    <n v="11"/>
    <n v="2"/>
    <n v="22"/>
    <s v="Electra Girl's Hawaii 1 (16-inch) - 2015/2016"/>
    <n v="1"/>
    <x v="5"/>
    <n v="2"/>
    <n v="269.99"/>
    <n v="0.1"/>
    <n v="485.98200000000003"/>
  </r>
  <r>
    <n v="11"/>
    <n v="3"/>
    <n v="16"/>
    <s v="Electra Townie Original 7D EQ - 2016"/>
    <n v="3"/>
    <x v="0"/>
    <n v="2"/>
    <n v="599.99"/>
    <n v="0.2"/>
    <n v="959.98400000000004"/>
  </r>
  <r>
    <n v="12"/>
    <n v="1"/>
    <n v="4"/>
    <s v="Trek Fuel EX 8 29 - 2016"/>
    <n v="6"/>
    <x v="1"/>
    <n v="2"/>
    <n v="2899.99"/>
    <n v="0.1"/>
    <n v="5219.982"/>
  </r>
  <r>
    <n v="12"/>
    <n v="2"/>
    <n v="11"/>
    <s v="Surly Straggler 650b - 2016"/>
    <n v="4"/>
    <x v="2"/>
    <n v="1"/>
    <n v="1680.99"/>
    <n v="0.05"/>
    <n v="1596.9404999999999"/>
  </r>
  <r>
    <n v="13"/>
    <n v="1"/>
    <n v="13"/>
    <s v="Electra Cruiser 1 (24-Inch) - 2016"/>
    <n v="3"/>
    <x v="0"/>
    <n v="1"/>
    <n v="269.99"/>
    <n v="0.1"/>
    <n v="242.99100000000001"/>
  </r>
  <r>
    <n v="13"/>
    <n v="2"/>
    <n v="17"/>
    <s v="Pure Cycles Vine 8-Speed - 2016"/>
    <n v="3"/>
    <x v="0"/>
    <n v="2"/>
    <n v="429"/>
    <n v="0.05"/>
    <n v="815.1"/>
  </r>
  <r>
    <n v="13"/>
    <n v="3"/>
    <n v="20"/>
    <s v="Electra Townie Original 7D EQ - Women's - 2016"/>
    <n v="3"/>
    <x v="0"/>
    <n v="2"/>
    <n v="599.99"/>
    <n v="0.1"/>
    <n v="1079.982"/>
  </r>
  <r>
    <n v="13"/>
    <n v="4"/>
    <n v="16"/>
    <s v="Electra Townie Original 7D EQ - 2016"/>
    <n v="3"/>
    <x v="0"/>
    <n v="2"/>
    <n v="599.99"/>
    <n v="0.05"/>
    <n v="1139.981"/>
  </r>
  <r>
    <n v="14"/>
    <n v="1"/>
    <n v="6"/>
    <s v="Surly Ice Cream Truck Frameset - 2016"/>
    <n v="6"/>
    <x v="1"/>
    <n v="1"/>
    <n v="469.99"/>
    <n v="7.0000000000000007E-2"/>
    <n v="437.09070000000003"/>
  </r>
  <r>
    <n v="15"/>
    <n v="1"/>
    <n v="12"/>
    <s v="Electra Townie Original 21D - 2016"/>
    <n v="3"/>
    <x v="0"/>
    <n v="2"/>
    <n v="549.99"/>
    <n v="7.0000000000000007E-2"/>
    <n v="1022.9814"/>
  </r>
  <r>
    <n v="15"/>
    <n v="2"/>
    <n v="8"/>
    <s v="Trek Remedy 29 Carbon Frameset - 2016"/>
    <n v="6"/>
    <x v="1"/>
    <n v="1"/>
    <n v="1799.99"/>
    <n v="7.0000000000000007E-2"/>
    <n v="1673.9907000000001"/>
  </r>
  <r>
    <n v="15"/>
    <n v="3"/>
    <n v="18"/>
    <s v="Pure Cycles Western 3-Speed - Women's - 2015/2016"/>
    <n v="3"/>
    <x v="0"/>
    <n v="2"/>
    <n v="449"/>
    <n v="0.05"/>
    <n v="853.1"/>
  </r>
  <r>
    <n v="15"/>
    <n v="4"/>
    <n v="23"/>
    <s v="Electra Girl's Hawaii 1 (20-inch) - 2015/2016"/>
    <n v="1"/>
    <x v="5"/>
    <n v="2"/>
    <n v="299.99"/>
    <n v="0.2"/>
    <n v="479.98400000000004"/>
  </r>
  <r>
    <n v="16"/>
    <n v="1"/>
    <n v="8"/>
    <s v="Trek Remedy 29 Carbon Frameset - 2016"/>
    <n v="6"/>
    <x v="1"/>
    <n v="1"/>
    <n v="1799.99"/>
    <n v="0.2"/>
    <n v="1439.992"/>
  </r>
  <r>
    <n v="16"/>
    <n v="2"/>
    <n v="21"/>
    <s v="Electra Cruiser 1 (24-Inch) - 2016"/>
    <n v="1"/>
    <x v="5"/>
    <n v="1"/>
    <n v="269.99"/>
    <n v="0.05"/>
    <n v="256.4905"/>
  </r>
  <r>
    <n v="16"/>
    <n v="3"/>
    <n v="13"/>
    <s v="Electra Cruiser 1 (24-Inch) - 2016"/>
    <n v="3"/>
    <x v="0"/>
    <n v="2"/>
    <n v="269.99"/>
    <n v="7.0000000000000007E-2"/>
    <n v="502.1814"/>
  </r>
  <r>
    <n v="16"/>
    <n v="4"/>
    <n v="14"/>
    <s v="Electra Girl's Hawaii 1 (16-inch) - 2015/2016"/>
    <n v="3"/>
    <x v="0"/>
    <n v="1"/>
    <n v="269.99"/>
    <n v="7.0000000000000007E-2"/>
    <n v="251.0907"/>
  </r>
  <r>
    <n v="17"/>
    <n v="1"/>
    <n v="8"/>
    <s v="Trek Remedy 29 Carbon Frameset - 2016"/>
    <n v="6"/>
    <x v="1"/>
    <n v="1"/>
    <n v="1799.99"/>
    <n v="7.0000000000000007E-2"/>
    <n v="1673.9907000000001"/>
  </r>
  <r>
    <n v="17"/>
    <n v="2"/>
    <n v="23"/>
    <s v="Electra Girl's Hawaii 1 (20-inch) - 2015/2016"/>
    <n v="1"/>
    <x v="5"/>
    <n v="1"/>
    <n v="299.99"/>
    <n v="0.1"/>
    <n v="269.99099999999999"/>
  </r>
  <r>
    <n v="17"/>
    <n v="3"/>
    <n v="5"/>
    <s v="Heller Shagamaw Frame - 2016"/>
    <n v="6"/>
    <x v="1"/>
    <n v="1"/>
    <n v="1320.99"/>
    <n v="0.1"/>
    <n v="1188.8910000000001"/>
  </r>
  <r>
    <n v="17"/>
    <n v="4"/>
    <n v="20"/>
    <s v="Electra Townie Original 7D EQ - Women's - 2016"/>
    <n v="3"/>
    <x v="0"/>
    <n v="2"/>
    <n v="599.99"/>
    <n v="0.2"/>
    <n v="959.98400000000004"/>
  </r>
  <r>
    <n v="18"/>
    <n v="1"/>
    <n v="2"/>
    <s v="Ritchey Timberwolf Frameset - 2016"/>
    <n v="6"/>
    <x v="1"/>
    <n v="2"/>
    <n v="749.99"/>
    <n v="0.2"/>
    <n v="1199.9839999999999"/>
  </r>
  <r>
    <n v="18"/>
    <n v="2"/>
    <n v="22"/>
    <s v="Electra Girl's Hawaii 1 (16-inch) - 2015/2016"/>
    <n v="1"/>
    <x v="5"/>
    <n v="1"/>
    <n v="269.99"/>
    <n v="0.05"/>
    <n v="256.4905"/>
  </r>
  <r>
    <n v="18"/>
    <n v="3"/>
    <n v="7"/>
    <s v="Trek Slash 8 27.5 - 2016"/>
    <n v="6"/>
    <x v="1"/>
    <n v="1"/>
    <n v="3999.99"/>
    <n v="0.1"/>
    <n v="3599.991"/>
  </r>
  <r>
    <n v="18"/>
    <n v="4"/>
    <n v="25"/>
    <s v="Electra Townie Original 7D - 2015/2016"/>
    <n v="2"/>
    <x v="3"/>
    <n v="2"/>
    <n v="499.99"/>
    <n v="0.05"/>
    <n v="949.98099999999999"/>
  </r>
  <r>
    <n v="18"/>
    <n v="5"/>
    <n v="9"/>
    <s v="Trek Conduit+ - 2016"/>
    <n v="5"/>
    <x v="4"/>
    <n v="2"/>
    <n v="2999.99"/>
    <n v="0.1"/>
    <n v="5399.982"/>
  </r>
  <r>
    <n v="19"/>
    <n v="1"/>
    <n v="10"/>
    <s v="Surly Straggler - 2016"/>
    <n v="4"/>
    <x v="2"/>
    <n v="1"/>
    <n v="1549"/>
    <n v="7.0000000000000007E-2"/>
    <n v="1440.57"/>
  </r>
  <r>
    <n v="19"/>
    <n v="2"/>
    <n v="9"/>
    <s v="Trek Conduit+ - 2016"/>
    <n v="5"/>
    <x v="4"/>
    <n v="2"/>
    <n v="2999.99"/>
    <n v="0.2"/>
    <n v="4799.9839999999995"/>
  </r>
  <r>
    <n v="20"/>
    <n v="1"/>
    <n v="9"/>
    <s v="Trek Conduit+ - 2016"/>
    <n v="5"/>
    <x v="4"/>
    <n v="1"/>
    <n v="2999.99"/>
    <n v="7.0000000000000007E-2"/>
    <n v="2789.9906999999998"/>
  </r>
  <r>
    <n v="20"/>
    <n v="2"/>
    <n v="10"/>
    <s v="Surly Straggler - 2016"/>
    <n v="4"/>
    <x v="2"/>
    <n v="2"/>
    <n v="1549"/>
    <n v="7.0000000000000007E-2"/>
    <n v="2881.14"/>
  </r>
  <r>
    <n v="21"/>
    <n v="1"/>
    <n v="14"/>
    <s v="Electra Girl's Hawaii 1 (16-inch) - 2015/2016"/>
    <n v="3"/>
    <x v="0"/>
    <n v="1"/>
    <n v="269.99"/>
    <n v="0.05"/>
    <n v="256.4905"/>
  </r>
  <r>
    <n v="21"/>
    <n v="2"/>
    <n v="17"/>
    <s v="Pure Cycles Vine 8-Speed - 2016"/>
    <n v="3"/>
    <x v="0"/>
    <n v="1"/>
    <n v="429"/>
    <n v="0.1"/>
    <n v="386.1"/>
  </r>
  <r>
    <n v="21"/>
    <n v="3"/>
    <n v="10"/>
    <s v="Surly Straggler - 2016"/>
    <n v="4"/>
    <x v="2"/>
    <n v="1"/>
    <n v="1549"/>
    <n v="7.0000000000000007E-2"/>
    <n v="1440.57"/>
  </r>
  <r>
    <n v="22"/>
    <n v="1"/>
    <n v="15"/>
    <s v="Electra Moto 1 - 2016"/>
    <n v="3"/>
    <x v="0"/>
    <n v="2"/>
    <n v="529.99"/>
    <n v="0.2"/>
    <n v="847.98400000000004"/>
  </r>
  <r>
    <n v="22"/>
    <n v="2"/>
    <n v="22"/>
    <s v="Electra Girl's Hawaii 1 (16-inch) - 2015/2016"/>
    <n v="1"/>
    <x v="5"/>
    <n v="1"/>
    <n v="269.99"/>
    <n v="0.05"/>
    <n v="256.4905"/>
  </r>
  <r>
    <n v="23"/>
    <n v="1"/>
    <n v="4"/>
    <s v="Trek Fuel EX 8 29 - 2016"/>
    <n v="6"/>
    <x v="1"/>
    <n v="2"/>
    <n v="2899.99"/>
    <n v="0.05"/>
    <n v="5509.9809999999998"/>
  </r>
  <r>
    <n v="23"/>
    <n v="2"/>
    <n v="23"/>
    <s v="Electra Girl's Hawaii 1 (20-inch) - 2015/2016"/>
    <n v="1"/>
    <x v="5"/>
    <n v="2"/>
    <n v="299.99"/>
    <n v="0.1"/>
    <n v="539.98199999999997"/>
  </r>
  <r>
    <n v="23"/>
    <n v="3"/>
    <n v="13"/>
    <s v="Electra Cruiser 1 (24-Inch) - 2016"/>
    <n v="3"/>
    <x v="0"/>
    <n v="1"/>
    <n v="269.99"/>
    <n v="0.2"/>
    <n v="215.99200000000002"/>
  </r>
  <r>
    <n v="24"/>
    <n v="1"/>
    <n v="3"/>
    <s v="Surly Wednesday Frameset - 2016"/>
    <n v="6"/>
    <x v="1"/>
    <n v="2"/>
    <n v="999.99"/>
    <n v="0.1"/>
    <n v="1799.982"/>
  </r>
  <r>
    <n v="24"/>
    <n v="2"/>
    <n v="18"/>
    <s v="Pure Cycles Western 3-Speed - Women's - 2015/2016"/>
    <n v="3"/>
    <x v="0"/>
    <n v="2"/>
    <n v="449"/>
    <n v="7.0000000000000007E-2"/>
    <n v="835.14"/>
  </r>
  <r>
    <n v="25"/>
    <n v="1"/>
    <n v="23"/>
    <s v="Electra Girl's Hawaii 1 (20-inch) - 2015/2016"/>
    <n v="1"/>
    <x v="5"/>
    <n v="2"/>
    <n v="299.99"/>
    <n v="0.2"/>
    <n v="479.98400000000004"/>
  </r>
  <r>
    <n v="25"/>
    <n v="2"/>
    <n v="10"/>
    <s v="Surly Straggler - 2016"/>
    <n v="4"/>
    <x v="2"/>
    <n v="2"/>
    <n v="1549"/>
    <n v="0.2"/>
    <n v="2478.4"/>
  </r>
  <r>
    <n v="25"/>
    <n v="3"/>
    <n v="22"/>
    <s v="Electra Girl's Hawaii 1 (16-inch) - 2015/2016"/>
    <n v="1"/>
    <x v="5"/>
    <n v="1"/>
    <n v="269.99"/>
    <n v="0.2"/>
    <n v="215.99200000000002"/>
  </r>
  <r>
    <n v="25"/>
    <n v="4"/>
    <n v="14"/>
    <s v="Electra Girl's Hawaii 1 (16-inch) - 2015/2016"/>
    <n v="3"/>
    <x v="0"/>
    <n v="1"/>
    <n v="269.99"/>
    <n v="0.2"/>
    <n v="215.99200000000002"/>
  </r>
  <r>
    <n v="25"/>
    <n v="5"/>
    <n v="21"/>
    <s v="Electra Cruiser 1 (24-Inch) - 2016"/>
    <n v="1"/>
    <x v="5"/>
    <n v="1"/>
    <n v="269.99"/>
    <n v="0.1"/>
    <n v="242.99100000000001"/>
  </r>
  <r>
    <n v="26"/>
    <n v="1"/>
    <n v="7"/>
    <s v="Trek Slash 8 27.5 - 2016"/>
    <n v="6"/>
    <x v="1"/>
    <n v="1"/>
    <n v="3999.99"/>
    <n v="0.05"/>
    <n v="3799.9904999999999"/>
  </r>
  <r>
    <n v="26"/>
    <n v="2"/>
    <n v="2"/>
    <s v="Ritchey Timberwolf Frameset - 2016"/>
    <n v="6"/>
    <x v="1"/>
    <n v="1"/>
    <n v="749.99"/>
    <n v="0.2"/>
    <n v="599.99199999999996"/>
  </r>
  <r>
    <n v="26"/>
    <n v="3"/>
    <n v="12"/>
    <s v="Electra Townie Original 21D - 2016"/>
    <n v="3"/>
    <x v="0"/>
    <n v="1"/>
    <n v="549.99"/>
    <n v="0.2"/>
    <n v="439.99200000000002"/>
  </r>
  <r>
    <n v="26"/>
    <n v="4"/>
    <n v="21"/>
    <s v="Electra Cruiser 1 (24-Inch) - 2016"/>
    <n v="1"/>
    <x v="5"/>
    <n v="2"/>
    <n v="269.99"/>
    <n v="7.0000000000000007E-2"/>
    <n v="502.1814"/>
  </r>
  <r>
    <n v="27"/>
    <n v="1"/>
    <n v="5"/>
    <s v="Heller Shagamaw Frame - 2016"/>
    <n v="6"/>
    <x v="1"/>
    <n v="1"/>
    <n v="1320.99"/>
    <n v="0.2"/>
    <n v="1056.7919999999999"/>
  </r>
  <r>
    <n v="27"/>
    <n v="2"/>
    <n v="19"/>
    <s v="Pure Cycles William 3-Speed - 2016"/>
    <n v="3"/>
    <x v="0"/>
    <n v="1"/>
    <n v="449"/>
    <n v="0.2"/>
    <n v="359.2"/>
  </r>
  <r>
    <n v="27"/>
    <n v="3"/>
    <n v="26"/>
    <s v="Electra Townie Original 7D EQ - 2016"/>
    <n v="2"/>
    <x v="3"/>
    <n v="2"/>
    <n v="599.99"/>
    <n v="7.0000000000000007E-2"/>
    <n v="1115.9814000000001"/>
  </r>
  <r>
    <n v="27"/>
    <n v="4"/>
    <n v="8"/>
    <s v="Trek Remedy 29 Carbon Frameset - 2016"/>
    <n v="6"/>
    <x v="1"/>
    <n v="1"/>
    <n v="1799.99"/>
    <n v="7.0000000000000007E-2"/>
    <n v="1673.9907000000001"/>
  </r>
  <r>
    <n v="28"/>
    <n v="1"/>
    <n v="5"/>
    <s v="Heller Shagamaw Frame - 2016"/>
    <n v="6"/>
    <x v="1"/>
    <n v="1"/>
    <n v="1320.99"/>
    <n v="0.05"/>
    <n v="1254.9404999999999"/>
  </r>
  <r>
    <n v="28"/>
    <n v="2"/>
    <n v="7"/>
    <s v="Trek Slash 8 27.5 - 2016"/>
    <n v="6"/>
    <x v="1"/>
    <n v="2"/>
    <n v="3999.99"/>
    <n v="0.2"/>
    <n v="6399.9839999999995"/>
  </r>
  <r>
    <n v="28"/>
    <n v="3"/>
    <n v="14"/>
    <s v="Electra Girl's Hawaii 1 (16-inch) - 2015/2016"/>
    <n v="3"/>
    <x v="0"/>
    <n v="2"/>
    <n v="269.99"/>
    <n v="0.1"/>
    <n v="485.98200000000003"/>
  </r>
  <r>
    <n v="28"/>
    <n v="4"/>
    <n v="6"/>
    <s v="Surly Ice Cream Truck Frameset - 2016"/>
    <n v="6"/>
    <x v="1"/>
    <n v="1"/>
    <n v="469.99"/>
    <n v="0.05"/>
    <n v="446.4905"/>
  </r>
  <r>
    <n v="29"/>
    <n v="1"/>
    <n v="24"/>
    <s v="Electra Townie Original 21D - 2016"/>
    <n v="2"/>
    <x v="3"/>
    <n v="2"/>
    <n v="549.99"/>
    <n v="0.05"/>
    <n v="1044.981"/>
  </r>
  <r>
    <n v="29"/>
    <n v="2"/>
    <n v="6"/>
    <s v="Surly Ice Cream Truck Frameset - 2016"/>
    <n v="6"/>
    <x v="1"/>
    <n v="1"/>
    <n v="469.99"/>
    <n v="0.2"/>
    <n v="375.99200000000002"/>
  </r>
  <r>
    <n v="29"/>
    <n v="3"/>
    <n v="21"/>
    <s v="Electra Cruiser 1 (24-Inch) - 2016"/>
    <n v="1"/>
    <x v="5"/>
    <n v="2"/>
    <n v="269.99"/>
    <n v="0.1"/>
    <n v="485.98200000000003"/>
  </r>
  <r>
    <n v="29"/>
    <n v="4"/>
    <n v="8"/>
    <s v="Trek Remedy 29 Carbon Frameset - 2016"/>
    <n v="6"/>
    <x v="1"/>
    <n v="1"/>
    <n v="1799.99"/>
    <n v="0.2"/>
    <n v="1439.992"/>
  </r>
  <r>
    <n v="29"/>
    <n v="5"/>
    <n v="14"/>
    <s v="Electra Girl's Hawaii 1 (16-inch) - 2015/2016"/>
    <n v="3"/>
    <x v="0"/>
    <n v="2"/>
    <n v="269.99"/>
    <n v="0.05"/>
    <n v="512.98099999999999"/>
  </r>
  <r>
    <n v="30"/>
    <n v="1"/>
    <n v="26"/>
    <s v="Electra Townie Original 7D EQ - 2016"/>
    <n v="2"/>
    <x v="3"/>
    <n v="1"/>
    <n v="599.99"/>
    <n v="0.05"/>
    <n v="569.9905"/>
  </r>
  <r>
    <n v="30"/>
    <n v="2"/>
    <n v="17"/>
    <s v="Pure Cycles Vine 8-Speed - 2016"/>
    <n v="3"/>
    <x v="0"/>
    <n v="1"/>
    <n v="429"/>
    <n v="7.0000000000000007E-2"/>
    <n v="398.97"/>
  </r>
  <r>
    <n v="30"/>
    <n v="3"/>
    <n v="19"/>
    <s v="Pure Cycles William 3-Speed - 2016"/>
    <n v="3"/>
    <x v="0"/>
    <n v="1"/>
    <n v="449"/>
    <n v="0.1"/>
    <n v="404.1"/>
  </r>
  <r>
    <n v="30"/>
    <n v="4"/>
    <n v="4"/>
    <s v="Trek Fuel EX 8 29 - 2016"/>
    <n v="6"/>
    <x v="1"/>
    <n v="1"/>
    <n v="2899.99"/>
    <n v="0.1"/>
    <n v="2609.991"/>
  </r>
  <r>
    <n v="30"/>
    <n v="5"/>
    <n v="7"/>
    <s v="Trek Slash 8 27.5 - 2016"/>
    <n v="6"/>
    <x v="1"/>
    <n v="2"/>
    <n v="3999.99"/>
    <n v="0.1"/>
    <n v="7199.982"/>
  </r>
  <r>
    <n v="31"/>
    <n v="1"/>
    <n v="11"/>
    <s v="Surly Straggler 650b - 2016"/>
    <n v="4"/>
    <x v="2"/>
    <n v="2"/>
    <n v="1680.99"/>
    <n v="0.05"/>
    <n v="3193.8809999999999"/>
  </r>
  <r>
    <n v="31"/>
    <n v="2"/>
    <n v="9"/>
    <s v="Trek Conduit+ - 2016"/>
    <n v="5"/>
    <x v="4"/>
    <n v="2"/>
    <n v="2999.99"/>
    <n v="0.2"/>
    <n v="4799.9839999999995"/>
  </r>
  <r>
    <n v="32"/>
    <n v="1"/>
    <n v="8"/>
    <s v="Trek Remedy 29 Carbon Frameset - 2016"/>
    <n v="6"/>
    <x v="1"/>
    <n v="2"/>
    <n v="1799.99"/>
    <n v="7.0000000000000007E-2"/>
    <n v="3347.9814000000001"/>
  </r>
  <r>
    <n v="32"/>
    <n v="2"/>
    <n v="12"/>
    <s v="Electra Townie Original 21D - 2016"/>
    <n v="3"/>
    <x v="0"/>
    <n v="2"/>
    <n v="549.99"/>
    <n v="7.0000000000000007E-2"/>
    <n v="1022.9814"/>
  </r>
  <r>
    <n v="32"/>
    <n v="3"/>
    <n v="25"/>
    <s v="Electra Townie Original 7D - 2015/2016"/>
    <n v="2"/>
    <x v="3"/>
    <n v="2"/>
    <n v="499.99"/>
    <n v="0.1"/>
    <n v="899.98199999999997"/>
  </r>
  <r>
    <n v="33"/>
    <n v="1"/>
    <n v="23"/>
    <s v="Electra Girl's Hawaii 1 (20-inch) - 2015/2016"/>
    <n v="1"/>
    <x v="5"/>
    <n v="2"/>
    <n v="299.99"/>
    <n v="7.0000000000000007E-2"/>
    <n v="557.98140000000001"/>
  </r>
  <r>
    <n v="33"/>
    <n v="2"/>
    <n v="7"/>
    <s v="Trek Slash 8 27.5 - 2016"/>
    <n v="6"/>
    <x v="1"/>
    <n v="1"/>
    <n v="3999.99"/>
    <n v="0.1"/>
    <n v="3599.991"/>
  </r>
  <r>
    <n v="34"/>
    <n v="1"/>
    <n v="8"/>
    <s v="Trek Remedy 29 Carbon Frameset - 2016"/>
    <n v="6"/>
    <x v="1"/>
    <n v="2"/>
    <n v="1799.99"/>
    <n v="7.0000000000000007E-2"/>
    <n v="3347.9814000000001"/>
  </r>
  <r>
    <n v="34"/>
    <n v="2"/>
    <n v="10"/>
    <s v="Surly Straggler - 2016"/>
    <n v="4"/>
    <x v="2"/>
    <n v="2"/>
    <n v="1549"/>
    <n v="0.1"/>
    <n v="2788.2"/>
  </r>
  <r>
    <n v="34"/>
    <n v="3"/>
    <n v="17"/>
    <s v="Pure Cycles Vine 8-Speed - 2016"/>
    <n v="3"/>
    <x v="0"/>
    <n v="2"/>
    <n v="429"/>
    <n v="0.2"/>
    <n v="686.4"/>
  </r>
  <r>
    <n v="35"/>
    <n v="1"/>
    <n v="18"/>
    <s v="Pure Cycles Western 3-Speed - Women's - 2015/2016"/>
    <n v="3"/>
    <x v="0"/>
    <n v="1"/>
    <n v="449"/>
    <n v="0.05"/>
    <n v="426.55"/>
  </r>
  <r>
    <n v="35"/>
    <n v="2"/>
    <n v="20"/>
    <s v="Electra Townie Original 7D EQ - Women's - 2016"/>
    <n v="3"/>
    <x v="0"/>
    <n v="2"/>
    <n v="599.99"/>
    <n v="0.05"/>
    <n v="1139.981"/>
  </r>
  <r>
    <n v="35"/>
    <n v="3"/>
    <n v="5"/>
    <s v="Heller Shagamaw Frame - 2016"/>
    <n v="6"/>
    <x v="1"/>
    <n v="1"/>
    <n v="1320.99"/>
    <n v="0.2"/>
    <n v="1056.7919999999999"/>
  </r>
  <r>
    <n v="35"/>
    <n v="4"/>
    <n v="21"/>
    <s v="Electra Cruiser 1 (24-Inch) - 2016"/>
    <n v="1"/>
    <x v="5"/>
    <n v="2"/>
    <n v="269.99"/>
    <n v="7.0000000000000007E-2"/>
    <n v="502.1814"/>
  </r>
  <r>
    <n v="35"/>
    <n v="5"/>
    <n v="22"/>
    <s v="Electra Girl's Hawaii 1 (16-inch) - 2015/2016"/>
    <n v="1"/>
    <x v="5"/>
    <n v="1"/>
    <n v="269.99"/>
    <n v="7.0000000000000007E-2"/>
    <n v="251.0907"/>
  </r>
  <r>
    <n v="36"/>
    <n v="1"/>
    <n v="9"/>
    <s v="Trek Conduit+ - 2016"/>
    <n v="5"/>
    <x v="4"/>
    <n v="1"/>
    <n v="2999.99"/>
    <n v="7.0000000000000007E-2"/>
    <n v="2789.9906999999998"/>
  </r>
  <r>
    <n v="36"/>
    <n v="2"/>
    <n v="5"/>
    <s v="Heller Shagamaw Frame - 2016"/>
    <n v="6"/>
    <x v="1"/>
    <n v="1"/>
    <n v="1320.99"/>
    <n v="0.05"/>
    <n v="1254.9404999999999"/>
  </r>
  <r>
    <n v="36"/>
    <n v="3"/>
    <n v="3"/>
    <s v="Surly Wednesday Frameset - 2016"/>
    <n v="6"/>
    <x v="1"/>
    <n v="2"/>
    <n v="999.99"/>
    <n v="0.2"/>
    <n v="1599.9839999999999"/>
  </r>
  <r>
    <n v="37"/>
    <n v="1"/>
    <n v="16"/>
    <s v="Electra Townie Original 7D EQ - 2016"/>
    <n v="3"/>
    <x v="0"/>
    <n v="2"/>
    <n v="599.99"/>
    <n v="0.05"/>
    <n v="1139.981"/>
  </r>
  <r>
    <n v="38"/>
    <n v="1"/>
    <n v="7"/>
    <s v="Trek Slash 8 27.5 - 2016"/>
    <n v="6"/>
    <x v="1"/>
    <n v="2"/>
    <n v="3999.99"/>
    <n v="0.05"/>
    <n v="7599.9809999999998"/>
  </r>
  <r>
    <n v="38"/>
    <n v="2"/>
    <n v="23"/>
    <s v="Electra Girl's Hawaii 1 (20-inch) - 2015/2016"/>
    <n v="1"/>
    <x v="5"/>
    <n v="1"/>
    <n v="299.99"/>
    <n v="7.0000000000000007E-2"/>
    <n v="278.9907"/>
  </r>
  <r>
    <n v="38"/>
    <n v="3"/>
    <n v="25"/>
    <s v="Electra Townie Original 7D - 2015/2016"/>
    <n v="2"/>
    <x v="3"/>
    <n v="1"/>
    <n v="499.99"/>
    <n v="0.2"/>
    <n v="399.99200000000002"/>
  </r>
  <r>
    <n v="38"/>
    <n v="4"/>
    <n v="10"/>
    <s v="Surly Straggler - 2016"/>
    <n v="4"/>
    <x v="2"/>
    <n v="2"/>
    <n v="1549"/>
    <n v="0.1"/>
    <n v="2788.2"/>
  </r>
  <r>
    <n v="38"/>
    <n v="5"/>
    <n v="24"/>
    <s v="Electra Townie Original 21D - 2016"/>
    <n v="2"/>
    <x v="3"/>
    <n v="1"/>
    <n v="549.99"/>
    <n v="7.0000000000000007E-2"/>
    <n v="511.4907"/>
  </r>
  <r>
    <n v="39"/>
    <n v="1"/>
    <n v="22"/>
    <s v="Electra Girl's Hawaii 1 (16-inch) - 2015/2016"/>
    <n v="1"/>
    <x v="5"/>
    <n v="2"/>
    <n v="269.99"/>
    <n v="0.2"/>
    <n v="431.98400000000004"/>
  </r>
  <r>
    <n v="39"/>
    <n v="2"/>
    <n v="16"/>
    <s v="Electra Townie Original 7D EQ - 2016"/>
    <n v="3"/>
    <x v="0"/>
    <n v="2"/>
    <n v="599.99"/>
    <n v="0.2"/>
    <n v="959.98400000000004"/>
  </r>
  <r>
    <n v="39"/>
    <n v="3"/>
    <n v="3"/>
    <s v="Surly Wednesday Frameset - 2016"/>
    <n v="6"/>
    <x v="1"/>
    <n v="2"/>
    <n v="999.99"/>
    <n v="0.05"/>
    <n v="1899.981"/>
  </r>
  <r>
    <n v="39"/>
    <n v="4"/>
    <n v="15"/>
    <s v="Electra Moto 1 - 2016"/>
    <n v="3"/>
    <x v="0"/>
    <n v="1"/>
    <n v="529.99"/>
    <n v="0.1"/>
    <n v="476.99099999999999"/>
  </r>
  <r>
    <n v="40"/>
    <n v="1"/>
    <n v="17"/>
    <s v="Pure Cycles Vine 8-Speed - 2016"/>
    <n v="3"/>
    <x v="0"/>
    <n v="1"/>
    <n v="429"/>
    <n v="0.2"/>
    <n v="343.2"/>
  </r>
  <r>
    <n v="40"/>
    <n v="2"/>
    <n v="8"/>
    <s v="Trek Remedy 29 Carbon Frameset - 2016"/>
    <n v="6"/>
    <x v="1"/>
    <n v="2"/>
    <n v="1799.99"/>
    <n v="0.2"/>
    <n v="2879.9839999999999"/>
  </r>
  <r>
    <n v="41"/>
    <n v="1"/>
    <n v="5"/>
    <s v="Heller Shagamaw Frame - 2016"/>
    <n v="6"/>
    <x v="1"/>
    <n v="1"/>
    <n v="1320.99"/>
    <n v="0.1"/>
    <n v="1188.8910000000001"/>
  </r>
  <r>
    <n v="41"/>
    <n v="2"/>
    <n v="19"/>
    <s v="Pure Cycles William 3-Speed - 2016"/>
    <n v="3"/>
    <x v="0"/>
    <n v="2"/>
    <n v="449"/>
    <n v="0.2"/>
    <n v="718.4"/>
  </r>
  <r>
    <n v="41"/>
    <n v="3"/>
    <n v="26"/>
    <s v="Electra Townie Original 7D EQ - 2016"/>
    <n v="2"/>
    <x v="3"/>
    <n v="2"/>
    <n v="599.99"/>
    <n v="0.2"/>
    <n v="959.98400000000004"/>
  </r>
  <r>
    <n v="42"/>
    <n v="1"/>
    <n v="19"/>
    <s v="Pure Cycles William 3-Speed - 2016"/>
    <n v="3"/>
    <x v="0"/>
    <n v="1"/>
    <n v="449"/>
    <n v="0.05"/>
    <n v="426.55"/>
  </r>
  <r>
    <n v="43"/>
    <n v="1"/>
    <n v="13"/>
    <s v="Electra Cruiser 1 (24-Inch) - 2016"/>
    <n v="3"/>
    <x v="0"/>
    <n v="2"/>
    <n v="269.99"/>
    <n v="0.1"/>
    <n v="485.98200000000003"/>
  </r>
  <r>
    <n v="43"/>
    <n v="2"/>
    <n v="12"/>
    <s v="Electra Townie Original 21D - 2016"/>
    <n v="3"/>
    <x v="0"/>
    <n v="2"/>
    <n v="549.99"/>
    <n v="0.05"/>
    <n v="1044.981"/>
  </r>
  <r>
    <n v="44"/>
    <n v="1"/>
    <n v="7"/>
    <s v="Trek Slash 8 27.5 - 2016"/>
    <n v="6"/>
    <x v="1"/>
    <n v="1"/>
    <n v="3999.99"/>
    <n v="0.1"/>
    <n v="3599.991"/>
  </r>
  <r>
    <n v="44"/>
    <n v="2"/>
    <n v="16"/>
    <s v="Electra Townie Original 7D EQ - 2016"/>
    <n v="3"/>
    <x v="0"/>
    <n v="1"/>
    <n v="599.99"/>
    <n v="0.05"/>
    <n v="569.9905"/>
  </r>
  <r>
    <n v="45"/>
    <n v="1"/>
    <n v="4"/>
    <s v="Trek Fuel EX 8 29 - 2016"/>
    <n v="6"/>
    <x v="1"/>
    <n v="2"/>
    <n v="2899.99"/>
    <n v="0.2"/>
    <n v="4639.9839999999995"/>
  </r>
  <r>
    <n v="45"/>
    <n v="2"/>
    <n v="22"/>
    <s v="Electra Girl's Hawaii 1 (16-inch) - 2015/2016"/>
    <n v="1"/>
    <x v="5"/>
    <n v="1"/>
    <n v="269.99"/>
    <n v="7.0000000000000007E-2"/>
    <n v="251.0907"/>
  </r>
  <r>
    <n v="45"/>
    <n v="3"/>
    <n v="21"/>
    <s v="Electra Cruiser 1 (24-Inch) - 2016"/>
    <n v="1"/>
    <x v="5"/>
    <n v="2"/>
    <n v="269.99"/>
    <n v="0.05"/>
    <n v="512.98099999999999"/>
  </r>
  <r>
    <n v="46"/>
    <n v="1"/>
    <n v="17"/>
    <s v="Pure Cycles Vine 8-Speed - 2016"/>
    <n v="3"/>
    <x v="0"/>
    <n v="1"/>
    <n v="429"/>
    <n v="0.1"/>
    <n v="386.1"/>
  </r>
  <r>
    <n v="47"/>
    <n v="1"/>
    <n v="6"/>
    <s v="Surly Ice Cream Truck Frameset - 2016"/>
    <n v="6"/>
    <x v="1"/>
    <n v="1"/>
    <n v="469.99"/>
    <n v="0.05"/>
    <n v="446.4905"/>
  </r>
  <r>
    <n v="47"/>
    <n v="2"/>
    <n v="15"/>
    <s v="Electra Moto 1 - 2016"/>
    <n v="3"/>
    <x v="0"/>
    <n v="1"/>
    <n v="529.99"/>
    <n v="0.1"/>
    <n v="476.99099999999999"/>
  </r>
  <r>
    <n v="47"/>
    <n v="3"/>
    <n v="25"/>
    <s v="Electra Townie Original 7D - 2015/2016"/>
    <n v="2"/>
    <x v="3"/>
    <n v="2"/>
    <n v="499.99"/>
    <n v="7.0000000000000007E-2"/>
    <n v="929.98140000000001"/>
  </r>
  <r>
    <n v="47"/>
    <n v="4"/>
    <n v="13"/>
    <s v="Electra Cruiser 1 (24-Inch) - 2016"/>
    <n v="3"/>
    <x v="0"/>
    <n v="1"/>
    <n v="269.99"/>
    <n v="0.2"/>
    <n v="215.99200000000002"/>
  </r>
  <r>
    <n v="48"/>
    <n v="1"/>
    <n v="11"/>
    <s v="Surly Straggler 650b - 2016"/>
    <n v="4"/>
    <x v="2"/>
    <n v="1"/>
    <n v="1680.99"/>
    <n v="0.1"/>
    <n v="1512.8910000000001"/>
  </r>
  <r>
    <n v="48"/>
    <n v="2"/>
    <n v="4"/>
    <s v="Trek Fuel EX 8 29 - 2016"/>
    <n v="6"/>
    <x v="1"/>
    <n v="1"/>
    <n v="2899.99"/>
    <n v="0.2"/>
    <n v="2319.9919999999997"/>
  </r>
  <r>
    <n v="48"/>
    <n v="3"/>
    <n v="5"/>
    <s v="Heller Shagamaw Frame - 2016"/>
    <n v="6"/>
    <x v="1"/>
    <n v="2"/>
    <n v="1320.99"/>
    <n v="0.1"/>
    <n v="2377.7820000000002"/>
  </r>
  <r>
    <n v="48"/>
    <n v="4"/>
    <n v="14"/>
    <s v="Electra Girl's Hawaii 1 (16-inch) - 2015/2016"/>
    <n v="3"/>
    <x v="0"/>
    <n v="2"/>
    <n v="269.99"/>
    <n v="7.0000000000000007E-2"/>
    <n v="502.1814"/>
  </r>
  <r>
    <n v="49"/>
    <n v="1"/>
    <n v="13"/>
    <s v="Electra Cruiser 1 (24-Inch) - 2016"/>
    <n v="3"/>
    <x v="0"/>
    <n v="2"/>
    <n v="269.99"/>
    <n v="7.0000000000000007E-2"/>
    <n v="502.1814"/>
  </r>
  <r>
    <n v="50"/>
    <n v="1"/>
    <n v="3"/>
    <s v="Surly Wednesday Frameset - 2016"/>
    <n v="6"/>
    <x v="1"/>
    <n v="1"/>
    <n v="999.99"/>
    <n v="0.05"/>
    <n v="949.9905"/>
  </r>
  <r>
    <n v="50"/>
    <n v="2"/>
    <n v="26"/>
    <s v="Electra Townie Original 7D EQ - 2016"/>
    <n v="2"/>
    <x v="3"/>
    <n v="2"/>
    <n v="599.99"/>
    <n v="7.0000000000000007E-2"/>
    <n v="1115.9814000000001"/>
  </r>
  <r>
    <n v="50"/>
    <n v="3"/>
    <n v="13"/>
    <s v="Electra Cruiser 1 (24-Inch) - 2016"/>
    <n v="3"/>
    <x v="0"/>
    <n v="2"/>
    <n v="269.99"/>
    <n v="0.2"/>
    <n v="431.98400000000004"/>
  </r>
  <r>
    <n v="51"/>
    <n v="1"/>
    <n v="13"/>
    <s v="Electra Cruiser 1 (24-Inch) - 2016"/>
    <n v="3"/>
    <x v="0"/>
    <n v="1"/>
    <n v="269.99"/>
    <n v="0.05"/>
    <n v="256.4905"/>
  </r>
  <r>
    <n v="51"/>
    <n v="2"/>
    <n v="20"/>
    <s v="Electra Townie Original 7D EQ - Women's - 2016"/>
    <n v="3"/>
    <x v="0"/>
    <n v="1"/>
    <n v="599.99"/>
    <n v="0.05"/>
    <n v="569.9905"/>
  </r>
  <r>
    <n v="51"/>
    <n v="3"/>
    <n v="26"/>
    <s v="Electra Townie Original 7D EQ - 2016"/>
    <n v="2"/>
    <x v="3"/>
    <n v="2"/>
    <n v="599.99"/>
    <n v="0.2"/>
    <n v="959.98400000000004"/>
  </r>
  <r>
    <n v="52"/>
    <n v="1"/>
    <n v="25"/>
    <s v="Electra Townie Original 7D - 2015/2016"/>
    <n v="2"/>
    <x v="3"/>
    <n v="1"/>
    <n v="499.99"/>
    <n v="7.0000000000000007E-2"/>
    <n v="464.9907"/>
  </r>
  <r>
    <n v="53"/>
    <n v="1"/>
    <n v="8"/>
    <s v="Trek Remedy 29 Carbon Frameset - 2016"/>
    <n v="6"/>
    <x v="1"/>
    <n v="2"/>
    <n v="1799.99"/>
    <n v="0.2"/>
    <n v="2879.9839999999999"/>
  </r>
  <r>
    <n v="53"/>
    <n v="2"/>
    <n v="23"/>
    <s v="Electra Girl's Hawaii 1 (20-inch) - 2015/2016"/>
    <n v="1"/>
    <x v="5"/>
    <n v="2"/>
    <n v="299.99"/>
    <n v="0.05"/>
    <n v="569.98099999999999"/>
  </r>
  <r>
    <n v="53"/>
    <n v="3"/>
    <n v="14"/>
    <s v="Electra Girl's Hawaii 1 (16-inch) - 2015/2016"/>
    <n v="3"/>
    <x v="0"/>
    <n v="2"/>
    <n v="269.99"/>
    <n v="0.2"/>
    <n v="431.98400000000004"/>
  </r>
  <r>
    <n v="53"/>
    <n v="4"/>
    <n v="25"/>
    <s v="Electra Townie Original 7D - 2015/2016"/>
    <n v="2"/>
    <x v="3"/>
    <n v="2"/>
    <n v="499.99"/>
    <n v="0.1"/>
    <n v="899.98199999999997"/>
  </r>
  <r>
    <n v="54"/>
    <n v="1"/>
    <n v="26"/>
    <s v="Electra Townie Original 7D EQ - 2016"/>
    <n v="2"/>
    <x v="3"/>
    <n v="2"/>
    <n v="599.99"/>
    <n v="0.2"/>
    <n v="959.98400000000004"/>
  </r>
  <r>
    <n v="54"/>
    <n v="2"/>
    <n v="3"/>
    <s v="Surly Wednesday Frameset - 2016"/>
    <n v="6"/>
    <x v="1"/>
    <n v="1"/>
    <n v="999.99"/>
    <n v="0.2"/>
    <n v="799.99199999999996"/>
  </r>
  <r>
    <n v="55"/>
    <n v="1"/>
    <n v="21"/>
    <s v="Electra Cruiser 1 (24-Inch) - 2016"/>
    <n v="1"/>
    <x v="5"/>
    <n v="1"/>
    <n v="269.99"/>
    <n v="0.05"/>
    <n v="256.4905"/>
  </r>
  <r>
    <n v="55"/>
    <n v="2"/>
    <n v="25"/>
    <s v="Electra Townie Original 7D - 2015/2016"/>
    <n v="2"/>
    <x v="3"/>
    <n v="2"/>
    <n v="499.99"/>
    <n v="0.2"/>
    <n v="799.98400000000004"/>
  </r>
  <r>
    <n v="55"/>
    <n v="3"/>
    <n v="15"/>
    <s v="Electra Moto 1 - 2016"/>
    <n v="3"/>
    <x v="0"/>
    <n v="2"/>
    <n v="529.99"/>
    <n v="0.2"/>
    <n v="847.98400000000004"/>
  </r>
  <r>
    <n v="56"/>
    <n v="1"/>
    <n v="20"/>
    <s v="Electra Townie Original 7D EQ - Women's - 2016"/>
    <n v="3"/>
    <x v="0"/>
    <n v="2"/>
    <n v="599.99"/>
    <n v="7.0000000000000007E-2"/>
    <n v="1115.9814000000001"/>
  </r>
  <r>
    <n v="57"/>
    <n v="1"/>
    <n v="23"/>
    <s v="Electra Girl's Hawaii 1 (20-inch) - 2015/2016"/>
    <n v="1"/>
    <x v="5"/>
    <n v="2"/>
    <n v="299.99"/>
    <n v="0.1"/>
    <n v="539.98199999999997"/>
  </r>
  <r>
    <n v="57"/>
    <n v="2"/>
    <n v="19"/>
    <s v="Pure Cycles William 3-Speed - 2016"/>
    <n v="3"/>
    <x v="0"/>
    <n v="2"/>
    <n v="449"/>
    <n v="0.2"/>
    <n v="718.4"/>
  </r>
  <r>
    <n v="57"/>
    <n v="3"/>
    <n v="13"/>
    <s v="Electra Cruiser 1 (24-Inch) - 2016"/>
    <n v="3"/>
    <x v="0"/>
    <n v="1"/>
    <n v="269.99"/>
    <n v="7.0000000000000007E-2"/>
    <n v="251.0907"/>
  </r>
  <r>
    <n v="58"/>
    <n v="1"/>
    <n v="14"/>
    <s v="Electra Girl's Hawaii 1 (16-inch) - 2015/2016"/>
    <n v="3"/>
    <x v="0"/>
    <n v="2"/>
    <n v="269.99"/>
    <n v="0.05"/>
    <n v="512.98099999999999"/>
  </r>
  <r>
    <n v="58"/>
    <n v="2"/>
    <n v="18"/>
    <s v="Pure Cycles Western 3-Speed - Women's - 2015/2016"/>
    <n v="3"/>
    <x v="0"/>
    <n v="1"/>
    <n v="449"/>
    <n v="7.0000000000000007E-2"/>
    <n v="417.57"/>
  </r>
  <r>
    <n v="58"/>
    <n v="3"/>
    <n v="23"/>
    <s v="Electra Girl's Hawaii 1 (20-inch) - 2015/2016"/>
    <n v="1"/>
    <x v="5"/>
    <n v="1"/>
    <n v="299.99"/>
    <n v="0.1"/>
    <n v="269.99099999999999"/>
  </r>
  <r>
    <n v="59"/>
    <n v="1"/>
    <n v="21"/>
    <s v="Electra Cruiser 1 (24-Inch) - 2016"/>
    <n v="1"/>
    <x v="5"/>
    <n v="1"/>
    <n v="269.99"/>
    <n v="0.05"/>
    <n v="256.4905"/>
  </r>
  <r>
    <n v="59"/>
    <n v="2"/>
    <n v="2"/>
    <s v="Ritchey Timberwolf Frameset - 2016"/>
    <n v="6"/>
    <x v="1"/>
    <n v="1"/>
    <n v="749.99"/>
    <n v="0.1"/>
    <n v="674.99099999999999"/>
  </r>
  <r>
    <n v="59"/>
    <n v="3"/>
    <n v="17"/>
    <s v="Pure Cycles Vine 8-Speed - 2016"/>
    <n v="3"/>
    <x v="0"/>
    <n v="2"/>
    <n v="429"/>
    <n v="0.1"/>
    <n v="772.2"/>
  </r>
  <r>
    <n v="60"/>
    <n v="1"/>
    <n v="14"/>
    <s v="Electra Girl's Hawaii 1 (16-inch) - 2015/2016"/>
    <n v="3"/>
    <x v="0"/>
    <n v="2"/>
    <n v="269.99"/>
    <n v="0.05"/>
    <n v="512.98099999999999"/>
  </r>
  <r>
    <n v="60"/>
    <n v="2"/>
    <n v="4"/>
    <s v="Trek Fuel EX 8 29 - 2016"/>
    <n v="6"/>
    <x v="1"/>
    <n v="1"/>
    <n v="2899.99"/>
    <n v="0.1"/>
    <n v="2609.991"/>
  </r>
  <r>
    <n v="60"/>
    <n v="3"/>
    <n v="15"/>
    <s v="Electra Moto 1 - 2016"/>
    <n v="3"/>
    <x v="0"/>
    <n v="1"/>
    <n v="529.99"/>
    <n v="7.0000000000000007E-2"/>
    <n v="492.89069999999998"/>
  </r>
  <r>
    <n v="60"/>
    <n v="4"/>
    <n v="22"/>
    <s v="Electra Girl's Hawaii 1 (16-inch) - 2015/2016"/>
    <n v="1"/>
    <x v="5"/>
    <n v="1"/>
    <n v="269.99"/>
    <n v="0.2"/>
    <n v="215.99200000000002"/>
  </r>
  <r>
    <n v="61"/>
    <n v="1"/>
    <n v="25"/>
    <s v="Electra Townie Original 7D - 2015/2016"/>
    <n v="2"/>
    <x v="3"/>
    <n v="1"/>
    <n v="499.99"/>
    <n v="0.1"/>
    <n v="449.99099999999999"/>
  </r>
  <r>
    <n v="61"/>
    <n v="2"/>
    <n v="15"/>
    <s v="Electra Moto 1 - 2016"/>
    <n v="3"/>
    <x v="0"/>
    <n v="2"/>
    <n v="529.99"/>
    <n v="0.05"/>
    <n v="1006.981"/>
  </r>
  <r>
    <n v="61"/>
    <n v="3"/>
    <n v="5"/>
    <s v="Heller Shagamaw Frame - 2016"/>
    <n v="6"/>
    <x v="1"/>
    <n v="2"/>
    <n v="1320.99"/>
    <n v="0.2"/>
    <n v="2113.5839999999998"/>
  </r>
  <r>
    <n v="62"/>
    <n v="1"/>
    <n v="14"/>
    <s v="Electra Girl's Hawaii 1 (16-inch) - 2015/2016"/>
    <n v="3"/>
    <x v="0"/>
    <n v="1"/>
    <n v="269.99"/>
    <n v="7.0000000000000007E-2"/>
    <n v="251.0907"/>
  </r>
  <r>
    <n v="62"/>
    <n v="2"/>
    <n v="8"/>
    <s v="Trek Remedy 29 Carbon Frameset - 2016"/>
    <n v="6"/>
    <x v="1"/>
    <n v="2"/>
    <n v="1799.99"/>
    <n v="0.1"/>
    <n v="3239.982"/>
  </r>
  <r>
    <n v="62"/>
    <n v="3"/>
    <n v="22"/>
    <s v="Electra Girl's Hawaii 1 (16-inch) - 2015/2016"/>
    <n v="1"/>
    <x v="5"/>
    <n v="2"/>
    <n v="269.99"/>
    <n v="0.1"/>
    <n v="485.98200000000003"/>
  </r>
  <r>
    <n v="63"/>
    <n v="1"/>
    <n v="25"/>
    <s v="Electra Townie Original 7D - 2015/2016"/>
    <n v="2"/>
    <x v="3"/>
    <n v="2"/>
    <n v="499.99"/>
    <n v="0.1"/>
    <n v="899.98199999999997"/>
  </r>
  <r>
    <n v="63"/>
    <n v="2"/>
    <n v="19"/>
    <s v="Pure Cycles William 3-Speed - 2016"/>
    <n v="3"/>
    <x v="0"/>
    <n v="2"/>
    <n v="449"/>
    <n v="0.05"/>
    <n v="853.1"/>
  </r>
  <r>
    <n v="63"/>
    <n v="3"/>
    <n v="3"/>
    <s v="Surly Wednesday Frameset - 2016"/>
    <n v="6"/>
    <x v="1"/>
    <n v="1"/>
    <n v="999.99"/>
    <n v="0.1"/>
    <n v="899.99099999999999"/>
  </r>
  <r>
    <n v="64"/>
    <n v="1"/>
    <n v="25"/>
    <s v="Electra Townie Original 7D - 2015/2016"/>
    <n v="2"/>
    <x v="3"/>
    <n v="2"/>
    <n v="499.99"/>
    <n v="0.1"/>
    <n v="899.98199999999997"/>
  </r>
  <r>
    <n v="64"/>
    <n v="2"/>
    <n v="22"/>
    <s v="Electra Girl's Hawaii 1 (16-inch) - 2015/2016"/>
    <n v="1"/>
    <x v="5"/>
    <n v="2"/>
    <n v="269.99"/>
    <n v="0.2"/>
    <n v="431.98400000000004"/>
  </r>
  <r>
    <n v="64"/>
    <n v="3"/>
    <n v="23"/>
    <s v="Electra Girl's Hawaii 1 (20-inch) - 2015/2016"/>
    <n v="1"/>
    <x v="5"/>
    <n v="2"/>
    <n v="299.99"/>
    <n v="0.2"/>
    <n v="479.98400000000004"/>
  </r>
  <r>
    <n v="64"/>
    <n v="4"/>
    <n v="24"/>
    <s v="Electra Townie Original 21D - 2016"/>
    <n v="2"/>
    <x v="3"/>
    <n v="2"/>
    <n v="549.99"/>
    <n v="0.1"/>
    <n v="989.98199999999997"/>
  </r>
  <r>
    <n v="65"/>
    <n v="1"/>
    <n v="12"/>
    <s v="Electra Townie Original 21D - 2016"/>
    <n v="3"/>
    <x v="0"/>
    <n v="1"/>
    <n v="549.99"/>
    <n v="0.1"/>
    <n v="494.99099999999999"/>
  </r>
  <r>
    <n v="66"/>
    <n v="1"/>
    <n v="2"/>
    <s v="Ritchey Timberwolf Frameset - 2016"/>
    <n v="6"/>
    <x v="1"/>
    <n v="1"/>
    <n v="749.99"/>
    <n v="0.2"/>
    <n v="599.99199999999996"/>
  </r>
  <r>
    <n v="66"/>
    <n v="2"/>
    <n v="23"/>
    <s v="Electra Girl's Hawaii 1 (20-inch) - 2015/2016"/>
    <n v="1"/>
    <x v="5"/>
    <n v="1"/>
    <n v="299.99"/>
    <n v="7.0000000000000007E-2"/>
    <n v="278.9907"/>
  </r>
  <r>
    <n v="66"/>
    <n v="3"/>
    <n v="12"/>
    <s v="Electra Townie Original 21D - 2016"/>
    <n v="3"/>
    <x v="0"/>
    <n v="1"/>
    <n v="549.99"/>
    <n v="7.0000000000000007E-2"/>
    <n v="511.4907"/>
  </r>
  <r>
    <n v="67"/>
    <n v="1"/>
    <n v="23"/>
    <s v="Electra Girl's Hawaii 1 (20-inch) - 2015/2016"/>
    <n v="1"/>
    <x v="5"/>
    <n v="2"/>
    <n v="299.99"/>
    <n v="0.2"/>
    <n v="479.98400000000004"/>
  </r>
  <r>
    <n v="67"/>
    <n v="2"/>
    <n v="12"/>
    <s v="Electra Townie Original 21D - 2016"/>
    <n v="3"/>
    <x v="0"/>
    <n v="2"/>
    <n v="549.99"/>
    <n v="0.1"/>
    <n v="989.98199999999997"/>
  </r>
  <r>
    <n v="67"/>
    <n v="3"/>
    <n v="21"/>
    <s v="Electra Cruiser 1 (24-Inch) - 2016"/>
    <n v="1"/>
    <x v="5"/>
    <n v="1"/>
    <n v="269.99"/>
    <n v="0.2"/>
    <n v="215.99200000000002"/>
  </r>
  <r>
    <n v="67"/>
    <n v="4"/>
    <n v="5"/>
    <s v="Heller Shagamaw Frame - 2016"/>
    <n v="6"/>
    <x v="1"/>
    <n v="2"/>
    <n v="1320.99"/>
    <n v="0.1"/>
    <n v="2377.7820000000002"/>
  </r>
  <r>
    <n v="67"/>
    <n v="5"/>
    <n v="19"/>
    <s v="Pure Cycles William 3-Speed - 2016"/>
    <n v="3"/>
    <x v="0"/>
    <n v="1"/>
    <n v="449"/>
    <n v="0.2"/>
    <n v="359.2"/>
  </r>
  <r>
    <n v="68"/>
    <n v="1"/>
    <n v="13"/>
    <s v="Electra Cruiser 1 (24-Inch) - 2016"/>
    <n v="3"/>
    <x v="0"/>
    <n v="2"/>
    <n v="269.99"/>
    <n v="7.0000000000000007E-2"/>
    <n v="502.1814"/>
  </r>
  <r>
    <n v="68"/>
    <n v="2"/>
    <n v="17"/>
    <s v="Pure Cycles Vine 8-Speed - 2016"/>
    <n v="3"/>
    <x v="0"/>
    <n v="1"/>
    <n v="429"/>
    <n v="0.1"/>
    <n v="386.1"/>
  </r>
  <r>
    <n v="69"/>
    <n v="1"/>
    <n v="22"/>
    <s v="Electra Girl's Hawaii 1 (16-inch) - 2015/2016"/>
    <n v="1"/>
    <x v="5"/>
    <n v="2"/>
    <n v="269.99"/>
    <n v="0.1"/>
    <n v="485.98200000000003"/>
  </r>
  <r>
    <n v="69"/>
    <n v="2"/>
    <n v="5"/>
    <s v="Heller Shagamaw Frame - 2016"/>
    <n v="6"/>
    <x v="1"/>
    <n v="1"/>
    <n v="1320.99"/>
    <n v="0.2"/>
    <n v="1056.7919999999999"/>
  </r>
  <r>
    <n v="69"/>
    <n v="3"/>
    <n v="10"/>
    <s v="Surly Straggler - 2016"/>
    <n v="4"/>
    <x v="2"/>
    <n v="1"/>
    <n v="1549"/>
    <n v="0.05"/>
    <n v="1471.55"/>
  </r>
  <r>
    <n v="70"/>
    <n v="1"/>
    <n v="3"/>
    <s v="Surly Wednesday Frameset - 2016"/>
    <n v="6"/>
    <x v="1"/>
    <n v="2"/>
    <n v="999.99"/>
    <n v="0.05"/>
    <n v="1899.981"/>
  </r>
  <r>
    <n v="70"/>
    <n v="2"/>
    <n v="18"/>
    <s v="Pure Cycles Western 3-Speed - Women's - 2015/2016"/>
    <n v="3"/>
    <x v="0"/>
    <n v="1"/>
    <n v="449"/>
    <n v="0.2"/>
    <n v="359.2"/>
  </r>
  <r>
    <n v="70"/>
    <n v="3"/>
    <n v="20"/>
    <s v="Electra Townie Original 7D EQ - Women's - 2016"/>
    <n v="3"/>
    <x v="0"/>
    <n v="1"/>
    <n v="599.99"/>
    <n v="0.05"/>
    <n v="569.9905"/>
  </r>
  <r>
    <n v="71"/>
    <n v="1"/>
    <n v="26"/>
    <s v="Electra Townie Original 7D EQ - 2016"/>
    <n v="2"/>
    <x v="3"/>
    <n v="2"/>
    <n v="599.99"/>
    <n v="0.05"/>
    <n v="1139.981"/>
  </r>
  <r>
    <n v="71"/>
    <n v="2"/>
    <n v="24"/>
    <s v="Electra Townie Original 21D - 2016"/>
    <n v="2"/>
    <x v="3"/>
    <n v="1"/>
    <n v="549.99"/>
    <n v="0.2"/>
    <n v="439.99200000000002"/>
  </r>
  <r>
    <n v="71"/>
    <n v="3"/>
    <n v="18"/>
    <s v="Pure Cycles Western 3-Speed - Women's - 2015/2016"/>
    <n v="3"/>
    <x v="0"/>
    <n v="1"/>
    <n v="449"/>
    <n v="0.1"/>
    <n v="404.1"/>
  </r>
  <r>
    <n v="72"/>
    <n v="1"/>
    <n v="17"/>
    <s v="Pure Cycles Vine 8-Speed - 2016"/>
    <n v="3"/>
    <x v="0"/>
    <n v="2"/>
    <n v="429"/>
    <n v="7.0000000000000007E-2"/>
    <n v="797.94"/>
  </r>
  <r>
    <n v="72"/>
    <n v="2"/>
    <n v="12"/>
    <s v="Electra Townie Original 21D - 2016"/>
    <n v="3"/>
    <x v="0"/>
    <n v="1"/>
    <n v="549.99"/>
    <n v="0.05"/>
    <n v="522.4905"/>
  </r>
  <r>
    <n v="72"/>
    <n v="3"/>
    <n v="13"/>
    <s v="Electra Cruiser 1 (24-Inch) - 2016"/>
    <n v="3"/>
    <x v="0"/>
    <n v="2"/>
    <n v="269.99"/>
    <n v="0.1"/>
    <n v="485.98200000000003"/>
  </r>
  <r>
    <n v="73"/>
    <n v="1"/>
    <n v="22"/>
    <s v="Electra Girl's Hawaii 1 (16-inch) - 2015/2016"/>
    <n v="1"/>
    <x v="5"/>
    <n v="1"/>
    <n v="269.99"/>
    <n v="7.0000000000000007E-2"/>
    <n v="251.0907"/>
  </r>
  <r>
    <n v="73"/>
    <n v="2"/>
    <n v="26"/>
    <s v="Electra Townie Original 7D EQ - 2016"/>
    <n v="2"/>
    <x v="3"/>
    <n v="2"/>
    <n v="599.99"/>
    <n v="0.05"/>
    <n v="1139.981"/>
  </r>
  <r>
    <n v="73"/>
    <n v="3"/>
    <n v="3"/>
    <s v="Surly Wednesday Frameset - 2016"/>
    <n v="6"/>
    <x v="1"/>
    <n v="2"/>
    <n v="999.99"/>
    <n v="7.0000000000000007E-2"/>
    <n v="1859.9814000000001"/>
  </r>
  <r>
    <n v="73"/>
    <n v="4"/>
    <n v="25"/>
    <s v="Electra Townie Original 7D - 2015/2016"/>
    <n v="2"/>
    <x v="3"/>
    <n v="1"/>
    <n v="499.99"/>
    <n v="7.0000000000000007E-2"/>
    <n v="464.9907"/>
  </r>
  <r>
    <n v="73"/>
    <n v="5"/>
    <n v="23"/>
    <s v="Electra Girl's Hawaii 1 (20-inch) - 2015/2016"/>
    <n v="1"/>
    <x v="5"/>
    <n v="2"/>
    <n v="299.99"/>
    <n v="0.2"/>
    <n v="479.98400000000004"/>
  </r>
  <r>
    <n v="74"/>
    <n v="1"/>
    <n v="16"/>
    <s v="Electra Townie Original 7D EQ - 2016"/>
    <n v="3"/>
    <x v="0"/>
    <n v="2"/>
    <n v="599.99"/>
    <n v="0.05"/>
    <n v="1139.981"/>
  </r>
  <r>
    <n v="74"/>
    <n v="2"/>
    <n v="6"/>
    <s v="Surly Ice Cream Truck Frameset - 2016"/>
    <n v="6"/>
    <x v="1"/>
    <n v="1"/>
    <n v="469.99"/>
    <n v="7.0000000000000007E-2"/>
    <n v="437.09070000000003"/>
  </r>
  <r>
    <n v="75"/>
    <n v="1"/>
    <n v="3"/>
    <s v="Surly Wednesday Frameset - 2016"/>
    <n v="6"/>
    <x v="1"/>
    <n v="1"/>
    <n v="999.99"/>
    <n v="0.1"/>
    <n v="899.99099999999999"/>
  </r>
  <r>
    <n v="75"/>
    <n v="2"/>
    <n v="7"/>
    <s v="Trek Slash 8 27.5 - 2016"/>
    <n v="6"/>
    <x v="1"/>
    <n v="2"/>
    <n v="3999.99"/>
    <n v="7.0000000000000007E-2"/>
    <n v="7439.9813999999997"/>
  </r>
  <r>
    <n v="75"/>
    <n v="3"/>
    <n v="15"/>
    <s v="Electra Moto 1 - 2016"/>
    <n v="3"/>
    <x v="0"/>
    <n v="1"/>
    <n v="529.99"/>
    <n v="0.2"/>
    <n v="423.99200000000002"/>
  </r>
  <r>
    <n v="76"/>
    <n v="1"/>
    <n v="12"/>
    <s v="Electra Townie Original 21D - 2016"/>
    <n v="3"/>
    <x v="0"/>
    <n v="1"/>
    <n v="549.99"/>
    <n v="0.05"/>
    <n v="522.4905"/>
  </r>
  <r>
    <n v="76"/>
    <n v="2"/>
    <n v="11"/>
    <s v="Surly Straggler 650b - 2016"/>
    <n v="4"/>
    <x v="2"/>
    <n v="2"/>
    <n v="1680.99"/>
    <n v="0.1"/>
    <n v="3025.7820000000002"/>
  </r>
  <r>
    <n v="76"/>
    <n v="3"/>
    <n v="5"/>
    <s v="Heller Shagamaw Frame - 2016"/>
    <n v="6"/>
    <x v="1"/>
    <n v="1"/>
    <n v="1320.99"/>
    <n v="7.0000000000000007E-2"/>
    <n v="1228.5207"/>
  </r>
  <r>
    <n v="77"/>
    <n v="1"/>
    <n v="20"/>
    <s v="Electra Townie Original 7D EQ - Women's - 2016"/>
    <n v="3"/>
    <x v="0"/>
    <n v="1"/>
    <n v="599.99"/>
    <n v="7.0000000000000007E-2"/>
    <n v="557.99070000000006"/>
  </r>
  <r>
    <n v="77"/>
    <n v="2"/>
    <n v="24"/>
    <s v="Electra Townie Original 21D - 2016"/>
    <n v="2"/>
    <x v="3"/>
    <n v="2"/>
    <n v="549.99"/>
    <n v="0.1"/>
    <n v="989.98199999999997"/>
  </r>
  <r>
    <n v="77"/>
    <n v="3"/>
    <n v="26"/>
    <s v="Electra Townie Original 7D EQ - 2016"/>
    <n v="2"/>
    <x v="3"/>
    <n v="1"/>
    <n v="599.99"/>
    <n v="0.2"/>
    <n v="479.99200000000002"/>
  </r>
  <r>
    <n v="77"/>
    <n v="4"/>
    <n v="25"/>
    <s v="Electra Townie Original 7D - 2015/2016"/>
    <n v="2"/>
    <x v="3"/>
    <n v="1"/>
    <n v="499.99"/>
    <n v="0.2"/>
    <n v="399.99200000000002"/>
  </r>
  <r>
    <n v="78"/>
    <n v="1"/>
    <n v="17"/>
    <s v="Pure Cycles Vine 8-Speed - 2016"/>
    <n v="3"/>
    <x v="0"/>
    <n v="1"/>
    <n v="429"/>
    <n v="7.0000000000000007E-2"/>
    <n v="398.97"/>
  </r>
  <r>
    <n v="78"/>
    <n v="2"/>
    <n v="19"/>
    <s v="Pure Cycles William 3-Speed - 2016"/>
    <n v="3"/>
    <x v="0"/>
    <n v="1"/>
    <n v="449"/>
    <n v="0.2"/>
    <n v="359.2"/>
  </r>
  <r>
    <n v="78"/>
    <n v="3"/>
    <n v="18"/>
    <s v="Pure Cycles Western 3-Speed - Women's - 2015/2016"/>
    <n v="3"/>
    <x v="0"/>
    <n v="2"/>
    <n v="449"/>
    <n v="0.1"/>
    <n v="808.2"/>
  </r>
  <r>
    <n v="78"/>
    <n v="4"/>
    <n v="14"/>
    <s v="Electra Girl's Hawaii 1 (16-inch) - 2015/2016"/>
    <n v="3"/>
    <x v="0"/>
    <n v="2"/>
    <n v="269.99"/>
    <n v="0.1"/>
    <n v="485.98200000000003"/>
  </r>
  <r>
    <n v="79"/>
    <n v="1"/>
    <n v="9"/>
    <s v="Trek Conduit+ - 2016"/>
    <n v="5"/>
    <x v="4"/>
    <n v="2"/>
    <n v="2999.99"/>
    <n v="0.1"/>
    <n v="5399.982"/>
  </r>
  <r>
    <n v="79"/>
    <n v="2"/>
    <n v="17"/>
    <s v="Pure Cycles Vine 8-Speed - 2016"/>
    <n v="3"/>
    <x v="0"/>
    <n v="2"/>
    <n v="429"/>
    <n v="0.05"/>
    <n v="815.1"/>
  </r>
  <r>
    <n v="79"/>
    <n v="3"/>
    <n v="6"/>
    <s v="Surly Ice Cream Truck Frameset - 2016"/>
    <n v="6"/>
    <x v="1"/>
    <n v="1"/>
    <n v="469.99"/>
    <n v="0.1"/>
    <n v="422.99099999999999"/>
  </r>
  <r>
    <n v="79"/>
    <n v="4"/>
    <n v="25"/>
    <s v="Electra Townie Original 7D - 2015/2016"/>
    <n v="2"/>
    <x v="3"/>
    <n v="2"/>
    <n v="499.99"/>
    <n v="7.0000000000000007E-2"/>
    <n v="929.98140000000001"/>
  </r>
  <r>
    <n v="80"/>
    <n v="1"/>
    <n v="26"/>
    <s v="Electra Townie Original 7D EQ - 2016"/>
    <n v="2"/>
    <x v="3"/>
    <n v="1"/>
    <n v="599.99"/>
    <n v="0.1"/>
    <n v="539.99099999999999"/>
  </r>
  <r>
    <n v="80"/>
    <n v="2"/>
    <n v="24"/>
    <s v="Electra Townie Original 21D - 2016"/>
    <n v="2"/>
    <x v="3"/>
    <n v="1"/>
    <n v="549.99"/>
    <n v="0.1"/>
    <n v="494.99099999999999"/>
  </r>
  <r>
    <n v="80"/>
    <n v="3"/>
    <n v="17"/>
    <s v="Pure Cycles Vine 8-Speed - 2016"/>
    <n v="3"/>
    <x v="0"/>
    <n v="1"/>
    <n v="429"/>
    <n v="0.2"/>
    <n v="343.2"/>
  </r>
  <r>
    <n v="81"/>
    <n v="1"/>
    <n v="10"/>
    <s v="Surly Straggler - 2016"/>
    <n v="4"/>
    <x v="2"/>
    <n v="2"/>
    <n v="1549"/>
    <n v="0.2"/>
    <n v="2478.4"/>
  </r>
  <r>
    <n v="81"/>
    <n v="2"/>
    <n v="23"/>
    <s v="Electra Girl's Hawaii 1 (20-inch) - 2015/2016"/>
    <n v="1"/>
    <x v="5"/>
    <n v="2"/>
    <n v="299.99"/>
    <n v="0.05"/>
    <n v="569.98099999999999"/>
  </r>
  <r>
    <n v="81"/>
    <n v="3"/>
    <n v="25"/>
    <s v="Electra Townie Original 7D - 2015/2016"/>
    <n v="2"/>
    <x v="3"/>
    <n v="2"/>
    <n v="499.99"/>
    <n v="0.05"/>
    <n v="949.98099999999999"/>
  </r>
  <r>
    <n v="82"/>
    <n v="1"/>
    <n v="25"/>
    <s v="Electra Townie Original 7D - 2015/2016"/>
    <n v="2"/>
    <x v="3"/>
    <n v="2"/>
    <n v="499.99"/>
    <n v="0.1"/>
    <n v="899.98199999999997"/>
  </r>
  <r>
    <n v="82"/>
    <n v="2"/>
    <n v="11"/>
    <s v="Surly Straggler 650b - 2016"/>
    <n v="4"/>
    <x v="2"/>
    <n v="2"/>
    <n v="1680.99"/>
    <n v="0.2"/>
    <n v="2689.5839999999998"/>
  </r>
  <r>
    <n v="83"/>
    <n v="1"/>
    <n v="20"/>
    <s v="Electra Townie Original 7D EQ - Women's - 2016"/>
    <n v="3"/>
    <x v="0"/>
    <n v="1"/>
    <n v="599.99"/>
    <n v="0.2"/>
    <n v="479.99200000000002"/>
  </r>
  <r>
    <n v="83"/>
    <n v="2"/>
    <n v="3"/>
    <s v="Surly Wednesday Frameset - 2016"/>
    <n v="6"/>
    <x v="1"/>
    <n v="2"/>
    <n v="999.99"/>
    <n v="0.05"/>
    <n v="1899.981"/>
  </r>
  <r>
    <n v="84"/>
    <n v="1"/>
    <n v="23"/>
    <s v="Electra Girl's Hawaii 1 (20-inch) - 2015/2016"/>
    <n v="1"/>
    <x v="5"/>
    <n v="2"/>
    <n v="299.99"/>
    <n v="7.0000000000000007E-2"/>
    <n v="557.98140000000001"/>
  </r>
  <r>
    <n v="84"/>
    <n v="2"/>
    <n v="15"/>
    <s v="Electra Moto 1 - 2016"/>
    <n v="3"/>
    <x v="0"/>
    <n v="2"/>
    <n v="529.99"/>
    <n v="7.0000000000000007E-2"/>
    <n v="985.78139999999996"/>
  </r>
  <r>
    <n v="85"/>
    <n v="1"/>
    <n v="4"/>
    <s v="Trek Fuel EX 8 29 - 2016"/>
    <n v="6"/>
    <x v="1"/>
    <n v="2"/>
    <n v="2899.99"/>
    <n v="0.05"/>
    <n v="5509.9809999999998"/>
  </r>
  <r>
    <n v="85"/>
    <n v="2"/>
    <n v="18"/>
    <s v="Pure Cycles Western 3-Speed - Women's - 2015/2016"/>
    <n v="3"/>
    <x v="0"/>
    <n v="1"/>
    <n v="449"/>
    <n v="7.0000000000000007E-2"/>
    <n v="417.57"/>
  </r>
  <r>
    <n v="86"/>
    <n v="1"/>
    <n v="9"/>
    <s v="Trek Conduit+ - 2016"/>
    <n v="5"/>
    <x v="4"/>
    <n v="2"/>
    <n v="2999.99"/>
    <n v="0.1"/>
    <n v="5399.982"/>
  </r>
  <r>
    <n v="86"/>
    <n v="2"/>
    <n v="23"/>
    <s v="Electra Girl's Hawaii 1 (20-inch) - 2015/2016"/>
    <n v="1"/>
    <x v="5"/>
    <n v="2"/>
    <n v="299.99"/>
    <n v="7.0000000000000007E-2"/>
    <n v="557.98140000000001"/>
  </r>
  <r>
    <n v="86"/>
    <n v="3"/>
    <n v="21"/>
    <s v="Electra Cruiser 1 (24-Inch) - 2016"/>
    <n v="1"/>
    <x v="5"/>
    <n v="2"/>
    <n v="269.99"/>
    <n v="0.2"/>
    <n v="431.98400000000004"/>
  </r>
  <r>
    <n v="86"/>
    <n v="4"/>
    <n v="15"/>
    <s v="Electra Moto 1 - 2016"/>
    <n v="3"/>
    <x v="0"/>
    <n v="1"/>
    <n v="529.99"/>
    <n v="0.1"/>
    <n v="476.99099999999999"/>
  </r>
  <r>
    <n v="87"/>
    <n v="1"/>
    <n v="20"/>
    <s v="Electra Townie Original 7D EQ - Women's - 2016"/>
    <n v="3"/>
    <x v="0"/>
    <n v="2"/>
    <n v="599.99"/>
    <n v="0.2"/>
    <n v="959.98400000000004"/>
  </r>
  <r>
    <n v="87"/>
    <n v="2"/>
    <n v="23"/>
    <s v="Electra Girl's Hawaii 1 (20-inch) - 2015/2016"/>
    <n v="1"/>
    <x v="5"/>
    <n v="2"/>
    <n v="299.99"/>
    <n v="0.1"/>
    <n v="539.98199999999997"/>
  </r>
  <r>
    <n v="88"/>
    <n v="1"/>
    <n v="10"/>
    <s v="Surly Straggler - 2016"/>
    <n v="4"/>
    <x v="2"/>
    <n v="1"/>
    <n v="1549"/>
    <n v="7.0000000000000007E-2"/>
    <n v="1440.57"/>
  </r>
  <r>
    <n v="88"/>
    <n v="2"/>
    <n v="8"/>
    <s v="Trek Remedy 29 Carbon Frameset - 2016"/>
    <n v="6"/>
    <x v="1"/>
    <n v="2"/>
    <n v="1799.99"/>
    <n v="0.1"/>
    <n v="3239.982"/>
  </r>
  <r>
    <n v="88"/>
    <n v="3"/>
    <n v="7"/>
    <s v="Trek Slash 8 27.5 - 2016"/>
    <n v="6"/>
    <x v="1"/>
    <n v="1"/>
    <n v="3999.99"/>
    <n v="0.1"/>
    <n v="3599.991"/>
  </r>
  <r>
    <n v="89"/>
    <n v="1"/>
    <n v="5"/>
    <s v="Heller Shagamaw Frame - 2016"/>
    <n v="6"/>
    <x v="1"/>
    <n v="1"/>
    <n v="1320.99"/>
    <n v="0.05"/>
    <n v="1254.9404999999999"/>
  </r>
  <r>
    <n v="89"/>
    <n v="2"/>
    <n v="6"/>
    <s v="Surly Ice Cream Truck Frameset - 2016"/>
    <n v="6"/>
    <x v="1"/>
    <n v="2"/>
    <n v="469.99"/>
    <n v="0.1"/>
    <n v="845.98199999999997"/>
  </r>
  <r>
    <n v="90"/>
    <n v="1"/>
    <n v="3"/>
    <s v="Surly Wednesday Frameset - 2016"/>
    <n v="6"/>
    <x v="1"/>
    <n v="1"/>
    <n v="999.99"/>
    <n v="0.1"/>
    <n v="899.99099999999999"/>
  </r>
  <r>
    <n v="90"/>
    <n v="2"/>
    <n v="6"/>
    <s v="Surly Ice Cream Truck Frameset - 2016"/>
    <n v="6"/>
    <x v="1"/>
    <n v="1"/>
    <n v="469.99"/>
    <n v="7.0000000000000007E-2"/>
    <n v="437.09070000000003"/>
  </r>
  <r>
    <n v="91"/>
    <n v="1"/>
    <n v="11"/>
    <s v="Surly Straggler 650b - 2016"/>
    <n v="4"/>
    <x v="2"/>
    <n v="1"/>
    <n v="1680.99"/>
    <n v="0.1"/>
    <n v="1512.8910000000001"/>
  </r>
  <r>
    <n v="91"/>
    <n v="2"/>
    <n v="25"/>
    <s v="Electra Townie Original 7D - 2015/2016"/>
    <n v="2"/>
    <x v="3"/>
    <n v="1"/>
    <n v="499.99"/>
    <n v="0.05"/>
    <n v="474.9905"/>
  </r>
  <r>
    <n v="91"/>
    <n v="3"/>
    <n v="15"/>
    <s v="Electra Moto 1 - 2016"/>
    <n v="3"/>
    <x v="0"/>
    <n v="2"/>
    <n v="529.99"/>
    <n v="7.0000000000000007E-2"/>
    <n v="985.78139999999996"/>
  </r>
  <r>
    <n v="91"/>
    <n v="4"/>
    <n v="13"/>
    <s v="Electra Cruiser 1 (24-Inch) - 2016"/>
    <n v="3"/>
    <x v="0"/>
    <n v="2"/>
    <n v="269.99"/>
    <n v="7.0000000000000007E-2"/>
    <n v="502.1814"/>
  </r>
  <r>
    <n v="92"/>
    <n v="1"/>
    <n v="8"/>
    <s v="Trek Remedy 29 Carbon Frameset - 2016"/>
    <n v="6"/>
    <x v="1"/>
    <n v="1"/>
    <n v="1799.99"/>
    <n v="0.1"/>
    <n v="1619.991"/>
  </r>
  <r>
    <n v="93"/>
    <n v="1"/>
    <n v="22"/>
    <s v="Electra Girl's Hawaii 1 (16-inch) - 2015/2016"/>
    <n v="1"/>
    <x v="5"/>
    <n v="2"/>
    <n v="269.99"/>
    <n v="7.0000000000000007E-2"/>
    <n v="502.1814"/>
  </r>
  <r>
    <n v="93"/>
    <n v="2"/>
    <n v="17"/>
    <s v="Pure Cycles Vine 8-Speed - 2016"/>
    <n v="3"/>
    <x v="0"/>
    <n v="1"/>
    <n v="429"/>
    <n v="0.05"/>
    <n v="407.55"/>
  </r>
  <r>
    <n v="93"/>
    <n v="3"/>
    <n v="21"/>
    <s v="Electra Cruiser 1 (24-Inch) - 2016"/>
    <n v="1"/>
    <x v="5"/>
    <n v="1"/>
    <n v="269.99"/>
    <n v="0.1"/>
    <n v="242.99100000000001"/>
  </r>
  <r>
    <n v="93"/>
    <n v="4"/>
    <n v="2"/>
    <s v="Ritchey Timberwolf Frameset - 2016"/>
    <n v="6"/>
    <x v="1"/>
    <n v="1"/>
    <n v="749.99"/>
    <n v="0.2"/>
    <n v="599.99199999999996"/>
  </r>
  <r>
    <n v="93"/>
    <n v="5"/>
    <n v="10"/>
    <s v="Surly Straggler - 2016"/>
    <n v="4"/>
    <x v="2"/>
    <n v="2"/>
    <n v="1549"/>
    <n v="7.0000000000000007E-2"/>
    <n v="2881.14"/>
  </r>
  <r>
    <n v="94"/>
    <n v="1"/>
    <n v="12"/>
    <s v="Electra Townie Original 21D - 2016"/>
    <n v="3"/>
    <x v="0"/>
    <n v="1"/>
    <n v="549.99"/>
    <n v="0.05"/>
    <n v="522.4905"/>
  </r>
  <r>
    <n v="94"/>
    <n v="2"/>
    <n v="4"/>
    <s v="Trek Fuel EX 8 29 - 2016"/>
    <n v="6"/>
    <x v="1"/>
    <n v="1"/>
    <n v="2899.99"/>
    <n v="0.2"/>
    <n v="2319.9919999999997"/>
  </r>
  <r>
    <n v="94"/>
    <n v="3"/>
    <n v="11"/>
    <s v="Surly Straggler 650b - 2016"/>
    <n v="4"/>
    <x v="2"/>
    <n v="1"/>
    <n v="1680.99"/>
    <n v="0.2"/>
    <n v="1344.7919999999999"/>
  </r>
  <r>
    <n v="94"/>
    <n v="4"/>
    <n v="21"/>
    <s v="Electra Cruiser 1 (24-Inch) - 2016"/>
    <n v="1"/>
    <x v="5"/>
    <n v="2"/>
    <n v="269.99"/>
    <n v="7.0000000000000007E-2"/>
    <n v="502.1814"/>
  </r>
  <r>
    <n v="95"/>
    <n v="1"/>
    <n v="10"/>
    <s v="Surly Straggler - 2016"/>
    <n v="4"/>
    <x v="2"/>
    <n v="2"/>
    <n v="1549"/>
    <n v="0.2"/>
    <n v="2478.4"/>
  </r>
  <r>
    <n v="95"/>
    <n v="2"/>
    <n v="19"/>
    <s v="Pure Cycles William 3-Speed - 2016"/>
    <n v="3"/>
    <x v="0"/>
    <n v="1"/>
    <n v="449"/>
    <n v="0.1"/>
    <n v="404.1"/>
  </r>
  <r>
    <n v="95"/>
    <n v="3"/>
    <n v="8"/>
    <s v="Trek Remedy 29 Carbon Frameset - 2016"/>
    <n v="6"/>
    <x v="1"/>
    <n v="2"/>
    <n v="1799.99"/>
    <n v="0.2"/>
    <n v="2879.9839999999999"/>
  </r>
  <r>
    <n v="95"/>
    <n v="4"/>
    <n v="20"/>
    <s v="Electra Townie Original 7D EQ - Women's - 2016"/>
    <n v="3"/>
    <x v="0"/>
    <n v="2"/>
    <n v="599.99"/>
    <n v="0.05"/>
    <n v="1139.981"/>
  </r>
  <r>
    <n v="96"/>
    <n v="1"/>
    <n v="26"/>
    <s v="Electra Townie Original 7D EQ - 2016"/>
    <n v="2"/>
    <x v="3"/>
    <n v="1"/>
    <n v="599.99"/>
    <n v="0.1"/>
    <n v="539.99099999999999"/>
  </r>
  <r>
    <n v="96"/>
    <n v="2"/>
    <n v="23"/>
    <s v="Electra Girl's Hawaii 1 (20-inch) - 2015/2016"/>
    <n v="1"/>
    <x v="5"/>
    <n v="1"/>
    <n v="299.99"/>
    <n v="0.05"/>
    <n v="284.9905"/>
  </r>
  <r>
    <n v="97"/>
    <n v="1"/>
    <n v="20"/>
    <s v="Electra Townie Original 7D EQ - Women's - 2016"/>
    <n v="3"/>
    <x v="0"/>
    <n v="2"/>
    <n v="599.99"/>
    <n v="0.2"/>
    <n v="959.98400000000004"/>
  </r>
  <r>
    <n v="97"/>
    <n v="2"/>
    <n v="2"/>
    <s v="Ritchey Timberwolf Frameset - 2016"/>
    <n v="6"/>
    <x v="1"/>
    <n v="1"/>
    <n v="749.99"/>
    <n v="7.0000000000000007E-2"/>
    <n v="697.49070000000006"/>
  </r>
  <r>
    <n v="97"/>
    <n v="3"/>
    <n v="6"/>
    <s v="Surly Ice Cream Truck Frameset - 2016"/>
    <n v="6"/>
    <x v="1"/>
    <n v="2"/>
    <n v="469.99"/>
    <n v="0.2"/>
    <n v="751.98400000000004"/>
  </r>
  <r>
    <n v="97"/>
    <n v="4"/>
    <n v="19"/>
    <s v="Pure Cycles William 3-Speed - 2016"/>
    <n v="3"/>
    <x v="0"/>
    <n v="1"/>
    <n v="449"/>
    <n v="0.1"/>
    <n v="404.1"/>
  </r>
  <r>
    <n v="98"/>
    <n v="1"/>
    <n v="19"/>
    <s v="Pure Cycles William 3-Speed - 2016"/>
    <n v="3"/>
    <x v="0"/>
    <n v="1"/>
    <n v="449"/>
    <n v="7.0000000000000007E-2"/>
    <n v="417.57"/>
  </r>
  <r>
    <n v="98"/>
    <n v="2"/>
    <n v="21"/>
    <s v="Electra Cruiser 1 (24-Inch) - 2016"/>
    <n v="1"/>
    <x v="5"/>
    <n v="1"/>
    <n v="269.99"/>
    <n v="0.1"/>
    <n v="242.99100000000001"/>
  </r>
  <r>
    <n v="98"/>
    <n v="3"/>
    <n v="2"/>
    <s v="Ritchey Timberwolf Frameset - 2016"/>
    <n v="6"/>
    <x v="1"/>
    <n v="1"/>
    <n v="749.99"/>
    <n v="0.2"/>
    <n v="599.99199999999996"/>
  </r>
  <r>
    <n v="98"/>
    <n v="4"/>
    <n v="22"/>
    <s v="Electra Girl's Hawaii 1 (16-inch) - 2015/2016"/>
    <n v="1"/>
    <x v="5"/>
    <n v="2"/>
    <n v="269.99"/>
    <n v="0.2"/>
    <n v="431.98400000000004"/>
  </r>
  <r>
    <n v="99"/>
    <n v="1"/>
    <n v="13"/>
    <s v="Electra Cruiser 1 (24-Inch) - 2016"/>
    <n v="3"/>
    <x v="0"/>
    <n v="1"/>
    <n v="269.99"/>
    <n v="0.2"/>
    <n v="215.99200000000002"/>
  </r>
  <r>
    <n v="99"/>
    <n v="2"/>
    <n v="21"/>
    <s v="Electra Cruiser 1 (24-Inch) - 2016"/>
    <n v="1"/>
    <x v="5"/>
    <n v="1"/>
    <n v="269.99"/>
    <n v="0.2"/>
    <n v="215.99200000000002"/>
  </r>
  <r>
    <n v="99"/>
    <n v="3"/>
    <n v="25"/>
    <s v="Electra Townie Original 7D - 2015/2016"/>
    <n v="2"/>
    <x v="3"/>
    <n v="2"/>
    <n v="499.99"/>
    <n v="0.05"/>
    <n v="949.98099999999999"/>
  </r>
  <r>
    <n v="99"/>
    <n v="4"/>
    <n v="7"/>
    <s v="Trek Slash 8 27.5 - 2016"/>
    <n v="6"/>
    <x v="1"/>
    <n v="2"/>
    <n v="3999.99"/>
    <n v="7.0000000000000007E-2"/>
    <n v="7439.9813999999997"/>
  </r>
  <r>
    <n v="99"/>
    <n v="5"/>
    <n v="23"/>
    <s v="Electra Girl's Hawaii 1 (20-inch) - 2015/2016"/>
    <n v="1"/>
    <x v="5"/>
    <n v="2"/>
    <n v="299.99"/>
    <n v="0.2"/>
    <n v="479.98400000000004"/>
  </r>
  <r>
    <n v="100"/>
    <n v="1"/>
    <n v="12"/>
    <s v="Electra Townie Original 21D - 2016"/>
    <n v="3"/>
    <x v="0"/>
    <n v="2"/>
    <n v="549.99"/>
    <n v="0.05"/>
    <n v="1044.981"/>
  </r>
  <r>
    <n v="100"/>
    <n v="2"/>
    <n v="11"/>
    <s v="Surly Straggler 650b - 2016"/>
    <n v="4"/>
    <x v="2"/>
    <n v="2"/>
    <n v="1680.99"/>
    <n v="0.1"/>
    <n v="3025.7820000000002"/>
  </r>
  <r>
    <n v="100"/>
    <n v="3"/>
    <n v="7"/>
    <s v="Trek Slash 8 27.5 - 2016"/>
    <n v="6"/>
    <x v="1"/>
    <n v="2"/>
    <n v="3999.99"/>
    <n v="0.2"/>
    <n v="6399.9839999999995"/>
  </r>
  <r>
    <n v="100"/>
    <n v="4"/>
    <n v="16"/>
    <s v="Electra Townie Original 7D EQ - 2016"/>
    <n v="3"/>
    <x v="0"/>
    <n v="2"/>
    <n v="599.99"/>
    <n v="0.2"/>
    <n v="959.98400000000004"/>
  </r>
  <r>
    <n v="100"/>
    <n v="5"/>
    <n v="24"/>
    <s v="Electra Townie Original 21D - 2016"/>
    <n v="2"/>
    <x v="3"/>
    <n v="2"/>
    <n v="549.99"/>
    <n v="0.1"/>
    <n v="989.98199999999997"/>
  </r>
  <r>
    <n v="101"/>
    <n v="1"/>
    <n v="12"/>
    <s v="Electra Townie Original 21D - 2016"/>
    <n v="3"/>
    <x v="0"/>
    <n v="2"/>
    <n v="549.99"/>
    <n v="0.2"/>
    <n v="879.98400000000004"/>
  </r>
  <r>
    <n v="102"/>
    <n v="1"/>
    <n v="15"/>
    <s v="Electra Moto 1 - 2016"/>
    <n v="3"/>
    <x v="0"/>
    <n v="1"/>
    <n v="529.99"/>
    <n v="0.05"/>
    <n v="503.4905"/>
  </r>
  <r>
    <n v="102"/>
    <n v="2"/>
    <n v="22"/>
    <s v="Electra Girl's Hawaii 1 (16-inch) - 2015/2016"/>
    <n v="1"/>
    <x v="5"/>
    <n v="1"/>
    <n v="269.99"/>
    <n v="7.0000000000000007E-2"/>
    <n v="251.0907"/>
  </r>
  <r>
    <n v="103"/>
    <n v="1"/>
    <n v="17"/>
    <s v="Pure Cycles Vine 8-Speed - 2016"/>
    <n v="3"/>
    <x v="0"/>
    <n v="1"/>
    <n v="429"/>
    <n v="7.0000000000000007E-2"/>
    <n v="398.97"/>
  </r>
  <r>
    <n v="103"/>
    <n v="2"/>
    <n v="3"/>
    <s v="Surly Wednesday Frameset - 2016"/>
    <n v="6"/>
    <x v="1"/>
    <n v="1"/>
    <n v="999.99"/>
    <n v="0.05"/>
    <n v="949.9905"/>
  </r>
  <r>
    <n v="103"/>
    <n v="3"/>
    <n v="18"/>
    <s v="Pure Cycles Western 3-Speed - Women's - 2015/2016"/>
    <n v="3"/>
    <x v="0"/>
    <n v="1"/>
    <n v="449"/>
    <n v="0.2"/>
    <n v="359.2"/>
  </r>
  <r>
    <n v="103"/>
    <n v="4"/>
    <n v="15"/>
    <s v="Electra Moto 1 - 2016"/>
    <n v="3"/>
    <x v="0"/>
    <n v="2"/>
    <n v="529.99"/>
    <n v="0.1"/>
    <n v="953.98199999999997"/>
  </r>
  <r>
    <n v="103"/>
    <n v="5"/>
    <n v="9"/>
    <s v="Trek Conduit+ - 2016"/>
    <n v="5"/>
    <x v="4"/>
    <n v="2"/>
    <n v="2999.99"/>
    <n v="0.1"/>
    <n v="5399.982"/>
  </r>
  <r>
    <n v="104"/>
    <n v="1"/>
    <n v="19"/>
    <s v="Pure Cycles William 3-Speed - 2016"/>
    <n v="3"/>
    <x v="0"/>
    <n v="2"/>
    <n v="449"/>
    <n v="0.1"/>
    <n v="808.2"/>
  </r>
  <r>
    <n v="104"/>
    <n v="2"/>
    <n v="26"/>
    <s v="Electra Townie Original 7D EQ - 2016"/>
    <n v="2"/>
    <x v="3"/>
    <n v="1"/>
    <n v="599.99"/>
    <n v="0.05"/>
    <n v="569.9905"/>
  </r>
  <r>
    <n v="105"/>
    <n v="1"/>
    <n v="11"/>
    <s v="Surly Straggler 650b - 2016"/>
    <n v="4"/>
    <x v="2"/>
    <n v="2"/>
    <n v="1680.99"/>
    <n v="0.2"/>
    <n v="2689.5839999999998"/>
  </r>
  <r>
    <n v="105"/>
    <n v="2"/>
    <n v="3"/>
    <s v="Surly Wednesday Frameset - 2016"/>
    <n v="6"/>
    <x v="1"/>
    <n v="1"/>
    <n v="999.99"/>
    <n v="0.05"/>
    <n v="949.9905"/>
  </r>
  <r>
    <n v="105"/>
    <n v="3"/>
    <n v="9"/>
    <s v="Trek Conduit+ - 2016"/>
    <n v="5"/>
    <x v="4"/>
    <n v="1"/>
    <n v="2999.99"/>
    <n v="0.05"/>
    <n v="2849.9904999999999"/>
  </r>
  <r>
    <n v="106"/>
    <n v="1"/>
    <n v="17"/>
    <s v="Pure Cycles Vine 8-Speed - 2016"/>
    <n v="3"/>
    <x v="0"/>
    <n v="1"/>
    <n v="429"/>
    <n v="0.1"/>
    <n v="386.1"/>
  </r>
  <r>
    <n v="106"/>
    <n v="2"/>
    <n v="13"/>
    <s v="Electra Cruiser 1 (24-Inch) - 2016"/>
    <n v="3"/>
    <x v="0"/>
    <n v="2"/>
    <n v="269.99"/>
    <n v="0.1"/>
    <n v="485.98200000000003"/>
  </r>
  <r>
    <n v="107"/>
    <n v="1"/>
    <n v="19"/>
    <s v="Pure Cycles William 3-Speed - 2016"/>
    <n v="3"/>
    <x v="0"/>
    <n v="1"/>
    <n v="449"/>
    <n v="0.2"/>
    <n v="359.2"/>
  </r>
  <r>
    <n v="107"/>
    <n v="2"/>
    <n v="13"/>
    <s v="Electra Cruiser 1 (24-Inch) - 2016"/>
    <n v="3"/>
    <x v="0"/>
    <n v="2"/>
    <n v="269.99"/>
    <n v="0.1"/>
    <n v="485.98200000000003"/>
  </r>
  <r>
    <n v="108"/>
    <n v="1"/>
    <n v="11"/>
    <s v="Surly Straggler 650b - 2016"/>
    <n v="4"/>
    <x v="2"/>
    <n v="1"/>
    <n v="1680.99"/>
    <n v="0.1"/>
    <n v="1512.8910000000001"/>
  </r>
  <r>
    <n v="108"/>
    <n v="2"/>
    <n v="22"/>
    <s v="Electra Girl's Hawaii 1 (16-inch) - 2015/2016"/>
    <n v="1"/>
    <x v="5"/>
    <n v="2"/>
    <n v="269.99"/>
    <n v="7.0000000000000007E-2"/>
    <n v="502.1814"/>
  </r>
  <r>
    <n v="108"/>
    <n v="3"/>
    <n v="16"/>
    <s v="Electra Townie Original 7D EQ - 2016"/>
    <n v="3"/>
    <x v="0"/>
    <n v="2"/>
    <n v="599.99"/>
    <n v="0.05"/>
    <n v="1139.981"/>
  </r>
  <r>
    <n v="109"/>
    <n v="1"/>
    <n v="22"/>
    <s v="Electra Girl's Hawaii 1 (16-inch) - 2015/2016"/>
    <n v="1"/>
    <x v="5"/>
    <n v="2"/>
    <n v="269.99"/>
    <n v="0.1"/>
    <n v="485.98200000000003"/>
  </r>
  <r>
    <n v="109"/>
    <n v="2"/>
    <n v="6"/>
    <s v="Surly Ice Cream Truck Frameset - 2016"/>
    <n v="6"/>
    <x v="1"/>
    <n v="1"/>
    <n v="469.99"/>
    <n v="7.0000000000000007E-2"/>
    <n v="437.09070000000003"/>
  </r>
  <r>
    <n v="110"/>
    <n v="1"/>
    <n v="14"/>
    <s v="Electra Girl's Hawaii 1 (16-inch) - 2015/2016"/>
    <n v="3"/>
    <x v="0"/>
    <n v="1"/>
    <n v="269.99"/>
    <n v="0.1"/>
    <n v="242.99100000000001"/>
  </r>
  <r>
    <n v="111"/>
    <n v="1"/>
    <n v="14"/>
    <s v="Electra Girl's Hawaii 1 (16-inch) - 2015/2016"/>
    <n v="3"/>
    <x v="0"/>
    <n v="1"/>
    <n v="269.99"/>
    <n v="0.1"/>
    <n v="242.99100000000001"/>
  </r>
  <r>
    <n v="111"/>
    <n v="2"/>
    <n v="12"/>
    <s v="Electra Townie Original 21D - 2016"/>
    <n v="3"/>
    <x v="0"/>
    <n v="2"/>
    <n v="549.99"/>
    <n v="7.0000000000000007E-2"/>
    <n v="1022.9814"/>
  </r>
  <r>
    <n v="112"/>
    <n v="1"/>
    <n v="23"/>
    <s v="Electra Girl's Hawaii 1 (20-inch) - 2015/2016"/>
    <n v="1"/>
    <x v="5"/>
    <n v="2"/>
    <n v="299.99"/>
    <n v="0.2"/>
    <n v="479.98400000000004"/>
  </r>
  <r>
    <n v="112"/>
    <n v="2"/>
    <n v="25"/>
    <s v="Electra Townie Original 7D - 2015/2016"/>
    <n v="2"/>
    <x v="3"/>
    <n v="2"/>
    <n v="499.99"/>
    <n v="7.0000000000000007E-2"/>
    <n v="929.98140000000001"/>
  </r>
  <r>
    <n v="112"/>
    <n v="3"/>
    <n v="24"/>
    <s v="Electra Townie Original 21D - 2016"/>
    <n v="2"/>
    <x v="3"/>
    <n v="2"/>
    <n v="549.99"/>
    <n v="0.05"/>
    <n v="1044.981"/>
  </r>
  <r>
    <n v="112"/>
    <n v="4"/>
    <n v="5"/>
    <s v="Heller Shagamaw Frame - 2016"/>
    <n v="6"/>
    <x v="1"/>
    <n v="1"/>
    <n v="1320.99"/>
    <n v="0.2"/>
    <n v="1056.7919999999999"/>
  </r>
  <r>
    <n v="113"/>
    <n v="1"/>
    <n v="12"/>
    <s v="Electra Townie Original 21D - 2016"/>
    <n v="3"/>
    <x v="0"/>
    <n v="2"/>
    <n v="549.99"/>
    <n v="7.0000000000000007E-2"/>
    <n v="1022.9814"/>
  </r>
  <r>
    <n v="113"/>
    <n v="2"/>
    <n v="24"/>
    <s v="Electra Townie Original 21D - 2016"/>
    <n v="2"/>
    <x v="3"/>
    <n v="2"/>
    <n v="549.99"/>
    <n v="0.1"/>
    <n v="989.98199999999997"/>
  </r>
  <r>
    <n v="113"/>
    <n v="3"/>
    <n v="6"/>
    <s v="Surly Ice Cream Truck Frameset - 2016"/>
    <n v="6"/>
    <x v="1"/>
    <n v="1"/>
    <n v="469.99"/>
    <n v="7.0000000000000007E-2"/>
    <n v="437.09070000000003"/>
  </r>
  <r>
    <n v="113"/>
    <n v="4"/>
    <n v="23"/>
    <s v="Electra Girl's Hawaii 1 (20-inch) - 2015/2016"/>
    <n v="1"/>
    <x v="5"/>
    <n v="1"/>
    <n v="299.99"/>
    <n v="0.2"/>
    <n v="239.99200000000002"/>
  </r>
  <r>
    <n v="113"/>
    <n v="5"/>
    <n v="5"/>
    <s v="Heller Shagamaw Frame - 2016"/>
    <n v="6"/>
    <x v="1"/>
    <n v="2"/>
    <n v="1320.99"/>
    <n v="0.2"/>
    <n v="2113.5839999999998"/>
  </r>
  <r>
    <n v="114"/>
    <n v="1"/>
    <n v="12"/>
    <s v="Electra Townie Original 21D - 2016"/>
    <n v="3"/>
    <x v="0"/>
    <n v="1"/>
    <n v="549.99"/>
    <n v="0.05"/>
    <n v="522.4905"/>
  </r>
  <r>
    <n v="114"/>
    <n v="2"/>
    <n v="2"/>
    <s v="Ritchey Timberwolf Frameset - 2016"/>
    <n v="6"/>
    <x v="1"/>
    <n v="1"/>
    <n v="749.99"/>
    <n v="7.0000000000000007E-2"/>
    <n v="697.49070000000006"/>
  </r>
  <r>
    <n v="114"/>
    <n v="3"/>
    <n v="13"/>
    <s v="Electra Cruiser 1 (24-Inch) - 2016"/>
    <n v="3"/>
    <x v="0"/>
    <n v="2"/>
    <n v="269.99"/>
    <n v="0.1"/>
    <n v="485.98200000000003"/>
  </r>
  <r>
    <n v="115"/>
    <n v="1"/>
    <n v="22"/>
    <s v="Electra Girl's Hawaii 1 (16-inch) - 2015/2016"/>
    <n v="1"/>
    <x v="5"/>
    <n v="1"/>
    <n v="269.99"/>
    <n v="0.2"/>
    <n v="215.99200000000002"/>
  </r>
  <r>
    <n v="115"/>
    <n v="2"/>
    <n v="19"/>
    <s v="Pure Cycles William 3-Speed - 2016"/>
    <n v="3"/>
    <x v="0"/>
    <n v="1"/>
    <n v="449"/>
    <n v="0.1"/>
    <n v="404.1"/>
  </r>
  <r>
    <n v="116"/>
    <n v="1"/>
    <n v="26"/>
    <s v="Electra Townie Original 7D EQ - 2016"/>
    <n v="2"/>
    <x v="3"/>
    <n v="1"/>
    <n v="599.99"/>
    <n v="0.05"/>
    <n v="569.9905"/>
  </r>
  <r>
    <n v="117"/>
    <n v="1"/>
    <n v="22"/>
    <s v="Electra Girl's Hawaii 1 (16-inch) - 2015/2016"/>
    <n v="1"/>
    <x v="5"/>
    <n v="2"/>
    <n v="269.99"/>
    <n v="0.2"/>
    <n v="431.98400000000004"/>
  </r>
  <r>
    <n v="117"/>
    <n v="2"/>
    <n v="26"/>
    <s v="Electra Townie Original 7D EQ - 2016"/>
    <n v="2"/>
    <x v="3"/>
    <n v="1"/>
    <n v="599.99"/>
    <n v="0.05"/>
    <n v="569.9905"/>
  </r>
  <r>
    <n v="117"/>
    <n v="3"/>
    <n v="14"/>
    <s v="Electra Girl's Hawaii 1 (16-inch) - 2015/2016"/>
    <n v="3"/>
    <x v="0"/>
    <n v="1"/>
    <n v="269.99"/>
    <n v="0.2"/>
    <n v="215.99200000000002"/>
  </r>
  <r>
    <n v="117"/>
    <n v="4"/>
    <n v="19"/>
    <s v="Pure Cycles William 3-Speed - 2016"/>
    <n v="3"/>
    <x v="0"/>
    <n v="1"/>
    <n v="449"/>
    <n v="0.05"/>
    <n v="426.55"/>
  </r>
  <r>
    <n v="118"/>
    <n v="1"/>
    <n v="18"/>
    <s v="Pure Cycles Western 3-Speed - Women's - 2015/2016"/>
    <n v="3"/>
    <x v="0"/>
    <n v="1"/>
    <n v="449"/>
    <n v="7.0000000000000007E-2"/>
    <n v="417.57"/>
  </r>
  <r>
    <n v="118"/>
    <n v="2"/>
    <n v="4"/>
    <s v="Trek Fuel EX 8 29 - 2016"/>
    <n v="6"/>
    <x v="1"/>
    <n v="1"/>
    <n v="2899.99"/>
    <n v="7.0000000000000007E-2"/>
    <n v="2696.9906999999998"/>
  </r>
  <r>
    <n v="118"/>
    <n v="3"/>
    <n v="6"/>
    <s v="Surly Ice Cream Truck Frameset - 2016"/>
    <n v="6"/>
    <x v="1"/>
    <n v="1"/>
    <n v="469.99"/>
    <n v="7.0000000000000007E-2"/>
    <n v="437.09070000000003"/>
  </r>
  <r>
    <n v="118"/>
    <n v="4"/>
    <n v="3"/>
    <s v="Surly Wednesday Frameset - 2016"/>
    <n v="6"/>
    <x v="1"/>
    <n v="2"/>
    <n v="999.99"/>
    <n v="0.1"/>
    <n v="1799.982"/>
  </r>
  <r>
    <n v="118"/>
    <n v="5"/>
    <n v="23"/>
    <s v="Electra Girl's Hawaii 1 (20-inch) - 2015/2016"/>
    <n v="1"/>
    <x v="5"/>
    <n v="2"/>
    <n v="299.99"/>
    <n v="7.0000000000000007E-2"/>
    <n v="557.98140000000001"/>
  </r>
  <r>
    <n v="119"/>
    <n v="1"/>
    <n v="25"/>
    <s v="Electra Townie Original 7D - 2015/2016"/>
    <n v="2"/>
    <x v="3"/>
    <n v="1"/>
    <n v="499.99"/>
    <n v="0.05"/>
    <n v="474.9905"/>
  </r>
  <r>
    <n v="120"/>
    <n v="1"/>
    <n v="13"/>
    <s v="Electra Cruiser 1 (24-Inch) - 2016"/>
    <n v="3"/>
    <x v="0"/>
    <n v="2"/>
    <n v="269.99"/>
    <n v="0.05"/>
    <n v="512.98099999999999"/>
  </r>
  <r>
    <n v="120"/>
    <n v="2"/>
    <n v="6"/>
    <s v="Surly Ice Cream Truck Frameset - 2016"/>
    <n v="6"/>
    <x v="1"/>
    <n v="2"/>
    <n v="469.99"/>
    <n v="0.05"/>
    <n v="892.98099999999999"/>
  </r>
  <r>
    <n v="120"/>
    <n v="3"/>
    <n v="10"/>
    <s v="Surly Straggler - 2016"/>
    <n v="4"/>
    <x v="2"/>
    <n v="2"/>
    <n v="1549"/>
    <n v="0.05"/>
    <n v="2943.1"/>
  </r>
  <r>
    <n v="120"/>
    <n v="4"/>
    <n v="17"/>
    <s v="Pure Cycles Vine 8-Speed - 2016"/>
    <n v="3"/>
    <x v="0"/>
    <n v="1"/>
    <n v="429"/>
    <n v="0.05"/>
    <n v="407.55"/>
  </r>
  <r>
    <n v="120"/>
    <n v="5"/>
    <n v="16"/>
    <s v="Electra Townie Original 7D EQ - 2016"/>
    <n v="3"/>
    <x v="0"/>
    <n v="2"/>
    <n v="599.99"/>
    <n v="0.2"/>
    <n v="959.98400000000004"/>
  </r>
  <r>
    <n v="121"/>
    <n v="1"/>
    <n v="5"/>
    <s v="Heller Shagamaw Frame - 2016"/>
    <n v="6"/>
    <x v="1"/>
    <n v="1"/>
    <n v="1320.99"/>
    <n v="0.2"/>
    <n v="1056.7919999999999"/>
  </r>
  <r>
    <n v="121"/>
    <n v="2"/>
    <n v="14"/>
    <s v="Electra Girl's Hawaii 1 (16-inch) - 2015/2016"/>
    <n v="3"/>
    <x v="0"/>
    <n v="2"/>
    <n v="269.99"/>
    <n v="0.1"/>
    <n v="485.98200000000003"/>
  </r>
  <r>
    <n v="121"/>
    <n v="3"/>
    <n v="4"/>
    <s v="Trek Fuel EX 8 29 - 2016"/>
    <n v="6"/>
    <x v="1"/>
    <n v="2"/>
    <n v="2899.99"/>
    <n v="0.1"/>
    <n v="5219.982"/>
  </r>
  <r>
    <n v="121"/>
    <n v="4"/>
    <n v="24"/>
    <s v="Electra Townie Original 21D - 2016"/>
    <n v="2"/>
    <x v="3"/>
    <n v="2"/>
    <n v="549.99"/>
    <n v="7.0000000000000007E-2"/>
    <n v="1022.9814"/>
  </r>
  <r>
    <n v="121"/>
    <n v="5"/>
    <n v="2"/>
    <s v="Ritchey Timberwolf Frameset - 2016"/>
    <n v="6"/>
    <x v="1"/>
    <n v="2"/>
    <n v="749.99"/>
    <n v="0.05"/>
    <n v="1424.981"/>
  </r>
  <r>
    <n v="122"/>
    <n v="1"/>
    <n v="16"/>
    <s v="Electra Townie Original 7D EQ - 2016"/>
    <n v="3"/>
    <x v="0"/>
    <n v="1"/>
    <n v="599.99"/>
    <n v="0.1"/>
    <n v="539.99099999999999"/>
  </r>
  <r>
    <n v="123"/>
    <n v="1"/>
    <n v="12"/>
    <s v="Electra Townie Original 21D - 2016"/>
    <n v="3"/>
    <x v="0"/>
    <n v="2"/>
    <n v="549.99"/>
    <n v="0.1"/>
    <n v="989.98199999999997"/>
  </r>
  <r>
    <n v="124"/>
    <n v="1"/>
    <n v="16"/>
    <s v="Electra Townie Original 7D EQ - 2016"/>
    <n v="3"/>
    <x v="0"/>
    <n v="1"/>
    <n v="599.99"/>
    <n v="0.05"/>
    <n v="569.9905"/>
  </r>
  <r>
    <n v="124"/>
    <n v="2"/>
    <n v="4"/>
    <s v="Trek Fuel EX 8 29 - 2016"/>
    <n v="6"/>
    <x v="1"/>
    <n v="1"/>
    <n v="2899.99"/>
    <n v="7.0000000000000007E-2"/>
    <n v="2696.9906999999998"/>
  </r>
  <r>
    <n v="124"/>
    <n v="3"/>
    <n v="7"/>
    <s v="Trek Slash 8 27.5 - 2016"/>
    <n v="6"/>
    <x v="1"/>
    <n v="2"/>
    <n v="3999.99"/>
    <n v="0.05"/>
    <n v="7599.9809999999998"/>
  </r>
  <r>
    <n v="125"/>
    <n v="1"/>
    <n v="17"/>
    <s v="Pure Cycles Vine 8-Speed - 2016"/>
    <n v="3"/>
    <x v="0"/>
    <n v="1"/>
    <n v="429"/>
    <n v="0.1"/>
    <n v="386.1"/>
  </r>
  <r>
    <n v="126"/>
    <n v="1"/>
    <n v="9"/>
    <s v="Trek Conduit+ - 2016"/>
    <n v="5"/>
    <x v="4"/>
    <n v="2"/>
    <n v="2999.99"/>
    <n v="0.05"/>
    <n v="5699.9809999999998"/>
  </r>
  <r>
    <n v="127"/>
    <n v="1"/>
    <n v="17"/>
    <s v="Pure Cycles Vine 8-Speed - 2016"/>
    <n v="3"/>
    <x v="0"/>
    <n v="1"/>
    <n v="429"/>
    <n v="7.0000000000000007E-2"/>
    <n v="398.97"/>
  </r>
  <r>
    <n v="127"/>
    <n v="2"/>
    <n v="20"/>
    <s v="Electra Townie Original 7D EQ - Women's - 2016"/>
    <n v="3"/>
    <x v="0"/>
    <n v="1"/>
    <n v="599.99"/>
    <n v="0.1"/>
    <n v="539.99099999999999"/>
  </r>
  <r>
    <n v="127"/>
    <n v="3"/>
    <n v="4"/>
    <s v="Trek Fuel EX 8 29 - 2016"/>
    <n v="6"/>
    <x v="1"/>
    <n v="2"/>
    <n v="2899.99"/>
    <n v="7.0000000000000007E-2"/>
    <n v="5393.9813999999997"/>
  </r>
  <r>
    <n v="128"/>
    <n v="1"/>
    <n v="24"/>
    <s v="Electra Townie Original 21D - 2016"/>
    <n v="2"/>
    <x v="3"/>
    <n v="2"/>
    <n v="549.99"/>
    <n v="0.1"/>
    <n v="989.98199999999997"/>
  </r>
  <r>
    <n v="128"/>
    <n v="2"/>
    <n v="16"/>
    <s v="Electra Townie Original 7D EQ - 2016"/>
    <n v="3"/>
    <x v="0"/>
    <n v="2"/>
    <n v="599.99"/>
    <n v="0.1"/>
    <n v="1079.982"/>
  </r>
  <r>
    <n v="128"/>
    <n v="3"/>
    <n v="4"/>
    <s v="Trek Fuel EX 8 29 - 2016"/>
    <n v="6"/>
    <x v="1"/>
    <n v="2"/>
    <n v="2899.99"/>
    <n v="0.2"/>
    <n v="4639.9839999999995"/>
  </r>
  <r>
    <n v="128"/>
    <n v="4"/>
    <n v="3"/>
    <s v="Surly Wednesday Frameset - 2016"/>
    <n v="6"/>
    <x v="1"/>
    <n v="2"/>
    <n v="999.99"/>
    <n v="0.2"/>
    <n v="1599.9839999999999"/>
  </r>
  <r>
    <n v="129"/>
    <n v="1"/>
    <n v="18"/>
    <s v="Pure Cycles Western 3-Speed - Women's - 2015/2016"/>
    <n v="3"/>
    <x v="0"/>
    <n v="1"/>
    <n v="449"/>
    <n v="0.1"/>
    <n v="404.1"/>
  </r>
  <r>
    <n v="129"/>
    <n v="2"/>
    <n v="9"/>
    <s v="Trek Conduit+ - 2016"/>
    <n v="5"/>
    <x v="4"/>
    <n v="1"/>
    <n v="2999.99"/>
    <n v="0.1"/>
    <n v="2699.991"/>
  </r>
  <r>
    <n v="130"/>
    <n v="1"/>
    <n v="26"/>
    <s v="Electra Townie Original 7D EQ - 2016"/>
    <n v="2"/>
    <x v="3"/>
    <n v="1"/>
    <n v="599.99"/>
    <n v="0.05"/>
    <n v="569.9905"/>
  </r>
  <r>
    <n v="130"/>
    <n v="2"/>
    <n v="5"/>
    <s v="Heller Shagamaw Frame - 2016"/>
    <n v="6"/>
    <x v="1"/>
    <n v="2"/>
    <n v="1320.99"/>
    <n v="7.0000000000000007E-2"/>
    <n v="2457.0414000000001"/>
  </r>
  <r>
    <n v="131"/>
    <n v="1"/>
    <n v="22"/>
    <s v="Electra Girl's Hawaii 1 (16-inch) - 2015/2016"/>
    <n v="1"/>
    <x v="5"/>
    <n v="2"/>
    <n v="269.99"/>
    <n v="0.2"/>
    <n v="431.98400000000004"/>
  </r>
  <r>
    <n v="131"/>
    <n v="2"/>
    <n v="4"/>
    <s v="Trek Fuel EX 8 29 - 2016"/>
    <n v="6"/>
    <x v="1"/>
    <n v="2"/>
    <n v="2899.99"/>
    <n v="7.0000000000000007E-2"/>
    <n v="5393.9813999999997"/>
  </r>
  <r>
    <n v="131"/>
    <n v="3"/>
    <n v="24"/>
    <s v="Electra Townie Original 21D - 2016"/>
    <n v="2"/>
    <x v="3"/>
    <n v="2"/>
    <n v="549.99"/>
    <n v="0.1"/>
    <n v="989.98199999999997"/>
  </r>
  <r>
    <n v="132"/>
    <n v="1"/>
    <n v="2"/>
    <s v="Ritchey Timberwolf Frameset - 2016"/>
    <n v="6"/>
    <x v="1"/>
    <n v="2"/>
    <n v="749.99"/>
    <n v="0.05"/>
    <n v="1424.981"/>
  </r>
  <r>
    <n v="132"/>
    <n v="2"/>
    <n v="20"/>
    <s v="Electra Townie Original 7D EQ - Women's - 2016"/>
    <n v="3"/>
    <x v="0"/>
    <n v="1"/>
    <n v="599.99"/>
    <n v="0.05"/>
    <n v="569.9905"/>
  </r>
  <r>
    <n v="132"/>
    <n v="3"/>
    <n v="9"/>
    <s v="Trek Conduit+ - 2016"/>
    <n v="5"/>
    <x v="4"/>
    <n v="1"/>
    <n v="2999.99"/>
    <n v="0.1"/>
    <n v="2699.991"/>
  </r>
  <r>
    <n v="133"/>
    <n v="1"/>
    <n v="13"/>
    <s v="Electra Cruiser 1 (24-Inch) - 2016"/>
    <n v="3"/>
    <x v="0"/>
    <n v="2"/>
    <n v="269.99"/>
    <n v="0.05"/>
    <n v="512.98099999999999"/>
  </r>
  <r>
    <n v="133"/>
    <n v="2"/>
    <n v="22"/>
    <s v="Electra Girl's Hawaii 1 (16-inch) - 2015/2016"/>
    <n v="1"/>
    <x v="5"/>
    <n v="1"/>
    <n v="269.99"/>
    <n v="0.2"/>
    <n v="215.99200000000002"/>
  </r>
  <r>
    <n v="134"/>
    <n v="1"/>
    <n v="19"/>
    <s v="Pure Cycles William 3-Speed - 2016"/>
    <n v="3"/>
    <x v="0"/>
    <n v="2"/>
    <n v="449"/>
    <n v="0.1"/>
    <n v="808.2"/>
  </r>
  <r>
    <n v="134"/>
    <n v="2"/>
    <n v="2"/>
    <s v="Ritchey Timberwolf Frameset - 2016"/>
    <n v="6"/>
    <x v="1"/>
    <n v="2"/>
    <n v="749.99"/>
    <n v="7.0000000000000007E-2"/>
    <n v="1394.9814000000001"/>
  </r>
  <r>
    <n v="134"/>
    <n v="3"/>
    <n v="18"/>
    <s v="Pure Cycles Western 3-Speed - Women's - 2015/2016"/>
    <n v="3"/>
    <x v="0"/>
    <n v="2"/>
    <n v="449"/>
    <n v="7.0000000000000007E-2"/>
    <n v="835.14"/>
  </r>
  <r>
    <n v="135"/>
    <n v="1"/>
    <n v="5"/>
    <s v="Heller Shagamaw Frame - 2016"/>
    <n v="6"/>
    <x v="1"/>
    <n v="2"/>
    <n v="1320.99"/>
    <n v="0.05"/>
    <n v="2509.8809999999999"/>
  </r>
  <r>
    <n v="135"/>
    <n v="2"/>
    <n v="18"/>
    <s v="Pure Cycles Western 3-Speed - Women's - 2015/2016"/>
    <n v="3"/>
    <x v="0"/>
    <n v="2"/>
    <n v="449"/>
    <n v="0.05"/>
    <n v="853.1"/>
  </r>
  <r>
    <n v="135"/>
    <n v="3"/>
    <n v="25"/>
    <s v="Electra Townie Original 7D - 2015/2016"/>
    <n v="2"/>
    <x v="3"/>
    <n v="1"/>
    <n v="499.99"/>
    <n v="0.2"/>
    <n v="399.99200000000002"/>
  </r>
  <r>
    <n v="135"/>
    <n v="4"/>
    <n v="2"/>
    <s v="Ritchey Timberwolf Frameset - 2016"/>
    <n v="6"/>
    <x v="1"/>
    <n v="1"/>
    <n v="749.99"/>
    <n v="0.05"/>
    <n v="712.4905"/>
  </r>
  <r>
    <n v="136"/>
    <n v="1"/>
    <n v="7"/>
    <s v="Trek Slash 8 27.5 - 2016"/>
    <n v="6"/>
    <x v="1"/>
    <n v="2"/>
    <n v="3999.99"/>
    <n v="0.2"/>
    <n v="6399.9839999999995"/>
  </r>
  <r>
    <n v="136"/>
    <n v="2"/>
    <n v="3"/>
    <s v="Surly Wednesday Frameset - 2016"/>
    <n v="6"/>
    <x v="1"/>
    <n v="2"/>
    <n v="999.99"/>
    <n v="0.05"/>
    <n v="1899.981"/>
  </r>
  <r>
    <n v="137"/>
    <n v="1"/>
    <n v="23"/>
    <s v="Electra Girl's Hawaii 1 (20-inch) - 2015/2016"/>
    <n v="1"/>
    <x v="5"/>
    <n v="1"/>
    <n v="299.99"/>
    <n v="7.0000000000000007E-2"/>
    <n v="278.9907"/>
  </r>
  <r>
    <n v="137"/>
    <n v="2"/>
    <n v="22"/>
    <s v="Electra Girl's Hawaii 1 (16-inch) - 2015/2016"/>
    <n v="1"/>
    <x v="5"/>
    <n v="1"/>
    <n v="269.99"/>
    <n v="0.1"/>
    <n v="242.99100000000001"/>
  </r>
  <r>
    <n v="138"/>
    <n v="1"/>
    <n v="16"/>
    <s v="Electra Townie Original 7D EQ - 2016"/>
    <n v="3"/>
    <x v="0"/>
    <n v="2"/>
    <n v="599.99"/>
    <n v="0.1"/>
    <n v="1079.982"/>
  </r>
  <r>
    <n v="138"/>
    <n v="2"/>
    <n v="6"/>
    <s v="Surly Ice Cream Truck Frameset - 2016"/>
    <n v="6"/>
    <x v="1"/>
    <n v="1"/>
    <n v="469.99"/>
    <n v="0.2"/>
    <n v="375.99200000000002"/>
  </r>
  <r>
    <n v="139"/>
    <n v="1"/>
    <n v="19"/>
    <s v="Pure Cycles William 3-Speed - 2016"/>
    <n v="3"/>
    <x v="0"/>
    <n v="2"/>
    <n v="449"/>
    <n v="7.0000000000000007E-2"/>
    <n v="835.14"/>
  </r>
  <r>
    <n v="139"/>
    <n v="2"/>
    <n v="3"/>
    <s v="Surly Wednesday Frameset - 2016"/>
    <n v="6"/>
    <x v="1"/>
    <n v="1"/>
    <n v="999.99"/>
    <n v="7.0000000000000007E-2"/>
    <n v="929.99070000000006"/>
  </r>
  <r>
    <n v="140"/>
    <n v="1"/>
    <n v="15"/>
    <s v="Electra Moto 1 - 2016"/>
    <n v="3"/>
    <x v="0"/>
    <n v="1"/>
    <n v="529.99"/>
    <n v="0.2"/>
    <n v="423.99200000000002"/>
  </r>
  <r>
    <n v="140"/>
    <n v="2"/>
    <n v="21"/>
    <s v="Electra Cruiser 1 (24-Inch) - 2016"/>
    <n v="1"/>
    <x v="5"/>
    <n v="1"/>
    <n v="269.99"/>
    <n v="0.2"/>
    <n v="215.99200000000002"/>
  </r>
  <r>
    <n v="140"/>
    <n v="3"/>
    <n v="12"/>
    <s v="Electra Townie Original 21D - 2016"/>
    <n v="3"/>
    <x v="0"/>
    <n v="2"/>
    <n v="549.99"/>
    <n v="0.2"/>
    <n v="879.98400000000004"/>
  </r>
  <r>
    <n v="140"/>
    <n v="4"/>
    <n v="3"/>
    <s v="Surly Wednesday Frameset - 2016"/>
    <n v="6"/>
    <x v="1"/>
    <n v="1"/>
    <n v="999.99"/>
    <n v="0.05"/>
    <n v="949.9905"/>
  </r>
  <r>
    <n v="141"/>
    <n v="1"/>
    <n v="18"/>
    <s v="Pure Cycles Western 3-Speed - Women's - 2015/2016"/>
    <n v="3"/>
    <x v="0"/>
    <n v="1"/>
    <n v="449"/>
    <n v="0.2"/>
    <n v="359.2"/>
  </r>
  <r>
    <n v="142"/>
    <n v="1"/>
    <n v="16"/>
    <s v="Electra Townie Original 7D EQ - 2016"/>
    <n v="3"/>
    <x v="0"/>
    <n v="2"/>
    <n v="599.99"/>
    <n v="0.1"/>
    <n v="1079.982"/>
  </r>
  <r>
    <n v="142"/>
    <n v="2"/>
    <n v="11"/>
    <s v="Surly Straggler 650b - 2016"/>
    <n v="4"/>
    <x v="2"/>
    <n v="2"/>
    <n v="1680.99"/>
    <n v="0.1"/>
    <n v="3025.7820000000002"/>
  </r>
  <r>
    <n v="142"/>
    <n v="3"/>
    <n v="19"/>
    <s v="Pure Cycles William 3-Speed - 2016"/>
    <n v="3"/>
    <x v="0"/>
    <n v="1"/>
    <n v="449"/>
    <n v="7.0000000000000007E-2"/>
    <n v="417.57"/>
  </r>
  <r>
    <n v="143"/>
    <n v="1"/>
    <n v="6"/>
    <s v="Surly Ice Cream Truck Frameset - 2016"/>
    <n v="6"/>
    <x v="1"/>
    <n v="1"/>
    <n v="469.99"/>
    <n v="0.2"/>
    <n v="375.99200000000002"/>
  </r>
  <r>
    <n v="144"/>
    <n v="1"/>
    <n v="8"/>
    <s v="Trek Remedy 29 Carbon Frameset - 2016"/>
    <n v="6"/>
    <x v="1"/>
    <n v="2"/>
    <n v="1799.99"/>
    <n v="0.05"/>
    <n v="3419.9809999999998"/>
  </r>
  <r>
    <n v="145"/>
    <n v="1"/>
    <n v="11"/>
    <s v="Surly Straggler 650b - 2016"/>
    <n v="4"/>
    <x v="2"/>
    <n v="1"/>
    <n v="1680.99"/>
    <n v="0.2"/>
    <n v="1344.7919999999999"/>
  </r>
  <r>
    <n v="145"/>
    <n v="2"/>
    <n v="9"/>
    <s v="Trek Conduit+ - 2016"/>
    <n v="5"/>
    <x v="4"/>
    <n v="2"/>
    <n v="2999.99"/>
    <n v="0.1"/>
    <n v="5399.982"/>
  </r>
  <r>
    <n v="146"/>
    <n v="1"/>
    <n v="3"/>
    <s v="Surly Wednesday Frameset - 2016"/>
    <n v="6"/>
    <x v="1"/>
    <n v="2"/>
    <n v="999.99"/>
    <n v="0.2"/>
    <n v="1599.9839999999999"/>
  </r>
  <r>
    <n v="146"/>
    <n v="2"/>
    <n v="12"/>
    <s v="Electra Townie Original 21D - 2016"/>
    <n v="3"/>
    <x v="0"/>
    <n v="1"/>
    <n v="549.99"/>
    <n v="0.1"/>
    <n v="494.99099999999999"/>
  </r>
  <r>
    <n v="146"/>
    <n v="3"/>
    <n v="20"/>
    <s v="Electra Townie Original 7D EQ - Women's - 2016"/>
    <n v="3"/>
    <x v="0"/>
    <n v="2"/>
    <n v="599.99"/>
    <n v="0.1"/>
    <n v="1079.982"/>
  </r>
  <r>
    <n v="146"/>
    <n v="4"/>
    <n v="6"/>
    <s v="Surly Ice Cream Truck Frameset - 2016"/>
    <n v="6"/>
    <x v="1"/>
    <n v="2"/>
    <n v="469.99"/>
    <n v="0.05"/>
    <n v="892.98099999999999"/>
  </r>
  <r>
    <n v="146"/>
    <n v="5"/>
    <n v="2"/>
    <s v="Ritchey Timberwolf Frameset - 2016"/>
    <n v="6"/>
    <x v="1"/>
    <n v="1"/>
    <n v="749.99"/>
    <n v="7.0000000000000007E-2"/>
    <n v="697.49070000000006"/>
  </r>
  <r>
    <n v="147"/>
    <n v="1"/>
    <n v="26"/>
    <s v="Electra Townie Original 7D EQ - 2016"/>
    <n v="2"/>
    <x v="3"/>
    <n v="2"/>
    <n v="599.99"/>
    <n v="0.2"/>
    <n v="959.98400000000004"/>
  </r>
  <r>
    <n v="148"/>
    <n v="1"/>
    <n v="14"/>
    <s v="Electra Girl's Hawaii 1 (16-inch) - 2015/2016"/>
    <n v="3"/>
    <x v="0"/>
    <n v="1"/>
    <n v="269.99"/>
    <n v="0.05"/>
    <n v="256.4905"/>
  </r>
  <r>
    <n v="149"/>
    <n v="1"/>
    <n v="12"/>
    <s v="Electra Townie Original 21D - 2016"/>
    <n v="3"/>
    <x v="0"/>
    <n v="2"/>
    <n v="549.99"/>
    <n v="7.0000000000000007E-2"/>
    <n v="1022.9814"/>
  </r>
  <r>
    <n v="149"/>
    <n v="2"/>
    <n v="21"/>
    <s v="Electra Cruiser 1 (24-Inch) - 2016"/>
    <n v="1"/>
    <x v="5"/>
    <n v="2"/>
    <n v="269.99"/>
    <n v="7.0000000000000007E-2"/>
    <n v="502.1814"/>
  </r>
  <r>
    <n v="150"/>
    <n v="1"/>
    <n v="7"/>
    <s v="Trek Slash 8 27.5 - 2016"/>
    <n v="6"/>
    <x v="1"/>
    <n v="1"/>
    <n v="3999.99"/>
    <n v="0.1"/>
    <n v="3599.991"/>
  </r>
  <r>
    <n v="150"/>
    <n v="2"/>
    <n v="3"/>
    <s v="Surly Wednesday Frameset - 2016"/>
    <n v="6"/>
    <x v="1"/>
    <n v="1"/>
    <n v="999.99"/>
    <n v="0.2"/>
    <n v="799.99199999999996"/>
  </r>
  <r>
    <n v="150"/>
    <n v="3"/>
    <n v="17"/>
    <s v="Pure Cycles Vine 8-Speed - 2016"/>
    <n v="3"/>
    <x v="0"/>
    <n v="1"/>
    <n v="429"/>
    <n v="7.0000000000000007E-2"/>
    <n v="398.97"/>
  </r>
  <r>
    <n v="150"/>
    <n v="4"/>
    <n v="25"/>
    <s v="Electra Townie Original 7D - 2015/2016"/>
    <n v="2"/>
    <x v="3"/>
    <n v="2"/>
    <n v="499.99"/>
    <n v="7.0000000000000007E-2"/>
    <n v="929.98140000000001"/>
  </r>
  <r>
    <n v="151"/>
    <n v="1"/>
    <n v="17"/>
    <s v="Pure Cycles Vine 8-Speed - 2016"/>
    <n v="3"/>
    <x v="0"/>
    <n v="1"/>
    <n v="429"/>
    <n v="0.1"/>
    <n v="386.1"/>
  </r>
  <r>
    <n v="151"/>
    <n v="2"/>
    <n v="26"/>
    <s v="Electra Townie Original 7D EQ - 2016"/>
    <n v="2"/>
    <x v="3"/>
    <n v="1"/>
    <n v="599.99"/>
    <n v="0.1"/>
    <n v="539.99099999999999"/>
  </r>
  <r>
    <n v="152"/>
    <n v="1"/>
    <n v="6"/>
    <s v="Surly Ice Cream Truck Frameset - 2016"/>
    <n v="6"/>
    <x v="1"/>
    <n v="2"/>
    <n v="469.99"/>
    <n v="0.2"/>
    <n v="751.98400000000004"/>
  </r>
  <r>
    <n v="152"/>
    <n v="2"/>
    <n v="22"/>
    <s v="Electra Girl's Hawaii 1 (16-inch) - 2015/2016"/>
    <n v="1"/>
    <x v="5"/>
    <n v="2"/>
    <n v="269.99"/>
    <n v="0.2"/>
    <n v="431.98400000000004"/>
  </r>
  <r>
    <n v="152"/>
    <n v="3"/>
    <n v="16"/>
    <s v="Electra Townie Original 7D EQ - 2016"/>
    <n v="3"/>
    <x v="0"/>
    <n v="2"/>
    <n v="599.99"/>
    <n v="7.0000000000000007E-2"/>
    <n v="1115.9814000000001"/>
  </r>
  <r>
    <n v="153"/>
    <n v="1"/>
    <n v="16"/>
    <s v="Electra Townie Original 7D EQ - 2016"/>
    <n v="3"/>
    <x v="0"/>
    <n v="1"/>
    <n v="599.99"/>
    <n v="7.0000000000000007E-2"/>
    <n v="557.99070000000006"/>
  </r>
  <r>
    <n v="153"/>
    <n v="2"/>
    <n v="8"/>
    <s v="Trek Remedy 29 Carbon Frameset - 2016"/>
    <n v="6"/>
    <x v="1"/>
    <n v="1"/>
    <n v="1799.99"/>
    <n v="7.0000000000000007E-2"/>
    <n v="1673.9907000000001"/>
  </r>
  <r>
    <n v="153"/>
    <n v="3"/>
    <n v="15"/>
    <s v="Electra Moto 1 - 2016"/>
    <n v="3"/>
    <x v="0"/>
    <n v="2"/>
    <n v="529.99"/>
    <n v="0.05"/>
    <n v="1006.981"/>
  </r>
  <r>
    <n v="154"/>
    <n v="1"/>
    <n v="12"/>
    <s v="Electra Townie Original 21D - 2016"/>
    <n v="3"/>
    <x v="0"/>
    <n v="1"/>
    <n v="549.99"/>
    <n v="0.1"/>
    <n v="494.99099999999999"/>
  </r>
  <r>
    <n v="155"/>
    <n v="1"/>
    <n v="8"/>
    <s v="Trek Remedy 29 Carbon Frameset - 2016"/>
    <n v="6"/>
    <x v="1"/>
    <n v="1"/>
    <n v="1799.99"/>
    <n v="0.1"/>
    <n v="1619.991"/>
  </r>
  <r>
    <n v="156"/>
    <n v="1"/>
    <n v="18"/>
    <s v="Pure Cycles Western 3-Speed - Women's - 2015/2016"/>
    <n v="3"/>
    <x v="0"/>
    <n v="2"/>
    <n v="449"/>
    <n v="0.2"/>
    <n v="718.4"/>
  </r>
  <r>
    <n v="156"/>
    <n v="2"/>
    <n v="17"/>
    <s v="Pure Cycles Vine 8-Speed - 2016"/>
    <n v="3"/>
    <x v="0"/>
    <n v="2"/>
    <n v="429"/>
    <n v="0.05"/>
    <n v="815.1"/>
  </r>
  <r>
    <n v="156"/>
    <n v="3"/>
    <n v="6"/>
    <s v="Surly Ice Cream Truck Frameset - 2016"/>
    <n v="6"/>
    <x v="1"/>
    <n v="1"/>
    <n v="469.99"/>
    <n v="7.0000000000000007E-2"/>
    <n v="437.09070000000003"/>
  </r>
  <r>
    <n v="157"/>
    <n v="1"/>
    <n v="4"/>
    <s v="Trek Fuel EX 8 29 - 2016"/>
    <n v="6"/>
    <x v="1"/>
    <n v="1"/>
    <n v="2899.99"/>
    <n v="0.1"/>
    <n v="2609.991"/>
  </r>
  <r>
    <n v="157"/>
    <n v="2"/>
    <n v="7"/>
    <s v="Trek Slash 8 27.5 - 2016"/>
    <n v="6"/>
    <x v="1"/>
    <n v="2"/>
    <n v="3999.99"/>
    <n v="7.0000000000000007E-2"/>
    <n v="7439.9813999999997"/>
  </r>
  <r>
    <n v="158"/>
    <n v="1"/>
    <n v="24"/>
    <s v="Electra Townie Original 21D - 2016"/>
    <n v="2"/>
    <x v="3"/>
    <n v="1"/>
    <n v="549.99"/>
    <n v="0.1"/>
    <n v="494.99099999999999"/>
  </r>
  <r>
    <n v="159"/>
    <n v="1"/>
    <n v="13"/>
    <s v="Electra Cruiser 1 (24-Inch) - 2016"/>
    <n v="3"/>
    <x v="0"/>
    <n v="1"/>
    <n v="269.99"/>
    <n v="0.2"/>
    <n v="215.99200000000002"/>
  </r>
  <r>
    <n v="160"/>
    <n v="1"/>
    <n v="21"/>
    <s v="Electra Cruiser 1 (24-Inch) - 2016"/>
    <n v="1"/>
    <x v="5"/>
    <n v="1"/>
    <n v="269.99"/>
    <n v="7.0000000000000007E-2"/>
    <n v="251.0907"/>
  </r>
  <r>
    <n v="160"/>
    <n v="2"/>
    <n v="15"/>
    <s v="Electra Moto 1 - 2016"/>
    <n v="3"/>
    <x v="0"/>
    <n v="2"/>
    <n v="529.99"/>
    <n v="7.0000000000000007E-2"/>
    <n v="985.78139999999996"/>
  </r>
  <r>
    <n v="160"/>
    <n v="3"/>
    <n v="18"/>
    <s v="Pure Cycles Western 3-Speed - Women's - 2015/2016"/>
    <n v="3"/>
    <x v="0"/>
    <n v="2"/>
    <n v="449"/>
    <n v="0.1"/>
    <n v="808.2"/>
  </r>
  <r>
    <n v="160"/>
    <n v="4"/>
    <n v="11"/>
    <s v="Surly Straggler 650b - 2016"/>
    <n v="4"/>
    <x v="2"/>
    <n v="1"/>
    <n v="1680.99"/>
    <n v="0.05"/>
    <n v="1596.9404999999999"/>
  </r>
  <r>
    <n v="161"/>
    <n v="1"/>
    <n v="24"/>
    <s v="Electra Townie Original 21D - 2016"/>
    <n v="2"/>
    <x v="3"/>
    <n v="2"/>
    <n v="549.99"/>
    <n v="7.0000000000000007E-2"/>
    <n v="1022.9814"/>
  </r>
  <r>
    <n v="161"/>
    <n v="2"/>
    <n v="22"/>
    <s v="Electra Girl's Hawaii 1 (16-inch) - 2015/2016"/>
    <n v="1"/>
    <x v="5"/>
    <n v="1"/>
    <n v="269.99"/>
    <n v="0.05"/>
    <n v="256.4905"/>
  </r>
  <r>
    <n v="161"/>
    <n v="3"/>
    <n v="7"/>
    <s v="Trek Slash 8 27.5 - 2016"/>
    <n v="6"/>
    <x v="1"/>
    <n v="2"/>
    <n v="3999.99"/>
    <n v="0.05"/>
    <n v="7599.9809999999998"/>
  </r>
  <r>
    <n v="162"/>
    <n v="1"/>
    <n v="18"/>
    <s v="Pure Cycles Western 3-Speed - Women's - 2015/2016"/>
    <n v="3"/>
    <x v="0"/>
    <n v="1"/>
    <n v="449"/>
    <n v="7.0000000000000007E-2"/>
    <n v="417.57"/>
  </r>
  <r>
    <n v="162"/>
    <n v="2"/>
    <n v="21"/>
    <s v="Electra Cruiser 1 (24-Inch) - 2016"/>
    <n v="1"/>
    <x v="5"/>
    <n v="2"/>
    <n v="269.99"/>
    <n v="7.0000000000000007E-2"/>
    <n v="502.1814"/>
  </r>
  <r>
    <n v="162"/>
    <n v="3"/>
    <n v="3"/>
    <s v="Surly Wednesday Frameset - 2016"/>
    <n v="6"/>
    <x v="1"/>
    <n v="2"/>
    <n v="999.99"/>
    <n v="0.1"/>
    <n v="1799.982"/>
  </r>
  <r>
    <n v="163"/>
    <n v="1"/>
    <n v="12"/>
    <s v="Electra Townie Original 21D - 2016"/>
    <n v="3"/>
    <x v="0"/>
    <n v="1"/>
    <n v="549.99"/>
    <n v="0.1"/>
    <n v="494.99099999999999"/>
  </r>
  <r>
    <n v="163"/>
    <n v="2"/>
    <n v="18"/>
    <s v="Pure Cycles Western 3-Speed - Women's - 2015/2016"/>
    <n v="3"/>
    <x v="0"/>
    <n v="1"/>
    <n v="449"/>
    <n v="0.2"/>
    <n v="359.2"/>
  </r>
  <r>
    <n v="164"/>
    <n v="1"/>
    <n v="4"/>
    <s v="Trek Fuel EX 8 29 - 2016"/>
    <n v="6"/>
    <x v="1"/>
    <n v="2"/>
    <n v="2899.99"/>
    <n v="0.05"/>
    <n v="5509.9809999999998"/>
  </r>
  <r>
    <n v="164"/>
    <n v="2"/>
    <n v="10"/>
    <s v="Surly Straggler - 2016"/>
    <n v="4"/>
    <x v="2"/>
    <n v="2"/>
    <n v="1549"/>
    <n v="0.05"/>
    <n v="2943.1"/>
  </r>
  <r>
    <n v="164"/>
    <n v="3"/>
    <n v="14"/>
    <s v="Electra Girl's Hawaii 1 (16-inch) - 2015/2016"/>
    <n v="3"/>
    <x v="0"/>
    <n v="1"/>
    <n v="269.99"/>
    <n v="0.1"/>
    <n v="242.99100000000001"/>
  </r>
  <r>
    <n v="165"/>
    <n v="1"/>
    <n v="4"/>
    <s v="Trek Fuel EX 8 29 - 2016"/>
    <n v="6"/>
    <x v="1"/>
    <n v="2"/>
    <n v="2899.99"/>
    <n v="0.05"/>
    <n v="5509.9809999999998"/>
  </r>
  <r>
    <n v="165"/>
    <n v="2"/>
    <n v="23"/>
    <s v="Electra Girl's Hawaii 1 (20-inch) - 2015/2016"/>
    <n v="1"/>
    <x v="5"/>
    <n v="1"/>
    <n v="299.99"/>
    <n v="0.2"/>
    <n v="239.99200000000002"/>
  </r>
  <r>
    <n v="165"/>
    <n v="3"/>
    <n v="2"/>
    <s v="Ritchey Timberwolf Frameset - 2016"/>
    <n v="6"/>
    <x v="1"/>
    <n v="1"/>
    <n v="749.99"/>
    <n v="0.05"/>
    <n v="712.4905"/>
  </r>
  <r>
    <n v="166"/>
    <n v="1"/>
    <n v="10"/>
    <s v="Surly Straggler - 2016"/>
    <n v="4"/>
    <x v="2"/>
    <n v="2"/>
    <n v="1549"/>
    <n v="0.1"/>
    <n v="2788.2"/>
  </r>
  <r>
    <n v="166"/>
    <n v="2"/>
    <n v="11"/>
    <s v="Surly Straggler 650b - 2016"/>
    <n v="4"/>
    <x v="2"/>
    <n v="1"/>
    <n v="1680.99"/>
    <n v="0.2"/>
    <n v="1344.7919999999999"/>
  </r>
  <r>
    <n v="167"/>
    <n v="1"/>
    <n v="12"/>
    <s v="Electra Townie Original 21D - 2016"/>
    <n v="3"/>
    <x v="0"/>
    <n v="1"/>
    <n v="549.99"/>
    <n v="0.05"/>
    <n v="522.4905"/>
  </r>
  <r>
    <n v="167"/>
    <n v="2"/>
    <n v="10"/>
    <s v="Surly Straggler - 2016"/>
    <n v="4"/>
    <x v="2"/>
    <n v="1"/>
    <n v="1549"/>
    <n v="0.2"/>
    <n v="1239.2"/>
  </r>
  <r>
    <n v="167"/>
    <n v="3"/>
    <n v="13"/>
    <s v="Electra Cruiser 1 (24-Inch) - 2016"/>
    <n v="3"/>
    <x v="0"/>
    <n v="2"/>
    <n v="269.99"/>
    <n v="0.05"/>
    <n v="512.98099999999999"/>
  </r>
  <r>
    <n v="167"/>
    <n v="4"/>
    <n v="7"/>
    <s v="Trek Slash 8 27.5 - 2016"/>
    <n v="6"/>
    <x v="1"/>
    <n v="2"/>
    <n v="3999.99"/>
    <n v="0.05"/>
    <n v="7599.9809999999998"/>
  </r>
  <r>
    <n v="168"/>
    <n v="1"/>
    <n v="6"/>
    <s v="Surly Ice Cream Truck Frameset - 2016"/>
    <n v="6"/>
    <x v="1"/>
    <n v="1"/>
    <n v="469.99"/>
    <n v="0.1"/>
    <n v="422.99099999999999"/>
  </r>
  <r>
    <n v="168"/>
    <n v="2"/>
    <n v="11"/>
    <s v="Surly Straggler 650b - 2016"/>
    <n v="4"/>
    <x v="2"/>
    <n v="2"/>
    <n v="1680.99"/>
    <n v="7.0000000000000007E-2"/>
    <n v="3126.6414"/>
  </r>
  <r>
    <n v="168"/>
    <n v="3"/>
    <n v="12"/>
    <s v="Electra Townie Original 21D - 2016"/>
    <n v="3"/>
    <x v="0"/>
    <n v="2"/>
    <n v="549.99"/>
    <n v="7.0000000000000007E-2"/>
    <n v="1022.9814"/>
  </r>
  <r>
    <n v="168"/>
    <n v="4"/>
    <n v="22"/>
    <s v="Electra Girl's Hawaii 1 (16-inch) - 2015/2016"/>
    <n v="1"/>
    <x v="5"/>
    <n v="2"/>
    <n v="269.99"/>
    <n v="0.2"/>
    <n v="431.98400000000004"/>
  </r>
  <r>
    <n v="169"/>
    <n v="1"/>
    <n v="20"/>
    <s v="Electra Townie Original 7D EQ - Women's - 2016"/>
    <n v="3"/>
    <x v="0"/>
    <n v="2"/>
    <n v="599.99"/>
    <n v="0.1"/>
    <n v="1079.982"/>
  </r>
  <r>
    <n v="169"/>
    <n v="2"/>
    <n v="5"/>
    <s v="Heller Shagamaw Frame - 2016"/>
    <n v="6"/>
    <x v="1"/>
    <n v="1"/>
    <n v="1320.99"/>
    <n v="0.05"/>
    <n v="1254.9404999999999"/>
  </r>
  <r>
    <n v="169"/>
    <n v="3"/>
    <n v="10"/>
    <s v="Surly Straggler - 2016"/>
    <n v="4"/>
    <x v="2"/>
    <n v="1"/>
    <n v="1549"/>
    <n v="0.2"/>
    <n v="1239.2"/>
  </r>
  <r>
    <n v="169"/>
    <n v="4"/>
    <n v="11"/>
    <s v="Surly Straggler 650b - 2016"/>
    <n v="4"/>
    <x v="2"/>
    <n v="1"/>
    <n v="1680.99"/>
    <n v="0.2"/>
    <n v="1344.7919999999999"/>
  </r>
  <r>
    <n v="169"/>
    <n v="5"/>
    <n v="14"/>
    <s v="Electra Girl's Hawaii 1 (16-inch) - 2015/2016"/>
    <n v="3"/>
    <x v="0"/>
    <n v="2"/>
    <n v="269.99"/>
    <n v="0.05"/>
    <n v="512.98099999999999"/>
  </r>
  <r>
    <n v="170"/>
    <n v="1"/>
    <n v="12"/>
    <s v="Electra Townie Original 21D - 2016"/>
    <n v="3"/>
    <x v="0"/>
    <n v="2"/>
    <n v="549.99"/>
    <n v="0.1"/>
    <n v="989.98199999999997"/>
  </r>
  <r>
    <n v="170"/>
    <n v="2"/>
    <n v="24"/>
    <s v="Electra Townie Original 21D - 2016"/>
    <n v="2"/>
    <x v="3"/>
    <n v="1"/>
    <n v="549.99"/>
    <n v="0.05"/>
    <n v="522.4905"/>
  </r>
  <r>
    <n v="170"/>
    <n v="3"/>
    <n v="7"/>
    <s v="Trek Slash 8 27.5 - 2016"/>
    <n v="6"/>
    <x v="1"/>
    <n v="1"/>
    <n v="3999.99"/>
    <n v="0.2"/>
    <n v="3199.9919999999997"/>
  </r>
  <r>
    <n v="170"/>
    <n v="4"/>
    <n v="18"/>
    <s v="Pure Cycles Western 3-Speed - Women's - 2015/2016"/>
    <n v="3"/>
    <x v="0"/>
    <n v="2"/>
    <n v="449"/>
    <n v="0.05"/>
    <n v="853.1"/>
  </r>
  <r>
    <n v="171"/>
    <n v="1"/>
    <n v="8"/>
    <s v="Trek Remedy 29 Carbon Frameset - 2016"/>
    <n v="6"/>
    <x v="1"/>
    <n v="1"/>
    <n v="1799.99"/>
    <n v="0.05"/>
    <n v="1709.9904999999999"/>
  </r>
  <r>
    <n v="172"/>
    <n v="1"/>
    <n v="23"/>
    <s v="Electra Girl's Hawaii 1 (20-inch) - 2015/2016"/>
    <n v="1"/>
    <x v="5"/>
    <n v="1"/>
    <n v="299.99"/>
    <n v="7.0000000000000007E-2"/>
    <n v="278.9907"/>
  </r>
  <r>
    <n v="172"/>
    <n v="2"/>
    <n v="16"/>
    <s v="Electra Townie Original 7D EQ - 2016"/>
    <n v="3"/>
    <x v="0"/>
    <n v="1"/>
    <n v="599.99"/>
    <n v="0.2"/>
    <n v="479.99200000000002"/>
  </r>
  <r>
    <n v="173"/>
    <n v="1"/>
    <n v="14"/>
    <s v="Electra Girl's Hawaii 1 (16-inch) - 2015/2016"/>
    <n v="3"/>
    <x v="0"/>
    <n v="1"/>
    <n v="269.99"/>
    <n v="0.05"/>
    <n v="256.4905"/>
  </r>
  <r>
    <n v="173"/>
    <n v="2"/>
    <n v="16"/>
    <s v="Electra Townie Original 7D EQ - 2016"/>
    <n v="3"/>
    <x v="0"/>
    <n v="1"/>
    <n v="599.99"/>
    <n v="0.2"/>
    <n v="479.99200000000002"/>
  </r>
  <r>
    <n v="173"/>
    <n v="3"/>
    <n v="20"/>
    <s v="Electra Townie Original 7D EQ - Women's - 2016"/>
    <n v="3"/>
    <x v="0"/>
    <n v="2"/>
    <n v="599.99"/>
    <n v="0.05"/>
    <n v="1139.981"/>
  </r>
  <r>
    <n v="174"/>
    <n v="1"/>
    <n v="22"/>
    <s v="Electra Girl's Hawaii 1 (16-inch) - 2015/2016"/>
    <n v="1"/>
    <x v="5"/>
    <n v="2"/>
    <n v="269.99"/>
    <n v="0.2"/>
    <n v="431.98400000000004"/>
  </r>
  <r>
    <n v="174"/>
    <n v="2"/>
    <n v="19"/>
    <s v="Pure Cycles William 3-Speed - 2016"/>
    <n v="3"/>
    <x v="0"/>
    <n v="2"/>
    <n v="449"/>
    <n v="0.1"/>
    <n v="808.2"/>
  </r>
  <r>
    <n v="175"/>
    <n v="1"/>
    <n v="5"/>
    <s v="Heller Shagamaw Frame - 2016"/>
    <n v="6"/>
    <x v="1"/>
    <n v="1"/>
    <n v="1320.99"/>
    <n v="0.1"/>
    <n v="1188.8910000000001"/>
  </r>
  <r>
    <n v="175"/>
    <n v="2"/>
    <n v="2"/>
    <s v="Ritchey Timberwolf Frameset - 2016"/>
    <n v="6"/>
    <x v="1"/>
    <n v="2"/>
    <n v="749.99"/>
    <n v="0.2"/>
    <n v="1199.9839999999999"/>
  </r>
  <r>
    <n v="175"/>
    <n v="3"/>
    <n v="21"/>
    <s v="Electra Cruiser 1 (24-Inch) - 2016"/>
    <n v="1"/>
    <x v="5"/>
    <n v="2"/>
    <n v="269.99"/>
    <n v="0.1"/>
    <n v="485.98200000000003"/>
  </r>
  <r>
    <n v="175"/>
    <n v="4"/>
    <n v="19"/>
    <s v="Pure Cycles William 3-Speed - 2016"/>
    <n v="3"/>
    <x v="0"/>
    <n v="1"/>
    <n v="449"/>
    <n v="7.0000000000000007E-2"/>
    <n v="417.57"/>
  </r>
  <r>
    <n v="176"/>
    <n v="1"/>
    <n v="2"/>
    <s v="Ritchey Timberwolf Frameset - 2016"/>
    <n v="6"/>
    <x v="1"/>
    <n v="2"/>
    <n v="749.99"/>
    <n v="7.0000000000000007E-2"/>
    <n v="1394.9814000000001"/>
  </r>
  <r>
    <n v="176"/>
    <n v="2"/>
    <n v="11"/>
    <s v="Surly Straggler 650b - 2016"/>
    <n v="4"/>
    <x v="2"/>
    <n v="2"/>
    <n v="1680.99"/>
    <n v="0.2"/>
    <n v="2689.5839999999998"/>
  </r>
  <r>
    <n v="176"/>
    <n v="3"/>
    <n v="16"/>
    <s v="Electra Townie Original 7D EQ - 2016"/>
    <n v="3"/>
    <x v="0"/>
    <n v="2"/>
    <n v="599.99"/>
    <n v="0.05"/>
    <n v="1139.981"/>
  </r>
  <r>
    <n v="177"/>
    <n v="1"/>
    <n v="20"/>
    <s v="Electra Townie Original 7D EQ - Women's - 2016"/>
    <n v="3"/>
    <x v="0"/>
    <n v="2"/>
    <n v="599.99"/>
    <n v="0.1"/>
    <n v="1079.982"/>
  </r>
  <r>
    <n v="178"/>
    <n v="1"/>
    <n v="10"/>
    <s v="Surly Straggler - 2016"/>
    <n v="4"/>
    <x v="2"/>
    <n v="2"/>
    <n v="1549"/>
    <n v="0.2"/>
    <n v="2478.4"/>
  </r>
  <r>
    <n v="178"/>
    <n v="2"/>
    <n v="12"/>
    <s v="Electra Townie Original 21D - 2016"/>
    <n v="3"/>
    <x v="0"/>
    <n v="1"/>
    <n v="549.99"/>
    <n v="0.05"/>
    <n v="522.4905"/>
  </r>
  <r>
    <n v="178"/>
    <n v="3"/>
    <n v="3"/>
    <s v="Surly Wednesday Frameset - 2016"/>
    <n v="6"/>
    <x v="1"/>
    <n v="1"/>
    <n v="999.99"/>
    <n v="0.1"/>
    <n v="899.99099999999999"/>
  </r>
  <r>
    <n v="178"/>
    <n v="4"/>
    <n v="18"/>
    <s v="Pure Cycles Western 3-Speed - Women's - 2015/2016"/>
    <n v="3"/>
    <x v="0"/>
    <n v="1"/>
    <n v="449"/>
    <n v="7.0000000000000007E-2"/>
    <n v="417.57"/>
  </r>
  <r>
    <n v="179"/>
    <n v="1"/>
    <n v="13"/>
    <s v="Electra Cruiser 1 (24-Inch) - 2016"/>
    <n v="3"/>
    <x v="0"/>
    <n v="2"/>
    <n v="269.99"/>
    <n v="0.05"/>
    <n v="512.98099999999999"/>
  </r>
  <r>
    <n v="179"/>
    <n v="2"/>
    <n v="26"/>
    <s v="Electra Townie Original 7D EQ - 2016"/>
    <n v="2"/>
    <x v="3"/>
    <n v="1"/>
    <n v="599.99"/>
    <n v="0.1"/>
    <n v="539.99099999999999"/>
  </r>
  <r>
    <n v="179"/>
    <n v="3"/>
    <n v="18"/>
    <s v="Pure Cycles Western 3-Speed - Women's - 2015/2016"/>
    <n v="3"/>
    <x v="0"/>
    <n v="1"/>
    <n v="449"/>
    <n v="0.2"/>
    <n v="359.2"/>
  </r>
  <r>
    <n v="179"/>
    <n v="4"/>
    <n v="12"/>
    <s v="Electra Townie Original 21D - 2016"/>
    <n v="3"/>
    <x v="0"/>
    <n v="2"/>
    <n v="549.99"/>
    <n v="0.2"/>
    <n v="879.98400000000004"/>
  </r>
  <r>
    <n v="179"/>
    <n v="5"/>
    <n v="20"/>
    <s v="Electra Townie Original 7D EQ - Women's - 2016"/>
    <n v="3"/>
    <x v="0"/>
    <n v="2"/>
    <n v="599.99"/>
    <n v="0.1"/>
    <n v="1079.982"/>
  </r>
  <r>
    <n v="180"/>
    <n v="1"/>
    <n v="16"/>
    <s v="Electra Townie Original 7D EQ - 2016"/>
    <n v="3"/>
    <x v="0"/>
    <n v="1"/>
    <n v="599.99"/>
    <n v="7.0000000000000007E-2"/>
    <n v="557.99070000000006"/>
  </r>
  <r>
    <n v="181"/>
    <n v="1"/>
    <n v="10"/>
    <s v="Surly Straggler - 2016"/>
    <n v="4"/>
    <x v="2"/>
    <n v="1"/>
    <n v="1549"/>
    <n v="0.05"/>
    <n v="1471.55"/>
  </r>
  <r>
    <n v="181"/>
    <n v="2"/>
    <n v="11"/>
    <s v="Surly Straggler 650b - 2016"/>
    <n v="4"/>
    <x v="2"/>
    <n v="1"/>
    <n v="1680.99"/>
    <n v="0.1"/>
    <n v="1512.8910000000001"/>
  </r>
  <r>
    <n v="181"/>
    <n v="3"/>
    <n v="15"/>
    <s v="Electra Moto 1 - 2016"/>
    <n v="3"/>
    <x v="0"/>
    <n v="2"/>
    <n v="529.99"/>
    <n v="0.2"/>
    <n v="847.98400000000004"/>
  </r>
  <r>
    <n v="181"/>
    <n v="4"/>
    <n v="24"/>
    <s v="Electra Townie Original 21D - 2016"/>
    <n v="2"/>
    <x v="3"/>
    <n v="2"/>
    <n v="549.99"/>
    <n v="0.05"/>
    <n v="1044.981"/>
  </r>
  <r>
    <n v="182"/>
    <n v="1"/>
    <n v="25"/>
    <s v="Electra Townie Original 7D - 2015/2016"/>
    <n v="2"/>
    <x v="3"/>
    <n v="2"/>
    <n v="499.99"/>
    <n v="0.05"/>
    <n v="949.98099999999999"/>
  </r>
  <r>
    <n v="182"/>
    <n v="2"/>
    <n v="24"/>
    <s v="Electra Townie Original 21D - 2016"/>
    <n v="2"/>
    <x v="3"/>
    <n v="2"/>
    <n v="549.99"/>
    <n v="7.0000000000000007E-2"/>
    <n v="1022.9814"/>
  </r>
  <r>
    <n v="183"/>
    <n v="1"/>
    <n v="11"/>
    <s v="Surly Straggler 650b - 2016"/>
    <n v="4"/>
    <x v="2"/>
    <n v="2"/>
    <n v="1680.99"/>
    <n v="0.2"/>
    <n v="2689.5839999999998"/>
  </r>
  <r>
    <n v="183"/>
    <n v="2"/>
    <n v="12"/>
    <s v="Electra Townie Original 21D - 2016"/>
    <n v="3"/>
    <x v="0"/>
    <n v="2"/>
    <n v="549.99"/>
    <n v="0.05"/>
    <n v="1044.981"/>
  </r>
  <r>
    <n v="183"/>
    <n v="3"/>
    <n v="19"/>
    <s v="Pure Cycles William 3-Speed - 2016"/>
    <n v="3"/>
    <x v="0"/>
    <n v="1"/>
    <n v="449"/>
    <n v="7.0000000000000007E-2"/>
    <n v="417.57"/>
  </r>
  <r>
    <n v="183"/>
    <n v="4"/>
    <n v="17"/>
    <s v="Pure Cycles Vine 8-Speed - 2016"/>
    <n v="3"/>
    <x v="0"/>
    <n v="1"/>
    <n v="429"/>
    <n v="7.0000000000000007E-2"/>
    <n v="398.97"/>
  </r>
  <r>
    <n v="184"/>
    <n v="1"/>
    <n v="4"/>
    <s v="Trek Fuel EX 8 29 - 2016"/>
    <n v="6"/>
    <x v="1"/>
    <n v="1"/>
    <n v="2899.99"/>
    <n v="0.2"/>
    <n v="2319.9919999999997"/>
  </r>
  <r>
    <n v="184"/>
    <n v="2"/>
    <n v="5"/>
    <s v="Heller Shagamaw Frame - 2016"/>
    <n v="6"/>
    <x v="1"/>
    <n v="1"/>
    <n v="1320.99"/>
    <n v="0.1"/>
    <n v="1188.8910000000001"/>
  </r>
  <r>
    <n v="184"/>
    <n v="3"/>
    <n v="14"/>
    <s v="Electra Girl's Hawaii 1 (16-inch) - 2015/2016"/>
    <n v="3"/>
    <x v="0"/>
    <n v="1"/>
    <n v="269.99"/>
    <n v="0.1"/>
    <n v="242.99100000000001"/>
  </r>
  <r>
    <n v="185"/>
    <n v="1"/>
    <n v="20"/>
    <s v="Electra Townie Original 7D EQ - Women's - 2016"/>
    <n v="3"/>
    <x v="0"/>
    <n v="1"/>
    <n v="599.99"/>
    <n v="0.1"/>
    <n v="539.99099999999999"/>
  </r>
  <r>
    <n v="185"/>
    <n v="2"/>
    <n v="8"/>
    <s v="Trek Remedy 29 Carbon Frameset - 2016"/>
    <n v="6"/>
    <x v="1"/>
    <n v="1"/>
    <n v="1799.99"/>
    <n v="0.05"/>
    <n v="1709.9904999999999"/>
  </r>
  <r>
    <n v="186"/>
    <n v="1"/>
    <n v="4"/>
    <s v="Trek Fuel EX 8 29 - 2016"/>
    <n v="6"/>
    <x v="1"/>
    <n v="1"/>
    <n v="2899.99"/>
    <n v="0.1"/>
    <n v="2609.991"/>
  </r>
  <r>
    <n v="186"/>
    <n v="2"/>
    <n v="6"/>
    <s v="Surly Ice Cream Truck Frameset - 2016"/>
    <n v="6"/>
    <x v="1"/>
    <n v="1"/>
    <n v="469.99"/>
    <n v="0.1"/>
    <n v="422.99099999999999"/>
  </r>
  <r>
    <n v="187"/>
    <n v="1"/>
    <n v="5"/>
    <s v="Heller Shagamaw Frame - 2016"/>
    <n v="6"/>
    <x v="1"/>
    <n v="1"/>
    <n v="1320.99"/>
    <n v="0.05"/>
    <n v="1254.9404999999999"/>
  </r>
  <r>
    <n v="188"/>
    <n v="1"/>
    <n v="7"/>
    <s v="Trek Slash 8 27.5 - 2016"/>
    <n v="6"/>
    <x v="1"/>
    <n v="2"/>
    <n v="3999.99"/>
    <n v="7.0000000000000007E-2"/>
    <n v="7439.9813999999997"/>
  </r>
  <r>
    <n v="189"/>
    <n v="1"/>
    <n v="16"/>
    <s v="Electra Townie Original 7D EQ - 2016"/>
    <n v="3"/>
    <x v="0"/>
    <n v="2"/>
    <n v="599.99"/>
    <n v="0.2"/>
    <n v="959.98400000000004"/>
  </r>
  <r>
    <n v="190"/>
    <n v="1"/>
    <n v="24"/>
    <s v="Electra Townie Original 21D - 2016"/>
    <n v="2"/>
    <x v="3"/>
    <n v="1"/>
    <n v="549.99"/>
    <n v="0.05"/>
    <n v="522.4905"/>
  </r>
  <r>
    <n v="190"/>
    <n v="2"/>
    <n v="15"/>
    <s v="Electra Moto 1 - 2016"/>
    <n v="3"/>
    <x v="0"/>
    <n v="1"/>
    <n v="529.99"/>
    <n v="0.2"/>
    <n v="423.99200000000002"/>
  </r>
  <r>
    <n v="190"/>
    <n v="3"/>
    <n v="3"/>
    <s v="Surly Wednesday Frameset - 2016"/>
    <n v="6"/>
    <x v="1"/>
    <n v="2"/>
    <n v="999.99"/>
    <n v="0.2"/>
    <n v="1599.9839999999999"/>
  </r>
  <r>
    <n v="191"/>
    <n v="1"/>
    <n v="25"/>
    <s v="Electra Townie Original 7D - 2015/2016"/>
    <n v="2"/>
    <x v="3"/>
    <n v="1"/>
    <n v="499.99"/>
    <n v="0.05"/>
    <n v="474.9905"/>
  </r>
  <r>
    <n v="191"/>
    <n v="2"/>
    <n v="12"/>
    <s v="Electra Townie Original 21D - 2016"/>
    <n v="3"/>
    <x v="0"/>
    <n v="2"/>
    <n v="549.99"/>
    <n v="0.2"/>
    <n v="879.98400000000004"/>
  </r>
  <r>
    <n v="191"/>
    <n v="3"/>
    <n v="3"/>
    <s v="Surly Wednesday Frameset - 2016"/>
    <n v="6"/>
    <x v="1"/>
    <n v="1"/>
    <n v="999.99"/>
    <n v="7.0000000000000007E-2"/>
    <n v="929.99070000000006"/>
  </r>
  <r>
    <n v="191"/>
    <n v="4"/>
    <n v="8"/>
    <s v="Trek Remedy 29 Carbon Frameset - 2016"/>
    <n v="6"/>
    <x v="1"/>
    <n v="2"/>
    <n v="1799.99"/>
    <n v="0.05"/>
    <n v="3419.9809999999998"/>
  </r>
  <r>
    <n v="191"/>
    <n v="5"/>
    <n v="23"/>
    <s v="Electra Girl's Hawaii 1 (20-inch) - 2015/2016"/>
    <n v="1"/>
    <x v="5"/>
    <n v="1"/>
    <n v="299.99"/>
    <n v="0.05"/>
    <n v="284.9905"/>
  </r>
  <r>
    <n v="192"/>
    <n v="1"/>
    <n v="8"/>
    <s v="Trek Remedy 29 Carbon Frameset - 2016"/>
    <n v="6"/>
    <x v="1"/>
    <n v="2"/>
    <n v="1799.99"/>
    <n v="0.1"/>
    <n v="3239.982"/>
  </r>
  <r>
    <n v="192"/>
    <n v="2"/>
    <n v="25"/>
    <s v="Electra Townie Original 7D - 2015/2016"/>
    <n v="2"/>
    <x v="3"/>
    <n v="1"/>
    <n v="499.99"/>
    <n v="7.0000000000000007E-2"/>
    <n v="464.9907"/>
  </r>
  <r>
    <n v="192"/>
    <n v="3"/>
    <n v="2"/>
    <s v="Ritchey Timberwolf Frameset - 2016"/>
    <n v="6"/>
    <x v="1"/>
    <n v="1"/>
    <n v="749.99"/>
    <n v="0.05"/>
    <n v="712.4905"/>
  </r>
  <r>
    <n v="192"/>
    <n v="4"/>
    <n v="24"/>
    <s v="Electra Townie Original 21D - 2016"/>
    <n v="2"/>
    <x v="3"/>
    <n v="2"/>
    <n v="549.99"/>
    <n v="7.0000000000000007E-2"/>
    <n v="1022.9814"/>
  </r>
  <r>
    <n v="192"/>
    <n v="5"/>
    <n v="10"/>
    <s v="Surly Straggler - 2016"/>
    <n v="4"/>
    <x v="2"/>
    <n v="2"/>
    <n v="1549"/>
    <n v="0.2"/>
    <n v="2478.4"/>
  </r>
  <r>
    <n v="193"/>
    <n v="1"/>
    <n v="12"/>
    <s v="Electra Townie Original 21D - 2016"/>
    <n v="3"/>
    <x v="0"/>
    <n v="2"/>
    <n v="549.99"/>
    <n v="0.1"/>
    <n v="989.98199999999997"/>
  </r>
  <r>
    <n v="194"/>
    <n v="1"/>
    <n v="21"/>
    <s v="Electra Cruiser 1 (24-Inch) - 2016"/>
    <n v="1"/>
    <x v="5"/>
    <n v="2"/>
    <n v="269.99"/>
    <n v="0.2"/>
    <n v="431.98400000000004"/>
  </r>
  <r>
    <n v="195"/>
    <n v="1"/>
    <n v="18"/>
    <s v="Pure Cycles Western 3-Speed - Women's - 2015/2016"/>
    <n v="3"/>
    <x v="0"/>
    <n v="1"/>
    <n v="449"/>
    <n v="0.2"/>
    <n v="359.2"/>
  </r>
  <r>
    <n v="195"/>
    <n v="2"/>
    <n v="14"/>
    <s v="Electra Girl's Hawaii 1 (16-inch) - 2015/2016"/>
    <n v="3"/>
    <x v="0"/>
    <n v="1"/>
    <n v="269.99"/>
    <n v="0.05"/>
    <n v="256.4905"/>
  </r>
  <r>
    <n v="195"/>
    <n v="3"/>
    <n v="5"/>
    <s v="Heller Shagamaw Frame - 2016"/>
    <n v="6"/>
    <x v="1"/>
    <n v="2"/>
    <n v="1320.99"/>
    <n v="0.2"/>
    <n v="2113.5839999999998"/>
  </r>
  <r>
    <n v="195"/>
    <n v="4"/>
    <n v="4"/>
    <s v="Trek Fuel EX 8 29 - 2016"/>
    <n v="6"/>
    <x v="1"/>
    <n v="2"/>
    <n v="2899.99"/>
    <n v="0.2"/>
    <n v="4639.9839999999995"/>
  </r>
  <r>
    <n v="195"/>
    <n v="5"/>
    <n v="21"/>
    <s v="Electra Cruiser 1 (24-Inch) - 2016"/>
    <n v="1"/>
    <x v="5"/>
    <n v="2"/>
    <n v="269.99"/>
    <n v="0.1"/>
    <n v="485.98200000000003"/>
  </r>
  <r>
    <n v="196"/>
    <n v="1"/>
    <n v="6"/>
    <s v="Surly Ice Cream Truck Frameset - 2016"/>
    <n v="6"/>
    <x v="1"/>
    <n v="1"/>
    <n v="469.99"/>
    <n v="0.05"/>
    <n v="446.4905"/>
  </r>
  <r>
    <n v="196"/>
    <n v="2"/>
    <n v="3"/>
    <s v="Surly Wednesday Frameset - 2016"/>
    <n v="6"/>
    <x v="1"/>
    <n v="2"/>
    <n v="999.99"/>
    <n v="7.0000000000000007E-2"/>
    <n v="1859.9814000000001"/>
  </r>
  <r>
    <n v="196"/>
    <n v="3"/>
    <n v="10"/>
    <s v="Surly Straggler - 2016"/>
    <n v="4"/>
    <x v="2"/>
    <n v="2"/>
    <n v="1549"/>
    <n v="7.0000000000000007E-2"/>
    <n v="2881.14"/>
  </r>
  <r>
    <n v="196"/>
    <n v="4"/>
    <n v="12"/>
    <s v="Electra Townie Original 21D - 2016"/>
    <n v="3"/>
    <x v="0"/>
    <n v="1"/>
    <n v="549.99"/>
    <n v="7.0000000000000007E-2"/>
    <n v="511.4907"/>
  </r>
  <r>
    <n v="196"/>
    <n v="5"/>
    <n v="20"/>
    <s v="Electra Townie Original 7D EQ - Women's - 2016"/>
    <n v="3"/>
    <x v="0"/>
    <n v="1"/>
    <n v="599.99"/>
    <n v="0.1"/>
    <n v="539.99099999999999"/>
  </r>
  <r>
    <n v="197"/>
    <n v="1"/>
    <n v="4"/>
    <s v="Trek Fuel EX 8 29 - 2016"/>
    <n v="6"/>
    <x v="1"/>
    <n v="2"/>
    <n v="2899.99"/>
    <n v="0.2"/>
    <n v="4639.9839999999995"/>
  </r>
  <r>
    <n v="197"/>
    <n v="2"/>
    <n v="2"/>
    <s v="Ritchey Timberwolf Frameset - 2016"/>
    <n v="6"/>
    <x v="1"/>
    <n v="2"/>
    <n v="749.99"/>
    <n v="7.0000000000000007E-2"/>
    <n v="1394.9814000000001"/>
  </r>
  <r>
    <n v="198"/>
    <n v="1"/>
    <n v="6"/>
    <s v="Surly Ice Cream Truck Frameset - 2016"/>
    <n v="6"/>
    <x v="1"/>
    <n v="2"/>
    <n v="469.99"/>
    <n v="0.05"/>
    <n v="892.98099999999999"/>
  </r>
  <r>
    <n v="198"/>
    <n v="2"/>
    <n v="20"/>
    <s v="Electra Townie Original 7D EQ - Women's - 2016"/>
    <n v="3"/>
    <x v="0"/>
    <n v="2"/>
    <n v="599.99"/>
    <n v="7.0000000000000007E-2"/>
    <n v="1115.9814000000001"/>
  </r>
  <r>
    <n v="198"/>
    <n v="3"/>
    <n v="8"/>
    <s v="Trek Remedy 29 Carbon Frameset - 2016"/>
    <n v="6"/>
    <x v="1"/>
    <n v="2"/>
    <n v="1799.99"/>
    <n v="0.2"/>
    <n v="2879.9839999999999"/>
  </r>
  <r>
    <n v="198"/>
    <n v="4"/>
    <n v="13"/>
    <s v="Electra Cruiser 1 (24-Inch) - 2016"/>
    <n v="3"/>
    <x v="0"/>
    <n v="2"/>
    <n v="269.99"/>
    <n v="0.05"/>
    <n v="512.98099999999999"/>
  </r>
  <r>
    <n v="198"/>
    <n v="5"/>
    <n v="17"/>
    <s v="Pure Cycles Vine 8-Speed - 2016"/>
    <n v="3"/>
    <x v="0"/>
    <n v="1"/>
    <n v="429"/>
    <n v="0.05"/>
    <n v="407.55"/>
  </r>
  <r>
    <n v="199"/>
    <n v="1"/>
    <n v="25"/>
    <s v="Electra Townie Original 7D - 2015/2016"/>
    <n v="2"/>
    <x v="3"/>
    <n v="2"/>
    <n v="499.99"/>
    <n v="0.05"/>
    <n v="949.98099999999999"/>
  </r>
  <r>
    <n v="199"/>
    <n v="2"/>
    <n v="18"/>
    <s v="Pure Cycles Western 3-Speed - Women's - 2015/2016"/>
    <n v="3"/>
    <x v="0"/>
    <n v="2"/>
    <n v="449"/>
    <n v="7.0000000000000007E-2"/>
    <n v="835.14"/>
  </r>
  <r>
    <n v="199"/>
    <n v="3"/>
    <n v="4"/>
    <s v="Trek Fuel EX 8 29 - 2016"/>
    <n v="6"/>
    <x v="1"/>
    <n v="1"/>
    <n v="2899.99"/>
    <n v="0.2"/>
    <n v="2319.9919999999997"/>
  </r>
  <r>
    <n v="200"/>
    <n v="1"/>
    <n v="23"/>
    <s v="Electra Girl's Hawaii 1 (20-inch) - 2015/2016"/>
    <n v="1"/>
    <x v="5"/>
    <n v="2"/>
    <n v="299.99"/>
    <n v="0.05"/>
    <n v="569.98099999999999"/>
  </r>
  <r>
    <n v="200"/>
    <n v="2"/>
    <n v="22"/>
    <s v="Electra Girl's Hawaii 1 (16-inch) - 2015/2016"/>
    <n v="1"/>
    <x v="5"/>
    <n v="2"/>
    <n v="269.99"/>
    <n v="7.0000000000000007E-2"/>
    <n v="502.1814"/>
  </r>
  <r>
    <n v="201"/>
    <n v="1"/>
    <n v="24"/>
    <s v="Electra Townie Original 21D - 2016"/>
    <n v="2"/>
    <x v="3"/>
    <n v="1"/>
    <n v="549.99"/>
    <n v="0.05"/>
    <n v="522.4905"/>
  </r>
  <r>
    <n v="201"/>
    <n v="2"/>
    <n v="7"/>
    <s v="Trek Slash 8 27.5 - 2016"/>
    <n v="6"/>
    <x v="1"/>
    <n v="1"/>
    <n v="3999.99"/>
    <n v="0.2"/>
    <n v="3199.9919999999997"/>
  </r>
  <r>
    <n v="201"/>
    <n v="3"/>
    <n v="14"/>
    <s v="Electra Girl's Hawaii 1 (16-inch) - 2015/2016"/>
    <n v="3"/>
    <x v="0"/>
    <n v="2"/>
    <n v="269.99"/>
    <n v="0.1"/>
    <n v="485.98200000000003"/>
  </r>
  <r>
    <n v="201"/>
    <n v="4"/>
    <n v="17"/>
    <s v="Pure Cycles Vine 8-Speed - 2016"/>
    <n v="3"/>
    <x v="0"/>
    <n v="1"/>
    <n v="429"/>
    <n v="0.05"/>
    <n v="407.55"/>
  </r>
  <r>
    <n v="202"/>
    <n v="1"/>
    <n v="8"/>
    <s v="Trek Remedy 29 Carbon Frameset - 2016"/>
    <n v="6"/>
    <x v="1"/>
    <n v="1"/>
    <n v="1799.99"/>
    <n v="7.0000000000000007E-2"/>
    <n v="1673.9907000000001"/>
  </r>
  <r>
    <n v="202"/>
    <n v="2"/>
    <n v="17"/>
    <s v="Pure Cycles Vine 8-Speed - 2016"/>
    <n v="3"/>
    <x v="0"/>
    <n v="1"/>
    <n v="429"/>
    <n v="0.05"/>
    <n v="407.55"/>
  </r>
  <r>
    <n v="202"/>
    <n v="3"/>
    <n v="15"/>
    <s v="Electra Moto 1 - 2016"/>
    <n v="3"/>
    <x v="0"/>
    <n v="2"/>
    <n v="529.99"/>
    <n v="0.05"/>
    <n v="1006.981"/>
  </r>
  <r>
    <n v="202"/>
    <n v="4"/>
    <n v="25"/>
    <s v="Electra Townie Original 7D - 2015/2016"/>
    <n v="2"/>
    <x v="3"/>
    <n v="2"/>
    <n v="499.99"/>
    <n v="0.05"/>
    <n v="949.98099999999999"/>
  </r>
  <r>
    <n v="203"/>
    <n v="1"/>
    <n v="26"/>
    <s v="Electra Townie Original 7D EQ - 2016"/>
    <n v="2"/>
    <x v="3"/>
    <n v="1"/>
    <n v="599.99"/>
    <n v="0.05"/>
    <n v="569.9905"/>
  </r>
  <r>
    <n v="203"/>
    <n v="2"/>
    <n v="3"/>
    <s v="Surly Wednesday Frameset - 2016"/>
    <n v="6"/>
    <x v="1"/>
    <n v="2"/>
    <n v="999.99"/>
    <n v="0.1"/>
    <n v="1799.982"/>
  </r>
  <r>
    <n v="203"/>
    <n v="3"/>
    <n v="17"/>
    <s v="Pure Cycles Vine 8-Speed - 2016"/>
    <n v="3"/>
    <x v="0"/>
    <n v="2"/>
    <n v="429"/>
    <n v="0.2"/>
    <n v="686.4"/>
  </r>
  <r>
    <n v="203"/>
    <n v="4"/>
    <n v="19"/>
    <s v="Pure Cycles William 3-Speed - 2016"/>
    <n v="3"/>
    <x v="0"/>
    <n v="2"/>
    <n v="449"/>
    <n v="7.0000000000000007E-2"/>
    <n v="835.14"/>
  </r>
  <r>
    <n v="204"/>
    <n v="1"/>
    <n v="6"/>
    <s v="Surly Ice Cream Truck Frameset - 2016"/>
    <n v="6"/>
    <x v="1"/>
    <n v="2"/>
    <n v="469.99"/>
    <n v="7.0000000000000007E-2"/>
    <n v="874.18140000000005"/>
  </r>
  <r>
    <n v="204"/>
    <n v="2"/>
    <n v="17"/>
    <s v="Pure Cycles Vine 8-Speed - 2016"/>
    <n v="3"/>
    <x v="0"/>
    <n v="2"/>
    <n v="429"/>
    <n v="0.1"/>
    <n v="772.2"/>
  </r>
  <r>
    <n v="205"/>
    <n v="1"/>
    <n v="22"/>
    <s v="Electra Girl's Hawaii 1 (16-inch) - 2015/2016"/>
    <n v="1"/>
    <x v="5"/>
    <n v="2"/>
    <n v="269.99"/>
    <n v="0.05"/>
    <n v="512.98099999999999"/>
  </r>
  <r>
    <n v="205"/>
    <n v="2"/>
    <n v="24"/>
    <s v="Electra Townie Original 21D - 2016"/>
    <n v="2"/>
    <x v="3"/>
    <n v="2"/>
    <n v="549.99"/>
    <n v="0.1"/>
    <n v="989.98199999999997"/>
  </r>
  <r>
    <n v="206"/>
    <n v="1"/>
    <n v="25"/>
    <s v="Electra Townie Original 7D - 2015/2016"/>
    <n v="2"/>
    <x v="3"/>
    <n v="1"/>
    <n v="499.99"/>
    <n v="0.05"/>
    <n v="474.9905"/>
  </r>
  <r>
    <n v="206"/>
    <n v="2"/>
    <n v="20"/>
    <s v="Electra Townie Original 7D EQ - Women's - 2016"/>
    <n v="3"/>
    <x v="0"/>
    <n v="1"/>
    <n v="599.99"/>
    <n v="0.2"/>
    <n v="479.99200000000002"/>
  </r>
  <r>
    <n v="207"/>
    <n v="1"/>
    <n v="12"/>
    <s v="Electra Townie Original 21D - 2016"/>
    <n v="3"/>
    <x v="0"/>
    <n v="2"/>
    <n v="549.99"/>
    <n v="0.2"/>
    <n v="879.98400000000004"/>
  </r>
  <r>
    <n v="207"/>
    <n v="2"/>
    <n v="5"/>
    <s v="Heller Shagamaw Frame - 2016"/>
    <n v="6"/>
    <x v="1"/>
    <n v="1"/>
    <n v="1320.99"/>
    <n v="0.05"/>
    <n v="1254.9404999999999"/>
  </r>
  <r>
    <n v="207"/>
    <n v="3"/>
    <n v="11"/>
    <s v="Surly Straggler 650b - 2016"/>
    <n v="4"/>
    <x v="2"/>
    <n v="2"/>
    <n v="1680.99"/>
    <n v="7.0000000000000007E-2"/>
    <n v="3126.6414"/>
  </r>
  <r>
    <n v="207"/>
    <n v="4"/>
    <n v="7"/>
    <s v="Trek Slash 8 27.5 - 2016"/>
    <n v="6"/>
    <x v="1"/>
    <n v="2"/>
    <n v="3999.99"/>
    <n v="0.1"/>
    <n v="7199.982"/>
  </r>
  <r>
    <n v="208"/>
    <n v="1"/>
    <n v="6"/>
    <s v="Surly Ice Cream Truck Frameset - 2016"/>
    <n v="6"/>
    <x v="1"/>
    <n v="2"/>
    <n v="469.99"/>
    <n v="0.05"/>
    <n v="892.98099999999999"/>
  </r>
  <r>
    <n v="208"/>
    <n v="2"/>
    <n v="4"/>
    <s v="Trek Fuel EX 8 29 - 2016"/>
    <n v="6"/>
    <x v="1"/>
    <n v="2"/>
    <n v="2899.99"/>
    <n v="7.0000000000000007E-2"/>
    <n v="5393.9813999999997"/>
  </r>
  <r>
    <n v="208"/>
    <n v="3"/>
    <n v="3"/>
    <s v="Surly Wednesday Frameset - 2016"/>
    <n v="6"/>
    <x v="1"/>
    <n v="1"/>
    <n v="999.99"/>
    <n v="0.05"/>
    <n v="949.9905"/>
  </r>
  <r>
    <n v="208"/>
    <n v="4"/>
    <n v="12"/>
    <s v="Electra Townie Original 21D - 2016"/>
    <n v="3"/>
    <x v="0"/>
    <n v="1"/>
    <n v="549.99"/>
    <n v="0.2"/>
    <n v="439.99200000000002"/>
  </r>
  <r>
    <n v="208"/>
    <n v="5"/>
    <n v="10"/>
    <s v="Surly Straggler - 2016"/>
    <n v="4"/>
    <x v="2"/>
    <n v="2"/>
    <n v="1549"/>
    <n v="0.05"/>
    <n v="2943.1"/>
  </r>
  <r>
    <n v="209"/>
    <n v="1"/>
    <n v="13"/>
    <s v="Electra Cruiser 1 (24-Inch) - 2016"/>
    <n v="3"/>
    <x v="0"/>
    <n v="1"/>
    <n v="269.99"/>
    <n v="0.1"/>
    <n v="242.99100000000001"/>
  </r>
  <r>
    <n v="210"/>
    <n v="1"/>
    <n v="14"/>
    <s v="Electra Girl's Hawaii 1 (16-inch) - 2015/2016"/>
    <n v="3"/>
    <x v="0"/>
    <n v="1"/>
    <n v="269.99"/>
    <n v="7.0000000000000007E-2"/>
    <n v="251.0907"/>
  </r>
  <r>
    <n v="210"/>
    <n v="2"/>
    <n v="13"/>
    <s v="Electra Cruiser 1 (24-Inch) - 2016"/>
    <n v="3"/>
    <x v="0"/>
    <n v="2"/>
    <n v="269.99"/>
    <n v="0.2"/>
    <n v="431.98400000000004"/>
  </r>
  <r>
    <n v="211"/>
    <n v="1"/>
    <n v="10"/>
    <s v="Surly Straggler - 2016"/>
    <n v="4"/>
    <x v="2"/>
    <n v="1"/>
    <n v="1549"/>
    <n v="7.0000000000000007E-2"/>
    <n v="1440.57"/>
  </r>
  <r>
    <n v="211"/>
    <n v="2"/>
    <n v="2"/>
    <s v="Ritchey Timberwolf Frameset - 2016"/>
    <n v="6"/>
    <x v="1"/>
    <n v="2"/>
    <n v="749.99"/>
    <n v="7.0000000000000007E-2"/>
    <n v="1394.9814000000001"/>
  </r>
  <r>
    <n v="212"/>
    <n v="1"/>
    <n v="16"/>
    <s v="Electra Townie Original 7D EQ - 2016"/>
    <n v="3"/>
    <x v="0"/>
    <n v="2"/>
    <n v="599.99"/>
    <n v="7.0000000000000007E-2"/>
    <n v="1115.9814000000001"/>
  </r>
  <r>
    <n v="212"/>
    <n v="2"/>
    <n v="12"/>
    <s v="Electra Townie Original 21D - 2016"/>
    <n v="3"/>
    <x v="0"/>
    <n v="2"/>
    <n v="549.99"/>
    <n v="0.2"/>
    <n v="879.98400000000004"/>
  </r>
  <r>
    <n v="212"/>
    <n v="3"/>
    <n v="19"/>
    <s v="Pure Cycles William 3-Speed - 2016"/>
    <n v="3"/>
    <x v="0"/>
    <n v="1"/>
    <n v="449"/>
    <n v="0.1"/>
    <n v="404.1"/>
  </r>
  <r>
    <n v="212"/>
    <n v="4"/>
    <n v="7"/>
    <s v="Trek Slash 8 27.5 - 2016"/>
    <n v="6"/>
    <x v="1"/>
    <n v="1"/>
    <n v="3999.99"/>
    <n v="0.2"/>
    <n v="3199.9919999999997"/>
  </r>
  <r>
    <n v="213"/>
    <n v="1"/>
    <n v="13"/>
    <s v="Electra Cruiser 1 (24-Inch) - 2016"/>
    <n v="3"/>
    <x v="0"/>
    <n v="1"/>
    <n v="269.99"/>
    <n v="0.1"/>
    <n v="242.99100000000001"/>
  </r>
  <r>
    <n v="214"/>
    <n v="1"/>
    <n v="21"/>
    <s v="Electra Cruiser 1 (24-Inch) - 2016"/>
    <n v="1"/>
    <x v="5"/>
    <n v="1"/>
    <n v="269.99"/>
    <n v="0.1"/>
    <n v="242.99100000000001"/>
  </r>
  <r>
    <n v="215"/>
    <n v="1"/>
    <n v="19"/>
    <s v="Pure Cycles William 3-Speed - 2016"/>
    <n v="3"/>
    <x v="0"/>
    <n v="1"/>
    <n v="449"/>
    <n v="7.0000000000000007E-2"/>
    <n v="417.57"/>
  </r>
  <r>
    <n v="215"/>
    <n v="2"/>
    <n v="12"/>
    <s v="Electra Townie Original 21D - 2016"/>
    <n v="3"/>
    <x v="0"/>
    <n v="2"/>
    <n v="549.99"/>
    <n v="0.1"/>
    <n v="989.98199999999997"/>
  </r>
  <r>
    <n v="216"/>
    <n v="1"/>
    <n v="22"/>
    <s v="Electra Girl's Hawaii 1 (16-inch) - 2015/2016"/>
    <n v="1"/>
    <x v="5"/>
    <n v="2"/>
    <n v="269.99"/>
    <n v="0.1"/>
    <n v="485.98200000000003"/>
  </r>
  <r>
    <n v="216"/>
    <n v="2"/>
    <n v="16"/>
    <s v="Electra Townie Original 7D EQ - 2016"/>
    <n v="3"/>
    <x v="0"/>
    <n v="2"/>
    <n v="599.99"/>
    <n v="0.05"/>
    <n v="1139.981"/>
  </r>
  <r>
    <n v="217"/>
    <n v="1"/>
    <n v="18"/>
    <s v="Pure Cycles Western 3-Speed - Women's - 2015/2016"/>
    <n v="3"/>
    <x v="0"/>
    <n v="1"/>
    <n v="449"/>
    <n v="0.1"/>
    <n v="404.1"/>
  </r>
  <r>
    <n v="217"/>
    <n v="2"/>
    <n v="10"/>
    <s v="Surly Straggler - 2016"/>
    <n v="4"/>
    <x v="2"/>
    <n v="2"/>
    <n v="1549"/>
    <n v="0.1"/>
    <n v="2788.2"/>
  </r>
  <r>
    <n v="217"/>
    <n v="3"/>
    <n v="17"/>
    <s v="Pure Cycles Vine 8-Speed - 2016"/>
    <n v="3"/>
    <x v="0"/>
    <n v="1"/>
    <n v="429"/>
    <n v="7.0000000000000007E-2"/>
    <n v="398.97"/>
  </r>
  <r>
    <n v="218"/>
    <n v="1"/>
    <n v="2"/>
    <s v="Ritchey Timberwolf Frameset - 2016"/>
    <n v="6"/>
    <x v="1"/>
    <n v="2"/>
    <n v="749.99"/>
    <n v="0.1"/>
    <n v="1349.982"/>
  </r>
  <r>
    <n v="218"/>
    <n v="2"/>
    <n v="13"/>
    <s v="Electra Cruiser 1 (24-Inch) - 2016"/>
    <n v="3"/>
    <x v="0"/>
    <n v="1"/>
    <n v="269.99"/>
    <n v="7.0000000000000007E-2"/>
    <n v="251.0907"/>
  </r>
  <r>
    <n v="218"/>
    <n v="3"/>
    <n v="12"/>
    <s v="Electra Townie Original 21D - 2016"/>
    <n v="3"/>
    <x v="0"/>
    <n v="1"/>
    <n v="549.99"/>
    <n v="0.05"/>
    <n v="522.4905"/>
  </r>
  <r>
    <n v="219"/>
    <n v="1"/>
    <n v="26"/>
    <s v="Electra Townie Original 7D EQ - 2016"/>
    <n v="2"/>
    <x v="3"/>
    <n v="1"/>
    <n v="599.99"/>
    <n v="0.05"/>
    <n v="569.9905"/>
  </r>
  <r>
    <n v="219"/>
    <n v="2"/>
    <n v="5"/>
    <s v="Heller Shagamaw Frame - 2016"/>
    <n v="6"/>
    <x v="1"/>
    <n v="1"/>
    <n v="1320.99"/>
    <n v="0.2"/>
    <n v="1056.7919999999999"/>
  </r>
  <r>
    <n v="220"/>
    <n v="1"/>
    <n v="6"/>
    <s v="Surly Ice Cream Truck Frameset - 2016"/>
    <n v="6"/>
    <x v="1"/>
    <n v="2"/>
    <n v="469.99"/>
    <n v="0.05"/>
    <n v="892.98099999999999"/>
  </r>
  <r>
    <n v="220"/>
    <n v="2"/>
    <n v="25"/>
    <s v="Electra Townie Original 7D - 2015/2016"/>
    <n v="2"/>
    <x v="3"/>
    <n v="1"/>
    <n v="499.99"/>
    <n v="7.0000000000000007E-2"/>
    <n v="464.9907"/>
  </r>
  <r>
    <n v="220"/>
    <n v="3"/>
    <n v="22"/>
    <s v="Electra Girl's Hawaii 1 (16-inch) - 2015/2016"/>
    <n v="1"/>
    <x v="5"/>
    <n v="2"/>
    <n v="269.99"/>
    <n v="0.1"/>
    <n v="485.98200000000003"/>
  </r>
  <r>
    <n v="220"/>
    <n v="4"/>
    <n v="3"/>
    <s v="Surly Wednesday Frameset - 2016"/>
    <n v="6"/>
    <x v="1"/>
    <n v="2"/>
    <n v="999.99"/>
    <n v="0.2"/>
    <n v="1599.9839999999999"/>
  </r>
  <r>
    <n v="221"/>
    <n v="1"/>
    <n v="11"/>
    <s v="Surly Straggler 650b - 2016"/>
    <n v="4"/>
    <x v="2"/>
    <n v="2"/>
    <n v="1680.99"/>
    <n v="7.0000000000000007E-2"/>
    <n v="3126.6414"/>
  </r>
  <r>
    <n v="222"/>
    <n v="1"/>
    <n v="10"/>
    <s v="Surly Straggler - 2016"/>
    <n v="4"/>
    <x v="2"/>
    <n v="1"/>
    <n v="1549"/>
    <n v="0.1"/>
    <n v="1394.1"/>
  </r>
  <r>
    <n v="222"/>
    <n v="2"/>
    <n v="2"/>
    <s v="Ritchey Timberwolf Frameset - 2016"/>
    <n v="6"/>
    <x v="1"/>
    <n v="2"/>
    <n v="749.99"/>
    <n v="0.1"/>
    <n v="1349.982"/>
  </r>
  <r>
    <n v="223"/>
    <n v="1"/>
    <n v="7"/>
    <s v="Trek Slash 8 27.5 - 2016"/>
    <n v="6"/>
    <x v="1"/>
    <n v="2"/>
    <n v="3999.99"/>
    <n v="0.05"/>
    <n v="7599.9809999999998"/>
  </r>
  <r>
    <n v="223"/>
    <n v="2"/>
    <n v="5"/>
    <s v="Heller Shagamaw Frame - 2016"/>
    <n v="6"/>
    <x v="1"/>
    <n v="1"/>
    <n v="1320.99"/>
    <n v="0.2"/>
    <n v="1056.7919999999999"/>
  </r>
  <r>
    <n v="223"/>
    <n v="3"/>
    <n v="21"/>
    <s v="Electra Cruiser 1 (24-Inch) - 2016"/>
    <n v="1"/>
    <x v="5"/>
    <n v="2"/>
    <n v="269.99"/>
    <n v="0.1"/>
    <n v="485.98200000000003"/>
  </r>
  <r>
    <n v="223"/>
    <n v="4"/>
    <n v="20"/>
    <s v="Electra Townie Original 7D EQ - Women's - 2016"/>
    <n v="3"/>
    <x v="0"/>
    <n v="1"/>
    <n v="599.99"/>
    <n v="0.05"/>
    <n v="569.9905"/>
  </r>
  <r>
    <n v="223"/>
    <n v="5"/>
    <n v="15"/>
    <s v="Electra Moto 1 - 2016"/>
    <n v="3"/>
    <x v="0"/>
    <n v="1"/>
    <n v="529.99"/>
    <n v="0.05"/>
    <n v="503.4905"/>
  </r>
  <r>
    <n v="224"/>
    <n v="1"/>
    <n v="6"/>
    <s v="Surly Ice Cream Truck Frameset - 2016"/>
    <n v="6"/>
    <x v="1"/>
    <n v="1"/>
    <n v="469.99"/>
    <n v="7.0000000000000007E-2"/>
    <n v="437.09070000000003"/>
  </r>
  <r>
    <n v="224"/>
    <n v="2"/>
    <n v="11"/>
    <s v="Surly Straggler 650b - 2016"/>
    <n v="4"/>
    <x v="2"/>
    <n v="2"/>
    <n v="1680.99"/>
    <n v="0.1"/>
    <n v="3025.7820000000002"/>
  </r>
  <r>
    <n v="224"/>
    <n v="3"/>
    <n v="10"/>
    <s v="Surly Straggler - 2016"/>
    <n v="4"/>
    <x v="2"/>
    <n v="2"/>
    <n v="1549"/>
    <n v="0.2"/>
    <n v="2478.4"/>
  </r>
  <r>
    <n v="224"/>
    <n v="4"/>
    <n v="25"/>
    <s v="Electra Townie Original 7D - 2015/2016"/>
    <n v="2"/>
    <x v="3"/>
    <n v="1"/>
    <n v="499.99"/>
    <n v="0.05"/>
    <n v="474.9905"/>
  </r>
  <r>
    <n v="225"/>
    <n v="1"/>
    <n v="21"/>
    <s v="Electra Cruiser 1 (24-Inch) - 2016"/>
    <n v="1"/>
    <x v="5"/>
    <n v="1"/>
    <n v="269.99"/>
    <n v="0.1"/>
    <n v="242.99100000000001"/>
  </r>
  <r>
    <n v="225"/>
    <n v="2"/>
    <n v="9"/>
    <s v="Trek Conduit+ - 2016"/>
    <n v="5"/>
    <x v="4"/>
    <n v="1"/>
    <n v="2999.99"/>
    <n v="0.1"/>
    <n v="2699.991"/>
  </r>
  <r>
    <n v="226"/>
    <n v="1"/>
    <n v="2"/>
    <s v="Ritchey Timberwolf Frameset - 2016"/>
    <n v="6"/>
    <x v="1"/>
    <n v="1"/>
    <n v="749.99"/>
    <n v="0.05"/>
    <n v="712.4905"/>
  </r>
  <r>
    <n v="227"/>
    <n v="1"/>
    <n v="3"/>
    <s v="Surly Wednesday Frameset - 2016"/>
    <n v="6"/>
    <x v="1"/>
    <n v="2"/>
    <n v="999.99"/>
    <n v="0.05"/>
    <n v="1899.981"/>
  </r>
  <r>
    <n v="227"/>
    <n v="2"/>
    <n v="15"/>
    <s v="Electra Moto 1 - 2016"/>
    <n v="3"/>
    <x v="0"/>
    <n v="2"/>
    <n v="529.99"/>
    <n v="0.1"/>
    <n v="953.98199999999997"/>
  </r>
  <r>
    <n v="228"/>
    <n v="1"/>
    <n v="25"/>
    <s v="Electra Townie Original 7D - 2015/2016"/>
    <n v="2"/>
    <x v="3"/>
    <n v="1"/>
    <n v="499.99"/>
    <n v="0.2"/>
    <n v="399.99200000000002"/>
  </r>
  <r>
    <n v="228"/>
    <n v="2"/>
    <n v="2"/>
    <s v="Ritchey Timberwolf Frameset - 2016"/>
    <n v="6"/>
    <x v="1"/>
    <n v="2"/>
    <n v="749.99"/>
    <n v="7.0000000000000007E-2"/>
    <n v="1394.9814000000001"/>
  </r>
  <r>
    <n v="228"/>
    <n v="3"/>
    <n v="23"/>
    <s v="Electra Girl's Hawaii 1 (20-inch) - 2015/2016"/>
    <n v="1"/>
    <x v="5"/>
    <n v="2"/>
    <n v="299.99"/>
    <n v="0.1"/>
    <n v="539.98199999999997"/>
  </r>
  <r>
    <n v="228"/>
    <n v="4"/>
    <n v="4"/>
    <s v="Trek Fuel EX 8 29 - 2016"/>
    <n v="6"/>
    <x v="1"/>
    <n v="1"/>
    <n v="2899.99"/>
    <n v="0.2"/>
    <n v="2319.9919999999997"/>
  </r>
  <r>
    <n v="228"/>
    <n v="5"/>
    <n v="22"/>
    <s v="Electra Girl's Hawaii 1 (16-inch) - 2015/2016"/>
    <n v="1"/>
    <x v="5"/>
    <n v="1"/>
    <n v="269.99"/>
    <n v="0.05"/>
    <n v="256.4905"/>
  </r>
  <r>
    <n v="229"/>
    <n v="1"/>
    <n v="25"/>
    <s v="Electra Townie Original 7D - 2015/2016"/>
    <n v="2"/>
    <x v="3"/>
    <n v="2"/>
    <n v="499.99"/>
    <n v="0.2"/>
    <n v="799.98400000000004"/>
  </r>
  <r>
    <n v="229"/>
    <n v="2"/>
    <n v="5"/>
    <s v="Heller Shagamaw Frame - 2016"/>
    <n v="6"/>
    <x v="1"/>
    <n v="2"/>
    <n v="1320.99"/>
    <n v="0.1"/>
    <n v="2377.7820000000002"/>
  </r>
  <r>
    <n v="229"/>
    <n v="3"/>
    <n v="8"/>
    <s v="Trek Remedy 29 Carbon Frameset - 2016"/>
    <n v="6"/>
    <x v="1"/>
    <n v="1"/>
    <n v="1799.99"/>
    <n v="0.2"/>
    <n v="1439.992"/>
  </r>
  <r>
    <n v="230"/>
    <n v="1"/>
    <n v="11"/>
    <s v="Surly Straggler 650b - 2016"/>
    <n v="4"/>
    <x v="2"/>
    <n v="2"/>
    <n v="1680.99"/>
    <n v="7.0000000000000007E-2"/>
    <n v="3126.6414"/>
  </r>
  <r>
    <n v="231"/>
    <n v="1"/>
    <n v="8"/>
    <s v="Trek Remedy 29 Carbon Frameset - 2016"/>
    <n v="6"/>
    <x v="1"/>
    <n v="2"/>
    <n v="1799.99"/>
    <n v="7.0000000000000007E-2"/>
    <n v="3347.9814000000001"/>
  </r>
  <r>
    <n v="231"/>
    <n v="2"/>
    <n v="14"/>
    <s v="Electra Girl's Hawaii 1 (16-inch) - 2015/2016"/>
    <n v="3"/>
    <x v="0"/>
    <n v="2"/>
    <n v="269.99"/>
    <n v="0.2"/>
    <n v="431.98400000000004"/>
  </r>
  <r>
    <n v="231"/>
    <n v="3"/>
    <n v="5"/>
    <s v="Heller Shagamaw Frame - 2016"/>
    <n v="6"/>
    <x v="1"/>
    <n v="2"/>
    <n v="1320.99"/>
    <n v="0.2"/>
    <n v="2113.5839999999998"/>
  </r>
  <r>
    <n v="232"/>
    <n v="1"/>
    <n v="18"/>
    <s v="Pure Cycles Western 3-Speed - Women's - 2015/2016"/>
    <n v="3"/>
    <x v="0"/>
    <n v="1"/>
    <n v="449"/>
    <n v="7.0000000000000007E-2"/>
    <n v="417.57"/>
  </r>
  <r>
    <n v="232"/>
    <n v="2"/>
    <n v="11"/>
    <s v="Surly Straggler 650b - 2016"/>
    <n v="4"/>
    <x v="2"/>
    <n v="2"/>
    <n v="1680.99"/>
    <n v="0.05"/>
    <n v="3193.8809999999999"/>
  </r>
  <r>
    <n v="232"/>
    <n v="3"/>
    <n v="26"/>
    <s v="Electra Townie Original 7D EQ - 2016"/>
    <n v="2"/>
    <x v="3"/>
    <n v="2"/>
    <n v="599.99"/>
    <n v="7.0000000000000007E-2"/>
    <n v="1115.9814000000001"/>
  </r>
  <r>
    <n v="232"/>
    <n v="4"/>
    <n v="8"/>
    <s v="Trek Remedy 29 Carbon Frameset - 2016"/>
    <n v="6"/>
    <x v="1"/>
    <n v="2"/>
    <n v="1799.99"/>
    <n v="0.1"/>
    <n v="3239.982"/>
  </r>
  <r>
    <n v="233"/>
    <n v="1"/>
    <n v="14"/>
    <s v="Electra Girl's Hawaii 1 (16-inch) - 2015/2016"/>
    <n v="3"/>
    <x v="0"/>
    <n v="1"/>
    <n v="269.99"/>
    <n v="0.1"/>
    <n v="242.99100000000001"/>
  </r>
  <r>
    <n v="233"/>
    <n v="2"/>
    <n v="16"/>
    <s v="Electra Townie Original 7D EQ - 2016"/>
    <n v="3"/>
    <x v="0"/>
    <n v="2"/>
    <n v="599.99"/>
    <n v="0.1"/>
    <n v="1079.982"/>
  </r>
  <r>
    <n v="233"/>
    <n v="3"/>
    <n v="12"/>
    <s v="Electra Townie Original 21D - 2016"/>
    <n v="3"/>
    <x v="0"/>
    <n v="1"/>
    <n v="549.99"/>
    <n v="0.2"/>
    <n v="439.99200000000002"/>
  </r>
  <r>
    <n v="233"/>
    <n v="4"/>
    <n v="15"/>
    <s v="Electra Moto 1 - 2016"/>
    <n v="3"/>
    <x v="0"/>
    <n v="2"/>
    <n v="529.99"/>
    <n v="7.0000000000000007E-2"/>
    <n v="985.78139999999996"/>
  </r>
  <r>
    <n v="234"/>
    <n v="1"/>
    <n v="11"/>
    <s v="Surly Straggler 650b - 2016"/>
    <n v="4"/>
    <x v="2"/>
    <n v="2"/>
    <n v="1680.99"/>
    <n v="0.2"/>
    <n v="2689.5839999999998"/>
  </r>
  <r>
    <n v="234"/>
    <n v="2"/>
    <n v="17"/>
    <s v="Pure Cycles Vine 8-Speed - 2016"/>
    <n v="3"/>
    <x v="0"/>
    <n v="2"/>
    <n v="429"/>
    <n v="0.05"/>
    <n v="815.1"/>
  </r>
  <r>
    <n v="234"/>
    <n v="3"/>
    <n v="12"/>
    <s v="Electra Townie Original 21D - 2016"/>
    <n v="3"/>
    <x v="0"/>
    <n v="1"/>
    <n v="549.99"/>
    <n v="0.1"/>
    <n v="494.99099999999999"/>
  </r>
  <r>
    <n v="234"/>
    <n v="4"/>
    <n v="7"/>
    <s v="Trek Slash 8 27.5 - 2016"/>
    <n v="6"/>
    <x v="1"/>
    <n v="1"/>
    <n v="3999.99"/>
    <n v="0.05"/>
    <n v="3799.9904999999999"/>
  </r>
  <r>
    <n v="234"/>
    <n v="5"/>
    <n v="23"/>
    <s v="Electra Girl's Hawaii 1 (20-inch) - 2015/2016"/>
    <n v="1"/>
    <x v="5"/>
    <n v="1"/>
    <n v="299.99"/>
    <n v="0.1"/>
    <n v="269.99099999999999"/>
  </r>
  <r>
    <n v="235"/>
    <n v="1"/>
    <n v="6"/>
    <s v="Surly Ice Cream Truck Frameset - 2016"/>
    <n v="6"/>
    <x v="1"/>
    <n v="1"/>
    <n v="469.99"/>
    <n v="7.0000000000000007E-2"/>
    <n v="437.09070000000003"/>
  </r>
  <r>
    <n v="235"/>
    <n v="2"/>
    <n v="13"/>
    <s v="Electra Cruiser 1 (24-Inch) - 2016"/>
    <n v="3"/>
    <x v="0"/>
    <n v="2"/>
    <n v="269.99"/>
    <n v="0.05"/>
    <n v="512.98099999999999"/>
  </r>
  <r>
    <n v="235"/>
    <n v="3"/>
    <n v="7"/>
    <s v="Trek Slash 8 27.5 - 2016"/>
    <n v="6"/>
    <x v="1"/>
    <n v="2"/>
    <n v="3999.99"/>
    <n v="0.05"/>
    <n v="7599.9809999999998"/>
  </r>
  <r>
    <n v="236"/>
    <n v="1"/>
    <n v="3"/>
    <s v="Surly Wednesday Frameset - 2016"/>
    <n v="6"/>
    <x v="1"/>
    <n v="2"/>
    <n v="999.99"/>
    <n v="7.0000000000000007E-2"/>
    <n v="1859.9814000000001"/>
  </r>
  <r>
    <n v="236"/>
    <n v="2"/>
    <n v="2"/>
    <s v="Ritchey Timberwolf Frameset - 2016"/>
    <n v="6"/>
    <x v="1"/>
    <n v="2"/>
    <n v="749.99"/>
    <n v="0.1"/>
    <n v="1349.982"/>
  </r>
  <r>
    <n v="236"/>
    <n v="3"/>
    <n v="4"/>
    <s v="Trek Fuel EX 8 29 - 2016"/>
    <n v="6"/>
    <x v="1"/>
    <n v="2"/>
    <n v="2899.99"/>
    <n v="0.1"/>
    <n v="5219.982"/>
  </r>
  <r>
    <n v="237"/>
    <n v="1"/>
    <n v="15"/>
    <s v="Electra Moto 1 - 2016"/>
    <n v="3"/>
    <x v="0"/>
    <n v="1"/>
    <n v="529.99"/>
    <n v="0.2"/>
    <n v="423.99200000000002"/>
  </r>
  <r>
    <n v="237"/>
    <n v="2"/>
    <n v="24"/>
    <s v="Electra Townie Original 21D - 2016"/>
    <n v="2"/>
    <x v="3"/>
    <n v="1"/>
    <n v="549.99"/>
    <n v="7.0000000000000007E-2"/>
    <n v="511.4907"/>
  </r>
  <r>
    <n v="237"/>
    <n v="3"/>
    <n v="20"/>
    <s v="Electra Townie Original 7D EQ - Women's - 2016"/>
    <n v="3"/>
    <x v="0"/>
    <n v="2"/>
    <n v="599.99"/>
    <n v="0.2"/>
    <n v="959.98400000000004"/>
  </r>
  <r>
    <n v="237"/>
    <n v="4"/>
    <n v="26"/>
    <s v="Electra Townie Original 7D EQ - 2016"/>
    <n v="2"/>
    <x v="3"/>
    <n v="1"/>
    <n v="599.99"/>
    <n v="0.05"/>
    <n v="569.9905"/>
  </r>
  <r>
    <n v="238"/>
    <n v="1"/>
    <n v="20"/>
    <s v="Electra Townie Original 7D EQ - Women's - 2016"/>
    <n v="3"/>
    <x v="0"/>
    <n v="2"/>
    <n v="599.99"/>
    <n v="0.2"/>
    <n v="959.98400000000004"/>
  </r>
  <r>
    <n v="238"/>
    <n v="2"/>
    <n v="25"/>
    <s v="Electra Townie Original 7D - 2015/2016"/>
    <n v="2"/>
    <x v="3"/>
    <n v="1"/>
    <n v="499.99"/>
    <n v="7.0000000000000007E-2"/>
    <n v="464.9907"/>
  </r>
  <r>
    <n v="238"/>
    <n v="3"/>
    <n v="13"/>
    <s v="Electra Cruiser 1 (24-Inch) - 2016"/>
    <n v="3"/>
    <x v="0"/>
    <n v="2"/>
    <n v="269.99"/>
    <n v="0.2"/>
    <n v="431.98400000000004"/>
  </r>
  <r>
    <n v="238"/>
    <n v="4"/>
    <n v="22"/>
    <s v="Electra Girl's Hawaii 1 (16-inch) - 2015/2016"/>
    <n v="1"/>
    <x v="5"/>
    <n v="2"/>
    <n v="269.99"/>
    <n v="0.05"/>
    <n v="512.98099999999999"/>
  </r>
  <r>
    <n v="238"/>
    <n v="5"/>
    <n v="7"/>
    <s v="Trek Slash 8 27.5 - 2016"/>
    <n v="6"/>
    <x v="1"/>
    <n v="1"/>
    <n v="3999.99"/>
    <n v="7.0000000000000007E-2"/>
    <n v="3719.9906999999998"/>
  </r>
  <r>
    <n v="239"/>
    <n v="1"/>
    <n v="16"/>
    <s v="Electra Townie Original 7D EQ - 2016"/>
    <n v="3"/>
    <x v="0"/>
    <n v="2"/>
    <n v="599.99"/>
    <n v="0.1"/>
    <n v="1079.982"/>
  </r>
  <r>
    <n v="239"/>
    <n v="2"/>
    <n v="21"/>
    <s v="Electra Cruiser 1 (24-Inch) - 2016"/>
    <n v="1"/>
    <x v="5"/>
    <n v="2"/>
    <n v="269.99"/>
    <n v="0.05"/>
    <n v="512.98099999999999"/>
  </r>
  <r>
    <n v="239"/>
    <n v="3"/>
    <n v="18"/>
    <s v="Pure Cycles Western 3-Speed - Women's - 2015/2016"/>
    <n v="3"/>
    <x v="0"/>
    <n v="1"/>
    <n v="449"/>
    <n v="7.0000000000000007E-2"/>
    <n v="417.57"/>
  </r>
  <r>
    <n v="239"/>
    <n v="4"/>
    <n v="4"/>
    <s v="Trek Fuel EX 8 29 - 2016"/>
    <n v="6"/>
    <x v="1"/>
    <n v="2"/>
    <n v="2899.99"/>
    <n v="7.0000000000000007E-2"/>
    <n v="5393.9813999999997"/>
  </r>
  <r>
    <n v="240"/>
    <n v="1"/>
    <n v="9"/>
    <s v="Trek Conduit+ - 2016"/>
    <n v="5"/>
    <x v="4"/>
    <n v="1"/>
    <n v="2999.99"/>
    <n v="7.0000000000000007E-2"/>
    <n v="2789.9906999999998"/>
  </r>
  <r>
    <n v="240"/>
    <n v="2"/>
    <n v="8"/>
    <s v="Trek Remedy 29 Carbon Frameset - 2016"/>
    <n v="6"/>
    <x v="1"/>
    <n v="1"/>
    <n v="1799.99"/>
    <n v="7.0000000000000007E-2"/>
    <n v="1673.9907000000001"/>
  </r>
  <r>
    <n v="240"/>
    <n v="3"/>
    <n v="5"/>
    <s v="Heller Shagamaw Frame - 2016"/>
    <n v="6"/>
    <x v="1"/>
    <n v="1"/>
    <n v="1320.99"/>
    <n v="7.0000000000000007E-2"/>
    <n v="1228.5207"/>
  </r>
  <r>
    <n v="240"/>
    <n v="4"/>
    <n v="18"/>
    <s v="Pure Cycles Western 3-Speed - Women's - 2015/2016"/>
    <n v="3"/>
    <x v="0"/>
    <n v="2"/>
    <n v="449"/>
    <n v="7.0000000000000007E-2"/>
    <n v="835.14"/>
  </r>
  <r>
    <n v="241"/>
    <n v="1"/>
    <n v="7"/>
    <s v="Trek Slash 8 27.5 - 2016"/>
    <n v="6"/>
    <x v="1"/>
    <n v="1"/>
    <n v="3999.99"/>
    <n v="0.2"/>
    <n v="3199.9919999999997"/>
  </r>
  <r>
    <n v="242"/>
    <n v="1"/>
    <n v="3"/>
    <s v="Surly Wednesday Frameset - 2016"/>
    <n v="6"/>
    <x v="1"/>
    <n v="1"/>
    <n v="999.99"/>
    <n v="0.2"/>
    <n v="799.99199999999996"/>
  </r>
  <r>
    <n v="243"/>
    <n v="1"/>
    <n v="25"/>
    <s v="Electra Townie Original 7D - 2015/2016"/>
    <n v="2"/>
    <x v="3"/>
    <n v="2"/>
    <n v="499.99"/>
    <n v="0.05"/>
    <n v="949.98099999999999"/>
  </r>
  <r>
    <n v="243"/>
    <n v="2"/>
    <n v="19"/>
    <s v="Pure Cycles William 3-Speed - 2016"/>
    <n v="3"/>
    <x v="0"/>
    <n v="2"/>
    <n v="449"/>
    <n v="7.0000000000000007E-2"/>
    <n v="835.14"/>
  </r>
  <r>
    <n v="243"/>
    <n v="3"/>
    <n v="7"/>
    <s v="Trek Slash 8 27.5 - 2016"/>
    <n v="6"/>
    <x v="1"/>
    <n v="2"/>
    <n v="3999.99"/>
    <n v="0.05"/>
    <n v="7599.9809999999998"/>
  </r>
  <r>
    <n v="244"/>
    <n v="1"/>
    <n v="19"/>
    <s v="Pure Cycles William 3-Speed - 2016"/>
    <n v="3"/>
    <x v="0"/>
    <n v="1"/>
    <n v="449"/>
    <n v="7.0000000000000007E-2"/>
    <n v="417.57"/>
  </r>
  <r>
    <n v="244"/>
    <n v="2"/>
    <n v="25"/>
    <s v="Electra Townie Original 7D - 2015/2016"/>
    <n v="2"/>
    <x v="3"/>
    <n v="1"/>
    <n v="499.99"/>
    <n v="0.2"/>
    <n v="399.99200000000002"/>
  </r>
  <r>
    <n v="244"/>
    <n v="3"/>
    <n v="22"/>
    <s v="Electra Girl's Hawaii 1 (16-inch) - 2015/2016"/>
    <n v="1"/>
    <x v="5"/>
    <n v="1"/>
    <n v="269.99"/>
    <n v="0.1"/>
    <n v="242.99100000000001"/>
  </r>
  <r>
    <n v="245"/>
    <n v="1"/>
    <n v="10"/>
    <s v="Surly Straggler - 2016"/>
    <n v="4"/>
    <x v="2"/>
    <n v="2"/>
    <n v="1549"/>
    <n v="0.05"/>
    <n v="2943.1"/>
  </r>
  <r>
    <n v="245"/>
    <n v="2"/>
    <n v="8"/>
    <s v="Trek Remedy 29 Carbon Frameset - 2016"/>
    <n v="6"/>
    <x v="1"/>
    <n v="1"/>
    <n v="1799.99"/>
    <n v="0.1"/>
    <n v="1619.991"/>
  </r>
  <r>
    <n v="246"/>
    <n v="1"/>
    <n v="17"/>
    <s v="Pure Cycles Vine 8-Speed - 2016"/>
    <n v="3"/>
    <x v="0"/>
    <n v="2"/>
    <n v="429"/>
    <n v="0.2"/>
    <n v="686.4"/>
  </r>
  <r>
    <n v="247"/>
    <n v="1"/>
    <n v="25"/>
    <s v="Electra Townie Original 7D - 2015/2016"/>
    <n v="2"/>
    <x v="3"/>
    <n v="1"/>
    <n v="499.99"/>
    <n v="7.0000000000000007E-2"/>
    <n v="464.9907"/>
  </r>
  <r>
    <n v="247"/>
    <n v="2"/>
    <n v="3"/>
    <s v="Surly Wednesday Frameset - 2016"/>
    <n v="6"/>
    <x v="1"/>
    <n v="1"/>
    <n v="999.99"/>
    <n v="0.2"/>
    <n v="799.99199999999996"/>
  </r>
  <r>
    <n v="248"/>
    <n v="1"/>
    <n v="13"/>
    <s v="Electra Cruiser 1 (24-Inch) - 2016"/>
    <n v="3"/>
    <x v="0"/>
    <n v="1"/>
    <n v="269.99"/>
    <n v="0.1"/>
    <n v="242.99100000000001"/>
  </r>
  <r>
    <n v="248"/>
    <n v="2"/>
    <n v="26"/>
    <s v="Electra Townie Original 7D EQ - 2016"/>
    <n v="2"/>
    <x v="3"/>
    <n v="2"/>
    <n v="599.99"/>
    <n v="0.1"/>
    <n v="1079.982"/>
  </r>
  <r>
    <n v="248"/>
    <n v="3"/>
    <n v="17"/>
    <s v="Pure Cycles Vine 8-Speed - 2016"/>
    <n v="3"/>
    <x v="0"/>
    <n v="1"/>
    <n v="429"/>
    <n v="0.1"/>
    <n v="386.1"/>
  </r>
  <r>
    <n v="248"/>
    <n v="4"/>
    <n v="9"/>
    <s v="Trek Conduit+ - 2016"/>
    <n v="5"/>
    <x v="4"/>
    <n v="1"/>
    <n v="2999.99"/>
    <n v="0.2"/>
    <n v="2399.9919999999997"/>
  </r>
  <r>
    <n v="249"/>
    <n v="1"/>
    <n v="7"/>
    <s v="Trek Slash 8 27.5 - 2016"/>
    <n v="6"/>
    <x v="1"/>
    <n v="2"/>
    <n v="3999.99"/>
    <n v="0.05"/>
    <n v="7599.9809999999998"/>
  </r>
  <r>
    <n v="249"/>
    <n v="2"/>
    <n v="18"/>
    <s v="Pure Cycles Western 3-Speed - Women's - 2015/2016"/>
    <n v="3"/>
    <x v="0"/>
    <n v="2"/>
    <n v="449"/>
    <n v="0.05"/>
    <n v="853.1"/>
  </r>
  <r>
    <n v="249"/>
    <n v="3"/>
    <n v="22"/>
    <s v="Electra Girl's Hawaii 1 (16-inch) - 2015/2016"/>
    <n v="1"/>
    <x v="5"/>
    <n v="1"/>
    <n v="269.99"/>
    <n v="0.1"/>
    <n v="242.99100000000001"/>
  </r>
  <r>
    <n v="250"/>
    <n v="1"/>
    <n v="17"/>
    <s v="Pure Cycles Vine 8-Speed - 2016"/>
    <n v="3"/>
    <x v="0"/>
    <n v="2"/>
    <n v="429"/>
    <n v="0.05"/>
    <n v="815.1"/>
  </r>
  <r>
    <n v="250"/>
    <n v="2"/>
    <n v="11"/>
    <s v="Surly Straggler 650b - 2016"/>
    <n v="4"/>
    <x v="2"/>
    <n v="2"/>
    <n v="1680.99"/>
    <n v="0.1"/>
    <n v="3025.7820000000002"/>
  </r>
  <r>
    <n v="251"/>
    <n v="1"/>
    <n v="23"/>
    <s v="Electra Girl's Hawaii 1 (20-inch) - 2015/2016"/>
    <n v="1"/>
    <x v="5"/>
    <n v="2"/>
    <n v="299.99"/>
    <n v="0.2"/>
    <n v="479.98400000000004"/>
  </r>
  <r>
    <n v="251"/>
    <n v="2"/>
    <n v="22"/>
    <s v="Electra Girl's Hawaii 1 (16-inch) - 2015/2016"/>
    <n v="1"/>
    <x v="5"/>
    <n v="2"/>
    <n v="269.99"/>
    <n v="0.05"/>
    <n v="512.98099999999999"/>
  </r>
  <r>
    <n v="252"/>
    <n v="1"/>
    <n v="11"/>
    <s v="Surly Straggler 650b - 2016"/>
    <n v="4"/>
    <x v="2"/>
    <n v="2"/>
    <n v="1680.99"/>
    <n v="0.1"/>
    <n v="3025.7820000000002"/>
  </r>
  <r>
    <n v="252"/>
    <n v="2"/>
    <n v="4"/>
    <s v="Trek Fuel EX 8 29 - 2016"/>
    <n v="6"/>
    <x v="1"/>
    <n v="1"/>
    <n v="2899.99"/>
    <n v="7.0000000000000007E-2"/>
    <n v="2696.9906999999998"/>
  </r>
  <r>
    <n v="252"/>
    <n v="3"/>
    <n v="19"/>
    <s v="Pure Cycles William 3-Speed - 2016"/>
    <n v="3"/>
    <x v="0"/>
    <n v="1"/>
    <n v="449"/>
    <n v="0.1"/>
    <n v="404.1"/>
  </r>
  <r>
    <n v="253"/>
    <n v="1"/>
    <n v="11"/>
    <s v="Surly Straggler 650b - 2016"/>
    <n v="4"/>
    <x v="2"/>
    <n v="2"/>
    <n v="1680.99"/>
    <n v="7.0000000000000007E-2"/>
    <n v="3126.6414"/>
  </r>
  <r>
    <n v="254"/>
    <n v="1"/>
    <n v="6"/>
    <s v="Surly Ice Cream Truck Frameset - 2016"/>
    <n v="6"/>
    <x v="1"/>
    <n v="2"/>
    <n v="469.99"/>
    <n v="7.0000000000000007E-2"/>
    <n v="874.18140000000005"/>
  </r>
  <r>
    <n v="254"/>
    <n v="2"/>
    <n v="3"/>
    <s v="Surly Wednesday Frameset - 2016"/>
    <n v="6"/>
    <x v="1"/>
    <n v="1"/>
    <n v="999.99"/>
    <n v="0.05"/>
    <n v="949.9905"/>
  </r>
  <r>
    <n v="254"/>
    <n v="3"/>
    <n v="12"/>
    <s v="Electra Townie Original 21D - 2016"/>
    <n v="3"/>
    <x v="0"/>
    <n v="1"/>
    <n v="549.99"/>
    <n v="0.05"/>
    <n v="522.4905"/>
  </r>
  <r>
    <n v="255"/>
    <n v="1"/>
    <n v="5"/>
    <s v="Heller Shagamaw Frame - 2016"/>
    <n v="6"/>
    <x v="1"/>
    <n v="2"/>
    <n v="1320.99"/>
    <n v="0.1"/>
    <n v="2377.7820000000002"/>
  </r>
  <r>
    <n v="255"/>
    <n v="2"/>
    <n v="14"/>
    <s v="Electra Girl's Hawaii 1 (16-inch) - 2015/2016"/>
    <n v="3"/>
    <x v="0"/>
    <n v="1"/>
    <n v="269.99"/>
    <n v="0.2"/>
    <n v="215.99200000000002"/>
  </r>
  <r>
    <n v="255"/>
    <n v="3"/>
    <n v="2"/>
    <s v="Ritchey Timberwolf Frameset - 2016"/>
    <n v="6"/>
    <x v="1"/>
    <n v="2"/>
    <n v="749.99"/>
    <n v="0.2"/>
    <n v="1199.9839999999999"/>
  </r>
  <r>
    <n v="255"/>
    <n v="4"/>
    <n v="21"/>
    <s v="Electra Cruiser 1 (24-Inch) - 2016"/>
    <n v="1"/>
    <x v="5"/>
    <n v="1"/>
    <n v="269.99"/>
    <n v="7.0000000000000007E-2"/>
    <n v="251.0907"/>
  </r>
  <r>
    <n v="256"/>
    <n v="1"/>
    <n v="11"/>
    <s v="Surly Straggler 650b - 2016"/>
    <n v="4"/>
    <x v="2"/>
    <n v="1"/>
    <n v="1680.99"/>
    <n v="0.1"/>
    <n v="1512.8910000000001"/>
  </r>
  <r>
    <n v="256"/>
    <n v="2"/>
    <n v="21"/>
    <s v="Electra Cruiser 1 (24-Inch) - 2016"/>
    <n v="1"/>
    <x v="5"/>
    <n v="1"/>
    <n v="269.99"/>
    <n v="0.05"/>
    <n v="256.4905"/>
  </r>
  <r>
    <n v="257"/>
    <n v="1"/>
    <n v="8"/>
    <s v="Trek Remedy 29 Carbon Frameset - 2016"/>
    <n v="6"/>
    <x v="1"/>
    <n v="2"/>
    <n v="1799.99"/>
    <n v="7.0000000000000007E-2"/>
    <n v="3347.9814000000001"/>
  </r>
  <r>
    <n v="257"/>
    <n v="2"/>
    <n v="13"/>
    <s v="Electra Cruiser 1 (24-Inch) - 2016"/>
    <n v="3"/>
    <x v="0"/>
    <n v="2"/>
    <n v="269.99"/>
    <n v="0.2"/>
    <n v="431.98400000000004"/>
  </r>
  <r>
    <n v="257"/>
    <n v="3"/>
    <n v="10"/>
    <s v="Surly Straggler - 2016"/>
    <n v="4"/>
    <x v="2"/>
    <n v="2"/>
    <n v="1549"/>
    <n v="0.1"/>
    <n v="2788.2"/>
  </r>
  <r>
    <n v="257"/>
    <n v="4"/>
    <n v="15"/>
    <s v="Electra Moto 1 - 2016"/>
    <n v="3"/>
    <x v="0"/>
    <n v="1"/>
    <n v="529.99"/>
    <n v="0.1"/>
    <n v="476.99099999999999"/>
  </r>
  <r>
    <n v="258"/>
    <n v="1"/>
    <n v="8"/>
    <s v="Trek Remedy 29 Carbon Frameset - 2016"/>
    <n v="6"/>
    <x v="1"/>
    <n v="2"/>
    <n v="1799.99"/>
    <n v="0.05"/>
    <n v="3419.9809999999998"/>
  </r>
  <r>
    <n v="258"/>
    <n v="2"/>
    <n v="4"/>
    <s v="Trek Fuel EX 8 29 - 2016"/>
    <n v="6"/>
    <x v="1"/>
    <n v="1"/>
    <n v="2899.99"/>
    <n v="7.0000000000000007E-2"/>
    <n v="2696.9906999999998"/>
  </r>
  <r>
    <n v="258"/>
    <n v="3"/>
    <n v="19"/>
    <s v="Pure Cycles William 3-Speed - 2016"/>
    <n v="3"/>
    <x v="0"/>
    <n v="1"/>
    <n v="449"/>
    <n v="7.0000000000000007E-2"/>
    <n v="417.57"/>
  </r>
  <r>
    <n v="258"/>
    <n v="4"/>
    <n v="18"/>
    <s v="Pure Cycles Western 3-Speed - Women's - 2015/2016"/>
    <n v="3"/>
    <x v="0"/>
    <n v="1"/>
    <n v="449"/>
    <n v="0.05"/>
    <n v="426.55"/>
  </r>
  <r>
    <n v="259"/>
    <n v="1"/>
    <n v="26"/>
    <s v="Electra Townie Original 7D EQ - 2016"/>
    <n v="2"/>
    <x v="3"/>
    <n v="1"/>
    <n v="599.99"/>
    <n v="0.05"/>
    <n v="569.9905"/>
  </r>
  <r>
    <n v="259"/>
    <n v="2"/>
    <n v="6"/>
    <s v="Surly Ice Cream Truck Frameset - 2016"/>
    <n v="6"/>
    <x v="1"/>
    <n v="2"/>
    <n v="469.99"/>
    <n v="0.1"/>
    <n v="845.98199999999997"/>
  </r>
  <r>
    <n v="259"/>
    <n v="3"/>
    <n v="2"/>
    <s v="Ritchey Timberwolf Frameset - 2016"/>
    <n v="6"/>
    <x v="1"/>
    <n v="2"/>
    <n v="749.99"/>
    <n v="0.2"/>
    <n v="1199.9839999999999"/>
  </r>
  <r>
    <n v="259"/>
    <n v="4"/>
    <n v="4"/>
    <s v="Trek Fuel EX 8 29 - 2016"/>
    <n v="6"/>
    <x v="1"/>
    <n v="1"/>
    <n v="2899.99"/>
    <n v="0.1"/>
    <n v="2609.991"/>
  </r>
  <r>
    <n v="260"/>
    <n v="1"/>
    <n v="23"/>
    <s v="Electra Girl's Hawaii 1 (20-inch) - 2015/2016"/>
    <n v="1"/>
    <x v="5"/>
    <n v="2"/>
    <n v="299.99"/>
    <n v="0.2"/>
    <n v="479.98400000000004"/>
  </r>
  <r>
    <n v="260"/>
    <n v="2"/>
    <n v="10"/>
    <s v="Surly Straggler - 2016"/>
    <n v="4"/>
    <x v="2"/>
    <n v="1"/>
    <n v="1549"/>
    <n v="0.2"/>
    <n v="1239.2"/>
  </r>
  <r>
    <n v="260"/>
    <n v="3"/>
    <n v="24"/>
    <s v="Electra Townie Original 21D - 2016"/>
    <n v="2"/>
    <x v="3"/>
    <n v="2"/>
    <n v="549.99"/>
    <n v="0.2"/>
    <n v="879.98400000000004"/>
  </r>
  <r>
    <n v="261"/>
    <n v="1"/>
    <n v="16"/>
    <s v="Electra Townie Original 7D EQ - 2016"/>
    <n v="3"/>
    <x v="0"/>
    <n v="2"/>
    <n v="599.99"/>
    <n v="0.05"/>
    <n v="1139.981"/>
  </r>
  <r>
    <n v="261"/>
    <n v="2"/>
    <n v="14"/>
    <s v="Electra Girl's Hawaii 1 (16-inch) - 2015/2016"/>
    <n v="3"/>
    <x v="0"/>
    <n v="1"/>
    <n v="269.99"/>
    <n v="0.1"/>
    <n v="242.99100000000001"/>
  </r>
  <r>
    <n v="261"/>
    <n v="3"/>
    <n v="17"/>
    <s v="Pure Cycles Vine 8-Speed - 2016"/>
    <n v="3"/>
    <x v="0"/>
    <n v="2"/>
    <n v="429"/>
    <n v="0.1"/>
    <n v="772.2"/>
  </r>
  <r>
    <n v="262"/>
    <n v="1"/>
    <n v="2"/>
    <s v="Ritchey Timberwolf Frameset - 2016"/>
    <n v="6"/>
    <x v="1"/>
    <n v="1"/>
    <n v="749.99"/>
    <n v="7.0000000000000007E-2"/>
    <n v="697.49070000000006"/>
  </r>
  <r>
    <n v="262"/>
    <n v="2"/>
    <n v="9"/>
    <s v="Trek Conduit+ - 2016"/>
    <n v="5"/>
    <x v="4"/>
    <n v="2"/>
    <n v="2999.99"/>
    <n v="0.05"/>
    <n v="5699.9809999999998"/>
  </r>
  <r>
    <n v="263"/>
    <n v="1"/>
    <n v="9"/>
    <s v="Trek Conduit+ - 2016"/>
    <n v="5"/>
    <x v="4"/>
    <n v="1"/>
    <n v="2999.99"/>
    <n v="7.0000000000000007E-2"/>
    <n v="2789.9906999999998"/>
  </r>
  <r>
    <n v="263"/>
    <n v="2"/>
    <n v="3"/>
    <s v="Surly Wednesday Frameset - 2016"/>
    <n v="6"/>
    <x v="1"/>
    <n v="1"/>
    <n v="999.99"/>
    <n v="0.2"/>
    <n v="799.99199999999996"/>
  </r>
  <r>
    <n v="263"/>
    <n v="3"/>
    <n v="2"/>
    <s v="Ritchey Timberwolf Frameset - 2016"/>
    <n v="6"/>
    <x v="1"/>
    <n v="2"/>
    <n v="749.99"/>
    <n v="0.05"/>
    <n v="1424.981"/>
  </r>
  <r>
    <n v="264"/>
    <n v="1"/>
    <n v="10"/>
    <s v="Surly Straggler - 2016"/>
    <n v="4"/>
    <x v="2"/>
    <n v="1"/>
    <n v="1549"/>
    <n v="0.2"/>
    <n v="1239.2"/>
  </r>
  <r>
    <n v="264"/>
    <n v="2"/>
    <n v="24"/>
    <s v="Electra Townie Original 21D - 2016"/>
    <n v="2"/>
    <x v="3"/>
    <n v="2"/>
    <n v="549.99"/>
    <n v="0.05"/>
    <n v="1044.981"/>
  </r>
  <r>
    <n v="264"/>
    <n v="3"/>
    <n v="15"/>
    <s v="Electra Moto 1 - 2016"/>
    <n v="3"/>
    <x v="0"/>
    <n v="2"/>
    <n v="529.99"/>
    <n v="0.1"/>
    <n v="953.98199999999997"/>
  </r>
  <r>
    <n v="264"/>
    <n v="4"/>
    <n v="3"/>
    <s v="Surly Wednesday Frameset - 2016"/>
    <n v="6"/>
    <x v="1"/>
    <n v="2"/>
    <n v="999.99"/>
    <n v="7.0000000000000007E-2"/>
    <n v="1859.9814000000001"/>
  </r>
  <r>
    <n v="265"/>
    <n v="1"/>
    <n v="9"/>
    <s v="Trek Conduit+ - 2016"/>
    <n v="5"/>
    <x v="4"/>
    <n v="2"/>
    <n v="2999.99"/>
    <n v="0.2"/>
    <n v="4799.9839999999995"/>
  </r>
  <r>
    <n v="266"/>
    <n v="1"/>
    <n v="6"/>
    <s v="Surly Ice Cream Truck Frameset - 2016"/>
    <n v="6"/>
    <x v="1"/>
    <n v="2"/>
    <n v="469.99"/>
    <n v="7.0000000000000007E-2"/>
    <n v="874.18140000000005"/>
  </r>
  <r>
    <n v="266"/>
    <n v="2"/>
    <n v="19"/>
    <s v="Pure Cycles William 3-Speed - 2016"/>
    <n v="3"/>
    <x v="0"/>
    <n v="1"/>
    <n v="449"/>
    <n v="0.2"/>
    <n v="359.2"/>
  </r>
  <r>
    <n v="266"/>
    <n v="3"/>
    <n v="25"/>
    <s v="Electra Townie Original 7D - 2015/2016"/>
    <n v="2"/>
    <x v="3"/>
    <n v="1"/>
    <n v="499.99"/>
    <n v="0.05"/>
    <n v="474.9905"/>
  </r>
  <r>
    <n v="267"/>
    <n v="1"/>
    <n v="22"/>
    <s v="Electra Girl's Hawaii 1 (16-inch) - 2015/2016"/>
    <n v="1"/>
    <x v="5"/>
    <n v="2"/>
    <n v="269.99"/>
    <n v="0.2"/>
    <n v="431.98400000000004"/>
  </r>
  <r>
    <n v="267"/>
    <n v="2"/>
    <n v="23"/>
    <s v="Electra Girl's Hawaii 1 (20-inch) - 2015/2016"/>
    <n v="1"/>
    <x v="5"/>
    <n v="2"/>
    <n v="299.99"/>
    <n v="0.1"/>
    <n v="539.98199999999997"/>
  </r>
  <r>
    <n v="267"/>
    <n v="3"/>
    <n v="24"/>
    <s v="Electra Townie Original 21D - 2016"/>
    <n v="2"/>
    <x v="3"/>
    <n v="1"/>
    <n v="549.99"/>
    <n v="0.1"/>
    <n v="494.99099999999999"/>
  </r>
  <r>
    <n v="267"/>
    <n v="4"/>
    <n v="7"/>
    <s v="Trek Slash 8 27.5 - 2016"/>
    <n v="6"/>
    <x v="1"/>
    <n v="2"/>
    <n v="3999.99"/>
    <n v="7.0000000000000007E-2"/>
    <n v="7439.9813999999997"/>
  </r>
  <r>
    <n v="267"/>
    <n v="5"/>
    <n v="21"/>
    <s v="Electra Cruiser 1 (24-Inch) - 2016"/>
    <n v="1"/>
    <x v="5"/>
    <n v="1"/>
    <n v="269.99"/>
    <n v="0.05"/>
    <n v="256.4905"/>
  </r>
  <r>
    <n v="268"/>
    <n v="1"/>
    <n v="7"/>
    <s v="Trek Slash 8 27.5 - 2016"/>
    <n v="6"/>
    <x v="1"/>
    <n v="1"/>
    <n v="3999.99"/>
    <n v="0.05"/>
    <n v="3799.9904999999999"/>
  </r>
  <r>
    <n v="268"/>
    <n v="2"/>
    <n v="6"/>
    <s v="Surly Ice Cream Truck Frameset - 2016"/>
    <n v="6"/>
    <x v="1"/>
    <n v="2"/>
    <n v="469.99"/>
    <n v="0.2"/>
    <n v="751.98400000000004"/>
  </r>
  <r>
    <n v="268"/>
    <n v="3"/>
    <n v="9"/>
    <s v="Trek Conduit+ - 2016"/>
    <n v="5"/>
    <x v="4"/>
    <n v="1"/>
    <n v="2999.99"/>
    <n v="0.1"/>
    <n v="2699.991"/>
  </r>
  <r>
    <n v="269"/>
    <n v="1"/>
    <n v="5"/>
    <s v="Heller Shagamaw Frame - 2016"/>
    <n v="6"/>
    <x v="1"/>
    <n v="1"/>
    <n v="1320.99"/>
    <n v="7.0000000000000007E-2"/>
    <n v="1228.5207"/>
  </r>
  <r>
    <n v="269"/>
    <n v="2"/>
    <n v="23"/>
    <s v="Electra Girl's Hawaii 1 (20-inch) - 2015/2016"/>
    <n v="1"/>
    <x v="5"/>
    <n v="2"/>
    <n v="299.99"/>
    <n v="7.0000000000000007E-2"/>
    <n v="557.98140000000001"/>
  </r>
  <r>
    <n v="269"/>
    <n v="3"/>
    <n v="18"/>
    <s v="Pure Cycles Western 3-Speed - Women's - 2015/2016"/>
    <n v="3"/>
    <x v="0"/>
    <n v="1"/>
    <n v="449"/>
    <n v="0.05"/>
    <n v="426.55"/>
  </r>
  <r>
    <n v="269"/>
    <n v="4"/>
    <n v="3"/>
    <s v="Surly Wednesday Frameset - 2016"/>
    <n v="6"/>
    <x v="1"/>
    <n v="1"/>
    <n v="999.99"/>
    <n v="0.05"/>
    <n v="949.9905"/>
  </r>
  <r>
    <n v="270"/>
    <n v="1"/>
    <n v="25"/>
    <s v="Electra Townie Original 7D - 2015/2016"/>
    <n v="2"/>
    <x v="3"/>
    <n v="2"/>
    <n v="499.99"/>
    <n v="0.2"/>
    <n v="799.98400000000004"/>
  </r>
  <r>
    <n v="270"/>
    <n v="2"/>
    <n v="15"/>
    <s v="Electra Moto 1 - 2016"/>
    <n v="3"/>
    <x v="0"/>
    <n v="1"/>
    <n v="529.99"/>
    <n v="0.1"/>
    <n v="476.99099999999999"/>
  </r>
  <r>
    <n v="271"/>
    <n v="1"/>
    <n v="11"/>
    <s v="Surly Straggler 650b - 2016"/>
    <n v="4"/>
    <x v="2"/>
    <n v="2"/>
    <n v="1680.99"/>
    <n v="7.0000000000000007E-2"/>
    <n v="3126.6414"/>
  </r>
  <r>
    <n v="271"/>
    <n v="2"/>
    <n v="6"/>
    <s v="Surly Ice Cream Truck Frameset - 2016"/>
    <n v="6"/>
    <x v="1"/>
    <n v="2"/>
    <n v="469.99"/>
    <n v="0.05"/>
    <n v="892.98099999999999"/>
  </r>
  <r>
    <n v="271"/>
    <n v="3"/>
    <n v="13"/>
    <s v="Electra Cruiser 1 (24-Inch) - 2016"/>
    <n v="3"/>
    <x v="0"/>
    <n v="1"/>
    <n v="269.99"/>
    <n v="0.1"/>
    <n v="242.99100000000001"/>
  </r>
  <r>
    <n v="271"/>
    <n v="4"/>
    <n v="7"/>
    <s v="Trek Slash 8 27.5 - 2016"/>
    <n v="6"/>
    <x v="1"/>
    <n v="2"/>
    <n v="3999.99"/>
    <n v="0.1"/>
    <n v="7199.982"/>
  </r>
  <r>
    <n v="272"/>
    <n v="1"/>
    <n v="2"/>
    <s v="Ritchey Timberwolf Frameset - 2016"/>
    <n v="6"/>
    <x v="1"/>
    <n v="2"/>
    <n v="749.99"/>
    <n v="7.0000000000000007E-2"/>
    <n v="1394.9814000000001"/>
  </r>
  <r>
    <n v="272"/>
    <n v="2"/>
    <n v="11"/>
    <s v="Surly Straggler 650b - 2016"/>
    <n v="4"/>
    <x v="2"/>
    <n v="1"/>
    <n v="1680.99"/>
    <n v="7.0000000000000007E-2"/>
    <n v="1563.3207"/>
  </r>
  <r>
    <n v="273"/>
    <n v="1"/>
    <n v="21"/>
    <s v="Electra Cruiser 1 (24-Inch) - 2016"/>
    <n v="1"/>
    <x v="5"/>
    <n v="1"/>
    <n v="269.99"/>
    <n v="0.1"/>
    <n v="242.99100000000001"/>
  </r>
  <r>
    <n v="274"/>
    <n v="1"/>
    <n v="11"/>
    <s v="Surly Straggler 650b - 2016"/>
    <n v="4"/>
    <x v="2"/>
    <n v="2"/>
    <n v="1680.99"/>
    <n v="0.05"/>
    <n v="3193.8809999999999"/>
  </r>
  <r>
    <n v="274"/>
    <n v="2"/>
    <n v="25"/>
    <s v="Electra Townie Original 7D - 2015/2016"/>
    <n v="2"/>
    <x v="3"/>
    <n v="2"/>
    <n v="499.99"/>
    <n v="0.1"/>
    <n v="899.98199999999997"/>
  </r>
  <r>
    <n v="274"/>
    <n v="3"/>
    <n v="9"/>
    <s v="Trek Conduit+ - 2016"/>
    <n v="5"/>
    <x v="4"/>
    <n v="2"/>
    <n v="2999.99"/>
    <n v="7.0000000000000007E-2"/>
    <n v="5579.9813999999997"/>
  </r>
  <r>
    <n v="275"/>
    <n v="1"/>
    <n v="18"/>
    <s v="Pure Cycles Western 3-Speed - Women's - 2015/2016"/>
    <n v="3"/>
    <x v="0"/>
    <n v="1"/>
    <n v="449"/>
    <n v="0.05"/>
    <n v="426.55"/>
  </r>
  <r>
    <n v="275"/>
    <n v="2"/>
    <n v="25"/>
    <s v="Electra Townie Original 7D - 2015/2016"/>
    <n v="2"/>
    <x v="3"/>
    <n v="1"/>
    <n v="499.99"/>
    <n v="0.1"/>
    <n v="449.99099999999999"/>
  </r>
  <r>
    <n v="275"/>
    <n v="3"/>
    <n v="7"/>
    <s v="Trek Slash 8 27.5 - 2016"/>
    <n v="6"/>
    <x v="1"/>
    <n v="2"/>
    <n v="3999.99"/>
    <n v="0.05"/>
    <n v="7599.9809999999998"/>
  </r>
  <r>
    <n v="276"/>
    <n v="1"/>
    <n v="3"/>
    <s v="Surly Wednesday Frameset - 2016"/>
    <n v="6"/>
    <x v="1"/>
    <n v="2"/>
    <n v="999.99"/>
    <n v="0.2"/>
    <n v="1599.9839999999999"/>
  </r>
  <r>
    <n v="276"/>
    <n v="2"/>
    <n v="17"/>
    <s v="Pure Cycles Vine 8-Speed - 2016"/>
    <n v="3"/>
    <x v="0"/>
    <n v="1"/>
    <n v="429"/>
    <n v="0.05"/>
    <n v="407.55"/>
  </r>
  <r>
    <n v="276"/>
    <n v="3"/>
    <n v="9"/>
    <s v="Trek Conduit+ - 2016"/>
    <n v="5"/>
    <x v="4"/>
    <n v="2"/>
    <n v="2999.99"/>
    <n v="7.0000000000000007E-2"/>
    <n v="5579.9813999999997"/>
  </r>
  <r>
    <n v="277"/>
    <n v="1"/>
    <n v="20"/>
    <s v="Electra Townie Original 7D EQ - Women's - 2016"/>
    <n v="3"/>
    <x v="0"/>
    <n v="2"/>
    <n v="599.99"/>
    <n v="0.2"/>
    <n v="959.98400000000004"/>
  </r>
  <r>
    <n v="277"/>
    <n v="2"/>
    <n v="6"/>
    <s v="Surly Ice Cream Truck Frameset - 2016"/>
    <n v="6"/>
    <x v="1"/>
    <n v="2"/>
    <n v="469.99"/>
    <n v="0.2"/>
    <n v="751.98400000000004"/>
  </r>
  <r>
    <n v="277"/>
    <n v="3"/>
    <n v="13"/>
    <s v="Electra Cruiser 1 (24-Inch) - 2016"/>
    <n v="3"/>
    <x v="0"/>
    <n v="2"/>
    <n v="269.99"/>
    <n v="0.1"/>
    <n v="485.98200000000003"/>
  </r>
  <r>
    <n v="278"/>
    <n v="1"/>
    <n v="16"/>
    <s v="Electra Townie Original 7D EQ - 2016"/>
    <n v="3"/>
    <x v="0"/>
    <n v="1"/>
    <n v="599.99"/>
    <n v="0.2"/>
    <n v="479.99200000000002"/>
  </r>
  <r>
    <n v="278"/>
    <n v="2"/>
    <n v="19"/>
    <s v="Pure Cycles William 3-Speed - 2016"/>
    <n v="3"/>
    <x v="0"/>
    <n v="2"/>
    <n v="449"/>
    <n v="7.0000000000000007E-2"/>
    <n v="835.14"/>
  </r>
  <r>
    <n v="278"/>
    <n v="3"/>
    <n v="13"/>
    <s v="Electra Cruiser 1 (24-Inch) - 2016"/>
    <n v="3"/>
    <x v="0"/>
    <n v="1"/>
    <n v="269.99"/>
    <n v="7.0000000000000007E-2"/>
    <n v="251.0907"/>
  </r>
  <r>
    <n v="278"/>
    <n v="4"/>
    <n v="11"/>
    <s v="Surly Straggler 650b - 2016"/>
    <n v="4"/>
    <x v="2"/>
    <n v="2"/>
    <n v="1680.99"/>
    <n v="7.0000000000000007E-2"/>
    <n v="3126.6414"/>
  </r>
  <r>
    <n v="279"/>
    <n v="1"/>
    <n v="25"/>
    <s v="Electra Townie Original 7D - 2015/2016"/>
    <n v="2"/>
    <x v="3"/>
    <n v="1"/>
    <n v="499.99"/>
    <n v="7.0000000000000007E-2"/>
    <n v="464.9907"/>
  </r>
  <r>
    <n v="280"/>
    <n v="1"/>
    <n v="25"/>
    <s v="Electra Townie Original 7D - 2015/2016"/>
    <n v="2"/>
    <x v="3"/>
    <n v="1"/>
    <n v="499.99"/>
    <n v="7.0000000000000007E-2"/>
    <n v="464.9907"/>
  </r>
  <r>
    <n v="280"/>
    <n v="2"/>
    <n v="26"/>
    <s v="Electra Townie Original 7D EQ - 2016"/>
    <n v="2"/>
    <x v="3"/>
    <n v="2"/>
    <n v="599.99"/>
    <n v="7.0000000000000007E-2"/>
    <n v="1115.9814000000001"/>
  </r>
  <r>
    <n v="280"/>
    <n v="3"/>
    <n v="13"/>
    <s v="Electra Cruiser 1 (24-Inch) - 2016"/>
    <n v="3"/>
    <x v="0"/>
    <n v="1"/>
    <n v="269.99"/>
    <n v="7.0000000000000007E-2"/>
    <n v="251.0907"/>
  </r>
  <r>
    <n v="281"/>
    <n v="1"/>
    <n v="22"/>
    <s v="Electra Girl's Hawaii 1 (16-inch) - 2015/2016"/>
    <n v="1"/>
    <x v="5"/>
    <n v="1"/>
    <n v="269.99"/>
    <n v="7.0000000000000007E-2"/>
    <n v="251.0907"/>
  </r>
  <r>
    <n v="281"/>
    <n v="2"/>
    <n v="14"/>
    <s v="Electra Girl's Hawaii 1 (16-inch) - 2015/2016"/>
    <n v="3"/>
    <x v="0"/>
    <n v="2"/>
    <n v="269.99"/>
    <n v="0.1"/>
    <n v="485.98200000000003"/>
  </r>
  <r>
    <n v="281"/>
    <n v="3"/>
    <n v="7"/>
    <s v="Trek Slash 8 27.5 - 2016"/>
    <n v="6"/>
    <x v="1"/>
    <n v="2"/>
    <n v="3999.99"/>
    <n v="7.0000000000000007E-2"/>
    <n v="7439.9813999999997"/>
  </r>
  <r>
    <n v="282"/>
    <n v="1"/>
    <n v="20"/>
    <s v="Electra Townie Original 7D EQ - Women's - 2016"/>
    <n v="3"/>
    <x v="0"/>
    <n v="1"/>
    <n v="599.99"/>
    <n v="7.0000000000000007E-2"/>
    <n v="557.99070000000006"/>
  </r>
  <r>
    <n v="282"/>
    <n v="2"/>
    <n v="7"/>
    <s v="Trek Slash 8 27.5 - 2016"/>
    <n v="6"/>
    <x v="1"/>
    <n v="2"/>
    <n v="3999.99"/>
    <n v="7.0000000000000007E-2"/>
    <n v="7439.9813999999997"/>
  </r>
  <r>
    <n v="282"/>
    <n v="3"/>
    <n v="3"/>
    <s v="Surly Wednesday Frameset - 2016"/>
    <n v="6"/>
    <x v="1"/>
    <n v="2"/>
    <n v="999.99"/>
    <n v="0.05"/>
    <n v="1899.981"/>
  </r>
  <r>
    <n v="282"/>
    <n v="4"/>
    <n v="16"/>
    <s v="Electra Townie Original 7D EQ - 2016"/>
    <n v="3"/>
    <x v="0"/>
    <n v="2"/>
    <n v="599.99"/>
    <n v="7.0000000000000007E-2"/>
    <n v="1115.9814000000001"/>
  </r>
  <r>
    <n v="283"/>
    <n v="1"/>
    <n v="9"/>
    <s v="Trek Conduit+ - 2016"/>
    <n v="5"/>
    <x v="4"/>
    <n v="1"/>
    <n v="2999.99"/>
    <n v="0.05"/>
    <n v="2849.9904999999999"/>
  </r>
  <r>
    <n v="283"/>
    <n v="2"/>
    <n v="16"/>
    <s v="Electra Townie Original 7D EQ - 2016"/>
    <n v="3"/>
    <x v="0"/>
    <n v="2"/>
    <n v="599.99"/>
    <n v="0.2"/>
    <n v="959.98400000000004"/>
  </r>
  <r>
    <n v="284"/>
    <n v="1"/>
    <n v="24"/>
    <s v="Electra Townie Original 21D - 2016"/>
    <n v="2"/>
    <x v="3"/>
    <n v="2"/>
    <n v="549.99"/>
    <n v="0.2"/>
    <n v="879.98400000000004"/>
  </r>
  <r>
    <n v="284"/>
    <n v="2"/>
    <n v="20"/>
    <s v="Electra Townie Original 7D EQ - Women's - 2016"/>
    <n v="3"/>
    <x v="0"/>
    <n v="1"/>
    <n v="599.99"/>
    <n v="0.2"/>
    <n v="479.99200000000002"/>
  </r>
  <r>
    <n v="285"/>
    <n v="1"/>
    <n v="16"/>
    <s v="Electra Townie Original 7D EQ - 2016"/>
    <n v="3"/>
    <x v="0"/>
    <n v="2"/>
    <n v="599.99"/>
    <n v="0.05"/>
    <n v="1139.981"/>
  </r>
  <r>
    <n v="285"/>
    <n v="2"/>
    <n v="12"/>
    <s v="Electra Townie Original 21D - 2016"/>
    <n v="3"/>
    <x v="0"/>
    <n v="1"/>
    <n v="549.99"/>
    <n v="0.05"/>
    <n v="522.4905"/>
  </r>
  <r>
    <n v="285"/>
    <n v="3"/>
    <n v="2"/>
    <s v="Ritchey Timberwolf Frameset - 2016"/>
    <n v="6"/>
    <x v="1"/>
    <n v="1"/>
    <n v="749.99"/>
    <n v="0.1"/>
    <n v="674.99099999999999"/>
  </r>
  <r>
    <n v="286"/>
    <n v="1"/>
    <n v="26"/>
    <s v="Electra Townie Original 7D EQ - 2016"/>
    <n v="2"/>
    <x v="3"/>
    <n v="2"/>
    <n v="599.99"/>
    <n v="0.2"/>
    <n v="959.98400000000004"/>
  </r>
  <r>
    <n v="286"/>
    <n v="2"/>
    <n v="21"/>
    <s v="Electra Cruiser 1 (24-Inch) - 2016"/>
    <n v="1"/>
    <x v="5"/>
    <n v="2"/>
    <n v="269.99"/>
    <n v="7.0000000000000007E-2"/>
    <n v="502.1814"/>
  </r>
  <r>
    <n v="286"/>
    <n v="3"/>
    <n v="16"/>
    <s v="Electra Townie Original 7D EQ - 2016"/>
    <n v="3"/>
    <x v="0"/>
    <n v="2"/>
    <n v="599.99"/>
    <n v="0.1"/>
    <n v="1079.982"/>
  </r>
  <r>
    <n v="286"/>
    <n v="4"/>
    <n v="7"/>
    <s v="Trek Slash 8 27.5 - 2016"/>
    <n v="6"/>
    <x v="1"/>
    <n v="1"/>
    <n v="3999.99"/>
    <n v="0.1"/>
    <n v="3599.991"/>
  </r>
  <r>
    <n v="287"/>
    <n v="1"/>
    <n v="5"/>
    <s v="Heller Shagamaw Frame - 2016"/>
    <n v="6"/>
    <x v="1"/>
    <n v="1"/>
    <n v="1320.99"/>
    <n v="0.2"/>
    <n v="1056.7919999999999"/>
  </r>
  <r>
    <n v="287"/>
    <n v="2"/>
    <n v="10"/>
    <s v="Surly Straggler - 2016"/>
    <n v="4"/>
    <x v="2"/>
    <n v="1"/>
    <n v="1549"/>
    <n v="0.05"/>
    <n v="1471.55"/>
  </r>
  <r>
    <n v="287"/>
    <n v="3"/>
    <n v="2"/>
    <s v="Ritchey Timberwolf Frameset - 2016"/>
    <n v="6"/>
    <x v="1"/>
    <n v="1"/>
    <n v="749.99"/>
    <n v="0.05"/>
    <n v="712.4905"/>
  </r>
  <r>
    <n v="287"/>
    <n v="4"/>
    <n v="20"/>
    <s v="Electra Townie Original 7D EQ - Women's - 2016"/>
    <n v="3"/>
    <x v="0"/>
    <n v="1"/>
    <n v="599.99"/>
    <n v="0.05"/>
    <n v="569.9905"/>
  </r>
  <r>
    <n v="288"/>
    <n v="1"/>
    <n v="4"/>
    <s v="Trek Fuel EX 8 29 - 2016"/>
    <n v="6"/>
    <x v="1"/>
    <n v="1"/>
    <n v="2899.99"/>
    <n v="0.2"/>
    <n v="2319.9919999999997"/>
  </r>
  <r>
    <n v="288"/>
    <n v="2"/>
    <n v="10"/>
    <s v="Surly Straggler - 2016"/>
    <n v="4"/>
    <x v="2"/>
    <n v="1"/>
    <n v="1549"/>
    <n v="0.1"/>
    <n v="1394.1"/>
  </r>
  <r>
    <n v="288"/>
    <n v="3"/>
    <n v="7"/>
    <s v="Trek Slash 8 27.5 - 2016"/>
    <n v="6"/>
    <x v="1"/>
    <n v="2"/>
    <n v="3999.99"/>
    <n v="0.05"/>
    <n v="7599.9809999999998"/>
  </r>
  <r>
    <n v="289"/>
    <n v="1"/>
    <n v="13"/>
    <s v="Electra Cruiser 1 (24-Inch) - 2016"/>
    <n v="3"/>
    <x v="0"/>
    <n v="1"/>
    <n v="269.99"/>
    <n v="7.0000000000000007E-2"/>
    <n v="251.0907"/>
  </r>
  <r>
    <n v="289"/>
    <n v="2"/>
    <n v="24"/>
    <s v="Electra Townie Original 21D - 2016"/>
    <n v="2"/>
    <x v="3"/>
    <n v="1"/>
    <n v="549.99"/>
    <n v="0.2"/>
    <n v="439.99200000000002"/>
  </r>
  <r>
    <n v="289"/>
    <n v="3"/>
    <n v="17"/>
    <s v="Pure Cycles Vine 8-Speed - 2016"/>
    <n v="3"/>
    <x v="0"/>
    <n v="1"/>
    <n v="429"/>
    <n v="0.2"/>
    <n v="343.2"/>
  </r>
  <r>
    <n v="290"/>
    <n v="1"/>
    <n v="2"/>
    <s v="Ritchey Timberwolf Frameset - 2016"/>
    <n v="6"/>
    <x v="1"/>
    <n v="2"/>
    <n v="749.99"/>
    <n v="7.0000000000000007E-2"/>
    <n v="1394.9814000000001"/>
  </r>
  <r>
    <n v="290"/>
    <n v="2"/>
    <n v="5"/>
    <s v="Heller Shagamaw Frame - 2016"/>
    <n v="6"/>
    <x v="1"/>
    <n v="2"/>
    <n v="1320.99"/>
    <n v="7.0000000000000007E-2"/>
    <n v="2457.0414000000001"/>
  </r>
  <r>
    <n v="290"/>
    <n v="3"/>
    <n v="21"/>
    <s v="Electra Cruiser 1 (24-Inch) - 2016"/>
    <n v="1"/>
    <x v="5"/>
    <n v="1"/>
    <n v="269.99"/>
    <n v="0.1"/>
    <n v="242.99100000000001"/>
  </r>
  <r>
    <n v="291"/>
    <n v="1"/>
    <n v="6"/>
    <s v="Surly Ice Cream Truck Frameset - 2016"/>
    <n v="6"/>
    <x v="1"/>
    <n v="2"/>
    <n v="469.99"/>
    <n v="0.05"/>
    <n v="892.98099999999999"/>
  </r>
  <r>
    <n v="291"/>
    <n v="2"/>
    <n v="21"/>
    <s v="Electra Cruiser 1 (24-Inch) - 2016"/>
    <n v="1"/>
    <x v="5"/>
    <n v="2"/>
    <n v="269.99"/>
    <n v="7.0000000000000007E-2"/>
    <n v="502.1814"/>
  </r>
  <r>
    <n v="292"/>
    <n v="1"/>
    <n v="18"/>
    <s v="Pure Cycles Western 3-Speed - Women's - 2015/2016"/>
    <n v="3"/>
    <x v="0"/>
    <n v="2"/>
    <n v="449"/>
    <n v="0.1"/>
    <n v="808.2"/>
  </r>
  <r>
    <n v="292"/>
    <n v="2"/>
    <n v="4"/>
    <s v="Trek Fuel EX 8 29 - 2016"/>
    <n v="6"/>
    <x v="1"/>
    <n v="1"/>
    <n v="2899.99"/>
    <n v="7.0000000000000007E-2"/>
    <n v="2696.9906999999998"/>
  </r>
  <r>
    <n v="292"/>
    <n v="3"/>
    <n v="10"/>
    <s v="Surly Straggler - 2016"/>
    <n v="4"/>
    <x v="2"/>
    <n v="2"/>
    <n v="1549"/>
    <n v="0.05"/>
    <n v="2943.1"/>
  </r>
  <r>
    <n v="293"/>
    <n v="1"/>
    <n v="19"/>
    <s v="Pure Cycles William 3-Speed - 2016"/>
    <n v="3"/>
    <x v="0"/>
    <n v="2"/>
    <n v="449"/>
    <n v="0.05"/>
    <n v="853.1"/>
  </r>
  <r>
    <n v="293"/>
    <n v="2"/>
    <n v="6"/>
    <s v="Surly Ice Cream Truck Frameset - 2016"/>
    <n v="6"/>
    <x v="1"/>
    <n v="1"/>
    <n v="469.99"/>
    <n v="0.2"/>
    <n v="375.99200000000002"/>
  </r>
  <r>
    <n v="294"/>
    <n v="1"/>
    <n v="18"/>
    <s v="Pure Cycles Western 3-Speed - Women's - 2015/2016"/>
    <n v="3"/>
    <x v="0"/>
    <n v="1"/>
    <n v="449"/>
    <n v="0.2"/>
    <n v="359.2"/>
  </r>
  <r>
    <n v="294"/>
    <n v="2"/>
    <n v="14"/>
    <s v="Electra Girl's Hawaii 1 (16-inch) - 2015/2016"/>
    <n v="3"/>
    <x v="0"/>
    <n v="1"/>
    <n v="269.99"/>
    <n v="0.2"/>
    <n v="215.99200000000002"/>
  </r>
  <r>
    <n v="294"/>
    <n v="3"/>
    <n v="7"/>
    <s v="Trek Slash 8 27.5 - 2016"/>
    <n v="6"/>
    <x v="1"/>
    <n v="2"/>
    <n v="3999.99"/>
    <n v="0.05"/>
    <n v="7599.9809999999998"/>
  </r>
  <r>
    <n v="294"/>
    <n v="4"/>
    <n v="25"/>
    <s v="Electra Townie Original 7D - 2015/2016"/>
    <n v="2"/>
    <x v="3"/>
    <n v="2"/>
    <n v="499.99"/>
    <n v="0.2"/>
    <n v="799.98400000000004"/>
  </r>
  <r>
    <n v="295"/>
    <n v="1"/>
    <n v="22"/>
    <s v="Electra Girl's Hawaii 1 (16-inch) - 2015/2016"/>
    <n v="1"/>
    <x v="5"/>
    <n v="2"/>
    <n v="269.99"/>
    <n v="7.0000000000000007E-2"/>
    <n v="502.1814"/>
  </r>
  <r>
    <n v="296"/>
    <n v="1"/>
    <n v="25"/>
    <s v="Electra Townie Original 7D - 2015/2016"/>
    <n v="2"/>
    <x v="3"/>
    <n v="2"/>
    <n v="499.99"/>
    <n v="7.0000000000000007E-2"/>
    <n v="929.98140000000001"/>
  </r>
  <r>
    <n v="296"/>
    <n v="2"/>
    <n v="12"/>
    <s v="Electra Townie Original 21D - 2016"/>
    <n v="3"/>
    <x v="0"/>
    <n v="2"/>
    <n v="549.99"/>
    <n v="0.1"/>
    <n v="989.98199999999997"/>
  </r>
  <r>
    <n v="296"/>
    <n v="3"/>
    <n v="11"/>
    <s v="Surly Straggler 650b - 2016"/>
    <n v="4"/>
    <x v="2"/>
    <n v="2"/>
    <n v="1680.99"/>
    <n v="0.1"/>
    <n v="3025.7820000000002"/>
  </r>
  <r>
    <n v="296"/>
    <n v="4"/>
    <n v="9"/>
    <s v="Trek Conduit+ - 2016"/>
    <n v="5"/>
    <x v="4"/>
    <n v="1"/>
    <n v="2999.99"/>
    <n v="0.2"/>
    <n v="2399.9919999999997"/>
  </r>
  <r>
    <n v="297"/>
    <n v="1"/>
    <n v="4"/>
    <s v="Trek Fuel EX 8 29 - 2016"/>
    <n v="6"/>
    <x v="1"/>
    <n v="2"/>
    <n v="2899.99"/>
    <n v="0.2"/>
    <n v="4639.9839999999995"/>
  </r>
  <r>
    <n v="298"/>
    <n v="1"/>
    <n v="23"/>
    <s v="Electra Girl's Hawaii 1 (20-inch) - 2015/2016"/>
    <n v="1"/>
    <x v="5"/>
    <n v="1"/>
    <n v="299.99"/>
    <n v="0.2"/>
    <n v="239.99200000000002"/>
  </r>
  <r>
    <n v="298"/>
    <n v="2"/>
    <n v="6"/>
    <s v="Surly Ice Cream Truck Frameset - 2016"/>
    <n v="6"/>
    <x v="1"/>
    <n v="2"/>
    <n v="469.99"/>
    <n v="0.05"/>
    <n v="892.98099999999999"/>
  </r>
  <r>
    <n v="298"/>
    <n v="3"/>
    <n v="22"/>
    <s v="Electra Girl's Hawaii 1 (16-inch) - 2015/2016"/>
    <n v="1"/>
    <x v="5"/>
    <n v="1"/>
    <n v="269.99"/>
    <n v="0.2"/>
    <n v="215.99200000000002"/>
  </r>
  <r>
    <n v="298"/>
    <n v="4"/>
    <n v="9"/>
    <s v="Trek Conduit+ - 2016"/>
    <n v="5"/>
    <x v="4"/>
    <n v="1"/>
    <n v="2999.99"/>
    <n v="7.0000000000000007E-2"/>
    <n v="2789.9906999999998"/>
  </r>
  <r>
    <n v="298"/>
    <n v="5"/>
    <n v="14"/>
    <s v="Electra Girl's Hawaii 1 (16-inch) - 2015/2016"/>
    <n v="3"/>
    <x v="0"/>
    <n v="2"/>
    <n v="269.99"/>
    <n v="0.1"/>
    <n v="485.98200000000003"/>
  </r>
  <r>
    <n v="299"/>
    <n v="1"/>
    <n v="11"/>
    <s v="Surly Straggler 650b - 2016"/>
    <n v="4"/>
    <x v="2"/>
    <n v="2"/>
    <n v="1680.99"/>
    <n v="0.05"/>
    <n v="3193.8809999999999"/>
  </r>
  <r>
    <n v="299"/>
    <n v="2"/>
    <n v="10"/>
    <s v="Surly Straggler - 2016"/>
    <n v="4"/>
    <x v="2"/>
    <n v="2"/>
    <n v="1549"/>
    <n v="0.2"/>
    <n v="2478.4"/>
  </r>
  <r>
    <n v="300"/>
    <n v="1"/>
    <n v="16"/>
    <s v="Electra Townie Original 7D EQ - 2016"/>
    <n v="3"/>
    <x v="0"/>
    <n v="2"/>
    <n v="599.99"/>
    <n v="0.1"/>
    <n v="1079.982"/>
  </r>
  <r>
    <n v="300"/>
    <n v="2"/>
    <n v="9"/>
    <s v="Trek Conduit+ - 2016"/>
    <n v="5"/>
    <x v="4"/>
    <n v="2"/>
    <n v="2999.99"/>
    <n v="0.1"/>
    <n v="5399.982"/>
  </r>
  <r>
    <n v="300"/>
    <n v="3"/>
    <n v="10"/>
    <s v="Surly Straggler - 2016"/>
    <n v="4"/>
    <x v="2"/>
    <n v="1"/>
    <n v="1549"/>
    <n v="0.1"/>
    <n v="1394.1"/>
  </r>
  <r>
    <n v="300"/>
    <n v="4"/>
    <n v="11"/>
    <s v="Surly Straggler 650b - 2016"/>
    <n v="4"/>
    <x v="2"/>
    <n v="2"/>
    <n v="1680.99"/>
    <n v="0.2"/>
    <n v="2689.5839999999998"/>
  </r>
  <r>
    <n v="301"/>
    <n v="1"/>
    <n v="6"/>
    <s v="Surly Ice Cream Truck Frameset - 2016"/>
    <n v="6"/>
    <x v="1"/>
    <n v="1"/>
    <n v="469.99"/>
    <n v="0.05"/>
    <n v="446.4905"/>
  </r>
  <r>
    <n v="301"/>
    <n v="2"/>
    <n v="22"/>
    <s v="Electra Girl's Hawaii 1 (16-inch) - 2015/2016"/>
    <n v="1"/>
    <x v="5"/>
    <n v="1"/>
    <n v="269.99"/>
    <n v="0.1"/>
    <n v="242.99100000000001"/>
  </r>
  <r>
    <n v="302"/>
    <n v="1"/>
    <n v="24"/>
    <s v="Electra Townie Original 21D - 2016"/>
    <n v="2"/>
    <x v="3"/>
    <n v="2"/>
    <n v="549.99"/>
    <n v="0.2"/>
    <n v="879.98400000000004"/>
  </r>
  <r>
    <n v="302"/>
    <n v="2"/>
    <n v="18"/>
    <s v="Pure Cycles Western 3-Speed - Women's - 2015/2016"/>
    <n v="3"/>
    <x v="0"/>
    <n v="2"/>
    <n v="449"/>
    <n v="7.0000000000000007E-2"/>
    <n v="835.14"/>
  </r>
  <r>
    <n v="302"/>
    <n v="3"/>
    <n v="2"/>
    <s v="Ritchey Timberwolf Frameset - 2016"/>
    <n v="6"/>
    <x v="1"/>
    <n v="2"/>
    <n v="749.99"/>
    <n v="0.2"/>
    <n v="1199.9839999999999"/>
  </r>
  <r>
    <n v="303"/>
    <n v="1"/>
    <n v="8"/>
    <s v="Trek Remedy 29 Carbon Frameset - 2016"/>
    <n v="6"/>
    <x v="1"/>
    <n v="2"/>
    <n v="1799.99"/>
    <n v="0.05"/>
    <n v="3419.9809999999998"/>
  </r>
  <r>
    <n v="303"/>
    <n v="2"/>
    <n v="24"/>
    <s v="Electra Townie Original 21D - 2016"/>
    <n v="2"/>
    <x v="3"/>
    <n v="2"/>
    <n v="549.99"/>
    <n v="0.05"/>
    <n v="1044.981"/>
  </r>
  <r>
    <n v="304"/>
    <n v="1"/>
    <n v="10"/>
    <s v="Surly Straggler - 2016"/>
    <n v="4"/>
    <x v="2"/>
    <n v="1"/>
    <n v="1549"/>
    <n v="0.05"/>
    <n v="1471.55"/>
  </r>
  <r>
    <n v="304"/>
    <n v="2"/>
    <n v="7"/>
    <s v="Trek Slash 8 27.5 - 2016"/>
    <n v="6"/>
    <x v="1"/>
    <n v="2"/>
    <n v="3999.99"/>
    <n v="0.1"/>
    <n v="7199.982"/>
  </r>
  <r>
    <n v="304"/>
    <n v="3"/>
    <n v="20"/>
    <s v="Electra Townie Original 7D EQ - Women's - 2016"/>
    <n v="3"/>
    <x v="0"/>
    <n v="1"/>
    <n v="599.99"/>
    <n v="0.1"/>
    <n v="539.99099999999999"/>
  </r>
  <r>
    <n v="305"/>
    <n v="1"/>
    <n v="10"/>
    <s v="Surly Straggler - 2016"/>
    <n v="4"/>
    <x v="2"/>
    <n v="1"/>
    <n v="1549"/>
    <n v="7.0000000000000007E-2"/>
    <n v="1440.57"/>
  </r>
  <r>
    <n v="305"/>
    <n v="2"/>
    <n v="6"/>
    <s v="Surly Ice Cream Truck Frameset - 2016"/>
    <n v="6"/>
    <x v="1"/>
    <n v="1"/>
    <n v="469.99"/>
    <n v="0.1"/>
    <n v="422.99099999999999"/>
  </r>
  <r>
    <n v="305"/>
    <n v="3"/>
    <n v="3"/>
    <s v="Surly Wednesday Frameset - 2016"/>
    <n v="6"/>
    <x v="1"/>
    <n v="2"/>
    <n v="999.99"/>
    <n v="0.2"/>
    <n v="1599.9839999999999"/>
  </r>
  <r>
    <n v="306"/>
    <n v="1"/>
    <n v="10"/>
    <s v="Surly Straggler - 2016"/>
    <n v="4"/>
    <x v="2"/>
    <n v="1"/>
    <n v="1549"/>
    <n v="0.2"/>
    <n v="1239.2"/>
  </r>
  <r>
    <n v="306"/>
    <n v="2"/>
    <n v="22"/>
    <s v="Electra Girl's Hawaii 1 (16-inch) - 2015/2016"/>
    <n v="1"/>
    <x v="5"/>
    <n v="1"/>
    <n v="269.99"/>
    <n v="7.0000000000000007E-2"/>
    <n v="251.0907"/>
  </r>
  <r>
    <n v="307"/>
    <n v="1"/>
    <n v="15"/>
    <s v="Electra Moto 1 - 2016"/>
    <n v="3"/>
    <x v="0"/>
    <n v="2"/>
    <n v="529.99"/>
    <n v="0.05"/>
    <n v="1006.981"/>
  </r>
  <r>
    <n v="308"/>
    <n v="1"/>
    <n v="7"/>
    <s v="Trek Slash 8 27.5 - 2016"/>
    <n v="6"/>
    <x v="1"/>
    <n v="1"/>
    <n v="3999.99"/>
    <n v="0.1"/>
    <n v="3599.991"/>
  </r>
  <r>
    <n v="308"/>
    <n v="2"/>
    <n v="18"/>
    <s v="Pure Cycles Western 3-Speed - Women's - 2015/2016"/>
    <n v="3"/>
    <x v="0"/>
    <n v="2"/>
    <n v="449"/>
    <n v="0.2"/>
    <n v="718.4"/>
  </r>
  <r>
    <n v="308"/>
    <n v="3"/>
    <n v="14"/>
    <s v="Electra Girl's Hawaii 1 (16-inch) - 2015/2016"/>
    <n v="3"/>
    <x v="0"/>
    <n v="1"/>
    <n v="269.99"/>
    <n v="0.2"/>
    <n v="215.99200000000002"/>
  </r>
  <r>
    <n v="309"/>
    <n v="1"/>
    <n v="3"/>
    <s v="Surly Wednesday Frameset - 2016"/>
    <n v="6"/>
    <x v="1"/>
    <n v="1"/>
    <n v="999.99"/>
    <n v="0.05"/>
    <n v="949.9905"/>
  </r>
  <r>
    <n v="309"/>
    <n v="2"/>
    <n v="12"/>
    <s v="Electra Townie Original 21D - 2016"/>
    <n v="3"/>
    <x v="0"/>
    <n v="1"/>
    <n v="549.99"/>
    <n v="0.05"/>
    <n v="522.4905"/>
  </r>
  <r>
    <n v="310"/>
    <n v="1"/>
    <n v="7"/>
    <s v="Trek Slash 8 27.5 - 2016"/>
    <n v="6"/>
    <x v="1"/>
    <n v="2"/>
    <n v="3999.99"/>
    <n v="7.0000000000000007E-2"/>
    <n v="7439.9813999999997"/>
  </r>
  <r>
    <n v="310"/>
    <n v="2"/>
    <n v="14"/>
    <s v="Electra Girl's Hawaii 1 (16-inch) - 2015/2016"/>
    <n v="3"/>
    <x v="0"/>
    <n v="2"/>
    <n v="269.99"/>
    <n v="0.1"/>
    <n v="485.98200000000003"/>
  </r>
  <r>
    <n v="310"/>
    <n v="3"/>
    <n v="5"/>
    <s v="Heller Shagamaw Frame - 2016"/>
    <n v="6"/>
    <x v="1"/>
    <n v="2"/>
    <n v="1320.99"/>
    <n v="0.2"/>
    <n v="2113.5839999999998"/>
  </r>
  <r>
    <n v="310"/>
    <n v="4"/>
    <n v="8"/>
    <s v="Trek Remedy 29 Carbon Frameset - 2016"/>
    <n v="6"/>
    <x v="1"/>
    <n v="1"/>
    <n v="1799.99"/>
    <n v="0.2"/>
    <n v="1439.992"/>
  </r>
  <r>
    <n v="311"/>
    <n v="1"/>
    <n v="17"/>
    <s v="Pure Cycles Vine 8-Speed - 2016"/>
    <n v="3"/>
    <x v="0"/>
    <n v="2"/>
    <n v="429"/>
    <n v="0.05"/>
    <n v="815.1"/>
  </r>
  <r>
    <n v="311"/>
    <n v="2"/>
    <n v="5"/>
    <s v="Heller Shagamaw Frame - 2016"/>
    <n v="6"/>
    <x v="1"/>
    <n v="2"/>
    <n v="1320.99"/>
    <n v="0.2"/>
    <n v="2113.5839999999998"/>
  </r>
  <r>
    <n v="312"/>
    <n v="1"/>
    <n v="24"/>
    <s v="Electra Townie Original 21D - 2016"/>
    <n v="2"/>
    <x v="3"/>
    <n v="2"/>
    <n v="549.99"/>
    <n v="0.05"/>
    <n v="1044.981"/>
  </r>
  <r>
    <n v="312"/>
    <n v="2"/>
    <n v="14"/>
    <s v="Electra Girl's Hawaii 1 (16-inch) - 2015/2016"/>
    <n v="3"/>
    <x v="0"/>
    <n v="2"/>
    <n v="269.99"/>
    <n v="7.0000000000000007E-2"/>
    <n v="502.1814"/>
  </r>
  <r>
    <n v="312"/>
    <n v="3"/>
    <n v="16"/>
    <s v="Electra Townie Original 7D EQ - 2016"/>
    <n v="3"/>
    <x v="0"/>
    <n v="2"/>
    <n v="599.99"/>
    <n v="0.05"/>
    <n v="1139.981"/>
  </r>
  <r>
    <n v="313"/>
    <n v="1"/>
    <n v="4"/>
    <s v="Trek Fuel EX 8 29 - 2016"/>
    <n v="6"/>
    <x v="1"/>
    <n v="1"/>
    <n v="2899.99"/>
    <n v="7.0000000000000007E-2"/>
    <n v="2696.9906999999998"/>
  </r>
  <r>
    <n v="313"/>
    <n v="2"/>
    <n v="10"/>
    <s v="Surly Straggler - 2016"/>
    <n v="4"/>
    <x v="2"/>
    <n v="2"/>
    <n v="1549"/>
    <n v="7.0000000000000007E-2"/>
    <n v="2881.14"/>
  </r>
  <r>
    <n v="314"/>
    <n v="1"/>
    <n v="5"/>
    <s v="Heller Shagamaw Frame - 2016"/>
    <n v="6"/>
    <x v="1"/>
    <n v="1"/>
    <n v="1320.99"/>
    <n v="7.0000000000000007E-2"/>
    <n v="1228.5207"/>
  </r>
  <r>
    <n v="314"/>
    <n v="2"/>
    <n v="9"/>
    <s v="Trek Conduit+ - 2016"/>
    <n v="5"/>
    <x v="4"/>
    <n v="1"/>
    <n v="2999.99"/>
    <n v="0.05"/>
    <n v="2849.9904999999999"/>
  </r>
  <r>
    <n v="314"/>
    <n v="3"/>
    <n v="22"/>
    <s v="Electra Girl's Hawaii 1 (16-inch) - 2015/2016"/>
    <n v="1"/>
    <x v="5"/>
    <n v="2"/>
    <n v="269.99"/>
    <n v="0.2"/>
    <n v="431.98400000000004"/>
  </r>
  <r>
    <n v="314"/>
    <n v="4"/>
    <n v="7"/>
    <s v="Trek Slash 8 27.5 - 2016"/>
    <n v="6"/>
    <x v="1"/>
    <n v="2"/>
    <n v="3999.99"/>
    <n v="7.0000000000000007E-2"/>
    <n v="7439.9813999999997"/>
  </r>
  <r>
    <n v="315"/>
    <n v="1"/>
    <n v="11"/>
    <s v="Surly Straggler 650b - 2016"/>
    <n v="4"/>
    <x v="2"/>
    <n v="1"/>
    <n v="1680.99"/>
    <n v="0.2"/>
    <n v="1344.7919999999999"/>
  </r>
  <r>
    <n v="315"/>
    <n v="2"/>
    <n v="9"/>
    <s v="Trek Conduit+ - 2016"/>
    <n v="5"/>
    <x v="4"/>
    <n v="1"/>
    <n v="2999.99"/>
    <n v="0.1"/>
    <n v="2699.991"/>
  </r>
  <r>
    <n v="316"/>
    <n v="1"/>
    <n v="2"/>
    <s v="Ritchey Timberwolf Frameset - 2016"/>
    <n v="6"/>
    <x v="1"/>
    <n v="2"/>
    <n v="749.99"/>
    <n v="0.2"/>
    <n v="1199.9839999999999"/>
  </r>
  <r>
    <n v="316"/>
    <n v="2"/>
    <n v="16"/>
    <s v="Electra Townie Original 7D EQ - 2016"/>
    <n v="3"/>
    <x v="0"/>
    <n v="2"/>
    <n v="599.99"/>
    <n v="0.1"/>
    <n v="1079.982"/>
  </r>
  <r>
    <n v="316"/>
    <n v="3"/>
    <n v="20"/>
    <s v="Electra Townie Original 7D EQ - Women's - 2016"/>
    <n v="3"/>
    <x v="0"/>
    <n v="1"/>
    <n v="599.99"/>
    <n v="0.1"/>
    <n v="539.99099999999999"/>
  </r>
  <r>
    <n v="316"/>
    <n v="4"/>
    <n v="19"/>
    <s v="Pure Cycles William 3-Speed - 2016"/>
    <n v="3"/>
    <x v="0"/>
    <n v="1"/>
    <n v="449"/>
    <n v="0.2"/>
    <n v="359.2"/>
  </r>
  <r>
    <n v="316"/>
    <n v="5"/>
    <n v="17"/>
    <s v="Pure Cycles Vine 8-Speed - 2016"/>
    <n v="3"/>
    <x v="0"/>
    <n v="1"/>
    <n v="429"/>
    <n v="0.05"/>
    <n v="407.55"/>
  </r>
  <r>
    <n v="317"/>
    <n v="1"/>
    <n v="10"/>
    <s v="Surly Straggler - 2016"/>
    <n v="4"/>
    <x v="2"/>
    <n v="1"/>
    <n v="1549"/>
    <n v="0.2"/>
    <n v="1239.2"/>
  </r>
  <r>
    <n v="317"/>
    <n v="2"/>
    <n v="22"/>
    <s v="Electra Girl's Hawaii 1 (16-inch) - 2015/2016"/>
    <n v="1"/>
    <x v="5"/>
    <n v="1"/>
    <n v="269.99"/>
    <n v="0.05"/>
    <n v="256.4905"/>
  </r>
  <r>
    <n v="317"/>
    <n v="3"/>
    <n v="15"/>
    <s v="Electra Moto 1 - 2016"/>
    <n v="3"/>
    <x v="0"/>
    <n v="1"/>
    <n v="529.99"/>
    <n v="0.05"/>
    <n v="503.4905"/>
  </r>
  <r>
    <n v="317"/>
    <n v="4"/>
    <n v="13"/>
    <s v="Electra Cruiser 1 (24-Inch) - 2016"/>
    <n v="3"/>
    <x v="0"/>
    <n v="2"/>
    <n v="269.99"/>
    <n v="0.2"/>
    <n v="431.98400000000004"/>
  </r>
  <r>
    <n v="318"/>
    <n v="1"/>
    <n v="13"/>
    <s v="Electra Cruiser 1 (24-Inch) - 2016"/>
    <n v="3"/>
    <x v="0"/>
    <n v="2"/>
    <n v="269.99"/>
    <n v="0.1"/>
    <n v="485.98200000000003"/>
  </r>
  <r>
    <n v="318"/>
    <n v="2"/>
    <n v="25"/>
    <s v="Electra Townie Original 7D - 2015/2016"/>
    <n v="2"/>
    <x v="3"/>
    <n v="2"/>
    <n v="499.99"/>
    <n v="0.2"/>
    <n v="799.98400000000004"/>
  </r>
  <r>
    <n v="318"/>
    <n v="3"/>
    <n v="9"/>
    <s v="Trek Conduit+ - 2016"/>
    <n v="5"/>
    <x v="4"/>
    <n v="1"/>
    <n v="2999.99"/>
    <n v="0.05"/>
    <n v="2849.9904999999999"/>
  </r>
  <r>
    <n v="319"/>
    <n v="1"/>
    <n v="11"/>
    <s v="Surly Straggler 650b - 2016"/>
    <n v="4"/>
    <x v="2"/>
    <n v="1"/>
    <n v="1680.99"/>
    <n v="7.0000000000000007E-2"/>
    <n v="1563.3207"/>
  </r>
  <r>
    <n v="319"/>
    <n v="2"/>
    <n v="21"/>
    <s v="Electra Cruiser 1 (24-Inch) - 2016"/>
    <n v="1"/>
    <x v="5"/>
    <n v="1"/>
    <n v="269.99"/>
    <n v="0.2"/>
    <n v="215.99200000000002"/>
  </r>
  <r>
    <n v="319"/>
    <n v="3"/>
    <n v="15"/>
    <s v="Electra Moto 1 - 2016"/>
    <n v="3"/>
    <x v="0"/>
    <n v="2"/>
    <n v="529.99"/>
    <n v="0.1"/>
    <n v="953.98199999999997"/>
  </r>
  <r>
    <n v="319"/>
    <n v="4"/>
    <n v="23"/>
    <s v="Electra Girl's Hawaii 1 (20-inch) - 2015/2016"/>
    <n v="1"/>
    <x v="5"/>
    <n v="1"/>
    <n v="299.99"/>
    <n v="0.05"/>
    <n v="284.9905"/>
  </r>
  <r>
    <n v="320"/>
    <n v="1"/>
    <n v="2"/>
    <s v="Ritchey Timberwolf Frameset - 2016"/>
    <n v="6"/>
    <x v="1"/>
    <n v="1"/>
    <n v="749.99"/>
    <n v="0.1"/>
    <n v="674.99099999999999"/>
  </r>
  <r>
    <n v="321"/>
    <n v="1"/>
    <n v="4"/>
    <s v="Trek Fuel EX 8 29 - 2016"/>
    <n v="6"/>
    <x v="1"/>
    <n v="2"/>
    <n v="2899.99"/>
    <n v="0.2"/>
    <n v="4639.9839999999995"/>
  </r>
  <r>
    <n v="321"/>
    <n v="2"/>
    <n v="12"/>
    <s v="Electra Townie Original 21D - 2016"/>
    <n v="3"/>
    <x v="0"/>
    <n v="2"/>
    <n v="549.99"/>
    <n v="0.2"/>
    <n v="879.98400000000004"/>
  </r>
  <r>
    <n v="321"/>
    <n v="3"/>
    <n v="26"/>
    <s v="Electra Townie Original 7D EQ - 2016"/>
    <n v="2"/>
    <x v="3"/>
    <n v="1"/>
    <n v="599.99"/>
    <n v="0.2"/>
    <n v="479.99200000000002"/>
  </r>
  <r>
    <n v="321"/>
    <n v="4"/>
    <n v="23"/>
    <s v="Electra Girl's Hawaii 1 (20-inch) - 2015/2016"/>
    <n v="1"/>
    <x v="5"/>
    <n v="2"/>
    <n v="299.99"/>
    <n v="0.2"/>
    <n v="479.98400000000004"/>
  </r>
  <r>
    <n v="322"/>
    <n v="1"/>
    <n v="13"/>
    <s v="Electra Cruiser 1 (24-Inch) - 2016"/>
    <n v="3"/>
    <x v="0"/>
    <n v="2"/>
    <n v="269.99"/>
    <n v="0.2"/>
    <n v="431.98400000000004"/>
  </r>
  <r>
    <n v="322"/>
    <n v="2"/>
    <n v="21"/>
    <s v="Electra Cruiser 1 (24-Inch) - 2016"/>
    <n v="1"/>
    <x v="5"/>
    <n v="1"/>
    <n v="269.99"/>
    <n v="7.0000000000000007E-2"/>
    <n v="251.0907"/>
  </r>
  <r>
    <n v="323"/>
    <n v="1"/>
    <n v="13"/>
    <s v="Electra Cruiser 1 (24-Inch) - 2016"/>
    <n v="3"/>
    <x v="0"/>
    <n v="2"/>
    <n v="269.99"/>
    <n v="7.0000000000000007E-2"/>
    <n v="502.1814"/>
  </r>
  <r>
    <n v="323"/>
    <n v="2"/>
    <n v="26"/>
    <s v="Electra Townie Original 7D EQ - 2016"/>
    <n v="2"/>
    <x v="3"/>
    <n v="2"/>
    <n v="599.99"/>
    <n v="0.1"/>
    <n v="1079.982"/>
  </r>
  <r>
    <n v="324"/>
    <n v="1"/>
    <n v="2"/>
    <s v="Ritchey Timberwolf Frameset - 2016"/>
    <n v="6"/>
    <x v="1"/>
    <n v="2"/>
    <n v="749.99"/>
    <n v="0.1"/>
    <n v="1349.982"/>
  </r>
  <r>
    <n v="324"/>
    <n v="2"/>
    <n v="17"/>
    <s v="Pure Cycles Vine 8-Speed - 2016"/>
    <n v="3"/>
    <x v="0"/>
    <n v="1"/>
    <n v="429"/>
    <n v="0.2"/>
    <n v="343.2"/>
  </r>
  <r>
    <n v="324"/>
    <n v="3"/>
    <n v="22"/>
    <s v="Electra Girl's Hawaii 1 (16-inch) - 2015/2016"/>
    <n v="1"/>
    <x v="5"/>
    <n v="2"/>
    <n v="269.99"/>
    <n v="0.2"/>
    <n v="431.98400000000004"/>
  </r>
  <r>
    <n v="324"/>
    <n v="4"/>
    <n v="19"/>
    <s v="Pure Cycles William 3-Speed - 2016"/>
    <n v="3"/>
    <x v="0"/>
    <n v="1"/>
    <n v="449"/>
    <n v="0.05"/>
    <n v="426.55"/>
  </r>
  <r>
    <n v="324"/>
    <n v="5"/>
    <n v="12"/>
    <s v="Electra Townie Original 21D - 2016"/>
    <n v="3"/>
    <x v="0"/>
    <n v="1"/>
    <n v="549.99"/>
    <n v="0.05"/>
    <n v="522.4905"/>
  </r>
  <r>
    <n v="325"/>
    <n v="1"/>
    <n v="7"/>
    <s v="Trek Slash 8 27.5 - 2016"/>
    <n v="6"/>
    <x v="1"/>
    <n v="1"/>
    <n v="3999.99"/>
    <n v="0.05"/>
    <n v="3799.9904999999999"/>
  </r>
  <r>
    <n v="325"/>
    <n v="2"/>
    <n v="12"/>
    <s v="Electra Townie Original 21D - 2016"/>
    <n v="3"/>
    <x v="0"/>
    <n v="1"/>
    <n v="549.99"/>
    <n v="0.2"/>
    <n v="439.99200000000002"/>
  </r>
  <r>
    <n v="325"/>
    <n v="3"/>
    <n v="6"/>
    <s v="Surly Ice Cream Truck Frameset - 2016"/>
    <n v="6"/>
    <x v="1"/>
    <n v="2"/>
    <n v="469.99"/>
    <n v="0.2"/>
    <n v="751.98400000000004"/>
  </r>
  <r>
    <n v="326"/>
    <n v="1"/>
    <n v="12"/>
    <s v="Electra Townie Original 21D - 2016"/>
    <n v="3"/>
    <x v="0"/>
    <n v="1"/>
    <n v="549.99"/>
    <n v="0.1"/>
    <n v="494.99099999999999"/>
  </r>
  <r>
    <n v="326"/>
    <n v="2"/>
    <n v="23"/>
    <s v="Electra Girl's Hawaii 1 (20-inch) - 2015/2016"/>
    <n v="1"/>
    <x v="5"/>
    <n v="1"/>
    <n v="299.99"/>
    <n v="7.0000000000000007E-2"/>
    <n v="278.9907"/>
  </r>
  <r>
    <n v="327"/>
    <n v="1"/>
    <n v="12"/>
    <s v="Electra Townie Original 21D - 2016"/>
    <n v="3"/>
    <x v="0"/>
    <n v="2"/>
    <n v="549.99"/>
    <n v="7.0000000000000007E-2"/>
    <n v="1022.9814"/>
  </r>
  <r>
    <n v="327"/>
    <n v="2"/>
    <n v="13"/>
    <s v="Electra Cruiser 1 (24-Inch) - 2016"/>
    <n v="3"/>
    <x v="0"/>
    <n v="1"/>
    <n v="269.99"/>
    <n v="7.0000000000000007E-2"/>
    <n v="251.0907"/>
  </r>
  <r>
    <n v="327"/>
    <n v="3"/>
    <n v="4"/>
    <s v="Trek Fuel EX 8 29 - 2016"/>
    <n v="6"/>
    <x v="1"/>
    <n v="1"/>
    <n v="2899.99"/>
    <n v="0.05"/>
    <n v="2754.9904999999999"/>
  </r>
  <r>
    <n v="328"/>
    <n v="1"/>
    <n v="6"/>
    <s v="Surly Ice Cream Truck Frameset - 2016"/>
    <n v="6"/>
    <x v="1"/>
    <n v="2"/>
    <n v="469.99"/>
    <n v="0.1"/>
    <n v="845.98199999999997"/>
  </r>
  <r>
    <n v="329"/>
    <n v="1"/>
    <n v="14"/>
    <s v="Electra Girl's Hawaii 1 (16-inch) - 2015/2016"/>
    <n v="3"/>
    <x v="0"/>
    <n v="2"/>
    <n v="269.99"/>
    <n v="7.0000000000000007E-2"/>
    <n v="502.1814"/>
  </r>
  <r>
    <n v="329"/>
    <n v="2"/>
    <n v="8"/>
    <s v="Trek Remedy 29 Carbon Frameset - 2016"/>
    <n v="6"/>
    <x v="1"/>
    <n v="2"/>
    <n v="1799.99"/>
    <n v="0.05"/>
    <n v="3419.9809999999998"/>
  </r>
  <r>
    <n v="329"/>
    <n v="3"/>
    <n v="23"/>
    <s v="Electra Girl's Hawaii 1 (20-inch) - 2015/2016"/>
    <n v="1"/>
    <x v="5"/>
    <n v="1"/>
    <n v="299.99"/>
    <n v="0.2"/>
    <n v="239.99200000000002"/>
  </r>
  <r>
    <n v="329"/>
    <n v="4"/>
    <n v="17"/>
    <s v="Pure Cycles Vine 8-Speed - 2016"/>
    <n v="3"/>
    <x v="0"/>
    <n v="1"/>
    <n v="429"/>
    <n v="7.0000000000000007E-2"/>
    <n v="398.97"/>
  </r>
  <r>
    <n v="329"/>
    <n v="5"/>
    <n v="26"/>
    <s v="Electra Townie Original 7D EQ - 2016"/>
    <n v="2"/>
    <x v="3"/>
    <n v="2"/>
    <n v="599.99"/>
    <n v="0.05"/>
    <n v="1139.981"/>
  </r>
  <r>
    <n v="330"/>
    <n v="1"/>
    <n v="21"/>
    <s v="Electra Cruiser 1 (24-Inch) - 2016"/>
    <n v="1"/>
    <x v="5"/>
    <n v="2"/>
    <n v="269.99"/>
    <n v="0.05"/>
    <n v="512.98099999999999"/>
  </r>
  <r>
    <n v="331"/>
    <n v="1"/>
    <n v="17"/>
    <s v="Pure Cycles Vine 8-Speed - 2016"/>
    <n v="3"/>
    <x v="0"/>
    <n v="2"/>
    <n v="429"/>
    <n v="0.1"/>
    <n v="772.2"/>
  </r>
  <r>
    <n v="332"/>
    <n v="1"/>
    <n v="18"/>
    <s v="Pure Cycles Western 3-Speed - Women's - 2015/2016"/>
    <n v="3"/>
    <x v="0"/>
    <n v="2"/>
    <n v="449"/>
    <n v="0.05"/>
    <n v="853.1"/>
  </r>
  <r>
    <n v="333"/>
    <n v="1"/>
    <n v="18"/>
    <s v="Pure Cycles Western 3-Speed - Women's - 2015/2016"/>
    <n v="3"/>
    <x v="0"/>
    <n v="2"/>
    <n v="449"/>
    <n v="7.0000000000000007E-2"/>
    <n v="835.14"/>
  </r>
  <r>
    <n v="333"/>
    <n v="2"/>
    <n v="8"/>
    <s v="Trek Remedy 29 Carbon Frameset - 2016"/>
    <n v="6"/>
    <x v="1"/>
    <n v="2"/>
    <n v="1799.99"/>
    <n v="0.05"/>
    <n v="3419.9809999999998"/>
  </r>
  <r>
    <n v="333"/>
    <n v="3"/>
    <n v="3"/>
    <s v="Surly Wednesday Frameset - 2016"/>
    <n v="6"/>
    <x v="1"/>
    <n v="1"/>
    <n v="999.99"/>
    <n v="0.2"/>
    <n v="799.99199999999996"/>
  </r>
  <r>
    <n v="334"/>
    <n v="1"/>
    <n v="16"/>
    <s v="Electra Townie Original 7D EQ - 2016"/>
    <n v="3"/>
    <x v="0"/>
    <n v="2"/>
    <n v="599.99"/>
    <n v="0.2"/>
    <n v="959.98400000000004"/>
  </r>
  <r>
    <n v="334"/>
    <n v="2"/>
    <n v="9"/>
    <s v="Trek Conduit+ - 2016"/>
    <n v="5"/>
    <x v="4"/>
    <n v="1"/>
    <n v="2999.99"/>
    <n v="0.05"/>
    <n v="2849.9904999999999"/>
  </r>
  <r>
    <n v="334"/>
    <n v="3"/>
    <n v="3"/>
    <s v="Surly Wednesday Frameset - 2016"/>
    <n v="6"/>
    <x v="1"/>
    <n v="2"/>
    <n v="999.99"/>
    <n v="0.05"/>
    <n v="1899.981"/>
  </r>
  <r>
    <n v="335"/>
    <n v="1"/>
    <n v="6"/>
    <s v="Surly Ice Cream Truck Frameset - 2016"/>
    <n v="6"/>
    <x v="1"/>
    <n v="1"/>
    <n v="469.99"/>
    <n v="0.1"/>
    <n v="422.99099999999999"/>
  </r>
  <r>
    <n v="335"/>
    <n v="2"/>
    <n v="2"/>
    <s v="Ritchey Timberwolf Frameset - 2016"/>
    <n v="6"/>
    <x v="1"/>
    <n v="2"/>
    <n v="749.99"/>
    <n v="0.1"/>
    <n v="1349.982"/>
  </r>
  <r>
    <n v="335"/>
    <n v="3"/>
    <n v="21"/>
    <s v="Electra Cruiser 1 (24-Inch) - 2016"/>
    <n v="1"/>
    <x v="5"/>
    <n v="1"/>
    <n v="269.99"/>
    <n v="7.0000000000000007E-2"/>
    <n v="251.0907"/>
  </r>
  <r>
    <n v="336"/>
    <n v="1"/>
    <n v="4"/>
    <s v="Trek Fuel EX 8 29 - 2016"/>
    <n v="6"/>
    <x v="1"/>
    <n v="1"/>
    <n v="2899.99"/>
    <n v="0.1"/>
    <n v="2609.991"/>
  </r>
  <r>
    <n v="336"/>
    <n v="2"/>
    <n v="12"/>
    <s v="Electra Townie Original 21D - 2016"/>
    <n v="3"/>
    <x v="0"/>
    <n v="1"/>
    <n v="549.99"/>
    <n v="0.2"/>
    <n v="439.99200000000002"/>
  </r>
  <r>
    <n v="337"/>
    <n v="1"/>
    <n v="18"/>
    <s v="Pure Cycles Western 3-Speed - Women's - 2015/2016"/>
    <n v="3"/>
    <x v="0"/>
    <n v="1"/>
    <n v="449"/>
    <n v="0.05"/>
    <n v="426.55"/>
  </r>
  <r>
    <n v="337"/>
    <n v="2"/>
    <n v="4"/>
    <s v="Trek Fuel EX 8 29 - 2016"/>
    <n v="6"/>
    <x v="1"/>
    <n v="1"/>
    <n v="2899.99"/>
    <n v="0.05"/>
    <n v="2754.9904999999999"/>
  </r>
  <r>
    <n v="338"/>
    <n v="1"/>
    <n v="6"/>
    <s v="Surly Ice Cream Truck Frameset - 2016"/>
    <n v="6"/>
    <x v="1"/>
    <n v="2"/>
    <n v="469.99"/>
    <n v="7.0000000000000007E-2"/>
    <n v="874.18140000000005"/>
  </r>
  <r>
    <n v="338"/>
    <n v="2"/>
    <n v="10"/>
    <s v="Surly Straggler - 2016"/>
    <n v="4"/>
    <x v="2"/>
    <n v="1"/>
    <n v="1549"/>
    <n v="7.0000000000000007E-2"/>
    <n v="1440.57"/>
  </r>
  <r>
    <n v="338"/>
    <n v="3"/>
    <n v="22"/>
    <s v="Electra Girl's Hawaii 1 (16-inch) - 2015/2016"/>
    <n v="1"/>
    <x v="5"/>
    <n v="1"/>
    <n v="269.99"/>
    <n v="0.1"/>
    <n v="242.99100000000001"/>
  </r>
  <r>
    <n v="338"/>
    <n v="4"/>
    <n v="11"/>
    <s v="Surly Straggler 650b - 2016"/>
    <n v="4"/>
    <x v="2"/>
    <n v="2"/>
    <n v="1680.99"/>
    <n v="7.0000000000000007E-2"/>
    <n v="3126.6414"/>
  </r>
  <r>
    <n v="338"/>
    <n v="5"/>
    <n v="9"/>
    <s v="Trek Conduit+ - 2016"/>
    <n v="5"/>
    <x v="4"/>
    <n v="1"/>
    <n v="2999.99"/>
    <n v="0.05"/>
    <n v="2849.9904999999999"/>
  </r>
  <r>
    <n v="339"/>
    <n v="1"/>
    <n v="13"/>
    <s v="Electra Cruiser 1 (24-Inch) - 2016"/>
    <n v="3"/>
    <x v="0"/>
    <n v="1"/>
    <n v="269.99"/>
    <n v="0.1"/>
    <n v="242.99100000000001"/>
  </r>
  <r>
    <n v="339"/>
    <n v="2"/>
    <n v="15"/>
    <s v="Electra Moto 1 - 2016"/>
    <n v="3"/>
    <x v="0"/>
    <n v="2"/>
    <n v="529.99"/>
    <n v="0.05"/>
    <n v="1006.981"/>
  </r>
  <r>
    <n v="340"/>
    <n v="1"/>
    <n v="11"/>
    <s v="Surly Straggler 650b - 2016"/>
    <n v="4"/>
    <x v="2"/>
    <n v="1"/>
    <n v="1680.99"/>
    <n v="0.05"/>
    <n v="1596.9404999999999"/>
  </r>
  <r>
    <n v="340"/>
    <n v="2"/>
    <n v="24"/>
    <s v="Electra Townie Original 21D - 2016"/>
    <n v="2"/>
    <x v="3"/>
    <n v="1"/>
    <n v="549.99"/>
    <n v="0.05"/>
    <n v="522.4905"/>
  </r>
  <r>
    <n v="340"/>
    <n v="3"/>
    <n v="13"/>
    <s v="Electra Cruiser 1 (24-Inch) - 2016"/>
    <n v="3"/>
    <x v="0"/>
    <n v="2"/>
    <n v="269.99"/>
    <n v="0.1"/>
    <n v="485.98200000000003"/>
  </r>
  <r>
    <n v="340"/>
    <n v="4"/>
    <n v="12"/>
    <s v="Electra Townie Original 21D - 2016"/>
    <n v="3"/>
    <x v="0"/>
    <n v="2"/>
    <n v="549.99"/>
    <n v="7.0000000000000007E-2"/>
    <n v="1022.9814"/>
  </r>
  <r>
    <n v="340"/>
    <n v="5"/>
    <n v="10"/>
    <s v="Surly Straggler - 2016"/>
    <n v="4"/>
    <x v="2"/>
    <n v="2"/>
    <n v="1549"/>
    <n v="0.1"/>
    <n v="2788.2"/>
  </r>
  <r>
    <n v="341"/>
    <n v="1"/>
    <n v="23"/>
    <s v="Electra Girl's Hawaii 1 (20-inch) - 2015/2016"/>
    <n v="1"/>
    <x v="5"/>
    <n v="2"/>
    <n v="299.99"/>
    <n v="0.05"/>
    <n v="569.98099999999999"/>
  </r>
  <r>
    <n v="342"/>
    <n v="1"/>
    <n v="26"/>
    <s v="Electra Townie Original 7D EQ - 2016"/>
    <n v="2"/>
    <x v="3"/>
    <n v="1"/>
    <n v="599.99"/>
    <n v="7.0000000000000007E-2"/>
    <n v="557.99070000000006"/>
  </r>
  <r>
    <n v="342"/>
    <n v="2"/>
    <n v="9"/>
    <s v="Trek Conduit+ - 2016"/>
    <n v="5"/>
    <x v="4"/>
    <n v="1"/>
    <n v="2999.99"/>
    <n v="0.2"/>
    <n v="2399.9919999999997"/>
  </r>
  <r>
    <n v="342"/>
    <n v="3"/>
    <n v="16"/>
    <s v="Electra Townie Original 7D EQ - 2016"/>
    <n v="3"/>
    <x v="0"/>
    <n v="2"/>
    <n v="599.99"/>
    <n v="0.1"/>
    <n v="1079.982"/>
  </r>
  <r>
    <n v="343"/>
    <n v="1"/>
    <n v="20"/>
    <s v="Electra Townie Original 7D EQ - Women's - 2016"/>
    <n v="3"/>
    <x v="0"/>
    <n v="2"/>
    <n v="599.99"/>
    <n v="0.2"/>
    <n v="959.98400000000004"/>
  </r>
  <r>
    <n v="343"/>
    <n v="2"/>
    <n v="25"/>
    <s v="Electra Townie Original 7D - 2015/2016"/>
    <n v="2"/>
    <x v="3"/>
    <n v="1"/>
    <n v="499.99"/>
    <n v="0.05"/>
    <n v="474.9905"/>
  </r>
  <r>
    <n v="343"/>
    <n v="3"/>
    <n v="5"/>
    <s v="Heller Shagamaw Frame - 2016"/>
    <n v="6"/>
    <x v="1"/>
    <n v="2"/>
    <n v="1320.99"/>
    <n v="0.05"/>
    <n v="2509.8809999999999"/>
  </r>
  <r>
    <n v="343"/>
    <n v="4"/>
    <n v="10"/>
    <s v="Surly Straggler - 2016"/>
    <n v="4"/>
    <x v="2"/>
    <n v="1"/>
    <n v="1549"/>
    <n v="0.1"/>
    <n v="1394.1"/>
  </r>
  <r>
    <n v="344"/>
    <n v="1"/>
    <n v="22"/>
    <s v="Electra Girl's Hawaii 1 (16-inch) - 2015/2016"/>
    <n v="1"/>
    <x v="5"/>
    <n v="1"/>
    <n v="269.99"/>
    <n v="0.05"/>
    <n v="256.4905"/>
  </r>
  <r>
    <n v="344"/>
    <n v="2"/>
    <n v="18"/>
    <s v="Pure Cycles Western 3-Speed - Women's - 2015/2016"/>
    <n v="3"/>
    <x v="0"/>
    <n v="2"/>
    <n v="449"/>
    <n v="7.0000000000000007E-2"/>
    <n v="835.14"/>
  </r>
  <r>
    <n v="344"/>
    <n v="3"/>
    <n v="14"/>
    <s v="Electra Girl's Hawaii 1 (16-inch) - 2015/2016"/>
    <n v="3"/>
    <x v="0"/>
    <n v="1"/>
    <n v="269.99"/>
    <n v="0.2"/>
    <n v="215.99200000000002"/>
  </r>
  <r>
    <n v="345"/>
    <n v="1"/>
    <n v="18"/>
    <s v="Pure Cycles Western 3-Speed - Women's - 2015/2016"/>
    <n v="3"/>
    <x v="0"/>
    <n v="2"/>
    <n v="449"/>
    <n v="0.1"/>
    <n v="808.2"/>
  </r>
  <r>
    <n v="345"/>
    <n v="2"/>
    <n v="24"/>
    <s v="Electra Townie Original 21D - 2016"/>
    <n v="2"/>
    <x v="3"/>
    <n v="2"/>
    <n v="549.99"/>
    <n v="7.0000000000000007E-2"/>
    <n v="1022.9814"/>
  </r>
  <r>
    <n v="346"/>
    <n v="1"/>
    <n v="13"/>
    <s v="Electra Cruiser 1 (24-Inch) - 2016"/>
    <n v="3"/>
    <x v="0"/>
    <n v="1"/>
    <n v="269.99"/>
    <n v="7.0000000000000007E-2"/>
    <n v="251.0907"/>
  </r>
  <r>
    <n v="346"/>
    <n v="2"/>
    <n v="23"/>
    <s v="Electra Girl's Hawaii 1 (20-inch) - 2015/2016"/>
    <n v="1"/>
    <x v="5"/>
    <n v="1"/>
    <n v="299.99"/>
    <n v="0.2"/>
    <n v="239.99200000000002"/>
  </r>
  <r>
    <n v="346"/>
    <n v="3"/>
    <n v="21"/>
    <s v="Electra Cruiser 1 (24-Inch) - 2016"/>
    <n v="1"/>
    <x v="5"/>
    <n v="1"/>
    <n v="269.99"/>
    <n v="0.1"/>
    <n v="242.99100000000001"/>
  </r>
  <r>
    <n v="346"/>
    <n v="4"/>
    <n v="15"/>
    <s v="Electra Moto 1 - 2016"/>
    <n v="3"/>
    <x v="0"/>
    <n v="1"/>
    <n v="529.99"/>
    <n v="0.05"/>
    <n v="503.4905"/>
  </r>
  <r>
    <n v="346"/>
    <n v="5"/>
    <n v="18"/>
    <s v="Pure Cycles Western 3-Speed - Women's - 2015/2016"/>
    <n v="3"/>
    <x v="0"/>
    <n v="2"/>
    <n v="449"/>
    <n v="0.05"/>
    <n v="853.1"/>
  </r>
  <r>
    <n v="347"/>
    <n v="1"/>
    <n v="23"/>
    <s v="Electra Girl's Hawaii 1 (20-inch) - 2015/2016"/>
    <n v="1"/>
    <x v="5"/>
    <n v="1"/>
    <n v="299.99"/>
    <n v="7.0000000000000007E-2"/>
    <n v="278.9907"/>
  </r>
  <r>
    <n v="348"/>
    <n v="1"/>
    <n v="5"/>
    <s v="Heller Shagamaw Frame - 2016"/>
    <n v="6"/>
    <x v="1"/>
    <n v="2"/>
    <n v="1320.99"/>
    <n v="0.05"/>
    <n v="2509.8809999999999"/>
  </r>
  <r>
    <n v="348"/>
    <n v="2"/>
    <n v="15"/>
    <s v="Electra Moto 1 - 2016"/>
    <n v="3"/>
    <x v="0"/>
    <n v="2"/>
    <n v="529.99"/>
    <n v="7.0000000000000007E-2"/>
    <n v="985.78139999999996"/>
  </r>
  <r>
    <n v="349"/>
    <n v="1"/>
    <n v="20"/>
    <s v="Electra Townie Original 7D EQ - Women's - 2016"/>
    <n v="3"/>
    <x v="0"/>
    <n v="2"/>
    <n v="599.99"/>
    <n v="0.2"/>
    <n v="959.98400000000004"/>
  </r>
  <r>
    <n v="350"/>
    <n v="1"/>
    <n v="6"/>
    <s v="Surly Ice Cream Truck Frameset - 2016"/>
    <n v="6"/>
    <x v="1"/>
    <n v="2"/>
    <n v="469.99"/>
    <n v="0.05"/>
    <n v="892.98099999999999"/>
  </r>
  <r>
    <n v="350"/>
    <n v="2"/>
    <n v="20"/>
    <s v="Electra Townie Original 7D EQ - Women's - 2016"/>
    <n v="3"/>
    <x v="0"/>
    <n v="1"/>
    <n v="599.99"/>
    <n v="7.0000000000000007E-2"/>
    <n v="557.99070000000006"/>
  </r>
  <r>
    <n v="350"/>
    <n v="3"/>
    <n v="3"/>
    <s v="Surly Wednesday Frameset - 2016"/>
    <n v="6"/>
    <x v="1"/>
    <n v="1"/>
    <n v="999.99"/>
    <n v="7.0000000000000007E-2"/>
    <n v="929.99070000000006"/>
  </r>
  <r>
    <n v="351"/>
    <n v="1"/>
    <n v="4"/>
    <s v="Trek Fuel EX 8 29 - 2016"/>
    <n v="6"/>
    <x v="1"/>
    <n v="2"/>
    <n v="2899.99"/>
    <n v="0.05"/>
    <n v="5509.9809999999998"/>
  </r>
  <r>
    <n v="351"/>
    <n v="2"/>
    <n v="24"/>
    <s v="Electra Townie Original 21D - 2016"/>
    <n v="2"/>
    <x v="3"/>
    <n v="2"/>
    <n v="549.99"/>
    <n v="0.1"/>
    <n v="989.98199999999997"/>
  </r>
  <r>
    <n v="351"/>
    <n v="3"/>
    <n v="20"/>
    <s v="Electra Townie Original 7D EQ - Women's - 2016"/>
    <n v="3"/>
    <x v="0"/>
    <n v="1"/>
    <n v="599.99"/>
    <n v="0.2"/>
    <n v="479.99200000000002"/>
  </r>
  <r>
    <n v="351"/>
    <n v="4"/>
    <n v="22"/>
    <s v="Electra Girl's Hawaii 1 (16-inch) - 2015/2016"/>
    <n v="1"/>
    <x v="5"/>
    <n v="2"/>
    <n v="269.99"/>
    <n v="7.0000000000000007E-2"/>
    <n v="502.1814"/>
  </r>
  <r>
    <n v="352"/>
    <n v="1"/>
    <n v="11"/>
    <s v="Surly Straggler 650b - 2016"/>
    <n v="4"/>
    <x v="2"/>
    <n v="1"/>
    <n v="1680.99"/>
    <n v="0.2"/>
    <n v="1344.7919999999999"/>
  </r>
  <r>
    <n v="352"/>
    <n v="2"/>
    <n v="14"/>
    <s v="Electra Girl's Hawaii 1 (16-inch) - 2015/2016"/>
    <n v="3"/>
    <x v="0"/>
    <n v="1"/>
    <n v="269.99"/>
    <n v="0.2"/>
    <n v="215.99200000000002"/>
  </r>
  <r>
    <n v="353"/>
    <n v="1"/>
    <n v="2"/>
    <s v="Ritchey Timberwolf Frameset - 2016"/>
    <n v="6"/>
    <x v="1"/>
    <n v="2"/>
    <n v="749.99"/>
    <n v="0.2"/>
    <n v="1199.9839999999999"/>
  </r>
  <r>
    <n v="354"/>
    <n v="1"/>
    <n v="21"/>
    <s v="Electra Cruiser 1 (24-Inch) - 2016"/>
    <n v="1"/>
    <x v="5"/>
    <n v="1"/>
    <n v="269.99"/>
    <n v="0.2"/>
    <n v="215.99200000000002"/>
  </r>
  <r>
    <n v="354"/>
    <n v="2"/>
    <n v="19"/>
    <s v="Pure Cycles William 3-Speed - 2016"/>
    <n v="3"/>
    <x v="0"/>
    <n v="1"/>
    <n v="449"/>
    <n v="0.05"/>
    <n v="426.55"/>
  </r>
  <r>
    <n v="355"/>
    <n v="1"/>
    <n v="16"/>
    <s v="Electra Townie Original 7D EQ - 2016"/>
    <n v="3"/>
    <x v="0"/>
    <n v="1"/>
    <n v="599.99"/>
    <n v="0.1"/>
    <n v="539.99099999999999"/>
  </r>
  <r>
    <n v="355"/>
    <n v="2"/>
    <n v="14"/>
    <s v="Electra Girl's Hawaii 1 (16-inch) - 2015/2016"/>
    <n v="3"/>
    <x v="0"/>
    <n v="2"/>
    <n v="269.99"/>
    <n v="7.0000000000000007E-2"/>
    <n v="502.1814"/>
  </r>
  <r>
    <n v="356"/>
    <n v="1"/>
    <n v="23"/>
    <s v="Electra Girl's Hawaii 1 (20-inch) - 2015/2016"/>
    <n v="1"/>
    <x v="5"/>
    <n v="2"/>
    <n v="299.99"/>
    <n v="0.05"/>
    <n v="569.98099999999999"/>
  </r>
  <r>
    <n v="356"/>
    <n v="2"/>
    <n v="4"/>
    <s v="Trek Fuel EX 8 29 - 2016"/>
    <n v="6"/>
    <x v="1"/>
    <n v="1"/>
    <n v="2899.99"/>
    <n v="0.05"/>
    <n v="2754.9904999999999"/>
  </r>
  <r>
    <n v="356"/>
    <n v="3"/>
    <n v="13"/>
    <s v="Electra Cruiser 1 (24-Inch) - 2016"/>
    <n v="3"/>
    <x v="0"/>
    <n v="1"/>
    <n v="269.99"/>
    <n v="0.05"/>
    <n v="256.4905"/>
  </r>
  <r>
    <n v="357"/>
    <n v="1"/>
    <n v="17"/>
    <s v="Pure Cycles Vine 8-Speed - 2016"/>
    <n v="3"/>
    <x v="0"/>
    <n v="2"/>
    <n v="429"/>
    <n v="0.05"/>
    <n v="815.1"/>
  </r>
  <r>
    <n v="357"/>
    <n v="2"/>
    <n v="21"/>
    <s v="Electra Cruiser 1 (24-Inch) - 2016"/>
    <n v="1"/>
    <x v="5"/>
    <n v="2"/>
    <n v="269.99"/>
    <n v="7.0000000000000007E-2"/>
    <n v="502.1814"/>
  </r>
  <r>
    <n v="357"/>
    <n v="3"/>
    <n v="24"/>
    <s v="Electra Townie Original 21D - 2016"/>
    <n v="2"/>
    <x v="3"/>
    <n v="1"/>
    <n v="549.99"/>
    <n v="7.0000000000000007E-2"/>
    <n v="511.4907"/>
  </r>
  <r>
    <n v="357"/>
    <n v="4"/>
    <n v="9"/>
    <s v="Trek Conduit+ - 2016"/>
    <n v="5"/>
    <x v="4"/>
    <n v="1"/>
    <n v="2999.99"/>
    <n v="0.05"/>
    <n v="2849.9904999999999"/>
  </r>
  <r>
    <n v="358"/>
    <n v="1"/>
    <n v="21"/>
    <s v="Electra Cruiser 1 (24-Inch) - 2016"/>
    <n v="1"/>
    <x v="5"/>
    <n v="2"/>
    <n v="269.99"/>
    <n v="0.1"/>
    <n v="485.98200000000003"/>
  </r>
  <r>
    <n v="358"/>
    <n v="2"/>
    <n v="6"/>
    <s v="Surly Ice Cream Truck Frameset - 2016"/>
    <n v="6"/>
    <x v="1"/>
    <n v="2"/>
    <n v="469.99"/>
    <n v="7.0000000000000007E-2"/>
    <n v="874.18140000000005"/>
  </r>
  <r>
    <n v="358"/>
    <n v="3"/>
    <n v="8"/>
    <s v="Trek Remedy 29 Carbon Frameset - 2016"/>
    <n v="6"/>
    <x v="1"/>
    <n v="2"/>
    <n v="1799.99"/>
    <n v="0.05"/>
    <n v="3419.9809999999998"/>
  </r>
  <r>
    <n v="358"/>
    <n v="4"/>
    <n v="18"/>
    <s v="Pure Cycles Western 3-Speed - Women's - 2015/2016"/>
    <n v="3"/>
    <x v="0"/>
    <n v="2"/>
    <n v="449"/>
    <n v="0.1"/>
    <n v="808.2"/>
  </r>
  <r>
    <n v="359"/>
    <n v="1"/>
    <n v="15"/>
    <s v="Electra Moto 1 - 2016"/>
    <n v="3"/>
    <x v="0"/>
    <n v="2"/>
    <n v="529.99"/>
    <n v="7.0000000000000007E-2"/>
    <n v="985.78139999999996"/>
  </r>
  <r>
    <n v="359"/>
    <n v="2"/>
    <n v="9"/>
    <s v="Trek Conduit+ - 2016"/>
    <n v="5"/>
    <x v="4"/>
    <n v="2"/>
    <n v="2999.99"/>
    <n v="7.0000000000000007E-2"/>
    <n v="5579.9813999999997"/>
  </r>
  <r>
    <n v="359"/>
    <n v="3"/>
    <n v="7"/>
    <s v="Trek Slash 8 27.5 - 2016"/>
    <n v="6"/>
    <x v="1"/>
    <n v="2"/>
    <n v="3999.99"/>
    <n v="0.2"/>
    <n v="6399.9839999999995"/>
  </r>
  <r>
    <n v="360"/>
    <n v="1"/>
    <n v="26"/>
    <s v="Electra Townie Original 7D EQ - 2016"/>
    <n v="2"/>
    <x v="3"/>
    <n v="1"/>
    <n v="599.99"/>
    <n v="0.05"/>
    <n v="569.9905"/>
  </r>
  <r>
    <n v="360"/>
    <n v="2"/>
    <n v="7"/>
    <s v="Trek Slash 8 27.5 - 2016"/>
    <n v="6"/>
    <x v="1"/>
    <n v="2"/>
    <n v="3999.99"/>
    <n v="0.2"/>
    <n v="6399.9839999999995"/>
  </r>
  <r>
    <n v="360"/>
    <n v="3"/>
    <n v="13"/>
    <s v="Electra Cruiser 1 (24-Inch) - 2016"/>
    <n v="3"/>
    <x v="0"/>
    <n v="2"/>
    <n v="269.99"/>
    <n v="0.05"/>
    <n v="512.98099999999999"/>
  </r>
  <r>
    <n v="360"/>
    <n v="4"/>
    <n v="25"/>
    <s v="Electra Townie Original 7D - 2015/2016"/>
    <n v="2"/>
    <x v="3"/>
    <n v="1"/>
    <n v="499.99"/>
    <n v="0.1"/>
    <n v="449.99099999999999"/>
  </r>
  <r>
    <n v="361"/>
    <n v="1"/>
    <n v="24"/>
    <s v="Electra Townie Original 21D - 2016"/>
    <n v="2"/>
    <x v="3"/>
    <n v="2"/>
    <n v="549.99"/>
    <n v="0.05"/>
    <n v="1044.981"/>
  </r>
  <r>
    <n v="361"/>
    <n v="2"/>
    <n v="6"/>
    <s v="Surly Ice Cream Truck Frameset - 2016"/>
    <n v="6"/>
    <x v="1"/>
    <n v="2"/>
    <n v="469.99"/>
    <n v="0.1"/>
    <n v="845.98199999999997"/>
  </r>
  <r>
    <n v="361"/>
    <n v="3"/>
    <n v="11"/>
    <s v="Surly Straggler 650b - 2016"/>
    <n v="4"/>
    <x v="2"/>
    <n v="1"/>
    <n v="1680.99"/>
    <n v="0.1"/>
    <n v="1512.8910000000001"/>
  </r>
  <r>
    <n v="362"/>
    <n v="1"/>
    <n v="2"/>
    <s v="Ritchey Timberwolf Frameset - 2016"/>
    <n v="6"/>
    <x v="1"/>
    <n v="1"/>
    <n v="749.99"/>
    <n v="7.0000000000000007E-2"/>
    <n v="697.49070000000006"/>
  </r>
  <r>
    <n v="363"/>
    <n v="1"/>
    <n v="21"/>
    <s v="Electra Cruiser 1 (24-Inch) - 2016"/>
    <n v="1"/>
    <x v="5"/>
    <n v="2"/>
    <n v="269.99"/>
    <n v="0.1"/>
    <n v="485.98200000000003"/>
  </r>
  <r>
    <n v="363"/>
    <n v="2"/>
    <n v="14"/>
    <s v="Electra Girl's Hawaii 1 (16-inch) - 2015/2016"/>
    <n v="3"/>
    <x v="0"/>
    <n v="1"/>
    <n v="269.99"/>
    <n v="7.0000000000000007E-2"/>
    <n v="251.0907"/>
  </r>
  <r>
    <n v="363"/>
    <n v="3"/>
    <n v="15"/>
    <s v="Electra Moto 1 - 2016"/>
    <n v="3"/>
    <x v="0"/>
    <n v="1"/>
    <n v="529.99"/>
    <n v="0.1"/>
    <n v="476.99099999999999"/>
  </r>
  <r>
    <n v="363"/>
    <n v="4"/>
    <n v="20"/>
    <s v="Electra Townie Original 7D EQ - Women's - 2016"/>
    <n v="3"/>
    <x v="0"/>
    <n v="1"/>
    <n v="599.99"/>
    <n v="0.2"/>
    <n v="479.99200000000002"/>
  </r>
  <r>
    <n v="364"/>
    <n v="1"/>
    <n v="25"/>
    <s v="Electra Townie Original 7D - 2015/2016"/>
    <n v="2"/>
    <x v="3"/>
    <n v="2"/>
    <n v="499.99"/>
    <n v="0.05"/>
    <n v="949.98099999999999"/>
  </r>
  <r>
    <n v="365"/>
    <n v="1"/>
    <n v="24"/>
    <s v="Electra Townie Original 21D - 2016"/>
    <n v="2"/>
    <x v="3"/>
    <n v="2"/>
    <n v="549.99"/>
    <n v="7.0000000000000007E-2"/>
    <n v="1022.9814"/>
  </r>
  <r>
    <n v="366"/>
    <n v="1"/>
    <n v="21"/>
    <s v="Electra Cruiser 1 (24-Inch) - 2016"/>
    <n v="1"/>
    <x v="5"/>
    <n v="1"/>
    <n v="269.99"/>
    <n v="0.1"/>
    <n v="242.99100000000001"/>
  </r>
  <r>
    <n v="366"/>
    <n v="2"/>
    <n v="4"/>
    <s v="Trek Fuel EX 8 29 - 2016"/>
    <n v="6"/>
    <x v="1"/>
    <n v="1"/>
    <n v="2899.99"/>
    <n v="7.0000000000000007E-2"/>
    <n v="2696.9906999999998"/>
  </r>
  <r>
    <n v="366"/>
    <n v="3"/>
    <n v="16"/>
    <s v="Electra Townie Original 7D EQ - 2016"/>
    <n v="3"/>
    <x v="0"/>
    <n v="2"/>
    <n v="599.99"/>
    <n v="0.2"/>
    <n v="959.98400000000004"/>
  </r>
  <r>
    <n v="367"/>
    <n v="1"/>
    <n v="26"/>
    <s v="Electra Townie Original 7D EQ - 2016"/>
    <n v="2"/>
    <x v="3"/>
    <n v="2"/>
    <n v="599.99"/>
    <n v="0.1"/>
    <n v="1079.982"/>
  </r>
  <r>
    <n v="367"/>
    <n v="2"/>
    <n v="14"/>
    <s v="Electra Girl's Hawaii 1 (16-inch) - 2015/2016"/>
    <n v="3"/>
    <x v="0"/>
    <n v="1"/>
    <n v="269.99"/>
    <n v="0.05"/>
    <n v="256.4905"/>
  </r>
  <r>
    <n v="367"/>
    <n v="3"/>
    <n v="10"/>
    <s v="Surly Straggler - 2016"/>
    <n v="4"/>
    <x v="2"/>
    <n v="2"/>
    <n v="1549"/>
    <n v="0.05"/>
    <n v="2943.1"/>
  </r>
  <r>
    <n v="368"/>
    <n v="1"/>
    <n v="5"/>
    <s v="Heller Shagamaw Frame - 2016"/>
    <n v="6"/>
    <x v="1"/>
    <n v="1"/>
    <n v="1320.99"/>
    <n v="0.2"/>
    <n v="1056.7919999999999"/>
  </r>
  <r>
    <n v="368"/>
    <n v="2"/>
    <n v="10"/>
    <s v="Surly Straggler - 2016"/>
    <n v="4"/>
    <x v="2"/>
    <n v="2"/>
    <n v="1549"/>
    <n v="0.2"/>
    <n v="2478.4"/>
  </r>
  <r>
    <n v="368"/>
    <n v="3"/>
    <n v="21"/>
    <s v="Electra Cruiser 1 (24-Inch) - 2016"/>
    <n v="1"/>
    <x v="5"/>
    <n v="2"/>
    <n v="269.99"/>
    <n v="0.1"/>
    <n v="485.98200000000003"/>
  </r>
  <r>
    <n v="368"/>
    <n v="4"/>
    <n v="19"/>
    <s v="Pure Cycles William 3-Speed - 2016"/>
    <n v="3"/>
    <x v="0"/>
    <n v="1"/>
    <n v="449"/>
    <n v="0.05"/>
    <n v="426.55"/>
  </r>
  <r>
    <n v="369"/>
    <n v="1"/>
    <n v="10"/>
    <s v="Surly Straggler - 2016"/>
    <n v="4"/>
    <x v="2"/>
    <n v="2"/>
    <n v="1549"/>
    <n v="7.0000000000000007E-2"/>
    <n v="2881.14"/>
  </r>
  <r>
    <n v="370"/>
    <n v="1"/>
    <n v="25"/>
    <s v="Electra Townie Original 7D - 2015/2016"/>
    <n v="2"/>
    <x v="3"/>
    <n v="2"/>
    <n v="499.99"/>
    <n v="0.05"/>
    <n v="949.98099999999999"/>
  </r>
  <r>
    <n v="370"/>
    <n v="2"/>
    <n v="4"/>
    <s v="Trek Fuel EX 8 29 - 2016"/>
    <n v="6"/>
    <x v="1"/>
    <n v="2"/>
    <n v="2899.99"/>
    <n v="0.1"/>
    <n v="5219.982"/>
  </r>
  <r>
    <n v="371"/>
    <n v="1"/>
    <n v="14"/>
    <s v="Electra Girl's Hawaii 1 (16-inch) - 2015/2016"/>
    <n v="3"/>
    <x v="0"/>
    <n v="1"/>
    <n v="269.99"/>
    <n v="0.2"/>
    <n v="215.99200000000002"/>
  </r>
  <r>
    <n v="371"/>
    <n v="2"/>
    <n v="12"/>
    <s v="Electra Townie Original 21D - 2016"/>
    <n v="3"/>
    <x v="0"/>
    <n v="1"/>
    <n v="549.99"/>
    <n v="0.2"/>
    <n v="439.99200000000002"/>
  </r>
  <r>
    <n v="372"/>
    <n v="1"/>
    <n v="11"/>
    <s v="Surly Straggler 650b - 2016"/>
    <n v="4"/>
    <x v="2"/>
    <n v="1"/>
    <n v="1680.99"/>
    <n v="0.05"/>
    <n v="1596.9404999999999"/>
  </r>
  <r>
    <n v="372"/>
    <n v="2"/>
    <n v="14"/>
    <s v="Electra Girl's Hawaii 1 (16-inch) - 2015/2016"/>
    <n v="3"/>
    <x v="0"/>
    <n v="2"/>
    <n v="269.99"/>
    <n v="0.1"/>
    <n v="485.98200000000003"/>
  </r>
  <r>
    <n v="372"/>
    <n v="3"/>
    <n v="5"/>
    <s v="Heller Shagamaw Frame - 2016"/>
    <n v="6"/>
    <x v="1"/>
    <n v="1"/>
    <n v="1320.99"/>
    <n v="0.1"/>
    <n v="1188.8910000000001"/>
  </r>
  <r>
    <n v="373"/>
    <n v="1"/>
    <n v="8"/>
    <s v="Trek Remedy 29 Carbon Frameset - 2016"/>
    <n v="6"/>
    <x v="1"/>
    <n v="2"/>
    <n v="1799.99"/>
    <n v="0.05"/>
    <n v="3419.9809999999998"/>
  </r>
  <r>
    <n v="373"/>
    <n v="2"/>
    <n v="22"/>
    <s v="Electra Girl's Hawaii 1 (16-inch) - 2015/2016"/>
    <n v="1"/>
    <x v="5"/>
    <n v="1"/>
    <n v="269.99"/>
    <n v="0.1"/>
    <n v="242.99100000000001"/>
  </r>
  <r>
    <n v="373"/>
    <n v="3"/>
    <n v="19"/>
    <s v="Pure Cycles William 3-Speed - 2016"/>
    <n v="3"/>
    <x v="0"/>
    <n v="2"/>
    <n v="449"/>
    <n v="0.2"/>
    <n v="718.4"/>
  </r>
  <r>
    <n v="373"/>
    <n v="4"/>
    <n v="12"/>
    <s v="Electra Townie Original 21D - 2016"/>
    <n v="3"/>
    <x v="0"/>
    <n v="1"/>
    <n v="549.99"/>
    <n v="0.1"/>
    <n v="494.99099999999999"/>
  </r>
  <r>
    <n v="373"/>
    <n v="5"/>
    <n v="13"/>
    <s v="Electra Cruiser 1 (24-Inch) - 2016"/>
    <n v="3"/>
    <x v="0"/>
    <n v="1"/>
    <n v="269.99"/>
    <n v="0.1"/>
    <n v="242.99100000000001"/>
  </r>
  <r>
    <n v="374"/>
    <n v="1"/>
    <n v="10"/>
    <s v="Surly Straggler - 2016"/>
    <n v="4"/>
    <x v="2"/>
    <n v="1"/>
    <n v="1549"/>
    <n v="0.1"/>
    <n v="1394.1"/>
  </r>
  <r>
    <n v="374"/>
    <n v="2"/>
    <n v="7"/>
    <s v="Trek Slash 8 27.5 - 2016"/>
    <n v="6"/>
    <x v="1"/>
    <n v="1"/>
    <n v="3999.99"/>
    <n v="7.0000000000000007E-2"/>
    <n v="3719.9906999999998"/>
  </r>
  <r>
    <n v="375"/>
    <n v="1"/>
    <n v="21"/>
    <s v="Electra Cruiser 1 (24-Inch) - 2016"/>
    <n v="1"/>
    <x v="5"/>
    <n v="2"/>
    <n v="269.99"/>
    <n v="0.05"/>
    <n v="512.98099999999999"/>
  </r>
  <r>
    <n v="375"/>
    <n v="2"/>
    <n v="2"/>
    <s v="Ritchey Timberwolf Frameset - 2016"/>
    <n v="6"/>
    <x v="1"/>
    <n v="2"/>
    <n v="749.99"/>
    <n v="0.05"/>
    <n v="1424.981"/>
  </r>
  <r>
    <n v="375"/>
    <n v="3"/>
    <n v="4"/>
    <s v="Trek Fuel EX 8 29 - 2016"/>
    <n v="6"/>
    <x v="1"/>
    <n v="2"/>
    <n v="2899.99"/>
    <n v="7.0000000000000007E-2"/>
    <n v="5393.9813999999997"/>
  </r>
  <r>
    <n v="375"/>
    <n v="4"/>
    <n v="12"/>
    <s v="Electra Townie Original 21D - 2016"/>
    <n v="3"/>
    <x v="0"/>
    <n v="2"/>
    <n v="549.99"/>
    <n v="0.05"/>
    <n v="1044.981"/>
  </r>
  <r>
    <n v="376"/>
    <n v="1"/>
    <n v="2"/>
    <s v="Ritchey Timberwolf Frameset - 2016"/>
    <n v="6"/>
    <x v="1"/>
    <n v="2"/>
    <n v="749.99"/>
    <n v="7.0000000000000007E-2"/>
    <n v="1394.9814000000001"/>
  </r>
  <r>
    <n v="376"/>
    <n v="2"/>
    <n v="23"/>
    <s v="Electra Girl's Hawaii 1 (20-inch) - 2015/2016"/>
    <n v="1"/>
    <x v="5"/>
    <n v="2"/>
    <n v="299.99"/>
    <n v="0.1"/>
    <n v="539.98199999999997"/>
  </r>
  <r>
    <n v="377"/>
    <n v="1"/>
    <n v="8"/>
    <s v="Trek Remedy 29 Carbon Frameset - 2016"/>
    <n v="6"/>
    <x v="1"/>
    <n v="1"/>
    <n v="1799.99"/>
    <n v="0.05"/>
    <n v="1709.9904999999999"/>
  </r>
  <r>
    <n v="377"/>
    <n v="2"/>
    <n v="14"/>
    <s v="Electra Girl's Hawaii 1 (16-inch) - 2015/2016"/>
    <n v="3"/>
    <x v="0"/>
    <n v="1"/>
    <n v="269.99"/>
    <n v="7.0000000000000007E-2"/>
    <n v="251.0907"/>
  </r>
  <r>
    <n v="378"/>
    <n v="1"/>
    <n v="26"/>
    <s v="Electra Townie Original 7D EQ - 2016"/>
    <n v="2"/>
    <x v="3"/>
    <n v="2"/>
    <n v="599.99"/>
    <n v="0.05"/>
    <n v="1139.981"/>
  </r>
  <r>
    <n v="379"/>
    <n v="1"/>
    <n v="9"/>
    <s v="Trek Conduit+ - 2016"/>
    <n v="5"/>
    <x v="4"/>
    <n v="1"/>
    <n v="2999.99"/>
    <n v="7.0000000000000007E-2"/>
    <n v="2789.9906999999998"/>
  </r>
  <r>
    <n v="379"/>
    <n v="2"/>
    <n v="16"/>
    <s v="Electra Townie Original 7D EQ - 2016"/>
    <n v="3"/>
    <x v="0"/>
    <n v="1"/>
    <n v="599.99"/>
    <n v="0.2"/>
    <n v="479.99200000000002"/>
  </r>
  <r>
    <n v="380"/>
    <n v="1"/>
    <n v="16"/>
    <s v="Electra Townie Original 7D EQ - 2016"/>
    <n v="3"/>
    <x v="0"/>
    <n v="1"/>
    <n v="599.99"/>
    <n v="0.05"/>
    <n v="569.9905"/>
  </r>
  <r>
    <n v="380"/>
    <n v="2"/>
    <n v="11"/>
    <s v="Surly Straggler 650b - 2016"/>
    <n v="4"/>
    <x v="2"/>
    <n v="2"/>
    <n v="1680.99"/>
    <n v="0.05"/>
    <n v="3193.8809999999999"/>
  </r>
  <r>
    <n v="381"/>
    <n v="1"/>
    <n v="21"/>
    <s v="Electra Cruiser 1 (24-Inch) - 2016"/>
    <n v="1"/>
    <x v="5"/>
    <n v="2"/>
    <n v="269.99"/>
    <n v="7.0000000000000007E-2"/>
    <n v="502.1814"/>
  </r>
  <r>
    <n v="382"/>
    <n v="1"/>
    <n v="8"/>
    <s v="Trek Remedy 29 Carbon Frameset - 2016"/>
    <n v="6"/>
    <x v="1"/>
    <n v="1"/>
    <n v="1799.99"/>
    <n v="0.1"/>
    <n v="1619.991"/>
  </r>
  <r>
    <n v="382"/>
    <n v="2"/>
    <n v="9"/>
    <s v="Trek Conduit+ - 2016"/>
    <n v="5"/>
    <x v="4"/>
    <n v="1"/>
    <n v="2999.99"/>
    <n v="0.1"/>
    <n v="2699.991"/>
  </r>
  <r>
    <n v="382"/>
    <n v="3"/>
    <n v="13"/>
    <s v="Electra Cruiser 1 (24-Inch) - 2016"/>
    <n v="3"/>
    <x v="0"/>
    <n v="1"/>
    <n v="269.99"/>
    <n v="7.0000000000000007E-2"/>
    <n v="251.0907"/>
  </r>
  <r>
    <n v="383"/>
    <n v="1"/>
    <n v="19"/>
    <s v="Pure Cycles William 3-Speed - 2016"/>
    <n v="3"/>
    <x v="0"/>
    <n v="1"/>
    <n v="449"/>
    <n v="7.0000000000000007E-2"/>
    <n v="417.57"/>
  </r>
  <r>
    <n v="383"/>
    <n v="2"/>
    <n v="22"/>
    <s v="Electra Girl's Hawaii 1 (16-inch) - 2015/2016"/>
    <n v="1"/>
    <x v="5"/>
    <n v="2"/>
    <n v="269.99"/>
    <n v="0.05"/>
    <n v="512.98099999999999"/>
  </r>
  <r>
    <n v="383"/>
    <n v="3"/>
    <n v="13"/>
    <s v="Electra Cruiser 1 (24-Inch) - 2016"/>
    <n v="3"/>
    <x v="0"/>
    <n v="1"/>
    <n v="269.99"/>
    <n v="0.1"/>
    <n v="242.99100000000001"/>
  </r>
  <r>
    <n v="383"/>
    <n v="4"/>
    <n v="21"/>
    <s v="Electra Cruiser 1 (24-Inch) - 2016"/>
    <n v="1"/>
    <x v="5"/>
    <n v="2"/>
    <n v="269.99"/>
    <n v="0.05"/>
    <n v="512.98099999999999"/>
  </r>
  <r>
    <n v="383"/>
    <n v="5"/>
    <n v="14"/>
    <s v="Electra Girl's Hawaii 1 (16-inch) - 2015/2016"/>
    <n v="3"/>
    <x v="0"/>
    <n v="1"/>
    <n v="269.99"/>
    <n v="0.1"/>
    <n v="242.99100000000001"/>
  </r>
  <r>
    <n v="384"/>
    <n v="1"/>
    <n v="20"/>
    <s v="Electra Townie Original 7D EQ - Women's - 2016"/>
    <n v="3"/>
    <x v="0"/>
    <n v="1"/>
    <n v="599.99"/>
    <n v="0.1"/>
    <n v="539.99099999999999"/>
  </r>
  <r>
    <n v="384"/>
    <n v="2"/>
    <n v="21"/>
    <s v="Electra Cruiser 1 (24-Inch) - 2016"/>
    <n v="1"/>
    <x v="5"/>
    <n v="2"/>
    <n v="269.99"/>
    <n v="0.2"/>
    <n v="431.98400000000004"/>
  </r>
  <r>
    <n v="384"/>
    <n v="3"/>
    <n v="8"/>
    <s v="Trek Remedy 29 Carbon Frameset - 2016"/>
    <n v="6"/>
    <x v="1"/>
    <n v="1"/>
    <n v="1799.99"/>
    <n v="0.05"/>
    <n v="1709.9904999999999"/>
  </r>
  <r>
    <n v="384"/>
    <n v="4"/>
    <n v="15"/>
    <s v="Electra Moto 1 - 2016"/>
    <n v="3"/>
    <x v="0"/>
    <n v="1"/>
    <n v="529.99"/>
    <n v="0.1"/>
    <n v="476.99099999999999"/>
  </r>
  <r>
    <n v="384"/>
    <n v="5"/>
    <n v="4"/>
    <s v="Trek Fuel EX 8 29 - 2016"/>
    <n v="6"/>
    <x v="1"/>
    <n v="1"/>
    <n v="2899.99"/>
    <n v="0.2"/>
    <n v="2319.9919999999997"/>
  </r>
  <r>
    <n v="385"/>
    <n v="1"/>
    <n v="21"/>
    <s v="Electra Cruiser 1 (24-Inch) - 2016"/>
    <n v="1"/>
    <x v="5"/>
    <n v="1"/>
    <n v="269.99"/>
    <n v="7.0000000000000007E-2"/>
    <n v="251.0907"/>
  </r>
  <r>
    <n v="385"/>
    <n v="2"/>
    <n v="7"/>
    <s v="Trek Slash 8 27.5 - 2016"/>
    <n v="6"/>
    <x v="1"/>
    <n v="2"/>
    <n v="3999.99"/>
    <n v="0.2"/>
    <n v="6399.9839999999995"/>
  </r>
  <r>
    <n v="385"/>
    <n v="3"/>
    <n v="26"/>
    <s v="Electra Townie Original 7D EQ - 2016"/>
    <n v="2"/>
    <x v="3"/>
    <n v="2"/>
    <n v="599.99"/>
    <n v="0.05"/>
    <n v="1139.981"/>
  </r>
  <r>
    <n v="386"/>
    <n v="1"/>
    <n v="8"/>
    <s v="Trek Remedy 29 Carbon Frameset - 2016"/>
    <n v="6"/>
    <x v="1"/>
    <n v="1"/>
    <n v="1799.99"/>
    <n v="0.2"/>
    <n v="1439.992"/>
  </r>
  <r>
    <n v="386"/>
    <n v="2"/>
    <n v="3"/>
    <s v="Surly Wednesday Frameset - 2016"/>
    <n v="6"/>
    <x v="1"/>
    <n v="2"/>
    <n v="999.99"/>
    <n v="0.05"/>
    <n v="1899.981"/>
  </r>
  <r>
    <n v="386"/>
    <n v="3"/>
    <n v="16"/>
    <s v="Electra Townie Original 7D EQ - 2016"/>
    <n v="3"/>
    <x v="0"/>
    <n v="2"/>
    <n v="599.99"/>
    <n v="0.2"/>
    <n v="959.98400000000004"/>
  </r>
  <r>
    <n v="387"/>
    <n v="1"/>
    <n v="18"/>
    <s v="Pure Cycles Western 3-Speed - Women's - 2015/2016"/>
    <n v="3"/>
    <x v="0"/>
    <n v="1"/>
    <n v="449"/>
    <n v="0.2"/>
    <n v="359.2"/>
  </r>
  <r>
    <n v="388"/>
    <n v="1"/>
    <n v="19"/>
    <s v="Pure Cycles William 3-Speed - 2016"/>
    <n v="3"/>
    <x v="0"/>
    <n v="2"/>
    <n v="449"/>
    <n v="0.2"/>
    <n v="718.4"/>
  </r>
  <r>
    <n v="388"/>
    <n v="2"/>
    <n v="13"/>
    <s v="Electra Cruiser 1 (24-Inch) - 2016"/>
    <n v="3"/>
    <x v="0"/>
    <n v="2"/>
    <n v="269.99"/>
    <n v="7.0000000000000007E-2"/>
    <n v="502.1814"/>
  </r>
  <r>
    <n v="388"/>
    <n v="3"/>
    <n v="2"/>
    <s v="Ritchey Timberwolf Frameset - 2016"/>
    <n v="6"/>
    <x v="1"/>
    <n v="1"/>
    <n v="749.99"/>
    <n v="7.0000000000000007E-2"/>
    <n v="697.49070000000006"/>
  </r>
  <r>
    <n v="388"/>
    <n v="4"/>
    <n v="11"/>
    <s v="Surly Straggler 650b - 2016"/>
    <n v="4"/>
    <x v="2"/>
    <n v="1"/>
    <n v="1680.99"/>
    <n v="0.1"/>
    <n v="1512.8910000000001"/>
  </r>
  <r>
    <n v="389"/>
    <n v="1"/>
    <n v="2"/>
    <s v="Ritchey Timberwolf Frameset - 2016"/>
    <n v="6"/>
    <x v="1"/>
    <n v="1"/>
    <n v="749.99"/>
    <n v="7.0000000000000007E-2"/>
    <n v="697.49070000000006"/>
  </r>
  <r>
    <n v="389"/>
    <n v="2"/>
    <n v="15"/>
    <s v="Electra Moto 1 - 2016"/>
    <n v="3"/>
    <x v="0"/>
    <n v="2"/>
    <n v="529.99"/>
    <n v="7.0000000000000007E-2"/>
    <n v="985.78139999999996"/>
  </r>
  <r>
    <n v="389"/>
    <n v="3"/>
    <n v="10"/>
    <s v="Surly Straggler - 2016"/>
    <n v="4"/>
    <x v="2"/>
    <n v="2"/>
    <n v="1549"/>
    <n v="0.05"/>
    <n v="2943.1"/>
  </r>
  <r>
    <n v="389"/>
    <n v="4"/>
    <n v="5"/>
    <s v="Heller Shagamaw Frame - 2016"/>
    <n v="6"/>
    <x v="1"/>
    <n v="1"/>
    <n v="1320.99"/>
    <n v="0.05"/>
    <n v="1254.9404999999999"/>
  </r>
  <r>
    <n v="389"/>
    <n v="5"/>
    <n v="9"/>
    <s v="Trek Conduit+ - 2016"/>
    <n v="5"/>
    <x v="4"/>
    <n v="1"/>
    <n v="2999.99"/>
    <n v="0.2"/>
    <n v="2399.9919999999997"/>
  </r>
  <r>
    <n v="390"/>
    <n v="1"/>
    <n v="23"/>
    <s v="Electra Girl's Hawaii 1 (20-inch) - 2015/2016"/>
    <n v="1"/>
    <x v="5"/>
    <n v="1"/>
    <n v="299.99"/>
    <n v="0.05"/>
    <n v="284.9905"/>
  </r>
  <r>
    <n v="390"/>
    <n v="2"/>
    <n v="7"/>
    <s v="Trek Slash 8 27.5 - 2016"/>
    <n v="6"/>
    <x v="1"/>
    <n v="2"/>
    <n v="3999.99"/>
    <n v="7.0000000000000007E-2"/>
    <n v="7439.9813999999997"/>
  </r>
  <r>
    <n v="390"/>
    <n v="3"/>
    <n v="9"/>
    <s v="Trek Conduit+ - 2016"/>
    <n v="5"/>
    <x v="4"/>
    <n v="1"/>
    <n v="2999.99"/>
    <n v="0.05"/>
    <n v="2849.9904999999999"/>
  </r>
  <r>
    <n v="391"/>
    <n v="1"/>
    <n v="8"/>
    <s v="Trek Remedy 29 Carbon Frameset - 2016"/>
    <n v="6"/>
    <x v="1"/>
    <n v="1"/>
    <n v="1799.99"/>
    <n v="7.0000000000000007E-2"/>
    <n v="1673.9907000000001"/>
  </r>
  <r>
    <n v="391"/>
    <n v="2"/>
    <n v="5"/>
    <s v="Heller Shagamaw Frame - 2016"/>
    <n v="6"/>
    <x v="1"/>
    <n v="2"/>
    <n v="1320.99"/>
    <n v="0.2"/>
    <n v="2113.5839999999998"/>
  </r>
  <r>
    <n v="391"/>
    <n v="3"/>
    <n v="24"/>
    <s v="Electra Townie Original 21D - 2016"/>
    <n v="2"/>
    <x v="3"/>
    <n v="2"/>
    <n v="549.99"/>
    <n v="7.0000000000000007E-2"/>
    <n v="1022.9814"/>
  </r>
  <r>
    <n v="392"/>
    <n v="1"/>
    <n v="14"/>
    <s v="Electra Girl's Hawaii 1 (16-inch) - 2015/2016"/>
    <n v="3"/>
    <x v="0"/>
    <n v="2"/>
    <n v="269.99"/>
    <n v="0.1"/>
    <n v="485.98200000000003"/>
  </r>
  <r>
    <n v="392"/>
    <n v="2"/>
    <n v="3"/>
    <s v="Surly Wednesday Frameset - 2016"/>
    <n v="6"/>
    <x v="1"/>
    <n v="2"/>
    <n v="999.99"/>
    <n v="0.05"/>
    <n v="1899.981"/>
  </r>
  <r>
    <n v="393"/>
    <n v="1"/>
    <n v="6"/>
    <s v="Surly Ice Cream Truck Frameset - 2016"/>
    <n v="6"/>
    <x v="1"/>
    <n v="2"/>
    <n v="469.99"/>
    <n v="0.2"/>
    <n v="751.98400000000004"/>
  </r>
  <r>
    <n v="394"/>
    <n v="1"/>
    <n v="23"/>
    <s v="Electra Girl's Hawaii 1 (20-inch) - 2015/2016"/>
    <n v="1"/>
    <x v="5"/>
    <n v="1"/>
    <n v="299.99"/>
    <n v="0.05"/>
    <n v="284.9905"/>
  </r>
  <r>
    <n v="394"/>
    <n v="2"/>
    <n v="16"/>
    <s v="Electra Townie Original 7D EQ - 2016"/>
    <n v="3"/>
    <x v="0"/>
    <n v="1"/>
    <n v="599.99"/>
    <n v="0.2"/>
    <n v="479.99200000000002"/>
  </r>
  <r>
    <n v="394"/>
    <n v="3"/>
    <n v="14"/>
    <s v="Electra Girl's Hawaii 1 (16-inch) - 2015/2016"/>
    <n v="3"/>
    <x v="0"/>
    <n v="2"/>
    <n v="269.99"/>
    <n v="0.2"/>
    <n v="431.98400000000004"/>
  </r>
  <r>
    <n v="395"/>
    <n v="1"/>
    <n v="14"/>
    <s v="Electra Girl's Hawaii 1 (16-inch) - 2015/2016"/>
    <n v="3"/>
    <x v="0"/>
    <n v="1"/>
    <n v="269.99"/>
    <n v="0.05"/>
    <n v="256.4905"/>
  </r>
  <r>
    <n v="396"/>
    <n v="1"/>
    <n v="12"/>
    <s v="Electra Townie Original 21D - 2016"/>
    <n v="3"/>
    <x v="0"/>
    <n v="1"/>
    <n v="549.99"/>
    <n v="0.1"/>
    <n v="494.99099999999999"/>
  </r>
  <r>
    <n v="396"/>
    <n v="2"/>
    <n v="25"/>
    <s v="Electra Townie Original 7D - 2015/2016"/>
    <n v="2"/>
    <x v="3"/>
    <n v="2"/>
    <n v="499.99"/>
    <n v="0.05"/>
    <n v="949.98099999999999"/>
  </r>
  <r>
    <n v="396"/>
    <n v="3"/>
    <n v="5"/>
    <s v="Heller Shagamaw Frame - 2016"/>
    <n v="6"/>
    <x v="1"/>
    <n v="1"/>
    <n v="1320.99"/>
    <n v="0.2"/>
    <n v="1056.7919999999999"/>
  </r>
  <r>
    <n v="397"/>
    <n v="1"/>
    <n v="7"/>
    <s v="Trek Slash 8 27.5 - 2016"/>
    <n v="6"/>
    <x v="1"/>
    <n v="1"/>
    <n v="3999.99"/>
    <n v="0.05"/>
    <n v="3799.9904999999999"/>
  </r>
  <r>
    <n v="398"/>
    <n v="1"/>
    <n v="8"/>
    <s v="Trek Remedy 29 Carbon Frameset - 2016"/>
    <n v="6"/>
    <x v="1"/>
    <n v="2"/>
    <n v="1799.99"/>
    <n v="0.05"/>
    <n v="3419.9809999999998"/>
  </r>
  <r>
    <n v="398"/>
    <n v="2"/>
    <n v="18"/>
    <s v="Pure Cycles Western 3-Speed - Women's - 2015/2016"/>
    <n v="3"/>
    <x v="0"/>
    <n v="2"/>
    <n v="449"/>
    <n v="0.05"/>
    <n v="853.1"/>
  </r>
  <r>
    <n v="398"/>
    <n v="3"/>
    <n v="25"/>
    <s v="Electra Townie Original 7D - 2015/2016"/>
    <n v="2"/>
    <x v="3"/>
    <n v="1"/>
    <n v="499.99"/>
    <n v="0.2"/>
    <n v="399.99200000000002"/>
  </r>
  <r>
    <n v="398"/>
    <n v="4"/>
    <n v="17"/>
    <s v="Pure Cycles Vine 8-Speed - 2016"/>
    <n v="3"/>
    <x v="0"/>
    <n v="1"/>
    <n v="429"/>
    <n v="0.05"/>
    <n v="407.55"/>
  </r>
  <r>
    <n v="399"/>
    <n v="1"/>
    <n v="25"/>
    <s v="Electra Townie Original 7D - 2015/2016"/>
    <n v="2"/>
    <x v="3"/>
    <n v="1"/>
    <n v="499.99"/>
    <n v="0.05"/>
    <n v="474.9905"/>
  </r>
  <r>
    <n v="399"/>
    <n v="2"/>
    <n v="11"/>
    <s v="Surly Straggler 650b - 2016"/>
    <n v="4"/>
    <x v="2"/>
    <n v="2"/>
    <n v="1680.99"/>
    <n v="0.05"/>
    <n v="3193.8809999999999"/>
  </r>
  <r>
    <n v="399"/>
    <n v="3"/>
    <n v="14"/>
    <s v="Electra Girl's Hawaii 1 (16-inch) - 2015/2016"/>
    <n v="3"/>
    <x v="0"/>
    <n v="1"/>
    <n v="269.99"/>
    <n v="0.1"/>
    <n v="242.99100000000001"/>
  </r>
  <r>
    <n v="400"/>
    <n v="1"/>
    <n v="24"/>
    <s v="Electra Townie Original 21D - 2016"/>
    <n v="2"/>
    <x v="3"/>
    <n v="2"/>
    <n v="549.99"/>
    <n v="7.0000000000000007E-2"/>
    <n v="1022.9814"/>
  </r>
  <r>
    <n v="400"/>
    <n v="2"/>
    <n v="9"/>
    <s v="Trek Conduit+ - 2016"/>
    <n v="5"/>
    <x v="4"/>
    <n v="1"/>
    <n v="2999.99"/>
    <n v="0.2"/>
    <n v="2399.9919999999997"/>
  </r>
  <r>
    <n v="400"/>
    <n v="3"/>
    <n v="3"/>
    <s v="Surly Wednesday Frameset - 2016"/>
    <n v="6"/>
    <x v="1"/>
    <n v="2"/>
    <n v="999.99"/>
    <n v="0.2"/>
    <n v="1599.9839999999999"/>
  </r>
  <r>
    <n v="401"/>
    <n v="1"/>
    <n v="23"/>
    <s v="Electra Girl's Hawaii 1 (20-inch) - 2015/2016"/>
    <n v="1"/>
    <x v="5"/>
    <n v="1"/>
    <n v="299.99"/>
    <n v="0.2"/>
    <n v="239.99200000000002"/>
  </r>
  <r>
    <n v="401"/>
    <n v="2"/>
    <n v="10"/>
    <s v="Surly Straggler - 2016"/>
    <n v="4"/>
    <x v="2"/>
    <n v="2"/>
    <n v="1549"/>
    <n v="0.2"/>
    <n v="2478.4"/>
  </r>
  <r>
    <n v="402"/>
    <n v="1"/>
    <n v="6"/>
    <s v="Surly Ice Cream Truck Frameset - 2016"/>
    <n v="6"/>
    <x v="1"/>
    <n v="2"/>
    <n v="469.99"/>
    <n v="7.0000000000000007E-2"/>
    <n v="874.18140000000005"/>
  </r>
  <r>
    <n v="402"/>
    <n v="2"/>
    <n v="5"/>
    <s v="Heller Shagamaw Frame - 2016"/>
    <n v="6"/>
    <x v="1"/>
    <n v="1"/>
    <n v="1320.99"/>
    <n v="7.0000000000000007E-2"/>
    <n v="1228.5207"/>
  </r>
  <r>
    <n v="402"/>
    <n v="3"/>
    <n v="26"/>
    <s v="Electra Townie Original 7D EQ - 2016"/>
    <n v="2"/>
    <x v="3"/>
    <n v="1"/>
    <n v="599.99"/>
    <n v="0.05"/>
    <n v="569.9905"/>
  </r>
  <r>
    <n v="403"/>
    <n v="1"/>
    <n v="12"/>
    <s v="Electra Townie Original 21D - 2016"/>
    <n v="3"/>
    <x v="0"/>
    <n v="2"/>
    <n v="549.99"/>
    <n v="0.1"/>
    <n v="989.98199999999997"/>
  </r>
  <r>
    <n v="403"/>
    <n v="2"/>
    <n v="7"/>
    <s v="Trek Slash 8 27.5 - 2016"/>
    <n v="6"/>
    <x v="1"/>
    <n v="2"/>
    <n v="3999.99"/>
    <n v="0.2"/>
    <n v="6399.9839999999995"/>
  </r>
  <r>
    <n v="403"/>
    <n v="3"/>
    <n v="22"/>
    <s v="Electra Girl's Hawaii 1 (16-inch) - 2015/2016"/>
    <n v="1"/>
    <x v="5"/>
    <n v="2"/>
    <n v="269.99"/>
    <n v="0.05"/>
    <n v="512.98099999999999"/>
  </r>
  <r>
    <n v="403"/>
    <n v="4"/>
    <n v="24"/>
    <s v="Electra Townie Original 21D - 2016"/>
    <n v="2"/>
    <x v="3"/>
    <n v="1"/>
    <n v="549.99"/>
    <n v="0.2"/>
    <n v="439.99200000000002"/>
  </r>
  <r>
    <n v="404"/>
    <n v="1"/>
    <n v="9"/>
    <s v="Trek Conduit+ - 2016"/>
    <n v="5"/>
    <x v="4"/>
    <n v="1"/>
    <n v="2999.99"/>
    <n v="7.0000000000000007E-2"/>
    <n v="2789.9906999999998"/>
  </r>
  <r>
    <n v="404"/>
    <n v="2"/>
    <n v="25"/>
    <s v="Electra Townie Original 7D - 2015/2016"/>
    <n v="2"/>
    <x v="3"/>
    <n v="2"/>
    <n v="499.99"/>
    <n v="0.05"/>
    <n v="949.98099999999999"/>
  </r>
  <r>
    <n v="404"/>
    <n v="3"/>
    <n v="16"/>
    <s v="Electra Townie Original 7D EQ - 2016"/>
    <n v="3"/>
    <x v="0"/>
    <n v="2"/>
    <n v="599.99"/>
    <n v="0.2"/>
    <n v="959.98400000000004"/>
  </r>
  <r>
    <n v="405"/>
    <n v="1"/>
    <n v="3"/>
    <s v="Surly Wednesday Frameset - 2016"/>
    <n v="6"/>
    <x v="1"/>
    <n v="2"/>
    <n v="999.99"/>
    <n v="0.2"/>
    <n v="1599.9839999999999"/>
  </r>
  <r>
    <n v="405"/>
    <n v="2"/>
    <n v="10"/>
    <s v="Surly Straggler - 2016"/>
    <n v="4"/>
    <x v="2"/>
    <n v="2"/>
    <n v="1549"/>
    <n v="0.1"/>
    <n v="2788.2"/>
  </r>
  <r>
    <n v="405"/>
    <n v="3"/>
    <n v="14"/>
    <s v="Electra Girl's Hawaii 1 (16-inch) - 2015/2016"/>
    <n v="3"/>
    <x v="0"/>
    <n v="2"/>
    <n v="269.99"/>
    <n v="7.0000000000000007E-2"/>
    <n v="502.1814"/>
  </r>
  <r>
    <n v="406"/>
    <n v="1"/>
    <n v="4"/>
    <s v="Trek Fuel EX 8 29 - 2016"/>
    <n v="6"/>
    <x v="1"/>
    <n v="1"/>
    <n v="2899.99"/>
    <n v="0.2"/>
    <n v="2319.9919999999997"/>
  </r>
  <r>
    <n v="407"/>
    <n v="1"/>
    <n v="20"/>
    <s v="Electra Townie Original 7D EQ - Women's - 2016"/>
    <n v="3"/>
    <x v="0"/>
    <n v="1"/>
    <n v="599.99"/>
    <n v="0.2"/>
    <n v="479.99200000000002"/>
  </r>
  <r>
    <n v="407"/>
    <n v="2"/>
    <n v="5"/>
    <s v="Heller Shagamaw Frame - 2016"/>
    <n v="6"/>
    <x v="1"/>
    <n v="1"/>
    <n v="1320.99"/>
    <n v="0.05"/>
    <n v="1254.9404999999999"/>
  </r>
  <r>
    <n v="408"/>
    <n v="1"/>
    <n v="18"/>
    <s v="Pure Cycles Western 3-Speed - Women's - 2015/2016"/>
    <n v="3"/>
    <x v="0"/>
    <n v="1"/>
    <n v="449"/>
    <n v="0.2"/>
    <n v="359.2"/>
  </r>
  <r>
    <n v="408"/>
    <n v="2"/>
    <n v="3"/>
    <s v="Surly Wednesday Frameset - 2016"/>
    <n v="6"/>
    <x v="1"/>
    <n v="1"/>
    <n v="999.99"/>
    <n v="7.0000000000000007E-2"/>
    <n v="929.99070000000006"/>
  </r>
  <r>
    <n v="408"/>
    <n v="3"/>
    <n v="2"/>
    <s v="Ritchey Timberwolf Frameset - 2016"/>
    <n v="6"/>
    <x v="1"/>
    <n v="2"/>
    <n v="749.99"/>
    <n v="7.0000000000000007E-2"/>
    <n v="1394.9814000000001"/>
  </r>
  <r>
    <n v="408"/>
    <n v="4"/>
    <n v="17"/>
    <s v="Pure Cycles Vine 8-Speed - 2016"/>
    <n v="3"/>
    <x v="0"/>
    <n v="2"/>
    <n v="429"/>
    <n v="0.2"/>
    <n v="686.4"/>
  </r>
  <r>
    <n v="409"/>
    <n v="1"/>
    <n v="15"/>
    <s v="Electra Moto 1 - 2016"/>
    <n v="3"/>
    <x v="0"/>
    <n v="1"/>
    <n v="529.99"/>
    <n v="7.0000000000000007E-2"/>
    <n v="492.89069999999998"/>
  </r>
  <r>
    <n v="409"/>
    <n v="2"/>
    <n v="16"/>
    <s v="Electra Townie Original 7D EQ - 2016"/>
    <n v="3"/>
    <x v="0"/>
    <n v="2"/>
    <n v="599.99"/>
    <n v="0.2"/>
    <n v="959.98400000000004"/>
  </r>
  <r>
    <n v="409"/>
    <n v="3"/>
    <n v="21"/>
    <s v="Electra Cruiser 1 (24-Inch) - 2016"/>
    <n v="1"/>
    <x v="5"/>
    <n v="1"/>
    <n v="269.99"/>
    <n v="0.05"/>
    <n v="256.4905"/>
  </r>
  <r>
    <n v="410"/>
    <n v="1"/>
    <n v="25"/>
    <s v="Electra Townie Original 7D - 2015/2016"/>
    <n v="2"/>
    <x v="3"/>
    <n v="1"/>
    <n v="499.99"/>
    <n v="0.1"/>
    <n v="449.99099999999999"/>
  </r>
  <r>
    <n v="410"/>
    <n v="2"/>
    <n v="9"/>
    <s v="Trek Conduit+ - 2016"/>
    <n v="5"/>
    <x v="4"/>
    <n v="2"/>
    <n v="2999.99"/>
    <n v="0.05"/>
    <n v="5699.9809999999998"/>
  </r>
  <r>
    <n v="410"/>
    <n v="3"/>
    <n v="24"/>
    <s v="Electra Townie Original 21D - 2016"/>
    <n v="2"/>
    <x v="3"/>
    <n v="2"/>
    <n v="549.99"/>
    <n v="0.1"/>
    <n v="989.98199999999997"/>
  </r>
  <r>
    <n v="411"/>
    <n v="1"/>
    <n v="2"/>
    <s v="Ritchey Timberwolf Frameset - 2016"/>
    <n v="6"/>
    <x v="1"/>
    <n v="1"/>
    <n v="749.99"/>
    <n v="7.0000000000000007E-2"/>
    <n v="697.49070000000006"/>
  </r>
  <r>
    <n v="411"/>
    <n v="2"/>
    <n v="26"/>
    <s v="Electra Townie Original 7D EQ - 2016"/>
    <n v="2"/>
    <x v="3"/>
    <n v="2"/>
    <n v="599.99"/>
    <n v="0.05"/>
    <n v="1139.981"/>
  </r>
  <r>
    <n v="412"/>
    <n v="1"/>
    <n v="7"/>
    <s v="Trek Slash 8 27.5 - 2016"/>
    <n v="6"/>
    <x v="1"/>
    <n v="1"/>
    <n v="3999.99"/>
    <n v="0.1"/>
    <n v="3599.991"/>
  </r>
  <r>
    <n v="412"/>
    <n v="2"/>
    <n v="24"/>
    <s v="Electra Townie Original 21D - 2016"/>
    <n v="2"/>
    <x v="3"/>
    <n v="1"/>
    <n v="549.99"/>
    <n v="7.0000000000000007E-2"/>
    <n v="511.4907"/>
  </r>
  <r>
    <n v="412"/>
    <n v="3"/>
    <n v="17"/>
    <s v="Pure Cycles Vine 8-Speed - 2016"/>
    <n v="3"/>
    <x v="0"/>
    <n v="1"/>
    <n v="429"/>
    <n v="0.1"/>
    <n v="386.1"/>
  </r>
  <r>
    <n v="413"/>
    <n v="1"/>
    <n v="8"/>
    <s v="Trek Remedy 29 Carbon Frameset - 2016"/>
    <n v="6"/>
    <x v="1"/>
    <n v="2"/>
    <n v="1799.99"/>
    <n v="0.05"/>
    <n v="3419.9809999999998"/>
  </r>
  <r>
    <n v="413"/>
    <n v="2"/>
    <n v="25"/>
    <s v="Electra Townie Original 7D - 2015/2016"/>
    <n v="2"/>
    <x v="3"/>
    <n v="1"/>
    <n v="499.99"/>
    <n v="0.1"/>
    <n v="449.99099999999999"/>
  </r>
  <r>
    <n v="413"/>
    <n v="3"/>
    <n v="9"/>
    <s v="Trek Conduit+ - 2016"/>
    <n v="5"/>
    <x v="4"/>
    <n v="1"/>
    <n v="2999.99"/>
    <n v="7.0000000000000007E-2"/>
    <n v="2789.9906999999998"/>
  </r>
  <r>
    <n v="414"/>
    <n v="1"/>
    <n v="4"/>
    <s v="Trek Fuel EX 8 29 - 2016"/>
    <n v="6"/>
    <x v="1"/>
    <n v="2"/>
    <n v="2899.99"/>
    <n v="0.1"/>
    <n v="5219.982"/>
  </r>
  <r>
    <n v="415"/>
    <n v="1"/>
    <n v="3"/>
    <s v="Surly Wednesday Frameset - 2016"/>
    <n v="6"/>
    <x v="1"/>
    <n v="1"/>
    <n v="999.99"/>
    <n v="7.0000000000000007E-2"/>
    <n v="929.99070000000006"/>
  </r>
  <r>
    <n v="415"/>
    <n v="2"/>
    <n v="23"/>
    <s v="Electra Girl's Hawaii 1 (20-inch) - 2015/2016"/>
    <n v="1"/>
    <x v="5"/>
    <n v="2"/>
    <n v="299.99"/>
    <n v="0.2"/>
    <n v="479.98400000000004"/>
  </r>
  <r>
    <n v="415"/>
    <n v="3"/>
    <n v="5"/>
    <s v="Heller Shagamaw Frame - 2016"/>
    <n v="6"/>
    <x v="1"/>
    <n v="1"/>
    <n v="1320.99"/>
    <n v="0.2"/>
    <n v="1056.7919999999999"/>
  </r>
  <r>
    <n v="415"/>
    <n v="4"/>
    <n v="6"/>
    <s v="Surly Ice Cream Truck Frameset - 2016"/>
    <n v="6"/>
    <x v="1"/>
    <n v="2"/>
    <n v="469.99"/>
    <n v="0.05"/>
    <n v="892.98099999999999"/>
  </r>
  <r>
    <n v="416"/>
    <n v="1"/>
    <n v="22"/>
    <s v="Electra Girl's Hawaii 1 (16-inch) - 2015/2016"/>
    <n v="1"/>
    <x v="5"/>
    <n v="1"/>
    <n v="269.99"/>
    <n v="7.0000000000000007E-2"/>
    <n v="251.0907"/>
  </r>
  <r>
    <n v="416"/>
    <n v="2"/>
    <n v="14"/>
    <s v="Electra Girl's Hawaii 1 (16-inch) - 2015/2016"/>
    <n v="3"/>
    <x v="0"/>
    <n v="1"/>
    <n v="269.99"/>
    <n v="7.0000000000000007E-2"/>
    <n v="251.0907"/>
  </r>
  <r>
    <n v="416"/>
    <n v="3"/>
    <n v="24"/>
    <s v="Electra Townie Original 21D - 2016"/>
    <n v="2"/>
    <x v="3"/>
    <n v="1"/>
    <n v="549.99"/>
    <n v="0.1"/>
    <n v="494.99099999999999"/>
  </r>
  <r>
    <n v="417"/>
    <n v="1"/>
    <n v="26"/>
    <s v="Electra Townie Original 7D EQ - 2016"/>
    <n v="2"/>
    <x v="3"/>
    <n v="2"/>
    <n v="599.99"/>
    <n v="7.0000000000000007E-2"/>
    <n v="1115.9814000000001"/>
  </r>
  <r>
    <n v="417"/>
    <n v="2"/>
    <n v="6"/>
    <s v="Surly Ice Cream Truck Frameset - 2016"/>
    <n v="6"/>
    <x v="1"/>
    <n v="2"/>
    <n v="469.99"/>
    <n v="7.0000000000000007E-2"/>
    <n v="874.18140000000005"/>
  </r>
  <r>
    <n v="418"/>
    <n v="1"/>
    <n v="12"/>
    <s v="Electra Townie Original 21D - 2016"/>
    <n v="3"/>
    <x v="0"/>
    <n v="1"/>
    <n v="549.99"/>
    <n v="0.05"/>
    <n v="522.4905"/>
  </r>
  <r>
    <n v="418"/>
    <n v="2"/>
    <n v="20"/>
    <s v="Electra Townie Original 7D EQ - Women's - 2016"/>
    <n v="3"/>
    <x v="0"/>
    <n v="1"/>
    <n v="599.99"/>
    <n v="0.05"/>
    <n v="569.9905"/>
  </r>
  <r>
    <n v="419"/>
    <n v="1"/>
    <n v="9"/>
    <s v="Trek Conduit+ - 2016"/>
    <n v="5"/>
    <x v="4"/>
    <n v="1"/>
    <n v="2999.99"/>
    <n v="0.05"/>
    <n v="2849.9904999999999"/>
  </r>
  <r>
    <n v="420"/>
    <n v="1"/>
    <n v="17"/>
    <s v="Pure Cycles Vine 8-Speed - 2016"/>
    <n v="3"/>
    <x v="0"/>
    <n v="2"/>
    <n v="429"/>
    <n v="0.2"/>
    <n v="686.4"/>
  </r>
  <r>
    <n v="420"/>
    <n v="2"/>
    <n v="15"/>
    <s v="Electra Moto 1 - 2016"/>
    <n v="3"/>
    <x v="0"/>
    <n v="2"/>
    <n v="529.99"/>
    <n v="0.1"/>
    <n v="953.98199999999997"/>
  </r>
  <r>
    <n v="420"/>
    <n v="3"/>
    <n v="3"/>
    <s v="Surly Wednesday Frameset - 2016"/>
    <n v="6"/>
    <x v="1"/>
    <n v="2"/>
    <n v="999.99"/>
    <n v="0.05"/>
    <n v="1899.981"/>
  </r>
  <r>
    <n v="421"/>
    <n v="1"/>
    <n v="6"/>
    <s v="Surly Ice Cream Truck Frameset - 2016"/>
    <n v="6"/>
    <x v="1"/>
    <n v="2"/>
    <n v="469.99"/>
    <n v="7.0000000000000007E-2"/>
    <n v="874.18140000000005"/>
  </r>
  <r>
    <n v="421"/>
    <n v="2"/>
    <n v="3"/>
    <s v="Surly Wednesday Frameset - 2016"/>
    <n v="6"/>
    <x v="1"/>
    <n v="2"/>
    <n v="999.99"/>
    <n v="0.2"/>
    <n v="1599.9839999999999"/>
  </r>
  <r>
    <n v="421"/>
    <n v="3"/>
    <n v="20"/>
    <s v="Electra Townie Original 7D EQ - Women's - 2016"/>
    <n v="3"/>
    <x v="0"/>
    <n v="2"/>
    <n v="599.99"/>
    <n v="0.2"/>
    <n v="959.98400000000004"/>
  </r>
  <r>
    <n v="421"/>
    <n v="4"/>
    <n v="4"/>
    <s v="Trek Fuel EX 8 29 - 2016"/>
    <n v="6"/>
    <x v="1"/>
    <n v="1"/>
    <n v="2899.99"/>
    <n v="7.0000000000000007E-2"/>
    <n v="2696.9906999999998"/>
  </r>
  <r>
    <n v="421"/>
    <n v="5"/>
    <n v="23"/>
    <s v="Electra Girl's Hawaii 1 (20-inch) - 2015/2016"/>
    <n v="1"/>
    <x v="5"/>
    <n v="2"/>
    <n v="299.99"/>
    <n v="0.2"/>
    <n v="479.98400000000004"/>
  </r>
  <r>
    <n v="422"/>
    <n v="1"/>
    <n v="20"/>
    <s v="Electra Townie Original 7D EQ - Women's - 2016"/>
    <n v="3"/>
    <x v="0"/>
    <n v="2"/>
    <n v="599.99"/>
    <n v="0.05"/>
    <n v="1139.981"/>
  </r>
  <r>
    <n v="423"/>
    <n v="1"/>
    <n v="8"/>
    <s v="Trek Remedy 29 Carbon Frameset - 2016"/>
    <n v="6"/>
    <x v="1"/>
    <n v="2"/>
    <n v="1799.99"/>
    <n v="0.05"/>
    <n v="3419.9809999999998"/>
  </r>
  <r>
    <n v="423"/>
    <n v="2"/>
    <n v="17"/>
    <s v="Pure Cycles Vine 8-Speed - 2016"/>
    <n v="3"/>
    <x v="0"/>
    <n v="1"/>
    <n v="429"/>
    <n v="0.2"/>
    <n v="343.2"/>
  </r>
  <r>
    <n v="423"/>
    <n v="3"/>
    <n v="23"/>
    <s v="Electra Girl's Hawaii 1 (20-inch) - 2015/2016"/>
    <n v="1"/>
    <x v="5"/>
    <n v="2"/>
    <n v="299.99"/>
    <n v="7.0000000000000007E-2"/>
    <n v="557.98140000000001"/>
  </r>
  <r>
    <n v="423"/>
    <n v="4"/>
    <n v="2"/>
    <s v="Ritchey Timberwolf Frameset - 2016"/>
    <n v="6"/>
    <x v="1"/>
    <n v="1"/>
    <n v="749.99"/>
    <n v="0.2"/>
    <n v="599.99199999999996"/>
  </r>
  <r>
    <n v="424"/>
    <n v="1"/>
    <n v="22"/>
    <s v="Electra Girl's Hawaii 1 (16-inch) - 2015/2016"/>
    <n v="1"/>
    <x v="5"/>
    <n v="1"/>
    <n v="269.99"/>
    <n v="0.1"/>
    <n v="242.99100000000001"/>
  </r>
  <r>
    <n v="424"/>
    <n v="2"/>
    <n v="6"/>
    <s v="Surly Ice Cream Truck Frameset - 2016"/>
    <n v="6"/>
    <x v="1"/>
    <n v="1"/>
    <n v="469.99"/>
    <n v="0.05"/>
    <n v="446.4905"/>
  </r>
  <r>
    <n v="425"/>
    <n v="1"/>
    <n v="6"/>
    <s v="Surly Ice Cream Truck Frameset - 2016"/>
    <n v="6"/>
    <x v="1"/>
    <n v="1"/>
    <n v="469.99"/>
    <n v="0.1"/>
    <n v="422.99099999999999"/>
  </r>
  <r>
    <n v="425"/>
    <n v="2"/>
    <n v="21"/>
    <s v="Electra Cruiser 1 (24-Inch) - 2016"/>
    <n v="1"/>
    <x v="5"/>
    <n v="2"/>
    <n v="269.99"/>
    <n v="7.0000000000000007E-2"/>
    <n v="502.1814"/>
  </r>
  <r>
    <n v="425"/>
    <n v="3"/>
    <n v="19"/>
    <s v="Pure Cycles William 3-Speed - 2016"/>
    <n v="3"/>
    <x v="0"/>
    <n v="1"/>
    <n v="449"/>
    <n v="0.05"/>
    <n v="426.55"/>
  </r>
  <r>
    <n v="426"/>
    <n v="1"/>
    <n v="10"/>
    <s v="Surly Straggler - 2016"/>
    <n v="4"/>
    <x v="2"/>
    <n v="1"/>
    <n v="1549"/>
    <n v="0.1"/>
    <n v="1394.1"/>
  </r>
  <r>
    <n v="426"/>
    <n v="2"/>
    <n v="23"/>
    <s v="Electra Girl's Hawaii 1 (20-inch) - 2015/2016"/>
    <n v="1"/>
    <x v="5"/>
    <n v="2"/>
    <n v="299.99"/>
    <n v="0.05"/>
    <n v="569.98099999999999"/>
  </r>
  <r>
    <n v="427"/>
    <n v="1"/>
    <n v="12"/>
    <s v="Electra Townie Original 21D - 2016"/>
    <n v="3"/>
    <x v="0"/>
    <n v="2"/>
    <n v="549.99"/>
    <n v="7.0000000000000007E-2"/>
    <n v="1022.9814"/>
  </r>
  <r>
    <n v="427"/>
    <n v="2"/>
    <n v="15"/>
    <s v="Electra Moto 1 - 2016"/>
    <n v="3"/>
    <x v="0"/>
    <n v="2"/>
    <n v="529.99"/>
    <n v="0.1"/>
    <n v="953.98199999999997"/>
  </r>
  <r>
    <n v="427"/>
    <n v="3"/>
    <n v="26"/>
    <s v="Electra Townie Original 7D EQ - 2016"/>
    <n v="2"/>
    <x v="3"/>
    <n v="2"/>
    <n v="599.99"/>
    <n v="7.0000000000000007E-2"/>
    <n v="1115.9814000000001"/>
  </r>
  <r>
    <n v="428"/>
    <n v="1"/>
    <n v="5"/>
    <s v="Heller Shagamaw Frame - 2016"/>
    <n v="6"/>
    <x v="1"/>
    <n v="2"/>
    <n v="1320.99"/>
    <n v="0.2"/>
    <n v="2113.5839999999998"/>
  </r>
  <r>
    <n v="428"/>
    <n v="2"/>
    <n v="14"/>
    <s v="Electra Girl's Hawaii 1 (16-inch) - 2015/2016"/>
    <n v="3"/>
    <x v="0"/>
    <n v="1"/>
    <n v="269.99"/>
    <n v="0.2"/>
    <n v="215.99200000000002"/>
  </r>
  <r>
    <n v="429"/>
    <n v="1"/>
    <n v="11"/>
    <s v="Surly Straggler 650b - 2016"/>
    <n v="4"/>
    <x v="2"/>
    <n v="1"/>
    <n v="1680.99"/>
    <n v="0.2"/>
    <n v="1344.7919999999999"/>
  </r>
  <r>
    <n v="429"/>
    <n v="2"/>
    <n v="4"/>
    <s v="Trek Fuel EX 8 29 - 2016"/>
    <n v="6"/>
    <x v="1"/>
    <n v="2"/>
    <n v="2899.99"/>
    <n v="0.1"/>
    <n v="5219.982"/>
  </r>
  <r>
    <n v="429"/>
    <n v="3"/>
    <n v="5"/>
    <s v="Heller Shagamaw Frame - 2016"/>
    <n v="6"/>
    <x v="1"/>
    <n v="2"/>
    <n v="1320.99"/>
    <n v="0.05"/>
    <n v="2509.8809999999999"/>
  </r>
  <r>
    <n v="429"/>
    <n v="4"/>
    <n v="6"/>
    <s v="Surly Ice Cream Truck Frameset - 2016"/>
    <n v="6"/>
    <x v="1"/>
    <n v="1"/>
    <n v="469.99"/>
    <n v="7.0000000000000007E-2"/>
    <n v="437.09070000000003"/>
  </r>
  <r>
    <n v="429"/>
    <n v="5"/>
    <n v="2"/>
    <s v="Ritchey Timberwolf Frameset - 2016"/>
    <n v="6"/>
    <x v="1"/>
    <n v="1"/>
    <n v="749.99"/>
    <n v="0.1"/>
    <n v="674.99099999999999"/>
  </r>
  <r>
    <n v="430"/>
    <n v="1"/>
    <n v="22"/>
    <s v="Electra Girl's Hawaii 1 (16-inch) - 2015/2016"/>
    <n v="1"/>
    <x v="5"/>
    <n v="2"/>
    <n v="269.99"/>
    <n v="0.1"/>
    <n v="485.98200000000003"/>
  </r>
  <r>
    <n v="430"/>
    <n v="2"/>
    <n v="11"/>
    <s v="Surly Straggler 650b - 2016"/>
    <n v="4"/>
    <x v="2"/>
    <n v="1"/>
    <n v="1680.99"/>
    <n v="7.0000000000000007E-2"/>
    <n v="1563.3207"/>
  </r>
  <r>
    <n v="430"/>
    <n v="3"/>
    <n v="4"/>
    <s v="Trek Fuel EX 8 29 - 2016"/>
    <n v="6"/>
    <x v="1"/>
    <n v="2"/>
    <n v="2899.99"/>
    <n v="0.2"/>
    <n v="4639.9839999999995"/>
  </r>
  <r>
    <n v="430"/>
    <n v="4"/>
    <n v="13"/>
    <s v="Electra Cruiser 1 (24-Inch) - 2016"/>
    <n v="3"/>
    <x v="0"/>
    <n v="2"/>
    <n v="269.99"/>
    <n v="0.2"/>
    <n v="431.98400000000004"/>
  </r>
  <r>
    <n v="430"/>
    <n v="5"/>
    <n v="8"/>
    <s v="Trek Remedy 29 Carbon Frameset - 2016"/>
    <n v="6"/>
    <x v="1"/>
    <n v="1"/>
    <n v="1799.99"/>
    <n v="0.2"/>
    <n v="1439.992"/>
  </r>
  <r>
    <n v="431"/>
    <n v="1"/>
    <n v="14"/>
    <s v="Electra Girl's Hawaii 1 (16-inch) - 2015/2016"/>
    <n v="3"/>
    <x v="0"/>
    <n v="2"/>
    <n v="269.99"/>
    <n v="0.2"/>
    <n v="431.98400000000004"/>
  </r>
  <r>
    <n v="431"/>
    <n v="2"/>
    <n v="6"/>
    <s v="Surly Ice Cream Truck Frameset - 2016"/>
    <n v="6"/>
    <x v="1"/>
    <n v="1"/>
    <n v="469.99"/>
    <n v="0.1"/>
    <n v="422.99099999999999"/>
  </r>
  <r>
    <n v="431"/>
    <n v="3"/>
    <n v="18"/>
    <s v="Pure Cycles Western 3-Speed - Women's - 2015/2016"/>
    <n v="3"/>
    <x v="0"/>
    <n v="1"/>
    <n v="449"/>
    <n v="0.2"/>
    <n v="359.2"/>
  </r>
  <r>
    <n v="431"/>
    <n v="4"/>
    <n v="13"/>
    <s v="Electra Cruiser 1 (24-Inch) - 2016"/>
    <n v="3"/>
    <x v="0"/>
    <n v="2"/>
    <n v="269.99"/>
    <n v="7.0000000000000007E-2"/>
    <n v="502.1814"/>
  </r>
  <r>
    <n v="431"/>
    <n v="5"/>
    <n v="19"/>
    <s v="Pure Cycles William 3-Speed - 2016"/>
    <n v="3"/>
    <x v="0"/>
    <n v="1"/>
    <n v="449"/>
    <n v="7.0000000000000007E-2"/>
    <n v="417.57"/>
  </r>
  <r>
    <n v="432"/>
    <n v="1"/>
    <n v="10"/>
    <s v="Surly Straggler - 2016"/>
    <n v="4"/>
    <x v="2"/>
    <n v="2"/>
    <n v="1549"/>
    <n v="0.2"/>
    <n v="2478.4"/>
  </r>
  <r>
    <n v="432"/>
    <n v="2"/>
    <n v="7"/>
    <s v="Trek Slash 8 27.5 - 2016"/>
    <n v="6"/>
    <x v="1"/>
    <n v="2"/>
    <n v="3999.99"/>
    <n v="0.05"/>
    <n v="7599.9809999999998"/>
  </r>
  <r>
    <n v="433"/>
    <n v="1"/>
    <n v="6"/>
    <s v="Surly Ice Cream Truck Frameset - 2016"/>
    <n v="6"/>
    <x v="1"/>
    <n v="1"/>
    <n v="469.99"/>
    <n v="0.1"/>
    <n v="422.99099999999999"/>
  </r>
  <r>
    <n v="433"/>
    <n v="2"/>
    <n v="10"/>
    <s v="Surly Straggler - 2016"/>
    <n v="4"/>
    <x v="2"/>
    <n v="1"/>
    <n v="1549"/>
    <n v="0.2"/>
    <n v="1239.2"/>
  </r>
  <r>
    <n v="433"/>
    <n v="3"/>
    <n v="24"/>
    <s v="Electra Townie Original 21D - 2016"/>
    <n v="2"/>
    <x v="3"/>
    <n v="1"/>
    <n v="549.99"/>
    <n v="0.1"/>
    <n v="494.99099999999999"/>
  </r>
  <r>
    <n v="433"/>
    <n v="4"/>
    <n v="4"/>
    <s v="Trek Fuel EX 8 29 - 2016"/>
    <n v="6"/>
    <x v="1"/>
    <n v="1"/>
    <n v="2899.99"/>
    <n v="0.2"/>
    <n v="2319.9919999999997"/>
  </r>
  <r>
    <n v="434"/>
    <n v="1"/>
    <n v="21"/>
    <s v="Electra Cruiser 1 (24-Inch) - 2016"/>
    <n v="1"/>
    <x v="5"/>
    <n v="1"/>
    <n v="269.99"/>
    <n v="0.05"/>
    <n v="256.4905"/>
  </r>
  <r>
    <n v="434"/>
    <n v="2"/>
    <n v="20"/>
    <s v="Electra Townie Original 7D EQ - Women's - 2016"/>
    <n v="3"/>
    <x v="0"/>
    <n v="1"/>
    <n v="599.99"/>
    <n v="0.1"/>
    <n v="539.99099999999999"/>
  </r>
  <r>
    <n v="434"/>
    <n v="3"/>
    <n v="9"/>
    <s v="Trek Conduit+ - 2016"/>
    <n v="5"/>
    <x v="4"/>
    <n v="1"/>
    <n v="2999.99"/>
    <n v="0.2"/>
    <n v="2399.9919999999997"/>
  </r>
  <r>
    <n v="434"/>
    <n v="4"/>
    <n v="11"/>
    <s v="Surly Straggler 650b - 2016"/>
    <n v="4"/>
    <x v="2"/>
    <n v="2"/>
    <n v="1680.99"/>
    <n v="7.0000000000000007E-2"/>
    <n v="3126.6414"/>
  </r>
  <r>
    <n v="434"/>
    <n v="5"/>
    <n v="18"/>
    <s v="Pure Cycles Western 3-Speed - Women's - 2015/2016"/>
    <n v="3"/>
    <x v="0"/>
    <n v="2"/>
    <n v="449"/>
    <n v="0.05"/>
    <n v="853.1"/>
  </r>
  <r>
    <n v="435"/>
    <n v="1"/>
    <n v="22"/>
    <s v="Electra Girl's Hawaii 1 (16-inch) - 2015/2016"/>
    <n v="1"/>
    <x v="5"/>
    <n v="1"/>
    <n v="269.99"/>
    <n v="0.05"/>
    <n v="256.4905"/>
  </r>
  <r>
    <n v="435"/>
    <n v="2"/>
    <n v="9"/>
    <s v="Trek Conduit+ - 2016"/>
    <n v="5"/>
    <x v="4"/>
    <n v="1"/>
    <n v="2999.99"/>
    <n v="0.05"/>
    <n v="2849.9904999999999"/>
  </r>
  <r>
    <n v="435"/>
    <n v="3"/>
    <n v="18"/>
    <s v="Pure Cycles Western 3-Speed - Women's - 2015/2016"/>
    <n v="3"/>
    <x v="0"/>
    <n v="1"/>
    <n v="449"/>
    <n v="0.05"/>
    <n v="426.55"/>
  </r>
  <r>
    <n v="436"/>
    <n v="1"/>
    <n v="3"/>
    <s v="Surly Wednesday Frameset - 2016"/>
    <n v="6"/>
    <x v="1"/>
    <n v="1"/>
    <n v="999.99"/>
    <n v="0.05"/>
    <n v="949.9905"/>
  </r>
  <r>
    <n v="436"/>
    <n v="2"/>
    <n v="23"/>
    <s v="Electra Girl's Hawaii 1 (20-inch) - 2015/2016"/>
    <n v="1"/>
    <x v="5"/>
    <n v="1"/>
    <n v="299.99"/>
    <n v="0.2"/>
    <n v="239.99200000000002"/>
  </r>
  <r>
    <n v="437"/>
    <n v="1"/>
    <n v="3"/>
    <s v="Surly Wednesday Frameset - 2016"/>
    <n v="6"/>
    <x v="1"/>
    <n v="1"/>
    <n v="999.99"/>
    <n v="0.05"/>
    <n v="949.9905"/>
  </r>
  <r>
    <n v="437"/>
    <n v="2"/>
    <n v="10"/>
    <s v="Surly Straggler - 2016"/>
    <n v="4"/>
    <x v="2"/>
    <n v="1"/>
    <n v="1549"/>
    <n v="0.05"/>
    <n v="1471.55"/>
  </r>
  <r>
    <n v="437"/>
    <n v="3"/>
    <n v="8"/>
    <s v="Trek Remedy 29 Carbon Frameset - 2016"/>
    <n v="6"/>
    <x v="1"/>
    <n v="2"/>
    <n v="1799.99"/>
    <n v="0.05"/>
    <n v="3419.9809999999998"/>
  </r>
  <r>
    <n v="438"/>
    <n v="1"/>
    <n v="4"/>
    <s v="Trek Fuel EX 8 29 - 2016"/>
    <n v="6"/>
    <x v="1"/>
    <n v="1"/>
    <n v="2899.99"/>
    <n v="7.0000000000000007E-2"/>
    <n v="2696.9906999999998"/>
  </r>
  <r>
    <n v="438"/>
    <n v="2"/>
    <n v="22"/>
    <s v="Electra Girl's Hawaii 1 (16-inch) - 2015/2016"/>
    <n v="1"/>
    <x v="5"/>
    <n v="1"/>
    <n v="269.99"/>
    <n v="0.1"/>
    <n v="242.99100000000001"/>
  </r>
  <r>
    <n v="438"/>
    <n v="3"/>
    <n v="8"/>
    <s v="Trek Remedy 29 Carbon Frameset - 2016"/>
    <n v="6"/>
    <x v="1"/>
    <n v="2"/>
    <n v="1799.99"/>
    <n v="0.05"/>
    <n v="3419.9809999999998"/>
  </r>
  <r>
    <n v="438"/>
    <n v="4"/>
    <n v="13"/>
    <s v="Electra Cruiser 1 (24-Inch) - 2016"/>
    <n v="3"/>
    <x v="0"/>
    <n v="2"/>
    <n v="269.99"/>
    <n v="0.05"/>
    <n v="512.98099999999999"/>
  </r>
  <r>
    <n v="439"/>
    <n v="1"/>
    <n v="6"/>
    <s v="Surly Ice Cream Truck Frameset - 2016"/>
    <n v="6"/>
    <x v="1"/>
    <n v="2"/>
    <n v="469.99"/>
    <n v="7.0000000000000007E-2"/>
    <n v="874.18140000000005"/>
  </r>
  <r>
    <n v="439"/>
    <n v="2"/>
    <n v="7"/>
    <s v="Trek Slash 8 27.5 - 2016"/>
    <n v="6"/>
    <x v="1"/>
    <n v="2"/>
    <n v="3999.99"/>
    <n v="0.05"/>
    <n v="7599.9809999999998"/>
  </r>
  <r>
    <n v="440"/>
    <n v="1"/>
    <n v="19"/>
    <s v="Pure Cycles William 3-Speed - 2016"/>
    <n v="3"/>
    <x v="0"/>
    <n v="2"/>
    <n v="449"/>
    <n v="7.0000000000000007E-2"/>
    <n v="835.14"/>
  </r>
  <r>
    <n v="440"/>
    <n v="2"/>
    <n v="4"/>
    <s v="Trek Fuel EX 8 29 - 2016"/>
    <n v="6"/>
    <x v="1"/>
    <n v="2"/>
    <n v="2899.99"/>
    <n v="7.0000000000000007E-2"/>
    <n v="5393.9813999999997"/>
  </r>
  <r>
    <n v="441"/>
    <n v="1"/>
    <n v="12"/>
    <s v="Electra Townie Original 21D - 2016"/>
    <n v="3"/>
    <x v="0"/>
    <n v="1"/>
    <n v="549.99"/>
    <n v="7.0000000000000007E-2"/>
    <n v="511.4907"/>
  </r>
  <r>
    <n v="441"/>
    <n v="2"/>
    <n v="15"/>
    <s v="Electra Moto 1 - 2016"/>
    <n v="3"/>
    <x v="0"/>
    <n v="1"/>
    <n v="529.99"/>
    <n v="0.1"/>
    <n v="476.99099999999999"/>
  </r>
  <r>
    <n v="442"/>
    <n v="1"/>
    <n v="16"/>
    <s v="Electra Townie Original 7D EQ - 2016"/>
    <n v="3"/>
    <x v="0"/>
    <n v="2"/>
    <n v="599.99"/>
    <n v="7.0000000000000007E-2"/>
    <n v="1115.9814000000001"/>
  </r>
  <r>
    <n v="442"/>
    <n v="2"/>
    <n v="26"/>
    <s v="Electra Townie Original 7D EQ - 2016"/>
    <n v="2"/>
    <x v="3"/>
    <n v="2"/>
    <n v="599.99"/>
    <n v="0.2"/>
    <n v="959.98400000000004"/>
  </r>
  <r>
    <n v="442"/>
    <n v="3"/>
    <n v="6"/>
    <s v="Surly Ice Cream Truck Frameset - 2016"/>
    <n v="6"/>
    <x v="1"/>
    <n v="2"/>
    <n v="469.99"/>
    <n v="0.2"/>
    <n v="751.98400000000004"/>
  </r>
  <r>
    <n v="443"/>
    <n v="1"/>
    <n v="5"/>
    <s v="Heller Shagamaw Frame - 2016"/>
    <n v="6"/>
    <x v="1"/>
    <n v="1"/>
    <n v="1320.99"/>
    <n v="0.05"/>
    <n v="1254.9404999999999"/>
  </r>
  <r>
    <n v="443"/>
    <n v="2"/>
    <n v="26"/>
    <s v="Electra Townie Original 7D EQ - 2016"/>
    <n v="2"/>
    <x v="3"/>
    <n v="1"/>
    <n v="599.99"/>
    <n v="0.2"/>
    <n v="479.99200000000002"/>
  </r>
  <r>
    <n v="444"/>
    <n v="1"/>
    <n v="22"/>
    <s v="Electra Girl's Hawaii 1 (16-inch) - 2015/2016"/>
    <n v="1"/>
    <x v="5"/>
    <n v="1"/>
    <n v="269.99"/>
    <n v="7.0000000000000007E-2"/>
    <n v="251.0907"/>
  </r>
  <r>
    <n v="444"/>
    <n v="2"/>
    <n v="15"/>
    <s v="Electra Moto 1 - 2016"/>
    <n v="3"/>
    <x v="0"/>
    <n v="2"/>
    <n v="529.99"/>
    <n v="7.0000000000000007E-2"/>
    <n v="985.78139999999996"/>
  </r>
  <r>
    <n v="444"/>
    <n v="3"/>
    <n v="20"/>
    <s v="Electra Townie Original 7D EQ - Women's - 2016"/>
    <n v="3"/>
    <x v="0"/>
    <n v="2"/>
    <n v="599.99"/>
    <n v="0.05"/>
    <n v="1139.981"/>
  </r>
  <r>
    <n v="444"/>
    <n v="4"/>
    <n v="16"/>
    <s v="Electra Townie Original 7D EQ - 2016"/>
    <n v="3"/>
    <x v="0"/>
    <n v="1"/>
    <n v="599.99"/>
    <n v="0.1"/>
    <n v="539.99099999999999"/>
  </r>
  <r>
    <n v="444"/>
    <n v="5"/>
    <n v="10"/>
    <s v="Surly Straggler - 2016"/>
    <n v="4"/>
    <x v="2"/>
    <n v="2"/>
    <n v="1549"/>
    <n v="0.2"/>
    <n v="2478.4"/>
  </r>
  <r>
    <n v="445"/>
    <n v="1"/>
    <n v="7"/>
    <s v="Trek Slash 8 27.5 - 2016"/>
    <n v="6"/>
    <x v="1"/>
    <n v="1"/>
    <n v="3999.99"/>
    <n v="0.2"/>
    <n v="3199.9919999999997"/>
  </r>
  <r>
    <n v="445"/>
    <n v="2"/>
    <n v="16"/>
    <s v="Electra Townie Original 7D EQ - 2016"/>
    <n v="3"/>
    <x v="0"/>
    <n v="1"/>
    <n v="599.99"/>
    <n v="7.0000000000000007E-2"/>
    <n v="557.99070000000006"/>
  </r>
  <r>
    <n v="445"/>
    <n v="3"/>
    <n v="23"/>
    <s v="Electra Girl's Hawaii 1 (20-inch) - 2015/2016"/>
    <n v="1"/>
    <x v="5"/>
    <n v="1"/>
    <n v="299.99"/>
    <n v="0.2"/>
    <n v="239.99200000000002"/>
  </r>
  <r>
    <n v="446"/>
    <n v="1"/>
    <n v="22"/>
    <s v="Electra Girl's Hawaii 1 (16-inch) - 2015/2016"/>
    <n v="1"/>
    <x v="5"/>
    <n v="1"/>
    <n v="269.99"/>
    <n v="0.2"/>
    <n v="215.99200000000002"/>
  </r>
  <r>
    <n v="446"/>
    <n v="2"/>
    <n v="16"/>
    <s v="Electra Townie Original 7D EQ - 2016"/>
    <n v="3"/>
    <x v="0"/>
    <n v="2"/>
    <n v="599.99"/>
    <n v="7.0000000000000007E-2"/>
    <n v="1115.9814000000001"/>
  </r>
  <r>
    <n v="447"/>
    <n v="1"/>
    <n v="4"/>
    <s v="Trek Fuel EX 8 29 - 2016"/>
    <n v="6"/>
    <x v="1"/>
    <n v="2"/>
    <n v="2899.99"/>
    <n v="0.05"/>
    <n v="5509.9809999999998"/>
  </r>
  <r>
    <n v="447"/>
    <n v="2"/>
    <n v="3"/>
    <s v="Surly Wednesday Frameset - 2016"/>
    <n v="6"/>
    <x v="1"/>
    <n v="1"/>
    <n v="999.99"/>
    <n v="0.1"/>
    <n v="899.99099999999999"/>
  </r>
  <r>
    <n v="447"/>
    <n v="3"/>
    <n v="8"/>
    <s v="Trek Remedy 29 Carbon Frameset - 2016"/>
    <n v="6"/>
    <x v="1"/>
    <n v="1"/>
    <n v="1799.99"/>
    <n v="7.0000000000000007E-2"/>
    <n v="1673.9907000000001"/>
  </r>
  <r>
    <n v="448"/>
    <n v="1"/>
    <n v="13"/>
    <s v="Electra Cruiser 1 (24-Inch) - 2016"/>
    <n v="3"/>
    <x v="0"/>
    <n v="2"/>
    <n v="269.99"/>
    <n v="0.05"/>
    <n v="512.98099999999999"/>
  </r>
  <r>
    <n v="448"/>
    <n v="2"/>
    <n v="6"/>
    <s v="Surly Ice Cream Truck Frameset - 2016"/>
    <n v="6"/>
    <x v="1"/>
    <n v="2"/>
    <n v="469.99"/>
    <n v="0.05"/>
    <n v="892.98099999999999"/>
  </r>
  <r>
    <n v="449"/>
    <n v="1"/>
    <n v="17"/>
    <s v="Pure Cycles Vine 8-Speed - 2016"/>
    <n v="3"/>
    <x v="0"/>
    <n v="2"/>
    <n v="429"/>
    <n v="0.05"/>
    <n v="815.1"/>
  </r>
  <r>
    <n v="449"/>
    <n v="2"/>
    <n v="2"/>
    <s v="Ritchey Timberwolf Frameset - 2016"/>
    <n v="6"/>
    <x v="1"/>
    <n v="1"/>
    <n v="749.99"/>
    <n v="0.05"/>
    <n v="712.4905"/>
  </r>
  <r>
    <n v="449"/>
    <n v="3"/>
    <n v="7"/>
    <s v="Trek Slash 8 27.5 - 2016"/>
    <n v="6"/>
    <x v="1"/>
    <n v="2"/>
    <n v="3999.99"/>
    <n v="7.0000000000000007E-2"/>
    <n v="7439.9813999999997"/>
  </r>
  <r>
    <n v="449"/>
    <n v="4"/>
    <n v="26"/>
    <s v="Electra Townie Original 7D EQ - 2016"/>
    <n v="2"/>
    <x v="3"/>
    <n v="2"/>
    <n v="599.99"/>
    <n v="0.2"/>
    <n v="959.98400000000004"/>
  </r>
  <r>
    <n v="450"/>
    <n v="1"/>
    <n v="24"/>
    <s v="Electra Townie Original 21D - 2016"/>
    <n v="2"/>
    <x v="3"/>
    <n v="1"/>
    <n v="549.99"/>
    <n v="0.05"/>
    <n v="522.4905"/>
  </r>
  <r>
    <n v="450"/>
    <n v="2"/>
    <n v="12"/>
    <s v="Electra Townie Original 21D - 2016"/>
    <n v="3"/>
    <x v="0"/>
    <n v="1"/>
    <n v="549.99"/>
    <n v="7.0000000000000007E-2"/>
    <n v="511.4907"/>
  </r>
  <r>
    <n v="450"/>
    <n v="3"/>
    <n v="5"/>
    <s v="Heller Shagamaw Frame - 2016"/>
    <n v="6"/>
    <x v="1"/>
    <n v="1"/>
    <n v="1320.99"/>
    <n v="0.1"/>
    <n v="1188.8910000000001"/>
  </r>
  <r>
    <n v="451"/>
    <n v="1"/>
    <n v="14"/>
    <s v="Electra Girl's Hawaii 1 (16-inch) - 2015/2016"/>
    <n v="3"/>
    <x v="0"/>
    <n v="2"/>
    <n v="269.99"/>
    <n v="0.05"/>
    <n v="512.98099999999999"/>
  </r>
  <r>
    <n v="452"/>
    <n v="1"/>
    <n v="11"/>
    <s v="Surly Straggler 650b - 2016"/>
    <n v="4"/>
    <x v="2"/>
    <n v="1"/>
    <n v="1680.99"/>
    <n v="0.05"/>
    <n v="1596.9404999999999"/>
  </r>
  <r>
    <n v="452"/>
    <n v="2"/>
    <n v="16"/>
    <s v="Electra Townie Original 7D EQ - 2016"/>
    <n v="3"/>
    <x v="0"/>
    <n v="1"/>
    <n v="599.99"/>
    <n v="0.05"/>
    <n v="569.9905"/>
  </r>
  <r>
    <n v="452"/>
    <n v="3"/>
    <n v="7"/>
    <s v="Trek Slash 8 27.5 - 2016"/>
    <n v="6"/>
    <x v="1"/>
    <n v="2"/>
    <n v="3999.99"/>
    <n v="0.1"/>
    <n v="7199.982"/>
  </r>
  <r>
    <n v="452"/>
    <n v="4"/>
    <n v="8"/>
    <s v="Trek Remedy 29 Carbon Frameset - 2016"/>
    <n v="6"/>
    <x v="1"/>
    <n v="1"/>
    <n v="1799.99"/>
    <n v="0.1"/>
    <n v="1619.991"/>
  </r>
  <r>
    <n v="453"/>
    <n v="1"/>
    <n v="23"/>
    <s v="Electra Girl's Hawaii 1 (20-inch) - 2015/2016"/>
    <n v="1"/>
    <x v="5"/>
    <n v="1"/>
    <n v="299.99"/>
    <n v="0.05"/>
    <n v="284.9905"/>
  </r>
  <r>
    <n v="453"/>
    <n v="2"/>
    <n v="20"/>
    <s v="Electra Townie Original 7D EQ - Women's - 2016"/>
    <n v="3"/>
    <x v="0"/>
    <n v="2"/>
    <n v="599.99"/>
    <n v="0.2"/>
    <n v="959.98400000000004"/>
  </r>
  <r>
    <n v="453"/>
    <n v="3"/>
    <n v="4"/>
    <s v="Trek Fuel EX 8 29 - 2016"/>
    <n v="6"/>
    <x v="1"/>
    <n v="1"/>
    <n v="2899.99"/>
    <n v="0.2"/>
    <n v="2319.9919999999997"/>
  </r>
  <r>
    <n v="454"/>
    <n v="1"/>
    <n v="25"/>
    <s v="Electra Townie Original 7D - 2015/2016"/>
    <n v="2"/>
    <x v="3"/>
    <n v="2"/>
    <n v="499.99"/>
    <n v="7.0000000000000007E-2"/>
    <n v="929.98140000000001"/>
  </r>
  <r>
    <n v="454"/>
    <n v="2"/>
    <n v="13"/>
    <s v="Electra Cruiser 1 (24-Inch) - 2016"/>
    <n v="3"/>
    <x v="0"/>
    <n v="2"/>
    <n v="269.99"/>
    <n v="0.05"/>
    <n v="512.98099999999999"/>
  </r>
  <r>
    <n v="454"/>
    <n v="3"/>
    <n v="24"/>
    <s v="Electra Townie Original 21D - 2016"/>
    <n v="2"/>
    <x v="3"/>
    <n v="2"/>
    <n v="549.99"/>
    <n v="0.1"/>
    <n v="989.98199999999997"/>
  </r>
  <r>
    <n v="455"/>
    <n v="1"/>
    <n v="9"/>
    <s v="Trek Conduit+ - 2016"/>
    <n v="5"/>
    <x v="4"/>
    <n v="1"/>
    <n v="2999.99"/>
    <n v="0.05"/>
    <n v="2849.9904999999999"/>
  </r>
  <r>
    <n v="456"/>
    <n v="1"/>
    <n v="17"/>
    <s v="Pure Cycles Vine 8-Speed - 2016"/>
    <n v="3"/>
    <x v="0"/>
    <n v="2"/>
    <n v="429"/>
    <n v="7.0000000000000007E-2"/>
    <n v="797.94"/>
  </r>
  <r>
    <n v="456"/>
    <n v="2"/>
    <n v="23"/>
    <s v="Electra Girl's Hawaii 1 (20-inch) - 2015/2016"/>
    <n v="1"/>
    <x v="5"/>
    <n v="1"/>
    <n v="299.99"/>
    <n v="7.0000000000000007E-2"/>
    <n v="278.9907"/>
  </r>
  <r>
    <n v="457"/>
    <n v="1"/>
    <n v="24"/>
    <s v="Electra Townie Original 21D - 2016"/>
    <n v="2"/>
    <x v="3"/>
    <n v="2"/>
    <n v="549.99"/>
    <n v="7.0000000000000007E-2"/>
    <n v="1022.9814"/>
  </r>
  <r>
    <n v="457"/>
    <n v="2"/>
    <n v="2"/>
    <s v="Ritchey Timberwolf Frameset - 2016"/>
    <n v="6"/>
    <x v="1"/>
    <n v="1"/>
    <n v="749.99"/>
    <n v="0.05"/>
    <n v="712.4905"/>
  </r>
  <r>
    <n v="457"/>
    <n v="3"/>
    <n v="7"/>
    <s v="Trek Slash 8 27.5 - 2016"/>
    <n v="6"/>
    <x v="1"/>
    <n v="2"/>
    <n v="3999.99"/>
    <n v="0.1"/>
    <n v="7199.982"/>
  </r>
  <r>
    <n v="457"/>
    <n v="4"/>
    <n v="17"/>
    <s v="Pure Cycles Vine 8-Speed - 2016"/>
    <n v="3"/>
    <x v="0"/>
    <n v="1"/>
    <n v="429"/>
    <n v="0.2"/>
    <n v="343.2"/>
  </r>
  <r>
    <n v="458"/>
    <n v="1"/>
    <n v="2"/>
    <s v="Ritchey Timberwolf Frameset - 2016"/>
    <n v="6"/>
    <x v="1"/>
    <n v="1"/>
    <n v="749.99"/>
    <n v="0.2"/>
    <n v="599.99199999999996"/>
  </r>
  <r>
    <n v="458"/>
    <n v="2"/>
    <n v="21"/>
    <s v="Electra Cruiser 1 (24-Inch) - 2016"/>
    <n v="1"/>
    <x v="5"/>
    <n v="2"/>
    <n v="269.99"/>
    <n v="7.0000000000000007E-2"/>
    <n v="502.1814"/>
  </r>
  <r>
    <n v="458"/>
    <n v="3"/>
    <n v="11"/>
    <s v="Surly Straggler 650b - 2016"/>
    <n v="4"/>
    <x v="2"/>
    <n v="1"/>
    <n v="1680.99"/>
    <n v="0.1"/>
    <n v="1512.8910000000001"/>
  </r>
  <r>
    <n v="458"/>
    <n v="4"/>
    <n v="24"/>
    <s v="Electra Townie Original 21D - 2016"/>
    <n v="2"/>
    <x v="3"/>
    <n v="1"/>
    <n v="549.99"/>
    <n v="0.2"/>
    <n v="439.99200000000002"/>
  </r>
  <r>
    <n v="458"/>
    <n v="5"/>
    <n v="3"/>
    <s v="Surly Wednesday Frameset - 2016"/>
    <n v="6"/>
    <x v="1"/>
    <n v="2"/>
    <n v="999.99"/>
    <n v="0.2"/>
    <n v="1599.9839999999999"/>
  </r>
  <r>
    <n v="459"/>
    <n v="1"/>
    <n v="11"/>
    <s v="Surly Straggler 650b - 2016"/>
    <n v="4"/>
    <x v="2"/>
    <n v="1"/>
    <n v="1680.99"/>
    <n v="0.2"/>
    <n v="1344.7919999999999"/>
  </r>
  <r>
    <n v="460"/>
    <n v="1"/>
    <n v="19"/>
    <s v="Pure Cycles William 3-Speed - 2016"/>
    <n v="3"/>
    <x v="0"/>
    <n v="1"/>
    <n v="449"/>
    <n v="0.05"/>
    <n v="426.55"/>
  </r>
  <r>
    <n v="460"/>
    <n v="2"/>
    <n v="18"/>
    <s v="Pure Cycles Western 3-Speed - Women's - 2015/2016"/>
    <n v="3"/>
    <x v="0"/>
    <n v="2"/>
    <n v="449"/>
    <n v="7.0000000000000007E-2"/>
    <n v="835.14"/>
  </r>
  <r>
    <n v="460"/>
    <n v="3"/>
    <n v="4"/>
    <s v="Trek Fuel EX 8 29 - 2016"/>
    <n v="6"/>
    <x v="1"/>
    <n v="1"/>
    <n v="2899.99"/>
    <n v="0.2"/>
    <n v="2319.9919999999997"/>
  </r>
  <r>
    <n v="460"/>
    <n v="4"/>
    <n v="22"/>
    <s v="Electra Girl's Hawaii 1 (16-inch) - 2015/2016"/>
    <n v="1"/>
    <x v="5"/>
    <n v="2"/>
    <n v="269.99"/>
    <n v="0.1"/>
    <n v="485.98200000000003"/>
  </r>
  <r>
    <n v="461"/>
    <n v="1"/>
    <n v="16"/>
    <s v="Electra Townie Original 7D EQ - 2016"/>
    <n v="3"/>
    <x v="0"/>
    <n v="1"/>
    <n v="599.99"/>
    <n v="7.0000000000000007E-2"/>
    <n v="557.99070000000006"/>
  </r>
  <r>
    <n v="461"/>
    <n v="2"/>
    <n v="4"/>
    <s v="Trek Fuel EX 8 29 - 2016"/>
    <n v="6"/>
    <x v="1"/>
    <n v="1"/>
    <n v="2899.99"/>
    <n v="0.2"/>
    <n v="2319.9919999999997"/>
  </r>
  <r>
    <n v="461"/>
    <n v="3"/>
    <n v="8"/>
    <s v="Trek Remedy 29 Carbon Frameset - 2016"/>
    <n v="6"/>
    <x v="1"/>
    <n v="2"/>
    <n v="1799.99"/>
    <n v="0.05"/>
    <n v="3419.9809999999998"/>
  </r>
  <r>
    <n v="461"/>
    <n v="4"/>
    <n v="24"/>
    <s v="Electra Townie Original 21D - 2016"/>
    <n v="2"/>
    <x v="3"/>
    <n v="1"/>
    <n v="549.99"/>
    <n v="0.1"/>
    <n v="494.99099999999999"/>
  </r>
  <r>
    <n v="461"/>
    <n v="5"/>
    <n v="18"/>
    <s v="Pure Cycles Western 3-Speed - Women's - 2015/2016"/>
    <n v="3"/>
    <x v="0"/>
    <n v="2"/>
    <n v="449"/>
    <n v="0.1"/>
    <n v="808.2"/>
  </r>
  <r>
    <n v="462"/>
    <n v="1"/>
    <n v="12"/>
    <s v="Electra Townie Original 21D - 2016"/>
    <n v="3"/>
    <x v="0"/>
    <n v="2"/>
    <n v="549.99"/>
    <n v="0.1"/>
    <n v="989.98199999999997"/>
  </r>
  <r>
    <n v="463"/>
    <n v="1"/>
    <n v="13"/>
    <s v="Electra Cruiser 1 (24-Inch) - 2016"/>
    <n v="3"/>
    <x v="0"/>
    <n v="2"/>
    <n v="269.99"/>
    <n v="7.0000000000000007E-2"/>
    <n v="502.1814"/>
  </r>
  <r>
    <n v="464"/>
    <n v="1"/>
    <n v="7"/>
    <s v="Trek Slash 8 27.5 - 2016"/>
    <n v="6"/>
    <x v="1"/>
    <n v="1"/>
    <n v="3999.99"/>
    <n v="0.1"/>
    <n v="3599.991"/>
  </r>
  <r>
    <n v="465"/>
    <n v="1"/>
    <n v="6"/>
    <s v="Surly Ice Cream Truck Frameset - 2016"/>
    <n v="6"/>
    <x v="1"/>
    <n v="2"/>
    <n v="469.99"/>
    <n v="0.1"/>
    <n v="845.98199999999997"/>
  </r>
  <r>
    <n v="465"/>
    <n v="2"/>
    <n v="25"/>
    <s v="Electra Townie Original 7D - 2015/2016"/>
    <n v="2"/>
    <x v="3"/>
    <n v="2"/>
    <n v="499.99"/>
    <n v="0.1"/>
    <n v="899.98199999999997"/>
  </r>
  <r>
    <n v="466"/>
    <n v="1"/>
    <n v="19"/>
    <s v="Pure Cycles William 3-Speed - 2016"/>
    <n v="3"/>
    <x v="0"/>
    <n v="2"/>
    <n v="449"/>
    <n v="0.2"/>
    <n v="718.4"/>
  </r>
  <r>
    <n v="466"/>
    <n v="2"/>
    <n v="6"/>
    <s v="Surly Ice Cream Truck Frameset - 2016"/>
    <n v="6"/>
    <x v="1"/>
    <n v="1"/>
    <n v="469.99"/>
    <n v="0.2"/>
    <n v="375.99200000000002"/>
  </r>
  <r>
    <n v="466"/>
    <n v="3"/>
    <n v="7"/>
    <s v="Trek Slash 8 27.5 - 2016"/>
    <n v="6"/>
    <x v="1"/>
    <n v="2"/>
    <n v="3999.99"/>
    <n v="0.05"/>
    <n v="7599.9809999999998"/>
  </r>
  <r>
    <n v="466"/>
    <n v="4"/>
    <n v="15"/>
    <s v="Electra Moto 1 - 2016"/>
    <n v="3"/>
    <x v="0"/>
    <n v="1"/>
    <n v="529.99"/>
    <n v="0.1"/>
    <n v="476.99099999999999"/>
  </r>
  <r>
    <n v="466"/>
    <n v="5"/>
    <n v="5"/>
    <s v="Heller Shagamaw Frame - 2016"/>
    <n v="6"/>
    <x v="1"/>
    <n v="1"/>
    <n v="1320.99"/>
    <n v="0.1"/>
    <n v="1188.8910000000001"/>
  </r>
  <r>
    <n v="467"/>
    <n v="1"/>
    <n v="19"/>
    <s v="Pure Cycles William 3-Speed - 2016"/>
    <n v="3"/>
    <x v="0"/>
    <n v="1"/>
    <n v="449"/>
    <n v="7.0000000000000007E-2"/>
    <n v="417.57"/>
  </r>
  <r>
    <n v="467"/>
    <n v="2"/>
    <n v="10"/>
    <s v="Surly Straggler - 2016"/>
    <n v="4"/>
    <x v="2"/>
    <n v="1"/>
    <n v="1549"/>
    <n v="7.0000000000000007E-2"/>
    <n v="1440.57"/>
  </r>
  <r>
    <n v="467"/>
    <n v="3"/>
    <n v="22"/>
    <s v="Electra Girl's Hawaii 1 (16-inch) - 2015/2016"/>
    <n v="1"/>
    <x v="5"/>
    <n v="2"/>
    <n v="269.99"/>
    <n v="0.1"/>
    <n v="485.98200000000003"/>
  </r>
  <r>
    <n v="467"/>
    <n v="4"/>
    <n v="17"/>
    <s v="Pure Cycles Vine 8-Speed - 2016"/>
    <n v="3"/>
    <x v="0"/>
    <n v="2"/>
    <n v="429"/>
    <n v="7.0000000000000007E-2"/>
    <n v="797.94"/>
  </r>
  <r>
    <n v="467"/>
    <n v="5"/>
    <n v="11"/>
    <s v="Surly Straggler 650b - 2016"/>
    <n v="4"/>
    <x v="2"/>
    <n v="1"/>
    <n v="1680.99"/>
    <n v="0.1"/>
    <n v="1512.8910000000001"/>
  </r>
  <r>
    <n v="468"/>
    <n v="1"/>
    <n v="19"/>
    <s v="Pure Cycles William 3-Speed - 2016"/>
    <n v="3"/>
    <x v="0"/>
    <n v="1"/>
    <n v="449"/>
    <n v="0.1"/>
    <n v="404.1"/>
  </r>
  <r>
    <n v="468"/>
    <n v="2"/>
    <n v="9"/>
    <s v="Trek Conduit+ - 2016"/>
    <n v="5"/>
    <x v="4"/>
    <n v="2"/>
    <n v="2999.99"/>
    <n v="0.05"/>
    <n v="5699.9809999999998"/>
  </r>
  <r>
    <n v="468"/>
    <n v="3"/>
    <n v="10"/>
    <s v="Surly Straggler - 2016"/>
    <n v="4"/>
    <x v="2"/>
    <n v="2"/>
    <n v="1549"/>
    <n v="0.05"/>
    <n v="2943.1"/>
  </r>
  <r>
    <n v="468"/>
    <n v="4"/>
    <n v="25"/>
    <s v="Electra Townie Original 7D - 2015/2016"/>
    <n v="2"/>
    <x v="3"/>
    <n v="1"/>
    <n v="499.99"/>
    <n v="0.1"/>
    <n v="449.99099999999999"/>
  </r>
  <r>
    <n v="469"/>
    <n v="1"/>
    <n v="8"/>
    <s v="Trek Remedy 29 Carbon Frameset - 2016"/>
    <n v="6"/>
    <x v="1"/>
    <n v="2"/>
    <n v="1799.99"/>
    <n v="0.1"/>
    <n v="3239.982"/>
  </r>
  <r>
    <n v="469"/>
    <n v="2"/>
    <n v="4"/>
    <s v="Trek Fuel EX 8 29 - 2016"/>
    <n v="6"/>
    <x v="1"/>
    <n v="1"/>
    <n v="2899.99"/>
    <n v="7.0000000000000007E-2"/>
    <n v="2696.9906999999998"/>
  </r>
  <r>
    <n v="469"/>
    <n v="3"/>
    <n v="15"/>
    <s v="Electra Moto 1 - 2016"/>
    <n v="3"/>
    <x v="0"/>
    <n v="2"/>
    <n v="529.99"/>
    <n v="0.2"/>
    <n v="847.98400000000004"/>
  </r>
  <r>
    <n v="470"/>
    <n v="1"/>
    <n v="18"/>
    <s v="Pure Cycles Western 3-Speed - Women's - 2015/2016"/>
    <n v="3"/>
    <x v="0"/>
    <n v="1"/>
    <n v="449"/>
    <n v="0.05"/>
    <n v="426.55"/>
  </r>
  <r>
    <n v="470"/>
    <n v="2"/>
    <n v="13"/>
    <s v="Electra Cruiser 1 (24-Inch) - 2016"/>
    <n v="3"/>
    <x v="0"/>
    <n v="1"/>
    <n v="269.99"/>
    <n v="0.05"/>
    <n v="256.4905"/>
  </r>
  <r>
    <n v="470"/>
    <n v="3"/>
    <n v="8"/>
    <s v="Trek Remedy 29 Carbon Frameset - 2016"/>
    <n v="6"/>
    <x v="1"/>
    <n v="2"/>
    <n v="1799.99"/>
    <n v="0.2"/>
    <n v="2879.9839999999999"/>
  </r>
  <r>
    <n v="471"/>
    <n v="1"/>
    <n v="14"/>
    <s v="Electra Girl's Hawaii 1 (16-inch) - 2015/2016"/>
    <n v="3"/>
    <x v="0"/>
    <n v="1"/>
    <n v="269.99"/>
    <n v="0.2"/>
    <n v="215.99200000000002"/>
  </r>
  <r>
    <n v="471"/>
    <n v="2"/>
    <n v="13"/>
    <s v="Electra Cruiser 1 (24-Inch) - 2016"/>
    <n v="3"/>
    <x v="0"/>
    <n v="2"/>
    <n v="269.99"/>
    <n v="0.05"/>
    <n v="512.98099999999999"/>
  </r>
  <r>
    <n v="472"/>
    <n v="1"/>
    <n v="15"/>
    <s v="Electra Moto 1 - 2016"/>
    <n v="3"/>
    <x v="0"/>
    <n v="1"/>
    <n v="529.99"/>
    <n v="0.1"/>
    <n v="476.99099999999999"/>
  </r>
  <r>
    <n v="472"/>
    <n v="2"/>
    <n v="21"/>
    <s v="Electra Cruiser 1 (24-Inch) - 2016"/>
    <n v="1"/>
    <x v="5"/>
    <n v="2"/>
    <n v="269.99"/>
    <n v="0.1"/>
    <n v="485.98200000000003"/>
  </r>
  <r>
    <n v="473"/>
    <n v="1"/>
    <n v="26"/>
    <s v="Electra Townie Original 7D EQ - 2016"/>
    <n v="2"/>
    <x v="3"/>
    <n v="1"/>
    <n v="599.99"/>
    <n v="7.0000000000000007E-2"/>
    <n v="557.99070000000006"/>
  </r>
  <r>
    <n v="474"/>
    <n v="1"/>
    <n v="19"/>
    <s v="Pure Cycles William 3-Speed - 2016"/>
    <n v="3"/>
    <x v="0"/>
    <n v="2"/>
    <n v="449"/>
    <n v="0.05"/>
    <n v="853.1"/>
  </r>
  <r>
    <n v="474"/>
    <n v="2"/>
    <n v="11"/>
    <s v="Surly Straggler 650b - 2016"/>
    <n v="4"/>
    <x v="2"/>
    <n v="1"/>
    <n v="1680.99"/>
    <n v="0.2"/>
    <n v="1344.7919999999999"/>
  </r>
  <r>
    <n v="475"/>
    <n v="1"/>
    <n v="17"/>
    <s v="Pure Cycles Vine 8-Speed - 2016"/>
    <n v="3"/>
    <x v="0"/>
    <n v="2"/>
    <n v="429"/>
    <n v="7.0000000000000007E-2"/>
    <n v="797.94"/>
  </r>
  <r>
    <n v="475"/>
    <n v="2"/>
    <n v="26"/>
    <s v="Electra Townie Original 7D EQ - 2016"/>
    <n v="2"/>
    <x v="3"/>
    <n v="2"/>
    <n v="599.99"/>
    <n v="0.2"/>
    <n v="959.98400000000004"/>
  </r>
  <r>
    <n v="475"/>
    <n v="3"/>
    <n v="25"/>
    <s v="Electra Townie Original 7D - 2015/2016"/>
    <n v="2"/>
    <x v="3"/>
    <n v="1"/>
    <n v="499.99"/>
    <n v="0.2"/>
    <n v="399.99200000000002"/>
  </r>
  <r>
    <n v="476"/>
    <n v="1"/>
    <n v="22"/>
    <s v="Electra Girl's Hawaii 1 (16-inch) - 2015/2016"/>
    <n v="1"/>
    <x v="5"/>
    <n v="2"/>
    <n v="269.99"/>
    <n v="7.0000000000000007E-2"/>
    <n v="502.1814"/>
  </r>
  <r>
    <n v="476"/>
    <n v="2"/>
    <n v="4"/>
    <s v="Trek Fuel EX 8 29 - 2016"/>
    <n v="6"/>
    <x v="1"/>
    <n v="2"/>
    <n v="2899.99"/>
    <n v="0.2"/>
    <n v="4639.9839999999995"/>
  </r>
  <r>
    <n v="476"/>
    <n v="3"/>
    <n v="11"/>
    <s v="Surly Straggler 650b - 2016"/>
    <n v="4"/>
    <x v="2"/>
    <n v="2"/>
    <n v="1680.99"/>
    <n v="7.0000000000000007E-2"/>
    <n v="3126.6414"/>
  </r>
  <r>
    <n v="476"/>
    <n v="4"/>
    <n v="20"/>
    <s v="Electra Townie Original 7D EQ - Women's - 2016"/>
    <n v="3"/>
    <x v="0"/>
    <n v="2"/>
    <n v="599.99"/>
    <n v="0.05"/>
    <n v="1139.981"/>
  </r>
  <r>
    <n v="477"/>
    <n v="1"/>
    <n v="6"/>
    <s v="Surly Ice Cream Truck Frameset - 2016"/>
    <n v="6"/>
    <x v="1"/>
    <n v="1"/>
    <n v="469.99"/>
    <n v="0.1"/>
    <n v="422.99099999999999"/>
  </r>
  <r>
    <n v="477"/>
    <n v="2"/>
    <n v="10"/>
    <s v="Surly Straggler - 2016"/>
    <n v="4"/>
    <x v="2"/>
    <n v="1"/>
    <n v="1549"/>
    <n v="0.05"/>
    <n v="1471.55"/>
  </r>
  <r>
    <n v="478"/>
    <n v="1"/>
    <n v="21"/>
    <s v="Electra Cruiser 1 (24-Inch) - 2016"/>
    <n v="1"/>
    <x v="5"/>
    <n v="2"/>
    <n v="269.99"/>
    <n v="7.0000000000000007E-2"/>
    <n v="502.1814"/>
  </r>
  <r>
    <n v="479"/>
    <n v="1"/>
    <n v="26"/>
    <s v="Electra Townie Original 7D EQ - 2016"/>
    <n v="2"/>
    <x v="3"/>
    <n v="1"/>
    <n v="599.99"/>
    <n v="7.0000000000000007E-2"/>
    <n v="557.99070000000006"/>
  </r>
  <r>
    <n v="479"/>
    <n v="2"/>
    <n v="12"/>
    <s v="Electra Townie Original 21D - 2016"/>
    <n v="3"/>
    <x v="0"/>
    <n v="1"/>
    <n v="549.99"/>
    <n v="0.05"/>
    <n v="522.4905"/>
  </r>
  <r>
    <n v="479"/>
    <n v="3"/>
    <n v="21"/>
    <s v="Electra Cruiser 1 (24-Inch) - 2016"/>
    <n v="1"/>
    <x v="5"/>
    <n v="1"/>
    <n v="269.99"/>
    <n v="0.2"/>
    <n v="215.99200000000002"/>
  </r>
  <r>
    <n v="479"/>
    <n v="4"/>
    <n v="7"/>
    <s v="Trek Slash 8 27.5 - 2016"/>
    <n v="6"/>
    <x v="1"/>
    <n v="1"/>
    <n v="3999.99"/>
    <n v="0.05"/>
    <n v="3799.9904999999999"/>
  </r>
  <r>
    <n v="479"/>
    <n v="5"/>
    <n v="10"/>
    <s v="Surly Straggler - 2016"/>
    <n v="4"/>
    <x v="2"/>
    <n v="1"/>
    <n v="1549"/>
    <n v="0.2"/>
    <n v="1239.2"/>
  </r>
  <r>
    <n v="480"/>
    <n v="1"/>
    <n v="4"/>
    <s v="Trek Fuel EX 8 29 - 2016"/>
    <n v="6"/>
    <x v="1"/>
    <n v="1"/>
    <n v="2899.99"/>
    <n v="0.05"/>
    <n v="2754.9904999999999"/>
  </r>
  <r>
    <n v="480"/>
    <n v="2"/>
    <n v="15"/>
    <s v="Electra Moto 1 - 2016"/>
    <n v="3"/>
    <x v="0"/>
    <n v="1"/>
    <n v="529.99"/>
    <n v="0.05"/>
    <n v="503.4905"/>
  </r>
  <r>
    <n v="480"/>
    <n v="3"/>
    <n v="23"/>
    <s v="Electra Girl's Hawaii 1 (20-inch) - 2015/2016"/>
    <n v="1"/>
    <x v="5"/>
    <n v="2"/>
    <n v="299.99"/>
    <n v="7.0000000000000007E-2"/>
    <n v="557.98140000000001"/>
  </r>
  <r>
    <n v="481"/>
    <n v="1"/>
    <n v="13"/>
    <s v="Electra Cruiser 1 (24-Inch) - 2016"/>
    <n v="3"/>
    <x v="0"/>
    <n v="2"/>
    <n v="269.99"/>
    <n v="0.2"/>
    <n v="431.98400000000004"/>
  </r>
  <r>
    <n v="481"/>
    <n v="2"/>
    <n v="16"/>
    <s v="Electra Townie Original 7D EQ - 2016"/>
    <n v="3"/>
    <x v="0"/>
    <n v="2"/>
    <n v="599.99"/>
    <n v="7.0000000000000007E-2"/>
    <n v="1115.9814000000001"/>
  </r>
  <r>
    <n v="481"/>
    <n v="3"/>
    <n v="9"/>
    <s v="Trek Conduit+ - 2016"/>
    <n v="5"/>
    <x v="4"/>
    <n v="2"/>
    <n v="2999.99"/>
    <n v="0.1"/>
    <n v="5399.982"/>
  </r>
  <r>
    <n v="482"/>
    <n v="1"/>
    <n v="13"/>
    <s v="Electra Cruiser 1 (24-Inch) - 2016"/>
    <n v="3"/>
    <x v="0"/>
    <n v="1"/>
    <n v="269.99"/>
    <n v="0.2"/>
    <n v="215.99200000000002"/>
  </r>
  <r>
    <n v="482"/>
    <n v="2"/>
    <n v="14"/>
    <s v="Electra Girl's Hawaii 1 (16-inch) - 2015/2016"/>
    <n v="3"/>
    <x v="0"/>
    <n v="1"/>
    <n v="269.99"/>
    <n v="0.1"/>
    <n v="242.99100000000001"/>
  </r>
  <r>
    <n v="483"/>
    <n v="1"/>
    <n v="17"/>
    <s v="Pure Cycles Vine 8-Speed - 2016"/>
    <n v="3"/>
    <x v="0"/>
    <n v="1"/>
    <n v="429"/>
    <n v="7.0000000000000007E-2"/>
    <n v="398.97"/>
  </r>
  <r>
    <n v="484"/>
    <n v="1"/>
    <n v="8"/>
    <s v="Trek Remedy 29 Carbon Frameset - 2016"/>
    <n v="6"/>
    <x v="1"/>
    <n v="2"/>
    <n v="1799.99"/>
    <n v="0.1"/>
    <n v="3239.982"/>
  </r>
  <r>
    <n v="484"/>
    <n v="2"/>
    <n v="24"/>
    <s v="Electra Townie Original 21D - 2016"/>
    <n v="2"/>
    <x v="3"/>
    <n v="1"/>
    <n v="549.99"/>
    <n v="0.05"/>
    <n v="522.4905"/>
  </r>
  <r>
    <n v="484"/>
    <n v="3"/>
    <n v="9"/>
    <s v="Trek Conduit+ - 2016"/>
    <n v="5"/>
    <x v="4"/>
    <n v="2"/>
    <n v="2999.99"/>
    <n v="0.05"/>
    <n v="5699.9809999999998"/>
  </r>
  <r>
    <n v="484"/>
    <n v="4"/>
    <n v="6"/>
    <s v="Surly Ice Cream Truck Frameset - 2016"/>
    <n v="6"/>
    <x v="1"/>
    <n v="1"/>
    <n v="469.99"/>
    <n v="0.2"/>
    <n v="375.99200000000002"/>
  </r>
  <r>
    <n v="485"/>
    <n v="1"/>
    <n v="13"/>
    <s v="Electra Cruiser 1 (24-Inch) - 2016"/>
    <n v="3"/>
    <x v="0"/>
    <n v="1"/>
    <n v="269.99"/>
    <n v="0.1"/>
    <n v="242.99100000000001"/>
  </r>
  <r>
    <n v="485"/>
    <n v="2"/>
    <n v="26"/>
    <s v="Electra Townie Original 7D EQ - 2016"/>
    <n v="2"/>
    <x v="3"/>
    <n v="2"/>
    <n v="599.99"/>
    <n v="0.05"/>
    <n v="1139.981"/>
  </r>
  <r>
    <n v="486"/>
    <n v="1"/>
    <n v="9"/>
    <s v="Trek Conduit+ - 2016"/>
    <n v="5"/>
    <x v="4"/>
    <n v="1"/>
    <n v="2999.99"/>
    <n v="7.0000000000000007E-2"/>
    <n v="2789.9906999999998"/>
  </r>
  <r>
    <n v="486"/>
    <n v="2"/>
    <n v="23"/>
    <s v="Electra Girl's Hawaii 1 (20-inch) - 2015/2016"/>
    <n v="1"/>
    <x v="5"/>
    <n v="2"/>
    <n v="299.99"/>
    <n v="0.05"/>
    <n v="569.98099999999999"/>
  </r>
  <r>
    <n v="487"/>
    <n v="1"/>
    <n v="6"/>
    <s v="Surly Ice Cream Truck Frameset - 2016"/>
    <n v="6"/>
    <x v="1"/>
    <n v="1"/>
    <n v="469.99"/>
    <n v="0.2"/>
    <n v="375.99200000000002"/>
  </r>
  <r>
    <n v="488"/>
    <n v="1"/>
    <n v="13"/>
    <s v="Electra Cruiser 1 (24-Inch) - 2016"/>
    <n v="3"/>
    <x v="0"/>
    <n v="2"/>
    <n v="269.99"/>
    <n v="7.0000000000000007E-2"/>
    <n v="502.1814"/>
  </r>
  <r>
    <n v="488"/>
    <n v="2"/>
    <n v="23"/>
    <s v="Electra Girl's Hawaii 1 (20-inch) - 2015/2016"/>
    <n v="1"/>
    <x v="5"/>
    <n v="2"/>
    <n v="299.99"/>
    <n v="0.05"/>
    <n v="569.98099999999999"/>
  </r>
  <r>
    <n v="488"/>
    <n v="3"/>
    <n v="22"/>
    <s v="Electra Girl's Hawaii 1 (16-inch) - 2015/2016"/>
    <n v="1"/>
    <x v="5"/>
    <n v="1"/>
    <n v="269.99"/>
    <n v="0.05"/>
    <n v="256.4905"/>
  </r>
  <r>
    <n v="489"/>
    <n v="1"/>
    <n v="8"/>
    <s v="Trek Remedy 29 Carbon Frameset - 2016"/>
    <n v="6"/>
    <x v="1"/>
    <n v="2"/>
    <n v="1799.99"/>
    <n v="0.1"/>
    <n v="3239.982"/>
  </r>
  <r>
    <n v="490"/>
    <n v="1"/>
    <n v="12"/>
    <s v="Electra Townie Original 21D - 2016"/>
    <n v="3"/>
    <x v="0"/>
    <n v="1"/>
    <n v="549.99"/>
    <n v="0.1"/>
    <n v="494.99099999999999"/>
  </r>
  <r>
    <n v="490"/>
    <n v="2"/>
    <n v="23"/>
    <s v="Electra Girl's Hawaii 1 (20-inch) - 2015/2016"/>
    <n v="1"/>
    <x v="5"/>
    <n v="1"/>
    <n v="299.99"/>
    <n v="0.05"/>
    <n v="284.9905"/>
  </r>
  <r>
    <n v="490"/>
    <n v="3"/>
    <n v="14"/>
    <s v="Electra Girl's Hawaii 1 (16-inch) - 2015/2016"/>
    <n v="3"/>
    <x v="0"/>
    <n v="1"/>
    <n v="269.99"/>
    <n v="0.1"/>
    <n v="242.99100000000001"/>
  </r>
  <r>
    <n v="490"/>
    <n v="4"/>
    <n v="13"/>
    <s v="Electra Cruiser 1 (24-Inch) - 2016"/>
    <n v="3"/>
    <x v="0"/>
    <n v="2"/>
    <n v="269.99"/>
    <n v="7.0000000000000007E-2"/>
    <n v="502.1814"/>
  </r>
  <r>
    <n v="491"/>
    <n v="1"/>
    <n v="9"/>
    <s v="Trek Conduit+ - 2016"/>
    <n v="5"/>
    <x v="4"/>
    <n v="2"/>
    <n v="2999.99"/>
    <n v="0.2"/>
    <n v="4799.9839999999995"/>
  </r>
  <r>
    <n v="491"/>
    <n v="2"/>
    <n v="21"/>
    <s v="Electra Cruiser 1 (24-Inch) - 2016"/>
    <n v="1"/>
    <x v="5"/>
    <n v="2"/>
    <n v="269.99"/>
    <n v="0.05"/>
    <n v="512.98099999999999"/>
  </r>
  <r>
    <n v="491"/>
    <n v="3"/>
    <n v="15"/>
    <s v="Electra Moto 1 - 2016"/>
    <n v="3"/>
    <x v="0"/>
    <n v="2"/>
    <n v="529.99"/>
    <n v="0.05"/>
    <n v="1006.981"/>
  </r>
  <r>
    <n v="492"/>
    <n v="1"/>
    <n v="6"/>
    <s v="Surly Ice Cream Truck Frameset - 2016"/>
    <n v="6"/>
    <x v="1"/>
    <n v="1"/>
    <n v="469.99"/>
    <n v="0.1"/>
    <n v="422.99099999999999"/>
  </r>
  <r>
    <n v="492"/>
    <n v="2"/>
    <n v="22"/>
    <s v="Electra Girl's Hawaii 1 (16-inch) - 2015/2016"/>
    <n v="1"/>
    <x v="5"/>
    <n v="2"/>
    <n v="269.99"/>
    <n v="0.1"/>
    <n v="485.98200000000003"/>
  </r>
  <r>
    <n v="492"/>
    <n v="3"/>
    <n v="26"/>
    <s v="Electra Townie Original 7D EQ - 2016"/>
    <n v="2"/>
    <x v="3"/>
    <n v="1"/>
    <n v="599.99"/>
    <n v="0.05"/>
    <n v="569.9905"/>
  </r>
  <r>
    <n v="493"/>
    <n v="1"/>
    <n v="15"/>
    <s v="Electra Moto 1 - 2016"/>
    <n v="3"/>
    <x v="0"/>
    <n v="1"/>
    <n v="529.99"/>
    <n v="0.05"/>
    <n v="503.4905"/>
  </r>
  <r>
    <n v="493"/>
    <n v="2"/>
    <n v="18"/>
    <s v="Pure Cycles Western 3-Speed - Women's - 2015/2016"/>
    <n v="3"/>
    <x v="0"/>
    <n v="2"/>
    <n v="449"/>
    <n v="0.05"/>
    <n v="853.1"/>
  </r>
  <r>
    <n v="493"/>
    <n v="3"/>
    <n v="26"/>
    <s v="Electra Townie Original 7D EQ - 2016"/>
    <n v="2"/>
    <x v="3"/>
    <n v="1"/>
    <n v="599.99"/>
    <n v="0.05"/>
    <n v="569.9905"/>
  </r>
  <r>
    <n v="494"/>
    <n v="1"/>
    <n v="23"/>
    <s v="Electra Girl's Hawaii 1 (20-inch) - 2015/2016"/>
    <n v="1"/>
    <x v="5"/>
    <n v="1"/>
    <n v="299.99"/>
    <n v="0.1"/>
    <n v="269.99099999999999"/>
  </r>
  <r>
    <n v="495"/>
    <n v="1"/>
    <n v="22"/>
    <s v="Electra Girl's Hawaii 1 (16-inch) - 2015/2016"/>
    <n v="1"/>
    <x v="5"/>
    <n v="1"/>
    <n v="269.99"/>
    <n v="0.2"/>
    <n v="215.99200000000002"/>
  </r>
  <r>
    <n v="495"/>
    <n v="2"/>
    <n v="9"/>
    <s v="Trek Conduit+ - 2016"/>
    <n v="5"/>
    <x v="4"/>
    <n v="1"/>
    <n v="2999.99"/>
    <n v="0.05"/>
    <n v="2849.9904999999999"/>
  </r>
  <r>
    <n v="496"/>
    <n v="1"/>
    <n v="23"/>
    <s v="Electra Girl's Hawaii 1 (20-inch) - 2015/2016"/>
    <n v="1"/>
    <x v="5"/>
    <n v="1"/>
    <n v="299.99"/>
    <n v="0.2"/>
    <n v="239.99200000000002"/>
  </r>
  <r>
    <n v="496"/>
    <n v="2"/>
    <n v="13"/>
    <s v="Electra Cruiser 1 (24-Inch) - 2016"/>
    <n v="3"/>
    <x v="0"/>
    <n v="1"/>
    <n v="269.99"/>
    <n v="0.1"/>
    <n v="242.99100000000001"/>
  </r>
  <r>
    <n v="496"/>
    <n v="3"/>
    <n v="21"/>
    <s v="Electra Cruiser 1 (24-Inch) - 2016"/>
    <n v="1"/>
    <x v="5"/>
    <n v="2"/>
    <n v="269.99"/>
    <n v="0.2"/>
    <n v="431.98400000000004"/>
  </r>
  <r>
    <n v="497"/>
    <n v="1"/>
    <n v="25"/>
    <s v="Electra Townie Original 7D - 2015/2016"/>
    <n v="2"/>
    <x v="3"/>
    <n v="2"/>
    <n v="499.99"/>
    <n v="7.0000000000000007E-2"/>
    <n v="929.98140000000001"/>
  </r>
  <r>
    <n v="498"/>
    <n v="1"/>
    <n v="24"/>
    <s v="Electra Townie Original 21D - 2016"/>
    <n v="2"/>
    <x v="3"/>
    <n v="1"/>
    <n v="549.99"/>
    <n v="7.0000000000000007E-2"/>
    <n v="511.4907"/>
  </r>
  <r>
    <n v="498"/>
    <n v="2"/>
    <n v="21"/>
    <s v="Electra Cruiser 1 (24-Inch) - 2016"/>
    <n v="1"/>
    <x v="5"/>
    <n v="1"/>
    <n v="269.99"/>
    <n v="0.1"/>
    <n v="242.99100000000001"/>
  </r>
  <r>
    <n v="498"/>
    <n v="3"/>
    <n v="10"/>
    <s v="Surly Straggler - 2016"/>
    <n v="4"/>
    <x v="2"/>
    <n v="1"/>
    <n v="1549"/>
    <n v="7.0000000000000007E-2"/>
    <n v="1440.57"/>
  </r>
  <r>
    <n v="499"/>
    <n v="1"/>
    <n v="11"/>
    <s v="Surly Straggler 650b - 2016"/>
    <n v="4"/>
    <x v="2"/>
    <n v="1"/>
    <n v="1680.99"/>
    <n v="0.2"/>
    <n v="1344.7919999999999"/>
  </r>
  <r>
    <n v="499"/>
    <n v="2"/>
    <n v="15"/>
    <s v="Electra Moto 1 - 2016"/>
    <n v="3"/>
    <x v="0"/>
    <n v="1"/>
    <n v="529.99"/>
    <n v="7.0000000000000007E-2"/>
    <n v="492.89069999999998"/>
  </r>
  <r>
    <n v="499"/>
    <n v="3"/>
    <n v="14"/>
    <s v="Electra Girl's Hawaii 1 (16-inch) - 2015/2016"/>
    <n v="3"/>
    <x v="0"/>
    <n v="2"/>
    <n v="269.99"/>
    <n v="0.2"/>
    <n v="431.98400000000004"/>
  </r>
  <r>
    <n v="499"/>
    <n v="4"/>
    <n v="20"/>
    <s v="Electra Townie Original 7D EQ - Women's - 2016"/>
    <n v="3"/>
    <x v="0"/>
    <n v="2"/>
    <n v="599.99"/>
    <n v="0.1"/>
    <n v="1079.982"/>
  </r>
  <r>
    <n v="500"/>
    <n v="1"/>
    <n v="12"/>
    <s v="Electra Townie Original 21D - 2016"/>
    <n v="3"/>
    <x v="0"/>
    <n v="2"/>
    <n v="549.99"/>
    <n v="0.05"/>
    <n v="1044.981"/>
  </r>
  <r>
    <n v="500"/>
    <n v="2"/>
    <n v="14"/>
    <s v="Electra Girl's Hawaii 1 (16-inch) - 2015/2016"/>
    <n v="3"/>
    <x v="0"/>
    <n v="1"/>
    <n v="269.99"/>
    <n v="0.2"/>
    <n v="215.99200000000002"/>
  </r>
  <r>
    <n v="501"/>
    <n v="1"/>
    <n v="19"/>
    <s v="Pure Cycles William 3-Speed - 2016"/>
    <n v="3"/>
    <x v="0"/>
    <n v="2"/>
    <n v="449"/>
    <n v="0.05"/>
    <n v="853.1"/>
  </r>
  <r>
    <n v="501"/>
    <n v="2"/>
    <n v="8"/>
    <s v="Trek Remedy 29 Carbon Frameset - 2016"/>
    <n v="6"/>
    <x v="1"/>
    <n v="1"/>
    <n v="1799.99"/>
    <n v="7.0000000000000007E-2"/>
    <n v="1673.9907000000001"/>
  </r>
  <r>
    <n v="501"/>
    <n v="3"/>
    <n v="14"/>
    <s v="Electra Girl's Hawaii 1 (16-inch) - 2015/2016"/>
    <n v="3"/>
    <x v="0"/>
    <n v="1"/>
    <n v="269.99"/>
    <n v="0.1"/>
    <n v="242.99100000000001"/>
  </r>
  <r>
    <n v="501"/>
    <n v="4"/>
    <n v="23"/>
    <s v="Electra Girl's Hawaii 1 (20-inch) - 2015/2016"/>
    <n v="1"/>
    <x v="5"/>
    <n v="2"/>
    <n v="299.99"/>
    <n v="7.0000000000000007E-2"/>
    <n v="557.98140000000001"/>
  </r>
  <r>
    <n v="502"/>
    <n v="1"/>
    <n v="13"/>
    <s v="Electra Cruiser 1 (24-Inch) - 2016"/>
    <n v="3"/>
    <x v="0"/>
    <n v="1"/>
    <n v="269.99"/>
    <n v="0.05"/>
    <n v="256.4905"/>
  </r>
  <r>
    <n v="503"/>
    <n v="1"/>
    <n v="13"/>
    <s v="Electra Cruiser 1 (24-Inch) - 2016"/>
    <n v="3"/>
    <x v="0"/>
    <n v="2"/>
    <n v="269.99"/>
    <n v="7.0000000000000007E-2"/>
    <n v="502.1814"/>
  </r>
  <r>
    <n v="503"/>
    <n v="2"/>
    <n v="10"/>
    <s v="Surly Straggler - 2016"/>
    <n v="4"/>
    <x v="2"/>
    <n v="1"/>
    <n v="1549"/>
    <n v="0.05"/>
    <n v="1471.55"/>
  </r>
  <r>
    <n v="504"/>
    <n v="1"/>
    <n v="24"/>
    <s v="Electra Townie Original 21D - 2016"/>
    <n v="2"/>
    <x v="3"/>
    <n v="2"/>
    <n v="549.99"/>
    <n v="0.1"/>
    <n v="989.98199999999997"/>
  </r>
  <r>
    <n v="504"/>
    <n v="2"/>
    <n v="2"/>
    <s v="Ritchey Timberwolf Frameset - 2016"/>
    <n v="6"/>
    <x v="1"/>
    <n v="2"/>
    <n v="749.99"/>
    <n v="0.05"/>
    <n v="1424.981"/>
  </r>
  <r>
    <n v="505"/>
    <n v="1"/>
    <n v="26"/>
    <s v="Electra Townie Original 7D EQ - 2016"/>
    <n v="2"/>
    <x v="3"/>
    <n v="1"/>
    <n v="599.99"/>
    <n v="0.2"/>
    <n v="479.99200000000002"/>
  </r>
  <r>
    <n v="506"/>
    <n v="1"/>
    <n v="25"/>
    <s v="Electra Townie Original 7D - 2015/2016"/>
    <n v="2"/>
    <x v="3"/>
    <n v="1"/>
    <n v="499.99"/>
    <n v="0.1"/>
    <n v="449.99099999999999"/>
  </r>
  <r>
    <n v="506"/>
    <n v="2"/>
    <n v="7"/>
    <s v="Trek Slash 8 27.5 - 2016"/>
    <n v="6"/>
    <x v="1"/>
    <n v="1"/>
    <n v="3999.99"/>
    <n v="7.0000000000000007E-2"/>
    <n v="3719.9906999999998"/>
  </r>
  <r>
    <n v="507"/>
    <n v="1"/>
    <n v="11"/>
    <s v="Surly Straggler 650b - 2016"/>
    <n v="4"/>
    <x v="2"/>
    <n v="2"/>
    <n v="1680.99"/>
    <n v="0.05"/>
    <n v="3193.8809999999999"/>
  </r>
  <r>
    <n v="507"/>
    <n v="2"/>
    <n v="13"/>
    <s v="Electra Cruiser 1 (24-Inch) - 2016"/>
    <n v="3"/>
    <x v="0"/>
    <n v="2"/>
    <n v="269.99"/>
    <n v="7.0000000000000007E-2"/>
    <n v="502.1814"/>
  </r>
  <r>
    <n v="507"/>
    <n v="3"/>
    <n v="20"/>
    <s v="Electra Townie Original 7D EQ - Women's - 2016"/>
    <n v="3"/>
    <x v="0"/>
    <n v="2"/>
    <n v="599.99"/>
    <n v="0.1"/>
    <n v="1079.982"/>
  </r>
  <r>
    <n v="508"/>
    <n v="1"/>
    <n v="8"/>
    <s v="Trek Remedy 29 Carbon Frameset - 2016"/>
    <n v="6"/>
    <x v="1"/>
    <n v="1"/>
    <n v="1799.99"/>
    <n v="0.05"/>
    <n v="1709.9904999999999"/>
  </r>
  <r>
    <n v="508"/>
    <n v="2"/>
    <n v="2"/>
    <s v="Ritchey Timberwolf Frameset - 2016"/>
    <n v="6"/>
    <x v="1"/>
    <n v="2"/>
    <n v="749.99"/>
    <n v="0.05"/>
    <n v="1424.981"/>
  </r>
  <r>
    <n v="508"/>
    <n v="3"/>
    <n v="10"/>
    <s v="Surly Straggler - 2016"/>
    <n v="4"/>
    <x v="2"/>
    <n v="2"/>
    <n v="1549"/>
    <n v="0.05"/>
    <n v="2943.1"/>
  </r>
  <r>
    <n v="508"/>
    <n v="4"/>
    <n v="25"/>
    <s v="Electra Townie Original 7D - 2015/2016"/>
    <n v="2"/>
    <x v="3"/>
    <n v="1"/>
    <n v="499.99"/>
    <n v="7.0000000000000007E-2"/>
    <n v="464.9907"/>
  </r>
  <r>
    <n v="509"/>
    <n v="1"/>
    <n v="23"/>
    <s v="Electra Girl's Hawaii 1 (20-inch) - 2015/2016"/>
    <n v="1"/>
    <x v="5"/>
    <n v="2"/>
    <n v="299.99"/>
    <n v="0.2"/>
    <n v="479.98400000000004"/>
  </r>
  <r>
    <n v="509"/>
    <n v="2"/>
    <n v="4"/>
    <s v="Trek Fuel EX 8 29 - 2016"/>
    <n v="6"/>
    <x v="1"/>
    <n v="2"/>
    <n v="2899.99"/>
    <n v="0.05"/>
    <n v="5509.9809999999998"/>
  </r>
  <r>
    <n v="510"/>
    <n v="1"/>
    <n v="17"/>
    <s v="Pure Cycles Vine 8-Speed - 2016"/>
    <n v="3"/>
    <x v="0"/>
    <n v="1"/>
    <n v="429"/>
    <n v="0.1"/>
    <n v="386.1"/>
  </r>
  <r>
    <n v="511"/>
    <n v="1"/>
    <n v="22"/>
    <s v="Electra Girl's Hawaii 1 (16-inch) - 2015/2016"/>
    <n v="1"/>
    <x v="5"/>
    <n v="2"/>
    <n v="269.99"/>
    <n v="0.05"/>
    <n v="512.98099999999999"/>
  </r>
  <r>
    <n v="511"/>
    <n v="2"/>
    <n v="13"/>
    <s v="Electra Cruiser 1 (24-Inch) - 2016"/>
    <n v="3"/>
    <x v="0"/>
    <n v="1"/>
    <n v="269.99"/>
    <n v="0.1"/>
    <n v="242.99100000000001"/>
  </r>
  <r>
    <n v="512"/>
    <n v="1"/>
    <n v="21"/>
    <s v="Electra Cruiser 1 (24-Inch) - 2016"/>
    <n v="1"/>
    <x v="5"/>
    <n v="1"/>
    <n v="269.99"/>
    <n v="7.0000000000000007E-2"/>
    <n v="251.0907"/>
  </r>
  <r>
    <n v="513"/>
    <n v="1"/>
    <n v="7"/>
    <s v="Trek Slash 8 27.5 - 2016"/>
    <n v="6"/>
    <x v="1"/>
    <n v="1"/>
    <n v="3999.99"/>
    <n v="7.0000000000000007E-2"/>
    <n v="3719.9906999999998"/>
  </r>
  <r>
    <n v="513"/>
    <n v="2"/>
    <n v="13"/>
    <s v="Electra Cruiser 1 (24-Inch) - 2016"/>
    <n v="3"/>
    <x v="0"/>
    <n v="1"/>
    <n v="269.99"/>
    <n v="0.2"/>
    <n v="215.99200000000002"/>
  </r>
  <r>
    <n v="513"/>
    <n v="3"/>
    <n v="23"/>
    <s v="Electra Girl's Hawaii 1 (20-inch) - 2015/2016"/>
    <n v="1"/>
    <x v="5"/>
    <n v="1"/>
    <n v="299.99"/>
    <n v="7.0000000000000007E-2"/>
    <n v="278.9907"/>
  </r>
  <r>
    <n v="514"/>
    <n v="1"/>
    <n v="18"/>
    <s v="Pure Cycles Western 3-Speed - Women's - 2015/2016"/>
    <n v="3"/>
    <x v="0"/>
    <n v="2"/>
    <n v="449"/>
    <n v="0.2"/>
    <n v="718.4"/>
  </r>
  <r>
    <n v="514"/>
    <n v="2"/>
    <n v="17"/>
    <s v="Pure Cycles Vine 8-Speed - 2016"/>
    <n v="3"/>
    <x v="0"/>
    <n v="2"/>
    <n v="429"/>
    <n v="7.0000000000000007E-2"/>
    <n v="797.94"/>
  </r>
  <r>
    <n v="515"/>
    <n v="1"/>
    <n v="8"/>
    <s v="Trek Remedy 29 Carbon Frameset - 2016"/>
    <n v="6"/>
    <x v="1"/>
    <n v="1"/>
    <n v="1799.99"/>
    <n v="7.0000000000000007E-2"/>
    <n v="1673.9907000000001"/>
  </r>
  <r>
    <n v="515"/>
    <n v="2"/>
    <n v="5"/>
    <s v="Heller Shagamaw Frame - 2016"/>
    <n v="6"/>
    <x v="1"/>
    <n v="1"/>
    <n v="1320.99"/>
    <n v="0.1"/>
    <n v="1188.8910000000001"/>
  </r>
  <r>
    <n v="515"/>
    <n v="3"/>
    <n v="25"/>
    <s v="Electra Townie Original 7D - 2015/2016"/>
    <n v="2"/>
    <x v="3"/>
    <n v="2"/>
    <n v="499.99"/>
    <n v="7.0000000000000007E-2"/>
    <n v="929.98140000000001"/>
  </r>
  <r>
    <n v="515"/>
    <n v="4"/>
    <n v="6"/>
    <s v="Surly Ice Cream Truck Frameset - 2016"/>
    <n v="6"/>
    <x v="1"/>
    <n v="2"/>
    <n v="469.99"/>
    <n v="0.2"/>
    <n v="751.98400000000004"/>
  </r>
  <r>
    <n v="516"/>
    <n v="1"/>
    <n v="7"/>
    <s v="Trek Slash 8 27.5 - 2016"/>
    <n v="6"/>
    <x v="1"/>
    <n v="1"/>
    <n v="3999.99"/>
    <n v="0.05"/>
    <n v="3799.9904999999999"/>
  </r>
  <r>
    <n v="516"/>
    <n v="2"/>
    <n v="5"/>
    <s v="Heller Shagamaw Frame - 2016"/>
    <n v="6"/>
    <x v="1"/>
    <n v="2"/>
    <n v="1320.99"/>
    <n v="0.1"/>
    <n v="2377.7820000000002"/>
  </r>
  <r>
    <n v="517"/>
    <n v="1"/>
    <n v="21"/>
    <s v="Electra Cruiser 1 (24-Inch) - 2016"/>
    <n v="1"/>
    <x v="5"/>
    <n v="2"/>
    <n v="269.99"/>
    <n v="7.0000000000000007E-2"/>
    <n v="502.1814"/>
  </r>
  <r>
    <n v="518"/>
    <n v="1"/>
    <n v="16"/>
    <s v="Electra Townie Original 7D EQ - 2016"/>
    <n v="3"/>
    <x v="0"/>
    <n v="2"/>
    <n v="599.99"/>
    <n v="0.2"/>
    <n v="959.98400000000004"/>
  </r>
  <r>
    <n v="518"/>
    <n v="2"/>
    <n v="5"/>
    <s v="Heller Shagamaw Frame - 2016"/>
    <n v="6"/>
    <x v="1"/>
    <n v="2"/>
    <n v="1320.99"/>
    <n v="0.05"/>
    <n v="2509.8809999999999"/>
  </r>
  <r>
    <n v="518"/>
    <n v="3"/>
    <n v="25"/>
    <s v="Electra Townie Original 7D - 2015/2016"/>
    <n v="2"/>
    <x v="3"/>
    <n v="2"/>
    <n v="499.99"/>
    <n v="0.05"/>
    <n v="949.98099999999999"/>
  </r>
  <r>
    <n v="518"/>
    <n v="4"/>
    <n v="15"/>
    <s v="Electra Moto 1 - 2016"/>
    <n v="3"/>
    <x v="0"/>
    <n v="2"/>
    <n v="529.99"/>
    <n v="0.2"/>
    <n v="847.98400000000004"/>
  </r>
  <r>
    <n v="518"/>
    <n v="5"/>
    <n v="11"/>
    <s v="Surly Straggler 650b - 2016"/>
    <n v="4"/>
    <x v="2"/>
    <n v="2"/>
    <n v="1680.99"/>
    <n v="7.0000000000000007E-2"/>
    <n v="3126.6414"/>
  </r>
  <r>
    <n v="519"/>
    <n v="1"/>
    <n v="6"/>
    <s v="Surly Ice Cream Truck Frameset - 2016"/>
    <n v="6"/>
    <x v="1"/>
    <n v="1"/>
    <n v="469.99"/>
    <n v="7.0000000000000007E-2"/>
    <n v="437.09070000000003"/>
  </r>
  <r>
    <n v="519"/>
    <n v="2"/>
    <n v="16"/>
    <s v="Electra Townie Original 7D EQ - 2016"/>
    <n v="3"/>
    <x v="0"/>
    <n v="1"/>
    <n v="599.99"/>
    <n v="0.1"/>
    <n v="539.99099999999999"/>
  </r>
  <r>
    <n v="519"/>
    <n v="3"/>
    <n v="23"/>
    <s v="Electra Girl's Hawaii 1 (20-inch) - 2015/2016"/>
    <n v="1"/>
    <x v="5"/>
    <n v="2"/>
    <n v="299.99"/>
    <n v="0.05"/>
    <n v="569.98099999999999"/>
  </r>
  <r>
    <n v="519"/>
    <n v="4"/>
    <n v="18"/>
    <s v="Pure Cycles Western 3-Speed - Women's - 2015/2016"/>
    <n v="3"/>
    <x v="0"/>
    <n v="2"/>
    <n v="449"/>
    <n v="0.2"/>
    <n v="718.4"/>
  </r>
  <r>
    <n v="519"/>
    <n v="5"/>
    <n v="7"/>
    <s v="Trek Slash 8 27.5 - 2016"/>
    <n v="6"/>
    <x v="1"/>
    <n v="1"/>
    <n v="3999.99"/>
    <n v="0.05"/>
    <n v="3799.9904999999999"/>
  </r>
  <r>
    <n v="520"/>
    <n v="1"/>
    <n v="26"/>
    <s v="Electra Townie Original 7D EQ - 2016"/>
    <n v="2"/>
    <x v="3"/>
    <n v="1"/>
    <n v="599.99"/>
    <n v="0.1"/>
    <n v="539.99099999999999"/>
  </r>
  <r>
    <n v="520"/>
    <n v="2"/>
    <n v="24"/>
    <s v="Electra Townie Original 21D - 2016"/>
    <n v="2"/>
    <x v="3"/>
    <n v="1"/>
    <n v="549.99"/>
    <n v="0.2"/>
    <n v="439.99200000000002"/>
  </r>
  <r>
    <n v="520"/>
    <n v="3"/>
    <n v="10"/>
    <s v="Surly Straggler - 2016"/>
    <n v="4"/>
    <x v="2"/>
    <n v="1"/>
    <n v="1549"/>
    <n v="7.0000000000000007E-2"/>
    <n v="1440.57"/>
  </r>
  <r>
    <n v="521"/>
    <n v="1"/>
    <n v="5"/>
    <s v="Heller Shagamaw Frame - 2016"/>
    <n v="6"/>
    <x v="1"/>
    <n v="1"/>
    <n v="1320.99"/>
    <n v="0.2"/>
    <n v="1056.7919999999999"/>
  </r>
  <r>
    <n v="521"/>
    <n v="2"/>
    <n v="14"/>
    <s v="Electra Girl's Hawaii 1 (16-inch) - 2015/2016"/>
    <n v="3"/>
    <x v="0"/>
    <n v="1"/>
    <n v="269.99"/>
    <n v="0.2"/>
    <n v="215.99200000000002"/>
  </r>
  <r>
    <n v="522"/>
    <n v="1"/>
    <n v="4"/>
    <s v="Trek Fuel EX 8 29 - 2016"/>
    <n v="6"/>
    <x v="1"/>
    <n v="2"/>
    <n v="2899.99"/>
    <n v="7.0000000000000007E-2"/>
    <n v="5393.9813999999997"/>
  </r>
  <r>
    <n v="522"/>
    <n v="2"/>
    <n v="22"/>
    <s v="Electra Girl's Hawaii 1 (16-inch) - 2015/2016"/>
    <n v="1"/>
    <x v="5"/>
    <n v="2"/>
    <n v="269.99"/>
    <n v="7.0000000000000007E-2"/>
    <n v="502.1814"/>
  </r>
  <r>
    <n v="522"/>
    <n v="3"/>
    <n v="21"/>
    <s v="Electra Cruiser 1 (24-Inch) - 2016"/>
    <n v="1"/>
    <x v="5"/>
    <n v="1"/>
    <n v="269.99"/>
    <n v="0.05"/>
    <n v="256.4905"/>
  </r>
  <r>
    <n v="523"/>
    <n v="1"/>
    <n v="12"/>
    <s v="Electra Townie Original 21D - 2016"/>
    <n v="3"/>
    <x v="0"/>
    <n v="1"/>
    <n v="549.99"/>
    <n v="0.2"/>
    <n v="439.99200000000002"/>
  </r>
  <r>
    <n v="523"/>
    <n v="2"/>
    <n v="20"/>
    <s v="Electra Townie Original 7D EQ - Women's - 2016"/>
    <n v="3"/>
    <x v="0"/>
    <n v="1"/>
    <n v="599.99"/>
    <n v="0.05"/>
    <n v="569.9905"/>
  </r>
  <r>
    <n v="523"/>
    <n v="3"/>
    <n v="5"/>
    <s v="Heller Shagamaw Frame - 2016"/>
    <n v="6"/>
    <x v="1"/>
    <n v="2"/>
    <n v="1320.99"/>
    <n v="0.1"/>
    <n v="2377.7820000000002"/>
  </r>
  <r>
    <n v="523"/>
    <n v="4"/>
    <n v="16"/>
    <s v="Electra Townie Original 7D EQ - 2016"/>
    <n v="3"/>
    <x v="0"/>
    <n v="2"/>
    <n v="599.99"/>
    <n v="7.0000000000000007E-2"/>
    <n v="1115.9814000000001"/>
  </r>
  <r>
    <n v="524"/>
    <n v="1"/>
    <n v="11"/>
    <s v="Surly Straggler 650b - 2016"/>
    <n v="4"/>
    <x v="2"/>
    <n v="1"/>
    <n v="1680.99"/>
    <n v="7.0000000000000007E-2"/>
    <n v="1563.3207"/>
  </r>
  <r>
    <n v="524"/>
    <n v="2"/>
    <n v="2"/>
    <s v="Ritchey Timberwolf Frameset - 2016"/>
    <n v="6"/>
    <x v="1"/>
    <n v="1"/>
    <n v="749.99"/>
    <n v="0.05"/>
    <n v="712.4905"/>
  </r>
  <r>
    <n v="524"/>
    <n v="3"/>
    <n v="9"/>
    <s v="Trek Conduit+ - 2016"/>
    <n v="5"/>
    <x v="4"/>
    <n v="1"/>
    <n v="2999.99"/>
    <n v="0.2"/>
    <n v="2399.9919999999997"/>
  </r>
  <r>
    <n v="524"/>
    <n v="4"/>
    <n v="3"/>
    <s v="Surly Wednesday Frameset - 2016"/>
    <n v="6"/>
    <x v="1"/>
    <n v="2"/>
    <n v="999.99"/>
    <n v="7.0000000000000007E-2"/>
    <n v="1859.9814000000001"/>
  </r>
  <r>
    <n v="524"/>
    <n v="5"/>
    <n v="26"/>
    <s v="Electra Townie Original 7D EQ - 2016"/>
    <n v="2"/>
    <x v="3"/>
    <n v="1"/>
    <n v="599.99"/>
    <n v="0.05"/>
    <n v="569.9905"/>
  </r>
  <r>
    <n v="525"/>
    <n v="1"/>
    <n v="9"/>
    <s v="Trek Conduit+ - 2016"/>
    <n v="5"/>
    <x v="4"/>
    <n v="2"/>
    <n v="2999.99"/>
    <n v="7.0000000000000007E-2"/>
    <n v="5579.9813999999997"/>
  </r>
  <r>
    <n v="525"/>
    <n v="2"/>
    <n v="6"/>
    <s v="Surly Ice Cream Truck Frameset - 2016"/>
    <n v="6"/>
    <x v="1"/>
    <n v="2"/>
    <n v="469.99"/>
    <n v="7.0000000000000007E-2"/>
    <n v="874.18140000000005"/>
  </r>
  <r>
    <n v="525"/>
    <n v="3"/>
    <n v="10"/>
    <s v="Surly Straggler - 2016"/>
    <n v="4"/>
    <x v="2"/>
    <n v="1"/>
    <n v="1549"/>
    <n v="0.1"/>
    <n v="1394.1"/>
  </r>
  <r>
    <n v="526"/>
    <n v="1"/>
    <n v="3"/>
    <s v="Surly Wednesday Frameset - 2016"/>
    <n v="6"/>
    <x v="1"/>
    <n v="2"/>
    <n v="999.99"/>
    <n v="0.1"/>
    <n v="1799.982"/>
  </r>
  <r>
    <n v="526"/>
    <n v="2"/>
    <n v="8"/>
    <s v="Trek Remedy 29 Carbon Frameset - 2016"/>
    <n v="6"/>
    <x v="1"/>
    <n v="1"/>
    <n v="1799.99"/>
    <n v="0.1"/>
    <n v="1619.991"/>
  </r>
  <r>
    <n v="526"/>
    <n v="3"/>
    <n v="21"/>
    <s v="Electra Cruiser 1 (24-Inch) - 2016"/>
    <n v="1"/>
    <x v="5"/>
    <n v="1"/>
    <n v="269.99"/>
    <n v="0.05"/>
    <n v="256.4905"/>
  </r>
  <r>
    <n v="526"/>
    <n v="4"/>
    <n v="15"/>
    <s v="Electra Moto 1 - 2016"/>
    <n v="3"/>
    <x v="0"/>
    <n v="1"/>
    <n v="529.99"/>
    <n v="7.0000000000000007E-2"/>
    <n v="492.89069999999998"/>
  </r>
  <r>
    <n v="527"/>
    <n v="1"/>
    <n v="18"/>
    <s v="Pure Cycles Western 3-Speed - Women's - 2015/2016"/>
    <n v="3"/>
    <x v="0"/>
    <n v="2"/>
    <n v="449"/>
    <n v="7.0000000000000007E-2"/>
    <n v="835.14"/>
  </r>
  <r>
    <n v="527"/>
    <n v="2"/>
    <n v="4"/>
    <s v="Trek Fuel EX 8 29 - 2016"/>
    <n v="6"/>
    <x v="1"/>
    <n v="1"/>
    <n v="2899.99"/>
    <n v="0.2"/>
    <n v="2319.9919999999997"/>
  </r>
  <r>
    <n v="527"/>
    <n v="3"/>
    <n v="19"/>
    <s v="Pure Cycles William 3-Speed - 2016"/>
    <n v="3"/>
    <x v="0"/>
    <n v="1"/>
    <n v="449"/>
    <n v="0.1"/>
    <n v="404.1"/>
  </r>
  <r>
    <n v="527"/>
    <n v="4"/>
    <n v="9"/>
    <s v="Trek Conduit+ - 2016"/>
    <n v="5"/>
    <x v="4"/>
    <n v="2"/>
    <n v="2999.99"/>
    <n v="0.2"/>
    <n v="4799.9839999999995"/>
  </r>
  <r>
    <n v="528"/>
    <n v="1"/>
    <n v="21"/>
    <s v="Electra Cruiser 1 (24-Inch) - 2016"/>
    <n v="1"/>
    <x v="5"/>
    <n v="2"/>
    <n v="269.99"/>
    <n v="0.05"/>
    <n v="512.98099999999999"/>
  </r>
  <r>
    <n v="529"/>
    <n v="1"/>
    <n v="12"/>
    <s v="Electra Townie Original 21D - 2016"/>
    <n v="3"/>
    <x v="0"/>
    <n v="2"/>
    <n v="549.99"/>
    <n v="7.0000000000000007E-2"/>
    <n v="1022.9814"/>
  </r>
  <r>
    <n v="530"/>
    <n v="1"/>
    <n v="2"/>
    <s v="Ritchey Timberwolf Frameset - 2016"/>
    <n v="6"/>
    <x v="1"/>
    <n v="2"/>
    <n v="749.99"/>
    <n v="0.05"/>
    <n v="1424.981"/>
  </r>
  <r>
    <n v="530"/>
    <n v="2"/>
    <n v="4"/>
    <s v="Trek Fuel EX 8 29 - 2016"/>
    <n v="6"/>
    <x v="1"/>
    <n v="1"/>
    <n v="2899.99"/>
    <n v="7.0000000000000007E-2"/>
    <n v="2696.9906999999998"/>
  </r>
  <r>
    <n v="530"/>
    <n v="3"/>
    <n v="6"/>
    <s v="Surly Ice Cream Truck Frameset - 2016"/>
    <n v="6"/>
    <x v="1"/>
    <n v="2"/>
    <n v="469.99"/>
    <n v="0.2"/>
    <n v="751.98400000000004"/>
  </r>
  <r>
    <n v="531"/>
    <n v="1"/>
    <n v="6"/>
    <s v="Surly Ice Cream Truck Frameset - 2016"/>
    <n v="6"/>
    <x v="1"/>
    <n v="1"/>
    <n v="469.99"/>
    <n v="0.2"/>
    <n v="375.99200000000002"/>
  </r>
  <r>
    <n v="531"/>
    <n v="2"/>
    <n v="12"/>
    <s v="Electra Townie Original 21D - 2016"/>
    <n v="3"/>
    <x v="0"/>
    <n v="2"/>
    <n v="549.99"/>
    <n v="0.2"/>
    <n v="879.98400000000004"/>
  </r>
  <r>
    <n v="531"/>
    <n v="3"/>
    <n v="25"/>
    <s v="Electra Townie Original 7D - 2015/2016"/>
    <n v="2"/>
    <x v="3"/>
    <n v="1"/>
    <n v="499.99"/>
    <n v="7.0000000000000007E-2"/>
    <n v="464.9907"/>
  </r>
  <r>
    <n v="532"/>
    <n v="1"/>
    <n v="17"/>
    <s v="Pure Cycles Vine 8-Speed - 2016"/>
    <n v="3"/>
    <x v="0"/>
    <n v="2"/>
    <n v="429"/>
    <n v="7.0000000000000007E-2"/>
    <n v="797.94"/>
  </r>
  <r>
    <n v="532"/>
    <n v="2"/>
    <n v="16"/>
    <s v="Electra Townie Original 7D EQ - 2016"/>
    <n v="3"/>
    <x v="0"/>
    <n v="2"/>
    <n v="599.99"/>
    <n v="0.2"/>
    <n v="959.98400000000004"/>
  </r>
  <r>
    <n v="532"/>
    <n v="3"/>
    <n v="12"/>
    <s v="Electra Townie Original 21D - 2016"/>
    <n v="3"/>
    <x v="0"/>
    <n v="1"/>
    <n v="549.99"/>
    <n v="0.1"/>
    <n v="494.99099999999999"/>
  </r>
  <r>
    <n v="533"/>
    <n v="1"/>
    <n v="4"/>
    <s v="Trek Fuel EX 8 29 - 2016"/>
    <n v="6"/>
    <x v="1"/>
    <n v="1"/>
    <n v="2899.99"/>
    <n v="0.2"/>
    <n v="2319.9919999999997"/>
  </r>
  <r>
    <n v="533"/>
    <n v="2"/>
    <n v="12"/>
    <s v="Electra Townie Original 21D - 2016"/>
    <n v="3"/>
    <x v="0"/>
    <n v="2"/>
    <n v="549.99"/>
    <n v="0.1"/>
    <n v="989.98199999999997"/>
  </r>
  <r>
    <n v="533"/>
    <n v="3"/>
    <n v="10"/>
    <s v="Surly Straggler - 2016"/>
    <n v="4"/>
    <x v="2"/>
    <n v="1"/>
    <n v="1549"/>
    <n v="0.2"/>
    <n v="1239.2"/>
  </r>
  <r>
    <n v="533"/>
    <n v="4"/>
    <n v="25"/>
    <s v="Electra Townie Original 7D - 2015/2016"/>
    <n v="2"/>
    <x v="3"/>
    <n v="1"/>
    <n v="499.99"/>
    <n v="0.05"/>
    <n v="474.9905"/>
  </r>
  <r>
    <n v="534"/>
    <n v="1"/>
    <n v="21"/>
    <s v="Electra Cruiser 1 (24-Inch) - 2016"/>
    <n v="1"/>
    <x v="5"/>
    <n v="2"/>
    <n v="269.99"/>
    <n v="0.05"/>
    <n v="512.98099999999999"/>
  </r>
  <r>
    <n v="534"/>
    <n v="2"/>
    <n v="9"/>
    <s v="Trek Conduit+ - 2016"/>
    <n v="5"/>
    <x v="4"/>
    <n v="2"/>
    <n v="2999.99"/>
    <n v="0.05"/>
    <n v="5699.9809999999998"/>
  </r>
  <r>
    <n v="534"/>
    <n v="3"/>
    <n v="2"/>
    <s v="Ritchey Timberwolf Frameset - 2016"/>
    <n v="6"/>
    <x v="1"/>
    <n v="1"/>
    <n v="749.99"/>
    <n v="7.0000000000000007E-2"/>
    <n v="697.49070000000006"/>
  </r>
  <r>
    <n v="534"/>
    <n v="4"/>
    <n v="24"/>
    <s v="Electra Townie Original 21D - 2016"/>
    <n v="2"/>
    <x v="3"/>
    <n v="2"/>
    <n v="549.99"/>
    <n v="0.1"/>
    <n v="989.98199999999997"/>
  </r>
  <r>
    <n v="535"/>
    <n v="1"/>
    <n v="24"/>
    <s v="Electra Townie Original 21D - 2016"/>
    <n v="2"/>
    <x v="3"/>
    <n v="1"/>
    <n v="549.99"/>
    <n v="0.05"/>
    <n v="522.4905"/>
  </r>
  <r>
    <n v="535"/>
    <n v="2"/>
    <n v="15"/>
    <s v="Electra Moto 1 - 2016"/>
    <n v="3"/>
    <x v="0"/>
    <n v="1"/>
    <n v="529.99"/>
    <n v="0.1"/>
    <n v="476.99099999999999"/>
  </r>
  <r>
    <n v="535"/>
    <n v="3"/>
    <n v="22"/>
    <s v="Electra Girl's Hawaii 1 (16-inch) - 2015/2016"/>
    <n v="1"/>
    <x v="5"/>
    <n v="2"/>
    <n v="269.99"/>
    <n v="0.1"/>
    <n v="485.98200000000003"/>
  </r>
  <r>
    <n v="536"/>
    <n v="1"/>
    <n v="22"/>
    <s v="Electra Girl's Hawaii 1 (16-inch) - 2015/2016"/>
    <n v="1"/>
    <x v="5"/>
    <n v="1"/>
    <n v="269.99"/>
    <n v="0.1"/>
    <n v="242.99100000000001"/>
  </r>
  <r>
    <n v="536"/>
    <n v="2"/>
    <n v="2"/>
    <s v="Ritchey Timberwolf Frameset - 2016"/>
    <n v="6"/>
    <x v="1"/>
    <n v="1"/>
    <n v="749.99"/>
    <n v="0.1"/>
    <n v="674.99099999999999"/>
  </r>
  <r>
    <n v="536"/>
    <n v="3"/>
    <n v="12"/>
    <s v="Electra Townie Original 21D - 2016"/>
    <n v="3"/>
    <x v="0"/>
    <n v="2"/>
    <n v="549.99"/>
    <n v="0.05"/>
    <n v="1044.981"/>
  </r>
  <r>
    <n v="536"/>
    <n v="4"/>
    <n v="14"/>
    <s v="Electra Girl's Hawaii 1 (16-inch) - 2015/2016"/>
    <n v="3"/>
    <x v="0"/>
    <n v="1"/>
    <n v="269.99"/>
    <n v="7.0000000000000007E-2"/>
    <n v="251.0907"/>
  </r>
  <r>
    <n v="537"/>
    <n v="1"/>
    <n v="10"/>
    <s v="Surly Straggler - 2016"/>
    <n v="4"/>
    <x v="2"/>
    <n v="1"/>
    <n v="1549"/>
    <n v="0.05"/>
    <n v="1471.55"/>
  </r>
  <r>
    <n v="537"/>
    <n v="2"/>
    <n v="26"/>
    <s v="Electra Townie Original 7D EQ - 2016"/>
    <n v="2"/>
    <x v="3"/>
    <n v="1"/>
    <n v="599.99"/>
    <n v="0.05"/>
    <n v="569.9905"/>
  </r>
  <r>
    <n v="537"/>
    <n v="3"/>
    <n v="17"/>
    <s v="Pure Cycles Vine 8-Speed - 2016"/>
    <n v="3"/>
    <x v="0"/>
    <n v="2"/>
    <n v="429"/>
    <n v="0.1"/>
    <n v="772.2"/>
  </r>
  <r>
    <n v="537"/>
    <n v="4"/>
    <n v="25"/>
    <s v="Electra Townie Original 7D - 2015/2016"/>
    <n v="2"/>
    <x v="3"/>
    <n v="2"/>
    <n v="499.99"/>
    <n v="0.2"/>
    <n v="799.98400000000004"/>
  </r>
  <r>
    <n v="538"/>
    <n v="1"/>
    <n v="2"/>
    <s v="Ritchey Timberwolf Frameset - 2016"/>
    <n v="6"/>
    <x v="1"/>
    <n v="2"/>
    <n v="749.99"/>
    <n v="0.2"/>
    <n v="1199.9839999999999"/>
  </r>
  <r>
    <n v="539"/>
    <n v="1"/>
    <n v="9"/>
    <s v="Trek Conduit+ - 2016"/>
    <n v="5"/>
    <x v="4"/>
    <n v="2"/>
    <n v="2999.99"/>
    <n v="0.1"/>
    <n v="5399.982"/>
  </r>
  <r>
    <n v="539"/>
    <n v="2"/>
    <n v="23"/>
    <s v="Electra Girl's Hawaii 1 (20-inch) - 2015/2016"/>
    <n v="1"/>
    <x v="5"/>
    <n v="1"/>
    <n v="299.99"/>
    <n v="0.05"/>
    <n v="284.9905"/>
  </r>
  <r>
    <n v="539"/>
    <n v="3"/>
    <n v="21"/>
    <s v="Electra Cruiser 1 (24-Inch) - 2016"/>
    <n v="1"/>
    <x v="5"/>
    <n v="2"/>
    <n v="269.99"/>
    <n v="7.0000000000000007E-2"/>
    <n v="502.1814"/>
  </r>
  <r>
    <n v="540"/>
    <n v="1"/>
    <n v="19"/>
    <s v="Pure Cycles William 3-Speed - 2016"/>
    <n v="3"/>
    <x v="0"/>
    <n v="1"/>
    <n v="449"/>
    <n v="0.1"/>
    <n v="404.1"/>
  </r>
  <r>
    <n v="540"/>
    <n v="2"/>
    <n v="26"/>
    <s v="Electra Townie Original 7D EQ - 2016"/>
    <n v="2"/>
    <x v="3"/>
    <n v="2"/>
    <n v="599.99"/>
    <n v="0.1"/>
    <n v="1079.982"/>
  </r>
  <r>
    <n v="540"/>
    <n v="3"/>
    <n v="23"/>
    <s v="Electra Girl's Hawaii 1 (20-inch) - 2015/2016"/>
    <n v="1"/>
    <x v="5"/>
    <n v="2"/>
    <n v="299.99"/>
    <n v="7.0000000000000007E-2"/>
    <n v="557.98140000000001"/>
  </r>
  <r>
    <n v="541"/>
    <n v="1"/>
    <n v="22"/>
    <s v="Electra Girl's Hawaii 1 (16-inch) - 2015/2016"/>
    <n v="1"/>
    <x v="5"/>
    <n v="2"/>
    <n v="269.99"/>
    <n v="0.05"/>
    <n v="512.98099999999999"/>
  </r>
  <r>
    <n v="542"/>
    <n v="1"/>
    <n v="16"/>
    <s v="Electra Townie Original 7D EQ - 2016"/>
    <n v="3"/>
    <x v="0"/>
    <n v="2"/>
    <n v="599.99"/>
    <n v="0.2"/>
    <n v="959.98400000000004"/>
  </r>
  <r>
    <n v="542"/>
    <n v="2"/>
    <n v="9"/>
    <s v="Trek Conduit+ - 2016"/>
    <n v="5"/>
    <x v="4"/>
    <n v="1"/>
    <n v="2999.99"/>
    <n v="0.1"/>
    <n v="2699.991"/>
  </r>
  <r>
    <n v="542"/>
    <n v="3"/>
    <n v="20"/>
    <s v="Electra Townie Original 7D EQ - Women's - 2016"/>
    <n v="3"/>
    <x v="0"/>
    <n v="1"/>
    <n v="599.99"/>
    <n v="0.1"/>
    <n v="539.99099999999999"/>
  </r>
  <r>
    <n v="542"/>
    <n v="4"/>
    <n v="19"/>
    <s v="Pure Cycles William 3-Speed - 2016"/>
    <n v="3"/>
    <x v="0"/>
    <n v="2"/>
    <n v="449"/>
    <n v="0.2"/>
    <n v="718.4"/>
  </r>
  <r>
    <n v="543"/>
    <n v="1"/>
    <n v="25"/>
    <s v="Electra Townie Original 7D - 2015/2016"/>
    <n v="2"/>
    <x v="3"/>
    <n v="1"/>
    <n v="499.99"/>
    <n v="0.2"/>
    <n v="399.99200000000002"/>
  </r>
  <r>
    <n v="543"/>
    <n v="2"/>
    <n v="18"/>
    <s v="Pure Cycles Western 3-Speed - Women's - 2015/2016"/>
    <n v="3"/>
    <x v="0"/>
    <n v="1"/>
    <n v="449"/>
    <n v="0.2"/>
    <n v="359.2"/>
  </r>
  <r>
    <n v="543"/>
    <n v="3"/>
    <n v="26"/>
    <s v="Electra Townie Original 7D EQ - 2016"/>
    <n v="2"/>
    <x v="3"/>
    <n v="2"/>
    <n v="599.99"/>
    <n v="0.05"/>
    <n v="1139.981"/>
  </r>
  <r>
    <n v="544"/>
    <n v="1"/>
    <n v="12"/>
    <s v="Electra Townie Original 21D - 2016"/>
    <n v="3"/>
    <x v="0"/>
    <n v="1"/>
    <n v="549.99"/>
    <n v="0.05"/>
    <n v="522.4905"/>
  </r>
  <r>
    <n v="544"/>
    <n v="2"/>
    <n v="17"/>
    <s v="Pure Cycles Vine 8-Speed - 2016"/>
    <n v="3"/>
    <x v="0"/>
    <n v="1"/>
    <n v="429"/>
    <n v="0.1"/>
    <n v="386.1"/>
  </r>
  <r>
    <n v="544"/>
    <n v="3"/>
    <n v="21"/>
    <s v="Electra Cruiser 1 (24-Inch) - 2016"/>
    <n v="1"/>
    <x v="5"/>
    <n v="1"/>
    <n v="269.99"/>
    <n v="0.05"/>
    <n v="256.4905"/>
  </r>
  <r>
    <n v="545"/>
    <n v="1"/>
    <n v="25"/>
    <s v="Electra Townie Original 7D - 2015/2016"/>
    <n v="2"/>
    <x v="3"/>
    <n v="2"/>
    <n v="499.99"/>
    <n v="0.2"/>
    <n v="799.98400000000004"/>
  </r>
  <r>
    <n v="545"/>
    <n v="2"/>
    <n v="6"/>
    <s v="Surly Ice Cream Truck Frameset - 2016"/>
    <n v="6"/>
    <x v="1"/>
    <n v="1"/>
    <n v="469.99"/>
    <n v="7.0000000000000007E-2"/>
    <n v="437.09070000000003"/>
  </r>
  <r>
    <n v="545"/>
    <n v="3"/>
    <n v="24"/>
    <s v="Electra Townie Original 21D - 2016"/>
    <n v="2"/>
    <x v="3"/>
    <n v="1"/>
    <n v="549.99"/>
    <n v="0.2"/>
    <n v="439.99200000000002"/>
  </r>
  <r>
    <n v="545"/>
    <n v="4"/>
    <n v="20"/>
    <s v="Electra Townie Original 7D EQ - Women's - 2016"/>
    <n v="3"/>
    <x v="0"/>
    <n v="2"/>
    <n v="599.99"/>
    <n v="7.0000000000000007E-2"/>
    <n v="1115.9814000000001"/>
  </r>
  <r>
    <n v="546"/>
    <n v="1"/>
    <n v="17"/>
    <s v="Pure Cycles Vine 8-Speed - 2016"/>
    <n v="3"/>
    <x v="0"/>
    <n v="2"/>
    <n v="429"/>
    <n v="0.05"/>
    <n v="815.1"/>
  </r>
  <r>
    <n v="546"/>
    <n v="2"/>
    <n v="8"/>
    <s v="Trek Remedy 29 Carbon Frameset - 2016"/>
    <n v="6"/>
    <x v="1"/>
    <n v="1"/>
    <n v="1799.99"/>
    <n v="0.1"/>
    <n v="1619.991"/>
  </r>
  <r>
    <n v="546"/>
    <n v="3"/>
    <n v="18"/>
    <s v="Pure Cycles Western 3-Speed - Women's - 2015/2016"/>
    <n v="3"/>
    <x v="0"/>
    <n v="2"/>
    <n v="449"/>
    <n v="7.0000000000000007E-2"/>
    <n v="835.14"/>
  </r>
  <r>
    <n v="547"/>
    <n v="1"/>
    <n v="11"/>
    <s v="Surly Straggler 650b - 2016"/>
    <n v="4"/>
    <x v="2"/>
    <n v="2"/>
    <n v="1680.99"/>
    <n v="0.05"/>
    <n v="3193.8809999999999"/>
  </r>
  <r>
    <n v="547"/>
    <n v="2"/>
    <n v="9"/>
    <s v="Trek Conduit+ - 2016"/>
    <n v="5"/>
    <x v="4"/>
    <n v="1"/>
    <n v="2999.99"/>
    <n v="0.2"/>
    <n v="2399.9919999999997"/>
  </r>
  <r>
    <n v="547"/>
    <n v="3"/>
    <n v="5"/>
    <s v="Heller Shagamaw Frame - 2016"/>
    <n v="6"/>
    <x v="1"/>
    <n v="1"/>
    <n v="1320.99"/>
    <n v="0.1"/>
    <n v="1188.8910000000001"/>
  </r>
  <r>
    <n v="548"/>
    <n v="1"/>
    <n v="8"/>
    <s v="Trek Remedy 29 Carbon Frameset - 2016"/>
    <n v="6"/>
    <x v="1"/>
    <n v="1"/>
    <n v="1799.99"/>
    <n v="0.1"/>
    <n v="1619.991"/>
  </r>
  <r>
    <n v="548"/>
    <n v="2"/>
    <n v="11"/>
    <s v="Surly Straggler 650b - 2016"/>
    <n v="4"/>
    <x v="2"/>
    <n v="2"/>
    <n v="1680.99"/>
    <n v="7.0000000000000007E-2"/>
    <n v="3126.6414"/>
  </r>
  <r>
    <n v="549"/>
    <n v="1"/>
    <n v="15"/>
    <s v="Electra Moto 1 - 2016"/>
    <n v="3"/>
    <x v="0"/>
    <n v="1"/>
    <n v="529.99"/>
    <n v="7.0000000000000007E-2"/>
    <n v="492.89069999999998"/>
  </r>
  <r>
    <n v="549"/>
    <n v="2"/>
    <n v="16"/>
    <s v="Electra Townie Original 7D EQ - 2016"/>
    <n v="3"/>
    <x v="0"/>
    <n v="1"/>
    <n v="599.99"/>
    <n v="0.05"/>
    <n v="569.9905"/>
  </r>
  <r>
    <n v="549"/>
    <n v="3"/>
    <n v="3"/>
    <s v="Surly Wednesday Frameset - 2016"/>
    <n v="6"/>
    <x v="1"/>
    <n v="1"/>
    <n v="999.99"/>
    <n v="7.0000000000000007E-2"/>
    <n v="929.99070000000006"/>
  </r>
  <r>
    <n v="549"/>
    <n v="4"/>
    <n v="7"/>
    <s v="Trek Slash 8 27.5 - 2016"/>
    <n v="6"/>
    <x v="1"/>
    <n v="1"/>
    <n v="3999.99"/>
    <n v="0.05"/>
    <n v="3799.9904999999999"/>
  </r>
  <r>
    <n v="549"/>
    <n v="5"/>
    <n v="13"/>
    <s v="Electra Cruiser 1 (24-Inch) - 2016"/>
    <n v="3"/>
    <x v="0"/>
    <n v="2"/>
    <n v="269.99"/>
    <n v="0.1"/>
    <n v="485.98200000000003"/>
  </r>
  <r>
    <n v="550"/>
    <n v="1"/>
    <n v="4"/>
    <s v="Trek Fuel EX 8 29 - 2016"/>
    <n v="6"/>
    <x v="1"/>
    <n v="1"/>
    <n v="2899.99"/>
    <n v="0.05"/>
    <n v="2754.9904999999999"/>
  </r>
  <r>
    <n v="551"/>
    <n v="1"/>
    <n v="16"/>
    <s v="Electra Townie Original 7D EQ - 2016"/>
    <n v="3"/>
    <x v="0"/>
    <n v="1"/>
    <n v="599.99"/>
    <n v="0.05"/>
    <n v="569.9905"/>
  </r>
  <r>
    <n v="551"/>
    <n v="2"/>
    <n v="26"/>
    <s v="Electra Townie Original 7D EQ - 2016"/>
    <n v="2"/>
    <x v="3"/>
    <n v="1"/>
    <n v="599.99"/>
    <n v="7.0000000000000007E-2"/>
    <n v="557.99070000000006"/>
  </r>
  <r>
    <n v="551"/>
    <n v="3"/>
    <n v="11"/>
    <s v="Surly Straggler 650b - 2016"/>
    <n v="4"/>
    <x v="2"/>
    <n v="2"/>
    <n v="1680.99"/>
    <n v="0.2"/>
    <n v="2689.5839999999998"/>
  </r>
  <r>
    <n v="551"/>
    <n v="4"/>
    <n v="15"/>
    <s v="Electra Moto 1 - 2016"/>
    <n v="3"/>
    <x v="0"/>
    <n v="2"/>
    <n v="529.99"/>
    <n v="0.2"/>
    <n v="847.98400000000004"/>
  </r>
  <r>
    <n v="552"/>
    <n v="1"/>
    <n v="23"/>
    <s v="Electra Girl's Hawaii 1 (20-inch) - 2015/2016"/>
    <n v="1"/>
    <x v="5"/>
    <n v="1"/>
    <n v="299.99"/>
    <n v="0.2"/>
    <n v="239.99200000000002"/>
  </r>
  <r>
    <n v="552"/>
    <n v="2"/>
    <n v="2"/>
    <s v="Ritchey Timberwolf Frameset - 2016"/>
    <n v="6"/>
    <x v="1"/>
    <n v="1"/>
    <n v="749.99"/>
    <n v="0.2"/>
    <n v="599.99199999999996"/>
  </r>
  <r>
    <n v="552"/>
    <n v="3"/>
    <n v="24"/>
    <s v="Electra Townie Original 21D - 2016"/>
    <n v="2"/>
    <x v="3"/>
    <n v="1"/>
    <n v="549.99"/>
    <n v="0.2"/>
    <n v="439.99200000000002"/>
  </r>
  <r>
    <n v="552"/>
    <n v="4"/>
    <n v="18"/>
    <s v="Pure Cycles Western 3-Speed - Women's - 2015/2016"/>
    <n v="3"/>
    <x v="0"/>
    <n v="1"/>
    <n v="449"/>
    <n v="0.1"/>
    <n v="404.1"/>
  </r>
  <r>
    <n v="552"/>
    <n v="5"/>
    <n v="19"/>
    <s v="Pure Cycles William 3-Speed - 2016"/>
    <n v="3"/>
    <x v="0"/>
    <n v="2"/>
    <n v="449"/>
    <n v="0.2"/>
    <n v="718.4"/>
  </r>
  <r>
    <n v="553"/>
    <n v="1"/>
    <n v="24"/>
    <s v="Electra Townie Original 21D - 2016"/>
    <n v="2"/>
    <x v="3"/>
    <n v="1"/>
    <n v="549.99"/>
    <n v="0.1"/>
    <n v="494.99099999999999"/>
  </r>
  <r>
    <n v="553"/>
    <n v="2"/>
    <n v="18"/>
    <s v="Pure Cycles Western 3-Speed - Women's - 2015/2016"/>
    <n v="3"/>
    <x v="0"/>
    <n v="2"/>
    <n v="449"/>
    <n v="7.0000000000000007E-2"/>
    <n v="835.14"/>
  </r>
  <r>
    <n v="553"/>
    <n v="3"/>
    <n v="12"/>
    <s v="Electra Townie Original 21D - 2016"/>
    <n v="3"/>
    <x v="0"/>
    <n v="1"/>
    <n v="549.99"/>
    <n v="7.0000000000000007E-2"/>
    <n v="511.4907"/>
  </r>
  <r>
    <n v="554"/>
    <n v="1"/>
    <n v="3"/>
    <s v="Surly Wednesday Frameset - 2016"/>
    <n v="6"/>
    <x v="1"/>
    <n v="2"/>
    <n v="999.99"/>
    <n v="7.0000000000000007E-2"/>
    <n v="1859.9814000000001"/>
  </r>
  <r>
    <n v="554"/>
    <n v="2"/>
    <n v="22"/>
    <s v="Electra Girl's Hawaii 1 (16-inch) - 2015/2016"/>
    <n v="1"/>
    <x v="5"/>
    <n v="1"/>
    <n v="269.99"/>
    <n v="0.05"/>
    <n v="256.4905"/>
  </r>
  <r>
    <n v="554"/>
    <n v="3"/>
    <n v="4"/>
    <s v="Trek Fuel EX 8 29 - 2016"/>
    <n v="6"/>
    <x v="1"/>
    <n v="2"/>
    <n v="2899.99"/>
    <n v="0.2"/>
    <n v="4639.9839999999995"/>
  </r>
  <r>
    <n v="555"/>
    <n v="1"/>
    <n v="8"/>
    <s v="Trek Remedy 29 Carbon Frameset - 2016"/>
    <n v="6"/>
    <x v="1"/>
    <n v="1"/>
    <n v="1799.99"/>
    <n v="0.2"/>
    <n v="1439.992"/>
  </r>
  <r>
    <n v="555"/>
    <n v="2"/>
    <n v="7"/>
    <s v="Trek Slash 8 27.5 - 2016"/>
    <n v="6"/>
    <x v="1"/>
    <n v="1"/>
    <n v="3999.99"/>
    <n v="0.1"/>
    <n v="3599.991"/>
  </r>
  <r>
    <n v="555"/>
    <n v="3"/>
    <n v="20"/>
    <s v="Electra Townie Original 7D EQ - Women's - 2016"/>
    <n v="3"/>
    <x v="0"/>
    <n v="2"/>
    <n v="599.99"/>
    <n v="7.0000000000000007E-2"/>
    <n v="1115.9814000000001"/>
  </r>
  <r>
    <n v="556"/>
    <n v="1"/>
    <n v="16"/>
    <s v="Electra Townie Original 7D EQ - 2016"/>
    <n v="3"/>
    <x v="0"/>
    <n v="1"/>
    <n v="599.99"/>
    <n v="0.1"/>
    <n v="539.99099999999999"/>
  </r>
  <r>
    <n v="556"/>
    <n v="2"/>
    <n v="4"/>
    <s v="Trek Fuel EX 8 29 - 2016"/>
    <n v="6"/>
    <x v="1"/>
    <n v="2"/>
    <n v="2899.99"/>
    <n v="0.2"/>
    <n v="4639.9839999999995"/>
  </r>
  <r>
    <n v="557"/>
    <n v="1"/>
    <n v="9"/>
    <s v="Trek Conduit+ - 2016"/>
    <n v="5"/>
    <x v="4"/>
    <n v="2"/>
    <n v="2999.99"/>
    <n v="0.1"/>
    <n v="5399.982"/>
  </r>
  <r>
    <n v="557"/>
    <n v="2"/>
    <n v="10"/>
    <s v="Surly Straggler - 2016"/>
    <n v="4"/>
    <x v="2"/>
    <n v="1"/>
    <n v="1549"/>
    <n v="0.1"/>
    <n v="1394.1"/>
  </r>
  <r>
    <n v="558"/>
    <n v="1"/>
    <n v="7"/>
    <s v="Trek Slash 8 27.5 - 2016"/>
    <n v="6"/>
    <x v="1"/>
    <n v="1"/>
    <n v="3999.99"/>
    <n v="7.0000000000000007E-2"/>
    <n v="3719.9906999999998"/>
  </r>
  <r>
    <n v="558"/>
    <n v="2"/>
    <n v="16"/>
    <s v="Electra Townie Original 7D EQ - 2016"/>
    <n v="3"/>
    <x v="0"/>
    <n v="1"/>
    <n v="599.99"/>
    <n v="7.0000000000000007E-2"/>
    <n v="557.99070000000006"/>
  </r>
  <r>
    <n v="558"/>
    <n v="3"/>
    <n v="9"/>
    <s v="Trek Conduit+ - 2016"/>
    <n v="5"/>
    <x v="4"/>
    <n v="1"/>
    <n v="2999.99"/>
    <n v="0.1"/>
    <n v="2699.991"/>
  </r>
  <r>
    <n v="558"/>
    <n v="4"/>
    <n v="21"/>
    <s v="Electra Cruiser 1 (24-Inch) - 2016"/>
    <n v="1"/>
    <x v="5"/>
    <n v="2"/>
    <n v="269.99"/>
    <n v="0.05"/>
    <n v="512.98099999999999"/>
  </r>
  <r>
    <n v="558"/>
    <n v="5"/>
    <n v="10"/>
    <s v="Surly Straggler - 2016"/>
    <n v="4"/>
    <x v="2"/>
    <n v="2"/>
    <n v="1549"/>
    <n v="7.0000000000000007E-2"/>
    <n v="2881.14"/>
  </r>
  <r>
    <n v="559"/>
    <n v="1"/>
    <n v="15"/>
    <s v="Electra Moto 1 - 2016"/>
    <n v="3"/>
    <x v="0"/>
    <n v="2"/>
    <n v="529.99"/>
    <n v="0.1"/>
    <n v="953.98199999999997"/>
  </r>
  <r>
    <n v="559"/>
    <n v="2"/>
    <n v="6"/>
    <s v="Surly Ice Cream Truck Frameset - 2016"/>
    <n v="6"/>
    <x v="1"/>
    <n v="1"/>
    <n v="469.99"/>
    <n v="0.1"/>
    <n v="422.99099999999999"/>
  </r>
  <r>
    <n v="559"/>
    <n v="3"/>
    <n v="7"/>
    <s v="Trek Slash 8 27.5 - 2016"/>
    <n v="6"/>
    <x v="1"/>
    <n v="2"/>
    <n v="3999.99"/>
    <n v="7.0000000000000007E-2"/>
    <n v="7439.9813999999997"/>
  </r>
  <r>
    <n v="560"/>
    <n v="1"/>
    <n v="16"/>
    <s v="Electra Townie Original 7D EQ - 2016"/>
    <n v="3"/>
    <x v="0"/>
    <n v="1"/>
    <n v="599.99"/>
    <n v="0.05"/>
    <n v="569.9905"/>
  </r>
  <r>
    <n v="560"/>
    <n v="2"/>
    <n v="26"/>
    <s v="Electra Townie Original 7D EQ - 2016"/>
    <n v="2"/>
    <x v="3"/>
    <n v="2"/>
    <n v="599.99"/>
    <n v="0.1"/>
    <n v="1079.982"/>
  </r>
  <r>
    <n v="561"/>
    <n v="1"/>
    <n v="15"/>
    <s v="Electra Moto 1 - 2016"/>
    <n v="3"/>
    <x v="0"/>
    <n v="2"/>
    <n v="529.99"/>
    <n v="0.05"/>
    <n v="1006.981"/>
  </r>
  <r>
    <n v="561"/>
    <n v="2"/>
    <n v="18"/>
    <s v="Pure Cycles Western 3-Speed - Women's - 2015/2016"/>
    <n v="3"/>
    <x v="0"/>
    <n v="1"/>
    <n v="449"/>
    <n v="0.05"/>
    <n v="426.55"/>
  </r>
  <r>
    <n v="561"/>
    <n v="3"/>
    <n v="5"/>
    <s v="Heller Shagamaw Frame - 2016"/>
    <n v="6"/>
    <x v="1"/>
    <n v="1"/>
    <n v="1320.99"/>
    <n v="0.05"/>
    <n v="1254.9404999999999"/>
  </r>
  <r>
    <n v="561"/>
    <n v="4"/>
    <n v="17"/>
    <s v="Pure Cycles Vine 8-Speed - 2016"/>
    <n v="3"/>
    <x v="0"/>
    <n v="2"/>
    <n v="429"/>
    <n v="7.0000000000000007E-2"/>
    <n v="797.94"/>
  </r>
  <r>
    <n v="562"/>
    <n v="1"/>
    <n v="25"/>
    <s v="Electra Townie Original 7D - 2015/2016"/>
    <n v="2"/>
    <x v="3"/>
    <n v="2"/>
    <n v="499.99"/>
    <n v="7.0000000000000007E-2"/>
    <n v="929.98140000000001"/>
  </r>
  <r>
    <n v="562"/>
    <n v="2"/>
    <n v="26"/>
    <s v="Electra Townie Original 7D EQ - 2016"/>
    <n v="2"/>
    <x v="3"/>
    <n v="1"/>
    <n v="599.99"/>
    <n v="0.05"/>
    <n v="569.9905"/>
  </r>
  <r>
    <n v="563"/>
    <n v="1"/>
    <n v="6"/>
    <s v="Surly Ice Cream Truck Frameset - 2016"/>
    <n v="6"/>
    <x v="1"/>
    <n v="2"/>
    <n v="469.99"/>
    <n v="0.1"/>
    <n v="845.98199999999997"/>
  </r>
  <r>
    <n v="563"/>
    <n v="2"/>
    <n v="19"/>
    <s v="Pure Cycles William 3-Speed - 2016"/>
    <n v="3"/>
    <x v="0"/>
    <n v="1"/>
    <n v="449"/>
    <n v="0.05"/>
    <n v="426.55"/>
  </r>
  <r>
    <n v="563"/>
    <n v="3"/>
    <n v="13"/>
    <s v="Electra Cruiser 1 (24-Inch) - 2016"/>
    <n v="3"/>
    <x v="0"/>
    <n v="2"/>
    <n v="269.99"/>
    <n v="0.1"/>
    <n v="485.98200000000003"/>
  </r>
  <r>
    <n v="564"/>
    <n v="1"/>
    <n v="4"/>
    <s v="Trek Fuel EX 8 29 - 2016"/>
    <n v="6"/>
    <x v="1"/>
    <n v="1"/>
    <n v="2899.99"/>
    <n v="0.2"/>
    <n v="2319.9919999999997"/>
  </r>
  <r>
    <n v="564"/>
    <n v="2"/>
    <n v="15"/>
    <s v="Electra Moto 1 - 2016"/>
    <n v="3"/>
    <x v="0"/>
    <n v="1"/>
    <n v="529.99"/>
    <n v="0.2"/>
    <n v="423.99200000000002"/>
  </r>
  <r>
    <n v="565"/>
    <n v="1"/>
    <n v="18"/>
    <s v="Pure Cycles Western 3-Speed - Women's - 2015/2016"/>
    <n v="3"/>
    <x v="0"/>
    <n v="1"/>
    <n v="449"/>
    <n v="0.2"/>
    <n v="359.2"/>
  </r>
  <r>
    <n v="565"/>
    <n v="2"/>
    <n v="25"/>
    <s v="Electra Townie Original 7D - 2015/2016"/>
    <n v="2"/>
    <x v="3"/>
    <n v="2"/>
    <n v="499.99"/>
    <n v="0.1"/>
    <n v="899.98199999999997"/>
  </r>
  <r>
    <n v="565"/>
    <n v="3"/>
    <n v="9"/>
    <s v="Trek Conduit+ - 2016"/>
    <n v="5"/>
    <x v="4"/>
    <n v="1"/>
    <n v="2999.99"/>
    <n v="0.05"/>
    <n v="2849.9904999999999"/>
  </r>
  <r>
    <n v="565"/>
    <n v="4"/>
    <n v="17"/>
    <s v="Pure Cycles Vine 8-Speed - 2016"/>
    <n v="3"/>
    <x v="0"/>
    <n v="1"/>
    <n v="429"/>
    <n v="0.1"/>
    <n v="386.1"/>
  </r>
  <r>
    <n v="566"/>
    <n v="1"/>
    <n v="24"/>
    <s v="Electra Townie Original 21D - 2016"/>
    <n v="2"/>
    <x v="3"/>
    <n v="2"/>
    <n v="549.99"/>
    <n v="7.0000000000000007E-2"/>
    <n v="1022.9814"/>
  </r>
  <r>
    <n v="566"/>
    <n v="2"/>
    <n v="7"/>
    <s v="Trek Slash 8 27.5 - 2016"/>
    <n v="6"/>
    <x v="1"/>
    <n v="2"/>
    <n v="3999.99"/>
    <n v="0.2"/>
    <n v="6399.9839999999995"/>
  </r>
  <r>
    <n v="566"/>
    <n v="3"/>
    <n v="8"/>
    <s v="Trek Remedy 29 Carbon Frameset - 2016"/>
    <n v="6"/>
    <x v="1"/>
    <n v="1"/>
    <n v="1799.99"/>
    <n v="0.1"/>
    <n v="1619.991"/>
  </r>
  <r>
    <n v="566"/>
    <n v="4"/>
    <n v="21"/>
    <s v="Electra Cruiser 1 (24-Inch) - 2016"/>
    <n v="1"/>
    <x v="5"/>
    <n v="2"/>
    <n v="269.99"/>
    <n v="0.2"/>
    <n v="431.98400000000004"/>
  </r>
  <r>
    <n v="567"/>
    <n v="1"/>
    <n v="9"/>
    <s v="Trek Conduit+ - 2016"/>
    <n v="5"/>
    <x v="4"/>
    <n v="1"/>
    <n v="2999.99"/>
    <n v="0.2"/>
    <n v="2399.9919999999997"/>
  </r>
  <r>
    <n v="567"/>
    <n v="2"/>
    <n v="5"/>
    <s v="Heller Shagamaw Frame - 2016"/>
    <n v="6"/>
    <x v="1"/>
    <n v="1"/>
    <n v="1320.99"/>
    <n v="7.0000000000000007E-2"/>
    <n v="1228.5207"/>
  </r>
  <r>
    <n v="568"/>
    <n v="1"/>
    <n v="5"/>
    <s v="Heller Shagamaw Frame - 2016"/>
    <n v="6"/>
    <x v="1"/>
    <n v="1"/>
    <n v="1320.99"/>
    <n v="0.05"/>
    <n v="1254.9404999999999"/>
  </r>
  <r>
    <n v="568"/>
    <n v="2"/>
    <n v="10"/>
    <s v="Surly Straggler - 2016"/>
    <n v="4"/>
    <x v="2"/>
    <n v="1"/>
    <n v="1549"/>
    <n v="0.05"/>
    <n v="1471.55"/>
  </r>
  <r>
    <n v="569"/>
    <n v="1"/>
    <n v="16"/>
    <s v="Electra Townie Original 7D EQ - 2016"/>
    <n v="3"/>
    <x v="0"/>
    <n v="1"/>
    <n v="599.99"/>
    <n v="0.05"/>
    <n v="569.9905"/>
  </r>
  <r>
    <n v="569"/>
    <n v="2"/>
    <n v="24"/>
    <s v="Electra Townie Original 21D - 2016"/>
    <n v="2"/>
    <x v="3"/>
    <n v="2"/>
    <n v="549.99"/>
    <n v="0.1"/>
    <n v="989.98199999999997"/>
  </r>
  <r>
    <n v="570"/>
    <n v="1"/>
    <n v="18"/>
    <s v="Pure Cycles Western 3-Speed - Women's - 2015/2016"/>
    <n v="3"/>
    <x v="0"/>
    <n v="1"/>
    <n v="449"/>
    <n v="7.0000000000000007E-2"/>
    <n v="417.57"/>
  </r>
  <r>
    <n v="570"/>
    <n v="2"/>
    <n v="24"/>
    <s v="Electra Townie Original 21D - 2016"/>
    <n v="2"/>
    <x v="3"/>
    <n v="2"/>
    <n v="549.99"/>
    <n v="0.1"/>
    <n v="989.98199999999997"/>
  </r>
  <r>
    <n v="570"/>
    <n v="3"/>
    <n v="3"/>
    <s v="Surly Wednesday Frameset - 2016"/>
    <n v="6"/>
    <x v="1"/>
    <n v="2"/>
    <n v="999.99"/>
    <n v="0.2"/>
    <n v="1599.9839999999999"/>
  </r>
  <r>
    <n v="570"/>
    <n v="4"/>
    <n v="11"/>
    <s v="Surly Straggler 650b - 2016"/>
    <n v="4"/>
    <x v="2"/>
    <n v="1"/>
    <n v="1680.99"/>
    <n v="0.1"/>
    <n v="1512.8910000000001"/>
  </r>
  <r>
    <n v="570"/>
    <n v="5"/>
    <n v="16"/>
    <s v="Electra Townie Original 7D EQ - 2016"/>
    <n v="3"/>
    <x v="0"/>
    <n v="1"/>
    <n v="599.99"/>
    <n v="0.05"/>
    <n v="569.9905"/>
  </r>
  <r>
    <n v="571"/>
    <n v="1"/>
    <n v="4"/>
    <s v="Trek Fuel EX 8 29 - 2016"/>
    <n v="6"/>
    <x v="1"/>
    <n v="1"/>
    <n v="2899.99"/>
    <n v="0.05"/>
    <n v="2754.9904999999999"/>
  </r>
  <r>
    <n v="571"/>
    <n v="2"/>
    <n v="9"/>
    <s v="Trek Conduit+ - 2016"/>
    <n v="5"/>
    <x v="4"/>
    <n v="1"/>
    <n v="2999.99"/>
    <n v="0.1"/>
    <n v="2699.991"/>
  </r>
  <r>
    <n v="572"/>
    <n v="1"/>
    <n v="3"/>
    <s v="Surly Wednesday Frameset - 2016"/>
    <n v="6"/>
    <x v="1"/>
    <n v="1"/>
    <n v="999.99"/>
    <n v="0.05"/>
    <n v="949.9905"/>
  </r>
  <r>
    <n v="572"/>
    <n v="2"/>
    <n v="13"/>
    <s v="Electra Cruiser 1 (24-Inch) - 2016"/>
    <n v="3"/>
    <x v="0"/>
    <n v="2"/>
    <n v="269.99"/>
    <n v="0.1"/>
    <n v="485.98200000000003"/>
  </r>
  <r>
    <n v="572"/>
    <n v="3"/>
    <n v="11"/>
    <s v="Surly Straggler 650b - 2016"/>
    <n v="4"/>
    <x v="2"/>
    <n v="2"/>
    <n v="1680.99"/>
    <n v="0.2"/>
    <n v="2689.5839999999998"/>
  </r>
  <r>
    <n v="573"/>
    <n v="1"/>
    <n v="2"/>
    <s v="Ritchey Timberwolf Frameset - 2016"/>
    <n v="6"/>
    <x v="1"/>
    <n v="1"/>
    <n v="749.99"/>
    <n v="0.2"/>
    <n v="599.99199999999996"/>
  </r>
  <r>
    <n v="574"/>
    <n v="1"/>
    <n v="26"/>
    <s v="Electra Townie Original 7D EQ - 2016"/>
    <n v="2"/>
    <x v="3"/>
    <n v="1"/>
    <n v="599.99"/>
    <n v="0.05"/>
    <n v="569.9905"/>
  </r>
  <r>
    <n v="574"/>
    <n v="2"/>
    <n v="13"/>
    <s v="Electra Cruiser 1 (24-Inch) - 2016"/>
    <n v="3"/>
    <x v="0"/>
    <n v="2"/>
    <n v="269.99"/>
    <n v="0.1"/>
    <n v="485.98200000000003"/>
  </r>
  <r>
    <n v="574"/>
    <n v="3"/>
    <n v="12"/>
    <s v="Electra Townie Original 21D - 2016"/>
    <n v="3"/>
    <x v="0"/>
    <n v="2"/>
    <n v="549.99"/>
    <n v="0.1"/>
    <n v="989.98199999999997"/>
  </r>
  <r>
    <n v="574"/>
    <n v="4"/>
    <n v="23"/>
    <s v="Electra Girl's Hawaii 1 (20-inch) - 2015/2016"/>
    <n v="1"/>
    <x v="5"/>
    <n v="2"/>
    <n v="299.99"/>
    <n v="0.1"/>
    <n v="539.98199999999997"/>
  </r>
  <r>
    <n v="574"/>
    <n v="5"/>
    <n v="11"/>
    <s v="Surly Straggler 650b - 2016"/>
    <n v="4"/>
    <x v="2"/>
    <n v="2"/>
    <n v="1680.99"/>
    <n v="0.05"/>
    <n v="3193.8809999999999"/>
  </r>
  <r>
    <n v="575"/>
    <n v="1"/>
    <n v="4"/>
    <s v="Trek Fuel EX 8 29 - 2016"/>
    <n v="6"/>
    <x v="1"/>
    <n v="2"/>
    <n v="2899.99"/>
    <n v="7.0000000000000007E-2"/>
    <n v="5393.9813999999997"/>
  </r>
  <r>
    <n v="575"/>
    <n v="2"/>
    <n v="12"/>
    <s v="Electra Townie Original 21D - 2016"/>
    <n v="3"/>
    <x v="0"/>
    <n v="1"/>
    <n v="549.99"/>
    <n v="0.2"/>
    <n v="439.99200000000002"/>
  </r>
  <r>
    <n v="576"/>
    <n v="1"/>
    <n v="9"/>
    <s v="Trek Conduit+ - 2016"/>
    <n v="5"/>
    <x v="4"/>
    <n v="1"/>
    <n v="2999.99"/>
    <n v="0.1"/>
    <n v="2699.991"/>
  </r>
  <r>
    <n v="577"/>
    <n v="1"/>
    <n v="3"/>
    <s v="Surly Wednesday Frameset - 2016"/>
    <n v="6"/>
    <x v="1"/>
    <n v="2"/>
    <n v="999.99"/>
    <n v="0.2"/>
    <n v="1599.9839999999999"/>
  </r>
  <r>
    <n v="578"/>
    <n v="1"/>
    <n v="21"/>
    <s v="Electra Cruiser 1 (24-Inch) - 2016"/>
    <n v="1"/>
    <x v="5"/>
    <n v="1"/>
    <n v="269.99"/>
    <n v="7.0000000000000007E-2"/>
    <n v="251.0907"/>
  </r>
  <r>
    <n v="578"/>
    <n v="2"/>
    <n v="25"/>
    <s v="Electra Townie Original 7D - 2015/2016"/>
    <n v="2"/>
    <x v="3"/>
    <n v="2"/>
    <n v="499.99"/>
    <n v="0.2"/>
    <n v="799.98400000000004"/>
  </r>
  <r>
    <n v="578"/>
    <n v="3"/>
    <n v="18"/>
    <s v="Pure Cycles Western 3-Speed - Women's - 2015/2016"/>
    <n v="3"/>
    <x v="0"/>
    <n v="2"/>
    <n v="449"/>
    <n v="0.05"/>
    <n v="853.1"/>
  </r>
  <r>
    <n v="578"/>
    <n v="4"/>
    <n v="8"/>
    <s v="Trek Remedy 29 Carbon Frameset - 2016"/>
    <n v="6"/>
    <x v="1"/>
    <n v="2"/>
    <n v="1799.99"/>
    <n v="0.2"/>
    <n v="2879.9839999999999"/>
  </r>
  <r>
    <n v="579"/>
    <n v="1"/>
    <n v="7"/>
    <s v="Trek Slash 8 27.5 - 2016"/>
    <n v="6"/>
    <x v="1"/>
    <n v="2"/>
    <n v="3999.99"/>
    <n v="0.05"/>
    <n v="7599.9809999999998"/>
  </r>
  <r>
    <n v="579"/>
    <n v="2"/>
    <n v="6"/>
    <s v="Surly Ice Cream Truck Frameset - 2016"/>
    <n v="6"/>
    <x v="1"/>
    <n v="1"/>
    <n v="469.99"/>
    <n v="0.2"/>
    <n v="375.99200000000002"/>
  </r>
  <r>
    <n v="580"/>
    <n v="1"/>
    <n v="16"/>
    <s v="Electra Townie Original 7D EQ - 2016"/>
    <n v="3"/>
    <x v="0"/>
    <n v="2"/>
    <n v="599.99"/>
    <n v="0.2"/>
    <n v="959.98400000000004"/>
  </r>
  <r>
    <n v="580"/>
    <n v="2"/>
    <n v="15"/>
    <s v="Electra Moto 1 - 2016"/>
    <n v="3"/>
    <x v="0"/>
    <n v="1"/>
    <n v="529.99"/>
    <n v="7.0000000000000007E-2"/>
    <n v="492.89069999999998"/>
  </r>
  <r>
    <n v="580"/>
    <n v="3"/>
    <n v="21"/>
    <s v="Electra Cruiser 1 (24-Inch) - 2016"/>
    <n v="1"/>
    <x v="5"/>
    <n v="2"/>
    <n v="269.99"/>
    <n v="0.2"/>
    <n v="431.98400000000004"/>
  </r>
  <r>
    <n v="580"/>
    <n v="4"/>
    <n v="9"/>
    <s v="Trek Conduit+ - 2016"/>
    <n v="5"/>
    <x v="4"/>
    <n v="2"/>
    <n v="2999.99"/>
    <n v="7.0000000000000007E-2"/>
    <n v="5579.9813999999997"/>
  </r>
  <r>
    <n v="580"/>
    <n v="5"/>
    <n v="19"/>
    <s v="Pure Cycles William 3-Speed - 2016"/>
    <n v="3"/>
    <x v="0"/>
    <n v="1"/>
    <n v="449"/>
    <n v="0.2"/>
    <n v="359.2"/>
  </r>
  <r>
    <n v="581"/>
    <n v="1"/>
    <n v="8"/>
    <s v="Trek Remedy 29 Carbon Frameset - 2016"/>
    <n v="6"/>
    <x v="1"/>
    <n v="2"/>
    <n v="1799.99"/>
    <n v="7.0000000000000007E-2"/>
    <n v="3347.9814000000001"/>
  </r>
  <r>
    <n v="582"/>
    <n v="1"/>
    <n v="10"/>
    <s v="Surly Straggler - 2016"/>
    <n v="4"/>
    <x v="2"/>
    <n v="2"/>
    <n v="1549"/>
    <n v="0.2"/>
    <n v="2478.4"/>
  </r>
  <r>
    <n v="582"/>
    <n v="2"/>
    <n v="17"/>
    <s v="Pure Cycles Vine 8-Speed - 2016"/>
    <n v="3"/>
    <x v="0"/>
    <n v="2"/>
    <n v="429"/>
    <n v="7.0000000000000007E-2"/>
    <n v="797.94"/>
  </r>
  <r>
    <n v="583"/>
    <n v="1"/>
    <n v="15"/>
    <s v="Electra Moto 1 - 2016"/>
    <n v="3"/>
    <x v="0"/>
    <n v="2"/>
    <n v="529.99"/>
    <n v="0.2"/>
    <n v="847.98400000000004"/>
  </r>
  <r>
    <n v="584"/>
    <n v="1"/>
    <n v="19"/>
    <s v="Pure Cycles William 3-Speed - 2016"/>
    <n v="3"/>
    <x v="0"/>
    <n v="1"/>
    <n v="449"/>
    <n v="7.0000000000000007E-2"/>
    <n v="417.57"/>
  </r>
  <r>
    <n v="584"/>
    <n v="2"/>
    <n v="23"/>
    <s v="Electra Girl's Hawaii 1 (20-inch) - 2015/2016"/>
    <n v="1"/>
    <x v="5"/>
    <n v="1"/>
    <n v="299.99"/>
    <n v="7.0000000000000007E-2"/>
    <n v="278.9907"/>
  </r>
  <r>
    <n v="584"/>
    <n v="3"/>
    <n v="15"/>
    <s v="Electra Moto 1 - 2016"/>
    <n v="3"/>
    <x v="0"/>
    <n v="1"/>
    <n v="529.99"/>
    <n v="0.1"/>
    <n v="476.99099999999999"/>
  </r>
  <r>
    <n v="584"/>
    <n v="4"/>
    <n v="22"/>
    <s v="Electra Girl's Hawaii 1 (16-inch) - 2015/2016"/>
    <n v="1"/>
    <x v="5"/>
    <n v="1"/>
    <n v="269.99"/>
    <n v="0.05"/>
    <n v="256.4905"/>
  </r>
  <r>
    <n v="584"/>
    <n v="5"/>
    <n v="8"/>
    <s v="Trek Remedy 29 Carbon Frameset - 2016"/>
    <n v="6"/>
    <x v="1"/>
    <n v="2"/>
    <n v="1799.99"/>
    <n v="7.0000000000000007E-2"/>
    <n v="3347.9814000000001"/>
  </r>
  <r>
    <n v="585"/>
    <n v="1"/>
    <n v="10"/>
    <s v="Surly Straggler - 2016"/>
    <n v="4"/>
    <x v="2"/>
    <n v="1"/>
    <n v="1549"/>
    <n v="0.2"/>
    <n v="1239.2"/>
  </r>
  <r>
    <n v="585"/>
    <n v="2"/>
    <n v="18"/>
    <s v="Pure Cycles Western 3-Speed - Women's - 2015/2016"/>
    <n v="3"/>
    <x v="0"/>
    <n v="2"/>
    <n v="449"/>
    <n v="0.2"/>
    <n v="718.4"/>
  </r>
  <r>
    <n v="585"/>
    <n v="3"/>
    <n v="15"/>
    <s v="Electra Moto 1 - 2016"/>
    <n v="3"/>
    <x v="0"/>
    <n v="1"/>
    <n v="529.99"/>
    <n v="0.05"/>
    <n v="503.4905"/>
  </r>
  <r>
    <n v="585"/>
    <n v="4"/>
    <n v="12"/>
    <s v="Electra Townie Original 21D - 2016"/>
    <n v="3"/>
    <x v="0"/>
    <n v="2"/>
    <n v="549.99"/>
    <n v="7.0000000000000007E-2"/>
    <n v="1022.9814"/>
  </r>
  <r>
    <n v="586"/>
    <n v="1"/>
    <n v="11"/>
    <s v="Surly Straggler 650b - 2016"/>
    <n v="4"/>
    <x v="2"/>
    <n v="2"/>
    <n v="1680.99"/>
    <n v="0.1"/>
    <n v="3025.7820000000002"/>
  </r>
  <r>
    <n v="586"/>
    <n v="2"/>
    <n v="23"/>
    <s v="Electra Girl's Hawaii 1 (20-inch) - 2015/2016"/>
    <n v="1"/>
    <x v="5"/>
    <n v="2"/>
    <n v="299.99"/>
    <n v="0.2"/>
    <n v="479.98400000000004"/>
  </r>
  <r>
    <n v="587"/>
    <n v="1"/>
    <n v="24"/>
    <s v="Electra Townie Original 21D - 2016"/>
    <n v="2"/>
    <x v="3"/>
    <n v="1"/>
    <n v="549.99"/>
    <n v="0.05"/>
    <n v="522.4905"/>
  </r>
  <r>
    <n v="587"/>
    <n v="2"/>
    <n v="23"/>
    <s v="Electra Girl's Hawaii 1 (20-inch) - 2015/2016"/>
    <n v="1"/>
    <x v="5"/>
    <n v="1"/>
    <n v="299.99"/>
    <n v="0.05"/>
    <n v="284.9905"/>
  </r>
  <r>
    <n v="587"/>
    <n v="3"/>
    <n v="18"/>
    <s v="Pure Cycles Western 3-Speed - Women's - 2015/2016"/>
    <n v="3"/>
    <x v="0"/>
    <n v="1"/>
    <n v="449"/>
    <n v="0.05"/>
    <n v="426.55"/>
  </r>
  <r>
    <n v="587"/>
    <n v="4"/>
    <n v="21"/>
    <s v="Electra Cruiser 1 (24-Inch) - 2016"/>
    <n v="1"/>
    <x v="5"/>
    <n v="1"/>
    <n v="269.99"/>
    <n v="0.2"/>
    <n v="215.99200000000002"/>
  </r>
  <r>
    <n v="588"/>
    <n v="1"/>
    <n v="10"/>
    <s v="Surly Straggler - 2016"/>
    <n v="4"/>
    <x v="2"/>
    <n v="2"/>
    <n v="1549"/>
    <n v="7.0000000000000007E-2"/>
    <n v="2881.14"/>
  </r>
  <r>
    <n v="588"/>
    <n v="2"/>
    <n v="23"/>
    <s v="Electra Girl's Hawaii 1 (20-inch) - 2015/2016"/>
    <n v="1"/>
    <x v="5"/>
    <n v="1"/>
    <n v="299.99"/>
    <n v="0.2"/>
    <n v="239.99200000000002"/>
  </r>
  <r>
    <n v="589"/>
    <n v="1"/>
    <n v="15"/>
    <s v="Electra Moto 1 - 2016"/>
    <n v="3"/>
    <x v="0"/>
    <n v="2"/>
    <n v="529.99"/>
    <n v="0.05"/>
    <n v="1006.981"/>
  </r>
  <r>
    <n v="590"/>
    <n v="1"/>
    <n v="2"/>
    <s v="Ritchey Timberwolf Frameset - 2016"/>
    <n v="6"/>
    <x v="1"/>
    <n v="2"/>
    <n v="749.99"/>
    <n v="0.1"/>
    <n v="1349.982"/>
  </r>
  <r>
    <n v="590"/>
    <n v="2"/>
    <n v="20"/>
    <s v="Electra Townie Original 7D EQ - Women's - 2016"/>
    <n v="3"/>
    <x v="0"/>
    <n v="1"/>
    <n v="599.99"/>
    <n v="7.0000000000000007E-2"/>
    <n v="557.99070000000006"/>
  </r>
  <r>
    <n v="590"/>
    <n v="3"/>
    <n v="8"/>
    <s v="Trek Remedy 29 Carbon Frameset - 2016"/>
    <n v="6"/>
    <x v="1"/>
    <n v="2"/>
    <n v="1799.99"/>
    <n v="0.05"/>
    <n v="3419.9809999999998"/>
  </r>
  <r>
    <n v="590"/>
    <n v="4"/>
    <n v="5"/>
    <s v="Heller Shagamaw Frame - 2016"/>
    <n v="6"/>
    <x v="1"/>
    <n v="2"/>
    <n v="1320.99"/>
    <n v="0.1"/>
    <n v="2377.7820000000002"/>
  </r>
  <r>
    <n v="590"/>
    <n v="5"/>
    <n v="24"/>
    <s v="Electra Townie Original 21D - 2016"/>
    <n v="2"/>
    <x v="3"/>
    <n v="1"/>
    <n v="549.99"/>
    <n v="0.1"/>
    <n v="494.99099999999999"/>
  </r>
  <r>
    <n v="591"/>
    <n v="1"/>
    <n v="16"/>
    <s v="Electra Townie Original 7D EQ - 2016"/>
    <n v="3"/>
    <x v="0"/>
    <n v="2"/>
    <n v="599.99"/>
    <n v="0.05"/>
    <n v="1139.981"/>
  </r>
  <r>
    <n v="591"/>
    <n v="2"/>
    <n v="25"/>
    <s v="Electra Townie Original 7D - 2015/2016"/>
    <n v="2"/>
    <x v="3"/>
    <n v="2"/>
    <n v="499.99"/>
    <n v="0.05"/>
    <n v="949.98099999999999"/>
  </r>
  <r>
    <n v="591"/>
    <n v="3"/>
    <n v="2"/>
    <s v="Ritchey Timberwolf Frameset - 2016"/>
    <n v="6"/>
    <x v="1"/>
    <n v="2"/>
    <n v="749.99"/>
    <n v="0.1"/>
    <n v="1349.982"/>
  </r>
  <r>
    <n v="592"/>
    <n v="1"/>
    <n v="21"/>
    <s v="Electra Cruiser 1 (24-Inch) - 2016"/>
    <n v="1"/>
    <x v="5"/>
    <n v="2"/>
    <n v="269.99"/>
    <n v="0.1"/>
    <n v="485.98200000000003"/>
  </r>
  <r>
    <n v="592"/>
    <n v="2"/>
    <n v="16"/>
    <s v="Electra Townie Original 7D EQ - 2016"/>
    <n v="3"/>
    <x v="0"/>
    <n v="1"/>
    <n v="599.99"/>
    <n v="0.05"/>
    <n v="569.9905"/>
  </r>
  <r>
    <n v="592"/>
    <n v="3"/>
    <n v="18"/>
    <s v="Pure Cycles Western 3-Speed - Women's - 2015/2016"/>
    <n v="3"/>
    <x v="0"/>
    <n v="2"/>
    <n v="449"/>
    <n v="7.0000000000000007E-2"/>
    <n v="835.14"/>
  </r>
  <r>
    <n v="593"/>
    <n v="1"/>
    <n v="3"/>
    <s v="Surly Wednesday Frameset - 2016"/>
    <n v="6"/>
    <x v="1"/>
    <n v="2"/>
    <n v="999.99"/>
    <n v="0.1"/>
    <n v="1799.982"/>
  </r>
  <r>
    <n v="593"/>
    <n v="2"/>
    <n v="25"/>
    <s v="Electra Townie Original 7D - 2015/2016"/>
    <n v="2"/>
    <x v="3"/>
    <n v="1"/>
    <n v="499.99"/>
    <n v="7.0000000000000007E-2"/>
    <n v="464.9907"/>
  </r>
  <r>
    <n v="594"/>
    <n v="1"/>
    <n v="26"/>
    <s v="Electra Townie Original 7D EQ - 2016"/>
    <n v="2"/>
    <x v="3"/>
    <n v="1"/>
    <n v="599.99"/>
    <n v="0.1"/>
    <n v="539.99099999999999"/>
  </r>
  <r>
    <n v="594"/>
    <n v="2"/>
    <n v="21"/>
    <s v="Electra Cruiser 1 (24-Inch) - 2016"/>
    <n v="1"/>
    <x v="5"/>
    <n v="2"/>
    <n v="269.99"/>
    <n v="0.05"/>
    <n v="512.98099999999999"/>
  </r>
  <r>
    <n v="595"/>
    <n v="1"/>
    <n v="4"/>
    <s v="Trek Fuel EX 8 29 - 2016"/>
    <n v="6"/>
    <x v="1"/>
    <n v="1"/>
    <n v="2899.99"/>
    <n v="7.0000000000000007E-2"/>
    <n v="2696.9906999999998"/>
  </r>
  <r>
    <n v="595"/>
    <n v="2"/>
    <n v="19"/>
    <s v="Pure Cycles William 3-Speed - 2016"/>
    <n v="3"/>
    <x v="0"/>
    <n v="2"/>
    <n v="449"/>
    <n v="7.0000000000000007E-2"/>
    <n v="835.14"/>
  </r>
  <r>
    <n v="595"/>
    <n v="3"/>
    <n v="3"/>
    <s v="Surly Wednesday Frameset - 2016"/>
    <n v="6"/>
    <x v="1"/>
    <n v="1"/>
    <n v="999.99"/>
    <n v="7.0000000000000007E-2"/>
    <n v="929.99070000000006"/>
  </r>
  <r>
    <n v="595"/>
    <n v="4"/>
    <n v="10"/>
    <s v="Surly Straggler - 2016"/>
    <n v="4"/>
    <x v="2"/>
    <n v="1"/>
    <n v="1549"/>
    <n v="7.0000000000000007E-2"/>
    <n v="1440.57"/>
  </r>
  <r>
    <n v="595"/>
    <n v="5"/>
    <n v="26"/>
    <s v="Electra Townie Original 7D EQ - 2016"/>
    <n v="2"/>
    <x v="3"/>
    <n v="2"/>
    <n v="599.99"/>
    <n v="0.05"/>
    <n v="1139.981"/>
  </r>
  <r>
    <n v="596"/>
    <n v="1"/>
    <n v="5"/>
    <s v="Heller Shagamaw Frame - 2016"/>
    <n v="6"/>
    <x v="1"/>
    <n v="1"/>
    <n v="1320.99"/>
    <n v="0.05"/>
    <n v="1254.9404999999999"/>
  </r>
  <r>
    <n v="596"/>
    <n v="2"/>
    <n v="23"/>
    <s v="Electra Girl's Hawaii 1 (20-inch) - 2015/2016"/>
    <n v="1"/>
    <x v="5"/>
    <n v="2"/>
    <n v="299.99"/>
    <n v="0.1"/>
    <n v="539.98199999999997"/>
  </r>
  <r>
    <n v="596"/>
    <n v="3"/>
    <n v="9"/>
    <s v="Trek Conduit+ - 2016"/>
    <n v="5"/>
    <x v="4"/>
    <n v="1"/>
    <n v="2999.99"/>
    <n v="0.05"/>
    <n v="2849.9904999999999"/>
  </r>
  <r>
    <n v="597"/>
    <n v="1"/>
    <n v="17"/>
    <s v="Pure Cycles Vine 8-Speed - 2016"/>
    <n v="3"/>
    <x v="0"/>
    <n v="2"/>
    <n v="429"/>
    <n v="0.2"/>
    <n v="686.4"/>
  </r>
  <r>
    <n v="597"/>
    <n v="2"/>
    <n v="8"/>
    <s v="Trek Remedy 29 Carbon Frameset - 2016"/>
    <n v="6"/>
    <x v="1"/>
    <n v="1"/>
    <n v="1799.99"/>
    <n v="7.0000000000000007E-2"/>
    <n v="1673.9907000000001"/>
  </r>
  <r>
    <n v="598"/>
    <n v="1"/>
    <n v="4"/>
    <s v="Trek Fuel EX 8 29 - 2016"/>
    <n v="6"/>
    <x v="1"/>
    <n v="2"/>
    <n v="2899.99"/>
    <n v="0.05"/>
    <n v="5509.9809999999998"/>
  </r>
  <r>
    <n v="598"/>
    <n v="2"/>
    <n v="16"/>
    <s v="Electra Townie Original 7D EQ - 2016"/>
    <n v="3"/>
    <x v="0"/>
    <n v="2"/>
    <n v="599.99"/>
    <n v="7.0000000000000007E-2"/>
    <n v="1115.9814000000001"/>
  </r>
  <r>
    <n v="598"/>
    <n v="3"/>
    <n v="14"/>
    <s v="Electra Girl's Hawaii 1 (16-inch) - 2015/2016"/>
    <n v="3"/>
    <x v="0"/>
    <n v="1"/>
    <n v="269.99"/>
    <n v="0.1"/>
    <n v="242.99100000000001"/>
  </r>
  <r>
    <n v="599"/>
    <n v="1"/>
    <n v="9"/>
    <s v="Trek Conduit+ - 2016"/>
    <n v="5"/>
    <x v="4"/>
    <n v="2"/>
    <n v="2999.99"/>
    <n v="0.05"/>
    <n v="5699.9809999999998"/>
  </r>
  <r>
    <n v="599"/>
    <n v="2"/>
    <n v="22"/>
    <s v="Electra Girl's Hawaii 1 (16-inch) - 2015/2016"/>
    <n v="1"/>
    <x v="5"/>
    <n v="2"/>
    <n v="269.99"/>
    <n v="0.2"/>
    <n v="431.98400000000004"/>
  </r>
  <r>
    <n v="599"/>
    <n v="3"/>
    <n v="23"/>
    <s v="Electra Girl's Hawaii 1 (20-inch) - 2015/2016"/>
    <n v="1"/>
    <x v="5"/>
    <n v="1"/>
    <n v="299.99"/>
    <n v="7.0000000000000007E-2"/>
    <n v="278.9907"/>
  </r>
  <r>
    <n v="599"/>
    <n v="4"/>
    <n v="10"/>
    <s v="Surly Straggler - 2016"/>
    <n v="4"/>
    <x v="2"/>
    <n v="2"/>
    <n v="1549"/>
    <n v="0.1"/>
    <n v="2788.2"/>
  </r>
  <r>
    <n v="600"/>
    <n v="1"/>
    <n v="26"/>
    <s v="Electra Townie Original 7D EQ - 2016"/>
    <n v="2"/>
    <x v="3"/>
    <n v="2"/>
    <n v="599.99"/>
    <n v="7.0000000000000007E-2"/>
    <n v="1115.9814000000001"/>
  </r>
  <r>
    <n v="600"/>
    <n v="2"/>
    <n v="4"/>
    <s v="Trek Fuel EX 8 29 - 2016"/>
    <n v="6"/>
    <x v="1"/>
    <n v="1"/>
    <n v="2899.99"/>
    <n v="0.2"/>
    <n v="2319.9919999999997"/>
  </r>
  <r>
    <n v="600"/>
    <n v="3"/>
    <n v="18"/>
    <s v="Pure Cycles Western 3-Speed - Women's - 2015/2016"/>
    <n v="3"/>
    <x v="0"/>
    <n v="2"/>
    <n v="449"/>
    <n v="7.0000000000000007E-2"/>
    <n v="835.14"/>
  </r>
  <r>
    <n v="601"/>
    <n v="1"/>
    <n v="12"/>
    <s v="Electra Townie Original 21D - 2016"/>
    <n v="3"/>
    <x v="0"/>
    <n v="2"/>
    <n v="549.99"/>
    <n v="0.2"/>
    <n v="879.98400000000004"/>
  </r>
  <r>
    <n v="602"/>
    <n v="1"/>
    <n v="15"/>
    <s v="Electra Moto 1 - 2016"/>
    <n v="3"/>
    <x v="0"/>
    <n v="2"/>
    <n v="529.99"/>
    <n v="0.05"/>
    <n v="1006.981"/>
  </r>
  <r>
    <n v="602"/>
    <n v="2"/>
    <n v="5"/>
    <s v="Heller Shagamaw Frame - 2016"/>
    <n v="6"/>
    <x v="1"/>
    <n v="2"/>
    <n v="1320.99"/>
    <n v="7.0000000000000007E-2"/>
    <n v="2457.0414000000001"/>
  </r>
  <r>
    <n v="603"/>
    <n v="1"/>
    <n v="12"/>
    <s v="Electra Townie Original 21D - 2016"/>
    <n v="3"/>
    <x v="0"/>
    <n v="1"/>
    <n v="549.99"/>
    <n v="7.0000000000000007E-2"/>
    <n v="511.4907"/>
  </r>
  <r>
    <n v="603"/>
    <n v="2"/>
    <n v="4"/>
    <s v="Trek Fuel EX 8 29 - 2016"/>
    <n v="6"/>
    <x v="1"/>
    <n v="1"/>
    <n v="2899.99"/>
    <n v="0.1"/>
    <n v="2609.991"/>
  </r>
  <r>
    <n v="604"/>
    <n v="1"/>
    <n v="10"/>
    <s v="Surly Straggler - 2016"/>
    <n v="4"/>
    <x v="2"/>
    <n v="2"/>
    <n v="1549"/>
    <n v="7.0000000000000007E-2"/>
    <n v="2881.14"/>
  </r>
  <r>
    <n v="604"/>
    <n v="2"/>
    <n v="9"/>
    <s v="Trek Conduit+ - 2016"/>
    <n v="5"/>
    <x v="4"/>
    <n v="2"/>
    <n v="2999.99"/>
    <n v="0.2"/>
    <n v="4799.9839999999995"/>
  </r>
  <r>
    <n v="605"/>
    <n v="1"/>
    <n v="19"/>
    <s v="Pure Cycles William 3-Speed - 2016"/>
    <n v="3"/>
    <x v="0"/>
    <n v="1"/>
    <n v="449"/>
    <n v="7.0000000000000007E-2"/>
    <n v="417.57"/>
  </r>
  <r>
    <n v="605"/>
    <n v="2"/>
    <n v="25"/>
    <s v="Electra Townie Original 7D - 2015/2016"/>
    <n v="2"/>
    <x v="3"/>
    <n v="2"/>
    <n v="499.99"/>
    <n v="0.05"/>
    <n v="949.98099999999999"/>
  </r>
  <r>
    <n v="605"/>
    <n v="3"/>
    <n v="13"/>
    <s v="Electra Cruiser 1 (24-Inch) - 2016"/>
    <n v="3"/>
    <x v="0"/>
    <n v="2"/>
    <n v="269.99"/>
    <n v="0.2"/>
    <n v="431.98400000000004"/>
  </r>
  <r>
    <n v="605"/>
    <n v="4"/>
    <n v="11"/>
    <s v="Surly Straggler 650b - 2016"/>
    <n v="4"/>
    <x v="2"/>
    <n v="1"/>
    <n v="1680.99"/>
    <n v="0.2"/>
    <n v="1344.7919999999999"/>
  </r>
  <r>
    <n v="606"/>
    <n v="1"/>
    <n v="6"/>
    <s v="Surly Ice Cream Truck Frameset - 2016"/>
    <n v="6"/>
    <x v="1"/>
    <n v="2"/>
    <n v="469.99"/>
    <n v="0.2"/>
    <n v="751.98400000000004"/>
  </r>
  <r>
    <n v="606"/>
    <n v="2"/>
    <n v="18"/>
    <s v="Pure Cycles Western 3-Speed - Women's - 2015/2016"/>
    <n v="3"/>
    <x v="0"/>
    <n v="2"/>
    <n v="449"/>
    <n v="0.05"/>
    <n v="853.1"/>
  </r>
  <r>
    <n v="607"/>
    <n v="1"/>
    <n v="11"/>
    <s v="Surly Straggler 650b - 2016"/>
    <n v="4"/>
    <x v="2"/>
    <n v="2"/>
    <n v="1680.99"/>
    <n v="0.2"/>
    <n v="2689.5839999999998"/>
  </r>
  <r>
    <n v="607"/>
    <n v="2"/>
    <n v="26"/>
    <s v="Electra Townie Original 7D EQ - 2016"/>
    <n v="2"/>
    <x v="3"/>
    <n v="2"/>
    <n v="599.99"/>
    <n v="0.2"/>
    <n v="959.98400000000004"/>
  </r>
  <r>
    <n v="607"/>
    <n v="3"/>
    <n v="14"/>
    <s v="Electra Girl's Hawaii 1 (16-inch) - 2015/2016"/>
    <n v="3"/>
    <x v="0"/>
    <n v="1"/>
    <n v="269.99"/>
    <n v="7.0000000000000007E-2"/>
    <n v="251.0907"/>
  </r>
  <r>
    <n v="608"/>
    <n v="1"/>
    <n v="4"/>
    <s v="Trek Fuel EX 8 29 - 2016"/>
    <n v="6"/>
    <x v="1"/>
    <n v="2"/>
    <n v="2899.99"/>
    <n v="0.2"/>
    <n v="4639.9839999999995"/>
  </r>
  <r>
    <n v="608"/>
    <n v="2"/>
    <n v="7"/>
    <s v="Trek Slash 8 27.5 - 2016"/>
    <n v="6"/>
    <x v="1"/>
    <n v="2"/>
    <n v="3999.99"/>
    <n v="0.1"/>
    <n v="7199.982"/>
  </r>
  <r>
    <n v="608"/>
    <n v="3"/>
    <n v="24"/>
    <s v="Electra Townie Original 21D - 2016"/>
    <n v="2"/>
    <x v="3"/>
    <n v="1"/>
    <n v="549.99"/>
    <n v="0.1"/>
    <n v="494.99099999999999"/>
  </r>
  <r>
    <n v="609"/>
    <n v="1"/>
    <n v="10"/>
    <s v="Surly Straggler - 2016"/>
    <n v="4"/>
    <x v="2"/>
    <n v="1"/>
    <n v="1549"/>
    <n v="7.0000000000000007E-2"/>
    <n v="1440.57"/>
  </r>
  <r>
    <n v="609"/>
    <n v="2"/>
    <n v="7"/>
    <s v="Trek Slash 8 27.5 - 2016"/>
    <n v="6"/>
    <x v="1"/>
    <n v="1"/>
    <n v="3999.99"/>
    <n v="0.1"/>
    <n v="3599.991"/>
  </r>
  <r>
    <n v="609"/>
    <n v="3"/>
    <n v="22"/>
    <s v="Electra Girl's Hawaii 1 (16-inch) - 2015/2016"/>
    <n v="1"/>
    <x v="5"/>
    <n v="2"/>
    <n v="269.99"/>
    <n v="0.1"/>
    <n v="485.98200000000003"/>
  </r>
  <r>
    <n v="609"/>
    <n v="4"/>
    <n v="5"/>
    <s v="Heller Shagamaw Frame - 2016"/>
    <n v="6"/>
    <x v="1"/>
    <n v="1"/>
    <n v="1320.99"/>
    <n v="0.1"/>
    <n v="1188.8910000000001"/>
  </r>
  <r>
    <n v="610"/>
    <n v="1"/>
    <n v="26"/>
    <s v="Electra Townie Original 7D EQ - 2016"/>
    <n v="2"/>
    <x v="3"/>
    <n v="1"/>
    <n v="599.99"/>
    <n v="0.1"/>
    <n v="539.99099999999999"/>
  </r>
  <r>
    <n v="610"/>
    <n v="2"/>
    <n v="24"/>
    <s v="Electra Townie Original 21D - 2016"/>
    <n v="2"/>
    <x v="3"/>
    <n v="1"/>
    <n v="549.99"/>
    <n v="7.0000000000000007E-2"/>
    <n v="511.4907"/>
  </r>
  <r>
    <n v="610"/>
    <n v="3"/>
    <n v="18"/>
    <s v="Pure Cycles Western 3-Speed - Women's - 2015/2016"/>
    <n v="3"/>
    <x v="0"/>
    <n v="2"/>
    <n v="449"/>
    <n v="7.0000000000000007E-2"/>
    <n v="835.14"/>
  </r>
  <r>
    <n v="610"/>
    <n v="4"/>
    <n v="3"/>
    <s v="Surly Wednesday Frameset - 2016"/>
    <n v="6"/>
    <x v="1"/>
    <n v="1"/>
    <n v="999.99"/>
    <n v="7.0000000000000007E-2"/>
    <n v="929.99070000000006"/>
  </r>
  <r>
    <n v="610"/>
    <n v="5"/>
    <n v="8"/>
    <s v="Trek Remedy 29 Carbon Frameset - 2016"/>
    <n v="6"/>
    <x v="1"/>
    <n v="1"/>
    <n v="1799.99"/>
    <n v="0.1"/>
    <n v="1619.991"/>
  </r>
  <r>
    <n v="611"/>
    <n v="1"/>
    <n v="16"/>
    <s v="Electra Townie Original 7D EQ - 2016"/>
    <n v="3"/>
    <x v="0"/>
    <n v="2"/>
    <n v="599.99"/>
    <n v="7.0000000000000007E-2"/>
    <n v="1115.9814000000001"/>
  </r>
  <r>
    <n v="612"/>
    <n v="1"/>
    <n v="13"/>
    <s v="Electra Cruiser 1 (24-Inch) - 2016"/>
    <n v="3"/>
    <x v="0"/>
    <n v="1"/>
    <n v="269.99"/>
    <n v="0.1"/>
    <n v="242.99100000000001"/>
  </r>
  <r>
    <n v="612"/>
    <n v="2"/>
    <n v="14"/>
    <s v="Electra Girl's Hawaii 1 (16-inch) - 2015/2016"/>
    <n v="3"/>
    <x v="0"/>
    <n v="1"/>
    <n v="269.99"/>
    <n v="0.1"/>
    <n v="242.99100000000001"/>
  </r>
  <r>
    <n v="612"/>
    <n v="3"/>
    <n v="17"/>
    <s v="Pure Cycles Vine 8-Speed - 2016"/>
    <n v="3"/>
    <x v="0"/>
    <n v="1"/>
    <n v="429"/>
    <n v="7.0000000000000007E-2"/>
    <n v="398.97"/>
  </r>
  <r>
    <n v="612"/>
    <n v="4"/>
    <n v="20"/>
    <s v="Electra Townie Original 7D EQ - Women's - 2016"/>
    <n v="3"/>
    <x v="0"/>
    <n v="1"/>
    <n v="599.99"/>
    <n v="0.2"/>
    <n v="479.99200000000002"/>
  </r>
  <r>
    <n v="613"/>
    <n v="1"/>
    <n v="9"/>
    <s v="Trek Conduit+ - 2016"/>
    <n v="5"/>
    <x v="4"/>
    <n v="2"/>
    <n v="2999.99"/>
    <n v="0.1"/>
    <n v="5399.982"/>
  </r>
  <r>
    <n v="613"/>
    <n v="2"/>
    <n v="18"/>
    <s v="Pure Cycles Western 3-Speed - Women's - 2015/2016"/>
    <n v="3"/>
    <x v="0"/>
    <n v="2"/>
    <n v="449"/>
    <n v="0.05"/>
    <n v="853.1"/>
  </r>
  <r>
    <n v="613"/>
    <n v="3"/>
    <n v="12"/>
    <s v="Electra Townie Original 21D - 2016"/>
    <n v="3"/>
    <x v="0"/>
    <n v="1"/>
    <n v="549.99"/>
    <n v="7.0000000000000007E-2"/>
    <n v="511.4907"/>
  </r>
  <r>
    <n v="614"/>
    <n v="1"/>
    <n v="18"/>
    <s v="Pure Cycles Western 3-Speed - Women's - 2015/2016"/>
    <n v="3"/>
    <x v="0"/>
    <n v="1"/>
    <n v="449"/>
    <n v="0.1"/>
    <n v="404.1"/>
  </r>
  <r>
    <n v="614"/>
    <n v="2"/>
    <n v="21"/>
    <s v="Electra Cruiser 1 (24-Inch) - 2016"/>
    <n v="1"/>
    <x v="5"/>
    <n v="1"/>
    <n v="269.99"/>
    <n v="0.05"/>
    <n v="256.4905"/>
  </r>
  <r>
    <n v="615"/>
    <n v="1"/>
    <n v="11"/>
    <s v="Surly Straggler 650b - 2016"/>
    <n v="4"/>
    <x v="2"/>
    <n v="1"/>
    <n v="1680.99"/>
    <n v="7.0000000000000007E-2"/>
    <n v="1563.3207"/>
  </r>
  <r>
    <n v="615"/>
    <n v="2"/>
    <n v="23"/>
    <s v="Electra Girl's Hawaii 1 (20-inch) - 2015/2016"/>
    <n v="1"/>
    <x v="5"/>
    <n v="1"/>
    <n v="299.99"/>
    <n v="0.05"/>
    <n v="284.9905"/>
  </r>
  <r>
    <n v="615"/>
    <n v="3"/>
    <n v="6"/>
    <s v="Surly Ice Cream Truck Frameset - 2016"/>
    <n v="6"/>
    <x v="1"/>
    <n v="2"/>
    <n v="469.99"/>
    <n v="0.1"/>
    <n v="845.98199999999997"/>
  </r>
  <r>
    <n v="615"/>
    <n v="4"/>
    <n v="19"/>
    <s v="Pure Cycles William 3-Speed - 2016"/>
    <n v="3"/>
    <x v="0"/>
    <n v="2"/>
    <n v="449"/>
    <n v="0.1"/>
    <n v="808.2"/>
  </r>
  <r>
    <n v="616"/>
    <n v="1"/>
    <n v="24"/>
    <s v="Electra Townie Original 21D - 2016"/>
    <n v="2"/>
    <x v="3"/>
    <n v="1"/>
    <n v="549.99"/>
    <n v="0.2"/>
    <n v="439.99200000000002"/>
  </r>
  <r>
    <n v="616"/>
    <n v="2"/>
    <n v="16"/>
    <s v="Electra Townie Original 7D EQ - 2016"/>
    <n v="3"/>
    <x v="0"/>
    <n v="2"/>
    <n v="599.99"/>
    <n v="0.2"/>
    <n v="959.98400000000004"/>
  </r>
  <r>
    <n v="617"/>
    <n v="1"/>
    <n v="15"/>
    <s v="Electra Moto 1 - 2016"/>
    <n v="3"/>
    <x v="0"/>
    <n v="2"/>
    <n v="529.99"/>
    <n v="0.2"/>
    <n v="847.98400000000004"/>
  </r>
  <r>
    <n v="617"/>
    <n v="2"/>
    <n v="11"/>
    <s v="Surly Straggler 650b - 2016"/>
    <n v="4"/>
    <x v="2"/>
    <n v="2"/>
    <n v="1680.99"/>
    <n v="7.0000000000000007E-2"/>
    <n v="3126.6414"/>
  </r>
  <r>
    <n v="618"/>
    <n v="1"/>
    <n v="17"/>
    <s v="Pure Cycles Vine 8-Speed - 2016"/>
    <n v="3"/>
    <x v="0"/>
    <n v="2"/>
    <n v="429"/>
    <n v="0.1"/>
    <n v="772.2"/>
  </r>
  <r>
    <n v="618"/>
    <n v="2"/>
    <n v="11"/>
    <s v="Surly Straggler 650b - 2016"/>
    <n v="4"/>
    <x v="2"/>
    <n v="1"/>
    <n v="1680.99"/>
    <n v="7.0000000000000007E-2"/>
    <n v="1563.3207"/>
  </r>
  <r>
    <n v="619"/>
    <n v="1"/>
    <n v="25"/>
    <s v="Electra Townie Original 7D - 2015/2016"/>
    <n v="2"/>
    <x v="3"/>
    <n v="1"/>
    <n v="499.99"/>
    <n v="7.0000000000000007E-2"/>
    <n v="464.9907"/>
  </r>
  <r>
    <n v="620"/>
    <n v="1"/>
    <n v="5"/>
    <s v="Heller Shagamaw Frame - 2016"/>
    <n v="6"/>
    <x v="1"/>
    <n v="2"/>
    <n v="1320.99"/>
    <n v="0.2"/>
    <n v="2113.5839999999998"/>
  </r>
  <r>
    <n v="621"/>
    <n v="1"/>
    <n v="17"/>
    <s v="Pure Cycles Vine 8-Speed - 2016"/>
    <n v="3"/>
    <x v="0"/>
    <n v="2"/>
    <n v="429"/>
    <n v="7.0000000000000007E-2"/>
    <n v="797.94"/>
  </r>
  <r>
    <n v="622"/>
    <n v="1"/>
    <n v="9"/>
    <s v="Trek Conduit+ - 2016"/>
    <n v="5"/>
    <x v="4"/>
    <n v="2"/>
    <n v="2999.99"/>
    <n v="7.0000000000000007E-2"/>
    <n v="5579.9813999999997"/>
  </r>
  <r>
    <n v="622"/>
    <n v="2"/>
    <n v="18"/>
    <s v="Pure Cycles Western 3-Speed - Women's - 2015/2016"/>
    <n v="3"/>
    <x v="0"/>
    <n v="1"/>
    <n v="449"/>
    <n v="0.1"/>
    <n v="404.1"/>
  </r>
  <r>
    <n v="622"/>
    <n v="3"/>
    <n v="10"/>
    <s v="Surly Straggler - 2016"/>
    <n v="4"/>
    <x v="2"/>
    <n v="1"/>
    <n v="1549"/>
    <n v="0.2"/>
    <n v="1239.2"/>
  </r>
  <r>
    <n v="622"/>
    <n v="4"/>
    <n v="25"/>
    <s v="Electra Townie Original 7D - 2015/2016"/>
    <n v="2"/>
    <x v="3"/>
    <n v="1"/>
    <n v="499.99"/>
    <n v="7.0000000000000007E-2"/>
    <n v="464.9907"/>
  </r>
  <r>
    <n v="623"/>
    <n v="1"/>
    <n v="8"/>
    <s v="Trek Remedy 29 Carbon Frameset - 2016"/>
    <n v="6"/>
    <x v="1"/>
    <n v="1"/>
    <n v="1799.99"/>
    <n v="7.0000000000000007E-2"/>
    <n v="1673.9907000000001"/>
  </r>
  <r>
    <n v="624"/>
    <n v="1"/>
    <n v="21"/>
    <s v="Electra Cruiser 1 (24-Inch) - 2016"/>
    <n v="1"/>
    <x v="5"/>
    <n v="2"/>
    <n v="269.99"/>
    <n v="0.05"/>
    <n v="512.98099999999999"/>
  </r>
  <r>
    <n v="624"/>
    <n v="2"/>
    <n v="16"/>
    <s v="Electra Townie Original 7D EQ - 2016"/>
    <n v="3"/>
    <x v="0"/>
    <n v="1"/>
    <n v="599.99"/>
    <n v="7.0000000000000007E-2"/>
    <n v="557.99070000000006"/>
  </r>
  <r>
    <n v="624"/>
    <n v="3"/>
    <n v="22"/>
    <s v="Electra Girl's Hawaii 1 (16-inch) - 2015/2016"/>
    <n v="1"/>
    <x v="5"/>
    <n v="1"/>
    <n v="269.99"/>
    <n v="7.0000000000000007E-2"/>
    <n v="251.0907"/>
  </r>
  <r>
    <n v="624"/>
    <n v="4"/>
    <n v="14"/>
    <s v="Electra Girl's Hawaii 1 (16-inch) - 2015/2016"/>
    <n v="3"/>
    <x v="0"/>
    <n v="2"/>
    <n v="269.99"/>
    <n v="0.2"/>
    <n v="431.98400000000004"/>
  </r>
  <r>
    <n v="625"/>
    <n v="1"/>
    <n v="17"/>
    <s v="Pure Cycles Vine 8-Speed - 2016"/>
    <n v="3"/>
    <x v="0"/>
    <n v="1"/>
    <n v="429"/>
    <n v="7.0000000000000007E-2"/>
    <n v="398.97"/>
  </r>
  <r>
    <n v="625"/>
    <n v="2"/>
    <n v="11"/>
    <s v="Surly Straggler 650b - 2016"/>
    <n v="4"/>
    <x v="2"/>
    <n v="2"/>
    <n v="1680.99"/>
    <n v="0.2"/>
    <n v="2689.5839999999998"/>
  </r>
  <r>
    <n v="625"/>
    <n v="3"/>
    <n v="26"/>
    <s v="Electra Townie Original 7D EQ - 2016"/>
    <n v="2"/>
    <x v="3"/>
    <n v="1"/>
    <n v="599.99"/>
    <n v="7.0000000000000007E-2"/>
    <n v="557.99070000000006"/>
  </r>
  <r>
    <n v="625"/>
    <n v="4"/>
    <n v="23"/>
    <s v="Electra Girl's Hawaii 1 (20-inch) - 2015/2016"/>
    <n v="1"/>
    <x v="5"/>
    <n v="2"/>
    <n v="299.99"/>
    <n v="0.1"/>
    <n v="539.98199999999997"/>
  </r>
  <r>
    <n v="626"/>
    <n v="1"/>
    <n v="15"/>
    <s v="Electra Moto 1 - 2016"/>
    <n v="3"/>
    <x v="0"/>
    <n v="1"/>
    <n v="529.99"/>
    <n v="0.2"/>
    <n v="423.99200000000002"/>
  </r>
  <r>
    <n v="627"/>
    <n v="1"/>
    <n v="19"/>
    <s v="Pure Cycles William 3-Speed - 2016"/>
    <n v="3"/>
    <x v="0"/>
    <n v="1"/>
    <n v="449"/>
    <n v="7.0000000000000007E-2"/>
    <n v="417.57"/>
  </r>
  <r>
    <n v="627"/>
    <n v="2"/>
    <n v="9"/>
    <s v="Trek Conduit+ - 2016"/>
    <n v="5"/>
    <x v="4"/>
    <n v="2"/>
    <n v="2999.99"/>
    <n v="0.2"/>
    <n v="4799.9839999999995"/>
  </r>
  <r>
    <n v="627"/>
    <n v="3"/>
    <n v="26"/>
    <s v="Electra Townie Original 7D EQ - 2016"/>
    <n v="2"/>
    <x v="3"/>
    <n v="1"/>
    <n v="599.99"/>
    <n v="7.0000000000000007E-2"/>
    <n v="557.99070000000006"/>
  </r>
  <r>
    <n v="628"/>
    <n v="1"/>
    <n v="15"/>
    <s v="Electra Moto 1 - 2016"/>
    <n v="3"/>
    <x v="0"/>
    <n v="2"/>
    <n v="529.99"/>
    <n v="0.1"/>
    <n v="953.98199999999997"/>
  </r>
  <r>
    <n v="629"/>
    <n v="1"/>
    <n v="19"/>
    <s v="Pure Cycles William 3-Speed - 2016"/>
    <n v="3"/>
    <x v="0"/>
    <n v="1"/>
    <n v="449"/>
    <n v="0.05"/>
    <n v="426.55"/>
  </r>
  <r>
    <n v="629"/>
    <n v="2"/>
    <n v="5"/>
    <s v="Heller Shagamaw Frame - 2016"/>
    <n v="6"/>
    <x v="1"/>
    <n v="2"/>
    <n v="1320.99"/>
    <n v="0.05"/>
    <n v="2509.8809999999999"/>
  </r>
  <r>
    <n v="629"/>
    <n v="3"/>
    <n v="23"/>
    <s v="Electra Girl's Hawaii 1 (20-inch) - 2015/2016"/>
    <n v="1"/>
    <x v="5"/>
    <n v="2"/>
    <n v="299.99"/>
    <n v="0.1"/>
    <n v="539.98199999999997"/>
  </r>
  <r>
    <n v="629"/>
    <n v="4"/>
    <n v="14"/>
    <s v="Electra Girl's Hawaii 1 (16-inch) - 2015/2016"/>
    <n v="3"/>
    <x v="0"/>
    <n v="2"/>
    <n v="269.99"/>
    <n v="0.05"/>
    <n v="512.98099999999999"/>
  </r>
  <r>
    <n v="629"/>
    <n v="5"/>
    <n v="6"/>
    <s v="Surly Ice Cream Truck Frameset - 2016"/>
    <n v="6"/>
    <x v="1"/>
    <n v="2"/>
    <n v="469.99"/>
    <n v="0.1"/>
    <n v="845.98199999999997"/>
  </r>
  <r>
    <n v="630"/>
    <n v="1"/>
    <n v="5"/>
    <s v="Heller Shagamaw Frame - 2016"/>
    <n v="6"/>
    <x v="1"/>
    <n v="1"/>
    <n v="1320.99"/>
    <n v="0.05"/>
    <n v="1254.9404999999999"/>
  </r>
  <r>
    <n v="630"/>
    <n v="2"/>
    <n v="25"/>
    <s v="Electra Townie Original 7D - 2015/2016"/>
    <n v="2"/>
    <x v="3"/>
    <n v="1"/>
    <n v="499.99"/>
    <n v="0.1"/>
    <n v="449.99099999999999"/>
  </r>
  <r>
    <n v="630"/>
    <n v="3"/>
    <n v="18"/>
    <s v="Pure Cycles Western 3-Speed - Women's - 2015/2016"/>
    <n v="3"/>
    <x v="0"/>
    <n v="2"/>
    <n v="449"/>
    <n v="0.1"/>
    <n v="808.2"/>
  </r>
  <r>
    <n v="630"/>
    <n v="4"/>
    <n v="21"/>
    <s v="Electra Cruiser 1 (24-Inch) - 2016"/>
    <n v="1"/>
    <x v="5"/>
    <n v="2"/>
    <n v="269.99"/>
    <n v="7.0000000000000007E-2"/>
    <n v="502.1814"/>
  </r>
  <r>
    <n v="631"/>
    <n v="1"/>
    <n v="24"/>
    <s v="Electra Townie Original 21D - 2016"/>
    <n v="2"/>
    <x v="3"/>
    <n v="2"/>
    <n v="549.99"/>
    <n v="7.0000000000000007E-2"/>
    <n v="1022.9814"/>
  </r>
  <r>
    <n v="631"/>
    <n v="2"/>
    <n v="15"/>
    <s v="Electra Moto 1 - 2016"/>
    <n v="3"/>
    <x v="0"/>
    <n v="2"/>
    <n v="529.99"/>
    <n v="7.0000000000000007E-2"/>
    <n v="985.78139999999996"/>
  </r>
  <r>
    <n v="632"/>
    <n v="1"/>
    <n v="25"/>
    <s v="Electra Townie Original 7D - 2015/2016"/>
    <n v="2"/>
    <x v="3"/>
    <n v="1"/>
    <n v="499.99"/>
    <n v="0.2"/>
    <n v="399.99200000000002"/>
  </r>
  <r>
    <n v="632"/>
    <n v="2"/>
    <n v="11"/>
    <s v="Surly Straggler 650b - 2016"/>
    <n v="4"/>
    <x v="2"/>
    <n v="2"/>
    <n v="1680.99"/>
    <n v="0.1"/>
    <n v="3025.7820000000002"/>
  </r>
  <r>
    <n v="632"/>
    <n v="3"/>
    <n v="15"/>
    <s v="Electra Moto 1 - 2016"/>
    <n v="3"/>
    <x v="0"/>
    <n v="1"/>
    <n v="529.99"/>
    <n v="7.0000000000000007E-2"/>
    <n v="492.89069999999998"/>
  </r>
  <r>
    <n v="632"/>
    <n v="4"/>
    <n v="6"/>
    <s v="Surly Ice Cream Truck Frameset - 2016"/>
    <n v="6"/>
    <x v="1"/>
    <n v="1"/>
    <n v="469.99"/>
    <n v="0.05"/>
    <n v="446.4905"/>
  </r>
  <r>
    <n v="632"/>
    <n v="5"/>
    <n v="22"/>
    <s v="Electra Girl's Hawaii 1 (16-inch) - 2015/2016"/>
    <n v="1"/>
    <x v="5"/>
    <n v="2"/>
    <n v="269.99"/>
    <n v="0.1"/>
    <n v="485.98200000000003"/>
  </r>
  <r>
    <n v="633"/>
    <n v="1"/>
    <n v="12"/>
    <s v="Electra Townie Original 21D - 2016"/>
    <n v="3"/>
    <x v="0"/>
    <n v="2"/>
    <n v="549.99"/>
    <n v="0.05"/>
    <n v="1044.981"/>
  </r>
  <r>
    <n v="633"/>
    <n v="2"/>
    <n v="13"/>
    <s v="Electra Cruiser 1 (24-Inch) - 2016"/>
    <n v="3"/>
    <x v="0"/>
    <n v="2"/>
    <n v="269.99"/>
    <n v="0.2"/>
    <n v="431.98400000000004"/>
  </r>
  <r>
    <n v="633"/>
    <n v="3"/>
    <n v="5"/>
    <s v="Heller Shagamaw Frame - 2016"/>
    <n v="6"/>
    <x v="1"/>
    <n v="2"/>
    <n v="1320.99"/>
    <n v="0.2"/>
    <n v="2113.5839999999998"/>
  </r>
  <r>
    <n v="633"/>
    <n v="4"/>
    <n v="10"/>
    <s v="Surly Straggler - 2016"/>
    <n v="4"/>
    <x v="2"/>
    <n v="2"/>
    <n v="1549"/>
    <n v="0.2"/>
    <n v="2478.4"/>
  </r>
  <r>
    <n v="634"/>
    <n v="1"/>
    <n v="4"/>
    <s v="Trek Fuel EX 8 29 - 2016"/>
    <n v="6"/>
    <x v="1"/>
    <n v="2"/>
    <n v="2899.99"/>
    <n v="0.05"/>
    <n v="5509.9809999999998"/>
  </r>
  <r>
    <n v="634"/>
    <n v="2"/>
    <n v="12"/>
    <s v="Electra Townie Original 21D - 2016"/>
    <n v="3"/>
    <x v="0"/>
    <n v="1"/>
    <n v="549.99"/>
    <n v="0.1"/>
    <n v="494.99099999999999"/>
  </r>
  <r>
    <n v="635"/>
    <n v="1"/>
    <n v="4"/>
    <s v="Trek Fuel EX 8 29 - 2016"/>
    <n v="6"/>
    <x v="1"/>
    <n v="1"/>
    <n v="2899.99"/>
    <n v="0.05"/>
    <n v="2754.9904999999999"/>
  </r>
  <r>
    <n v="636"/>
    <n v="1"/>
    <n v="85"/>
    <s v="Haro Downtown 16 - 2017"/>
    <n v="1"/>
    <x v="5"/>
    <n v="2"/>
    <n v="329.99"/>
    <n v="0.2"/>
    <n v="527.98400000000004"/>
  </r>
  <r>
    <n v="637"/>
    <n v="1"/>
    <n v="9"/>
    <s v="Trek Conduit+ - 2016"/>
    <n v="5"/>
    <x v="4"/>
    <n v="1"/>
    <n v="2999.99"/>
    <n v="0.1"/>
    <n v="2699.991"/>
  </r>
  <r>
    <n v="637"/>
    <n v="2"/>
    <n v="106"/>
    <s v="Sun Bicycles Cruz 3 - 2017"/>
    <n v="2"/>
    <x v="3"/>
    <n v="2"/>
    <n v="449.99"/>
    <n v="0.1"/>
    <n v="809.98199999999997"/>
  </r>
  <r>
    <n v="638"/>
    <n v="1"/>
    <n v="103"/>
    <s v="Sun Bicycles Streamway 3 - 2017"/>
    <n v="2"/>
    <x v="3"/>
    <n v="1"/>
    <n v="551.99"/>
    <n v="0.05"/>
    <n v="524.39049999999997"/>
  </r>
  <r>
    <n v="638"/>
    <n v="2"/>
    <n v="56"/>
    <s v="Trek Domane SLR 6 Disc - 2017"/>
    <n v="7"/>
    <x v="6"/>
    <n v="1"/>
    <n v="5499.99"/>
    <n v="0.2"/>
    <n v="4399.9920000000002"/>
  </r>
  <r>
    <n v="638"/>
    <n v="3"/>
    <n v="53"/>
    <s v="Surly Ogre Frameset - 2017"/>
    <n v="7"/>
    <x v="6"/>
    <n v="2"/>
    <n v="749.99"/>
    <n v="0.05"/>
    <n v="1424.981"/>
  </r>
  <r>
    <n v="639"/>
    <n v="1"/>
    <n v="15"/>
    <s v="Electra Moto 1 - 2016"/>
    <n v="3"/>
    <x v="0"/>
    <n v="1"/>
    <n v="529.99"/>
    <n v="7.0000000000000007E-2"/>
    <n v="492.89069999999998"/>
  </r>
  <r>
    <n v="639"/>
    <n v="2"/>
    <n v="73"/>
    <s v="Sun Bicycles Brickell Tandem 7 - 2017"/>
    <n v="3"/>
    <x v="0"/>
    <n v="1"/>
    <n v="749.99"/>
    <n v="0.05"/>
    <n v="712.4905"/>
  </r>
  <r>
    <n v="639"/>
    <n v="3"/>
    <n v="72"/>
    <s v="Sun Bicycles Biscayne Tandem 7 - 2017"/>
    <n v="3"/>
    <x v="0"/>
    <n v="1"/>
    <n v="619.99"/>
    <n v="0.05"/>
    <n v="588.9905"/>
  </r>
  <r>
    <n v="639"/>
    <n v="4"/>
    <n v="61"/>
    <s v="Trek Powerfly 8 FS Plus - 2017"/>
    <n v="5"/>
    <x v="4"/>
    <n v="2"/>
    <n v="4999.99"/>
    <n v="0.1"/>
    <n v="8999.982"/>
  </r>
  <r>
    <n v="640"/>
    <n v="1"/>
    <n v="106"/>
    <s v="Sun Bicycles Cruz 3 - 2017"/>
    <n v="2"/>
    <x v="3"/>
    <n v="2"/>
    <n v="449.99"/>
    <n v="0.05"/>
    <n v="854.98099999999999"/>
  </r>
  <r>
    <n v="640"/>
    <n v="2"/>
    <n v="32"/>
    <s v="Trek Farley Alloy Frameset - 2017"/>
    <n v="6"/>
    <x v="1"/>
    <n v="1"/>
    <n v="469.99"/>
    <n v="7.0000000000000007E-2"/>
    <n v="437.09070000000003"/>
  </r>
  <r>
    <n v="640"/>
    <n v="3"/>
    <n v="30"/>
    <s v="Surly Ice Cream Truck Frameset - 2017"/>
    <n v="6"/>
    <x v="1"/>
    <n v="1"/>
    <n v="999.99"/>
    <n v="7.0000000000000007E-2"/>
    <n v="929.99070000000006"/>
  </r>
  <r>
    <n v="640"/>
    <n v="4"/>
    <n v="76"/>
    <s v="Electra Girl's Hawaii 1 16&quot; - 2017"/>
    <n v="3"/>
    <x v="0"/>
    <n v="2"/>
    <n v="299.99"/>
    <n v="7.0000000000000007E-2"/>
    <n v="557.98140000000001"/>
  </r>
  <r>
    <n v="640"/>
    <n v="5"/>
    <n v="109"/>
    <s v="Sun Bicycles Cruz 7 - Women's - 2017"/>
    <n v="2"/>
    <x v="3"/>
    <n v="2"/>
    <n v="416.99"/>
    <n v="0.2"/>
    <n v="667.18399999999997"/>
  </r>
  <r>
    <n v="641"/>
    <n v="1"/>
    <n v="15"/>
    <s v="Electra Moto 1 - 2016"/>
    <n v="3"/>
    <x v="0"/>
    <n v="1"/>
    <n v="529.99"/>
    <n v="0.05"/>
    <n v="503.4905"/>
  </r>
  <r>
    <n v="641"/>
    <n v="2"/>
    <n v="62"/>
    <s v="Trek Boone 7 - 2017"/>
    <n v="4"/>
    <x v="2"/>
    <n v="1"/>
    <n v="3499.99"/>
    <n v="0.2"/>
    <n v="2799.9919999999997"/>
  </r>
  <r>
    <n v="641"/>
    <n v="3"/>
    <n v="64"/>
    <s v="Electra Townie Original 7D - 2017"/>
    <n v="3"/>
    <x v="0"/>
    <n v="1"/>
    <n v="489.99"/>
    <n v="0.2"/>
    <n v="391.99200000000002"/>
  </r>
  <r>
    <n v="642"/>
    <n v="1"/>
    <n v="68"/>
    <s v="Sun Bicycles Cruz 3 - 2017"/>
    <n v="3"/>
    <x v="0"/>
    <n v="2"/>
    <n v="449.99"/>
    <n v="7.0000000000000007E-2"/>
    <n v="836.98140000000001"/>
  </r>
  <r>
    <n v="643"/>
    <n v="1"/>
    <n v="53"/>
    <s v="Surly Ogre Frameset - 2017"/>
    <n v="7"/>
    <x v="6"/>
    <n v="1"/>
    <n v="749.99"/>
    <n v="0.05"/>
    <n v="712.4905"/>
  </r>
  <r>
    <n v="644"/>
    <n v="1"/>
    <n v="9"/>
    <s v="Trek Conduit+ - 2016"/>
    <n v="5"/>
    <x v="4"/>
    <n v="1"/>
    <n v="2999.99"/>
    <n v="7.0000000000000007E-2"/>
    <n v="2789.9906999999998"/>
  </r>
  <r>
    <n v="645"/>
    <n v="1"/>
    <n v="99"/>
    <s v="Electra Sugar Skulls 1 (20-inch) - Girl's - 2017"/>
    <n v="1"/>
    <x v="5"/>
    <n v="1"/>
    <n v="299.99"/>
    <n v="7.0000000000000007E-2"/>
    <n v="278.9907"/>
  </r>
  <r>
    <n v="645"/>
    <n v="2"/>
    <n v="42"/>
    <s v="Trek Fuel EX 5 27.5 Plus - 2017"/>
    <n v="6"/>
    <x v="1"/>
    <n v="2"/>
    <n v="2299.9899999999998"/>
    <n v="0.05"/>
    <n v="4369.9809999999998"/>
  </r>
  <r>
    <n v="645"/>
    <n v="3"/>
    <n v="6"/>
    <s v="Surly Ice Cream Truck Frameset - 2016"/>
    <n v="6"/>
    <x v="1"/>
    <n v="1"/>
    <n v="469.99"/>
    <n v="0.05"/>
    <n v="446.4905"/>
  </r>
  <r>
    <n v="645"/>
    <n v="4"/>
    <n v="47"/>
    <s v="Trek Remedy 9.8 - 2017"/>
    <n v="6"/>
    <x v="1"/>
    <n v="2"/>
    <n v="5299.99"/>
    <n v="7.0000000000000007E-2"/>
    <n v="9857.9813999999988"/>
  </r>
  <r>
    <n v="645"/>
    <n v="5"/>
    <n v="21"/>
    <s v="Electra Cruiser 1 (24-Inch) - 2016"/>
    <n v="1"/>
    <x v="5"/>
    <n v="2"/>
    <n v="269.99"/>
    <n v="7.0000000000000007E-2"/>
    <n v="502.1814"/>
  </r>
  <r>
    <n v="646"/>
    <n v="1"/>
    <n v="15"/>
    <s v="Electra Moto 1 - 2016"/>
    <n v="3"/>
    <x v="0"/>
    <n v="2"/>
    <n v="529.99"/>
    <n v="0.2"/>
    <n v="847.98400000000004"/>
  </r>
  <r>
    <n v="646"/>
    <n v="2"/>
    <n v="4"/>
    <s v="Trek Fuel EX 8 29 - 2016"/>
    <n v="6"/>
    <x v="1"/>
    <n v="1"/>
    <n v="2899.99"/>
    <n v="7.0000000000000007E-2"/>
    <n v="2696.9906999999998"/>
  </r>
  <r>
    <n v="646"/>
    <n v="3"/>
    <n v="95"/>
    <s v="Electra Girl's Hawaii 1 16&quot; - 2017"/>
    <n v="1"/>
    <x v="5"/>
    <n v="1"/>
    <n v="299.99"/>
    <n v="0.05"/>
    <n v="284.9905"/>
  </r>
  <r>
    <n v="646"/>
    <n v="4"/>
    <n v="12"/>
    <s v="Electra Townie Original 21D - 2016"/>
    <n v="3"/>
    <x v="0"/>
    <n v="1"/>
    <n v="549.99"/>
    <n v="0.2"/>
    <n v="439.99200000000002"/>
  </r>
  <r>
    <n v="647"/>
    <n v="1"/>
    <n v="25"/>
    <s v="Electra Townie Original 7D - 2015/2016"/>
    <n v="2"/>
    <x v="3"/>
    <n v="2"/>
    <n v="499.99"/>
    <n v="7.0000000000000007E-2"/>
    <n v="929.98140000000001"/>
  </r>
  <r>
    <n v="647"/>
    <n v="2"/>
    <n v="13"/>
    <s v="Electra Cruiser 1 (24-Inch) - 2016"/>
    <n v="3"/>
    <x v="0"/>
    <n v="1"/>
    <n v="269.99"/>
    <n v="0.1"/>
    <n v="242.99100000000001"/>
  </r>
  <r>
    <n v="648"/>
    <n v="1"/>
    <n v="24"/>
    <s v="Electra Townie Original 21D - 2016"/>
    <n v="2"/>
    <x v="3"/>
    <n v="1"/>
    <n v="549.99"/>
    <n v="7.0000000000000007E-2"/>
    <n v="511.4907"/>
  </r>
  <r>
    <n v="649"/>
    <n v="1"/>
    <n v="97"/>
    <s v="Electra Savannah 3i (20-inch) - Girl's - 2017"/>
    <n v="1"/>
    <x v="5"/>
    <n v="2"/>
    <n v="349.99"/>
    <n v="0.1"/>
    <n v="629.98199999999997"/>
  </r>
  <r>
    <n v="649"/>
    <n v="2"/>
    <n v="90"/>
    <s v="Trek Precaliber 16 Girls - 2017"/>
    <n v="1"/>
    <x v="5"/>
    <n v="1"/>
    <n v="209.99"/>
    <n v="7.0000000000000007E-2"/>
    <n v="195.29070000000002"/>
  </r>
  <r>
    <n v="649"/>
    <n v="3"/>
    <n v="11"/>
    <s v="Surly Straggler 650b - 2016"/>
    <n v="4"/>
    <x v="2"/>
    <n v="2"/>
    <n v="1680.99"/>
    <n v="0.1"/>
    <n v="3025.7820000000002"/>
  </r>
  <r>
    <n v="649"/>
    <n v="4"/>
    <n v="78"/>
    <s v="Sun Bicycles Biscayne Tandem CB - 2017"/>
    <n v="3"/>
    <x v="0"/>
    <n v="1"/>
    <n v="647.99"/>
    <n v="0.05"/>
    <n v="615.59050000000002"/>
  </r>
  <r>
    <n v="650"/>
    <n v="1"/>
    <n v="3"/>
    <s v="Surly Wednesday Frameset - 2016"/>
    <n v="6"/>
    <x v="1"/>
    <n v="1"/>
    <n v="999.99"/>
    <n v="0.2"/>
    <n v="799.99199999999996"/>
  </r>
  <r>
    <n v="651"/>
    <n v="1"/>
    <n v="79"/>
    <s v="Sun Bicycles Boardwalk (24-inch Wheels) - 2017"/>
    <n v="3"/>
    <x v="0"/>
    <n v="1"/>
    <n v="402.99"/>
    <n v="0.1"/>
    <n v="362.69100000000003"/>
  </r>
  <r>
    <n v="651"/>
    <n v="2"/>
    <n v="85"/>
    <s v="Haro Downtown 16 - 2017"/>
    <n v="1"/>
    <x v="5"/>
    <n v="1"/>
    <n v="329.99"/>
    <n v="0.05"/>
    <n v="313.4905"/>
  </r>
  <r>
    <n v="651"/>
    <n v="3"/>
    <n v="102"/>
    <s v="Electra Townie Original 7D - 2017"/>
    <n v="2"/>
    <x v="3"/>
    <n v="2"/>
    <n v="489.99"/>
    <n v="0.05"/>
    <n v="930.98099999999999"/>
  </r>
  <r>
    <n v="651"/>
    <n v="4"/>
    <n v="94"/>
    <s v="Haro Shredder Pro 20 - 2017"/>
    <n v="1"/>
    <x v="5"/>
    <n v="2"/>
    <n v="249.99"/>
    <n v="0.05"/>
    <n v="474.98099999999999"/>
  </r>
  <r>
    <n v="652"/>
    <n v="1"/>
    <n v="102"/>
    <s v="Electra Townie Original 7D - 2017"/>
    <n v="2"/>
    <x v="3"/>
    <n v="1"/>
    <n v="489.99"/>
    <n v="0.1"/>
    <n v="440.99099999999999"/>
  </r>
  <r>
    <n v="652"/>
    <n v="2"/>
    <n v="62"/>
    <s v="Trek Boone 7 - 2017"/>
    <n v="4"/>
    <x v="2"/>
    <n v="2"/>
    <n v="3499.99"/>
    <n v="0.2"/>
    <n v="5599.9839999999995"/>
  </r>
  <r>
    <n v="652"/>
    <n v="3"/>
    <n v="67"/>
    <s v="Sun Bicycles Revolutions 24 - Girl's - 2017"/>
    <n v="3"/>
    <x v="0"/>
    <n v="2"/>
    <n v="250.99"/>
    <n v="0.2"/>
    <n v="401.584"/>
  </r>
  <r>
    <n v="652"/>
    <n v="4"/>
    <n v="23"/>
    <s v="Electra Girl's Hawaii 1 (20-inch) - 2015/2016"/>
    <n v="1"/>
    <x v="5"/>
    <n v="1"/>
    <n v="299.99"/>
    <n v="0.1"/>
    <n v="269.99099999999999"/>
  </r>
  <r>
    <n v="652"/>
    <n v="5"/>
    <n v="74"/>
    <s v="Electra Cruiser Lux 1 - 2017"/>
    <n v="3"/>
    <x v="0"/>
    <n v="1"/>
    <n v="439.99"/>
    <n v="0.05"/>
    <n v="417.9905"/>
  </r>
  <r>
    <n v="653"/>
    <n v="1"/>
    <n v="6"/>
    <s v="Surly Ice Cream Truck Frameset - 2016"/>
    <n v="6"/>
    <x v="1"/>
    <n v="1"/>
    <n v="469.99"/>
    <n v="7.0000000000000007E-2"/>
    <n v="437.09070000000003"/>
  </r>
  <r>
    <n v="653"/>
    <n v="2"/>
    <n v="43"/>
    <s v="Trek Fuel EX 9.8 27.5 Plus - 2017"/>
    <n v="6"/>
    <x v="1"/>
    <n v="1"/>
    <n v="5299.99"/>
    <n v="0.1"/>
    <n v="4769.991"/>
  </r>
  <r>
    <n v="653"/>
    <n v="3"/>
    <n v="2"/>
    <s v="Ritchey Timberwolf Frameset - 2016"/>
    <n v="6"/>
    <x v="1"/>
    <n v="2"/>
    <n v="749.99"/>
    <n v="0.1"/>
    <n v="1349.982"/>
  </r>
  <r>
    <n v="653"/>
    <n v="4"/>
    <n v="80"/>
    <s v="Sun Bicycles Brickell Tandem CB - 2017"/>
    <n v="3"/>
    <x v="0"/>
    <n v="1"/>
    <n v="761.99"/>
    <n v="0.2"/>
    <n v="609.59199999999998"/>
  </r>
  <r>
    <n v="653"/>
    <n v="5"/>
    <n v="88"/>
    <s v="Trek Precaliber 12 Girls - 2017"/>
    <n v="1"/>
    <x v="5"/>
    <n v="2"/>
    <n v="189.99"/>
    <n v="7.0000000000000007E-2"/>
    <n v="353.38139999999999"/>
  </r>
  <r>
    <n v="654"/>
    <n v="1"/>
    <n v="9"/>
    <s v="Trek Conduit+ - 2016"/>
    <n v="5"/>
    <x v="4"/>
    <n v="1"/>
    <n v="2999.99"/>
    <n v="0.1"/>
    <n v="2699.991"/>
  </r>
  <r>
    <n v="654"/>
    <n v="2"/>
    <n v="95"/>
    <s v="Electra Girl's Hawaii 1 16&quot; - 2017"/>
    <n v="1"/>
    <x v="5"/>
    <n v="1"/>
    <n v="299.99"/>
    <n v="0.1"/>
    <n v="269.99099999999999"/>
  </r>
  <r>
    <n v="654"/>
    <n v="3"/>
    <n v="110"/>
    <s v="Sun Bicycles Drifter 7 - 2017"/>
    <n v="2"/>
    <x v="3"/>
    <n v="2"/>
    <n v="470.99"/>
    <n v="7.0000000000000007E-2"/>
    <n v="876.04140000000007"/>
  </r>
  <r>
    <n v="654"/>
    <n v="4"/>
    <n v="97"/>
    <s v="Electra Savannah 3i (20-inch) - Girl's - 2017"/>
    <n v="1"/>
    <x v="5"/>
    <n v="2"/>
    <n v="349.99"/>
    <n v="7.0000000000000007E-2"/>
    <n v="650.98140000000001"/>
  </r>
  <r>
    <n v="655"/>
    <n v="1"/>
    <n v="67"/>
    <s v="Sun Bicycles Revolutions 24 - Girl's - 2017"/>
    <n v="3"/>
    <x v="0"/>
    <n v="1"/>
    <n v="250.99"/>
    <n v="0.1"/>
    <n v="225.89100000000002"/>
  </r>
  <r>
    <n v="656"/>
    <n v="1"/>
    <n v="83"/>
    <s v="Trek Boy's Kickster - 2015/2017"/>
    <n v="1"/>
    <x v="5"/>
    <n v="1"/>
    <n v="149.99"/>
    <n v="0.1"/>
    <n v="134.99100000000001"/>
  </r>
  <r>
    <n v="656"/>
    <n v="2"/>
    <n v="22"/>
    <s v="Electra Girl's Hawaii 1 (16-inch) - 2015/2016"/>
    <n v="1"/>
    <x v="5"/>
    <n v="1"/>
    <n v="269.99"/>
    <n v="7.0000000000000007E-2"/>
    <n v="251.0907"/>
  </r>
  <r>
    <n v="656"/>
    <n v="3"/>
    <n v="33"/>
    <s v="Surly Wednesday Frameset - 2017"/>
    <n v="6"/>
    <x v="1"/>
    <n v="2"/>
    <n v="469.99"/>
    <n v="0.05"/>
    <n v="892.98099999999999"/>
  </r>
  <r>
    <n v="657"/>
    <n v="1"/>
    <n v="52"/>
    <s v="Surly Steamroller - 2017"/>
    <n v="7"/>
    <x v="6"/>
    <n v="1"/>
    <n v="875.99"/>
    <n v="0.05"/>
    <n v="832.19050000000004"/>
  </r>
  <r>
    <n v="657"/>
    <n v="2"/>
    <n v="54"/>
    <s v="Trek Domane SL Disc Frameset - 2017"/>
    <n v="7"/>
    <x v="6"/>
    <n v="2"/>
    <n v="3199.99"/>
    <n v="0.05"/>
    <n v="6079.9809999999998"/>
  </r>
  <r>
    <n v="658"/>
    <n v="1"/>
    <n v="49"/>
    <s v="Trek Domane SL 6 - 2017"/>
    <n v="7"/>
    <x v="6"/>
    <n v="2"/>
    <n v="3499.99"/>
    <n v="0.2"/>
    <n v="5599.9839999999995"/>
  </r>
  <r>
    <n v="658"/>
    <n v="2"/>
    <n v="29"/>
    <s v="Trek X-Caliber 8 - 2017"/>
    <n v="6"/>
    <x v="1"/>
    <n v="1"/>
    <n v="999.99"/>
    <n v="0.05"/>
    <n v="949.9905"/>
  </r>
  <r>
    <n v="658"/>
    <n v="3"/>
    <n v="9"/>
    <s v="Trek Conduit+ - 2016"/>
    <n v="5"/>
    <x v="4"/>
    <n v="1"/>
    <n v="2999.99"/>
    <n v="0.05"/>
    <n v="2849.9904999999999"/>
  </r>
  <r>
    <n v="659"/>
    <n v="1"/>
    <n v="42"/>
    <s v="Trek Fuel EX 5 27.5 Plus - 2017"/>
    <n v="6"/>
    <x v="1"/>
    <n v="2"/>
    <n v="2299.9899999999998"/>
    <n v="0.05"/>
    <n v="4369.9809999999998"/>
  </r>
  <r>
    <n v="659"/>
    <n v="2"/>
    <n v="39"/>
    <s v="Trek Stache 5 - 2017"/>
    <n v="6"/>
    <x v="1"/>
    <n v="2"/>
    <n v="1499.99"/>
    <n v="7.0000000000000007E-2"/>
    <n v="2789.9814000000001"/>
  </r>
  <r>
    <n v="659"/>
    <n v="3"/>
    <n v="70"/>
    <s v="Electra Amsterdam Original 3i - 2015/2017"/>
    <n v="3"/>
    <x v="0"/>
    <n v="1"/>
    <n v="659.99"/>
    <n v="0.05"/>
    <n v="626.9905"/>
  </r>
  <r>
    <n v="659"/>
    <n v="4"/>
    <n v="61"/>
    <s v="Trek Powerfly 8 FS Plus - 2017"/>
    <n v="5"/>
    <x v="4"/>
    <n v="2"/>
    <n v="4999.99"/>
    <n v="7.0000000000000007E-2"/>
    <n v="9299.9813999999988"/>
  </r>
  <r>
    <n v="660"/>
    <n v="1"/>
    <n v="30"/>
    <s v="Surly Ice Cream Truck Frameset - 2017"/>
    <n v="6"/>
    <x v="1"/>
    <n v="1"/>
    <n v="999.99"/>
    <n v="0.2"/>
    <n v="799.99199999999996"/>
  </r>
  <r>
    <n v="660"/>
    <n v="2"/>
    <n v="59"/>
    <s v="Trek Domane S 5 Disc - 2017"/>
    <n v="7"/>
    <x v="6"/>
    <n v="2"/>
    <n v="2599.9899999999998"/>
    <n v="7.0000000000000007E-2"/>
    <n v="4835.9813999999997"/>
  </r>
  <r>
    <n v="660"/>
    <n v="3"/>
    <n v="47"/>
    <s v="Trek Remedy 9.8 - 2017"/>
    <n v="6"/>
    <x v="1"/>
    <n v="2"/>
    <n v="5299.99"/>
    <n v="0.05"/>
    <n v="10069.981"/>
  </r>
  <r>
    <n v="660"/>
    <n v="4"/>
    <n v="29"/>
    <s v="Trek X-Caliber 8 - 2017"/>
    <n v="6"/>
    <x v="1"/>
    <n v="2"/>
    <n v="999.99"/>
    <n v="0.2"/>
    <n v="1599.9839999999999"/>
  </r>
  <r>
    <n v="661"/>
    <n v="1"/>
    <n v="63"/>
    <s v="Trek Boone Race Shop Limited - 2017"/>
    <n v="4"/>
    <x v="2"/>
    <n v="2"/>
    <n v="3499.99"/>
    <n v="7.0000000000000007E-2"/>
    <n v="6509.9813999999997"/>
  </r>
  <r>
    <n v="661"/>
    <n v="2"/>
    <n v="22"/>
    <s v="Electra Girl's Hawaii 1 (16-inch) - 2015/2016"/>
    <n v="1"/>
    <x v="5"/>
    <n v="2"/>
    <n v="269.99"/>
    <n v="0.05"/>
    <n v="512.98099999999999"/>
  </r>
  <r>
    <n v="662"/>
    <n v="1"/>
    <n v="55"/>
    <s v="Trek Domane S 6 - 2017"/>
    <n v="7"/>
    <x v="6"/>
    <n v="2"/>
    <n v="2699.99"/>
    <n v="0.1"/>
    <n v="4859.982"/>
  </r>
  <r>
    <n v="662"/>
    <n v="2"/>
    <n v="95"/>
    <s v="Electra Girl's Hawaii 1 16&quot; - 2017"/>
    <n v="1"/>
    <x v="5"/>
    <n v="2"/>
    <n v="299.99"/>
    <n v="0.2"/>
    <n v="479.98400000000004"/>
  </r>
  <r>
    <n v="662"/>
    <n v="3"/>
    <n v="102"/>
    <s v="Electra Townie Original 7D - 2017"/>
    <n v="2"/>
    <x v="3"/>
    <n v="2"/>
    <n v="489.99"/>
    <n v="7.0000000000000007E-2"/>
    <n v="911.38139999999999"/>
  </r>
  <r>
    <n v="662"/>
    <n v="4"/>
    <n v="22"/>
    <s v="Electra Girl's Hawaii 1 (16-inch) - 2015/2016"/>
    <n v="1"/>
    <x v="5"/>
    <n v="1"/>
    <n v="269.99"/>
    <n v="7.0000000000000007E-2"/>
    <n v="251.0907"/>
  </r>
  <r>
    <n v="662"/>
    <n v="5"/>
    <n v="106"/>
    <s v="Sun Bicycles Cruz 3 - 2017"/>
    <n v="2"/>
    <x v="3"/>
    <n v="2"/>
    <n v="449.99"/>
    <n v="7.0000000000000007E-2"/>
    <n v="836.98140000000001"/>
  </r>
  <r>
    <n v="663"/>
    <n v="1"/>
    <n v="41"/>
    <s v="Haro Shift R3 - 2017"/>
    <n v="6"/>
    <x v="1"/>
    <n v="2"/>
    <n v="1469.99"/>
    <n v="0.05"/>
    <n v="2792.9810000000002"/>
  </r>
  <r>
    <n v="663"/>
    <n v="2"/>
    <n v="17"/>
    <s v="Pure Cycles Vine 8-Speed - 2016"/>
    <n v="3"/>
    <x v="0"/>
    <n v="2"/>
    <n v="429"/>
    <n v="0.2"/>
    <n v="686.4"/>
  </r>
  <r>
    <n v="663"/>
    <n v="3"/>
    <n v="94"/>
    <s v="Haro Shredder Pro 20 - 2017"/>
    <n v="1"/>
    <x v="5"/>
    <n v="1"/>
    <n v="249.99"/>
    <n v="0.05"/>
    <n v="237.4905"/>
  </r>
  <r>
    <n v="663"/>
    <n v="4"/>
    <n v="71"/>
    <s v="Sun Bicycles Atlas X-Type - 2017"/>
    <n v="3"/>
    <x v="0"/>
    <n v="1"/>
    <n v="416.99"/>
    <n v="7.0000000000000007E-2"/>
    <n v="387.80070000000001"/>
  </r>
  <r>
    <n v="663"/>
    <n v="5"/>
    <n v="106"/>
    <s v="Sun Bicycles Cruz 3 - 2017"/>
    <n v="2"/>
    <x v="3"/>
    <n v="1"/>
    <n v="449.99"/>
    <n v="0.2"/>
    <n v="359.99200000000002"/>
  </r>
  <r>
    <n v="664"/>
    <n v="1"/>
    <n v="52"/>
    <s v="Surly Steamroller - 2017"/>
    <n v="7"/>
    <x v="6"/>
    <n v="2"/>
    <n v="875.99"/>
    <n v="7.0000000000000007E-2"/>
    <n v="1629.3414"/>
  </r>
  <r>
    <n v="664"/>
    <n v="2"/>
    <n v="5"/>
    <s v="Heller Shagamaw Frame - 2016"/>
    <n v="6"/>
    <x v="1"/>
    <n v="1"/>
    <n v="1320.99"/>
    <n v="7.0000000000000007E-2"/>
    <n v="1228.5207"/>
  </r>
  <r>
    <n v="664"/>
    <n v="3"/>
    <n v="50"/>
    <s v="Trek Silque SLR 7 Women's - 2017"/>
    <n v="7"/>
    <x v="6"/>
    <n v="1"/>
    <n v="5999.99"/>
    <n v="0.2"/>
    <n v="4799.9920000000002"/>
  </r>
  <r>
    <n v="664"/>
    <n v="4"/>
    <n v="101"/>
    <s v="Electra Townie 7D (20-inch) - Boys' - 2017"/>
    <n v="1"/>
    <x v="5"/>
    <n v="2"/>
    <n v="339.99"/>
    <n v="0.2"/>
    <n v="543.98400000000004"/>
  </r>
  <r>
    <n v="664"/>
    <n v="5"/>
    <n v="47"/>
    <s v="Trek Remedy 9.8 - 2017"/>
    <n v="6"/>
    <x v="1"/>
    <n v="1"/>
    <n v="5299.99"/>
    <n v="7.0000000000000007E-2"/>
    <n v="4928.9906999999994"/>
  </r>
  <r>
    <n v="665"/>
    <n v="1"/>
    <n v="58"/>
    <s v="Trek Madone 9.2 - 2017"/>
    <n v="7"/>
    <x v="6"/>
    <n v="1"/>
    <n v="4999.99"/>
    <n v="7.0000000000000007E-2"/>
    <n v="4649.9906999999994"/>
  </r>
  <r>
    <n v="665"/>
    <n v="2"/>
    <n v="42"/>
    <s v="Trek Fuel EX 5 27.5 Plus - 2017"/>
    <n v="6"/>
    <x v="1"/>
    <n v="2"/>
    <n v="2299.9899999999998"/>
    <n v="0.2"/>
    <n v="3679.9839999999995"/>
  </r>
  <r>
    <n v="665"/>
    <n v="3"/>
    <n v="25"/>
    <s v="Electra Townie Original 7D - 2015/2016"/>
    <n v="2"/>
    <x v="3"/>
    <n v="2"/>
    <n v="499.99"/>
    <n v="0.05"/>
    <n v="949.98099999999999"/>
  </r>
  <r>
    <n v="666"/>
    <n v="1"/>
    <n v="98"/>
    <s v="Electra Straight 8 3i (20-inch) - Boy's - 2017"/>
    <n v="1"/>
    <x v="5"/>
    <n v="2"/>
    <n v="489.99"/>
    <n v="0.2"/>
    <n v="783.98400000000004"/>
  </r>
  <r>
    <n v="666"/>
    <n v="2"/>
    <n v="39"/>
    <s v="Trek Stache 5 - 2017"/>
    <n v="6"/>
    <x v="1"/>
    <n v="1"/>
    <n v="1499.99"/>
    <n v="0.05"/>
    <n v="1424.9905000000001"/>
  </r>
  <r>
    <n v="667"/>
    <n v="1"/>
    <n v="79"/>
    <s v="Sun Bicycles Boardwalk (24-inch Wheels) - 2017"/>
    <n v="3"/>
    <x v="0"/>
    <n v="1"/>
    <n v="402.99"/>
    <n v="0.2"/>
    <n v="322.392"/>
  </r>
  <r>
    <n v="667"/>
    <n v="2"/>
    <n v="84"/>
    <s v="Sun Bicycles Lil Kitt'n - 2017"/>
    <n v="1"/>
    <x v="5"/>
    <n v="1"/>
    <n v="109.99"/>
    <n v="0.1"/>
    <n v="98.991"/>
  </r>
  <r>
    <n v="667"/>
    <n v="3"/>
    <n v="3"/>
    <s v="Surly Wednesday Frameset - 2016"/>
    <n v="6"/>
    <x v="1"/>
    <n v="1"/>
    <n v="999.99"/>
    <n v="0.2"/>
    <n v="799.99199999999996"/>
  </r>
  <r>
    <n v="667"/>
    <n v="4"/>
    <n v="99"/>
    <s v="Electra Sugar Skulls 1 (20-inch) - Girl's - 2017"/>
    <n v="1"/>
    <x v="5"/>
    <n v="1"/>
    <n v="299.99"/>
    <n v="0.1"/>
    <n v="269.99099999999999"/>
  </r>
  <r>
    <n v="667"/>
    <n v="5"/>
    <n v="85"/>
    <s v="Haro Downtown 16 - 2017"/>
    <n v="1"/>
    <x v="5"/>
    <n v="1"/>
    <n v="329.99"/>
    <n v="0.05"/>
    <n v="313.4905"/>
  </r>
  <r>
    <n v="668"/>
    <n v="1"/>
    <n v="48"/>
    <s v="Trek Emonda S 4 - 2017"/>
    <n v="7"/>
    <x v="6"/>
    <n v="2"/>
    <n v="1499.99"/>
    <n v="0.05"/>
    <n v="2849.9810000000002"/>
  </r>
  <r>
    <n v="668"/>
    <n v="2"/>
    <n v="19"/>
    <s v="Pure Cycles William 3-Speed - 2016"/>
    <n v="3"/>
    <x v="0"/>
    <n v="2"/>
    <n v="449"/>
    <n v="0.1"/>
    <n v="808.2"/>
  </r>
  <r>
    <n v="669"/>
    <n v="1"/>
    <n v="16"/>
    <s v="Electra Townie Original 7D EQ - 2016"/>
    <n v="3"/>
    <x v="0"/>
    <n v="2"/>
    <n v="599.99"/>
    <n v="7.0000000000000007E-2"/>
    <n v="1115.9814000000001"/>
  </r>
  <r>
    <n v="669"/>
    <n v="2"/>
    <n v="72"/>
    <s v="Sun Bicycles Biscayne Tandem 7 - 2017"/>
    <n v="3"/>
    <x v="0"/>
    <n v="1"/>
    <n v="619.99"/>
    <n v="7.0000000000000007E-2"/>
    <n v="576.59069999999997"/>
  </r>
  <r>
    <n v="670"/>
    <n v="1"/>
    <n v="108"/>
    <s v="Sun Bicycles Cruz 3 - Women's - 2017"/>
    <n v="2"/>
    <x v="3"/>
    <n v="1"/>
    <n v="449.99"/>
    <n v="0.1"/>
    <n v="404.99099999999999"/>
  </r>
  <r>
    <n v="670"/>
    <n v="2"/>
    <n v="28"/>
    <s v="Surly Karate Monkey 27.5+ Frameset - 2017"/>
    <n v="6"/>
    <x v="1"/>
    <n v="1"/>
    <n v="2499.9899999999998"/>
    <n v="7.0000000000000007E-2"/>
    <n v="2324.9906999999998"/>
  </r>
  <r>
    <n v="670"/>
    <n v="3"/>
    <n v="104"/>
    <s v="Sun Bicycles Streamway - 2017"/>
    <n v="2"/>
    <x v="3"/>
    <n v="2"/>
    <n v="481.99"/>
    <n v="0.2"/>
    <n v="771.18399999999997"/>
  </r>
  <r>
    <n v="670"/>
    <n v="4"/>
    <n v="45"/>
    <s v="Haro SR 1.2 - 2017"/>
    <n v="6"/>
    <x v="1"/>
    <n v="2"/>
    <n v="869.99"/>
    <n v="0.05"/>
    <n v="1652.981"/>
  </r>
  <r>
    <n v="671"/>
    <n v="1"/>
    <n v="30"/>
    <s v="Surly Ice Cream Truck Frameset - 2017"/>
    <n v="6"/>
    <x v="1"/>
    <n v="1"/>
    <n v="999.99"/>
    <n v="0.05"/>
    <n v="949.9905"/>
  </r>
  <r>
    <n v="671"/>
    <n v="2"/>
    <n v="69"/>
    <s v="Sun Bicycles Cruz 7 - 2017"/>
    <n v="3"/>
    <x v="0"/>
    <n v="1"/>
    <n v="416.99"/>
    <n v="0.05"/>
    <n v="396.14050000000003"/>
  </r>
  <r>
    <n v="671"/>
    <n v="3"/>
    <n v="55"/>
    <s v="Trek Domane S 6 - 2017"/>
    <n v="7"/>
    <x v="6"/>
    <n v="1"/>
    <n v="2699.99"/>
    <n v="0.2"/>
    <n v="2159.9919999999997"/>
  </r>
  <r>
    <n v="671"/>
    <n v="4"/>
    <n v="4"/>
    <s v="Trek Fuel EX 8 29 - 2016"/>
    <n v="6"/>
    <x v="1"/>
    <n v="1"/>
    <n v="2899.99"/>
    <n v="7.0000000000000007E-2"/>
    <n v="2696.9906999999998"/>
  </r>
  <r>
    <n v="671"/>
    <n v="5"/>
    <n v="109"/>
    <s v="Sun Bicycles Cruz 7 - Women's - 2017"/>
    <n v="2"/>
    <x v="3"/>
    <n v="2"/>
    <n v="416.99"/>
    <n v="7.0000000000000007E-2"/>
    <n v="775.60140000000001"/>
  </r>
  <r>
    <n v="672"/>
    <n v="1"/>
    <n v="51"/>
    <s v="Trek Silque SLR 8 Women's - 2017"/>
    <n v="7"/>
    <x v="6"/>
    <n v="2"/>
    <n v="6499.99"/>
    <n v="7.0000000000000007E-2"/>
    <n v="12089.981399999999"/>
  </r>
  <r>
    <n v="672"/>
    <n v="2"/>
    <n v="96"/>
    <s v="Electra Moto 3i (20-inch) - Boy's - 2017"/>
    <n v="1"/>
    <x v="5"/>
    <n v="2"/>
    <n v="349.99"/>
    <n v="0.2"/>
    <n v="559.98400000000004"/>
  </r>
  <r>
    <n v="672"/>
    <n v="3"/>
    <n v="48"/>
    <s v="Trek Emonda S 4 - 2017"/>
    <n v="7"/>
    <x v="6"/>
    <n v="2"/>
    <n v="1499.99"/>
    <n v="7.0000000000000007E-2"/>
    <n v="2789.9814000000001"/>
  </r>
  <r>
    <n v="673"/>
    <n v="1"/>
    <n v="66"/>
    <s v="Sun Bicycles Revolutions 24 - 2017"/>
    <n v="3"/>
    <x v="0"/>
    <n v="1"/>
    <n v="250.99"/>
    <n v="0.2"/>
    <n v="200.792"/>
  </r>
  <r>
    <n v="673"/>
    <n v="2"/>
    <n v="38"/>
    <s v="Haro Flightline Two 26 Plus - 2017"/>
    <n v="6"/>
    <x v="1"/>
    <n v="1"/>
    <n v="549.99"/>
    <n v="0.2"/>
    <n v="439.99200000000002"/>
  </r>
  <r>
    <n v="673"/>
    <n v="3"/>
    <n v="5"/>
    <s v="Heller Shagamaw Frame - 2016"/>
    <n v="6"/>
    <x v="1"/>
    <n v="1"/>
    <n v="1320.99"/>
    <n v="7.0000000000000007E-2"/>
    <n v="1228.5207"/>
  </r>
  <r>
    <n v="673"/>
    <n v="4"/>
    <n v="13"/>
    <s v="Electra Cruiser 1 (24-Inch) - 2016"/>
    <n v="3"/>
    <x v="0"/>
    <n v="1"/>
    <n v="269.99"/>
    <n v="0.1"/>
    <n v="242.99100000000001"/>
  </r>
  <r>
    <n v="674"/>
    <n v="1"/>
    <n v="26"/>
    <s v="Electra Townie Original 7D EQ - 2016"/>
    <n v="2"/>
    <x v="3"/>
    <n v="2"/>
    <n v="599.99"/>
    <n v="0.2"/>
    <n v="959.98400000000004"/>
  </r>
  <r>
    <n v="675"/>
    <n v="1"/>
    <n v="17"/>
    <s v="Pure Cycles Vine 8-Speed - 2016"/>
    <n v="3"/>
    <x v="0"/>
    <n v="1"/>
    <n v="429"/>
    <n v="0.05"/>
    <n v="407.55"/>
  </r>
  <r>
    <n v="675"/>
    <n v="2"/>
    <n v="89"/>
    <s v="Trek Precaliber 16 Boys - 2017"/>
    <n v="1"/>
    <x v="5"/>
    <n v="2"/>
    <n v="209.99"/>
    <n v="0.05"/>
    <n v="398.98099999999999"/>
  </r>
  <r>
    <n v="675"/>
    <n v="3"/>
    <n v="19"/>
    <s v="Pure Cycles William 3-Speed - 2016"/>
    <n v="3"/>
    <x v="0"/>
    <n v="1"/>
    <n v="449"/>
    <n v="7.0000000000000007E-2"/>
    <n v="417.57"/>
  </r>
  <r>
    <n v="675"/>
    <n v="4"/>
    <n v="32"/>
    <s v="Trek Farley Alloy Frameset - 2017"/>
    <n v="6"/>
    <x v="1"/>
    <n v="1"/>
    <n v="469.99"/>
    <n v="0.2"/>
    <n v="375.99200000000002"/>
  </r>
  <r>
    <n v="676"/>
    <n v="1"/>
    <n v="70"/>
    <s v="Electra Amsterdam Original 3i - 2015/2017"/>
    <n v="3"/>
    <x v="0"/>
    <n v="1"/>
    <n v="659.99"/>
    <n v="0.2"/>
    <n v="527.99199999999996"/>
  </r>
  <r>
    <n v="676"/>
    <n v="2"/>
    <n v="104"/>
    <s v="Sun Bicycles Streamway - 2017"/>
    <n v="2"/>
    <x v="3"/>
    <n v="2"/>
    <n v="481.99"/>
    <n v="7.0000000000000007E-2"/>
    <n v="896.50139999999999"/>
  </r>
  <r>
    <n v="676"/>
    <n v="3"/>
    <n v="24"/>
    <s v="Electra Townie Original 21D - 2016"/>
    <n v="2"/>
    <x v="3"/>
    <n v="1"/>
    <n v="549.99"/>
    <n v="0.1"/>
    <n v="494.99099999999999"/>
  </r>
  <r>
    <n v="676"/>
    <n v="4"/>
    <n v="29"/>
    <s v="Trek X-Caliber 8 - 2017"/>
    <n v="6"/>
    <x v="1"/>
    <n v="1"/>
    <n v="999.99"/>
    <n v="0.2"/>
    <n v="799.99199999999996"/>
  </r>
  <r>
    <n v="677"/>
    <n v="1"/>
    <n v="75"/>
    <s v="Electra Cruiser Lux Fat Tire 1 Ladies - 2017"/>
    <n v="3"/>
    <x v="0"/>
    <n v="1"/>
    <n v="599.99"/>
    <n v="7.0000000000000007E-2"/>
    <n v="557.99070000000006"/>
  </r>
  <r>
    <n v="677"/>
    <n v="2"/>
    <n v="7"/>
    <s v="Trek Slash 8 27.5 - 2016"/>
    <n v="6"/>
    <x v="1"/>
    <n v="2"/>
    <n v="3999.99"/>
    <n v="7.0000000000000007E-2"/>
    <n v="7439.9813999999997"/>
  </r>
  <r>
    <n v="677"/>
    <n v="3"/>
    <n v="105"/>
    <s v="Sun Bicycles Streamway 7 - 2017"/>
    <n v="2"/>
    <x v="3"/>
    <n v="2"/>
    <n v="533.99"/>
    <n v="7.0000000000000007E-2"/>
    <n v="993.22140000000002"/>
  </r>
  <r>
    <n v="677"/>
    <n v="4"/>
    <n v="91"/>
    <s v="Trek Precaliber 24 (21-Speed) - Girls - 2017"/>
    <n v="1"/>
    <x v="5"/>
    <n v="2"/>
    <n v="349.99"/>
    <n v="0.05"/>
    <n v="664.98099999999999"/>
  </r>
  <r>
    <n v="677"/>
    <n v="5"/>
    <n v="54"/>
    <s v="Trek Domane SL Disc Frameset - 2017"/>
    <n v="7"/>
    <x v="6"/>
    <n v="2"/>
    <n v="3199.99"/>
    <n v="0.1"/>
    <n v="5759.982"/>
  </r>
  <r>
    <n v="678"/>
    <n v="1"/>
    <n v="52"/>
    <s v="Surly Steamroller - 2017"/>
    <n v="7"/>
    <x v="6"/>
    <n v="2"/>
    <n v="875.99"/>
    <n v="0.05"/>
    <n v="1664.3810000000001"/>
  </r>
  <r>
    <n v="678"/>
    <n v="2"/>
    <n v="37"/>
    <s v="Haro Flightline One ST - 2017"/>
    <n v="6"/>
    <x v="1"/>
    <n v="2"/>
    <n v="379.99"/>
    <n v="7.0000000000000007E-2"/>
    <n v="706.78139999999996"/>
  </r>
  <r>
    <n v="679"/>
    <n v="1"/>
    <n v="15"/>
    <s v="Electra Moto 1 - 2016"/>
    <n v="3"/>
    <x v="0"/>
    <n v="2"/>
    <n v="529.99"/>
    <n v="0.2"/>
    <n v="847.98400000000004"/>
  </r>
  <r>
    <n v="679"/>
    <n v="2"/>
    <n v="83"/>
    <s v="Trek Boy's Kickster - 2015/2017"/>
    <n v="1"/>
    <x v="5"/>
    <n v="2"/>
    <n v="149.99"/>
    <n v="0.05"/>
    <n v="284.98099999999999"/>
  </r>
  <r>
    <n v="680"/>
    <n v="1"/>
    <n v="81"/>
    <s v="Electra Amsterdam Fashion 7i Ladies' - 2017"/>
    <n v="3"/>
    <x v="0"/>
    <n v="2"/>
    <n v="1099.99"/>
    <n v="0.05"/>
    <n v="2089.9810000000002"/>
  </r>
  <r>
    <n v="680"/>
    <n v="2"/>
    <n v="7"/>
    <s v="Trek Slash 8 27.5 - 2016"/>
    <n v="6"/>
    <x v="1"/>
    <n v="1"/>
    <n v="3999.99"/>
    <n v="0.2"/>
    <n v="3199.9919999999997"/>
  </r>
  <r>
    <n v="680"/>
    <n v="3"/>
    <n v="50"/>
    <s v="Trek Silque SLR 7 Women's - 2017"/>
    <n v="7"/>
    <x v="6"/>
    <n v="1"/>
    <n v="5999.99"/>
    <n v="7.0000000000000007E-2"/>
    <n v="5579.9906999999994"/>
  </r>
  <r>
    <n v="681"/>
    <n v="1"/>
    <n v="82"/>
    <s v="Electra Amsterdam Original 3i Ladies' - 2017"/>
    <n v="3"/>
    <x v="0"/>
    <n v="1"/>
    <n v="659.99"/>
    <n v="0.05"/>
    <n v="626.9905"/>
  </r>
  <r>
    <n v="681"/>
    <n v="2"/>
    <n v="63"/>
    <s v="Trek Boone Race Shop Limited - 2017"/>
    <n v="4"/>
    <x v="2"/>
    <n v="1"/>
    <n v="3499.99"/>
    <n v="7.0000000000000007E-2"/>
    <n v="3254.9906999999998"/>
  </r>
  <r>
    <n v="681"/>
    <n v="3"/>
    <n v="61"/>
    <s v="Trek Powerfly 8 FS Plus - 2017"/>
    <n v="5"/>
    <x v="4"/>
    <n v="1"/>
    <n v="4999.99"/>
    <n v="0.2"/>
    <n v="3999.9919999999997"/>
  </r>
  <r>
    <n v="681"/>
    <n v="4"/>
    <n v="6"/>
    <s v="Surly Ice Cream Truck Frameset - 2016"/>
    <n v="6"/>
    <x v="1"/>
    <n v="2"/>
    <n v="469.99"/>
    <n v="0.05"/>
    <n v="892.98099999999999"/>
  </r>
  <r>
    <n v="681"/>
    <n v="5"/>
    <n v="30"/>
    <s v="Surly Ice Cream Truck Frameset - 2017"/>
    <n v="6"/>
    <x v="1"/>
    <n v="1"/>
    <n v="999.99"/>
    <n v="7.0000000000000007E-2"/>
    <n v="929.99070000000006"/>
  </r>
  <r>
    <n v="682"/>
    <n v="1"/>
    <n v="39"/>
    <s v="Trek Stache 5 - 2017"/>
    <n v="6"/>
    <x v="1"/>
    <n v="1"/>
    <n v="1499.99"/>
    <n v="0.2"/>
    <n v="1199.992"/>
  </r>
  <r>
    <n v="682"/>
    <n v="2"/>
    <n v="60"/>
    <s v="Sun Bicycles ElectroLite - 2017"/>
    <n v="5"/>
    <x v="4"/>
    <n v="2"/>
    <n v="1559.99"/>
    <n v="0.2"/>
    <n v="2495.9839999999999"/>
  </r>
  <r>
    <n v="682"/>
    <n v="3"/>
    <n v="99"/>
    <s v="Electra Sugar Skulls 1 (20-inch) - Girl's - 2017"/>
    <n v="1"/>
    <x v="5"/>
    <n v="1"/>
    <n v="299.99"/>
    <n v="0.2"/>
    <n v="239.99200000000002"/>
  </r>
  <r>
    <n v="683"/>
    <n v="1"/>
    <n v="2"/>
    <s v="Ritchey Timberwolf Frameset - 2016"/>
    <n v="6"/>
    <x v="1"/>
    <n v="2"/>
    <n v="749.99"/>
    <n v="0.1"/>
    <n v="1349.982"/>
  </r>
  <r>
    <n v="684"/>
    <n v="1"/>
    <n v="56"/>
    <s v="Trek Domane SLR 6 Disc - 2017"/>
    <n v="7"/>
    <x v="6"/>
    <n v="1"/>
    <n v="5499.99"/>
    <n v="7.0000000000000007E-2"/>
    <n v="5114.9906999999994"/>
  </r>
  <r>
    <n v="684"/>
    <n v="2"/>
    <n v="33"/>
    <s v="Surly Wednesday Frameset - 2017"/>
    <n v="6"/>
    <x v="1"/>
    <n v="1"/>
    <n v="469.99"/>
    <n v="0.1"/>
    <n v="422.99099999999999"/>
  </r>
  <r>
    <n v="685"/>
    <n v="1"/>
    <n v="59"/>
    <s v="Trek Domane S 5 Disc - 2017"/>
    <n v="7"/>
    <x v="6"/>
    <n v="1"/>
    <n v="2599.9899999999998"/>
    <n v="0.05"/>
    <n v="2469.9904999999999"/>
  </r>
  <r>
    <n v="685"/>
    <n v="2"/>
    <n v="48"/>
    <s v="Trek Emonda S 4 - 2017"/>
    <n v="7"/>
    <x v="6"/>
    <n v="2"/>
    <n v="1499.99"/>
    <n v="0.05"/>
    <n v="2849.9810000000002"/>
  </r>
  <r>
    <n v="685"/>
    <n v="3"/>
    <n v="107"/>
    <s v="Sun Bicycles Cruz 7 - 2017"/>
    <n v="2"/>
    <x v="3"/>
    <n v="1"/>
    <n v="416.99"/>
    <n v="0.05"/>
    <n v="396.14050000000003"/>
  </r>
  <r>
    <n v="685"/>
    <n v="4"/>
    <n v="98"/>
    <s v="Electra Straight 8 3i (20-inch) - Boy's - 2017"/>
    <n v="1"/>
    <x v="5"/>
    <n v="2"/>
    <n v="489.99"/>
    <n v="0.2"/>
    <n v="783.98400000000004"/>
  </r>
  <r>
    <n v="685"/>
    <n v="5"/>
    <n v="56"/>
    <s v="Trek Domane SLR 6 Disc - 2017"/>
    <n v="7"/>
    <x v="6"/>
    <n v="2"/>
    <n v="5499.99"/>
    <n v="0.05"/>
    <n v="10449.981"/>
  </r>
  <r>
    <n v="686"/>
    <n v="1"/>
    <n v="16"/>
    <s v="Electra Townie Original 7D EQ - 2016"/>
    <n v="3"/>
    <x v="0"/>
    <n v="1"/>
    <n v="599.99"/>
    <n v="0.2"/>
    <n v="479.99200000000002"/>
  </r>
  <r>
    <n v="686"/>
    <n v="2"/>
    <n v="30"/>
    <s v="Surly Ice Cream Truck Frameset - 2017"/>
    <n v="6"/>
    <x v="1"/>
    <n v="1"/>
    <n v="999.99"/>
    <n v="0.1"/>
    <n v="899.99099999999999"/>
  </r>
  <r>
    <n v="686"/>
    <n v="3"/>
    <n v="88"/>
    <s v="Trek Precaliber 12 Girls - 2017"/>
    <n v="1"/>
    <x v="5"/>
    <n v="2"/>
    <n v="189.99"/>
    <n v="0.2"/>
    <n v="303.98400000000004"/>
  </r>
  <r>
    <n v="686"/>
    <n v="4"/>
    <n v="19"/>
    <s v="Pure Cycles William 3-Speed - 2016"/>
    <n v="3"/>
    <x v="0"/>
    <n v="2"/>
    <n v="449"/>
    <n v="0.2"/>
    <n v="718.4"/>
  </r>
  <r>
    <n v="686"/>
    <n v="5"/>
    <n v="104"/>
    <s v="Sun Bicycles Streamway - 2017"/>
    <n v="2"/>
    <x v="3"/>
    <n v="1"/>
    <n v="481.99"/>
    <n v="0.2"/>
    <n v="385.59199999999998"/>
  </r>
  <r>
    <n v="687"/>
    <n v="1"/>
    <n v="48"/>
    <s v="Trek Emonda S 4 - 2017"/>
    <n v="7"/>
    <x v="6"/>
    <n v="2"/>
    <n v="1499.99"/>
    <n v="0.05"/>
    <n v="2849.9810000000002"/>
  </r>
  <r>
    <n v="687"/>
    <n v="2"/>
    <n v="95"/>
    <s v="Electra Girl's Hawaii 1 16&quot; - 2017"/>
    <n v="1"/>
    <x v="5"/>
    <n v="1"/>
    <n v="299.99"/>
    <n v="7.0000000000000007E-2"/>
    <n v="278.9907"/>
  </r>
  <r>
    <n v="687"/>
    <n v="3"/>
    <n v="5"/>
    <s v="Heller Shagamaw Frame - 2016"/>
    <n v="6"/>
    <x v="1"/>
    <n v="2"/>
    <n v="1320.99"/>
    <n v="0.2"/>
    <n v="2113.5839999999998"/>
  </r>
  <r>
    <n v="687"/>
    <n v="4"/>
    <n v="83"/>
    <s v="Trek Boy's Kickster - 2015/2017"/>
    <n v="1"/>
    <x v="5"/>
    <n v="1"/>
    <n v="149.99"/>
    <n v="7.0000000000000007E-2"/>
    <n v="139.4907"/>
  </r>
  <r>
    <n v="688"/>
    <n v="1"/>
    <n v="8"/>
    <s v="Trek Remedy 29 Carbon Frameset - 2016"/>
    <n v="6"/>
    <x v="1"/>
    <n v="1"/>
    <n v="1799.99"/>
    <n v="0.1"/>
    <n v="1619.991"/>
  </r>
  <r>
    <n v="688"/>
    <n v="2"/>
    <n v="88"/>
    <s v="Trek Precaliber 12 Girls - 2017"/>
    <n v="1"/>
    <x v="5"/>
    <n v="1"/>
    <n v="189.99"/>
    <n v="0.05"/>
    <n v="180.4905"/>
  </r>
  <r>
    <n v="689"/>
    <n v="1"/>
    <n v="33"/>
    <s v="Surly Wednesday Frameset - 2017"/>
    <n v="6"/>
    <x v="1"/>
    <n v="2"/>
    <n v="469.99"/>
    <n v="0.1"/>
    <n v="845.98199999999997"/>
  </r>
  <r>
    <n v="690"/>
    <n v="1"/>
    <n v="84"/>
    <s v="Sun Bicycles Lil Kitt'n - 2017"/>
    <n v="1"/>
    <x v="5"/>
    <n v="1"/>
    <n v="109.99"/>
    <n v="0.2"/>
    <n v="87.99199999999999"/>
  </r>
  <r>
    <n v="690"/>
    <n v="2"/>
    <n v="11"/>
    <s v="Surly Straggler 650b - 2016"/>
    <n v="4"/>
    <x v="2"/>
    <n v="2"/>
    <n v="1680.99"/>
    <n v="7.0000000000000007E-2"/>
    <n v="3126.6414"/>
  </r>
  <r>
    <n v="690"/>
    <n v="3"/>
    <n v="85"/>
    <s v="Haro Downtown 16 - 2017"/>
    <n v="1"/>
    <x v="5"/>
    <n v="1"/>
    <n v="329.99"/>
    <n v="0.05"/>
    <n v="313.4905"/>
  </r>
  <r>
    <n v="690"/>
    <n v="4"/>
    <n v="109"/>
    <s v="Sun Bicycles Cruz 7 - Women's - 2017"/>
    <n v="2"/>
    <x v="3"/>
    <n v="2"/>
    <n v="416.99"/>
    <n v="0.2"/>
    <n v="667.18399999999997"/>
  </r>
  <r>
    <n v="691"/>
    <n v="1"/>
    <n v="23"/>
    <s v="Electra Girl's Hawaii 1 (20-inch) - 2015/2016"/>
    <n v="1"/>
    <x v="5"/>
    <n v="2"/>
    <n v="299.99"/>
    <n v="0.05"/>
    <n v="569.98099999999999"/>
  </r>
  <r>
    <n v="691"/>
    <n v="2"/>
    <n v="5"/>
    <s v="Heller Shagamaw Frame - 2016"/>
    <n v="6"/>
    <x v="1"/>
    <n v="2"/>
    <n v="1320.99"/>
    <n v="0.1"/>
    <n v="2377.7820000000002"/>
  </r>
  <r>
    <n v="691"/>
    <n v="3"/>
    <n v="55"/>
    <s v="Trek Domane S 6 - 2017"/>
    <n v="7"/>
    <x v="6"/>
    <n v="2"/>
    <n v="2699.99"/>
    <n v="0.2"/>
    <n v="4319.9839999999995"/>
  </r>
  <r>
    <n v="691"/>
    <n v="4"/>
    <n v="20"/>
    <s v="Electra Townie Original 7D EQ - Women's - 2016"/>
    <n v="3"/>
    <x v="0"/>
    <n v="1"/>
    <n v="599.99"/>
    <n v="0.2"/>
    <n v="479.99200000000002"/>
  </r>
  <r>
    <n v="692"/>
    <n v="1"/>
    <n v="59"/>
    <s v="Trek Domane S 5 Disc - 2017"/>
    <n v="7"/>
    <x v="6"/>
    <n v="1"/>
    <n v="2599.9899999999998"/>
    <n v="0.2"/>
    <n v="2079.9919999999997"/>
  </r>
  <r>
    <n v="692"/>
    <n v="2"/>
    <n v="75"/>
    <s v="Electra Cruiser Lux Fat Tire 1 Ladies - 2017"/>
    <n v="3"/>
    <x v="0"/>
    <n v="1"/>
    <n v="599.99"/>
    <n v="7.0000000000000007E-2"/>
    <n v="557.99070000000006"/>
  </r>
  <r>
    <n v="692"/>
    <n v="3"/>
    <n v="15"/>
    <s v="Electra Moto 1 - 2016"/>
    <n v="3"/>
    <x v="0"/>
    <n v="2"/>
    <n v="529.99"/>
    <n v="7.0000000000000007E-2"/>
    <n v="985.78139999999996"/>
  </r>
  <r>
    <n v="692"/>
    <n v="4"/>
    <n v="56"/>
    <s v="Trek Domane SLR 6 Disc - 2017"/>
    <n v="7"/>
    <x v="6"/>
    <n v="2"/>
    <n v="5499.99"/>
    <n v="0.1"/>
    <n v="9899.982"/>
  </r>
  <r>
    <n v="693"/>
    <n v="1"/>
    <n v="104"/>
    <s v="Sun Bicycles Streamway - 2017"/>
    <n v="2"/>
    <x v="3"/>
    <n v="2"/>
    <n v="481.99"/>
    <n v="0.2"/>
    <n v="771.18399999999997"/>
  </r>
  <r>
    <n v="693"/>
    <n v="2"/>
    <n v="13"/>
    <s v="Electra Cruiser 1 (24-Inch) - 2016"/>
    <n v="3"/>
    <x v="0"/>
    <n v="1"/>
    <n v="269.99"/>
    <n v="0.2"/>
    <n v="215.99200000000002"/>
  </r>
  <r>
    <n v="693"/>
    <n v="3"/>
    <n v="5"/>
    <s v="Heller Shagamaw Frame - 2016"/>
    <n v="6"/>
    <x v="1"/>
    <n v="2"/>
    <n v="1320.99"/>
    <n v="0.05"/>
    <n v="2509.8809999999999"/>
  </r>
  <r>
    <n v="693"/>
    <n v="4"/>
    <n v="31"/>
    <s v="Surly Wednesday - 2017"/>
    <n v="6"/>
    <x v="1"/>
    <n v="1"/>
    <n v="1632.99"/>
    <n v="7.0000000000000007E-2"/>
    <n v="1518.6806999999999"/>
  </r>
  <r>
    <n v="694"/>
    <n v="1"/>
    <n v="48"/>
    <s v="Trek Emonda S 4 - 2017"/>
    <n v="7"/>
    <x v="6"/>
    <n v="1"/>
    <n v="1499.99"/>
    <n v="0.2"/>
    <n v="1199.992"/>
  </r>
  <r>
    <n v="694"/>
    <n v="2"/>
    <n v="39"/>
    <s v="Trek Stache 5 - 2017"/>
    <n v="6"/>
    <x v="1"/>
    <n v="1"/>
    <n v="1499.99"/>
    <n v="0.05"/>
    <n v="1424.9905000000001"/>
  </r>
  <r>
    <n v="694"/>
    <n v="3"/>
    <n v="55"/>
    <s v="Trek Domane S 6 - 2017"/>
    <n v="7"/>
    <x v="6"/>
    <n v="2"/>
    <n v="2699.99"/>
    <n v="0.1"/>
    <n v="4859.982"/>
  </r>
  <r>
    <n v="694"/>
    <n v="4"/>
    <n v="103"/>
    <s v="Sun Bicycles Streamway 3 - 2017"/>
    <n v="2"/>
    <x v="3"/>
    <n v="2"/>
    <n v="551.99"/>
    <n v="0.2"/>
    <n v="883.18399999999997"/>
  </r>
  <r>
    <n v="694"/>
    <n v="5"/>
    <n v="45"/>
    <s v="Haro SR 1.2 - 2017"/>
    <n v="6"/>
    <x v="1"/>
    <n v="2"/>
    <n v="869.99"/>
    <n v="0.1"/>
    <n v="1565.982"/>
  </r>
  <r>
    <n v="695"/>
    <n v="1"/>
    <n v="82"/>
    <s v="Electra Amsterdam Original 3i Ladies' - 2017"/>
    <n v="3"/>
    <x v="0"/>
    <n v="2"/>
    <n v="659.99"/>
    <n v="0.1"/>
    <n v="1187.982"/>
  </r>
  <r>
    <n v="695"/>
    <n v="2"/>
    <n v="57"/>
    <s v="Trek Emonda S 5 - 2017"/>
    <n v="7"/>
    <x v="6"/>
    <n v="2"/>
    <n v="1999.99"/>
    <n v="0.2"/>
    <n v="3199.9839999999999"/>
  </r>
  <r>
    <n v="696"/>
    <n v="1"/>
    <n v="88"/>
    <s v="Trek Precaliber 12 Girls - 2017"/>
    <n v="1"/>
    <x v="5"/>
    <n v="2"/>
    <n v="189.99"/>
    <n v="7.0000000000000007E-2"/>
    <n v="353.38139999999999"/>
  </r>
  <r>
    <n v="696"/>
    <n v="2"/>
    <n v="7"/>
    <s v="Trek Slash 8 27.5 - 2016"/>
    <n v="6"/>
    <x v="1"/>
    <n v="1"/>
    <n v="3999.99"/>
    <n v="0.1"/>
    <n v="3599.991"/>
  </r>
  <r>
    <n v="696"/>
    <n v="3"/>
    <n v="45"/>
    <s v="Haro SR 1.2 - 2017"/>
    <n v="6"/>
    <x v="1"/>
    <n v="1"/>
    <n v="869.99"/>
    <n v="7.0000000000000007E-2"/>
    <n v="809.09069999999997"/>
  </r>
  <r>
    <n v="697"/>
    <n v="1"/>
    <n v="5"/>
    <s v="Heller Shagamaw Frame - 2016"/>
    <n v="6"/>
    <x v="1"/>
    <n v="2"/>
    <n v="1320.99"/>
    <n v="0.05"/>
    <n v="2509.8809999999999"/>
  </r>
  <r>
    <n v="698"/>
    <n v="1"/>
    <n v="96"/>
    <s v="Electra Moto 3i (20-inch) - Boy's - 2017"/>
    <n v="1"/>
    <x v="5"/>
    <n v="1"/>
    <n v="349.99"/>
    <n v="7.0000000000000007E-2"/>
    <n v="325.4907"/>
  </r>
  <r>
    <n v="698"/>
    <n v="2"/>
    <n v="12"/>
    <s v="Electra Townie Original 21D - 2016"/>
    <n v="3"/>
    <x v="0"/>
    <n v="1"/>
    <n v="549.99"/>
    <n v="7.0000000000000007E-2"/>
    <n v="511.4907"/>
  </r>
  <r>
    <n v="698"/>
    <n v="3"/>
    <n v="40"/>
    <s v="Trek Fuel EX 9.8 29 - 2017"/>
    <n v="6"/>
    <x v="1"/>
    <n v="2"/>
    <n v="4999.99"/>
    <n v="0.05"/>
    <n v="9499.9809999999998"/>
  </r>
  <r>
    <n v="699"/>
    <n v="1"/>
    <n v="106"/>
    <s v="Sun Bicycles Cruz 3 - 2017"/>
    <n v="2"/>
    <x v="3"/>
    <n v="2"/>
    <n v="449.99"/>
    <n v="0.1"/>
    <n v="809.98199999999997"/>
  </r>
  <r>
    <n v="699"/>
    <n v="2"/>
    <n v="48"/>
    <s v="Trek Emonda S 4 - 2017"/>
    <n v="7"/>
    <x v="6"/>
    <n v="1"/>
    <n v="1499.99"/>
    <n v="7.0000000000000007E-2"/>
    <n v="1394.9907000000001"/>
  </r>
  <r>
    <n v="699"/>
    <n v="3"/>
    <n v="31"/>
    <s v="Surly Wednesday - 2017"/>
    <n v="6"/>
    <x v="1"/>
    <n v="1"/>
    <n v="1632.99"/>
    <n v="0.2"/>
    <n v="1306.3920000000001"/>
  </r>
  <r>
    <n v="699"/>
    <n v="4"/>
    <n v="24"/>
    <s v="Electra Townie Original 21D - 2016"/>
    <n v="2"/>
    <x v="3"/>
    <n v="2"/>
    <n v="549.99"/>
    <n v="0.1"/>
    <n v="989.98199999999997"/>
  </r>
  <r>
    <n v="699"/>
    <n v="5"/>
    <n v="82"/>
    <s v="Electra Amsterdam Original 3i Ladies' - 2017"/>
    <n v="3"/>
    <x v="0"/>
    <n v="2"/>
    <n v="659.99"/>
    <n v="0.2"/>
    <n v="1055.9839999999999"/>
  </r>
  <r>
    <n v="700"/>
    <n v="1"/>
    <n v="7"/>
    <s v="Trek Slash 8 27.5 - 2016"/>
    <n v="6"/>
    <x v="1"/>
    <n v="2"/>
    <n v="3999.99"/>
    <n v="0.05"/>
    <n v="7599.9809999999998"/>
  </r>
  <r>
    <n v="700"/>
    <n v="2"/>
    <n v="63"/>
    <s v="Trek Boone Race Shop Limited - 2017"/>
    <n v="4"/>
    <x v="2"/>
    <n v="1"/>
    <n v="3499.99"/>
    <n v="0.2"/>
    <n v="2799.9919999999997"/>
  </r>
  <r>
    <n v="701"/>
    <n v="1"/>
    <n v="84"/>
    <s v="Sun Bicycles Lil Kitt'n - 2017"/>
    <n v="1"/>
    <x v="5"/>
    <n v="1"/>
    <n v="109.99"/>
    <n v="0.05"/>
    <n v="104.4905"/>
  </r>
  <r>
    <n v="702"/>
    <n v="1"/>
    <n v="25"/>
    <s v="Electra Townie Original 7D - 2015/2016"/>
    <n v="2"/>
    <x v="3"/>
    <n v="2"/>
    <n v="499.99"/>
    <n v="0.05"/>
    <n v="949.98099999999999"/>
  </r>
  <r>
    <n v="702"/>
    <n v="2"/>
    <n v="104"/>
    <s v="Sun Bicycles Streamway - 2017"/>
    <n v="2"/>
    <x v="3"/>
    <n v="1"/>
    <n v="481.99"/>
    <n v="0.1"/>
    <n v="433.791"/>
  </r>
  <r>
    <n v="702"/>
    <n v="3"/>
    <n v="3"/>
    <s v="Surly Wednesday Frameset - 2016"/>
    <n v="6"/>
    <x v="1"/>
    <n v="2"/>
    <n v="999.99"/>
    <n v="7.0000000000000007E-2"/>
    <n v="1859.9814000000001"/>
  </r>
  <r>
    <n v="703"/>
    <n v="1"/>
    <n v="45"/>
    <s v="Haro SR 1.2 - 2017"/>
    <n v="6"/>
    <x v="1"/>
    <n v="2"/>
    <n v="869.99"/>
    <n v="0.2"/>
    <n v="1391.9839999999999"/>
  </r>
  <r>
    <n v="703"/>
    <n v="2"/>
    <n v="66"/>
    <s v="Sun Bicycles Revolutions 24 - 2017"/>
    <n v="3"/>
    <x v="0"/>
    <n v="2"/>
    <n v="250.99"/>
    <n v="0.05"/>
    <n v="476.88100000000003"/>
  </r>
  <r>
    <n v="703"/>
    <n v="3"/>
    <n v="72"/>
    <s v="Sun Bicycles Biscayne Tandem 7 - 2017"/>
    <n v="3"/>
    <x v="0"/>
    <n v="1"/>
    <n v="619.99"/>
    <n v="0.2"/>
    <n v="495.99200000000002"/>
  </r>
  <r>
    <n v="703"/>
    <n v="4"/>
    <n v="4"/>
    <s v="Trek Fuel EX 8 29 - 2016"/>
    <n v="6"/>
    <x v="1"/>
    <n v="2"/>
    <n v="2899.99"/>
    <n v="0.2"/>
    <n v="4639.9839999999995"/>
  </r>
  <r>
    <n v="704"/>
    <n v="1"/>
    <n v="10"/>
    <s v="Surly Straggler - 2016"/>
    <n v="4"/>
    <x v="2"/>
    <n v="2"/>
    <n v="1549"/>
    <n v="0.05"/>
    <n v="2943.1"/>
  </r>
  <r>
    <n v="704"/>
    <n v="2"/>
    <n v="62"/>
    <s v="Trek Boone 7 - 2017"/>
    <n v="4"/>
    <x v="2"/>
    <n v="1"/>
    <n v="3499.99"/>
    <n v="0.2"/>
    <n v="2799.9919999999997"/>
  </r>
  <r>
    <n v="704"/>
    <n v="3"/>
    <n v="100"/>
    <s v="Electra Townie 3i EQ (20-inch) - Boys' - 2017"/>
    <n v="1"/>
    <x v="5"/>
    <n v="2"/>
    <n v="489.99"/>
    <n v="7.0000000000000007E-2"/>
    <n v="911.38139999999999"/>
  </r>
  <r>
    <n v="705"/>
    <n v="1"/>
    <n v="61"/>
    <s v="Trek Powerfly 8 FS Plus - 2017"/>
    <n v="5"/>
    <x v="4"/>
    <n v="1"/>
    <n v="4999.99"/>
    <n v="0.1"/>
    <n v="4499.991"/>
  </r>
  <r>
    <n v="706"/>
    <n v="1"/>
    <n v="27"/>
    <s v="Surly Big Dummy Frameset - 2017"/>
    <n v="6"/>
    <x v="1"/>
    <n v="1"/>
    <n v="999.99"/>
    <n v="0.1"/>
    <n v="899.99099999999999"/>
  </r>
  <r>
    <n v="706"/>
    <n v="2"/>
    <n v="23"/>
    <s v="Electra Girl's Hawaii 1 (20-inch) - 2015/2016"/>
    <n v="1"/>
    <x v="5"/>
    <n v="2"/>
    <n v="299.99"/>
    <n v="0.05"/>
    <n v="569.98099999999999"/>
  </r>
  <r>
    <n v="706"/>
    <n v="3"/>
    <n v="60"/>
    <s v="Sun Bicycles ElectroLite - 2017"/>
    <n v="5"/>
    <x v="4"/>
    <n v="1"/>
    <n v="1559.99"/>
    <n v="0.2"/>
    <n v="1247.992"/>
  </r>
  <r>
    <n v="707"/>
    <n v="1"/>
    <n v="106"/>
    <s v="Sun Bicycles Cruz 3 - 2017"/>
    <n v="2"/>
    <x v="3"/>
    <n v="2"/>
    <n v="449.99"/>
    <n v="0.05"/>
    <n v="854.98099999999999"/>
  </r>
  <r>
    <n v="707"/>
    <n v="2"/>
    <n v="100"/>
    <s v="Electra Townie 3i EQ (20-inch) - Boys' - 2017"/>
    <n v="1"/>
    <x v="5"/>
    <n v="1"/>
    <n v="489.99"/>
    <n v="7.0000000000000007E-2"/>
    <n v="455.69069999999999"/>
  </r>
  <r>
    <n v="707"/>
    <n v="3"/>
    <n v="11"/>
    <s v="Surly Straggler 650b - 2016"/>
    <n v="4"/>
    <x v="2"/>
    <n v="2"/>
    <n v="1680.99"/>
    <n v="0.1"/>
    <n v="3025.7820000000002"/>
  </r>
  <r>
    <n v="707"/>
    <n v="4"/>
    <n v="26"/>
    <s v="Electra Townie Original 7D EQ - 2016"/>
    <n v="2"/>
    <x v="3"/>
    <n v="2"/>
    <n v="599.99"/>
    <n v="0.1"/>
    <n v="1079.982"/>
  </r>
  <r>
    <n v="708"/>
    <n v="1"/>
    <n v="6"/>
    <s v="Surly Ice Cream Truck Frameset - 2016"/>
    <n v="6"/>
    <x v="1"/>
    <n v="1"/>
    <n v="469.99"/>
    <n v="7.0000000000000007E-2"/>
    <n v="437.09070000000003"/>
  </r>
  <r>
    <n v="708"/>
    <n v="2"/>
    <n v="47"/>
    <s v="Trek Remedy 9.8 - 2017"/>
    <n v="6"/>
    <x v="1"/>
    <n v="1"/>
    <n v="5299.99"/>
    <n v="0.1"/>
    <n v="4769.991"/>
  </r>
  <r>
    <n v="708"/>
    <n v="3"/>
    <n v="34"/>
    <s v="Trek Session DH 27.5 Carbon Frameset - 2017"/>
    <n v="6"/>
    <x v="1"/>
    <n v="2"/>
    <n v="469.99"/>
    <n v="0.2"/>
    <n v="751.98400000000004"/>
  </r>
  <r>
    <n v="709"/>
    <n v="1"/>
    <n v="55"/>
    <s v="Trek Domane S 6 - 2017"/>
    <n v="7"/>
    <x v="6"/>
    <n v="2"/>
    <n v="2699.99"/>
    <n v="0.05"/>
    <n v="5129.9809999999998"/>
  </r>
  <r>
    <n v="709"/>
    <n v="2"/>
    <n v="101"/>
    <s v="Electra Townie 7D (20-inch) - Boys' - 2017"/>
    <n v="1"/>
    <x v="5"/>
    <n v="2"/>
    <n v="339.99"/>
    <n v="7.0000000000000007E-2"/>
    <n v="632.38139999999999"/>
  </r>
  <r>
    <n v="709"/>
    <n v="3"/>
    <n v="48"/>
    <s v="Trek Emonda S 4 - 2017"/>
    <n v="7"/>
    <x v="6"/>
    <n v="1"/>
    <n v="1499.99"/>
    <n v="7.0000000000000007E-2"/>
    <n v="1394.9907000000001"/>
  </r>
  <r>
    <n v="710"/>
    <n v="1"/>
    <n v="42"/>
    <s v="Trek Fuel EX 5 27.5 Plus - 2017"/>
    <n v="6"/>
    <x v="1"/>
    <n v="1"/>
    <n v="2299.9899999999998"/>
    <n v="0.05"/>
    <n v="2184.9904999999999"/>
  </r>
  <r>
    <n v="710"/>
    <n v="2"/>
    <n v="60"/>
    <s v="Sun Bicycles ElectroLite - 2017"/>
    <n v="5"/>
    <x v="4"/>
    <n v="2"/>
    <n v="1559.99"/>
    <n v="0.2"/>
    <n v="2495.9839999999999"/>
  </r>
  <r>
    <n v="710"/>
    <n v="3"/>
    <n v="39"/>
    <s v="Trek Stache 5 - 2017"/>
    <n v="6"/>
    <x v="1"/>
    <n v="2"/>
    <n v="1499.99"/>
    <n v="0.2"/>
    <n v="2399.9839999999999"/>
  </r>
  <r>
    <n v="710"/>
    <n v="4"/>
    <n v="57"/>
    <s v="Trek Emonda S 5 - 2017"/>
    <n v="7"/>
    <x v="6"/>
    <n v="1"/>
    <n v="1999.99"/>
    <n v="0.2"/>
    <n v="1599.992"/>
  </r>
  <r>
    <n v="710"/>
    <n v="5"/>
    <n v="28"/>
    <s v="Surly Karate Monkey 27.5+ Frameset - 2017"/>
    <n v="6"/>
    <x v="1"/>
    <n v="1"/>
    <n v="2499.9899999999998"/>
    <n v="0.05"/>
    <n v="2374.9904999999999"/>
  </r>
  <r>
    <n v="711"/>
    <n v="1"/>
    <n v="5"/>
    <s v="Heller Shagamaw Frame - 2016"/>
    <n v="6"/>
    <x v="1"/>
    <n v="2"/>
    <n v="1320.99"/>
    <n v="0.05"/>
    <n v="2509.8809999999999"/>
  </r>
  <r>
    <n v="711"/>
    <n v="2"/>
    <n v="95"/>
    <s v="Electra Girl's Hawaii 1 16&quot; - 2017"/>
    <n v="1"/>
    <x v="5"/>
    <n v="2"/>
    <n v="299.99"/>
    <n v="0.2"/>
    <n v="479.98400000000004"/>
  </r>
  <r>
    <n v="711"/>
    <n v="3"/>
    <n v="72"/>
    <s v="Sun Bicycles Biscayne Tandem 7 - 2017"/>
    <n v="3"/>
    <x v="0"/>
    <n v="2"/>
    <n v="619.99"/>
    <n v="0.05"/>
    <n v="1177.981"/>
  </r>
  <r>
    <n v="712"/>
    <n v="1"/>
    <n v="44"/>
    <s v="Haro SR 1.1 - 2017"/>
    <n v="6"/>
    <x v="1"/>
    <n v="2"/>
    <n v="539.99"/>
    <n v="0.2"/>
    <n v="863.98400000000004"/>
  </r>
  <r>
    <n v="712"/>
    <n v="2"/>
    <n v="74"/>
    <s v="Electra Cruiser Lux 1 - 2017"/>
    <n v="3"/>
    <x v="0"/>
    <n v="2"/>
    <n v="439.99"/>
    <n v="0.1"/>
    <n v="791.98199999999997"/>
  </r>
  <r>
    <n v="712"/>
    <n v="3"/>
    <n v="35"/>
    <s v="Sun Bicycles Spider 3i - 2017"/>
    <n v="6"/>
    <x v="1"/>
    <n v="1"/>
    <n v="832.99"/>
    <n v="0.2"/>
    <n v="666.39200000000005"/>
  </r>
  <r>
    <n v="712"/>
    <n v="4"/>
    <n v="76"/>
    <s v="Electra Girl's Hawaii 1 16&quot; - 2017"/>
    <n v="3"/>
    <x v="0"/>
    <n v="1"/>
    <n v="299.99"/>
    <n v="0.2"/>
    <n v="239.99200000000002"/>
  </r>
  <r>
    <n v="712"/>
    <n v="5"/>
    <n v="4"/>
    <s v="Trek Fuel EX 8 29 - 2016"/>
    <n v="6"/>
    <x v="1"/>
    <n v="2"/>
    <n v="2899.99"/>
    <n v="0.05"/>
    <n v="5509.9809999999998"/>
  </r>
  <r>
    <n v="713"/>
    <n v="1"/>
    <n v="93"/>
    <s v="Haro Shredder 20 Girls - 2017"/>
    <n v="1"/>
    <x v="5"/>
    <n v="2"/>
    <n v="209.99"/>
    <n v="0.2"/>
    <n v="335.98400000000004"/>
  </r>
  <r>
    <n v="713"/>
    <n v="2"/>
    <n v="97"/>
    <s v="Electra Savannah 3i (20-inch) - Girl's - 2017"/>
    <n v="1"/>
    <x v="5"/>
    <n v="2"/>
    <n v="349.99"/>
    <n v="0.1"/>
    <n v="629.98199999999997"/>
  </r>
  <r>
    <n v="713"/>
    <n v="3"/>
    <n v="53"/>
    <s v="Surly Ogre Frameset - 2017"/>
    <n v="7"/>
    <x v="6"/>
    <n v="1"/>
    <n v="749.99"/>
    <n v="7.0000000000000007E-2"/>
    <n v="697.49070000000006"/>
  </r>
  <r>
    <n v="713"/>
    <n v="4"/>
    <n v="108"/>
    <s v="Sun Bicycles Cruz 3 - Women's - 2017"/>
    <n v="2"/>
    <x v="3"/>
    <n v="2"/>
    <n v="449.99"/>
    <n v="7.0000000000000007E-2"/>
    <n v="836.98140000000001"/>
  </r>
  <r>
    <n v="714"/>
    <n v="1"/>
    <n v="92"/>
    <s v="Haro Shredder 20 - 2017"/>
    <n v="1"/>
    <x v="5"/>
    <n v="2"/>
    <n v="209.99"/>
    <n v="0.2"/>
    <n v="335.98400000000004"/>
  </r>
  <r>
    <n v="715"/>
    <n v="1"/>
    <n v="61"/>
    <s v="Trek Powerfly 8 FS Plus - 2017"/>
    <n v="5"/>
    <x v="4"/>
    <n v="2"/>
    <n v="4999.99"/>
    <n v="0.1"/>
    <n v="8999.982"/>
  </r>
  <r>
    <n v="715"/>
    <n v="2"/>
    <n v="50"/>
    <s v="Trek Silque SLR 7 Women's - 2017"/>
    <n v="7"/>
    <x v="6"/>
    <n v="1"/>
    <n v="5999.99"/>
    <n v="0.2"/>
    <n v="4799.9920000000002"/>
  </r>
  <r>
    <n v="716"/>
    <n v="1"/>
    <n v="111"/>
    <s v="Sun Bicycles Drifter 7 - Women's - 2017"/>
    <n v="2"/>
    <x v="3"/>
    <n v="2"/>
    <n v="470.99"/>
    <n v="0.1"/>
    <n v="847.78200000000004"/>
  </r>
  <r>
    <n v="716"/>
    <n v="2"/>
    <n v="93"/>
    <s v="Haro Shredder 20 Girls - 2017"/>
    <n v="1"/>
    <x v="5"/>
    <n v="2"/>
    <n v="209.99"/>
    <n v="7.0000000000000007E-2"/>
    <n v="390.58140000000003"/>
  </r>
  <r>
    <n v="716"/>
    <n v="3"/>
    <n v="79"/>
    <s v="Sun Bicycles Boardwalk (24-inch Wheels) - 2017"/>
    <n v="3"/>
    <x v="0"/>
    <n v="1"/>
    <n v="402.99"/>
    <n v="0.1"/>
    <n v="362.69100000000003"/>
  </r>
  <r>
    <n v="716"/>
    <n v="4"/>
    <n v="4"/>
    <s v="Trek Fuel EX 8 29 - 2016"/>
    <n v="6"/>
    <x v="1"/>
    <n v="2"/>
    <n v="2899.99"/>
    <n v="0.05"/>
    <n v="5509.9809999999998"/>
  </r>
  <r>
    <n v="717"/>
    <n v="1"/>
    <n v="56"/>
    <s v="Trek Domane SLR 6 Disc - 2017"/>
    <n v="7"/>
    <x v="6"/>
    <n v="2"/>
    <n v="5499.99"/>
    <n v="0.05"/>
    <n v="10449.981"/>
  </r>
  <r>
    <n v="717"/>
    <n v="2"/>
    <n v="93"/>
    <s v="Haro Shredder 20 Girls - 2017"/>
    <n v="1"/>
    <x v="5"/>
    <n v="1"/>
    <n v="209.99"/>
    <n v="0.2"/>
    <n v="167.99200000000002"/>
  </r>
  <r>
    <n v="718"/>
    <n v="1"/>
    <n v="92"/>
    <s v="Haro Shredder 20 - 2017"/>
    <n v="1"/>
    <x v="5"/>
    <n v="2"/>
    <n v="209.99"/>
    <n v="7.0000000000000007E-2"/>
    <n v="390.58140000000003"/>
  </r>
  <r>
    <n v="718"/>
    <n v="2"/>
    <n v="40"/>
    <s v="Trek Fuel EX 9.8 29 - 2017"/>
    <n v="6"/>
    <x v="1"/>
    <n v="2"/>
    <n v="4999.99"/>
    <n v="7.0000000000000007E-2"/>
    <n v="9299.9813999999988"/>
  </r>
  <r>
    <n v="718"/>
    <n v="3"/>
    <n v="64"/>
    <s v="Electra Townie Original 7D - 2017"/>
    <n v="3"/>
    <x v="0"/>
    <n v="2"/>
    <n v="489.99"/>
    <n v="0.1"/>
    <n v="881.98199999999997"/>
  </r>
  <r>
    <n v="719"/>
    <n v="1"/>
    <n v="100"/>
    <s v="Electra Townie 3i EQ (20-inch) - Boys' - 2017"/>
    <n v="1"/>
    <x v="5"/>
    <n v="1"/>
    <n v="489.99"/>
    <n v="0.2"/>
    <n v="391.99200000000002"/>
  </r>
  <r>
    <n v="720"/>
    <n v="1"/>
    <n v="111"/>
    <s v="Sun Bicycles Drifter 7 - Women's - 2017"/>
    <n v="2"/>
    <x v="3"/>
    <n v="1"/>
    <n v="470.99"/>
    <n v="7.0000000000000007E-2"/>
    <n v="438.02070000000003"/>
  </r>
  <r>
    <n v="720"/>
    <n v="2"/>
    <n v="6"/>
    <s v="Surly Ice Cream Truck Frameset - 2016"/>
    <n v="6"/>
    <x v="1"/>
    <n v="1"/>
    <n v="469.99"/>
    <n v="0.1"/>
    <n v="422.99099999999999"/>
  </r>
  <r>
    <n v="721"/>
    <n v="1"/>
    <n v="45"/>
    <s v="Haro SR 1.2 - 2017"/>
    <n v="6"/>
    <x v="1"/>
    <n v="2"/>
    <n v="869.99"/>
    <n v="7.0000000000000007E-2"/>
    <n v="1618.1813999999999"/>
  </r>
  <r>
    <n v="721"/>
    <n v="2"/>
    <n v="102"/>
    <s v="Electra Townie Original 7D - 2017"/>
    <n v="2"/>
    <x v="3"/>
    <n v="1"/>
    <n v="489.99"/>
    <n v="0.1"/>
    <n v="440.99099999999999"/>
  </r>
  <r>
    <n v="721"/>
    <n v="3"/>
    <n v="73"/>
    <s v="Sun Bicycles Brickell Tandem 7 - 2017"/>
    <n v="3"/>
    <x v="0"/>
    <n v="2"/>
    <n v="749.99"/>
    <n v="0.05"/>
    <n v="1424.981"/>
  </r>
  <r>
    <n v="721"/>
    <n v="4"/>
    <n v="33"/>
    <s v="Surly Wednesday Frameset - 2017"/>
    <n v="6"/>
    <x v="1"/>
    <n v="1"/>
    <n v="469.99"/>
    <n v="0.2"/>
    <n v="375.99200000000002"/>
  </r>
  <r>
    <n v="722"/>
    <n v="1"/>
    <n v="22"/>
    <s v="Electra Girl's Hawaii 1 (16-inch) - 2015/2016"/>
    <n v="1"/>
    <x v="5"/>
    <n v="2"/>
    <n v="269.99"/>
    <n v="7.0000000000000007E-2"/>
    <n v="502.1814"/>
  </r>
  <r>
    <n v="722"/>
    <n v="2"/>
    <n v="3"/>
    <s v="Surly Wednesday Frameset - 2016"/>
    <n v="6"/>
    <x v="1"/>
    <n v="1"/>
    <n v="999.99"/>
    <n v="0.05"/>
    <n v="949.9905"/>
  </r>
  <r>
    <n v="722"/>
    <n v="3"/>
    <n v="104"/>
    <s v="Sun Bicycles Streamway - 2017"/>
    <n v="2"/>
    <x v="3"/>
    <n v="2"/>
    <n v="481.99"/>
    <n v="0.1"/>
    <n v="867.58199999999999"/>
  </r>
  <r>
    <n v="723"/>
    <n v="1"/>
    <n v="24"/>
    <s v="Electra Townie Original 21D - 2016"/>
    <n v="2"/>
    <x v="3"/>
    <n v="2"/>
    <n v="549.99"/>
    <n v="7.0000000000000007E-2"/>
    <n v="1022.9814"/>
  </r>
  <r>
    <n v="723"/>
    <n v="2"/>
    <n v="16"/>
    <s v="Electra Townie Original 7D EQ - 2016"/>
    <n v="3"/>
    <x v="0"/>
    <n v="1"/>
    <n v="599.99"/>
    <n v="0.05"/>
    <n v="569.9905"/>
  </r>
  <r>
    <n v="723"/>
    <n v="3"/>
    <n v="108"/>
    <s v="Sun Bicycles Cruz 3 - Women's - 2017"/>
    <n v="2"/>
    <x v="3"/>
    <n v="1"/>
    <n v="449.99"/>
    <n v="7.0000000000000007E-2"/>
    <n v="418.4907"/>
  </r>
  <r>
    <n v="724"/>
    <n v="1"/>
    <n v="23"/>
    <s v="Electra Girl's Hawaii 1 (20-inch) - 2015/2016"/>
    <n v="1"/>
    <x v="5"/>
    <n v="1"/>
    <n v="299.99"/>
    <n v="0.05"/>
    <n v="284.9905"/>
  </r>
  <r>
    <n v="724"/>
    <n v="2"/>
    <n v="75"/>
    <s v="Electra Cruiser Lux Fat Tire 1 Ladies - 2017"/>
    <n v="3"/>
    <x v="0"/>
    <n v="1"/>
    <n v="599.99"/>
    <n v="0.2"/>
    <n v="479.99200000000002"/>
  </r>
  <r>
    <n v="724"/>
    <n v="3"/>
    <n v="102"/>
    <s v="Electra Townie Original 7D - 2017"/>
    <n v="2"/>
    <x v="3"/>
    <n v="1"/>
    <n v="489.99"/>
    <n v="0.05"/>
    <n v="465.4905"/>
  </r>
  <r>
    <n v="724"/>
    <n v="4"/>
    <n v="55"/>
    <s v="Trek Domane S 6 - 2017"/>
    <n v="7"/>
    <x v="6"/>
    <n v="1"/>
    <n v="2699.99"/>
    <n v="0.2"/>
    <n v="2159.9919999999997"/>
  </r>
  <r>
    <n v="725"/>
    <n v="1"/>
    <n v="90"/>
    <s v="Trek Precaliber 16 Girls - 2017"/>
    <n v="1"/>
    <x v="5"/>
    <n v="1"/>
    <n v="209.99"/>
    <n v="0.1"/>
    <n v="188.99100000000001"/>
  </r>
  <r>
    <n v="725"/>
    <n v="2"/>
    <n v="91"/>
    <s v="Trek Precaliber 24 (21-Speed) - Girls - 2017"/>
    <n v="1"/>
    <x v="5"/>
    <n v="1"/>
    <n v="349.99"/>
    <n v="0.05"/>
    <n v="332.4905"/>
  </r>
  <r>
    <n v="725"/>
    <n v="3"/>
    <n v="77"/>
    <s v="Electra Glam Punk 3i Ladies' - 2017"/>
    <n v="3"/>
    <x v="0"/>
    <n v="2"/>
    <n v="799.99"/>
    <n v="7.0000000000000007E-2"/>
    <n v="1487.9814000000001"/>
  </r>
  <r>
    <n v="725"/>
    <n v="4"/>
    <n v="62"/>
    <s v="Trek Boone 7 - 2017"/>
    <n v="4"/>
    <x v="2"/>
    <n v="2"/>
    <n v="3499.99"/>
    <n v="0.1"/>
    <n v="6299.982"/>
  </r>
  <r>
    <n v="726"/>
    <n v="1"/>
    <n v="64"/>
    <s v="Electra Townie Original 7D - 2017"/>
    <n v="3"/>
    <x v="0"/>
    <n v="1"/>
    <n v="489.99"/>
    <n v="0.2"/>
    <n v="391.99200000000002"/>
  </r>
  <r>
    <n v="727"/>
    <n v="1"/>
    <n v="78"/>
    <s v="Sun Bicycles Biscayne Tandem CB - 2017"/>
    <n v="3"/>
    <x v="0"/>
    <n v="1"/>
    <n v="647.99"/>
    <n v="7.0000000000000007E-2"/>
    <n v="602.63070000000005"/>
  </r>
  <r>
    <n v="727"/>
    <n v="2"/>
    <n v="82"/>
    <s v="Electra Amsterdam Original 3i Ladies' - 2017"/>
    <n v="3"/>
    <x v="0"/>
    <n v="2"/>
    <n v="659.99"/>
    <n v="0.05"/>
    <n v="1253.981"/>
  </r>
  <r>
    <n v="728"/>
    <n v="1"/>
    <n v="70"/>
    <s v="Electra Amsterdam Original 3i - 2015/2017"/>
    <n v="3"/>
    <x v="0"/>
    <n v="1"/>
    <n v="659.99"/>
    <n v="0.05"/>
    <n v="626.9905"/>
  </r>
  <r>
    <n v="728"/>
    <n v="2"/>
    <n v="56"/>
    <s v="Trek Domane SLR 6 Disc - 2017"/>
    <n v="7"/>
    <x v="6"/>
    <n v="1"/>
    <n v="5499.99"/>
    <n v="0.1"/>
    <n v="4949.991"/>
  </r>
  <r>
    <n v="728"/>
    <n v="3"/>
    <n v="91"/>
    <s v="Trek Precaliber 24 (21-Speed) - Girls - 2017"/>
    <n v="1"/>
    <x v="5"/>
    <n v="1"/>
    <n v="349.99"/>
    <n v="0.1"/>
    <n v="314.99099999999999"/>
  </r>
  <r>
    <n v="728"/>
    <n v="4"/>
    <n v="58"/>
    <s v="Trek Madone 9.2 - 2017"/>
    <n v="7"/>
    <x v="6"/>
    <n v="1"/>
    <n v="4999.99"/>
    <n v="7.0000000000000007E-2"/>
    <n v="4649.9906999999994"/>
  </r>
  <r>
    <n v="729"/>
    <n v="1"/>
    <n v="101"/>
    <s v="Electra Townie 7D (20-inch) - Boys' - 2017"/>
    <n v="1"/>
    <x v="5"/>
    <n v="2"/>
    <n v="339.99"/>
    <n v="0.1"/>
    <n v="611.98199999999997"/>
  </r>
  <r>
    <n v="730"/>
    <n v="1"/>
    <n v="59"/>
    <s v="Trek Domane S 5 Disc - 2017"/>
    <n v="7"/>
    <x v="6"/>
    <n v="2"/>
    <n v="2599.9899999999998"/>
    <n v="0.05"/>
    <n v="4939.9809999999998"/>
  </r>
  <r>
    <n v="730"/>
    <n v="2"/>
    <n v="79"/>
    <s v="Sun Bicycles Boardwalk (24-inch Wheels) - 2017"/>
    <n v="3"/>
    <x v="0"/>
    <n v="1"/>
    <n v="402.99"/>
    <n v="0.1"/>
    <n v="362.69100000000003"/>
  </r>
  <r>
    <n v="730"/>
    <n v="3"/>
    <n v="96"/>
    <s v="Electra Moto 3i (20-inch) - Boy's - 2017"/>
    <n v="1"/>
    <x v="5"/>
    <n v="2"/>
    <n v="349.99"/>
    <n v="7.0000000000000007E-2"/>
    <n v="650.98140000000001"/>
  </r>
  <r>
    <n v="730"/>
    <n v="4"/>
    <n v="13"/>
    <s v="Electra Cruiser 1 (24-Inch) - 2016"/>
    <n v="3"/>
    <x v="0"/>
    <n v="1"/>
    <n v="269.99"/>
    <n v="0.1"/>
    <n v="242.99100000000001"/>
  </r>
  <r>
    <n v="731"/>
    <n v="1"/>
    <n v="91"/>
    <s v="Trek Precaliber 24 (21-Speed) - Girls - 2017"/>
    <n v="1"/>
    <x v="5"/>
    <n v="1"/>
    <n v="349.99"/>
    <n v="0.05"/>
    <n v="332.4905"/>
  </r>
  <r>
    <n v="731"/>
    <n v="2"/>
    <n v="49"/>
    <s v="Trek Domane SL 6 - 2017"/>
    <n v="7"/>
    <x v="6"/>
    <n v="1"/>
    <n v="3499.99"/>
    <n v="0.2"/>
    <n v="2799.9919999999997"/>
  </r>
  <r>
    <n v="731"/>
    <n v="3"/>
    <n v="67"/>
    <s v="Sun Bicycles Revolutions 24 - Girl's - 2017"/>
    <n v="3"/>
    <x v="0"/>
    <n v="2"/>
    <n v="250.99"/>
    <n v="0.2"/>
    <n v="401.584"/>
  </r>
  <r>
    <n v="731"/>
    <n v="4"/>
    <n v="29"/>
    <s v="Trek X-Caliber 8 - 2017"/>
    <n v="6"/>
    <x v="1"/>
    <n v="1"/>
    <n v="999.99"/>
    <n v="0.2"/>
    <n v="799.99199999999996"/>
  </r>
  <r>
    <n v="732"/>
    <n v="1"/>
    <n v="47"/>
    <s v="Trek Remedy 9.8 - 2017"/>
    <n v="6"/>
    <x v="1"/>
    <n v="1"/>
    <n v="5299.99"/>
    <n v="7.0000000000000007E-2"/>
    <n v="4928.9906999999994"/>
  </r>
  <r>
    <n v="732"/>
    <n v="2"/>
    <n v="4"/>
    <s v="Trek Fuel EX 8 29 - 2016"/>
    <n v="6"/>
    <x v="1"/>
    <n v="2"/>
    <n v="2899.99"/>
    <n v="7.0000000000000007E-2"/>
    <n v="5393.9813999999997"/>
  </r>
  <r>
    <n v="733"/>
    <n v="1"/>
    <n v="84"/>
    <s v="Sun Bicycles Lil Kitt'n - 2017"/>
    <n v="1"/>
    <x v="5"/>
    <n v="1"/>
    <n v="109.99"/>
    <n v="0.05"/>
    <n v="104.4905"/>
  </r>
  <r>
    <n v="733"/>
    <n v="2"/>
    <n v="55"/>
    <s v="Trek Domane S 6 - 2017"/>
    <n v="7"/>
    <x v="6"/>
    <n v="1"/>
    <n v="2699.99"/>
    <n v="0.2"/>
    <n v="2159.9919999999997"/>
  </r>
  <r>
    <n v="733"/>
    <n v="3"/>
    <n v="102"/>
    <s v="Electra Townie Original 7D - 2017"/>
    <n v="2"/>
    <x v="3"/>
    <n v="2"/>
    <n v="489.99"/>
    <n v="0.1"/>
    <n v="881.98199999999997"/>
  </r>
  <r>
    <n v="734"/>
    <n v="1"/>
    <n v="26"/>
    <s v="Electra Townie Original 7D EQ - 2016"/>
    <n v="2"/>
    <x v="3"/>
    <n v="1"/>
    <n v="599.99"/>
    <n v="0.2"/>
    <n v="479.99200000000002"/>
  </r>
  <r>
    <n v="734"/>
    <n v="2"/>
    <n v="3"/>
    <s v="Surly Wednesday Frameset - 2016"/>
    <n v="6"/>
    <x v="1"/>
    <n v="1"/>
    <n v="999.99"/>
    <n v="0.05"/>
    <n v="949.9905"/>
  </r>
  <r>
    <n v="734"/>
    <n v="3"/>
    <n v="84"/>
    <s v="Sun Bicycles Lil Kitt'n - 2017"/>
    <n v="1"/>
    <x v="5"/>
    <n v="2"/>
    <n v="109.99"/>
    <n v="0.2"/>
    <n v="175.98399999999998"/>
  </r>
  <r>
    <n v="734"/>
    <n v="4"/>
    <n v="65"/>
    <s v="Sun Bicycles Lil Bolt Type-R - 2017"/>
    <n v="3"/>
    <x v="0"/>
    <n v="2"/>
    <n v="346.99"/>
    <n v="0.1"/>
    <n v="624.58199999999999"/>
  </r>
  <r>
    <n v="735"/>
    <n v="1"/>
    <n v="71"/>
    <s v="Sun Bicycles Atlas X-Type - 2017"/>
    <n v="3"/>
    <x v="0"/>
    <n v="2"/>
    <n v="416.99"/>
    <n v="0.1"/>
    <n v="750.58199999999999"/>
  </r>
  <r>
    <n v="735"/>
    <n v="2"/>
    <n v="10"/>
    <s v="Surly Straggler - 2016"/>
    <n v="4"/>
    <x v="2"/>
    <n v="2"/>
    <n v="1549"/>
    <n v="7.0000000000000007E-2"/>
    <n v="2881.14"/>
  </r>
  <r>
    <n v="736"/>
    <n v="1"/>
    <n v="56"/>
    <s v="Trek Domane SLR 6 Disc - 2017"/>
    <n v="7"/>
    <x v="6"/>
    <n v="2"/>
    <n v="5499.99"/>
    <n v="0.05"/>
    <n v="10449.981"/>
  </r>
  <r>
    <n v="736"/>
    <n v="2"/>
    <n v="17"/>
    <s v="Pure Cycles Vine 8-Speed - 2016"/>
    <n v="3"/>
    <x v="0"/>
    <n v="1"/>
    <n v="429"/>
    <n v="0.1"/>
    <n v="386.1"/>
  </r>
  <r>
    <n v="736"/>
    <n v="3"/>
    <n v="62"/>
    <s v="Trek Boone 7 - 2017"/>
    <n v="4"/>
    <x v="2"/>
    <n v="2"/>
    <n v="3499.99"/>
    <n v="0.2"/>
    <n v="5599.9839999999995"/>
  </r>
  <r>
    <n v="737"/>
    <n v="1"/>
    <n v="52"/>
    <s v="Surly Steamroller - 2017"/>
    <n v="7"/>
    <x v="6"/>
    <n v="1"/>
    <n v="875.99"/>
    <n v="0.05"/>
    <n v="832.19050000000004"/>
  </r>
  <r>
    <n v="737"/>
    <n v="2"/>
    <n v="19"/>
    <s v="Pure Cycles William 3-Speed - 2016"/>
    <n v="3"/>
    <x v="0"/>
    <n v="2"/>
    <n v="449"/>
    <n v="7.0000000000000007E-2"/>
    <n v="835.14"/>
  </r>
  <r>
    <n v="737"/>
    <n v="3"/>
    <n v="77"/>
    <s v="Electra Glam Punk 3i Ladies' - 2017"/>
    <n v="3"/>
    <x v="0"/>
    <n v="2"/>
    <n v="799.99"/>
    <n v="7.0000000000000007E-2"/>
    <n v="1487.9814000000001"/>
  </r>
  <r>
    <n v="737"/>
    <n v="4"/>
    <n v="34"/>
    <s v="Trek Session DH 27.5 Carbon Frameset - 2017"/>
    <n v="6"/>
    <x v="1"/>
    <n v="1"/>
    <n v="469.99"/>
    <n v="0.2"/>
    <n v="375.99200000000002"/>
  </r>
  <r>
    <n v="738"/>
    <n v="1"/>
    <n v="82"/>
    <s v="Electra Amsterdam Original 3i Ladies' - 2017"/>
    <n v="3"/>
    <x v="0"/>
    <n v="2"/>
    <n v="659.99"/>
    <n v="7.0000000000000007E-2"/>
    <n v="1227.5814"/>
  </r>
  <r>
    <n v="738"/>
    <n v="2"/>
    <n v="38"/>
    <s v="Haro Flightline Two 26 Plus - 2017"/>
    <n v="6"/>
    <x v="1"/>
    <n v="2"/>
    <n v="549.99"/>
    <n v="0.2"/>
    <n v="879.98400000000004"/>
  </r>
  <r>
    <n v="738"/>
    <n v="3"/>
    <n v="25"/>
    <s v="Electra Townie Original 7D - 2015/2016"/>
    <n v="2"/>
    <x v="3"/>
    <n v="1"/>
    <n v="499.99"/>
    <n v="0.1"/>
    <n v="449.99099999999999"/>
  </r>
  <r>
    <n v="738"/>
    <n v="4"/>
    <n v="63"/>
    <s v="Trek Boone Race Shop Limited - 2017"/>
    <n v="4"/>
    <x v="2"/>
    <n v="1"/>
    <n v="3499.99"/>
    <n v="7.0000000000000007E-2"/>
    <n v="3254.9906999999998"/>
  </r>
  <r>
    <n v="739"/>
    <n v="1"/>
    <n v="3"/>
    <s v="Surly Wednesday Frameset - 2016"/>
    <n v="6"/>
    <x v="1"/>
    <n v="1"/>
    <n v="999.99"/>
    <n v="0.2"/>
    <n v="799.99199999999996"/>
  </r>
  <r>
    <n v="740"/>
    <n v="1"/>
    <n v="81"/>
    <s v="Electra Amsterdam Fashion 7i Ladies' - 2017"/>
    <n v="3"/>
    <x v="0"/>
    <n v="1"/>
    <n v="1099.99"/>
    <n v="0.05"/>
    <n v="1044.9905000000001"/>
  </r>
  <r>
    <n v="740"/>
    <n v="2"/>
    <n v="94"/>
    <s v="Haro Shredder Pro 20 - 2017"/>
    <n v="1"/>
    <x v="5"/>
    <n v="2"/>
    <n v="249.99"/>
    <n v="0.2"/>
    <n v="399.98400000000004"/>
  </r>
  <r>
    <n v="740"/>
    <n v="3"/>
    <n v="11"/>
    <s v="Surly Straggler 650b - 2016"/>
    <n v="4"/>
    <x v="2"/>
    <n v="1"/>
    <n v="1680.99"/>
    <n v="0.2"/>
    <n v="1344.7919999999999"/>
  </r>
  <r>
    <n v="740"/>
    <n v="4"/>
    <n v="19"/>
    <s v="Pure Cycles William 3-Speed - 2016"/>
    <n v="3"/>
    <x v="0"/>
    <n v="1"/>
    <n v="449"/>
    <n v="0.2"/>
    <n v="359.2"/>
  </r>
  <r>
    <n v="740"/>
    <n v="5"/>
    <n v="12"/>
    <s v="Electra Townie Original 21D - 2016"/>
    <n v="3"/>
    <x v="0"/>
    <n v="2"/>
    <n v="549.99"/>
    <n v="7.0000000000000007E-2"/>
    <n v="1022.9814"/>
  </r>
  <r>
    <n v="741"/>
    <n v="1"/>
    <n v="58"/>
    <s v="Trek Madone 9.2 - 2017"/>
    <n v="7"/>
    <x v="6"/>
    <n v="1"/>
    <n v="4999.99"/>
    <n v="0.05"/>
    <n v="4749.9904999999999"/>
  </r>
  <r>
    <n v="741"/>
    <n v="2"/>
    <n v="76"/>
    <s v="Electra Girl's Hawaii 1 16&quot; - 2017"/>
    <n v="3"/>
    <x v="0"/>
    <n v="1"/>
    <n v="299.99"/>
    <n v="7.0000000000000007E-2"/>
    <n v="278.9907"/>
  </r>
  <r>
    <n v="741"/>
    <n v="3"/>
    <n v="21"/>
    <s v="Electra Cruiser 1 (24-Inch) - 2016"/>
    <n v="1"/>
    <x v="5"/>
    <n v="2"/>
    <n v="269.99"/>
    <n v="7.0000000000000007E-2"/>
    <n v="502.1814"/>
  </r>
  <r>
    <n v="741"/>
    <n v="4"/>
    <n v="56"/>
    <s v="Trek Domane SLR 6 Disc - 2017"/>
    <n v="7"/>
    <x v="6"/>
    <n v="2"/>
    <n v="5499.99"/>
    <n v="0.05"/>
    <n v="10449.981"/>
  </r>
  <r>
    <n v="742"/>
    <n v="1"/>
    <n v="107"/>
    <s v="Sun Bicycles Cruz 7 - 2017"/>
    <n v="2"/>
    <x v="3"/>
    <n v="2"/>
    <n v="416.99"/>
    <n v="0.05"/>
    <n v="792.28100000000006"/>
  </r>
  <r>
    <n v="742"/>
    <n v="2"/>
    <n v="45"/>
    <s v="Haro SR 1.2 - 2017"/>
    <n v="6"/>
    <x v="1"/>
    <n v="1"/>
    <n v="869.99"/>
    <n v="7.0000000000000007E-2"/>
    <n v="809.09069999999997"/>
  </r>
  <r>
    <n v="743"/>
    <n v="1"/>
    <n v="80"/>
    <s v="Sun Bicycles Brickell Tandem CB - 2017"/>
    <n v="3"/>
    <x v="0"/>
    <n v="1"/>
    <n v="761.99"/>
    <n v="0.05"/>
    <n v="723.89049999999997"/>
  </r>
  <r>
    <n v="744"/>
    <n v="1"/>
    <n v="33"/>
    <s v="Surly Wednesday Frameset - 2017"/>
    <n v="6"/>
    <x v="1"/>
    <n v="2"/>
    <n v="469.99"/>
    <n v="0.2"/>
    <n v="751.98400000000004"/>
  </r>
  <r>
    <n v="745"/>
    <n v="1"/>
    <n v="95"/>
    <s v="Electra Girl's Hawaii 1 16&quot; - 2017"/>
    <n v="1"/>
    <x v="5"/>
    <n v="2"/>
    <n v="299.99"/>
    <n v="0.05"/>
    <n v="569.98099999999999"/>
  </r>
  <r>
    <n v="745"/>
    <n v="2"/>
    <n v="22"/>
    <s v="Electra Girl's Hawaii 1 (16-inch) - 2015/2016"/>
    <n v="1"/>
    <x v="5"/>
    <n v="2"/>
    <n v="269.99"/>
    <n v="0.2"/>
    <n v="431.98400000000004"/>
  </r>
  <r>
    <n v="745"/>
    <n v="3"/>
    <n v="78"/>
    <s v="Sun Bicycles Biscayne Tandem CB - 2017"/>
    <n v="3"/>
    <x v="0"/>
    <n v="1"/>
    <n v="647.99"/>
    <n v="0.1"/>
    <n v="583.19100000000003"/>
  </r>
  <r>
    <n v="746"/>
    <n v="1"/>
    <n v="99"/>
    <s v="Electra Sugar Skulls 1 (20-inch) - Girl's - 2017"/>
    <n v="1"/>
    <x v="5"/>
    <n v="1"/>
    <n v="299.99"/>
    <n v="0.1"/>
    <n v="269.99099999999999"/>
  </r>
  <r>
    <n v="747"/>
    <n v="1"/>
    <n v="110"/>
    <s v="Sun Bicycles Drifter 7 - 2017"/>
    <n v="2"/>
    <x v="3"/>
    <n v="1"/>
    <n v="470.99"/>
    <n v="7.0000000000000007E-2"/>
    <n v="438.02070000000003"/>
  </r>
  <r>
    <n v="747"/>
    <n v="2"/>
    <n v="86"/>
    <s v="Trek Girl's Kickster - 2017"/>
    <n v="1"/>
    <x v="5"/>
    <n v="1"/>
    <n v="149.99"/>
    <n v="0.2"/>
    <n v="119.992"/>
  </r>
  <r>
    <n v="747"/>
    <n v="3"/>
    <n v="33"/>
    <s v="Surly Wednesday Frameset - 2017"/>
    <n v="6"/>
    <x v="1"/>
    <n v="2"/>
    <n v="469.99"/>
    <n v="0.1"/>
    <n v="845.98199999999997"/>
  </r>
  <r>
    <n v="747"/>
    <n v="4"/>
    <n v="81"/>
    <s v="Electra Amsterdam Fashion 7i Ladies' - 2017"/>
    <n v="3"/>
    <x v="0"/>
    <n v="1"/>
    <n v="1099.99"/>
    <n v="7.0000000000000007E-2"/>
    <n v="1022.9907000000001"/>
  </r>
  <r>
    <n v="748"/>
    <n v="1"/>
    <n v="16"/>
    <s v="Electra Townie Original 7D EQ - 2016"/>
    <n v="3"/>
    <x v="0"/>
    <n v="2"/>
    <n v="599.99"/>
    <n v="0.1"/>
    <n v="1079.982"/>
  </r>
  <r>
    <n v="748"/>
    <n v="2"/>
    <n v="83"/>
    <s v="Trek Boy's Kickster - 2015/2017"/>
    <n v="1"/>
    <x v="5"/>
    <n v="2"/>
    <n v="149.99"/>
    <n v="0.05"/>
    <n v="284.98099999999999"/>
  </r>
  <r>
    <n v="748"/>
    <n v="3"/>
    <n v="41"/>
    <s v="Haro Shift R3 - 2017"/>
    <n v="6"/>
    <x v="1"/>
    <n v="1"/>
    <n v="1469.99"/>
    <n v="7.0000000000000007E-2"/>
    <n v="1367.0907"/>
  </r>
  <r>
    <n v="748"/>
    <n v="4"/>
    <n v="35"/>
    <s v="Sun Bicycles Spider 3i - 2017"/>
    <n v="6"/>
    <x v="1"/>
    <n v="2"/>
    <n v="832.99"/>
    <n v="0.2"/>
    <n v="1332.7840000000001"/>
  </r>
  <r>
    <n v="749"/>
    <n v="1"/>
    <n v="9"/>
    <s v="Trek Conduit+ - 2016"/>
    <n v="5"/>
    <x v="4"/>
    <n v="1"/>
    <n v="2999.99"/>
    <n v="0.2"/>
    <n v="2399.9919999999997"/>
  </r>
  <r>
    <n v="749"/>
    <n v="2"/>
    <n v="28"/>
    <s v="Surly Karate Monkey 27.5+ Frameset - 2017"/>
    <n v="6"/>
    <x v="1"/>
    <n v="1"/>
    <n v="2499.9899999999998"/>
    <n v="0.05"/>
    <n v="2374.9904999999999"/>
  </r>
  <r>
    <n v="749"/>
    <n v="3"/>
    <n v="79"/>
    <s v="Sun Bicycles Boardwalk (24-inch Wheels) - 2017"/>
    <n v="3"/>
    <x v="0"/>
    <n v="1"/>
    <n v="402.99"/>
    <n v="0.2"/>
    <n v="322.392"/>
  </r>
  <r>
    <n v="749"/>
    <n v="4"/>
    <n v="24"/>
    <s v="Electra Townie Original 21D - 2016"/>
    <n v="2"/>
    <x v="3"/>
    <n v="1"/>
    <n v="549.99"/>
    <n v="0.05"/>
    <n v="522.4905"/>
  </r>
  <r>
    <n v="749"/>
    <n v="5"/>
    <n v="40"/>
    <s v="Trek Fuel EX 9.8 29 - 2017"/>
    <n v="6"/>
    <x v="1"/>
    <n v="1"/>
    <n v="4999.99"/>
    <n v="7.0000000000000007E-2"/>
    <n v="4649.9906999999994"/>
  </r>
  <r>
    <n v="750"/>
    <n v="1"/>
    <n v="72"/>
    <s v="Sun Bicycles Biscayne Tandem 7 - 2017"/>
    <n v="3"/>
    <x v="0"/>
    <n v="1"/>
    <n v="619.99"/>
    <n v="0.05"/>
    <n v="588.9905"/>
  </r>
  <r>
    <n v="750"/>
    <n v="2"/>
    <n v="78"/>
    <s v="Sun Bicycles Biscayne Tandem CB - 2017"/>
    <n v="3"/>
    <x v="0"/>
    <n v="2"/>
    <n v="647.99"/>
    <n v="0.1"/>
    <n v="1166.3820000000001"/>
  </r>
  <r>
    <n v="751"/>
    <n v="1"/>
    <n v="45"/>
    <s v="Haro SR 1.2 - 2017"/>
    <n v="6"/>
    <x v="1"/>
    <n v="2"/>
    <n v="869.99"/>
    <n v="0.05"/>
    <n v="1652.981"/>
  </r>
  <r>
    <n v="752"/>
    <n v="1"/>
    <n v="12"/>
    <s v="Electra Townie Original 21D - 2016"/>
    <n v="3"/>
    <x v="0"/>
    <n v="2"/>
    <n v="549.99"/>
    <n v="0.05"/>
    <n v="1044.981"/>
  </r>
  <r>
    <n v="752"/>
    <n v="2"/>
    <n v="31"/>
    <s v="Surly Wednesday - 2017"/>
    <n v="6"/>
    <x v="1"/>
    <n v="2"/>
    <n v="1632.99"/>
    <n v="0.05"/>
    <n v="3102.681"/>
  </r>
  <r>
    <n v="753"/>
    <n v="1"/>
    <n v="105"/>
    <s v="Sun Bicycles Streamway 7 - 2017"/>
    <n v="2"/>
    <x v="3"/>
    <n v="2"/>
    <n v="533.99"/>
    <n v="7.0000000000000007E-2"/>
    <n v="993.22140000000002"/>
  </r>
  <r>
    <n v="753"/>
    <n v="2"/>
    <n v="7"/>
    <s v="Trek Slash 8 27.5 - 2016"/>
    <n v="6"/>
    <x v="1"/>
    <n v="2"/>
    <n v="3999.99"/>
    <n v="0.2"/>
    <n v="6399.9839999999995"/>
  </r>
  <r>
    <n v="753"/>
    <n v="3"/>
    <n v="36"/>
    <s v="Surly Troll Frameset - 2017"/>
    <n v="6"/>
    <x v="1"/>
    <n v="2"/>
    <n v="832.99"/>
    <n v="0.1"/>
    <n v="1499.3820000000001"/>
  </r>
  <r>
    <n v="753"/>
    <n v="4"/>
    <n v="95"/>
    <s v="Electra Girl's Hawaii 1 16&quot; - 2017"/>
    <n v="1"/>
    <x v="5"/>
    <n v="1"/>
    <n v="299.99"/>
    <n v="7.0000000000000007E-2"/>
    <n v="278.9907"/>
  </r>
  <r>
    <n v="753"/>
    <n v="5"/>
    <n v="66"/>
    <s v="Sun Bicycles Revolutions 24 - 2017"/>
    <n v="3"/>
    <x v="0"/>
    <n v="1"/>
    <n v="250.99"/>
    <n v="0.2"/>
    <n v="200.792"/>
  </r>
  <r>
    <n v="754"/>
    <n v="1"/>
    <n v="74"/>
    <s v="Electra Cruiser Lux 1 - 2017"/>
    <n v="3"/>
    <x v="0"/>
    <n v="2"/>
    <n v="439.99"/>
    <n v="7.0000000000000007E-2"/>
    <n v="818.38139999999999"/>
  </r>
  <r>
    <n v="754"/>
    <n v="2"/>
    <n v="12"/>
    <s v="Electra Townie Original 21D - 2016"/>
    <n v="3"/>
    <x v="0"/>
    <n v="2"/>
    <n v="549.99"/>
    <n v="7.0000000000000007E-2"/>
    <n v="1022.9814"/>
  </r>
  <r>
    <n v="754"/>
    <n v="3"/>
    <n v="3"/>
    <s v="Surly Wednesday Frameset - 2016"/>
    <n v="6"/>
    <x v="1"/>
    <n v="1"/>
    <n v="999.99"/>
    <n v="0.05"/>
    <n v="949.9905"/>
  </r>
  <r>
    <n v="754"/>
    <n v="4"/>
    <n v="67"/>
    <s v="Sun Bicycles Revolutions 24 - Girl's - 2017"/>
    <n v="3"/>
    <x v="0"/>
    <n v="2"/>
    <n v="250.99"/>
    <n v="0.05"/>
    <n v="476.88100000000003"/>
  </r>
  <r>
    <n v="754"/>
    <n v="5"/>
    <n v="7"/>
    <s v="Trek Slash 8 27.5 - 2016"/>
    <n v="6"/>
    <x v="1"/>
    <n v="1"/>
    <n v="3999.99"/>
    <n v="0.2"/>
    <n v="3199.9919999999997"/>
  </r>
  <r>
    <n v="755"/>
    <n v="1"/>
    <n v="80"/>
    <s v="Sun Bicycles Brickell Tandem CB - 2017"/>
    <n v="3"/>
    <x v="0"/>
    <n v="2"/>
    <n v="761.99"/>
    <n v="7.0000000000000007E-2"/>
    <n v="1417.3014000000001"/>
  </r>
  <r>
    <n v="755"/>
    <n v="2"/>
    <n v="43"/>
    <s v="Trek Fuel EX 9.8 27.5 Plus - 2017"/>
    <n v="6"/>
    <x v="1"/>
    <n v="2"/>
    <n v="5299.99"/>
    <n v="0.05"/>
    <n v="10069.981"/>
  </r>
  <r>
    <n v="755"/>
    <n v="3"/>
    <n v="57"/>
    <s v="Trek Emonda S 5 - 2017"/>
    <n v="7"/>
    <x v="6"/>
    <n v="2"/>
    <n v="1999.99"/>
    <n v="0.1"/>
    <n v="3599.982"/>
  </r>
  <r>
    <n v="756"/>
    <n v="1"/>
    <n v="64"/>
    <s v="Electra Townie Original 7D - 2017"/>
    <n v="3"/>
    <x v="0"/>
    <n v="1"/>
    <n v="489.99"/>
    <n v="0.1"/>
    <n v="440.99099999999999"/>
  </r>
  <r>
    <n v="756"/>
    <n v="2"/>
    <n v="17"/>
    <s v="Pure Cycles Vine 8-Speed - 2016"/>
    <n v="3"/>
    <x v="0"/>
    <n v="2"/>
    <n v="429"/>
    <n v="0.05"/>
    <n v="815.1"/>
  </r>
  <r>
    <n v="757"/>
    <n v="1"/>
    <n v="95"/>
    <s v="Electra Girl's Hawaii 1 16&quot; - 2017"/>
    <n v="1"/>
    <x v="5"/>
    <n v="1"/>
    <n v="299.99"/>
    <n v="0.1"/>
    <n v="269.99099999999999"/>
  </r>
  <r>
    <n v="758"/>
    <n v="1"/>
    <n v="22"/>
    <s v="Electra Girl's Hawaii 1 (16-inch) - 2015/2016"/>
    <n v="1"/>
    <x v="5"/>
    <n v="2"/>
    <n v="269.99"/>
    <n v="7.0000000000000007E-2"/>
    <n v="502.1814"/>
  </r>
  <r>
    <n v="758"/>
    <n v="2"/>
    <n v="99"/>
    <s v="Electra Sugar Skulls 1 (20-inch) - Girl's - 2017"/>
    <n v="1"/>
    <x v="5"/>
    <n v="1"/>
    <n v="299.99"/>
    <n v="0.1"/>
    <n v="269.99099999999999"/>
  </r>
  <r>
    <n v="758"/>
    <n v="3"/>
    <n v="27"/>
    <s v="Surly Big Dummy Frameset - 2017"/>
    <n v="6"/>
    <x v="1"/>
    <n v="1"/>
    <n v="999.99"/>
    <n v="7.0000000000000007E-2"/>
    <n v="929.99070000000006"/>
  </r>
  <r>
    <n v="758"/>
    <n v="4"/>
    <n v="65"/>
    <s v="Sun Bicycles Lil Bolt Type-R - 2017"/>
    <n v="3"/>
    <x v="0"/>
    <n v="2"/>
    <n v="346.99"/>
    <n v="7.0000000000000007E-2"/>
    <n v="645.40139999999997"/>
  </r>
  <r>
    <n v="758"/>
    <n v="5"/>
    <n v="109"/>
    <s v="Sun Bicycles Cruz 7 - Women's - 2017"/>
    <n v="2"/>
    <x v="3"/>
    <n v="1"/>
    <n v="416.99"/>
    <n v="0.2"/>
    <n v="333.59199999999998"/>
  </r>
  <r>
    <n v="759"/>
    <n v="1"/>
    <n v="93"/>
    <s v="Haro Shredder 20 Girls - 2017"/>
    <n v="1"/>
    <x v="5"/>
    <n v="2"/>
    <n v="209.99"/>
    <n v="0.05"/>
    <n v="398.98099999999999"/>
  </r>
  <r>
    <n v="759"/>
    <n v="2"/>
    <n v="78"/>
    <s v="Sun Bicycles Biscayne Tandem CB - 2017"/>
    <n v="3"/>
    <x v="0"/>
    <n v="1"/>
    <n v="647.99"/>
    <n v="7.0000000000000007E-2"/>
    <n v="602.63070000000005"/>
  </r>
  <r>
    <n v="760"/>
    <n v="1"/>
    <n v="21"/>
    <s v="Electra Cruiser 1 (24-Inch) - 2016"/>
    <n v="1"/>
    <x v="5"/>
    <n v="2"/>
    <n v="269.99"/>
    <n v="7.0000000000000007E-2"/>
    <n v="502.1814"/>
  </r>
  <r>
    <n v="760"/>
    <n v="2"/>
    <n v="29"/>
    <s v="Trek X-Caliber 8 - 2017"/>
    <n v="6"/>
    <x v="1"/>
    <n v="2"/>
    <n v="999.99"/>
    <n v="7.0000000000000007E-2"/>
    <n v="1859.9814000000001"/>
  </r>
  <r>
    <n v="761"/>
    <n v="1"/>
    <n v="43"/>
    <s v="Trek Fuel EX 9.8 27.5 Plus - 2017"/>
    <n v="6"/>
    <x v="1"/>
    <n v="1"/>
    <n v="5299.99"/>
    <n v="7.0000000000000007E-2"/>
    <n v="4928.9906999999994"/>
  </r>
  <r>
    <n v="761"/>
    <n v="2"/>
    <n v="52"/>
    <s v="Surly Steamroller - 2017"/>
    <n v="7"/>
    <x v="6"/>
    <n v="2"/>
    <n v="875.99"/>
    <n v="0.2"/>
    <n v="1401.5840000000001"/>
  </r>
  <r>
    <n v="762"/>
    <n v="1"/>
    <n v="102"/>
    <s v="Electra Townie Original 7D - 2017"/>
    <n v="2"/>
    <x v="3"/>
    <n v="2"/>
    <n v="489.99"/>
    <n v="0.05"/>
    <n v="930.98099999999999"/>
  </r>
  <r>
    <n v="763"/>
    <n v="1"/>
    <n v="90"/>
    <s v="Trek Precaliber 16 Girls - 2017"/>
    <n v="1"/>
    <x v="5"/>
    <n v="1"/>
    <n v="209.99"/>
    <n v="7.0000000000000007E-2"/>
    <n v="195.29070000000002"/>
  </r>
  <r>
    <n v="763"/>
    <n v="2"/>
    <n v="103"/>
    <s v="Sun Bicycles Streamway 3 - 2017"/>
    <n v="2"/>
    <x v="3"/>
    <n v="1"/>
    <n v="551.99"/>
    <n v="0.1"/>
    <n v="496.791"/>
  </r>
  <r>
    <n v="764"/>
    <n v="1"/>
    <n v="55"/>
    <s v="Trek Domane S 6 - 2017"/>
    <n v="7"/>
    <x v="6"/>
    <n v="1"/>
    <n v="2699.99"/>
    <n v="7.0000000000000007E-2"/>
    <n v="2510.9906999999998"/>
  </r>
  <r>
    <n v="764"/>
    <n v="2"/>
    <n v="95"/>
    <s v="Electra Girl's Hawaii 1 16&quot; - 2017"/>
    <n v="1"/>
    <x v="5"/>
    <n v="2"/>
    <n v="299.99"/>
    <n v="0.05"/>
    <n v="569.98099999999999"/>
  </r>
  <r>
    <n v="764"/>
    <n v="3"/>
    <n v="81"/>
    <s v="Electra Amsterdam Fashion 7i Ladies' - 2017"/>
    <n v="3"/>
    <x v="0"/>
    <n v="2"/>
    <n v="1099.99"/>
    <n v="7.0000000000000007E-2"/>
    <n v="2045.9814000000001"/>
  </r>
  <r>
    <n v="765"/>
    <n v="1"/>
    <n v="28"/>
    <s v="Surly Karate Monkey 27.5+ Frameset - 2017"/>
    <n v="6"/>
    <x v="1"/>
    <n v="2"/>
    <n v="2499.9899999999998"/>
    <n v="0.2"/>
    <n v="3999.9839999999995"/>
  </r>
  <r>
    <n v="765"/>
    <n v="2"/>
    <n v="12"/>
    <s v="Electra Townie Original 21D - 2016"/>
    <n v="3"/>
    <x v="0"/>
    <n v="1"/>
    <n v="549.99"/>
    <n v="7.0000000000000007E-2"/>
    <n v="511.4907"/>
  </r>
  <r>
    <n v="765"/>
    <n v="3"/>
    <n v="25"/>
    <s v="Electra Townie Original 7D - 2015/2016"/>
    <n v="2"/>
    <x v="3"/>
    <n v="1"/>
    <n v="499.99"/>
    <n v="0.2"/>
    <n v="399.99200000000002"/>
  </r>
  <r>
    <n v="765"/>
    <n v="4"/>
    <n v="53"/>
    <s v="Surly Ogre Frameset - 2017"/>
    <n v="7"/>
    <x v="6"/>
    <n v="1"/>
    <n v="749.99"/>
    <n v="0.2"/>
    <n v="599.99199999999996"/>
  </r>
  <r>
    <n v="765"/>
    <n v="5"/>
    <n v="65"/>
    <s v="Sun Bicycles Lil Bolt Type-R - 2017"/>
    <n v="3"/>
    <x v="0"/>
    <n v="1"/>
    <n v="346.99"/>
    <n v="0.05"/>
    <n v="329.64050000000003"/>
  </r>
  <r>
    <n v="766"/>
    <n v="1"/>
    <n v="111"/>
    <s v="Sun Bicycles Drifter 7 - Women's - 2017"/>
    <n v="2"/>
    <x v="3"/>
    <n v="1"/>
    <n v="470.99"/>
    <n v="0.2"/>
    <n v="376.79200000000003"/>
  </r>
  <r>
    <n v="767"/>
    <n v="1"/>
    <n v="63"/>
    <s v="Trek Boone Race Shop Limited - 2017"/>
    <n v="4"/>
    <x v="2"/>
    <n v="1"/>
    <n v="3499.99"/>
    <n v="0.1"/>
    <n v="3149.991"/>
  </r>
  <r>
    <n v="767"/>
    <n v="2"/>
    <n v="29"/>
    <s v="Trek X-Caliber 8 - 2017"/>
    <n v="6"/>
    <x v="1"/>
    <n v="1"/>
    <n v="999.99"/>
    <n v="7.0000000000000007E-2"/>
    <n v="929.99070000000006"/>
  </r>
  <r>
    <n v="767"/>
    <n v="3"/>
    <n v="41"/>
    <s v="Haro Shift R3 - 2017"/>
    <n v="6"/>
    <x v="1"/>
    <n v="2"/>
    <n v="1469.99"/>
    <n v="0.05"/>
    <n v="2792.9810000000002"/>
  </r>
  <r>
    <n v="767"/>
    <n v="4"/>
    <n v="77"/>
    <s v="Electra Glam Punk 3i Ladies' - 2017"/>
    <n v="3"/>
    <x v="0"/>
    <n v="2"/>
    <n v="799.99"/>
    <n v="0.05"/>
    <n v="1519.981"/>
  </r>
  <r>
    <n v="768"/>
    <n v="1"/>
    <n v="31"/>
    <s v="Surly Wednesday - 2017"/>
    <n v="6"/>
    <x v="1"/>
    <n v="1"/>
    <n v="1632.99"/>
    <n v="0.2"/>
    <n v="1306.3920000000001"/>
  </r>
  <r>
    <n v="768"/>
    <n v="2"/>
    <n v="76"/>
    <s v="Electra Girl's Hawaii 1 16&quot; - 2017"/>
    <n v="3"/>
    <x v="0"/>
    <n v="1"/>
    <n v="299.99"/>
    <n v="0.2"/>
    <n v="239.99200000000002"/>
  </r>
  <r>
    <n v="769"/>
    <n v="1"/>
    <n v="8"/>
    <s v="Trek Remedy 29 Carbon Frameset - 2016"/>
    <n v="6"/>
    <x v="1"/>
    <n v="1"/>
    <n v="1799.99"/>
    <n v="0.1"/>
    <n v="1619.991"/>
  </r>
  <r>
    <n v="769"/>
    <n v="2"/>
    <n v="6"/>
    <s v="Surly Ice Cream Truck Frameset - 2016"/>
    <n v="6"/>
    <x v="1"/>
    <n v="2"/>
    <n v="469.99"/>
    <n v="0.05"/>
    <n v="892.98099999999999"/>
  </r>
  <r>
    <n v="769"/>
    <n v="3"/>
    <n v="36"/>
    <s v="Surly Troll Frameset - 2017"/>
    <n v="6"/>
    <x v="1"/>
    <n v="2"/>
    <n v="832.99"/>
    <n v="7.0000000000000007E-2"/>
    <n v="1549.3614"/>
  </r>
  <r>
    <n v="770"/>
    <n v="1"/>
    <n v="110"/>
    <s v="Sun Bicycles Drifter 7 - 2017"/>
    <n v="2"/>
    <x v="3"/>
    <n v="1"/>
    <n v="470.99"/>
    <n v="0.05"/>
    <n v="447.44049999999999"/>
  </r>
  <r>
    <n v="770"/>
    <n v="2"/>
    <n v="42"/>
    <s v="Trek Fuel EX 5 27.5 Plus - 2017"/>
    <n v="6"/>
    <x v="1"/>
    <n v="1"/>
    <n v="2299.9899999999998"/>
    <n v="0.2"/>
    <n v="1839.9919999999997"/>
  </r>
  <r>
    <n v="770"/>
    <n v="3"/>
    <n v="103"/>
    <s v="Sun Bicycles Streamway 3 - 2017"/>
    <n v="2"/>
    <x v="3"/>
    <n v="1"/>
    <n v="551.99"/>
    <n v="0.2"/>
    <n v="441.59199999999998"/>
  </r>
  <r>
    <n v="770"/>
    <n v="4"/>
    <n v="11"/>
    <s v="Surly Straggler 650b - 2016"/>
    <n v="4"/>
    <x v="2"/>
    <n v="2"/>
    <n v="1680.99"/>
    <n v="0.05"/>
    <n v="3193.8809999999999"/>
  </r>
  <r>
    <n v="771"/>
    <n v="1"/>
    <n v="13"/>
    <s v="Electra Cruiser 1 (24-Inch) - 2016"/>
    <n v="3"/>
    <x v="0"/>
    <n v="2"/>
    <n v="269.99"/>
    <n v="0.2"/>
    <n v="431.98400000000004"/>
  </r>
  <r>
    <n v="771"/>
    <n v="2"/>
    <n v="88"/>
    <s v="Trek Precaliber 12 Girls - 2017"/>
    <n v="1"/>
    <x v="5"/>
    <n v="1"/>
    <n v="189.99"/>
    <n v="0.2"/>
    <n v="151.99200000000002"/>
  </r>
  <r>
    <n v="772"/>
    <n v="1"/>
    <n v="103"/>
    <s v="Sun Bicycles Streamway 3 - 2017"/>
    <n v="2"/>
    <x v="3"/>
    <n v="1"/>
    <n v="551.99"/>
    <n v="7.0000000000000007E-2"/>
    <n v="513.35069999999996"/>
  </r>
  <r>
    <n v="773"/>
    <n v="1"/>
    <n v="92"/>
    <s v="Haro Shredder 20 - 2017"/>
    <n v="1"/>
    <x v="5"/>
    <n v="1"/>
    <n v="209.99"/>
    <n v="0.1"/>
    <n v="188.99100000000001"/>
  </r>
  <r>
    <n v="773"/>
    <n v="2"/>
    <n v="14"/>
    <s v="Electra Girl's Hawaii 1 (16-inch) - 2015/2016"/>
    <n v="3"/>
    <x v="0"/>
    <n v="1"/>
    <n v="269.99"/>
    <n v="0.05"/>
    <n v="256.4905"/>
  </r>
  <r>
    <n v="773"/>
    <n v="3"/>
    <n v="17"/>
    <s v="Pure Cycles Vine 8-Speed - 2016"/>
    <n v="3"/>
    <x v="0"/>
    <n v="2"/>
    <n v="429"/>
    <n v="0.2"/>
    <n v="686.4"/>
  </r>
  <r>
    <n v="773"/>
    <n v="4"/>
    <n v="33"/>
    <s v="Surly Wednesday Frameset - 2017"/>
    <n v="6"/>
    <x v="1"/>
    <n v="2"/>
    <n v="469.99"/>
    <n v="7.0000000000000007E-2"/>
    <n v="874.18140000000005"/>
  </r>
  <r>
    <n v="774"/>
    <n v="1"/>
    <n v="65"/>
    <s v="Sun Bicycles Lil Bolt Type-R - 2017"/>
    <n v="3"/>
    <x v="0"/>
    <n v="1"/>
    <n v="346.99"/>
    <n v="0.05"/>
    <n v="329.64050000000003"/>
  </r>
  <r>
    <n v="774"/>
    <n v="2"/>
    <n v="36"/>
    <s v="Surly Troll Frameset - 2017"/>
    <n v="6"/>
    <x v="1"/>
    <n v="2"/>
    <n v="832.99"/>
    <n v="0.05"/>
    <n v="1582.681"/>
  </r>
  <r>
    <n v="774"/>
    <n v="3"/>
    <n v="20"/>
    <s v="Electra Townie Original 7D EQ - Women's - 2016"/>
    <n v="3"/>
    <x v="0"/>
    <n v="1"/>
    <n v="599.99"/>
    <n v="0.2"/>
    <n v="479.99200000000002"/>
  </r>
  <r>
    <n v="774"/>
    <n v="4"/>
    <n v="73"/>
    <s v="Sun Bicycles Brickell Tandem 7 - 2017"/>
    <n v="3"/>
    <x v="0"/>
    <n v="1"/>
    <n v="749.99"/>
    <n v="0.05"/>
    <n v="712.4905"/>
  </r>
  <r>
    <n v="774"/>
    <n v="5"/>
    <n v="58"/>
    <s v="Trek Madone 9.2 - 2017"/>
    <n v="7"/>
    <x v="6"/>
    <n v="2"/>
    <n v="4999.99"/>
    <n v="0.1"/>
    <n v="8999.982"/>
  </r>
  <r>
    <n v="775"/>
    <n v="1"/>
    <n v="39"/>
    <s v="Trek Stache 5 - 2017"/>
    <n v="6"/>
    <x v="1"/>
    <n v="1"/>
    <n v="1499.99"/>
    <n v="7.0000000000000007E-2"/>
    <n v="1394.9907000000001"/>
  </r>
  <r>
    <n v="776"/>
    <n v="1"/>
    <n v="28"/>
    <s v="Surly Karate Monkey 27.5+ Frameset - 2017"/>
    <n v="6"/>
    <x v="1"/>
    <n v="1"/>
    <n v="2499.9899999999998"/>
    <n v="0.2"/>
    <n v="1999.9919999999997"/>
  </r>
  <r>
    <n v="776"/>
    <n v="2"/>
    <n v="42"/>
    <s v="Trek Fuel EX 5 27.5 Plus - 2017"/>
    <n v="6"/>
    <x v="1"/>
    <n v="2"/>
    <n v="2299.9899999999998"/>
    <n v="0.2"/>
    <n v="3679.9839999999995"/>
  </r>
  <r>
    <n v="776"/>
    <n v="3"/>
    <n v="71"/>
    <s v="Sun Bicycles Atlas X-Type - 2017"/>
    <n v="3"/>
    <x v="0"/>
    <n v="1"/>
    <n v="416.99"/>
    <n v="0.1"/>
    <n v="375.291"/>
  </r>
  <r>
    <n v="776"/>
    <n v="4"/>
    <n v="35"/>
    <s v="Sun Bicycles Spider 3i - 2017"/>
    <n v="6"/>
    <x v="1"/>
    <n v="1"/>
    <n v="832.99"/>
    <n v="0.1"/>
    <n v="749.69100000000003"/>
  </r>
  <r>
    <n v="777"/>
    <n v="1"/>
    <n v="5"/>
    <s v="Heller Shagamaw Frame - 2016"/>
    <n v="6"/>
    <x v="1"/>
    <n v="1"/>
    <n v="1320.99"/>
    <n v="0.2"/>
    <n v="1056.7919999999999"/>
  </r>
  <r>
    <n v="777"/>
    <n v="2"/>
    <n v="7"/>
    <s v="Trek Slash 8 27.5 - 2016"/>
    <n v="6"/>
    <x v="1"/>
    <n v="2"/>
    <n v="3999.99"/>
    <n v="0.2"/>
    <n v="6399.9839999999995"/>
  </r>
  <r>
    <n v="777"/>
    <n v="3"/>
    <n v="2"/>
    <s v="Ritchey Timberwolf Frameset - 2016"/>
    <n v="6"/>
    <x v="1"/>
    <n v="1"/>
    <n v="749.99"/>
    <n v="0.2"/>
    <n v="599.99199999999996"/>
  </r>
  <r>
    <n v="778"/>
    <n v="1"/>
    <n v="64"/>
    <s v="Electra Townie Original 7D - 2017"/>
    <n v="3"/>
    <x v="0"/>
    <n v="1"/>
    <n v="489.99"/>
    <n v="0.1"/>
    <n v="440.99099999999999"/>
  </r>
  <r>
    <n v="778"/>
    <n v="2"/>
    <n v="85"/>
    <s v="Haro Downtown 16 - 2017"/>
    <n v="1"/>
    <x v="5"/>
    <n v="1"/>
    <n v="329.99"/>
    <n v="0.05"/>
    <n v="313.4905"/>
  </r>
  <r>
    <n v="779"/>
    <n v="1"/>
    <n v="101"/>
    <s v="Electra Townie 7D (20-inch) - Boys' - 2017"/>
    <n v="1"/>
    <x v="5"/>
    <n v="1"/>
    <n v="339.99"/>
    <n v="0.05"/>
    <n v="322.9905"/>
  </r>
  <r>
    <n v="779"/>
    <n v="2"/>
    <n v="90"/>
    <s v="Trek Precaliber 16 Girls - 2017"/>
    <n v="1"/>
    <x v="5"/>
    <n v="2"/>
    <n v="209.99"/>
    <n v="0.2"/>
    <n v="335.98400000000004"/>
  </r>
  <r>
    <n v="779"/>
    <n v="3"/>
    <n v="47"/>
    <s v="Trek Remedy 9.8 - 2017"/>
    <n v="6"/>
    <x v="1"/>
    <n v="1"/>
    <n v="5299.99"/>
    <n v="0.2"/>
    <n v="4239.9920000000002"/>
  </r>
  <r>
    <n v="779"/>
    <n v="4"/>
    <n v="8"/>
    <s v="Trek Remedy 29 Carbon Frameset - 2016"/>
    <n v="6"/>
    <x v="1"/>
    <n v="1"/>
    <n v="1799.99"/>
    <n v="0.2"/>
    <n v="1439.992"/>
  </r>
  <r>
    <n v="779"/>
    <n v="5"/>
    <n v="85"/>
    <s v="Haro Downtown 16 - 2017"/>
    <n v="1"/>
    <x v="5"/>
    <n v="1"/>
    <n v="329.99"/>
    <n v="0.2"/>
    <n v="263.99200000000002"/>
  </r>
  <r>
    <n v="780"/>
    <n v="1"/>
    <n v="32"/>
    <s v="Trek Farley Alloy Frameset - 2017"/>
    <n v="6"/>
    <x v="1"/>
    <n v="1"/>
    <n v="469.99"/>
    <n v="0.1"/>
    <n v="422.99099999999999"/>
  </r>
  <r>
    <n v="781"/>
    <n v="1"/>
    <n v="109"/>
    <s v="Sun Bicycles Cruz 7 - Women's - 2017"/>
    <n v="2"/>
    <x v="3"/>
    <n v="2"/>
    <n v="416.99"/>
    <n v="0.05"/>
    <n v="792.28100000000006"/>
  </r>
  <r>
    <n v="781"/>
    <n v="2"/>
    <n v="7"/>
    <s v="Trek Slash 8 27.5 - 2016"/>
    <n v="6"/>
    <x v="1"/>
    <n v="2"/>
    <n v="3999.99"/>
    <n v="0.2"/>
    <n v="6399.9839999999995"/>
  </r>
  <r>
    <n v="781"/>
    <n v="3"/>
    <n v="57"/>
    <s v="Trek Emonda S 5 - 2017"/>
    <n v="7"/>
    <x v="6"/>
    <n v="2"/>
    <n v="1999.99"/>
    <n v="0.1"/>
    <n v="3599.982"/>
  </r>
  <r>
    <n v="782"/>
    <n v="1"/>
    <n v="20"/>
    <s v="Electra Townie Original 7D EQ - Women's - 2016"/>
    <n v="3"/>
    <x v="0"/>
    <n v="2"/>
    <n v="599.99"/>
    <n v="7.0000000000000007E-2"/>
    <n v="1115.9814000000001"/>
  </r>
  <r>
    <n v="782"/>
    <n v="2"/>
    <n v="57"/>
    <s v="Trek Emonda S 5 - 2017"/>
    <n v="7"/>
    <x v="6"/>
    <n v="1"/>
    <n v="1999.99"/>
    <n v="7.0000000000000007E-2"/>
    <n v="1859.9907000000001"/>
  </r>
  <r>
    <n v="782"/>
    <n v="3"/>
    <n v="99"/>
    <s v="Electra Sugar Skulls 1 (20-inch) - Girl's - 2017"/>
    <n v="1"/>
    <x v="5"/>
    <n v="1"/>
    <n v="299.99"/>
    <n v="7.0000000000000007E-2"/>
    <n v="278.9907"/>
  </r>
  <r>
    <n v="782"/>
    <n v="4"/>
    <n v="16"/>
    <s v="Electra Townie Original 7D EQ - 2016"/>
    <n v="3"/>
    <x v="0"/>
    <n v="2"/>
    <n v="599.99"/>
    <n v="0.2"/>
    <n v="959.98400000000004"/>
  </r>
  <r>
    <n v="783"/>
    <n v="1"/>
    <n v="92"/>
    <s v="Haro Shredder 20 - 2017"/>
    <n v="1"/>
    <x v="5"/>
    <n v="1"/>
    <n v="209.99"/>
    <n v="0.2"/>
    <n v="167.99200000000002"/>
  </r>
  <r>
    <n v="783"/>
    <n v="2"/>
    <n v="22"/>
    <s v="Electra Girl's Hawaii 1 (16-inch) - 2015/2016"/>
    <n v="1"/>
    <x v="5"/>
    <n v="2"/>
    <n v="269.99"/>
    <n v="0.05"/>
    <n v="512.98099999999999"/>
  </r>
  <r>
    <n v="783"/>
    <n v="3"/>
    <n v="94"/>
    <s v="Haro Shredder Pro 20 - 2017"/>
    <n v="1"/>
    <x v="5"/>
    <n v="1"/>
    <n v="249.99"/>
    <n v="0.05"/>
    <n v="237.4905"/>
  </r>
  <r>
    <n v="783"/>
    <n v="4"/>
    <n v="29"/>
    <s v="Trek X-Caliber 8 - 2017"/>
    <n v="6"/>
    <x v="1"/>
    <n v="1"/>
    <n v="999.99"/>
    <n v="0.1"/>
    <n v="899.99099999999999"/>
  </r>
  <r>
    <n v="784"/>
    <n v="1"/>
    <n v="22"/>
    <s v="Electra Girl's Hawaii 1 (16-inch) - 2015/2016"/>
    <n v="1"/>
    <x v="5"/>
    <n v="1"/>
    <n v="269.99"/>
    <n v="7.0000000000000007E-2"/>
    <n v="251.0907"/>
  </r>
  <r>
    <n v="784"/>
    <n v="2"/>
    <n v="72"/>
    <s v="Sun Bicycles Biscayne Tandem 7 - 2017"/>
    <n v="3"/>
    <x v="0"/>
    <n v="2"/>
    <n v="619.99"/>
    <n v="0.1"/>
    <n v="1115.982"/>
  </r>
  <r>
    <n v="784"/>
    <n v="3"/>
    <n v="16"/>
    <s v="Electra Townie Original 7D EQ - 2016"/>
    <n v="3"/>
    <x v="0"/>
    <n v="1"/>
    <n v="599.99"/>
    <n v="0.2"/>
    <n v="479.99200000000002"/>
  </r>
  <r>
    <n v="785"/>
    <n v="1"/>
    <n v="59"/>
    <s v="Trek Domane S 5 Disc - 2017"/>
    <n v="7"/>
    <x v="6"/>
    <n v="2"/>
    <n v="2599.9899999999998"/>
    <n v="0.2"/>
    <n v="4159.9839999999995"/>
  </r>
  <r>
    <n v="785"/>
    <n v="2"/>
    <n v="40"/>
    <s v="Trek Fuel EX 9.8 29 - 2017"/>
    <n v="6"/>
    <x v="1"/>
    <n v="1"/>
    <n v="4999.99"/>
    <n v="7.0000000000000007E-2"/>
    <n v="4649.9906999999994"/>
  </r>
  <r>
    <n v="785"/>
    <n v="3"/>
    <n v="25"/>
    <s v="Electra Townie Original 7D - 2015/2016"/>
    <n v="2"/>
    <x v="3"/>
    <n v="1"/>
    <n v="499.99"/>
    <n v="7.0000000000000007E-2"/>
    <n v="464.9907"/>
  </r>
  <r>
    <n v="786"/>
    <n v="1"/>
    <n v="80"/>
    <s v="Sun Bicycles Brickell Tandem CB - 2017"/>
    <n v="3"/>
    <x v="0"/>
    <n v="1"/>
    <n v="761.99"/>
    <n v="0.05"/>
    <n v="723.89049999999997"/>
  </r>
  <r>
    <n v="787"/>
    <n v="1"/>
    <n v="51"/>
    <s v="Trek Silque SLR 8 Women's - 2017"/>
    <n v="7"/>
    <x v="6"/>
    <n v="2"/>
    <n v="6499.99"/>
    <n v="7.0000000000000007E-2"/>
    <n v="12089.981399999999"/>
  </r>
  <r>
    <n v="787"/>
    <n v="2"/>
    <n v="66"/>
    <s v="Sun Bicycles Revolutions 24 - 2017"/>
    <n v="3"/>
    <x v="0"/>
    <n v="2"/>
    <n v="250.99"/>
    <n v="0.1"/>
    <n v="451.78200000000004"/>
  </r>
  <r>
    <n v="788"/>
    <n v="1"/>
    <n v="48"/>
    <s v="Trek Emonda S 4 - 2017"/>
    <n v="7"/>
    <x v="6"/>
    <n v="1"/>
    <n v="1499.99"/>
    <n v="0.2"/>
    <n v="1199.992"/>
  </r>
  <r>
    <n v="788"/>
    <n v="2"/>
    <n v="19"/>
    <s v="Pure Cycles William 3-Speed - 2016"/>
    <n v="3"/>
    <x v="0"/>
    <n v="1"/>
    <n v="449"/>
    <n v="0.1"/>
    <n v="404.1"/>
  </r>
  <r>
    <n v="788"/>
    <n v="3"/>
    <n v="13"/>
    <s v="Electra Cruiser 1 (24-Inch) - 2016"/>
    <n v="3"/>
    <x v="0"/>
    <n v="1"/>
    <n v="269.99"/>
    <n v="0.05"/>
    <n v="256.4905"/>
  </r>
  <r>
    <n v="789"/>
    <n v="1"/>
    <n v="100"/>
    <s v="Electra Townie 3i EQ (20-inch) - Boys' - 2017"/>
    <n v="1"/>
    <x v="5"/>
    <n v="2"/>
    <n v="489.99"/>
    <n v="0.2"/>
    <n v="783.98400000000004"/>
  </r>
  <r>
    <n v="789"/>
    <n v="2"/>
    <n v="93"/>
    <s v="Haro Shredder 20 Girls - 2017"/>
    <n v="1"/>
    <x v="5"/>
    <n v="2"/>
    <n v="209.99"/>
    <n v="7.0000000000000007E-2"/>
    <n v="390.58140000000003"/>
  </r>
  <r>
    <n v="790"/>
    <n v="1"/>
    <n v="62"/>
    <s v="Trek Boone 7 - 2017"/>
    <n v="4"/>
    <x v="2"/>
    <n v="2"/>
    <n v="3499.99"/>
    <n v="7.0000000000000007E-2"/>
    <n v="6509.9813999999997"/>
  </r>
  <r>
    <n v="790"/>
    <n v="2"/>
    <n v="91"/>
    <s v="Trek Precaliber 24 (21-Speed) - Girls - 2017"/>
    <n v="1"/>
    <x v="5"/>
    <n v="1"/>
    <n v="349.99"/>
    <n v="0.1"/>
    <n v="314.99099999999999"/>
  </r>
  <r>
    <n v="791"/>
    <n v="1"/>
    <n v="54"/>
    <s v="Trek Domane SL Disc Frameset - 2017"/>
    <n v="7"/>
    <x v="6"/>
    <n v="1"/>
    <n v="3199.99"/>
    <n v="0.2"/>
    <n v="2559.9919999999997"/>
  </r>
  <r>
    <n v="791"/>
    <n v="2"/>
    <n v="25"/>
    <s v="Electra Townie Original 7D - 2015/2016"/>
    <n v="2"/>
    <x v="3"/>
    <n v="2"/>
    <n v="499.99"/>
    <n v="7.0000000000000007E-2"/>
    <n v="929.98140000000001"/>
  </r>
  <r>
    <n v="792"/>
    <n v="1"/>
    <n v="16"/>
    <s v="Electra Townie Original 7D EQ - 2016"/>
    <n v="3"/>
    <x v="0"/>
    <n v="2"/>
    <n v="599.99"/>
    <n v="0.2"/>
    <n v="959.98400000000004"/>
  </r>
  <r>
    <n v="792"/>
    <n v="2"/>
    <n v="39"/>
    <s v="Trek Stache 5 - 2017"/>
    <n v="6"/>
    <x v="1"/>
    <n v="1"/>
    <n v="1499.99"/>
    <n v="0.2"/>
    <n v="1199.992"/>
  </r>
  <r>
    <n v="792"/>
    <n v="3"/>
    <n v="56"/>
    <s v="Trek Domane SLR 6 Disc - 2017"/>
    <n v="7"/>
    <x v="6"/>
    <n v="1"/>
    <n v="5499.99"/>
    <n v="0.2"/>
    <n v="4399.9920000000002"/>
  </r>
  <r>
    <n v="792"/>
    <n v="4"/>
    <n v="30"/>
    <s v="Surly Ice Cream Truck Frameset - 2017"/>
    <n v="6"/>
    <x v="1"/>
    <n v="1"/>
    <n v="999.99"/>
    <n v="0.05"/>
    <n v="949.9905"/>
  </r>
  <r>
    <n v="792"/>
    <n v="5"/>
    <n v="2"/>
    <s v="Ritchey Timberwolf Frameset - 2016"/>
    <n v="6"/>
    <x v="1"/>
    <n v="1"/>
    <n v="749.99"/>
    <n v="0.2"/>
    <n v="599.99199999999996"/>
  </r>
  <r>
    <n v="793"/>
    <n v="1"/>
    <n v="60"/>
    <s v="Sun Bicycles ElectroLite - 2017"/>
    <n v="5"/>
    <x v="4"/>
    <n v="1"/>
    <n v="1559.99"/>
    <n v="0.05"/>
    <n v="1481.9904999999999"/>
  </r>
  <r>
    <n v="793"/>
    <n v="2"/>
    <n v="95"/>
    <s v="Electra Girl's Hawaii 1 16&quot; - 2017"/>
    <n v="1"/>
    <x v="5"/>
    <n v="2"/>
    <n v="299.99"/>
    <n v="0.05"/>
    <n v="569.98099999999999"/>
  </r>
  <r>
    <n v="793"/>
    <n v="3"/>
    <n v="75"/>
    <s v="Electra Cruiser Lux Fat Tire 1 Ladies - 2017"/>
    <n v="3"/>
    <x v="0"/>
    <n v="2"/>
    <n v="599.99"/>
    <n v="0.05"/>
    <n v="1139.981"/>
  </r>
  <r>
    <n v="794"/>
    <n v="1"/>
    <n v="41"/>
    <s v="Haro Shift R3 - 2017"/>
    <n v="6"/>
    <x v="1"/>
    <n v="2"/>
    <n v="1469.99"/>
    <n v="0.05"/>
    <n v="2792.9810000000002"/>
  </r>
  <r>
    <n v="794"/>
    <n v="2"/>
    <n v="68"/>
    <s v="Sun Bicycles Cruz 3 - 2017"/>
    <n v="3"/>
    <x v="0"/>
    <n v="1"/>
    <n v="449.99"/>
    <n v="0.2"/>
    <n v="359.99200000000002"/>
  </r>
  <r>
    <n v="794"/>
    <n v="3"/>
    <n v="17"/>
    <s v="Pure Cycles Vine 8-Speed - 2016"/>
    <n v="3"/>
    <x v="0"/>
    <n v="1"/>
    <n v="429"/>
    <n v="7.0000000000000007E-2"/>
    <n v="398.97"/>
  </r>
  <r>
    <n v="794"/>
    <n v="4"/>
    <n v="28"/>
    <s v="Surly Karate Monkey 27.5+ Frameset - 2017"/>
    <n v="6"/>
    <x v="1"/>
    <n v="1"/>
    <n v="2499.9899999999998"/>
    <n v="0.1"/>
    <n v="2249.991"/>
  </r>
  <r>
    <n v="795"/>
    <n v="1"/>
    <n v="95"/>
    <s v="Electra Girl's Hawaii 1 16&quot; - 2017"/>
    <n v="1"/>
    <x v="5"/>
    <n v="2"/>
    <n v="299.99"/>
    <n v="0.05"/>
    <n v="569.98099999999999"/>
  </r>
  <r>
    <n v="795"/>
    <n v="2"/>
    <n v="99"/>
    <s v="Electra Sugar Skulls 1 (20-inch) - Girl's - 2017"/>
    <n v="1"/>
    <x v="5"/>
    <n v="2"/>
    <n v="299.99"/>
    <n v="0.05"/>
    <n v="569.98099999999999"/>
  </r>
  <r>
    <n v="796"/>
    <n v="1"/>
    <n v="6"/>
    <s v="Surly Ice Cream Truck Frameset - 2016"/>
    <n v="6"/>
    <x v="1"/>
    <n v="2"/>
    <n v="469.99"/>
    <n v="0.2"/>
    <n v="751.98400000000004"/>
  </r>
  <r>
    <n v="797"/>
    <n v="1"/>
    <n v="11"/>
    <s v="Surly Straggler 650b - 2016"/>
    <n v="4"/>
    <x v="2"/>
    <n v="1"/>
    <n v="1680.99"/>
    <n v="7.0000000000000007E-2"/>
    <n v="1563.3207"/>
  </r>
  <r>
    <n v="797"/>
    <n v="2"/>
    <n v="69"/>
    <s v="Sun Bicycles Cruz 7 - 2017"/>
    <n v="3"/>
    <x v="0"/>
    <n v="1"/>
    <n v="416.99"/>
    <n v="0.05"/>
    <n v="396.14050000000003"/>
  </r>
  <r>
    <n v="797"/>
    <n v="3"/>
    <n v="74"/>
    <s v="Electra Cruiser Lux 1 - 2017"/>
    <n v="3"/>
    <x v="0"/>
    <n v="1"/>
    <n v="439.99"/>
    <n v="0.1"/>
    <n v="395.99099999999999"/>
  </r>
  <r>
    <n v="797"/>
    <n v="4"/>
    <n v="54"/>
    <s v="Trek Domane SL Disc Frameset - 2017"/>
    <n v="7"/>
    <x v="6"/>
    <n v="2"/>
    <n v="3199.99"/>
    <n v="0.05"/>
    <n v="6079.9809999999998"/>
  </r>
  <r>
    <n v="797"/>
    <n v="5"/>
    <n v="62"/>
    <s v="Trek Boone 7 - 2017"/>
    <n v="4"/>
    <x v="2"/>
    <n v="2"/>
    <n v="3499.99"/>
    <n v="0.1"/>
    <n v="6299.982"/>
  </r>
  <r>
    <n v="798"/>
    <n v="1"/>
    <n v="23"/>
    <s v="Electra Girl's Hawaii 1 (20-inch) - 2015/2016"/>
    <n v="1"/>
    <x v="5"/>
    <n v="1"/>
    <n v="299.99"/>
    <n v="0.1"/>
    <n v="269.99099999999999"/>
  </r>
  <r>
    <n v="798"/>
    <n v="2"/>
    <n v="90"/>
    <s v="Trek Precaliber 16 Girls - 2017"/>
    <n v="1"/>
    <x v="5"/>
    <n v="1"/>
    <n v="209.99"/>
    <n v="0.05"/>
    <n v="199.4905"/>
  </r>
  <r>
    <n v="798"/>
    <n v="3"/>
    <n v="91"/>
    <s v="Trek Precaliber 24 (21-Speed) - Girls - 2017"/>
    <n v="1"/>
    <x v="5"/>
    <n v="2"/>
    <n v="349.99"/>
    <n v="7.0000000000000007E-2"/>
    <n v="650.98140000000001"/>
  </r>
  <r>
    <n v="798"/>
    <n v="4"/>
    <n v="42"/>
    <s v="Trek Fuel EX 5 27.5 Plus - 2017"/>
    <n v="6"/>
    <x v="1"/>
    <n v="1"/>
    <n v="2299.9899999999998"/>
    <n v="0.2"/>
    <n v="1839.9919999999997"/>
  </r>
  <r>
    <n v="798"/>
    <n v="5"/>
    <n v="26"/>
    <s v="Electra Townie Original 7D EQ - 2016"/>
    <n v="2"/>
    <x v="3"/>
    <n v="2"/>
    <n v="599.99"/>
    <n v="0.05"/>
    <n v="1139.981"/>
  </r>
  <r>
    <n v="799"/>
    <n v="1"/>
    <n v="5"/>
    <s v="Heller Shagamaw Frame - 2016"/>
    <n v="6"/>
    <x v="1"/>
    <n v="2"/>
    <n v="1320.99"/>
    <n v="0.1"/>
    <n v="2377.7820000000002"/>
  </r>
  <r>
    <n v="799"/>
    <n v="2"/>
    <n v="34"/>
    <s v="Trek Session DH 27.5 Carbon Frameset - 2017"/>
    <n v="6"/>
    <x v="1"/>
    <n v="2"/>
    <n v="469.99"/>
    <n v="0.05"/>
    <n v="892.98099999999999"/>
  </r>
  <r>
    <n v="799"/>
    <n v="3"/>
    <n v="29"/>
    <s v="Trek X-Caliber 8 - 2017"/>
    <n v="6"/>
    <x v="1"/>
    <n v="2"/>
    <n v="999.99"/>
    <n v="7.0000000000000007E-2"/>
    <n v="1859.9814000000001"/>
  </r>
  <r>
    <n v="799"/>
    <n v="4"/>
    <n v="63"/>
    <s v="Trek Boone Race Shop Limited - 2017"/>
    <n v="4"/>
    <x v="2"/>
    <n v="1"/>
    <n v="3499.99"/>
    <n v="0.1"/>
    <n v="3149.991"/>
  </r>
  <r>
    <n v="799"/>
    <n v="5"/>
    <n v="58"/>
    <s v="Trek Madone 9.2 - 2017"/>
    <n v="7"/>
    <x v="6"/>
    <n v="2"/>
    <n v="4999.99"/>
    <n v="7.0000000000000007E-2"/>
    <n v="9299.9813999999988"/>
  </r>
  <r>
    <n v="800"/>
    <n v="1"/>
    <n v="65"/>
    <s v="Sun Bicycles Lil Bolt Type-R - 2017"/>
    <n v="3"/>
    <x v="0"/>
    <n v="2"/>
    <n v="346.99"/>
    <n v="0.1"/>
    <n v="624.58199999999999"/>
  </r>
  <r>
    <n v="800"/>
    <n v="2"/>
    <n v="54"/>
    <s v="Trek Domane SL Disc Frameset - 2017"/>
    <n v="7"/>
    <x v="6"/>
    <n v="1"/>
    <n v="3199.99"/>
    <n v="7.0000000000000007E-2"/>
    <n v="2975.9906999999998"/>
  </r>
  <r>
    <n v="800"/>
    <n v="3"/>
    <n v="6"/>
    <s v="Surly Ice Cream Truck Frameset - 2016"/>
    <n v="6"/>
    <x v="1"/>
    <n v="2"/>
    <n v="469.99"/>
    <n v="0.05"/>
    <n v="892.98099999999999"/>
  </r>
  <r>
    <n v="800"/>
    <n v="4"/>
    <n v="52"/>
    <s v="Surly Steamroller - 2017"/>
    <n v="7"/>
    <x v="6"/>
    <n v="1"/>
    <n v="875.99"/>
    <n v="0.1"/>
    <n v="788.39099999999996"/>
  </r>
  <r>
    <n v="800"/>
    <n v="5"/>
    <n v="95"/>
    <s v="Electra Girl's Hawaii 1 16&quot; - 2017"/>
    <n v="1"/>
    <x v="5"/>
    <n v="2"/>
    <n v="299.99"/>
    <n v="0.05"/>
    <n v="569.98099999999999"/>
  </r>
  <r>
    <n v="801"/>
    <n v="1"/>
    <n v="101"/>
    <s v="Electra Townie 7D (20-inch) - Boys' - 2017"/>
    <n v="1"/>
    <x v="5"/>
    <n v="1"/>
    <n v="339.99"/>
    <n v="7.0000000000000007E-2"/>
    <n v="316.19069999999999"/>
  </r>
  <r>
    <n v="802"/>
    <n v="1"/>
    <n v="30"/>
    <s v="Surly Ice Cream Truck Frameset - 2017"/>
    <n v="6"/>
    <x v="1"/>
    <n v="1"/>
    <n v="999.99"/>
    <n v="0.05"/>
    <n v="949.9905"/>
  </r>
  <r>
    <n v="802"/>
    <n v="2"/>
    <n v="36"/>
    <s v="Surly Troll Frameset - 2017"/>
    <n v="6"/>
    <x v="1"/>
    <n v="2"/>
    <n v="832.99"/>
    <n v="0.2"/>
    <n v="1332.7840000000001"/>
  </r>
  <r>
    <n v="802"/>
    <n v="3"/>
    <n v="40"/>
    <s v="Trek Fuel EX 9.8 29 - 2017"/>
    <n v="6"/>
    <x v="1"/>
    <n v="1"/>
    <n v="4999.99"/>
    <n v="0.1"/>
    <n v="4499.991"/>
  </r>
  <r>
    <n v="802"/>
    <n v="4"/>
    <n v="28"/>
    <s v="Surly Karate Monkey 27.5+ Frameset - 2017"/>
    <n v="6"/>
    <x v="1"/>
    <n v="1"/>
    <n v="2499.9899999999998"/>
    <n v="0.05"/>
    <n v="2374.9904999999999"/>
  </r>
  <r>
    <n v="803"/>
    <n v="1"/>
    <n v="111"/>
    <s v="Sun Bicycles Drifter 7 - Women's - 2017"/>
    <n v="2"/>
    <x v="3"/>
    <n v="1"/>
    <n v="470.99"/>
    <n v="7.0000000000000007E-2"/>
    <n v="438.02070000000003"/>
  </r>
  <r>
    <n v="803"/>
    <n v="2"/>
    <n v="52"/>
    <s v="Surly Steamroller - 2017"/>
    <n v="7"/>
    <x v="6"/>
    <n v="2"/>
    <n v="875.99"/>
    <n v="0.05"/>
    <n v="1664.3810000000001"/>
  </r>
  <r>
    <n v="803"/>
    <n v="3"/>
    <n v="102"/>
    <s v="Electra Townie Original 7D - 2017"/>
    <n v="2"/>
    <x v="3"/>
    <n v="1"/>
    <n v="489.99"/>
    <n v="7.0000000000000007E-2"/>
    <n v="455.69069999999999"/>
  </r>
  <r>
    <n v="803"/>
    <n v="4"/>
    <n v="83"/>
    <s v="Trek Boy's Kickster - 2015/2017"/>
    <n v="1"/>
    <x v="5"/>
    <n v="2"/>
    <n v="149.99"/>
    <n v="0.05"/>
    <n v="284.98099999999999"/>
  </r>
  <r>
    <n v="804"/>
    <n v="1"/>
    <n v="89"/>
    <s v="Trek Precaliber 16 Boys - 2017"/>
    <n v="1"/>
    <x v="5"/>
    <n v="2"/>
    <n v="209.99"/>
    <n v="0.2"/>
    <n v="335.98400000000004"/>
  </r>
  <r>
    <n v="804"/>
    <n v="2"/>
    <n v="53"/>
    <s v="Surly Ogre Frameset - 2017"/>
    <n v="7"/>
    <x v="6"/>
    <n v="1"/>
    <n v="749.99"/>
    <n v="7.0000000000000007E-2"/>
    <n v="697.49070000000006"/>
  </r>
  <r>
    <n v="804"/>
    <n v="3"/>
    <n v="50"/>
    <s v="Trek Silque SLR 7 Women's - 2017"/>
    <n v="7"/>
    <x v="6"/>
    <n v="2"/>
    <n v="5999.99"/>
    <n v="0.05"/>
    <n v="11399.981"/>
  </r>
  <r>
    <n v="805"/>
    <n v="1"/>
    <n v="24"/>
    <s v="Electra Townie Original 21D - 2016"/>
    <n v="2"/>
    <x v="3"/>
    <n v="1"/>
    <n v="549.99"/>
    <n v="0.05"/>
    <n v="522.4905"/>
  </r>
  <r>
    <n v="805"/>
    <n v="2"/>
    <n v="33"/>
    <s v="Surly Wednesday Frameset - 2017"/>
    <n v="6"/>
    <x v="1"/>
    <n v="2"/>
    <n v="469.99"/>
    <n v="0.2"/>
    <n v="751.98400000000004"/>
  </r>
  <r>
    <n v="805"/>
    <n v="3"/>
    <n v="62"/>
    <s v="Trek Boone 7 - 2017"/>
    <n v="4"/>
    <x v="2"/>
    <n v="2"/>
    <n v="3499.99"/>
    <n v="0.2"/>
    <n v="5599.9839999999995"/>
  </r>
  <r>
    <n v="805"/>
    <n v="4"/>
    <n v="32"/>
    <s v="Trek Farley Alloy Frameset - 2017"/>
    <n v="6"/>
    <x v="1"/>
    <n v="1"/>
    <n v="469.99"/>
    <n v="7.0000000000000007E-2"/>
    <n v="437.09070000000003"/>
  </r>
  <r>
    <n v="805"/>
    <n v="5"/>
    <n v="6"/>
    <s v="Surly Ice Cream Truck Frameset - 2016"/>
    <n v="6"/>
    <x v="1"/>
    <n v="2"/>
    <n v="469.99"/>
    <n v="0.05"/>
    <n v="892.98099999999999"/>
  </r>
  <r>
    <n v="806"/>
    <n v="1"/>
    <n v="93"/>
    <s v="Haro Shredder 20 Girls - 2017"/>
    <n v="1"/>
    <x v="5"/>
    <n v="2"/>
    <n v="209.99"/>
    <n v="0.1"/>
    <n v="377.98200000000003"/>
  </r>
  <r>
    <n v="806"/>
    <n v="2"/>
    <n v="97"/>
    <s v="Electra Savannah 3i (20-inch) - Girl's - 2017"/>
    <n v="1"/>
    <x v="5"/>
    <n v="1"/>
    <n v="349.99"/>
    <n v="0.2"/>
    <n v="279.99200000000002"/>
  </r>
  <r>
    <n v="806"/>
    <n v="3"/>
    <n v="77"/>
    <s v="Electra Glam Punk 3i Ladies' - 2017"/>
    <n v="3"/>
    <x v="0"/>
    <n v="2"/>
    <n v="799.99"/>
    <n v="0.1"/>
    <n v="1439.982"/>
  </r>
  <r>
    <n v="806"/>
    <n v="4"/>
    <n v="82"/>
    <s v="Electra Amsterdam Original 3i Ladies' - 2017"/>
    <n v="3"/>
    <x v="0"/>
    <n v="2"/>
    <n v="659.99"/>
    <n v="0.2"/>
    <n v="1055.9839999999999"/>
  </r>
  <r>
    <n v="806"/>
    <n v="5"/>
    <n v="91"/>
    <s v="Trek Precaliber 24 (21-Speed) - Girls - 2017"/>
    <n v="1"/>
    <x v="5"/>
    <n v="2"/>
    <n v="349.99"/>
    <n v="7.0000000000000007E-2"/>
    <n v="650.98140000000001"/>
  </r>
  <r>
    <n v="807"/>
    <n v="1"/>
    <n v="21"/>
    <s v="Electra Cruiser 1 (24-Inch) - 2016"/>
    <n v="1"/>
    <x v="5"/>
    <n v="2"/>
    <n v="269.99"/>
    <n v="0.2"/>
    <n v="431.98400000000004"/>
  </r>
  <r>
    <n v="807"/>
    <n v="2"/>
    <n v="6"/>
    <s v="Surly Ice Cream Truck Frameset - 2016"/>
    <n v="6"/>
    <x v="1"/>
    <n v="1"/>
    <n v="469.99"/>
    <n v="7.0000000000000007E-2"/>
    <n v="437.09070000000003"/>
  </r>
  <r>
    <n v="807"/>
    <n v="3"/>
    <n v="3"/>
    <s v="Surly Wednesday Frameset - 2016"/>
    <n v="6"/>
    <x v="1"/>
    <n v="2"/>
    <n v="999.99"/>
    <n v="7.0000000000000007E-2"/>
    <n v="1859.9814000000001"/>
  </r>
  <r>
    <n v="807"/>
    <n v="4"/>
    <n v="9"/>
    <s v="Trek Conduit+ - 2016"/>
    <n v="5"/>
    <x v="4"/>
    <n v="2"/>
    <n v="2999.99"/>
    <n v="0.2"/>
    <n v="4799.9839999999995"/>
  </r>
  <r>
    <n v="807"/>
    <n v="5"/>
    <n v="16"/>
    <s v="Electra Townie Original 7D EQ - 2016"/>
    <n v="3"/>
    <x v="0"/>
    <n v="1"/>
    <n v="599.99"/>
    <n v="0.2"/>
    <n v="479.99200000000002"/>
  </r>
  <r>
    <n v="808"/>
    <n v="1"/>
    <n v="96"/>
    <s v="Electra Moto 3i (20-inch) - Boy's - 2017"/>
    <n v="1"/>
    <x v="5"/>
    <n v="2"/>
    <n v="349.99"/>
    <n v="0.05"/>
    <n v="664.98099999999999"/>
  </r>
  <r>
    <n v="808"/>
    <n v="2"/>
    <n v="18"/>
    <s v="Pure Cycles Western 3-Speed - Women's - 2015/2016"/>
    <n v="3"/>
    <x v="0"/>
    <n v="1"/>
    <n v="449"/>
    <n v="0.05"/>
    <n v="426.55"/>
  </r>
  <r>
    <n v="808"/>
    <n v="3"/>
    <n v="85"/>
    <s v="Haro Downtown 16 - 2017"/>
    <n v="1"/>
    <x v="5"/>
    <n v="1"/>
    <n v="329.99"/>
    <n v="0.05"/>
    <n v="313.4905"/>
  </r>
  <r>
    <n v="808"/>
    <n v="4"/>
    <n v="19"/>
    <s v="Pure Cycles William 3-Speed - 2016"/>
    <n v="3"/>
    <x v="0"/>
    <n v="2"/>
    <n v="449"/>
    <n v="0.05"/>
    <n v="853.1"/>
  </r>
  <r>
    <n v="809"/>
    <n v="1"/>
    <n v="78"/>
    <s v="Sun Bicycles Biscayne Tandem CB - 2017"/>
    <n v="3"/>
    <x v="0"/>
    <n v="1"/>
    <n v="647.99"/>
    <n v="0.1"/>
    <n v="583.19100000000003"/>
  </r>
  <r>
    <n v="809"/>
    <n v="2"/>
    <n v="26"/>
    <s v="Electra Townie Original 7D EQ - 2016"/>
    <n v="2"/>
    <x v="3"/>
    <n v="1"/>
    <n v="599.99"/>
    <n v="0.2"/>
    <n v="479.99200000000002"/>
  </r>
  <r>
    <n v="809"/>
    <n v="3"/>
    <n v="92"/>
    <s v="Haro Shredder 20 - 2017"/>
    <n v="1"/>
    <x v="5"/>
    <n v="2"/>
    <n v="209.99"/>
    <n v="0.1"/>
    <n v="377.98200000000003"/>
  </r>
  <r>
    <n v="810"/>
    <n v="1"/>
    <n v="103"/>
    <s v="Sun Bicycles Streamway 3 - 2017"/>
    <n v="2"/>
    <x v="3"/>
    <n v="2"/>
    <n v="551.99"/>
    <n v="0.05"/>
    <n v="1048.7809999999999"/>
  </r>
  <r>
    <n v="810"/>
    <n v="2"/>
    <n v="100"/>
    <s v="Electra Townie 3i EQ (20-inch) - Boys' - 2017"/>
    <n v="1"/>
    <x v="5"/>
    <n v="1"/>
    <n v="489.99"/>
    <n v="0.2"/>
    <n v="391.99200000000002"/>
  </r>
  <r>
    <n v="810"/>
    <n v="3"/>
    <n v="56"/>
    <s v="Trek Domane SLR 6 Disc - 2017"/>
    <n v="7"/>
    <x v="6"/>
    <n v="1"/>
    <n v="5499.99"/>
    <n v="0.05"/>
    <n v="5224.9904999999999"/>
  </r>
  <r>
    <n v="810"/>
    <n v="4"/>
    <n v="22"/>
    <s v="Electra Girl's Hawaii 1 (16-inch) - 2015/2016"/>
    <n v="1"/>
    <x v="5"/>
    <n v="1"/>
    <n v="269.99"/>
    <n v="0.2"/>
    <n v="215.99200000000002"/>
  </r>
  <r>
    <n v="811"/>
    <n v="1"/>
    <n v="45"/>
    <s v="Haro SR 1.2 - 2017"/>
    <n v="6"/>
    <x v="1"/>
    <n v="2"/>
    <n v="869.99"/>
    <n v="7.0000000000000007E-2"/>
    <n v="1618.1813999999999"/>
  </r>
  <r>
    <n v="811"/>
    <n v="2"/>
    <n v="54"/>
    <s v="Trek Domane SL Disc Frameset - 2017"/>
    <n v="7"/>
    <x v="6"/>
    <n v="1"/>
    <n v="3199.99"/>
    <n v="0.2"/>
    <n v="2559.9919999999997"/>
  </r>
  <r>
    <n v="811"/>
    <n v="3"/>
    <n v="70"/>
    <s v="Electra Amsterdam Original 3i - 2015/2017"/>
    <n v="3"/>
    <x v="0"/>
    <n v="1"/>
    <n v="659.99"/>
    <n v="7.0000000000000007E-2"/>
    <n v="613.79070000000002"/>
  </r>
  <r>
    <n v="811"/>
    <n v="4"/>
    <n v="66"/>
    <s v="Sun Bicycles Revolutions 24 - 2017"/>
    <n v="3"/>
    <x v="0"/>
    <n v="1"/>
    <n v="250.99"/>
    <n v="0.1"/>
    <n v="225.89100000000002"/>
  </r>
  <r>
    <n v="812"/>
    <n v="1"/>
    <n v="76"/>
    <s v="Electra Girl's Hawaii 1 16&quot; - 2017"/>
    <n v="3"/>
    <x v="0"/>
    <n v="2"/>
    <n v="299.99"/>
    <n v="0.1"/>
    <n v="539.98199999999997"/>
  </r>
  <r>
    <n v="812"/>
    <n v="2"/>
    <n v="40"/>
    <s v="Trek Fuel EX 9.8 29 - 2017"/>
    <n v="6"/>
    <x v="1"/>
    <n v="1"/>
    <n v="4999.99"/>
    <n v="0.2"/>
    <n v="3999.9919999999997"/>
  </r>
  <r>
    <n v="813"/>
    <n v="1"/>
    <n v="96"/>
    <s v="Electra Moto 3i (20-inch) - Boy's - 2017"/>
    <n v="1"/>
    <x v="5"/>
    <n v="2"/>
    <n v="349.99"/>
    <n v="0.1"/>
    <n v="629.98199999999997"/>
  </r>
  <r>
    <n v="813"/>
    <n v="2"/>
    <n v="85"/>
    <s v="Haro Downtown 16 - 2017"/>
    <n v="1"/>
    <x v="5"/>
    <n v="2"/>
    <n v="329.99"/>
    <n v="0.2"/>
    <n v="527.98400000000004"/>
  </r>
  <r>
    <n v="813"/>
    <n v="3"/>
    <n v="33"/>
    <s v="Surly Wednesday Frameset - 2017"/>
    <n v="6"/>
    <x v="1"/>
    <n v="2"/>
    <n v="469.99"/>
    <n v="0.2"/>
    <n v="751.98400000000004"/>
  </r>
  <r>
    <n v="813"/>
    <n v="4"/>
    <n v="26"/>
    <s v="Electra Townie Original 7D EQ - 2016"/>
    <n v="2"/>
    <x v="3"/>
    <n v="2"/>
    <n v="599.99"/>
    <n v="7.0000000000000007E-2"/>
    <n v="1115.9814000000001"/>
  </r>
  <r>
    <n v="813"/>
    <n v="5"/>
    <n v="71"/>
    <s v="Sun Bicycles Atlas X-Type - 2017"/>
    <n v="3"/>
    <x v="0"/>
    <n v="2"/>
    <n v="416.99"/>
    <n v="0.05"/>
    <n v="792.28100000000006"/>
  </r>
  <r>
    <n v="814"/>
    <n v="1"/>
    <n v="69"/>
    <s v="Sun Bicycles Cruz 7 - 2017"/>
    <n v="3"/>
    <x v="0"/>
    <n v="2"/>
    <n v="416.99"/>
    <n v="0.1"/>
    <n v="750.58199999999999"/>
  </r>
  <r>
    <n v="814"/>
    <n v="2"/>
    <n v="100"/>
    <s v="Electra Townie 3i EQ (20-inch) - Boys' - 2017"/>
    <n v="1"/>
    <x v="5"/>
    <n v="1"/>
    <n v="489.99"/>
    <n v="0.1"/>
    <n v="440.99099999999999"/>
  </r>
  <r>
    <n v="814"/>
    <n v="3"/>
    <n v="65"/>
    <s v="Sun Bicycles Lil Bolt Type-R - 2017"/>
    <n v="3"/>
    <x v="0"/>
    <n v="1"/>
    <n v="346.99"/>
    <n v="0.2"/>
    <n v="277.59199999999998"/>
  </r>
  <r>
    <n v="814"/>
    <n v="4"/>
    <n v="83"/>
    <s v="Trek Boy's Kickster - 2015/2017"/>
    <n v="1"/>
    <x v="5"/>
    <n v="2"/>
    <n v="149.99"/>
    <n v="0.05"/>
    <n v="284.98099999999999"/>
  </r>
  <r>
    <n v="815"/>
    <n v="1"/>
    <n v="105"/>
    <s v="Sun Bicycles Streamway 7 - 2017"/>
    <n v="2"/>
    <x v="3"/>
    <n v="2"/>
    <n v="533.99"/>
    <n v="0.2"/>
    <n v="854.38400000000001"/>
  </r>
  <r>
    <n v="815"/>
    <n v="2"/>
    <n v="102"/>
    <s v="Electra Townie Original 7D - 2017"/>
    <n v="2"/>
    <x v="3"/>
    <n v="2"/>
    <n v="489.99"/>
    <n v="0.2"/>
    <n v="783.98400000000004"/>
  </r>
  <r>
    <n v="815"/>
    <n v="3"/>
    <n v="87"/>
    <s v="Trek Precaliber 12 Boys - 2017"/>
    <n v="1"/>
    <x v="5"/>
    <n v="2"/>
    <n v="189.99"/>
    <n v="0.1"/>
    <n v="341.98200000000003"/>
  </r>
  <r>
    <n v="815"/>
    <n v="4"/>
    <n v="23"/>
    <s v="Electra Girl's Hawaii 1 (20-inch) - 2015/2016"/>
    <n v="1"/>
    <x v="5"/>
    <n v="1"/>
    <n v="299.99"/>
    <n v="7.0000000000000007E-2"/>
    <n v="278.9907"/>
  </r>
  <r>
    <n v="816"/>
    <n v="1"/>
    <n v="75"/>
    <s v="Electra Cruiser Lux Fat Tire 1 Ladies - 2017"/>
    <n v="3"/>
    <x v="0"/>
    <n v="2"/>
    <n v="599.99"/>
    <n v="0.1"/>
    <n v="1079.982"/>
  </r>
  <r>
    <n v="816"/>
    <n v="2"/>
    <n v="64"/>
    <s v="Electra Townie Original 7D - 2017"/>
    <n v="3"/>
    <x v="0"/>
    <n v="2"/>
    <n v="489.99"/>
    <n v="0.2"/>
    <n v="783.98400000000004"/>
  </r>
  <r>
    <n v="817"/>
    <n v="1"/>
    <n v="85"/>
    <s v="Haro Downtown 16 - 2017"/>
    <n v="1"/>
    <x v="5"/>
    <n v="1"/>
    <n v="329.99"/>
    <n v="0.05"/>
    <n v="313.4905"/>
  </r>
  <r>
    <n v="817"/>
    <n v="2"/>
    <n v="105"/>
    <s v="Sun Bicycles Streamway 7 - 2017"/>
    <n v="2"/>
    <x v="3"/>
    <n v="2"/>
    <n v="533.99"/>
    <n v="7.0000000000000007E-2"/>
    <n v="993.22140000000002"/>
  </r>
  <r>
    <n v="817"/>
    <n v="3"/>
    <n v="48"/>
    <s v="Trek Emonda S 4 - 2017"/>
    <n v="7"/>
    <x v="6"/>
    <n v="2"/>
    <n v="1499.99"/>
    <n v="0.05"/>
    <n v="2849.9810000000002"/>
  </r>
  <r>
    <n v="818"/>
    <n v="1"/>
    <n v="103"/>
    <s v="Sun Bicycles Streamway 3 - 2017"/>
    <n v="2"/>
    <x v="3"/>
    <n v="1"/>
    <n v="551.99"/>
    <n v="0.05"/>
    <n v="524.39049999999997"/>
  </r>
  <r>
    <n v="818"/>
    <n v="2"/>
    <n v="44"/>
    <s v="Haro SR 1.1 - 2017"/>
    <n v="6"/>
    <x v="1"/>
    <n v="2"/>
    <n v="539.99"/>
    <n v="7.0000000000000007E-2"/>
    <n v="1004.3814"/>
  </r>
  <r>
    <n v="818"/>
    <n v="3"/>
    <n v="19"/>
    <s v="Pure Cycles William 3-Speed - 2016"/>
    <n v="3"/>
    <x v="0"/>
    <n v="2"/>
    <n v="449"/>
    <n v="0.05"/>
    <n v="853.1"/>
  </r>
  <r>
    <n v="818"/>
    <n v="4"/>
    <n v="48"/>
    <s v="Trek Emonda S 4 - 2017"/>
    <n v="7"/>
    <x v="6"/>
    <n v="2"/>
    <n v="1499.99"/>
    <n v="0.05"/>
    <n v="2849.9810000000002"/>
  </r>
  <r>
    <n v="819"/>
    <n v="1"/>
    <n v="94"/>
    <s v="Haro Shredder Pro 20 - 2017"/>
    <n v="1"/>
    <x v="5"/>
    <n v="1"/>
    <n v="249.99"/>
    <n v="0.2"/>
    <n v="199.99200000000002"/>
  </r>
  <r>
    <n v="820"/>
    <n v="1"/>
    <n v="107"/>
    <s v="Sun Bicycles Cruz 7 - 2017"/>
    <n v="2"/>
    <x v="3"/>
    <n v="1"/>
    <n v="416.99"/>
    <n v="0.05"/>
    <n v="396.14050000000003"/>
  </r>
  <r>
    <n v="821"/>
    <n v="1"/>
    <n v="102"/>
    <s v="Electra Townie Original 7D - 2017"/>
    <n v="2"/>
    <x v="3"/>
    <n v="1"/>
    <n v="489.99"/>
    <n v="7.0000000000000007E-2"/>
    <n v="455.69069999999999"/>
  </r>
  <r>
    <n v="821"/>
    <n v="2"/>
    <n v="70"/>
    <s v="Electra Amsterdam Original 3i - 2015/2017"/>
    <n v="3"/>
    <x v="0"/>
    <n v="2"/>
    <n v="659.99"/>
    <n v="0.2"/>
    <n v="1055.9839999999999"/>
  </r>
  <r>
    <n v="821"/>
    <n v="3"/>
    <n v="6"/>
    <s v="Surly Ice Cream Truck Frameset - 2016"/>
    <n v="6"/>
    <x v="1"/>
    <n v="1"/>
    <n v="469.99"/>
    <n v="0.2"/>
    <n v="375.99200000000002"/>
  </r>
  <r>
    <n v="821"/>
    <n v="4"/>
    <n v="107"/>
    <s v="Sun Bicycles Cruz 7 - 2017"/>
    <n v="2"/>
    <x v="3"/>
    <n v="1"/>
    <n v="416.99"/>
    <n v="0.05"/>
    <n v="396.14050000000003"/>
  </r>
  <r>
    <n v="822"/>
    <n v="1"/>
    <n v="53"/>
    <s v="Surly Ogre Frameset - 2017"/>
    <n v="7"/>
    <x v="6"/>
    <n v="1"/>
    <n v="749.99"/>
    <n v="0.05"/>
    <n v="712.4905"/>
  </r>
  <r>
    <n v="822"/>
    <n v="2"/>
    <n v="72"/>
    <s v="Sun Bicycles Biscayne Tandem 7 - 2017"/>
    <n v="3"/>
    <x v="0"/>
    <n v="1"/>
    <n v="619.99"/>
    <n v="0.2"/>
    <n v="495.99200000000002"/>
  </r>
  <r>
    <n v="823"/>
    <n v="1"/>
    <n v="56"/>
    <s v="Trek Domane SLR 6 Disc - 2017"/>
    <n v="7"/>
    <x v="6"/>
    <n v="2"/>
    <n v="5499.99"/>
    <n v="7.0000000000000007E-2"/>
    <n v="10229.981399999999"/>
  </r>
  <r>
    <n v="823"/>
    <n v="2"/>
    <n v="86"/>
    <s v="Trek Girl's Kickster - 2017"/>
    <n v="1"/>
    <x v="5"/>
    <n v="2"/>
    <n v="149.99"/>
    <n v="0.2"/>
    <n v="239.98400000000001"/>
  </r>
  <r>
    <n v="823"/>
    <n v="3"/>
    <n v="81"/>
    <s v="Electra Amsterdam Fashion 7i Ladies' - 2017"/>
    <n v="3"/>
    <x v="0"/>
    <n v="1"/>
    <n v="1099.99"/>
    <n v="0.2"/>
    <n v="879.99199999999996"/>
  </r>
  <r>
    <n v="824"/>
    <n v="1"/>
    <n v="92"/>
    <s v="Haro Shredder 20 - 2017"/>
    <n v="1"/>
    <x v="5"/>
    <n v="2"/>
    <n v="209.99"/>
    <n v="0.1"/>
    <n v="377.98200000000003"/>
  </r>
  <r>
    <n v="825"/>
    <n v="1"/>
    <n v="19"/>
    <s v="Pure Cycles William 3-Speed - 2016"/>
    <n v="3"/>
    <x v="0"/>
    <n v="1"/>
    <n v="449"/>
    <n v="0.1"/>
    <n v="404.1"/>
  </r>
  <r>
    <n v="825"/>
    <n v="2"/>
    <n v="30"/>
    <s v="Surly Ice Cream Truck Frameset - 2017"/>
    <n v="6"/>
    <x v="1"/>
    <n v="2"/>
    <n v="999.99"/>
    <n v="0.2"/>
    <n v="1599.9839999999999"/>
  </r>
  <r>
    <n v="826"/>
    <n v="1"/>
    <n v="45"/>
    <s v="Haro SR 1.2 - 2017"/>
    <n v="6"/>
    <x v="1"/>
    <n v="2"/>
    <n v="869.99"/>
    <n v="0.2"/>
    <n v="1391.9839999999999"/>
  </r>
  <r>
    <n v="826"/>
    <n v="2"/>
    <n v="36"/>
    <s v="Surly Troll Frameset - 2017"/>
    <n v="6"/>
    <x v="1"/>
    <n v="1"/>
    <n v="832.99"/>
    <n v="0.1"/>
    <n v="749.69100000000003"/>
  </r>
  <r>
    <n v="827"/>
    <n v="1"/>
    <n v="43"/>
    <s v="Trek Fuel EX 9.8 27.5 Plus - 2017"/>
    <n v="6"/>
    <x v="1"/>
    <n v="1"/>
    <n v="5299.99"/>
    <n v="0.05"/>
    <n v="5034.9904999999999"/>
  </r>
  <r>
    <n v="827"/>
    <n v="2"/>
    <n v="41"/>
    <s v="Haro Shift R3 - 2017"/>
    <n v="6"/>
    <x v="1"/>
    <n v="1"/>
    <n v="1469.99"/>
    <n v="0.2"/>
    <n v="1175.992"/>
  </r>
  <r>
    <n v="827"/>
    <n v="3"/>
    <n v="28"/>
    <s v="Surly Karate Monkey 27.5+ Frameset - 2017"/>
    <n v="6"/>
    <x v="1"/>
    <n v="1"/>
    <n v="2499.9899999999998"/>
    <n v="0.2"/>
    <n v="1999.9919999999997"/>
  </r>
  <r>
    <n v="827"/>
    <n v="4"/>
    <n v="108"/>
    <s v="Sun Bicycles Cruz 3 - Women's - 2017"/>
    <n v="2"/>
    <x v="3"/>
    <n v="1"/>
    <n v="449.99"/>
    <n v="0.2"/>
    <n v="359.99200000000002"/>
  </r>
  <r>
    <n v="828"/>
    <n v="1"/>
    <n v="25"/>
    <s v="Electra Townie Original 7D - 2015/2016"/>
    <n v="2"/>
    <x v="3"/>
    <n v="2"/>
    <n v="499.99"/>
    <n v="0.2"/>
    <n v="799.98400000000004"/>
  </r>
  <r>
    <n v="828"/>
    <n v="2"/>
    <n v="24"/>
    <s v="Electra Townie Original 21D - 2016"/>
    <n v="2"/>
    <x v="3"/>
    <n v="1"/>
    <n v="549.99"/>
    <n v="0.2"/>
    <n v="439.99200000000002"/>
  </r>
  <r>
    <n v="828"/>
    <n v="3"/>
    <n v="55"/>
    <s v="Trek Domane S 6 - 2017"/>
    <n v="7"/>
    <x v="6"/>
    <n v="2"/>
    <n v="2699.99"/>
    <n v="7.0000000000000007E-2"/>
    <n v="5021.9813999999997"/>
  </r>
  <r>
    <n v="829"/>
    <n v="1"/>
    <n v="103"/>
    <s v="Sun Bicycles Streamway 3 - 2017"/>
    <n v="2"/>
    <x v="3"/>
    <n v="1"/>
    <n v="551.99"/>
    <n v="0.2"/>
    <n v="441.59199999999998"/>
  </r>
  <r>
    <n v="829"/>
    <n v="2"/>
    <n v="105"/>
    <s v="Sun Bicycles Streamway 7 - 2017"/>
    <n v="2"/>
    <x v="3"/>
    <n v="2"/>
    <n v="533.99"/>
    <n v="0.1"/>
    <n v="961.18200000000002"/>
  </r>
  <r>
    <n v="830"/>
    <n v="1"/>
    <n v="85"/>
    <s v="Haro Downtown 16 - 2017"/>
    <n v="1"/>
    <x v="5"/>
    <n v="2"/>
    <n v="329.99"/>
    <n v="0.2"/>
    <n v="527.98400000000004"/>
  </r>
  <r>
    <n v="830"/>
    <n v="2"/>
    <n v="100"/>
    <s v="Electra Townie 3i EQ (20-inch) - Boys' - 2017"/>
    <n v="1"/>
    <x v="5"/>
    <n v="2"/>
    <n v="489.99"/>
    <n v="7.0000000000000007E-2"/>
    <n v="911.38139999999999"/>
  </r>
  <r>
    <n v="830"/>
    <n v="3"/>
    <n v="96"/>
    <s v="Electra Moto 3i (20-inch) - Boy's - 2017"/>
    <n v="1"/>
    <x v="5"/>
    <n v="2"/>
    <n v="349.99"/>
    <n v="0.2"/>
    <n v="559.98400000000004"/>
  </r>
  <r>
    <n v="831"/>
    <n v="1"/>
    <n v="67"/>
    <s v="Sun Bicycles Revolutions 24 - Girl's - 2017"/>
    <n v="3"/>
    <x v="0"/>
    <n v="1"/>
    <n v="250.99"/>
    <n v="0.2"/>
    <n v="200.792"/>
  </r>
  <r>
    <n v="831"/>
    <n v="2"/>
    <n v="11"/>
    <s v="Surly Straggler 650b - 2016"/>
    <n v="4"/>
    <x v="2"/>
    <n v="1"/>
    <n v="1680.99"/>
    <n v="0.2"/>
    <n v="1344.7919999999999"/>
  </r>
  <r>
    <n v="831"/>
    <n v="3"/>
    <n v="68"/>
    <s v="Sun Bicycles Cruz 3 - 2017"/>
    <n v="3"/>
    <x v="0"/>
    <n v="1"/>
    <n v="449.99"/>
    <n v="0.1"/>
    <n v="404.99099999999999"/>
  </r>
  <r>
    <n v="832"/>
    <n v="1"/>
    <n v="54"/>
    <s v="Trek Domane SL Disc Frameset - 2017"/>
    <n v="7"/>
    <x v="6"/>
    <n v="1"/>
    <n v="3199.99"/>
    <n v="0.05"/>
    <n v="3039.9904999999999"/>
  </r>
  <r>
    <n v="832"/>
    <n v="2"/>
    <n v="45"/>
    <s v="Haro SR 1.2 - 2017"/>
    <n v="6"/>
    <x v="1"/>
    <n v="1"/>
    <n v="869.99"/>
    <n v="0.2"/>
    <n v="695.99199999999996"/>
  </r>
  <r>
    <n v="832"/>
    <n v="3"/>
    <n v="27"/>
    <s v="Surly Big Dummy Frameset - 2017"/>
    <n v="6"/>
    <x v="1"/>
    <n v="1"/>
    <n v="999.99"/>
    <n v="7.0000000000000007E-2"/>
    <n v="929.99070000000006"/>
  </r>
  <r>
    <n v="832"/>
    <n v="4"/>
    <n v="16"/>
    <s v="Electra Townie Original 7D EQ - 2016"/>
    <n v="3"/>
    <x v="0"/>
    <n v="2"/>
    <n v="599.99"/>
    <n v="0.1"/>
    <n v="1079.982"/>
  </r>
  <r>
    <n v="833"/>
    <n v="1"/>
    <n v="20"/>
    <s v="Electra Townie Original 7D EQ - Women's - 2016"/>
    <n v="3"/>
    <x v="0"/>
    <n v="2"/>
    <n v="599.99"/>
    <n v="0.05"/>
    <n v="1139.981"/>
  </r>
  <r>
    <n v="834"/>
    <n v="1"/>
    <n v="54"/>
    <s v="Trek Domane SL Disc Frameset - 2017"/>
    <n v="7"/>
    <x v="6"/>
    <n v="1"/>
    <n v="3199.99"/>
    <n v="7.0000000000000007E-2"/>
    <n v="2975.9906999999998"/>
  </r>
  <r>
    <n v="834"/>
    <n v="2"/>
    <n v="21"/>
    <s v="Electra Cruiser 1 (24-Inch) - 2016"/>
    <n v="1"/>
    <x v="5"/>
    <n v="1"/>
    <n v="269.99"/>
    <n v="0.05"/>
    <n v="256.4905"/>
  </r>
  <r>
    <n v="834"/>
    <n v="3"/>
    <n v="78"/>
    <s v="Sun Bicycles Biscayne Tandem CB - 2017"/>
    <n v="3"/>
    <x v="0"/>
    <n v="1"/>
    <n v="647.99"/>
    <n v="0.2"/>
    <n v="518.39200000000005"/>
  </r>
  <r>
    <n v="835"/>
    <n v="1"/>
    <n v="65"/>
    <s v="Sun Bicycles Lil Bolt Type-R - 2017"/>
    <n v="3"/>
    <x v="0"/>
    <n v="2"/>
    <n v="346.99"/>
    <n v="7.0000000000000007E-2"/>
    <n v="645.40139999999997"/>
  </r>
  <r>
    <n v="835"/>
    <n v="2"/>
    <n v="82"/>
    <s v="Electra Amsterdam Original 3i Ladies' - 2017"/>
    <n v="3"/>
    <x v="0"/>
    <n v="1"/>
    <n v="659.99"/>
    <n v="0.2"/>
    <n v="527.99199999999996"/>
  </r>
  <r>
    <n v="835"/>
    <n v="3"/>
    <n v="2"/>
    <s v="Ritchey Timberwolf Frameset - 2016"/>
    <n v="6"/>
    <x v="1"/>
    <n v="1"/>
    <n v="749.99"/>
    <n v="0.05"/>
    <n v="712.4905"/>
  </r>
  <r>
    <n v="836"/>
    <n v="1"/>
    <n v="108"/>
    <s v="Sun Bicycles Cruz 3 - Women's - 2017"/>
    <n v="2"/>
    <x v="3"/>
    <n v="2"/>
    <n v="449.99"/>
    <n v="0.2"/>
    <n v="719.98400000000004"/>
  </r>
  <r>
    <n v="837"/>
    <n v="1"/>
    <n v="51"/>
    <s v="Trek Silque SLR 8 Women's - 2017"/>
    <n v="7"/>
    <x v="6"/>
    <n v="1"/>
    <n v="6499.99"/>
    <n v="0.05"/>
    <n v="6174.9904999999999"/>
  </r>
  <r>
    <n v="837"/>
    <n v="2"/>
    <n v="97"/>
    <s v="Electra Savannah 3i (20-inch) - Girl's - 2017"/>
    <n v="1"/>
    <x v="5"/>
    <n v="1"/>
    <n v="349.99"/>
    <n v="0.1"/>
    <n v="314.99099999999999"/>
  </r>
  <r>
    <n v="837"/>
    <n v="3"/>
    <n v="87"/>
    <s v="Trek Precaliber 12 Boys - 2017"/>
    <n v="1"/>
    <x v="5"/>
    <n v="2"/>
    <n v="189.99"/>
    <n v="0.2"/>
    <n v="303.98400000000004"/>
  </r>
  <r>
    <n v="838"/>
    <n v="1"/>
    <n v="28"/>
    <s v="Surly Karate Monkey 27.5+ Frameset - 2017"/>
    <n v="6"/>
    <x v="1"/>
    <n v="1"/>
    <n v="2499.9899999999998"/>
    <n v="0.1"/>
    <n v="2249.991"/>
  </r>
  <r>
    <n v="838"/>
    <n v="2"/>
    <n v="10"/>
    <s v="Surly Straggler - 2016"/>
    <n v="4"/>
    <x v="2"/>
    <n v="1"/>
    <n v="1549"/>
    <n v="0.1"/>
    <n v="1394.1"/>
  </r>
  <r>
    <n v="838"/>
    <n v="3"/>
    <n v="100"/>
    <s v="Electra Townie 3i EQ (20-inch) - Boys' - 2017"/>
    <n v="1"/>
    <x v="5"/>
    <n v="2"/>
    <n v="489.99"/>
    <n v="0.05"/>
    <n v="930.98099999999999"/>
  </r>
  <r>
    <n v="838"/>
    <n v="4"/>
    <n v="65"/>
    <s v="Sun Bicycles Lil Bolt Type-R - 2017"/>
    <n v="3"/>
    <x v="0"/>
    <n v="2"/>
    <n v="346.99"/>
    <n v="7.0000000000000007E-2"/>
    <n v="645.40139999999997"/>
  </r>
  <r>
    <n v="839"/>
    <n v="1"/>
    <n v="55"/>
    <s v="Trek Domane S 6 - 2017"/>
    <n v="7"/>
    <x v="6"/>
    <n v="1"/>
    <n v="2699.99"/>
    <n v="7.0000000000000007E-2"/>
    <n v="2510.9906999999998"/>
  </r>
  <r>
    <n v="839"/>
    <n v="2"/>
    <n v="85"/>
    <s v="Haro Downtown 16 - 2017"/>
    <n v="1"/>
    <x v="5"/>
    <n v="1"/>
    <n v="329.99"/>
    <n v="0.1"/>
    <n v="296.99099999999999"/>
  </r>
  <r>
    <n v="839"/>
    <n v="3"/>
    <n v="58"/>
    <s v="Trek Madone 9.2 - 2017"/>
    <n v="7"/>
    <x v="6"/>
    <n v="2"/>
    <n v="4999.99"/>
    <n v="0.05"/>
    <n v="9499.9809999999998"/>
  </r>
  <r>
    <n v="840"/>
    <n v="1"/>
    <n v="27"/>
    <s v="Surly Big Dummy Frameset - 2017"/>
    <n v="6"/>
    <x v="1"/>
    <n v="1"/>
    <n v="999.99"/>
    <n v="7.0000000000000007E-2"/>
    <n v="929.99070000000006"/>
  </r>
  <r>
    <n v="840"/>
    <n v="2"/>
    <n v="43"/>
    <s v="Trek Fuel EX 9.8 27.5 Plus - 2017"/>
    <n v="6"/>
    <x v="1"/>
    <n v="1"/>
    <n v="5299.99"/>
    <n v="7.0000000000000007E-2"/>
    <n v="4928.9906999999994"/>
  </r>
  <r>
    <n v="840"/>
    <n v="3"/>
    <n v="106"/>
    <s v="Sun Bicycles Cruz 3 - 2017"/>
    <n v="2"/>
    <x v="3"/>
    <n v="2"/>
    <n v="449.99"/>
    <n v="0.2"/>
    <n v="719.98400000000004"/>
  </r>
  <r>
    <n v="841"/>
    <n v="1"/>
    <n v="22"/>
    <s v="Electra Girl's Hawaii 1 (16-inch) - 2015/2016"/>
    <n v="1"/>
    <x v="5"/>
    <n v="2"/>
    <n v="269.99"/>
    <n v="0.1"/>
    <n v="485.98200000000003"/>
  </r>
  <r>
    <n v="841"/>
    <n v="2"/>
    <n v="9"/>
    <s v="Trek Conduit+ - 2016"/>
    <n v="5"/>
    <x v="4"/>
    <n v="1"/>
    <n v="2999.99"/>
    <n v="0.2"/>
    <n v="2399.9919999999997"/>
  </r>
  <r>
    <n v="841"/>
    <n v="3"/>
    <n v="11"/>
    <s v="Surly Straggler 650b - 2016"/>
    <n v="4"/>
    <x v="2"/>
    <n v="1"/>
    <n v="1680.99"/>
    <n v="0.2"/>
    <n v="1344.7919999999999"/>
  </r>
  <r>
    <n v="841"/>
    <n v="4"/>
    <n v="90"/>
    <s v="Trek Precaliber 16 Girls - 2017"/>
    <n v="1"/>
    <x v="5"/>
    <n v="2"/>
    <n v="209.99"/>
    <n v="7.0000000000000007E-2"/>
    <n v="390.58140000000003"/>
  </r>
  <r>
    <n v="841"/>
    <n v="5"/>
    <n v="100"/>
    <s v="Electra Townie 3i EQ (20-inch) - Boys' - 2017"/>
    <n v="1"/>
    <x v="5"/>
    <n v="1"/>
    <n v="489.99"/>
    <n v="0.1"/>
    <n v="440.99099999999999"/>
  </r>
  <r>
    <n v="842"/>
    <n v="1"/>
    <n v="81"/>
    <s v="Electra Amsterdam Fashion 7i Ladies' - 2017"/>
    <n v="3"/>
    <x v="0"/>
    <n v="2"/>
    <n v="1099.99"/>
    <n v="7.0000000000000007E-2"/>
    <n v="2045.9814000000001"/>
  </r>
  <r>
    <n v="842"/>
    <n v="2"/>
    <n v="42"/>
    <s v="Trek Fuel EX 5 27.5 Plus - 2017"/>
    <n v="6"/>
    <x v="1"/>
    <n v="1"/>
    <n v="2299.9899999999998"/>
    <n v="0.1"/>
    <n v="2069.991"/>
  </r>
  <r>
    <n v="843"/>
    <n v="1"/>
    <n v="72"/>
    <s v="Sun Bicycles Biscayne Tandem 7 - 2017"/>
    <n v="3"/>
    <x v="0"/>
    <n v="1"/>
    <n v="619.99"/>
    <n v="0.1"/>
    <n v="557.99099999999999"/>
  </r>
  <r>
    <n v="843"/>
    <n v="2"/>
    <n v="75"/>
    <s v="Electra Cruiser Lux Fat Tire 1 Ladies - 2017"/>
    <n v="3"/>
    <x v="0"/>
    <n v="2"/>
    <n v="599.99"/>
    <n v="0.1"/>
    <n v="1079.982"/>
  </r>
  <r>
    <n v="843"/>
    <n v="3"/>
    <n v="81"/>
    <s v="Electra Amsterdam Fashion 7i Ladies' - 2017"/>
    <n v="3"/>
    <x v="0"/>
    <n v="1"/>
    <n v="1099.99"/>
    <n v="0.1"/>
    <n v="989.99099999999999"/>
  </r>
  <r>
    <n v="843"/>
    <n v="4"/>
    <n v="23"/>
    <s v="Electra Girl's Hawaii 1 (20-inch) - 2015/2016"/>
    <n v="1"/>
    <x v="5"/>
    <n v="2"/>
    <n v="299.99"/>
    <n v="7.0000000000000007E-2"/>
    <n v="557.98140000000001"/>
  </r>
  <r>
    <n v="844"/>
    <n v="1"/>
    <n v="79"/>
    <s v="Sun Bicycles Boardwalk (24-inch Wheels) - 2017"/>
    <n v="3"/>
    <x v="0"/>
    <n v="2"/>
    <n v="402.99"/>
    <n v="7.0000000000000007E-2"/>
    <n v="749.56140000000005"/>
  </r>
  <r>
    <n v="844"/>
    <n v="2"/>
    <n v="12"/>
    <s v="Electra Townie Original 21D - 2016"/>
    <n v="3"/>
    <x v="0"/>
    <n v="1"/>
    <n v="549.99"/>
    <n v="0.1"/>
    <n v="494.99099999999999"/>
  </r>
  <r>
    <n v="844"/>
    <n v="3"/>
    <n v="83"/>
    <s v="Trek Boy's Kickster - 2015/2017"/>
    <n v="1"/>
    <x v="5"/>
    <n v="2"/>
    <n v="149.99"/>
    <n v="0.2"/>
    <n v="239.98400000000001"/>
  </r>
  <r>
    <n v="844"/>
    <n v="4"/>
    <n v="48"/>
    <s v="Trek Emonda S 4 - 2017"/>
    <n v="7"/>
    <x v="6"/>
    <n v="1"/>
    <n v="1499.99"/>
    <n v="0.2"/>
    <n v="1199.992"/>
  </r>
  <r>
    <n v="844"/>
    <n v="5"/>
    <n v="63"/>
    <s v="Trek Boone Race Shop Limited - 2017"/>
    <n v="4"/>
    <x v="2"/>
    <n v="2"/>
    <n v="3499.99"/>
    <n v="0.05"/>
    <n v="6649.9809999999998"/>
  </r>
  <r>
    <n v="845"/>
    <n v="1"/>
    <n v="16"/>
    <s v="Electra Townie Original 7D EQ - 2016"/>
    <n v="3"/>
    <x v="0"/>
    <n v="2"/>
    <n v="599.99"/>
    <n v="0.2"/>
    <n v="959.98400000000004"/>
  </r>
  <r>
    <n v="845"/>
    <n v="2"/>
    <n v="75"/>
    <s v="Electra Cruiser Lux Fat Tire 1 Ladies - 2017"/>
    <n v="3"/>
    <x v="0"/>
    <n v="1"/>
    <n v="599.99"/>
    <n v="0.2"/>
    <n v="479.99200000000002"/>
  </r>
  <r>
    <n v="845"/>
    <n v="3"/>
    <n v="26"/>
    <s v="Electra Townie Original 7D EQ - 2016"/>
    <n v="2"/>
    <x v="3"/>
    <n v="2"/>
    <n v="599.99"/>
    <n v="0.05"/>
    <n v="1139.981"/>
  </r>
  <r>
    <n v="845"/>
    <n v="4"/>
    <n v="73"/>
    <s v="Sun Bicycles Brickell Tandem 7 - 2017"/>
    <n v="3"/>
    <x v="0"/>
    <n v="2"/>
    <n v="749.99"/>
    <n v="0.2"/>
    <n v="1199.9839999999999"/>
  </r>
  <r>
    <n v="845"/>
    <n v="5"/>
    <n v="88"/>
    <s v="Trek Precaliber 12 Girls - 2017"/>
    <n v="1"/>
    <x v="5"/>
    <n v="1"/>
    <n v="189.99"/>
    <n v="0.05"/>
    <n v="180.4905"/>
  </r>
  <r>
    <n v="846"/>
    <n v="1"/>
    <n v="46"/>
    <s v="Haro SR 1.3 - 2017"/>
    <n v="6"/>
    <x v="1"/>
    <n v="2"/>
    <n v="1409.99"/>
    <n v="0.05"/>
    <n v="2678.9810000000002"/>
  </r>
  <r>
    <n v="846"/>
    <n v="2"/>
    <n v="47"/>
    <s v="Trek Remedy 9.8 - 2017"/>
    <n v="6"/>
    <x v="1"/>
    <n v="1"/>
    <n v="5299.99"/>
    <n v="7.0000000000000007E-2"/>
    <n v="4928.9906999999994"/>
  </r>
  <r>
    <n v="846"/>
    <n v="3"/>
    <n v="71"/>
    <s v="Sun Bicycles Atlas X-Type - 2017"/>
    <n v="3"/>
    <x v="0"/>
    <n v="1"/>
    <n v="416.99"/>
    <n v="0.1"/>
    <n v="375.291"/>
  </r>
  <r>
    <n v="846"/>
    <n v="4"/>
    <n v="72"/>
    <s v="Sun Bicycles Biscayne Tandem 7 - 2017"/>
    <n v="3"/>
    <x v="0"/>
    <n v="2"/>
    <n v="619.99"/>
    <n v="0.05"/>
    <n v="1177.981"/>
  </r>
  <r>
    <n v="846"/>
    <n v="5"/>
    <n v="103"/>
    <s v="Sun Bicycles Streamway 3 - 2017"/>
    <n v="2"/>
    <x v="3"/>
    <n v="2"/>
    <n v="551.99"/>
    <n v="7.0000000000000007E-2"/>
    <n v="1026.7013999999999"/>
  </r>
  <r>
    <n v="847"/>
    <n v="1"/>
    <n v="61"/>
    <s v="Trek Powerfly 8 FS Plus - 2017"/>
    <n v="5"/>
    <x v="4"/>
    <n v="2"/>
    <n v="4999.99"/>
    <n v="0.05"/>
    <n v="9499.9809999999998"/>
  </r>
  <r>
    <n v="848"/>
    <n v="1"/>
    <n v="93"/>
    <s v="Haro Shredder 20 Girls - 2017"/>
    <n v="1"/>
    <x v="5"/>
    <n v="1"/>
    <n v="209.99"/>
    <n v="7.0000000000000007E-2"/>
    <n v="195.29070000000002"/>
  </r>
  <r>
    <n v="848"/>
    <n v="2"/>
    <n v="100"/>
    <s v="Electra Townie 3i EQ (20-inch) - Boys' - 2017"/>
    <n v="1"/>
    <x v="5"/>
    <n v="2"/>
    <n v="489.99"/>
    <n v="0.2"/>
    <n v="783.98400000000004"/>
  </r>
  <r>
    <n v="848"/>
    <n v="3"/>
    <n v="88"/>
    <s v="Trek Precaliber 12 Girls - 2017"/>
    <n v="1"/>
    <x v="5"/>
    <n v="2"/>
    <n v="189.99"/>
    <n v="0.2"/>
    <n v="303.98400000000004"/>
  </r>
  <r>
    <n v="848"/>
    <n v="4"/>
    <n v="41"/>
    <s v="Haro Shift R3 - 2017"/>
    <n v="6"/>
    <x v="1"/>
    <n v="2"/>
    <n v="1469.99"/>
    <n v="7.0000000000000007E-2"/>
    <n v="2734.1813999999999"/>
  </r>
  <r>
    <n v="849"/>
    <n v="1"/>
    <n v="109"/>
    <s v="Sun Bicycles Cruz 7 - Women's - 2017"/>
    <n v="2"/>
    <x v="3"/>
    <n v="1"/>
    <n v="416.99"/>
    <n v="0.2"/>
    <n v="333.59199999999998"/>
  </r>
  <r>
    <n v="850"/>
    <n v="1"/>
    <n v="101"/>
    <s v="Electra Townie 7D (20-inch) - Boys' - 2017"/>
    <n v="1"/>
    <x v="5"/>
    <n v="2"/>
    <n v="339.99"/>
    <n v="7.0000000000000007E-2"/>
    <n v="632.38139999999999"/>
  </r>
  <r>
    <n v="850"/>
    <n v="2"/>
    <n v="5"/>
    <s v="Heller Shagamaw Frame - 2016"/>
    <n v="6"/>
    <x v="1"/>
    <n v="2"/>
    <n v="1320.99"/>
    <n v="7.0000000000000007E-2"/>
    <n v="2457.0414000000001"/>
  </r>
  <r>
    <n v="850"/>
    <n v="3"/>
    <n v="37"/>
    <s v="Haro Flightline One ST - 2017"/>
    <n v="6"/>
    <x v="1"/>
    <n v="1"/>
    <n v="379.99"/>
    <n v="7.0000000000000007E-2"/>
    <n v="353.39069999999998"/>
  </r>
  <r>
    <n v="851"/>
    <n v="1"/>
    <n v="30"/>
    <s v="Surly Ice Cream Truck Frameset - 2017"/>
    <n v="6"/>
    <x v="1"/>
    <n v="1"/>
    <n v="999.99"/>
    <n v="0.2"/>
    <n v="799.99199999999996"/>
  </r>
  <r>
    <n v="851"/>
    <n v="2"/>
    <n v="93"/>
    <s v="Haro Shredder 20 Girls - 2017"/>
    <n v="1"/>
    <x v="5"/>
    <n v="1"/>
    <n v="209.99"/>
    <n v="0.05"/>
    <n v="199.4905"/>
  </r>
  <r>
    <n v="852"/>
    <n v="1"/>
    <n v="46"/>
    <s v="Haro SR 1.3 - 2017"/>
    <n v="6"/>
    <x v="1"/>
    <n v="2"/>
    <n v="1409.99"/>
    <n v="7.0000000000000007E-2"/>
    <n v="2622.5814"/>
  </r>
  <r>
    <n v="853"/>
    <n v="1"/>
    <n v="99"/>
    <s v="Electra Sugar Skulls 1 (20-inch) - Girl's - 2017"/>
    <n v="1"/>
    <x v="5"/>
    <n v="1"/>
    <n v="299.99"/>
    <n v="0.05"/>
    <n v="284.9905"/>
  </r>
  <r>
    <n v="853"/>
    <n v="2"/>
    <n v="58"/>
    <s v="Trek Madone 9.2 - 2017"/>
    <n v="7"/>
    <x v="6"/>
    <n v="2"/>
    <n v="4999.99"/>
    <n v="0.2"/>
    <n v="7999.9839999999995"/>
  </r>
  <r>
    <n v="853"/>
    <n v="3"/>
    <n v="42"/>
    <s v="Trek Fuel EX 5 27.5 Plus - 2017"/>
    <n v="6"/>
    <x v="1"/>
    <n v="2"/>
    <n v="2299.9899999999998"/>
    <n v="0.2"/>
    <n v="3679.9839999999995"/>
  </r>
  <r>
    <n v="853"/>
    <n v="4"/>
    <n v="45"/>
    <s v="Haro SR 1.2 - 2017"/>
    <n v="6"/>
    <x v="1"/>
    <n v="1"/>
    <n v="869.99"/>
    <n v="0.2"/>
    <n v="695.99199999999996"/>
  </r>
  <r>
    <n v="853"/>
    <n v="5"/>
    <n v="6"/>
    <s v="Surly Ice Cream Truck Frameset - 2016"/>
    <n v="6"/>
    <x v="1"/>
    <n v="1"/>
    <n v="469.99"/>
    <n v="0.05"/>
    <n v="446.4905"/>
  </r>
  <r>
    <n v="854"/>
    <n v="1"/>
    <n v="87"/>
    <s v="Trek Precaliber 12 Boys - 2017"/>
    <n v="1"/>
    <x v="5"/>
    <n v="1"/>
    <n v="189.99"/>
    <n v="0.1"/>
    <n v="170.99100000000001"/>
  </r>
  <r>
    <n v="855"/>
    <n v="1"/>
    <n v="18"/>
    <s v="Pure Cycles Western 3-Speed - Women's - 2015/2016"/>
    <n v="3"/>
    <x v="0"/>
    <n v="1"/>
    <n v="449"/>
    <n v="0.1"/>
    <n v="404.1"/>
  </r>
  <r>
    <n v="855"/>
    <n v="2"/>
    <n v="93"/>
    <s v="Haro Shredder 20 Girls - 2017"/>
    <n v="1"/>
    <x v="5"/>
    <n v="2"/>
    <n v="209.99"/>
    <n v="0.2"/>
    <n v="335.98400000000004"/>
  </r>
  <r>
    <n v="855"/>
    <n v="3"/>
    <n v="89"/>
    <s v="Trek Precaliber 16 Boys - 2017"/>
    <n v="1"/>
    <x v="5"/>
    <n v="1"/>
    <n v="209.99"/>
    <n v="0.2"/>
    <n v="167.99200000000002"/>
  </r>
  <r>
    <n v="856"/>
    <n v="1"/>
    <n v="38"/>
    <s v="Haro Flightline Two 26 Plus - 2017"/>
    <n v="6"/>
    <x v="1"/>
    <n v="2"/>
    <n v="549.99"/>
    <n v="0.05"/>
    <n v="1044.981"/>
  </r>
  <r>
    <n v="857"/>
    <n v="1"/>
    <n v="29"/>
    <s v="Trek X-Caliber 8 - 2017"/>
    <n v="6"/>
    <x v="1"/>
    <n v="1"/>
    <n v="999.99"/>
    <n v="0.2"/>
    <n v="799.99199999999996"/>
  </r>
  <r>
    <n v="858"/>
    <n v="1"/>
    <n v="45"/>
    <s v="Haro SR 1.2 - 2017"/>
    <n v="6"/>
    <x v="1"/>
    <n v="2"/>
    <n v="869.99"/>
    <n v="0.2"/>
    <n v="1391.9839999999999"/>
  </r>
  <r>
    <n v="858"/>
    <n v="2"/>
    <n v="5"/>
    <s v="Heller Shagamaw Frame - 2016"/>
    <n v="6"/>
    <x v="1"/>
    <n v="1"/>
    <n v="1320.99"/>
    <n v="0.2"/>
    <n v="1056.7919999999999"/>
  </r>
  <r>
    <n v="858"/>
    <n v="3"/>
    <n v="14"/>
    <s v="Electra Girl's Hawaii 1 (16-inch) - 2015/2016"/>
    <n v="3"/>
    <x v="0"/>
    <n v="1"/>
    <n v="269.99"/>
    <n v="7.0000000000000007E-2"/>
    <n v="251.0907"/>
  </r>
  <r>
    <n v="858"/>
    <n v="4"/>
    <n v="73"/>
    <s v="Sun Bicycles Brickell Tandem 7 - 2017"/>
    <n v="3"/>
    <x v="0"/>
    <n v="2"/>
    <n v="749.99"/>
    <n v="7.0000000000000007E-2"/>
    <n v="1394.9814000000001"/>
  </r>
  <r>
    <n v="859"/>
    <n v="1"/>
    <n v="38"/>
    <s v="Haro Flightline Two 26 Plus - 2017"/>
    <n v="6"/>
    <x v="1"/>
    <n v="2"/>
    <n v="549.99"/>
    <n v="7.0000000000000007E-2"/>
    <n v="1022.9814"/>
  </r>
  <r>
    <n v="859"/>
    <n v="2"/>
    <n v="13"/>
    <s v="Electra Cruiser 1 (24-Inch) - 2016"/>
    <n v="3"/>
    <x v="0"/>
    <n v="1"/>
    <n v="269.99"/>
    <n v="0.1"/>
    <n v="242.99100000000001"/>
  </r>
  <r>
    <n v="859"/>
    <n v="3"/>
    <n v="14"/>
    <s v="Electra Girl's Hawaii 1 (16-inch) - 2015/2016"/>
    <n v="3"/>
    <x v="0"/>
    <n v="2"/>
    <n v="269.99"/>
    <n v="0.1"/>
    <n v="485.98200000000003"/>
  </r>
  <r>
    <n v="859"/>
    <n v="4"/>
    <n v="71"/>
    <s v="Sun Bicycles Atlas X-Type - 2017"/>
    <n v="3"/>
    <x v="0"/>
    <n v="2"/>
    <n v="416.99"/>
    <n v="0.1"/>
    <n v="750.58199999999999"/>
  </r>
  <r>
    <n v="859"/>
    <n v="5"/>
    <n v="36"/>
    <s v="Surly Troll Frameset - 2017"/>
    <n v="6"/>
    <x v="1"/>
    <n v="2"/>
    <n v="832.99"/>
    <n v="0.1"/>
    <n v="1499.3820000000001"/>
  </r>
  <r>
    <n v="860"/>
    <n v="1"/>
    <n v="6"/>
    <s v="Surly Ice Cream Truck Frameset - 2016"/>
    <n v="6"/>
    <x v="1"/>
    <n v="1"/>
    <n v="469.99"/>
    <n v="0.05"/>
    <n v="446.4905"/>
  </r>
  <r>
    <n v="860"/>
    <n v="2"/>
    <n v="24"/>
    <s v="Electra Townie Original 21D - 2016"/>
    <n v="2"/>
    <x v="3"/>
    <n v="2"/>
    <n v="549.99"/>
    <n v="0.2"/>
    <n v="879.98400000000004"/>
  </r>
  <r>
    <n v="860"/>
    <n v="3"/>
    <n v="25"/>
    <s v="Electra Townie Original 7D - 2015/2016"/>
    <n v="2"/>
    <x v="3"/>
    <n v="1"/>
    <n v="499.99"/>
    <n v="0.2"/>
    <n v="399.99200000000002"/>
  </r>
  <r>
    <n v="860"/>
    <n v="4"/>
    <n v="58"/>
    <s v="Trek Madone 9.2 - 2017"/>
    <n v="7"/>
    <x v="6"/>
    <n v="2"/>
    <n v="4999.99"/>
    <n v="7.0000000000000007E-2"/>
    <n v="9299.9813999999988"/>
  </r>
  <r>
    <n v="860"/>
    <n v="5"/>
    <n v="95"/>
    <s v="Electra Girl's Hawaii 1 16&quot; - 2017"/>
    <n v="1"/>
    <x v="5"/>
    <n v="2"/>
    <n v="299.99"/>
    <n v="0.05"/>
    <n v="569.98099999999999"/>
  </r>
  <r>
    <n v="861"/>
    <n v="1"/>
    <n v="14"/>
    <s v="Electra Girl's Hawaii 1 (16-inch) - 2015/2016"/>
    <n v="3"/>
    <x v="0"/>
    <n v="2"/>
    <n v="269.99"/>
    <n v="7.0000000000000007E-2"/>
    <n v="502.1814"/>
  </r>
  <r>
    <n v="861"/>
    <n v="2"/>
    <n v="62"/>
    <s v="Trek Boone 7 - 2017"/>
    <n v="4"/>
    <x v="2"/>
    <n v="1"/>
    <n v="3499.99"/>
    <n v="0.2"/>
    <n v="2799.9919999999997"/>
  </r>
  <r>
    <n v="862"/>
    <n v="1"/>
    <n v="85"/>
    <s v="Haro Downtown 16 - 2017"/>
    <n v="1"/>
    <x v="5"/>
    <n v="1"/>
    <n v="329.99"/>
    <n v="0.05"/>
    <n v="313.4905"/>
  </r>
  <r>
    <n v="862"/>
    <n v="2"/>
    <n v="99"/>
    <s v="Electra Sugar Skulls 1 (20-inch) - Girl's - 2017"/>
    <n v="1"/>
    <x v="5"/>
    <n v="1"/>
    <n v="299.99"/>
    <n v="0.2"/>
    <n v="239.99200000000002"/>
  </r>
  <r>
    <n v="862"/>
    <n v="3"/>
    <n v="49"/>
    <s v="Trek Domane SL 6 - 2017"/>
    <n v="7"/>
    <x v="6"/>
    <n v="2"/>
    <n v="3499.99"/>
    <n v="7.0000000000000007E-2"/>
    <n v="6509.9813999999997"/>
  </r>
  <r>
    <n v="863"/>
    <n v="1"/>
    <n v="93"/>
    <s v="Haro Shredder 20 Girls - 2017"/>
    <n v="1"/>
    <x v="5"/>
    <n v="2"/>
    <n v="209.99"/>
    <n v="0.1"/>
    <n v="377.98200000000003"/>
  </r>
  <r>
    <n v="864"/>
    <n v="1"/>
    <n v="37"/>
    <s v="Haro Flightline One ST - 2017"/>
    <n v="6"/>
    <x v="1"/>
    <n v="1"/>
    <n v="379.99"/>
    <n v="0.1"/>
    <n v="341.99099999999999"/>
  </r>
  <r>
    <n v="864"/>
    <n v="2"/>
    <n v="65"/>
    <s v="Sun Bicycles Lil Bolt Type-R - 2017"/>
    <n v="3"/>
    <x v="0"/>
    <n v="2"/>
    <n v="346.99"/>
    <n v="0.05"/>
    <n v="659.28100000000006"/>
  </r>
  <r>
    <n v="864"/>
    <n v="3"/>
    <n v="13"/>
    <s v="Electra Cruiser 1 (24-Inch) - 2016"/>
    <n v="3"/>
    <x v="0"/>
    <n v="1"/>
    <n v="269.99"/>
    <n v="0.2"/>
    <n v="215.99200000000002"/>
  </r>
  <r>
    <n v="865"/>
    <n v="1"/>
    <n v="109"/>
    <s v="Sun Bicycles Cruz 7 - Women's - 2017"/>
    <n v="2"/>
    <x v="3"/>
    <n v="2"/>
    <n v="416.99"/>
    <n v="0.1"/>
    <n v="750.58199999999999"/>
  </r>
  <r>
    <n v="865"/>
    <n v="2"/>
    <n v="34"/>
    <s v="Trek Session DH 27.5 Carbon Frameset - 2017"/>
    <n v="6"/>
    <x v="1"/>
    <n v="1"/>
    <n v="469.99"/>
    <n v="0.05"/>
    <n v="446.4905"/>
  </r>
  <r>
    <n v="866"/>
    <n v="1"/>
    <n v="88"/>
    <s v="Trek Precaliber 12 Girls - 2017"/>
    <n v="1"/>
    <x v="5"/>
    <n v="1"/>
    <n v="189.99"/>
    <n v="0.2"/>
    <n v="151.99200000000002"/>
  </r>
  <r>
    <n v="866"/>
    <n v="2"/>
    <n v="67"/>
    <s v="Sun Bicycles Revolutions 24 - Girl's - 2017"/>
    <n v="3"/>
    <x v="0"/>
    <n v="2"/>
    <n v="250.99"/>
    <n v="7.0000000000000007E-2"/>
    <n v="466.84140000000002"/>
  </r>
  <r>
    <n v="866"/>
    <n v="3"/>
    <n v="80"/>
    <s v="Sun Bicycles Brickell Tandem CB - 2017"/>
    <n v="3"/>
    <x v="0"/>
    <n v="1"/>
    <n v="761.99"/>
    <n v="7.0000000000000007E-2"/>
    <n v="708.65070000000003"/>
  </r>
  <r>
    <n v="866"/>
    <n v="4"/>
    <n v="13"/>
    <s v="Electra Cruiser 1 (24-Inch) - 2016"/>
    <n v="3"/>
    <x v="0"/>
    <n v="2"/>
    <n v="269.99"/>
    <n v="7.0000000000000007E-2"/>
    <n v="502.1814"/>
  </r>
  <r>
    <n v="867"/>
    <n v="1"/>
    <n v="101"/>
    <s v="Electra Townie 7D (20-inch) - Boys' - 2017"/>
    <n v="1"/>
    <x v="5"/>
    <n v="1"/>
    <n v="339.99"/>
    <n v="0.05"/>
    <n v="322.9905"/>
  </r>
  <r>
    <n v="868"/>
    <n v="1"/>
    <n v="46"/>
    <s v="Haro SR 1.3 - 2017"/>
    <n v="6"/>
    <x v="1"/>
    <n v="1"/>
    <n v="1409.99"/>
    <n v="7.0000000000000007E-2"/>
    <n v="1311.2907"/>
  </r>
  <r>
    <n v="869"/>
    <n v="1"/>
    <n v="7"/>
    <s v="Trek Slash 8 27.5 - 2016"/>
    <n v="6"/>
    <x v="1"/>
    <n v="1"/>
    <n v="3999.99"/>
    <n v="0.2"/>
    <n v="3199.9919999999997"/>
  </r>
  <r>
    <n v="869"/>
    <n v="2"/>
    <n v="106"/>
    <s v="Sun Bicycles Cruz 3 - 2017"/>
    <n v="2"/>
    <x v="3"/>
    <n v="2"/>
    <n v="449.99"/>
    <n v="0.05"/>
    <n v="854.98099999999999"/>
  </r>
  <r>
    <n v="869"/>
    <n v="3"/>
    <n v="33"/>
    <s v="Surly Wednesday Frameset - 2017"/>
    <n v="6"/>
    <x v="1"/>
    <n v="1"/>
    <n v="469.99"/>
    <n v="0.05"/>
    <n v="446.4905"/>
  </r>
  <r>
    <n v="869"/>
    <n v="4"/>
    <n v="55"/>
    <s v="Trek Domane S 6 - 2017"/>
    <n v="7"/>
    <x v="6"/>
    <n v="2"/>
    <n v="2699.99"/>
    <n v="0.05"/>
    <n v="5129.9809999999998"/>
  </r>
  <r>
    <n v="869"/>
    <n v="5"/>
    <n v="65"/>
    <s v="Sun Bicycles Lil Bolt Type-R - 2017"/>
    <n v="3"/>
    <x v="0"/>
    <n v="2"/>
    <n v="346.99"/>
    <n v="0.2"/>
    <n v="555.18399999999997"/>
  </r>
  <r>
    <n v="870"/>
    <n v="1"/>
    <n v="63"/>
    <s v="Trek Boone Race Shop Limited - 2017"/>
    <n v="4"/>
    <x v="2"/>
    <n v="1"/>
    <n v="3499.99"/>
    <n v="7.0000000000000007E-2"/>
    <n v="3254.9906999999998"/>
  </r>
  <r>
    <n v="871"/>
    <n v="1"/>
    <n v="106"/>
    <s v="Sun Bicycles Cruz 3 - 2017"/>
    <n v="2"/>
    <x v="3"/>
    <n v="1"/>
    <n v="449.99"/>
    <n v="0.2"/>
    <n v="359.99200000000002"/>
  </r>
  <r>
    <n v="871"/>
    <n v="2"/>
    <n v="38"/>
    <s v="Haro Flightline Two 26 Plus - 2017"/>
    <n v="6"/>
    <x v="1"/>
    <n v="1"/>
    <n v="549.99"/>
    <n v="0.1"/>
    <n v="494.99099999999999"/>
  </r>
  <r>
    <n v="871"/>
    <n v="3"/>
    <n v="30"/>
    <s v="Surly Ice Cream Truck Frameset - 2017"/>
    <n v="6"/>
    <x v="1"/>
    <n v="2"/>
    <n v="999.99"/>
    <n v="0.2"/>
    <n v="1599.9839999999999"/>
  </r>
  <r>
    <n v="871"/>
    <n v="4"/>
    <n v="107"/>
    <s v="Sun Bicycles Cruz 7 - 2017"/>
    <n v="2"/>
    <x v="3"/>
    <n v="2"/>
    <n v="416.99"/>
    <n v="0.05"/>
    <n v="792.28100000000006"/>
  </r>
  <r>
    <n v="872"/>
    <n v="1"/>
    <n v="62"/>
    <s v="Trek Boone 7 - 2017"/>
    <n v="4"/>
    <x v="2"/>
    <n v="2"/>
    <n v="3499.99"/>
    <n v="7.0000000000000007E-2"/>
    <n v="6509.9813999999997"/>
  </r>
  <r>
    <n v="872"/>
    <n v="2"/>
    <n v="53"/>
    <s v="Surly Ogre Frameset - 2017"/>
    <n v="7"/>
    <x v="6"/>
    <n v="1"/>
    <n v="749.99"/>
    <n v="0.1"/>
    <n v="674.99099999999999"/>
  </r>
  <r>
    <n v="873"/>
    <n v="1"/>
    <n v="32"/>
    <s v="Trek Farley Alloy Frameset - 2017"/>
    <n v="6"/>
    <x v="1"/>
    <n v="2"/>
    <n v="469.99"/>
    <n v="0.1"/>
    <n v="845.98199999999997"/>
  </r>
  <r>
    <n v="874"/>
    <n v="1"/>
    <n v="56"/>
    <s v="Trek Domane SLR 6 Disc - 2017"/>
    <n v="7"/>
    <x v="6"/>
    <n v="1"/>
    <n v="5499.99"/>
    <n v="0.05"/>
    <n v="5224.9904999999999"/>
  </r>
  <r>
    <n v="874"/>
    <n v="2"/>
    <n v="27"/>
    <s v="Surly Big Dummy Frameset - 2017"/>
    <n v="6"/>
    <x v="1"/>
    <n v="2"/>
    <n v="999.99"/>
    <n v="0.05"/>
    <n v="1899.981"/>
  </r>
  <r>
    <n v="874"/>
    <n v="3"/>
    <n v="73"/>
    <s v="Sun Bicycles Brickell Tandem 7 - 2017"/>
    <n v="3"/>
    <x v="0"/>
    <n v="1"/>
    <n v="749.99"/>
    <n v="0.1"/>
    <n v="674.99099999999999"/>
  </r>
  <r>
    <n v="874"/>
    <n v="4"/>
    <n v="77"/>
    <s v="Electra Glam Punk 3i Ladies' - 2017"/>
    <n v="3"/>
    <x v="0"/>
    <n v="2"/>
    <n v="799.99"/>
    <n v="7.0000000000000007E-2"/>
    <n v="1487.9814000000001"/>
  </r>
  <r>
    <n v="875"/>
    <n v="1"/>
    <n v="5"/>
    <s v="Heller Shagamaw Frame - 2016"/>
    <n v="6"/>
    <x v="1"/>
    <n v="2"/>
    <n v="1320.99"/>
    <n v="0.1"/>
    <n v="2377.7820000000002"/>
  </r>
  <r>
    <n v="875"/>
    <n v="2"/>
    <n v="15"/>
    <s v="Electra Moto 1 - 2016"/>
    <n v="3"/>
    <x v="0"/>
    <n v="2"/>
    <n v="529.99"/>
    <n v="0.05"/>
    <n v="1006.981"/>
  </r>
  <r>
    <n v="875"/>
    <n v="3"/>
    <n v="14"/>
    <s v="Electra Girl's Hawaii 1 (16-inch) - 2015/2016"/>
    <n v="3"/>
    <x v="0"/>
    <n v="1"/>
    <n v="269.99"/>
    <n v="7.0000000000000007E-2"/>
    <n v="251.0907"/>
  </r>
  <r>
    <n v="875"/>
    <n v="4"/>
    <n v="111"/>
    <s v="Sun Bicycles Drifter 7 - Women's - 2017"/>
    <n v="2"/>
    <x v="3"/>
    <n v="1"/>
    <n v="470.99"/>
    <n v="0.2"/>
    <n v="376.79200000000003"/>
  </r>
  <r>
    <n v="876"/>
    <n v="1"/>
    <n v="17"/>
    <s v="Pure Cycles Vine 8-Speed - 2016"/>
    <n v="3"/>
    <x v="0"/>
    <n v="2"/>
    <n v="429"/>
    <n v="0.2"/>
    <n v="686.4"/>
  </r>
  <r>
    <n v="876"/>
    <n v="2"/>
    <n v="66"/>
    <s v="Sun Bicycles Revolutions 24 - 2017"/>
    <n v="3"/>
    <x v="0"/>
    <n v="2"/>
    <n v="250.99"/>
    <n v="0.2"/>
    <n v="401.584"/>
  </r>
  <r>
    <n v="876"/>
    <n v="3"/>
    <n v="96"/>
    <s v="Electra Moto 3i (20-inch) - Boy's - 2017"/>
    <n v="1"/>
    <x v="5"/>
    <n v="1"/>
    <n v="349.99"/>
    <n v="7.0000000000000007E-2"/>
    <n v="325.4907"/>
  </r>
  <r>
    <n v="876"/>
    <n v="4"/>
    <n v="107"/>
    <s v="Sun Bicycles Cruz 7 - 2017"/>
    <n v="2"/>
    <x v="3"/>
    <n v="2"/>
    <n v="416.99"/>
    <n v="0.05"/>
    <n v="792.28100000000006"/>
  </r>
  <r>
    <n v="877"/>
    <n v="1"/>
    <n v="73"/>
    <s v="Sun Bicycles Brickell Tandem 7 - 2017"/>
    <n v="3"/>
    <x v="0"/>
    <n v="1"/>
    <n v="749.99"/>
    <n v="7.0000000000000007E-2"/>
    <n v="697.49070000000006"/>
  </r>
  <r>
    <n v="877"/>
    <n v="2"/>
    <n v="103"/>
    <s v="Sun Bicycles Streamway 3 - 2017"/>
    <n v="2"/>
    <x v="3"/>
    <n v="1"/>
    <n v="551.99"/>
    <n v="0.1"/>
    <n v="496.791"/>
  </r>
  <r>
    <n v="878"/>
    <n v="1"/>
    <n v="103"/>
    <s v="Sun Bicycles Streamway 3 - 2017"/>
    <n v="2"/>
    <x v="3"/>
    <n v="1"/>
    <n v="551.99"/>
    <n v="0.2"/>
    <n v="441.59199999999998"/>
  </r>
  <r>
    <n v="878"/>
    <n v="2"/>
    <n v="13"/>
    <s v="Electra Cruiser 1 (24-Inch) - 2016"/>
    <n v="3"/>
    <x v="0"/>
    <n v="1"/>
    <n v="269.99"/>
    <n v="0.1"/>
    <n v="242.99100000000001"/>
  </r>
  <r>
    <n v="878"/>
    <n v="3"/>
    <n v="6"/>
    <s v="Surly Ice Cream Truck Frameset - 2016"/>
    <n v="6"/>
    <x v="1"/>
    <n v="2"/>
    <n v="469.99"/>
    <n v="0.2"/>
    <n v="751.98400000000004"/>
  </r>
  <r>
    <n v="878"/>
    <n v="4"/>
    <n v="18"/>
    <s v="Pure Cycles Western 3-Speed - Women's - 2015/2016"/>
    <n v="3"/>
    <x v="0"/>
    <n v="2"/>
    <n v="449"/>
    <n v="0.05"/>
    <n v="853.1"/>
  </r>
  <r>
    <n v="879"/>
    <n v="1"/>
    <n v="100"/>
    <s v="Electra Townie 3i EQ (20-inch) - Boys' - 2017"/>
    <n v="1"/>
    <x v="5"/>
    <n v="2"/>
    <n v="489.99"/>
    <n v="0.2"/>
    <n v="783.98400000000004"/>
  </r>
  <r>
    <n v="879"/>
    <n v="2"/>
    <n v="2"/>
    <s v="Ritchey Timberwolf Frameset - 2016"/>
    <n v="6"/>
    <x v="1"/>
    <n v="2"/>
    <n v="749.99"/>
    <n v="7.0000000000000007E-2"/>
    <n v="1394.9814000000001"/>
  </r>
  <r>
    <n v="879"/>
    <n v="3"/>
    <n v="83"/>
    <s v="Trek Boy's Kickster - 2015/2017"/>
    <n v="1"/>
    <x v="5"/>
    <n v="2"/>
    <n v="149.99"/>
    <n v="0.2"/>
    <n v="239.98400000000001"/>
  </r>
  <r>
    <n v="879"/>
    <n v="4"/>
    <n v="82"/>
    <s v="Electra Amsterdam Original 3i Ladies' - 2017"/>
    <n v="3"/>
    <x v="0"/>
    <n v="1"/>
    <n v="659.99"/>
    <n v="7.0000000000000007E-2"/>
    <n v="613.79070000000002"/>
  </r>
  <r>
    <n v="880"/>
    <n v="1"/>
    <n v="28"/>
    <s v="Surly Karate Monkey 27.5+ Frameset - 2017"/>
    <n v="6"/>
    <x v="1"/>
    <n v="2"/>
    <n v="2499.9899999999998"/>
    <n v="0.2"/>
    <n v="3999.9839999999995"/>
  </r>
  <r>
    <n v="880"/>
    <n v="2"/>
    <n v="95"/>
    <s v="Electra Girl's Hawaii 1 16&quot; - 2017"/>
    <n v="1"/>
    <x v="5"/>
    <n v="1"/>
    <n v="299.99"/>
    <n v="0.1"/>
    <n v="269.99099999999999"/>
  </r>
  <r>
    <n v="880"/>
    <n v="3"/>
    <n v="5"/>
    <s v="Heller Shagamaw Frame - 2016"/>
    <n v="6"/>
    <x v="1"/>
    <n v="1"/>
    <n v="1320.99"/>
    <n v="7.0000000000000007E-2"/>
    <n v="1228.5207"/>
  </r>
  <r>
    <n v="880"/>
    <n v="4"/>
    <n v="26"/>
    <s v="Electra Townie Original 7D EQ - 2016"/>
    <n v="2"/>
    <x v="3"/>
    <n v="1"/>
    <n v="599.99"/>
    <n v="0.1"/>
    <n v="539.99099999999999"/>
  </r>
  <r>
    <n v="880"/>
    <n v="5"/>
    <n v="66"/>
    <s v="Sun Bicycles Revolutions 24 - 2017"/>
    <n v="3"/>
    <x v="0"/>
    <n v="1"/>
    <n v="250.99"/>
    <n v="0.2"/>
    <n v="200.792"/>
  </r>
  <r>
    <n v="881"/>
    <n v="1"/>
    <n v="98"/>
    <s v="Electra Straight 8 3i (20-inch) - Boy's - 2017"/>
    <n v="1"/>
    <x v="5"/>
    <n v="1"/>
    <n v="489.99"/>
    <n v="7.0000000000000007E-2"/>
    <n v="455.69069999999999"/>
  </r>
  <r>
    <n v="881"/>
    <n v="2"/>
    <n v="50"/>
    <s v="Trek Silque SLR 7 Women's - 2017"/>
    <n v="7"/>
    <x v="6"/>
    <n v="1"/>
    <n v="5999.99"/>
    <n v="0.2"/>
    <n v="4799.9920000000002"/>
  </r>
  <r>
    <n v="881"/>
    <n v="3"/>
    <n v="64"/>
    <s v="Electra Townie Original 7D - 2017"/>
    <n v="3"/>
    <x v="0"/>
    <n v="2"/>
    <n v="489.99"/>
    <n v="0.05"/>
    <n v="930.98099999999999"/>
  </r>
  <r>
    <n v="881"/>
    <n v="4"/>
    <n v="67"/>
    <s v="Sun Bicycles Revolutions 24 - Girl's - 2017"/>
    <n v="3"/>
    <x v="0"/>
    <n v="1"/>
    <n v="250.99"/>
    <n v="0.1"/>
    <n v="225.89100000000002"/>
  </r>
  <r>
    <n v="882"/>
    <n v="1"/>
    <n v="63"/>
    <s v="Trek Boone Race Shop Limited - 2017"/>
    <n v="4"/>
    <x v="2"/>
    <n v="2"/>
    <n v="3499.99"/>
    <n v="7.0000000000000007E-2"/>
    <n v="6509.9813999999997"/>
  </r>
  <r>
    <n v="882"/>
    <n v="2"/>
    <n v="108"/>
    <s v="Sun Bicycles Cruz 3 - Women's - 2017"/>
    <n v="2"/>
    <x v="3"/>
    <n v="2"/>
    <n v="449.99"/>
    <n v="0.2"/>
    <n v="719.98400000000004"/>
  </r>
  <r>
    <n v="882"/>
    <n v="3"/>
    <n v="57"/>
    <s v="Trek Emonda S 5 - 2017"/>
    <n v="7"/>
    <x v="6"/>
    <n v="2"/>
    <n v="1999.99"/>
    <n v="7.0000000000000007E-2"/>
    <n v="3719.9814000000001"/>
  </r>
  <r>
    <n v="883"/>
    <n v="1"/>
    <n v="44"/>
    <s v="Haro SR 1.1 - 2017"/>
    <n v="6"/>
    <x v="1"/>
    <n v="1"/>
    <n v="539.99"/>
    <n v="0.05"/>
    <n v="512.9905"/>
  </r>
  <r>
    <n v="883"/>
    <n v="2"/>
    <n v="5"/>
    <s v="Heller Shagamaw Frame - 2016"/>
    <n v="6"/>
    <x v="1"/>
    <n v="2"/>
    <n v="1320.99"/>
    <n v="0.05"/>
    <n v="2509.8809999999999"/>
  </r>
  <r>
    <n v="884"/>
    <n v="1"/>
    <n v="49"/>
    <s v="Trek Domane SL 6 - 2017"/>
    <n v="7"/>
    <x v="6"/>
    <n v="2"/>
    <n v="3499.99"/>
    <n v="0.05"/>
    <n v="6649.9809999999998"/>
  </r>
  <r>
    <n v="884"/>
    <n v="2"/>
    <n v="69"/>
    <s v="Sun Bicycles Cruz 7 - 2017"/>
    <n v="3"/>
    <x v="0"/>
    <n v="2"/>
    <n v="416.99"/>
    <n v="7.0000000000000007E-2"/>
    <n v="775.60140000000001"/>
  </r>
  <r>
    <n v="884"/>
    <n v="3"/>
    <n v="46"/>
    <s v="Haro SR 1.3 - 2017"/>
    <n v="6"/>
    <x v="1"/>
    <n v="2"/>
    <n v="1409.99"/>
    <n v="0.2"/>
    <n v="2255.9839999999999"/>
  </r>
  <r>
    <n v="884"/>
    <n v="4"/>
    <n v="10"/>
    <s v="Surly Straggler - 2016"/>
    <n v="4"/>
    <x v="2"/>
    <n v="1"/>
    <n v="1549"/>
    <n v="0.1"/>
    <n v="1394.1"/>
  </r>
  <r>
    <n v="884"/>
    <n v="5"/>
    <n v="21"/>
    <s v="Electra Cruiser 1 (24-Inch) - 2016"/>
    <n v="1"/>
    <x v="5"/>
    <n v="2"/>
    <n v="269.99"/>
    <n v="0.05"/>
    <n v="512.98099999999999"/>
  </r>
  <r>
    <n v="885"/>
    <n v="1"/>
    <n v="106"/>
    <s v="Sun Bicycles Cruz 3 - 2017"/>
    <n v="2"/>
    <x v="3"/>
    <n v="1"/>
    <n v="449.99"/>
    <n v="7.0000000000000007E-2"/>
    <n v="418.4907"/>
  </r>
  <r>
    <n v="885"/>
    <n v="2"/>
    <n v="43"/>
    <s v="Trek Fuel EX 9.8 27.5 Plus - 2017"/>
    <n v="6"/>
    <x v="1"/>
    <n v="1"/>
    <n v="5299.99"/>
    <n v="0.1"/>
    <n v="4769.991"/>
  </r>
  <r>
    <n v="886"/>
    <n v="1"/>
    <n v="47"/>
    <s v="Trek Remedy 9.8 - 2017"/>
    <n v="6"/>
    <x v="1"/>
    <n v="1"/>
    <n v="5299.99"/>
    <n v="0.05"/>
    <n v="5034.9904999999999"/>
  </r>
  <r>
    <n v="886"/>
    <n v="2"/>
    <n v="30"/>
    <s v="Surly Ice Cream Truck Frameset - 2017"/>
    <n v="6"/>
    <x v="1"/>
    <n v="1"/>
    <n v="999.99"/>
    <n v="0.05"/>
    <n v="949.9905"/>
  </r>
  <r>
    <n v="887"/>
    <n v="1"/>
    <n v="50"/>
    <s v="Trek Silque SLR 7 Women's - 2017"/>
    <n v="7"/>
    <x v="6"/>
    <n v="2"/>
    <n v="5999.99"/>
    <n v="0.05"/>
    <n v="11399.981"/>
  </r>
  <r>
    <n v="887"/>
    <n v="2"/>
    <n v="70"/>
    <s v="Electra Amsterdam Original 3i - 2015/2017"/>
    <n v="3"/>
    <x v="0"/>
    <n v="1"/>
    <n v="659.99"/>
    <n v="0.1"/>
    <n v="593.99099999999999"/>
  </r>
  <r>
    <n v="888"/>
    <n v="1"/>
    <n v="33"/>
    <s v="Surly Wednesday Frameset - 2017"/>
    <n v="6"/>
    <x v="1"/>
    <n v="2"/>
    <n v="469.99"/>
    <n v="0.1"/>
    <n v="845.98199999999997"/>
  </r>
  <r>
    <n v="888"/>
    <n v="2"/>
    <n v="26"/>
    <s v="Electra Townie Original 7D EQ - 2016"/>
    <n v="2"/>
    <x v="3"/>
    <n v="2"/>
    <n v="599.99"/>
    <n v="0.2"/>
    <n v="959.98400000000004"/>
  </r>
  <r>
    <n v="889"/>
    <n v="1"/>
    <n v="12"/>
    <s v="Electra Townie Original 21D - 2016"/>
    <n v="3"/>
    <x v="0"/>
    <n v="2"/>
    <n v="549.99"/>
    <n v="0.1"/>
    <n v="989.98199999999997"/>
  </r>
  <r>
    <n v="890"/>
    <n v="1"/>
    <n v="16"/>
    <s v="Electra Townie Original 7D EQ - 2016"/>
    <n v="3"/>
    <x v="0"/>
    <n v="2"/>
    <n v="599.99"/>
    <n v="0.1"/>
    <n v="1079.982"/>
  </r>
  <r>
    <n v="890"/>
    <n v="2"/>
    <n v="105"/>
    <s v="Sun Bicycles Streamway 7 - 2017"/>
    <n v="2"/>
    <x v="3"/>
    <n v="2"/>
    <n v="533.99"/>
    <n v="0.1"/>
    <n v="961.18200000000002"/>
  </r>
  <r>
    <n v="890"/>
    <n v="3"/>
    <n v="52"/>
    <s v="Surly Steamroller - 2017"/>
    <n v="7"/>
    <x v="6"/>
    <n v="1"/>
    <n v="875.99"/>
    <n v="0.05"/>
    <n v="832.19050000000004"/>
  </r>
  <r>
    <n v="890"/>
    <n v="4"/>
    <n v="67"/>
    <s v="Sun Bicycles Revolutions 24 - Girl's - 2017"/>
    <n v="3"/>
    <x v="0"/>
    <n v="1"/>
    <n v="250.99"/>
    <n v="0.1"/>
    <n v="225.89100000000002"/>
  </r>
  <r>
    <n v="890"/>
    <n v="5"/>
    <n v="65"/>
    <s v="Sun Bicycles Lil Bolt Type-R - 2017"/>
    <n v="3"/>
    <x v="0"/>
    <n v="2"/>
    <n v="346.99"/>
    <n v="0.1"/>
    <n v="624.58199999999999"/>
  </r>
  <r>
    <n v="891"/>
    <n v="1"/>
    <n v="107"/>
    <s v="Sun Bicycles Cruz 7 - 2017"/>
    <n v="2"/>
    <x v="3"/>
    <n v="2"/>
    <n v="416.99"/>
    <n v="0.1"/>
    <n v="750.58199999999999"/>
  </r>
  <r>
    <n v="891"/>
    <n v="2"/>
    <n v="32"/>
    <s v="Trek Farley Alloy Frameset - 2017"/>
    <n v="6"/>
    <x v="1"/>
    <n v="1"/>
    <n v="469.99"/>
    <n v="0.05"/>
    <n v="446.4905"/>
  </r>
  <r>
    <n v="891"/>
    <n v="3"/>
    <n v="35"/>
    <s v="Sun Bicycles Spider 3i - 2017"/>
    <n v="6"/>
    <x v="1"/>
    <n v="2"/>
    <n v="832.99"/>
    <n v="0.1"/>
    <n v="1499.3820000000001"/>
  </r>
  <r>
    <n v="891"/>
    <n v="4"/>
    <n v="50"/>
    <s v="Trek Silque SLR 7 Women's - 2017"/>
    <n v="7"/>
    <x v="6"/>
    <n v="1"/>
    <n v="5999.99"/>
    <n v="0.1"/>
    <n v="5399.991"/>
  </r>
  <r>
    <n v="892"/>
    <n v="1"/>
    <n v="36"/>
    <s v="Surly Troll Frameset - 2017"/>
    <n v="6"/>
    <x v="1"/>
    <n v="1"/>
    <n v="832.99"/>
    <n v="0.1"/>
    <n v="749.69100000000003"/>
  </r>
  <r>
    <n v="892"/>
    <n v="2"/>
    <n v="9"/>
    <s v="Trek Conduit+ - 2016"/>
    <n v="5"/>
    <x v="4"/>
    <n v="2"/>
    <n v="2999.99"/>
    <n v="0.2"/>
    <n v="4799.9839999999995"/>
  </r>
  <r>
    <n v="892"/>
    <n v="3"/>
    <n v="50"/>
    <s v="Trek Silque SLR 7 Women's - 2017"/>
    <n v="7"/>
    <x v="6"/>
    <n v="2"/>
    <n v="5999.99"/>
    <n v="7.0000000000000007E-2"/>
    <n v="11159.981399999999"/>
  </r>
  <r>
    <n v="892"/>
    <n v="4"/>
    <n v="88"/>
    <s v="Trek Precaliber 12 Girls - 2017"/>
    <n v="1"/>
    <x v="5"/>
    <n v="1"/>
    <n v="189.99"/>
    <n v="0.05"/>
    <n v="180.4905"/>
  </r>
  <r>
    <n v="893"/>
    <n v="1"/>
    <n v="67"/>
    <s v="Sun Bicycles Revolutions 24 - Girl's - 2017"/>
    <n v="3"/>
    <x v="0"/>
    <n v="2"/>
    <n v="250.99"/>
    <n v="0.05"/>
    <n v="476.88100000000003"/>
  </r>
  <r>
    <n v="893"/>
    <n v="2"/>
    <n v="45"/>
    <s v="Haro SR 1.2 - 2017"/>
    <n v="6"/>
    <x v="1"/>
    <n v="1"/>
    <n v="869.99"/>
    <n v="7.0000000000000007E-2"/>
    <n v="809.09069999999997"/>
  </r>
  <r>
    <n v="894"/>
    <n v="1"/>
    <n v="101"/>
    <s v="Electra Townie 7D (20-inch) - Boys' - 2017"/>
    <n v="1"/>
    <x v="5"/>
    <n v="2"/>
    <n v="339.99"/>
    <n v="0.2"/>
    <n v="543.98400000000004"/>
  </r>
  <r>
    <n v="895"/>
    <n v="1"/>
    <n v="106"/>
    <s v="Sun Bicycles Cruz 3 - 2017"/>
    <n v="2"/>
    <x v="3"/>
    <n v="1"/>
    <n v="449.99"/>
    <n v="7.0000000000000007E-2"/>
    <n v="418.4907"/>
  </r>
  <r>
    <n v="896"/>
    <n v="1"/>
    <n v="91"/>
    <s v="Trek Precaliber 24 (21-Speed) - Girls - 2017"/>
    <n v="1"/>
    <x v="5"/>
    <n v="2"/>
    <n v="349.99"/>
    <n v="0.05"/>
    <n v="664.98099999999999"/>
  </r>
  <r>
    <n v="896"/>
    <n v="2"/>
    <n v="10"/>
    <s v="Surly Straggler - 2016"/>
    <n v="4"/>
    <x v="2"/>
    <n v="1"/>
    <n v="1549"/>
    <n v="0.05"/>
    <n v="1471.55"/>
  </r>
  <r>
    <n v="897"/>
    <n v="1"/>
    <n v="105"/>
    <s v="Sun Bicycles Streamway 7 - 2017"/>
    <n v="2"/>
    <x v="3"/>
    <n v="1"/>
    <n v="533.99"/>
    <n v="0.05"/>
    <n v="507.29050000000001"/>
  </r>
  <r>
    <n v="897"/>
    <n v="2"/>
    <n v="96"/>
    <s v="Electra Moto 3i (20-inch) - Boy's - 2017"/>
    <n v="1"/>
    <x v="5"/>
    <n v="1"/>
    <n v="349.99"/>
    <n v="0.05"/>
    <n v="332.4905"/>
  </r>
  <r>
    <n v="898"/>
    <n v="1"/>
    <n v="45"/>
    <s v="Haro SR 1.2 - 2017"/>
    <n v="6"/>
    <x v="1"/>
    <n v="2"/>
    <n v="869.99"/>
    <n v="0.2"/>
    <n v="1391.9839999999999"/>
  </r>
  <r>
    <n v="898"/>
    <n v="2"/>
    <n v="16"/>
    <s v="Electra Townie Original 7D EQ - 2016"/>
    <n v="3"/>
    <x v="0"/>
    <n v="1"/>
    <n v="599.99"/>
    <n v="7.0000000000000007E-2"/>
    <n v="557.99070000000006"/>
  </r>
  <r>
    <n v="898"/>
    <n v="3"/>
    <n v="57"/>
    <s v="Trek Emonda S 5 - 2017"/>
    <n v="7"/>
    <x v="6"/>
    <n v="2"/>
    <n v="1999.99"/>
    <n v="0.2"/>
    <n v="3199.9839999999999"/>
  </r>
  <r>
    <n v="898"/>
    <n v="4"/>
    <n v="69"/>
    <s v="Sun Bicycles Cruz 7 - 2017"/>
    <n v="3"/>
    <x v="0"/>
    <n v="2"/>
    <n v="416.99"/>
    <n v="7.0000000000000007E-2"/>
    <n v="775.60140000000001"/>
  </r>
  <r>
    <n v="899"/>
    <n v="1"/>
    <n v="59"/>
    <s v="Trek Domane S 5 Disc - 2017"/>
    <n v="7"/>
    <x v="6"/>
    <n v="2"/>
    <n v="2599.9899999999998"/>
    <n v="0.1"/>
    <n v="4679.982"/>
  </r>
  <r>
    <n v="899"/>
    <n v="2"/>
    <n v="17"/>
    <s v="Pure Cycles Vine 8-Speed - 2016"/>
    <n v="3"/>
    <x v="0"/>
    <n v="1"/>
    <n v="429"/>
    <n v="0.1"/>
    <n v="386.1"/>
  </r>
  <r>
    <n v="899"/>
    <n v="3"/>
    <n v="6"/>
    <s v="Surly Ice Cream Truck Frameset - 2016"/>
    <n v="6"/>
    <x v="1"/>
    <n v="1"/>
    <n v="469.99"/>
    <n v="0.2"/>
    <n v="375.99200000000002"/>
  </r>
  <r>
    <n v="900"/>
    <n v="1"/>
    <n v="26"/>
    <s v="Electra Townie Original 7D EQ - 2016"/>
    <n v="2"/>
    <x v="3"/>
    <n v="2"/>
    <n v="599.99"/>
    <n v="0.05"/>
    <n v="1139.981"/>
  </r>
  <r>
    <n v="900"/>
    <n v="2"/>
    <n v="108"/>
    <s v="Sun Bicycles Cruz 3 - Women's - 2017"/>
    <n v="2"/>
    <x v="3"/>
    <n v="1"/>
    <n v="449.99"/>
    <n v="7.0000000000000007E-2"/>
    <n v="418.4907"/>
  </r>
  <r>
    <n v="900"/>
    <n v="3"/>
    <n v="89"/>
    <s v="Trek Precaliber 16 Boys - 2017"/>
    <n v="1"/>
    <x v="5"/>
    <n v="1"/>
    <n v="209.99"/>
    <n v="0.2"/>
    <n v="167.99200000000002"/>
  </r>
  <r>
    <n v="900"/>
    <n v="4"/>
    <n v="61"/>
    <s v="Trek Powerfly 8 FS Plus - 2017"/>
    <n v="5"/>
    <x v="4"/>
    <n v="2"/>
    <n v="4999.99"/>
    <n v="0.05"/>
    <n v="9499.9809999999998"/>
  </r>
  <r>
    <n v="900"/>
    <n v="5"/>
    <n v="28"/>
    <s v="Surly Karate Monkey 27.5+ Frameset - 2017"/>
    <n v="6"/>
    <x v="1"/>
    <n v="2"/>
    <n v="2499.9899999999998"/>
    <n v="7.0000000000000007E-2"/>
    <n v="4649.9813999999997"/>
  </r>
  <r>
    <n v="901"/>
    <n v="1"/>
    <n v="50"/>
    <s v="Trek Silque SLR 7 Women's - 2017"/>
    <n v="7"/>
    <x v="6"/>
    <n v="1"/>
    <n v="5999.99"/>
    <n v="0.2"/>
    <n v="4799.9920000000002"/>
  </r>
  <r>
    <n v="901"/>
    <n v="2"/>
    <n v="43"/>
    <s v="Trek Fuel EX 9.8 27.5 Plus - 2017"/>
    <n v="6"/>
    <x v="1"/>
    <n v="1"/>
    <n v="5299.99"/>
    <n v="7.0000000000000007E-2"/>
    <n v="4928.9906999999994"/>
  </r>
  <r>
    <n v="902"/>
    <n v="1"/>
    <n v="38"/>
    <s v="Haro Flightline Two 26 Plus - 2017"/>
    <n v="6"/>
    <x v="1"/>
    <n v="2"/>
    <n v="549.99"/>
    <n v="7.0000000000000007E-2"/>
    <n v="1022.9814"/>
  </r>
  <r>
    <n v="902"/>
    <n v="2"/>
    <n v="92"/>
    <s v="Haro Shredder 20 - 2017"/>
    <n v="1"/>
    <x v="5"/>
    <n v="1"/>
    <n v="209.99"/>
    <n v="7.0000000000000007E-2"/>
    <n v="195.29070000000002"/>
  </r>
  <r>
    <n v="902"/>
    <n v="3"/>
    <n v="12"/>
    <s v="Electra Townie Original 21D - 2016"/>
    <n v="3"/>
    <x v="0"/>
    <n v="1"/>
    <n v="549.99"/>
    <n v="0.2"/>
    <n v="439.99200000000002"/>
  </r>
  <r>
    <n v="902"/>
    <n v="4"/>
    <n v="76"/>
    <s v="Electra Girl's Hawaii 1 16&quot; - 2017"/>
    <n v="3"/>
    <x v="0"/>
    <n v="2"/>
    <n v="299.99"/>
    <n v="0.05"/>
    <n v="569.98099999999999"/>
  </r>
  <r>
    <n v="903"/>
    <n v="1"/>
    <n v="31"/>
    <s v="Surly Wednesday - 2017"/>
    <n v="6"/>
    <x v="1"/>
    <n v="2"/>
    <n v="1632.99"/>
    <n v="7.0000000000000007E-2"/>
    <n v="3037.3613999999998"/>
  </r>
  <r>
    <n v="903"/>
    <n v="2"/>
    <n v="48"/>
    <s v="Trek Emonda S 4 - 2017"/>
    <n v="7"/>
    <x v="6"/>
    <n v="2"/>
    <n v="1499.99"/>
    <n v="0.05"/>
    <n v="2849.9810000000002"/>
  </r>
  <r>
    <n v="904"/>
    <n v="1"/>
    <n v="36"/>
    <s v="Surly Troll Frameset - 2017"/>
    <n v="6"/>
    <x v="1"/>
    <n v="2"/>
    <n v="832.99"/>
    <n v="0.1"/>
    <n v="1499.3820000000001"/>
  </r>
  <r>
    <n v="904"/>
    <n v="2"/>
    <n v="51"/>
    <s v="Trek Silque SLR 8 Women's - 2017"/>
    <n v="7"/>
    <x v="6"/>
    <n v="2"/>
    <n v="6499.99"/>
    <n v="7.0000000000000007E-2"/>
    <n v="12089.981399999999"/>
  </r>
  <r>
    <n v="904"/>
    <n v="3"/>
    <n v="92"/>
    <s v="Haro Shredder 20 - 2017"/>
    <n v="1"/>
    <x v="5"/>
    <n v="2"/>
    <n v="209.99"/>
    <n v="0.2"/>
    <n v="335.98400000000004"/>
  </r>
  <r>
    <n v="904"/>
    <n v="4"/>
    <n v="13"/>
    <s v="Electra Cruiser 1 (24-Inch) - 2016"/>
    <n v="3"/>
    <x v="0"/>
    <n v="1"/>
    <n v="269.99"/>
    <n v="0.2"/>
    <n v="215.99200000000002"/>
  </r>
  <r>
    <n v="905"/>
    <n v="1"/>
    <n v="67"/>
    <s v="Sun Bicycles Revolutions 24 - Girl's - 2017"/>
    <n v="3"/>
    <x v="0"/>
    <n v="1"/>
    <n v="250.99"/>
    <n v="0.1"/>
    <n v="225.89100000000002"/>
  </r>
  <r>
    <n v="905"/>
    <n v="2"/>
    <n v="62"/>
    <s v="Trek Boone 7 - 2017"/>
    <n v="4"/>
    <x v="2"/>
    <n v="2"/>
    <n v="3499.99"/>
    <n v="0.05"/>
    <n v="6649.9809999999998"/>
  </r>
  <r>
    <n v="905"/>
    <n v="3"/>
    <n v="42"/>
    <s v="Trek Fuel EX 5 27.5 Plus - 2017"/>
    <n v="6"/>
    <x v="1"/>
    <n v="2"/>
    <n v="2299.9899999999998"/>
    <n v="0.2"/>
    <n v="3679.9839999999995"/>
  </r>
  <r>
    <n v="905"/>
    <n v="4"/>
    <n v="20"/>
    <s v="Electra Townie Original 7D EQ - Women's - 2016"/>
    <n v="3"/>
    <x v="0"/>
    <n v="1"/>
    <n v="599.99"/>
    <n v="0.2"/>
    <n v="479.99200000000002"/>
  </r>
  <r>
    <n v="906"/>
    <n v="1"/>
    <n v="23"/>
    <s v="Electra Girl's Hawaii 1 (20-inch) - 2015/2016"/>
    <n v="1"/>
    <x v="5"/>
    <n v="2"/>
    <n v="299.99"/>
    <n v="0.2"/>
    <n v="479.98400000000004"/>
  </r>
  <r>
    <n v="906"/>
    <n v="2"/>
    <n v="28"/>
    <s v="Surly Karate Monkey 27.5+ Frameset - 2017"/>
    <n v="6"/>
    <x v="1"/>
    <n v="2"/>
    <n v="2499.9899999999998"/>
    <n v="7.0000000000000007E-2"/>
    <n v="4649.9813999999997"/>
  </r>
  <r>
    <n v="906"/>
    <n v="3"/>
    <n v="46"/>
    <s v="Haro SR 1.3 - 2017"/>
    <n v="6"/>
    <x v="1"/>
    <n v="1"/>
    <n v="1409.99"/>
    <n v="0.05"/>
    <n v="1339.4905000000001"/>
  </r>
  <r>
    <n v="906"/>
    <n v="4"/>
    <n v="102"/>
    <s v="Electra Townie Original 7D - 2017"/>
    <n v="2"/>
    <x v="3"/>
    <n v="2"/>
    <n v="489.99"/>
    <n v="0.1"/>
    <n v="881.98199999999997"/>
  </r>
  <r>
    <n v="906"/>
    <n v="5"/>
    <n v="22"/>
    <s v="Electra Girl's Hawaii 1 (16-inch) - 2015/2016"/>
    <n v="1"/>
    <x v="5"/>
    <n v="2"/>
    <n v="269.99"/>
    <n v="0.2"/>
    <n v="431.98400000000004"/>
  </r>
  <r>
    <n v="907"/>
    <n v="1"/>
    <n v="84"/>
    <s v="Sun Bicycles Lil Kitt'n - 2017"/>
    <n v="1"/>
    <x v="5"/>
    <n v="2"/>
    <n v="109.99"/>
    <n v="7.0000000000000007E-2"/>
    <n v="204.5814"/>
  </r>
  <r>
    <n v="907"/>
    <n v="2"/>
    <n v="65"/>
    <s v="Sun Bicycles Lil Bolt Type-R - 2017"/>
    <n v="3"/>
    <x v="0"/>
    <n v="1"/>
    <n v="346.99"/>
    <n v="7.0000000000000007E-2"/>
    <n v="322.70069999999998"/>
  </r>
  <r>
    <n v="908"/>
    <n v="1"/>
    <n v="41"/>
    <s v="Haro Shift R3 - 2017"/>
    <n v="6"/>
    <x v="1"/>
    <n v="1"/>
    <n v="1469.99"/>
    <n v="0.2"/>
    <n v="1175.992"/>
  </r>
  <r>
    <n v="908"/>
    <n v="2"/>
    <n v="94"/>
    <s v="Haro Shredder Pro 20 - 2017"/>
    <n v="1"/>
    <x v="5"/>
    <n v="1"/>
    <n v="249.99"/>
    <n v="0.1"/>
    <n v="224.99100000000001"/>
  </r>
  <r>
    <n v="908"/>
    <n v="3"/>
    <n v="102"/>
    <s v="Electra Townie Original 7D - 2017"/>
    <n v="2"/>
    <x v="3"/>
    <n v="2"/>
    <n v="489.99"/>
    <n v="0.1"/>
    <n v="881.98199999999997"/>
  </r>
  <r>
    <n v="909"/>
    <n v="1"/>
    <n v="5"/>
    <s v="Heller Shagamaw Frame - 2016"/>
    <n v="6"/>
    <x v="1"/>
    <n v="1"/>
    <n v="1320.99"/>
    <n v="0.2"/>
    <n v="1056.7919999999999"/>
  </r>
  <r>
    <n v="910"/>
    <n v="1"/>
    <n v="23"/>
    <s v="Electra Girl's Hawaii 1 (20-inch) - 2015/2016"/>
    <n v="1"/>
    <x v="5"/>
    <n v="1"/>
    <n v="299.99"/>
    <n v="0.1"/>
    <n v="269.99099999999999"/>
  </r>
  <r>
    <n v="911"/>
    <n v="1"/>
    <n v="66"/>
    <s v="Sun Bicycles Revolutions 24 - 2017"/>
    <n v="3"/>
    <x v="0"/>
    <n v="2"/>
    <n v="250.99"/>
    <n v="0.05"/>
    <n v="476.88100000000003"/>
  </r>
  <r>
    <n v="911"/>
    <n v="2"/>
    <n v="106"/>
    <s v="Sun Bicycles Cruz 3 - 2017"/>
    <n v="2"/>
    <x v="3"/>
    <n v="1"/>
    <n v="449.99"/>
    <n v="0.05"/>
    <n v="427.4905"/>
  </r>
  <r>
    <n v="911"/>
    <n v="3"/>
    <n v="91"/>
    <s v="Trek Precaliber 24 (21-Speed) - Girls - 2017"/>
    <n v="1"/>
    <x v="5"/>
    <n v="2"/>
    <n v="349.99"/>
    <n v="0.05"/>
    <n v="664.98099999999999"/>
  </r>
  <r>
    <n v="911"/>
    <n v="4"/>
    <n v="49"/>
    <s v="Trek Domane SL 6 - 2017"/>
    <n v="7"/>
    <x v="6"/>
    <n v="1"/>
    <n v="3499.99"/>
    <n v="0.2"/>
    <n v="2799.9919999999997"/>
  </r>
  <r>
    <n v="912"/>
    <n v="1"/>
    <n v="22"/>
    <s v="Electra Girl's Hawaii 1 (16-inch) - 2015/2016"/>
    <n v="1"/>
    <x v="5"/>
    <n v="2"/>
    <n v="269.99"/>
    <n v="0.2"/>
    <n v="431.98400000000004"/>
  </r>
  <r>
    <n v="912"/>
    <n v="2"/>
    <n v="71"/>
    <s v="Sun Bicycles Atlas X-Type - 2017"/>
    <n v="3"/>
    <x v="0"/>
    <n v="2"/>
    <n v="416.99"/>
    <n v="0.05"/>
    <n v="792.28100000000006"/>
  </r>
  <r>
    <n v="912"/>
    <n v="3"/>
    <n v="101"/>
    <s v="Electra Townie 7D (20-inch) - Boys' - 2017"/>
    <n v="1"/>
    <x v="5"/>
    <n v="1"/>
    <n v="339.99"/>
    <n v="0.05"/>
    <n v="322.9905"/>
  </r>
  <r>
    <n v="912"/>
    <n v="4"/>
    <n v="2"/>
    <s v="Ritchey Timberwolf Frameset - 2016"/>
    <n v="6"/>
    <x v="1"/>
    <n v="2"/>
    <n v="749.99"/>
    <n v="0.2"/>
    <n v="1199.9839999999999"/>
  </r>
  <r>
    <n v="913"/>
    <n v="1"/>
    <n v="90"/>
    <s v="Trek Precaliber 16 Girls - 2017"/>
    <n v="1"/>
    <x v="5"/>
    <n v="2"/>
    <n v="209.99"/>
    <n v="0.1"/>
    <n v="377.98200000000003"/>
  </r>
  <r>
    <n v="913"/>
    <n v="2"/>
    <n v="24"/>
    <s v="Electra Townie Original 21D - 2016"/>
    <n v="2"/>
    <x v="3"/>
    <n v="2"/>
    <n v="549.99"/>
    <n v="0.05"/>
    <n v="1044.981"/>
  </r>
  <r>
    <n v="914"/>
    <n v="1"/>
    <n v="38"/>
    <s v="Haro Flightline Two 26 Plus - 2017"/>
    <n v="6"/>
    <x v="1"/>
    <n v="1"/>
    <n v="549.99"/>
    <n v="7.0000000000000007E-2"/>
    <n v="511.4907"/>
  </r>
  <r>
    <n v="914"/>
    <n v="2"/>
    <n v="20"/>
    <s v="Electra Townie Original 7D EQ - Women's - 2016"/>
    <n v="3"/>
    <x v="0"/>
    <n v="2"/>
    <n v="599.99"/>
    <n v="0.2"/>
    <n v="959.98400000000004"/>
  </r>
  <r>
    <n v="914"/>
    <n v="3"/>
    <n v="106"/>
    <s v="Sun Bicycles Cruz 3 - 2017"/>
    <n v="2"/>
    <x v="3"/>
    <n v="1"/>
    <n v="449.99"/>
    <n v="0.05"/>
    <n v="427.4905"/>
  </r>
  <r>
    <n v="914"/>
    <n v="4"/>
    <n v="46"/>
    <s v="Haro SR 1.3 - 2017"/>
    <n v="6"/>
    <x v="1"/>
    <n v="1"/>
    <n v="1409.99"/>
    <n v="0.1"/>
    <n v="1268.991"/>
  </r>
  <r>
    <n v="915"/>
    <n v="1"/>
    <n v="64"/>
    <s v="Electra Townie Original 7D - 2017"/>
    <n v="3"/>
    <x v="0"/>
    <n v="1"/>
    <n v="489.99"/>
    <n v="0.05"/>
    <n v="465.4905"/>
  </r>
  <r>
    <n v="915"/>
    <n v="2"/>
    <n v="48"/>
    <s v="Trek Emonda S 4 - 2017"/>
    <n v="7"/>
    <x v="6"/>
    <n v="1"/>
    <n v="1499.99"/>
    <n v="7.0000000000000007E-2"/>
    <n v="1394.9907000000001"/>
  </r>
  <r>
    <n v="915"/>
    <n v="3"/>
    <n v="42"/>
    <s v="Trek Fuel EX 5 27.5 Plus - 2017"/>
    <n v="6"/>
    <x v="1"/>
    <n v="1"/>
    <n v="2299.9899999999998"/>
    <n v="0.2"/>
    <n v="1839.9919999999997"/>
  </r>
  <r>
    <n v="915"/>
    <n v="4"/>
    <n v="2"/>
    <s v="Ritchey Timberwolf Frameset - 2016"/>
    <n v="6"/>
    <x v="1"/>
    <n v="1"/>
    <n v="749.99"/>
    <n v="7.0000000000000007E-2"/>
    <n v="697.49070000000006"/>
  </r>
  <r>
    <n v="916"/>
    <n v="1"/>
    <n v="92"/>
    <s v="Haro Shredder 20 - 2017"/>
    <n v="1"/>
    <x v="5"/>
    <n v="1"/>
    <n v="209.99"/>
    <n v="0.2"/>
    <n v="167.99200000000002"/>
  </r>
  <r>
    <n v="917"/>
    <n v="1"/>
    <n v="41"/>
    <s v="Haro Shift R3 - 2017"/>
    <n v="6"/>
    <x v="1"/>
    <n v="1"/>
    <n v="1469.99"/>
    <n v="7.0000000000000007E-2"/>
    <n v="1367.0907"/>
  </r>
  <r>
    <n v="918"/>
    <n v="1"/>
    <n v="91"/>
    <s v="Trek Precaliber 24 (21-Speed) - Girls - 2017"/>
    <n v="1"/>
    <x v="5"/>
    <n v="1"/>
    <n v="349.99"/>
    <n v="0.2"/>
    <n v="279.99200000000002"/>
  </r>
  <r>
    <n v="918"/>
    <n v="2"/>
    <n v="31"/>
    <s v="Surly Wednesday - 2017"/>
    <n v="6"/>
    <x v="1"/>
    <n v="1"/>
    <n v="1632.99"/>
    <n v="0.1"/>
    <n v="1469.691"/>
  </r>
  <r>
    <n v="918"/>
    <n v="3"/>
    <n v="4"/>
    <s v="Trek Fuel EX 8 29 - 2016"/>
    <n v="6"/>
    <x v="1"/>
    <n v="2"/>
    <n v="2899.99"/>
    <n v="7.0000000000000007E-2"/>
    <n v="5393.9813999999997"/>
  </r>
  <r>
    <n v="919"/>
    <n v="1"/>
    <n v="7"/>
    <s v="Trek Slash 8 27.5 - 2016"/>
    <n v="6"/>
    <x v="1"/>
    <n v="1"/>
    <n v="3999.99"/>
    <n v="7.0000000000000007E-2"/>
    <n v="3719.9906999999998"/>
  </r>
  <r>
    <n v="919"/>
    <n v="2"/>
    <n v="44"/>
    <s v="Haro SR 1.1 - 2017"/>
    <n v="6"/>
    <x v="1"/>
    <n v="1"/>
    <n v="539.99"/>
    <n v="0.1"/>
    <n v="485.99099999999999"/>
  </r>
  <r>
    <n v="920"/>
    <n v="1"/>
    <n v="76"/>
    <s v="Electra Girl's Hawaii 1 16&quot; - 2017"/>
    <n v="3"/>
    <x v="0"/>
    <n v="1"/>
    <n v="299.99"/>
    <n v="0.05"/>
    <n v="284.9905"/>
  </r>
  <r>
    <n v="920"/>
    <n v="2"/>
    <n v="39"/>
    <s v="Trek Stache 5 - 2017"/>
    <n v="6"/>
    <x v="1"/>
    <n v="2"/>
    <n v="1499.99"/>
    <n v="7.0000000000000007E-2"/>
    <n v="2789.9814000000001"/>
  </r>
  <r>
    <n v="920"/>
    <n v="3"/>
    <n v="78"/>
    <s v="Sun Bicycles Biscayne Tandem CB - 2017"/>
    <n v="3"/>
    <x v="0"/>
    <n v="1"/>
    <n v="647.99"/>
    <n v="0.05"/>
    <n v="615.59050000000002"/>
  </r>
  <r>
    <n v="920"/>
    <n v="4"/>
    <n v="80"/>
    <s v="Sun Bicycles Brickell Tandem CB - 2017"/>
    <n v="3"/>
    <x v="0"/>
    <n v="2"/>
    <n v="761.99"/>
    <n v="7.0000000000000007E-2"/>
    <n v="1417.3014000000001"/>
  </r>
  <r>
    <n v="921"/>
    <n v="1"/>
    <n v="77"/>
    <s v="Electra Glam Punk 3i Ladies' - 2017"/>
    <n v="3"/>
    <x v="0"/>
    <n v="1"/>
    <n v="799.99"/>
    <n v="0.2"/>
    <n v="639.99199999999996"/>
  </r>
  <r>
    <n v="921"/>
    <n v="2"/>
    <n v="75"/>
    <s v="Electra Cruiser Lux Fat Tire 1 Ladies - 2017"/>
    <n v="3"/>
    <x v="0"/>
    <n v="2"/>
    <n v="599.99"/>
    <n v="7.0000000000000007E-2"/>
    <n v="1115.9814000000001"/>
  </r>
  <r>
    <n v="921"/>
    <n v="3"/>
    <n v="48"/>
    <s v="Trek Emonda S 4 - 2017"/>
    <n v="7"/>
    <x v="6"/>
    <n v="1"/>
    <n v="1499.99"/>
    <n v="0.1"/>
    <n v="1349.991"/>
  </r>
  <r>
    <n v="922"/>
    <n v="1"/>
    <n v="68"/>
    <s v="Sun Bicycles Cruz 3 - 2017"/>
    <n v="3"/>
    <x v="0"/>
    <n v="1"/>
    <n v="449.99"/>
    <n v="0.2"/>
    <n v="359.99200000000002"/>
  </r>
  <r>
    <n v="922"/>
    <n v="2"/>
    <n v="73"/>
    <s v="Sun Bicycles Brickell Tandem 7 - 2017"/>
    <n v="3"/>
    <x v="0"/>
    <n v="1"/>
    <n v="749.99"/>
    <n v="0.2"/>
    <n v="599.99199999999996"/>
  </r>
  <r>
    <n v="922"/>
    <n v="3"/>
    <n v="86"/>
    <s v="Trek Girl's Kickster - 2017"/>
    <n v="1"/>
    <x v="5"/>
    <n v="1"/>
    <n v="149.99"/>
    <n v="0.1"/>
    <n v="134.99100000000001"/>
  </r>
  <r>
    <n v="923"/>
    <n v="1"/>
    <n v="74"/>
    <s v="Electra Cruiser Lux 1 - 2017"/>
    <n v="3"/>
    <x v="0"/>
    <n v="2"/>
    <n v="439.99"/>
    <n v="0.05"/>
    <n v="835.98099999999999"/>
  </r>
  <r>
    <n v="923"/>
    <n v="2"/>
    <n v="6"/>
    <s v="Surly Ice Cream Truck Frameset - 2016"/>
    <n v="6"/>
    <x v="1"/>
    <n v="1"/>
    <n v="469.99"/>
    <n v="0.1"/>
    <n v="422.99099999999999"/>
  </r>
  <r>
    <n v="924"/>
    <n v="1"/>
    <n v="97"/>
    <s v="Electra Savannah 3i (20-inch) - Girl's - 2017"/>
    <n v="1"/>
    <x v="5"/>
    <n v="2"/>
    <n v="349.99"/>
    <n v="0.2"/>
    <n v="559.98400000000004"/>
  </r>
  <r>
    <n v="924"/>
    <n v="2"/>
    <n v="36"/>
    <s v="Surly Troll Frameset - 2017"/>
    <n v="6"/>
    <x v="1"/>
    <n v="1"/>
    <n v="832.99"/>
    <n v="0.2"/>
    <n v="666.39200000000005"/>
  </r>
  <r>
    <n v="925"/>
    <n v="1"/>
    <n v="97"/>
    <s v="Electra Savannah 3i (20-inch) - Girl's - 2017"/>
    <n v="1"/>
    <x v="5"/>
    <n v="1"/>
    <n v="349.99"/>
    <n v="7.0000000000000007E-2"/>
    <n v="325.4907"/>
  </r>
  <r>
    <n v="925"/>
    <n v="2"/>
    <n v="62"/>
    <s v="Trek Boone 7 - 2017"/>
    <n v="4"/>
    <x v="2"/>
    <n v="2"/>
    <n v="3499.99"/>
    <n v="0.2"/>
    <n v="5599.9839999999995"/>
  </r>
  <r>
    <n v="926"/>
    <n v="1"/>
    <n v="37"/>
    <s v="Haro Flightline One ST - 2017"/>
    <n v="6"/>
    <x v="1"/>
    <n v="2"/>
    <n v="379.99"/>
    <n v="0.2"/>
    <n v="607.98400000000004"/>
  </r>
  <r>
    <n v="927"/>
    <n v="1"/>
    <n v="74"/>
    <s v="Electra Cruiser Lux 1 - 2017"/>
    <n v="3"/>
    <x v="0"/>
    <n v="2"/>
    <n v="439.99"/>
    <n v="0.1"/>
    <n v="791.98199999999997"/>
  </r>
  <r>
    <n v="927"/>
    <n v="2"/>
    <n v="16"/>
    <s v="Electra Townie Original 7D EQ - 2016"/>
    <n v="3"/>
    <x v="0"/>
    <n v="2"/>
    <n v="599.99"/>
    <n v="0.2"/>
    <n v="959.98400000000004"/>
  </r>
  <r>
    <n v="927"/>
    <n v="3"/>
    <n v="50"/>
    <s v="Trek Silque SLR 7 Women's - 2017"/>
    <n v="7"/>
    <x v="6"/>
    <n v="1"/>
    <n v="5999.99"/>
    <n v="0.1"/>
    <n v="5399.991"/>
  </r>
  <r>
    <n v="927"/>
    <n v="4"/>
    <n v="3"/>
    <s v="Surly Wednesday Frameset - 2016"/>
    <n v="6"/>
    <x v="1"/>
    <n v="1"/>
    <n v="999.99"/>
    <n v="0.1"/>
    <n v="899.99099999999999"/>
  </r>
  <r>
    <n v="927"/>
    <n v="5"/>
    <n v="43"/>
    <s v="Trek Fuel EX 9.8 27.5 Plus - 2017"/>
    <n v="6"/>
    <x v="1"/>
    <n v="1"/>
    <n v="5299.99"/>
    <n v="7.0000000000000007E-2"/>
    <n v="4928.9906999999994"/>
  </r>
  <r>
    <n v="928"/>
    <n v="1"/>
    <n v="71"/>
    <s v="Sun Bicycles Atlas X-Type - 2017"/>
    <n v="3"/>
    <x v="0"/>
    <n v="2"/>
    <n v="416.99"/>
    <n v="0.05"/>
    <n v="792.28100000000006"/>
  </r>
  <r>
    <n v="928"/>
    <n v="2"/>
    <n v="83"/>
    <s v="Trek Boy's Kickster - 2015/2017"/>
    <n v="1"/>
    <x v="5"/>
    <n v="1"/>
    <n v="149.99"/>
    <n v="0.2"/>
    <n v="119.992"/>
  </r>
  <r>
    <n v="929"/>
    <n v="1"/>
    <n v="82"/>
    <s v="Electra Amsterdam Original 3i Ladies' - 2017"/>
    <n v="3"/>
    <x v="0"/>
    <n v="1"/>
    <n v="659.99"/>
    <n v="0.2"/>
    <n v="527.99199999999996"/>
  </r>
  <r>
    <n v="929"/>
    <n v="2"/>
    <n v="63"/>
    <s v="Trek Boone Race Shop Limited - 2017"/>
    <n v="4"/>
    <x v="2"/>
    <n v="2"/>
    <n v="3499.99"/>
    <n v="0.1"/>
    <n v="6299.982"/>
  </r>
  <r>
    <n v="929"/>
    <n v="3"/>
    <n v="24"/>
    <s v="Electra Townie Original 21D - 2016"/>
    <n v="2"/>
    <x v="3"/>
    <n v="1"/>
    <n v="549.99"/>
    <n v="0.05"/>
    <n v="522.4905"/>
  </r>
  <r>
    <n v="930"/>
    <n v="1"/>
    <n v="56"/>
    <s v="Trek Domane SLR 6 Disc - 2017"/>
    <n v="7"/>
    <x v="6"/>
    <n v="2"/>
    <n v="5499.99"/>
    <n v="7.0000000000000007E-2"/>
    <n v="10229.981399999999"/>
  </r>
  <r>
    <n v="930"/>
    <n v="2"/>
    <n v="82"/>
    <s v="Electra Amsterdam Original 3i Ladies' - 2017"/>
    <n v="3"/>
    <x v="0"/>
    <n v="1"/>
    <n v="659.99"/>
    <n v="7.0000000000000007E-2"/>
    <n v="613.79070000000002"/>
  </r>
  <r>
    <n v="930"/>
    <n v="3"/>
    <n v="60"/>
    <s v="Sun Bicycles ElectroLite - 2017"/>
    <n v="5"/>
    <x v="4"/>
    <n v="1"/>
    <n v="1559.99"/>
    <n v="0.1"/>
    <n v="1403.991"/>
  </r>
  <r>
    <n v="930"/>
    <n v="4"/>
    <n v="65"/>
    <s v="Sun Bicycles Lil Bolt Type-R - 2017"/>
    <n v="3"/>
    <x v="0"/>
    <n v="2"/>
    <n v="346.99"/>
    <n v="0.05"/>
    <n v="659.28100000000006"/>
  </r>
  <r>
    <n v="930"/>
    <n v="5"/>
    <n v="51"/>
    <s v="Trek Silque SLR 8 Women's - 2017"/>
    <n v="7"/>
    <x v="6"/>
    <n v="2"/>
    <n v="6499.99"/>
    <n v="0.1"/>
    <n v="11699.982"/>
  </r>
  <r>
    <n v="931"/>
    <n v="1"/>
    <n v="49"/>
    <s v="Trek Domane SL 6 - 2017"/>
    <n v="7"/>
    <x v="6"/>
    <n v="2"/>
    <n v="3499.99"/>
    <n v="7.0000000000000007E-2"/>
    <n v="6509.9813999999997"/>
  </r>
  <r>
    <n v="931"/>
    <n v="2"/>
    <n v="76"/>
    <s v="Electra Girl's Hawaii 1 16&quot; - 2017"/>
    <n v="3"/>
    <x v="0"/>
    <n v="1"/>
    <n v="299.99"/>
    <n v="0.2"/>
    <n v="239.99200000000002"/>
  </r>
  <r>
    <n v="932"/>
    <n v="1"/>
    <n v="74"/>
    <s v="Electra Cruiser Lux 1 - 2017"/>
    <n v="3"/>
    <x v="0"/>
    <n v="1"/>
    <n v="439.99"/>
    <n v="0.05"/>
    <n v="417.9905"/>
  </r>
  <r>
    <n v="933"/>
    <n v="1"/>
    <n v="77"/>
    <s v="Electra Glam Punk 3i Ladies' - 2017"/>
    <n v="3"/>
    <x v="0"/>
    <n v="1"/>
    <n v="799.99"/>
    <n v="7.0000000000000007E-2"/>
    <n v="743.99070000000006"/>
  </r>
  <r>
    <n v="933"/>
    <n v="2"/>
    <n v="21"/>
    <s v="Electra Cruiser 1 (24-Inch) - 2016"/>
    <n v="1"/>
    <x v="5"/>
    <n v="1"/>
    <n v="269.99"/>
    <n v="0.2"/>
    <n v="215.99200000000002"/>
  </r>
  <r>
    <n v="933"/>
    <n v="3"/>
    <n v="75"/>
    <s v="Electra Cruiser Lux Fat Tire 1 Ladies - 2017"/>
    <n v="3"/>
    <x v="0"/>
    <n v="2"/>
    <n v="599.99"/>
    <n v="0.05"/>
    <n v="1139.981"/>
  </r>
  <r>
    <n v="934"/>
    <n v="1"/>
    <n v="35"/>
    <s v="Sun Bicycles Spider 3i - 2017"/>
    <n v="6"/>
    <x v="1"/>
    <n v="2"/>
    <n v="832.99"/>
    <n v="0.05"/>
    <n v="1582.681"/>
  </r>
  <r>
    <n v="934"/>
    <n v="2"/>
    <n v="48"/>
    <s v="Trek Emonda S 4 - 2017"/>
    <n v="7"/>
    <x v="6"/>
    <n v="1"/>
    <n v="1499.99"/>
    <n v="0.05"/>
    <n v="1424.9905000000001"/>
  </r>
  <r>
    <n v="934"/>
    <n v="3"/>
    <n v="18"/>
    <s v="Pure Cycles Western 3-Speed - Women's - 2015/2016"/>
    <n v="3"/>
    <x v="0"/>
    <n v="1"/>
    <n v="449"/>
    <n v="0.1"/>
    <n v="404.1"/>
  </r>
  <r>
    <n v="934"/>
    <n v="4"/>
    <n v="61"/>
    <s v="Trek Powerfly 8 FS Plus - 2017"/>
    <n v="5"/>
    <x v="4"/>
    <n v="1"/>
    <n v="4999.99"/>
    <n v="7.0000000000000007E-2"/>
    <n v="4649.9906999999994"/>
  </r>
  <r>
    <n v="934"/>
    <n v="5"/>
    <n v="56"/>
    <s v="Trek Domane SLR 6 Disc - 2017"/>
    <n v="7"/>
    <x v="6"/>
    <n v="2"/>
    <n v="5499.99"/>
    <n v="0.2"/>
    <n v="8799.9840000000004"/>
  </r>
  <r>
    <n v="935"/>
    <n v="1"/>
    <n v="65"/>
    <s v="Sun Bicycles Lil Bolt Type-R - 2017"/>
    <n v="3"/>
    <x v="0"/>
    <n v="2"/>
    <n v="346.99"/>
    <n v="0.2"/>
    <n v="555.18399999999997"/>
  </r>
  <r>
    <n v="935"/>
    <n v="2"/>
    <n v="76"/>
    <s v="Electra Girl's Hawaii 1 16&quot; - 2017"/>
    <n v="3"/>
    <x v="0"/>
    <n v="2"/>
    <n v="299.99"/>
    <n v="7.0000000000000007E-2"/>
    <n v="557.98140000000001"/>
  </r>
  <r>
    <n v="935"/>
    <n v="3"/>
    <n v="6"/>
    <s v="Surly Ice Cream Truck Frameset - 2016"/>
    <n v="6"/>
    <x v="1"/>
    <n v="1"/>
    <n v="469.99"/>
    <n v="7.0000000000000007E-2"/>
    <n v="437.09070000000003"/>
  </r>
  <r>
    <n v="935"/>
    <n v="4"/>
    <n v="38"/>
    <s v="Haro Flightline Two 26 Plus - 2017"/>
    <n v="6"/>
    <x v="1"/>
    <n v="1"/>
    <n v="549.99"/>
    <n v="7.0000000000000007E-2"/>
    <n v="511.4907"/>
  </r>
  <r>
    <n v="936"/>
    <n v="1"/>
    <n v="70"/>
    <s v="Electra Amsterdam Original 3i - 2015/2017"/>
    <n v="3"/>
    <x v="0"/>
    <n v="1"/>
    <n v="659.99"/>
    <n v="0.1"/>
    <n v="593.99099999999999"/>
  </r>
  <r>
    <n v="936"/>
    <n v="2"/>
    <n v="44"/>
    <s v="Haro SR 1.1 - 2017"/>
    <n v="6"/>
    <x v="1"/>
    <n v="1"/>
    <n v="539.99"/>
    <n v="7.0000000000000007E-2"/>
    <n v="502.19069999999999"/>
  </r>
  <r>
    <n v="937"/>
    <n v="1"/>
    <n v="108"/>
    <s v="Sun Bicycles Cruz 3 - Women's - 2017"/>
    <n v="2"/>
    <x v="3"/>
    <n v="2"/>
    <n v="449.99"/>
    <n v="0.1"/>
    <n v="809.98199999999997"/>
  </r>
  <r>
    <n v="937"/>
    <n v="2"/>
    <n v="51"/>
    <s v="Trek Silque SLR 8 Women's - 2017"/>
    <n v="7"/>
    <x v="6"/>
    <n v="2"/>
    <n v="6499.99"/>
    <n v="7.0000000000000007E-2"/>
    <n v="12089.981399999999"/>
  </r>
  <r>
    <n v="937"/>
    <n v="3"/>
    <n v="58"/>
    <s v="Trek Madone 9.2 - 2017"/>
    <n v="7"/>
    <x v="6"/>
    <n v="2"/>
    <n v="4999.99"/>
    <n v="7.0000000000000007E-2"/>
    <n v="9299.9813999999988"/>
  </r>
  <r>
    <n v="937"/>
    <n v="4"/>
    <n v="28"/>
    <s v="Surly Karate Monkey 27.5+ Frameset - 2017"/>
    <n v="6"/>
    <x v="1"/>
    <n v="2"/>
    <n v="2499.9899999999998"/>
    <n v="7.0000000000000007E-2"/>
    <n v="4649.9813999999997"/>
  </r>
  <r>
    <n v="937"/>
    <n v="5"/>
    <n v="66"/>
    <s v="Sun Bicycles Revolutions 24 - 2017"/>
    <n v="3"/>
    <x v="0"/>
    <n v="1"/>
    <n v="250.99"/>
    <n v="0.2"/>
    <n v="200.792"/>
  </r>
  <r>
    <n v="938"/>
    <n v="1"/>
    <n v="4"/>
    <s v="Trek Fuel EX 8 29 - 2016"/>
    <n v="6"/>
    <x v="1"/>
    <n v="1"/>
    <n v="2899.99"/>
    <n v="0.05"/>
    <n v="2754.9904999999999"/>
  </r>
  <r>
    <n v="938"/>
    <n v="2"/>
    <n v="13"/>
    <s v="Electra Cruiser 1 (24-Inch) - 2016"/>
    <n v="3"/>
    <x v="0"/>
    <n v="1"/>
    <n v="269.99"/>
    <n v="0.05"/>
    <n v="256.4905"/>
  </r>
  <r>
    <n v="939"/>
    <n v="1"/>
    <n v="5"/>
    <s v="Heller Shagamaw Frame - 2016"/>
    <n v="6"/>
    <x v="1"/>
    <n v="1"/>
    <n v="1320.99"/>
    <n v="0.1"/>
    <n v="1188.8910000000001"/>
  </r>
  <r>
    <n v="939"/>
    <n v="2"/>
    <n v="107"/>
    <s v="Sun Bicycles Cruz 7 - 2017"/>
    <n v="2"/>
    <x v="3"/>
    <n v="2"/>
    <n v="416.99"/>
    <n v="0.2"/>
    <n v="667.18399999999997"/>
  </r>
  <r>
    <n v="940"/>
    <n v="1"/>
    <n v="75"/>
    <s v="Electra Cruiser Lux Fat Tire 1 Ladies - 2017"/>
    <n v="3"/>
    <x v="0"/>
    <n v="2"/>
    <n v="599.99"/>
    <n v="0.2"/>
    <n v="959.98400000000004"/>
  </r>
  <r>
    <n v="941"/>
    <n v="1"/>
    <n v="25"/>
    <s v="Electra Townie Original 7D - 2015/2016"/>
    <n v="2"/>
    <x v="3"/>
    <n v="1"/>
    <n v="499.99"/>
    <n v="0.1"/>
    <n v="449.99099999999999"/>
  </r>
  <r>
    <n v="941"/>
    <n v="2"/>
    <n v="102"/>
    <s v="Electra Townie Original 7D - 2017"/>
    <n v="2"/>
    <x v="3"/>
    <n v="2"/>
    <n v="489.99"/>
    <n v="0.05"/>
    <n v="930.98099999999999"/>
  </r>
  <r>
    <n v="941"/>
    <n v="3"/>
    <n v="11"/>
    <s v="Surly Straggler 650b - 2016"/>
    <n v="4"/>
    <x v="2"/>
    <n v="2"/>
    <n v="1680.99"/>
    <n v="7.0000000000000007E-2"/>
    <n v="3126.6414"/>
  </r>
  <r>
    <n v="942"/>
    <n v="1"/>
    <n v="98"/>
    <s v="Electra Straight 8 3i (20-inch) - Boy's - 2017"/>
    <n v="1"/>
    <x v="5"/>
    <n v="2"/>
    <n v="489.99"/>
    <n v="0.05"/>
    <n v="930.98099999999999"/>
  </r>
  <r>
    <n v="942"/>
    <n v="2"/>
    <n v="110"/>
    <s v="Sun Bicycles Drifter 7 - 2017"/>
    <n v="2"/>
    <x v="3"/>
    <n v="2"/>
    <n v="470.99"/>
    <n v="0.1"/>
    <n v="847.78200000000004"/>
  </r>
  <r>
    <n v="942"/>
    <n v="3"/>
    <n v="35"/>
    <s v="Sun Bicycles Spider 3i - 2017"/>
    <n v="6"/>
    <x v="1"/>
    <n v="2"/>
    <n v="832.99"/>
    <n v="7.0000000000000007E-2"/>
    <n v="1549.3614"/>
  </r>
  <r>
    <n v="942"/>
    <n v="4"/>
    <n v="103"/>
    <s v="Sun Bicycles Streamway 3 - 2017"/>
    <n v="2"/>
    <x v="3"/>
    <n v="1"/>
    <n v="551.99"/>
    <n v="0.05"/>
    <n v="524.39049999999997"/>
  </r>
  <r>
    <n v="942"/>
    <n v="5"/>
    <n v="100"/>
    <s v="Electra Townie 3i EQ (20-inch) - Boys' - 2017"/>
    <n v="1"/>
    <x v="5"/>
    <n v="1"/>
    <n v="489.99"/>
    <n v="0.05"/>
    <n v="465.4905"/>
  </r>
  <r>
    <n v="943"/>
    <n v="1"/>
    <n v="25"/>
    <s v="Electra Townie Original 7D - 2015/2016"/>
    <n v="2"/>
    <x v="3"/>
    <n v="1"/>
    <n v="499.99"/>
    <n v="0.2"/>
    <n v="399.99200000000002"/>
  </r>
  <r>
    <n v="943"/>
    <n v="2"/>
    <n v="82"/>
    <s v="Electra Amsterdam Original 3i Ladies' - 2017"/>
    <n v="3"/>
    <x v="0"/>
    <n v="1"/>
    <n v="659.99"/>
    <n v="0.2"/>
    <n v="527.99199999999996"/>
  </r>
  <r>
    <n v="944"/>
    <n v="1"/>
    <n v="29"/>
    <s v="Trek X-Caliber 8 - 2017"/>
    <n v="6"/>
    <x v="1"/>
    <n v="2"/>
    <n v="999.99"/>
    <n v="7.0000000000000007E-2"/>
    <n v="1859.9814000000001"/>
  </r>
  <r>
    <n v="944"/>
    <n v="2"/>
    <n v="16"/>
    <s v="Electra Townie Original 7D EQ - 2016"/>
    <n v="3"/>
    <x v="0"/>
    <n v="2"/>
    <n v="599.99"/>
    <n v="0.1"/>
    <n v="1079.982"/>
  </r>
  <r>
    <n v="944"/>
    <n v="3"/>
    <n v="70"/>
    <s v="Electra Amsterdam Original 3i - 2015/2017"/>
    <n v="3"/>
    <x v="0"/>
    <n v="2"/>
    <n v="659.99"/>
    <n v="0.2"/>
    <n v="1055.9839999999999"/>
  </r>
  <r>
    <n v="944"/>
    <n v="4"/>
    <n v="85"/>
    <s v="Haro Downtown 16 - 2017"/>
    <n v="1"/>
    <x v="5"/>
    <n v="2"/>
    <n v="329.99"/>
    <n v="0.2"/>
    <n v="527.98400000000004"/>
  </r>
  <r>
    <n v="944"/>
    <n v="5"/>
    <n v="69"/>
    <s v="Sun Bicycles Cruz 7 - 2017"/>
    <n v="3"/>
    <x v="0"/>
    <n v="2"/>
    <n v="416.99"/>
    <n v="7.0000000000000007E-2"/>
    <n v="775.60140000000001"/>
  </r>
  <r>
    <n v="945"/>
    <n v="1"/>
    <n v="105"/>
    <s v="Sun Bicycles Streamway 7 - 2017"/>
    <n v="2"/>
    <x v="3"/>
    <n v="1"/>
    <n v="533.99"/>
    <n v="0.05"/>
    <n v="507.29050000000001"/>
  </r>
  <r>
    <n v="945"/>
    <n v="2"/>
    <n v="94"/>
    <s v="Haro Shredder Pro 20 - 2017"/>
    <n v="1"/>
    <x v="5"/>
    <n v="2"/>
    <n v="249.99"/>
    <n v="0.2"/>
    <n v="399.98400000000004"/>
  </r>
  <r>
    <n v="945"/>
    <n v="3"/>
    <n v="34"/>
    <s v="Trek Session DH 27.5 Carbon Frameset - 2017"/>
    <n v="6"/>
    <x v="1"/>
    <n v="2"/>
    <n v="469.99"/>
    <n v="0.05"/>
    <n v="892.98099999999999"/>
  </r>
  <r>
    <n v="945"/>
    <n v="4"/>
    <n v="44"/>
    <s v="Haro SR 1.1 - 2017"/>
    <n v="6"/>
    <x v="1"/>
    <n v="2"/>
    <n v="539.99"/>
    <n v="0.1"/>
    <n v="971.98199999999997"/>
  </r>
  <r>
    <n v="945"/>
    <n v="5"/>
    <n v="50"/>
    <s v="Trek Silque SLR 7 Women's - 2017"/>
    <n v="7"/>
    <x v="6"/>
    <n v="2"/>
    <n v="5999.99"/>
    <n v="0.05"/>
    <n v="11399.981"/>
  </r>
  <r>
    <n v="946"/>
    <n v="1"/>
    <n v="7"/>
    <s v="Trek Slash 8 27.5 - 2016"/>
    <n v="6"/>
    <x v="1"/>
    <n v="1"/>
    <n v="3999.99"/>
    <n v="0.1"/>
    <n v="3599.991"/>
  </r>
  <r>
    <n v="946"/>
    <n v="2"/>
    <n v="85"/>
    <s v="Haro Downtown 16 - 2017"/>
    <n v="1"/>
    <x v="5"/>
    <n v="2"/>
    <n v="329.99"/>
    <n v="0.2"/>
    <n v="527.98400000000004"/>
  </r>
  <r>
    <n v="946"/>
    <n v="3"/>
    <n v="62"/>
    <s v="Trek Boone 7 - 2017"/>
    <n v="4"/>
    <x v="2"/>
    <n v="1"/>
    <n v="3499.99"/>
    <n v="0.05"/>
    <n v="3324.9904999999999"/>
  </r>
  <r>
    <n v="946"/>
    <n v="4"/>
    <n v="22"/>
    <s v="Electra Girl's Hawaii 1 (16-inch) - 2015/2016"/>
    <n v="1"/>
    <x v="5"/>
    <n v="2"/>
    <n v="269.99"/>
    <n v="0.2"/>
    <n v="431.98400000000004"/>
  </r>
  <r>
    <n v="946"/>
    <n v="5"/>
    <n v="56"/>
    <s v="Trek Domane SLR 6 Disc - 2017"/>
    <n v="7"/>
    <x v="6"/>
    <n v="2"/>
    <n v="5499.99"/>
    <n v="7.0000000000000007E-2"/>
    <n v="10229.981399999999"/>
  </r>
  <r>
    <n v="947"/>
    <n v="1"/>
    <n v="32"/>
    <s v="Trek Farley Alloy Frameset - 2017"/>
    <n v="6"/>
    <x v="1"/>
    <n v="1"/>
    <n v="469.99"/>
    <n v="0.05"/>
    <n v="446.4905"/>
  </r>
  <r>
    <n v="947"/>
    <n v="2"/>
    <n v="42"/>
    <s v="Trek Fuel EX 5 27.5 Plus - 2017"/>
    <n v="6"/>
    <x v="1"/>
    <n v="2"/>
    <n v="2299.9899999999998"/>
    <n v="7.0000000000000007E-2"/>
    <n v="4277.9813999999997"/>
  </r>
  <r>
    <n v="947"/>
    <n v="3"/>
    <n v="44"/>
    <s v="Haro SR 1.1 - 2017"/>
    <n v="6"/>
    <x v="1"/>
    <n v="1"/>
    <n v="539.99"/>
    <n v="7.0000000000000007E-2"/>
    <n v="502.19069999999999"/>
  </r>
  <r>
    <n v="948"/>
    <n v="1"/>
    <n v="23"/>
    <s v="Electra Girl's Hawaii 1 (20-inch) - 2015/2016"/>
    <n v="1"/>
    <x v="5"/>
    <n v="2"/>
    <n v="299.99"/>
    <n v="0.2"/>
    <n v="479.98400000000004"/>
  </r>
  <r>
    <n v="948"/>
    <n v="2"/>
    <n v="20"/>
    <s v="Electra Townie Original 7D EQ - Women's - 2016"/>
    <n v="3"/>
    <x v="0"/>
    <n v="2"/>
    <n v="599.99"/>
    <n v="0.1"/>
    <n v="1079.982"/>
  </r>
  <r>
    <n v="948"/>
    <n v="3"/>
    <n v="101"/>
    <s v="Electra Townie 7D (20-inch) - Boys' - 2017"/>
    <n v="1"/>
    <x v="5"/>
    <n v="1"/>
    <n v="339.99"/>
    <n v="0.2"/>
    <n v="271.99200000000002"/>
  </r>
  <r>
    <n v="948"/>
    <n v="4"/>
    <n v="92"/>
    <s v="Haro Shredder 20 - 2017"/>
    <n v="1"/>
    <x v="5"/>
    <n v="2"/>
    <n v="209.99"/>
    <n v="0.2"/>
    <n v="335.98400000000004"/>
  </r>
  <r>
    <n v="948"/>
    <n v="5"/>
    <n v="72"/>
    <s v="Sun Bicycles Biscayne Tandem 7 - 2017"/>
    <n v="3"/>
    <x v="0"/>
    <n v="2"/>
    <n v="619.99"/>
    <n v="0.2"/>
    <n v="991.98400000000004"/>
  </r>
  <r>
    <n v="949"/>
    <n v="1"/>
    <n v="9"/>
    <s v="Trek Conduit+ - 2016"/>
    <n v="5"/>
    <x v="4"/>
    <n v="2"/>
    <n v="2999.99"/>
    <n v="0.1"/>
    <n v="5399.982"/>
  </r>
  <r>
    <n v="949"/>
    <n v="2"/>
    <n v="55"/>
    <s v="Trek Domane S 6 - 2017"/>
    <n v="7"/>
    <x v="6"/>
    <n v="2"/>
    <n v="2699.99"/>
    <n v="0.05"/>
    <n v="5129.9809999999998"/>
  </r>
  <r>
    <n v="950"/>
    <n v="1"/>
    <n v="56"/>
    <s v="Trek Domane SLR 6 Disc - 2017"/>
    <n v="7"/>
    <x v="6"/>
    <n v="1"/>
    <n v="5499.99"/>
    <n v="0.05"/>
    <n v="5224.9904999999999"/>
  </r>
  <r>
    <n v="951"/>
    <n v="1"/>
    <n v="59"/>
    <s v="Trek Domane S 5 Disc - 2017"/>
    <n v="7"/>
    <x v="6"/>
    <n v="1"/>
    <n v="2599.9899999999998"/>
    <n v="0.1"/>
    <n v="2339.991"/>
  </r>
  <r>
    <n v="951"/>
    <n v="2"/>
    <n v="43"/>
    <s v="Trek Fuel EX 9.8 27.5 Plus - 2017"/>
    <n v="6"/>
    <x v="1"/>
    <n v="2"/>
    <n v="5299.99"/>
    <n v="0.1"/>
    <n v="9539.982"/>
  </r>
  <r>
    <n v="951"/>
    <n v="3"/>
    <n v="62"/>
    <s v="Trek Boone 7 - 2017"/>
    <n v="4"/>
    <x v="2"/>
    <n v="2"/>
    <n v="3499.99"/>
    <n v="0.2"/>
    <n v="5599.9839999999995"/>
  </r>
  <r>
    <n v="952"/>
    <n v="1"/>
    <n v="20"/>
    <s v="Electra Townie Original 7D EQ - Women's - 2016"/>
    <n v="3"/>
    <x v="0"/>
    <n v="2"/>
    <n v="599.99"/>
    <n v="7.0000000000000007E-2"/>
    <n v="1115.9814000000001"/>
  </r>
  <r>
    <n v="952"/>
    <n v="2"/>
    <n v="57"/>
    <s v="Trek Emonda S 5 - 2017"/>
    <n v="7"/>
    <x v="6"/>
    <n v="1"/>
    <n v="1999.99"/>
    <n v="0.05"/>
    <n v="1899.9904999999999"/>
  </r>
  <r>
    <n v="953"/>
    <n v="1"/>
    <n v="23"/>
    <s v="Electra Girl's Hawaii 1 (20-inch) - 2015/2016"/>
    <n v="1"/>
    <x v="5"/>
    <n v="2"/>
    <n v="299.99"/>
    <n v="7.0000000000000007E-2"/>
    <n v="557.98140000000001"/>
  </r>
  <r>
    <n v="954"/>
    <n v="1"/>
    <n v="4"/>
    <s v="Trek Fuel EX 8 29 - 2016"/>
    <n v="6"/>
    <x v="1"/>
    <n v="2"/>
    <n v="2899.99"/>
    <n v="0.1"/>
    <n v="5219.982"/>
  </r>
  <r>
    <n v="955"/>
    <n v="1"/>
    <n v="43"/>
    <s v="Trek Fuel EX 9.8 27.5 Plus - 2017"/>
    <n v="6"/>
    <x v="1"/>
    <n v="1"/>
    <n v="5299.99"/>
    <n v="0.1"/>
    <n v="4769.991"/>
  </r>
  <r>
    <n v="955"/>
    <n v="2"/>
    <n v="31"/>
    <s v="Surly Wednesday - 2017"/>
    <n v="6"/>
    <x v="1"/>
    <n v="2"/>
    <n v="1632.99"/>
    <n v="7.0000000000000007E-2"/>
    <n v="3037.3613999999998"/>
  </r>
  <r>
    <n v="955"/>
    <n v="3"/>
    <n v="96"/>
    <s v="Electra Moto 3i (20-inch) - Boy's - 2017"/>
    <n v="1"/>
    <x v="5"/>
    <n v="1"/>
    <n v="349.99"/>
    <n v="0.05"/>
    <n v="332.4905"/>
  </r>
  <r>
    <n v="955"/>
    <n v="4"/>
    <n v="63"/>
    <s v="Trek Boone Race Shop Limited - 2017"/>
    <n v="4"/>
    <x v="2"/>
    <n v="1"/>
    <n v="3499.99"/>
    <n v="0.2"/>
    <n v="2799.9919999999997"/>
  </r>
  <r>
    <n v="955"/>
    <n v="5"/>
    <n v="88"/>
    <s v="Trek Precaliber 12 Girls - 2017"/>
    <n v="1"/>
    <x v="5"/>
    <n v="1"/>
    <n v="189.99"/>
    <n v="0.05"/>
    <n v="180.4905"/>
  </r>
  <r>
    <n v="956"/>
    <n v="1"/>
    <n v="76"/>
    <s v="Electra Girl's Hawaii 1 16&quot; - 2017"/>
    <n v="3"/>
    <x v="0"/>
    <n v="2"/>
    <n v="299.99"/>
    <n v="0.1"/>
    <n v="539.98199999999997"/>
  </r>
  <r>
    <n v="956"/>
    <n v="2"/>
    <n v="23"/>
    <s v="Electra Girl's Hawaii 1 (20-inch) - 2015/2016"/>
    <n v="1"/>
    <x v="5"/>
    <n v="1"/>
    <n v="299.99"/>
    <n v="0.2"/>
    <n v="239.99200000000002"/>
  </r>
  <r>
    <n v="956"/>
    <n v="3"/>
    <n v="73"/>
    <s v="Sun Bicycles Brickell Tandem 7 - 2017"/>
    <n v="3"/>
    <x v="0"/>
    <n v="2"/>
    <n v="749.99"/>
    <n v="0.1"/>
    <n v="1349.982"/>
  </r>
  <r>
    <n v="956"/>
    <n v="4"/>
    <n v="13"/>
    <s v="Electra Cruiser 1 (24-Inch) - 2016"/>
    <n v="3"/>
    <x v="0"/>
    <n v="2"/>
    <n v="269.99"/>
    <n v="0.2"/>
    <n v="431.98400000000004"/>
  </r>
  <r>
    <n v="956"/>
    <n v="5"/>
    <n v="79"/>
    <s v="Sun Bicycles Boardwalk (24-inch Wheels) - 2017"/>
    <n v="3"/>
    <x v="0"/>
    <n v="2"/>
    <n v="402.99"/>
    <n v="0.1"/>
    <n v="725.38200000000006"/>
  </r>
  <r>
    <n v="957"/>
    <n v="1"/>
    <n v="108"/>
    <s v="Sun Bicycles Cruz 3 - Women's - 2017"/>
    <n v="2"/>
    <x v="3"/>
    <n v="2"/>
    <n v="449.99"/>
    <n v="0.05"/>
    <n v="854.98099999999999"/>
  </r>
  <r>
    <n v="957"/>
    <n v="2"/>
    <n v="14"/>
    <s v="Electra Girl's Hawaii 1 (16-inch) - 2015/2016"/>
    <n v="3"/>
    <x v="0"/>
    <n v="2"/>
    <n v="269.99"/>
    <n v="7.0000000000000007E-2"/>
    <n v="502.1814"/>
  </r>
  <r>
    <n v="957"/>
    <n v="3"/>
    <n v="70"/>
    <s v="Electra Amsterdam Original 3i - 2015/2017"/>
    <n v="3"/>
    <x v="0"/>
    <n v="2"/>
    <n v="659.99"/>
    <n v="0.05"/>
    <n v="1253.981"/>
  </r>
  <r>
    <n v="957"/>
    <n v="4"/>
    <n v="66"/>
    <s v="Sun Bicycles Revolutions 24 - 2017"/>
    <n v="3"/>
    <x v="0"/>
    <n v="1"/>
    <n v="250.99"/>
    <n v="7.0000000000000007E-2"/>
    <n v="233.42070000000001"/>
  </r>
  <r>
    <n v="957"/>
    <n v="5"/>
    <n v="111"/>
    <s v="Sun Bicycles Drifter 7 - Women's - 2017"/>
    <n v="2"/>
    <x v="3"/>
    <n v="1"/>
    <n v="470.99"/>
    <n v="0.05"/>
    <n v="447.44049999999999"/>
  </r>
  <r>
    <n v="958"/>
    <n v="1"/>
    <n v="51"/>
    <s v="Trek Silque SLR 8 Women's - 2017"/>
    <n v="7"/>
    <x v="6"/>
    <n v="1"/>
    <n v="6499.99"/>
    <n v="0.1"/>
    <n v="5849.991"/>
  </r>
  <r>
    <n v="958"/>
    <n v="2"/>
    <n v="76"/>
    <s v="Electra Girl's Hawaii 1 16&quot; - 2017"/>
    <n v="3"/>
    <x v="0"/>
    <n v="1"/>
    <n v="299.99"/>
    <n v="0.2"/>
    <n v="239.99200000000002"/>
  </r>
  <r>
    <n v="959"/>
    <n v="1"/>
    <n v="15"/>
    <s v="Electra Moto 1 - 2016"/>
    <n v="3"/>
    <x v="0"/>
    <n v="1"/>
    <n v="529.99"/>
    <n v="0.2"/>
    <n v="423.99200000000002"/>
  </r>
  <r>
    <n v="959"/>
    <n v="2"/>
    <n v="72"/>
    <s v="Sun Bicycles Biscayne Tandem 7 - 2017"/>
    <n v="3"/>
    <x v="0"/>
    <n v="1"/>
    <n v="619.99"/>
    <n v="0.1"/>
    <n v="557.99099999999999"/>
  </r>
  <r>
    <n v="959"/>
    <n v="3"/>
    <n v="41"/>
    <s v="Haro Shift R3 - 2017"/>
    <n v="6"/>
    <x v="1"/>
    <n v="1"/>
    <n v="1469.99"/>
    <n v="0.05"/>
    <n v="1396.4905000000001"/>
  </r>
  <r>
    <n v="959"/>
    <n v="4"/>
    <n v="65"/>
    <s v="Sun Bicycles Lil Bolt Type-R - 2017"/>
    <n v="3"/>
    <x v="0"/>
    <n v="1"/>
    <n v="346.99"/>
    <n v="7.0000000000000007E-2"/>
    <n v="322.70069999999998"/>
  </r>
  <r>
    <n v="960"/>
    <n v="1"/>
    <n v="73"/>
    <s v="Sun Bicycles Brickell Tandem 7 - 2017"/>
    <n v="3"/>
    <x v="0"/>
    <n v="2"/>
    <n v="749.99"/>
    <n v="0.05"/>
    <n v="1424.981"/>
  </r>
  <r>
    <n v="960"/>
    <n v="2"/>
    <n v="52"/>
    <s v="Surly Steamroller - 2017"/>
    <n v="7"/>
    <x v="6"/>
    <n v="1"/>
    <n v="875.99"/>
    <n v="0.1"/>
    <n v="788.39099999999996"/>
  </r>
  <r>
    <n v="960"/>
    <n v="3"/>
    <n v="48"/>
    <s v="Trek Emonda S 4 - 2017"/>
    <n v="7"/>
    <x v="6"/>
    <n v="2"/>
    <n v="1499.99"/>
    <n v="0.05"/>
    <n v="2849.9810000000002"/>
  </r>
  <r>
    <n v="960"/>
    <n v="4"/>
    <n v="83"/>
    <s v="Trek Boy's Kickster - 2015/2017"/>
    <n v="1"/>
    <x v="5"/>
    <n v="2"/>
    <n v="149.99"/>
    <n v="0.1"/>
    <n v="269.98200000000003"/>
  </r>
  <r>
    <n v="961"/>
    <n v="1"/>
    <n v="105"/>
    <s v="Sun Bicycles Streamway 7 - 2017"/>
    <n v="2"/>
    <x v="3"/>
    <n v="1"/>
    <n v="533.99"/>
    <n v="0.1"/>
    <n v="480.59100000000001"/>
  </r>
  <r>
    <n v="961"/>
    <n v="2"/>
    <n v="47"/>
    <s v="Trek Remedy 9.8 - 2017"/>
    <n v="6"/>
    <x v="1"/>
    <n v="2"/>
    <n v="5299.99"/>
    <n v="0.2"/>
    <n v="8479.9840000000004"/>
  </r>
  <r>
    <n v="961"/>
    <n v="3"/>
    <n v="65"/>
    <s v="Sun Bicycles Lil Bolt Type-R - 2017"/>
    <n v="3"/>
    <x v="0"/>
    <n v="2"/>
    <n v="346.99"/>
    <n v="7.0000000000000007E-2"/>
    <n v="645.40139999999997"/>
  </r>
  <r>
    <n v="962"/>
    <n v="1"/>
    <n v="65"/>
    <s v="Sun Bicycles Lil Bolt Type-R - 2017"/>
    <n v="3"/>
    <x v="0"/>
    <n v="2"/>
    <n v="346.99"/>
    <n v="7.0000000000000007E-2"/>
    <n v="645.40139999999997"/>
  </r>
  <r>
    <n v="962"/>
    <n v="2"/>
    <n v="64"/>
    <s v="Electra Townie Original 7D - 2017"/>
    <n v="3"/>
    <x v="0"/>
    <n v="2"/>
    <n v="489.99"/>
    <n v="7.0000000000000007E-2"/>
    <n v="911.38139999999999"/>
  </r>
  <r>
    <n v="963"/>
    <n v="1"/>
    <n v="4"/>
    <s v="Trek Fuel EX 8 29 - 2016"/>
    <n v="6"/>
    <x v="1"/>
    <n v="1"/>
    <n v="2899.99"/>
    <n v="7.0000000000000007E-2"/>
    <n v="2696.9906999999998"/>
  </r>
  <r>
    <n v="964"/>
    <n v="1"/>
    <n v="90"/>
    <s v="Trek Precaliber 16 Girls - 2017"/>
    <n v="1"/>
    <x v="5"/>
    <n v="1"/>
    <n v="209.99"/>
    <n v="0.2"/>
    <n v="167.99200000000002"/>
  </r>
  <r>
    <n v="964"/>
    <n v="2"/>
    <n v="74"/>
    <s v="Electra Cruiser Lux 1 - 2017"/>
    <n v="3"/>
    <x v="0"/>
    <n v="1"/>
    <n v="439.99"/>
    <n v="0.2"/>
    <n v="351.99200000000002"/>
  </r>
  <r>
    <n v="965"/>
    <n v="1"/>
    <n v="90"/>
    <s v="Trek Precaliber 16 Girls - 2017"/>
    <n v="1"/>
    <x v="5"/>
    <n v="2"/>
    <n v="209.99"/>
    <n v="0.1"/>
    <n v="377.98200000000003"/>
  </r>
  <r>
    <n v="966"/>
    <n v="1"/>
    <n v="88"/>
    <s v="Trek Precaliber 12 Girls - 2017"/>
    <n v="1"/>
    <x v="5"/>
    <n v="1"/>
    <n v="189.99"/>
    <n v="0.05"/>
    <n v="180.4905"/>
  </r>
  <r>
    <n v="966"/>
    <n v="2"/>
    <n v="73"/>
    <s v="Sun Bicycles Brickell Tandem 7 - 2017"/>
    <n v="3"/>
    <x v="0"/>
    <n v="1"/>
    <n v="749.99"/>
    <n v="7.0000000000000007E-2"/>
    <n v="697.49070000000006"/>
  </r>
  <r>
    <n v="967"/>
    <n v="1"/>
    <n v="66"/>
    <s v="Sun Bicycles Revolutions 24 - 2017"/>
    <n v="3"/>
    <x v="0"/>
    <n v="1"/>
    <n v="250.99"/>
    <n v="0.2"/>
    <n v="200.792"/>
  </r>
  <r>
    <n v="967"/>
    <n v="2"/>
    <n v="77"/>
    <s v="Electra Glam Punk 3i Ladies' - 2017"/>
    <n v="3"/>
    <x v="0"/>
    <n v="2"/>
    <n v="799.99"/>
    <n v="0.05"/>
    <n v="1519.981"/>
  </r>
  <r>
    <n v="967"/>
    <n v="3"/>
    <n v="87"/>
    <s v="Trek Precaliber 12 Boys - 2017"/>
    <n v="1"/>
    <x v="5"/>
    <n v="1"/>
    <n v="189.99"/>
    <n v="0.1"/>
    <n v="170.99100000000001"/>
  </r>
  <r>
    <n v="967"/>
    <n v="4"/>
    <n v="103"/>
    <s v="Sun Bicycles Streamway 3 - 2017"/>
    <n v="2"/>
    <x v="3"/>
    <n v="1"/>
    <n v="551.99"/>
    <n v="0.2"/>
    <n v="441.59199999999998"/>
  </r>
  <r>
    <n v="968"/>
    <n v="1"/>
    <n v="87"/>
    <s v="Trek Precaliber 12 Boys - 2017"/>
    <n v="1"/>
    <x v="5"/>
    <n v="1"/>
    <n v="189.99"/>
    <n v="0.2"/>
    <n v="151.99200000000002"/>
  </r>
  <r>
    <n v="968"/>
    <n v="2"/>
    <n v="61"/>
    <s v="Trek Powerfly 8 FS Plus - 2017"/>
    <n v="5"/>
    <x v="4"/>
    <n v="2"/>
    <n v="4999.99"/>
    <n v="0.05"/>
    <n v="9499.9809999999998"/>
  </r>
  <r>
    <n v="968"/>
    <n v="3"/>
    <n v="10"/>
    <s v="Surly Straggler - 2016"/>
    <n v="4"/>
    <x v="2"/>
    <n v="2"/>
    <n v="1549"/>
    <n v="0.05"/>
    <n v="2943.1"/>
  </r>
  <r>
    <n v="969"/>
    <n v="1"/>
    <n v="74"/>
    <s v="Electra Cruiser Lux 1 - 2017"/>
    <n v="3"/>
    <x v="0"/>
    <n v="1"/>
    <n v="439.99"/>
    <n v="0.2"/>
    <n v="351.99200000000002"/>
  </r>
  <r>
    <n v="969"/>
    <n v="2"/>
    <n v="36"/>
    <s v="Surly Troll Frameset - 2017"/>
    <n v="6"/>
    <x v="1"/>
    <n v="1"/>
    <n v="832.99"/>
    <n v="0.1"/>
    <n v="749.69100000000003"/>
  </r>
  <r>
    <n v="970"/>
    <n v="1"/>
    <n v="85"/>
    <s v="Haro Downtown 16 - 2017"/>
    <n v="1"/>
    <x v="5"/>
    <n v="1"/>
    <n v="329.99"/>
    <n v="0.1"/>
    <n v="296.99099999999999"/>
  </r>
  <r>
    <n v="970"/>
    <n v="2"/>
    <n v="48"/>
    <s v="Trek Emonda S 4 - 2017"/>
    <n v="7"/>
    <x v="6"/>
    <n v="2"/>
    <n v="1499.99"/>
    <n v="0.1"/>
    <n v="2699.982"/>
  </r>
  <r>
    <n v="970"/>
    <n v="3"/>
    <n v="54"/>
    <s v="Trek Domane SL Disc Frameset - 2017"/>
    <n v="7"/>
    <x v="6"/>
    <n v="2"/>
    <n v="3199.99"/>
    <n v="0.1"/>
    <n v="5759.982"/>
  </r>
  <r>
    <n v="970"/>
    <n v="4"/>
    <n v="68"/>
    <s v="Sun Bicycles Cruz 3 - 2017"/>
    <n v="3"/>
    <x v="0"/>
    <n v="1"/>
    <n v="449.99"/>
    <n v="0.1"/>
    <n v="404.99099999999999"/>
  </r>
  <r>
    <n v="971"/>
    <n v="1"/>
    <n v="70"/>
    <s v="Electra Amsterdam Original 3i - 2015/2017"/>
    <n v="3"/>
    <x v="0"/>
    <n v="2"/>
    <n v="659.99"/>
    <n v="0.05"/>
    <n v="1253.981"/>
  </r>
  <r>
    <n v="971"/>
    <n v="2"/>
    <n v="65"/>
    <s v="Sun Bicycles Lil Bolt Type-R - 2017"/>
    <n v="3"/>
    <x v="0"/>
    <n v="2"/>
    <n v="346.99"/>
    <n v="7.0000000000000007E-2"/>
    <n v="645.40139999999997"/>
  </r>
  <r>
    <n v="971"/>
    <n v="3"/>
    <n v="8"/>
    <s v="Trek Remedy 29 Carbon Frameset - 2016"/>
    <n v="6"/>
    <x v="1"/>
    <n v="2"/>
    <n v="1799.99"/>
    <n v="0.05"/>
    <n v="3419.9809999999998"/>
  </r>
  <r>
    <n v="971"/>
    <n v="4"/>
    <n v="12"/>
    <s v="Electra Townie Original 21D - 2016"/>
    <n v="3"/>
    <x v="0"/>
    <n v="2"/>
    <n v="549.99"/>
    <n v="7.0000000000000007E-2"/>
    <n v="1022.9814"/>
  </r>
  <r>
    <n v="971"/>
    <n v="5"/>
    <n v="38"/>
    <s v="Haro Flightline Two 26 Plus - 2017"/>
    <n v="6"/>
    <x v="1"/>
    <n v="1"/>
    <n v="549.99"/>
    <n v="0.2"/>
    <n v="439.99200000000002"/>
  </r>
  <r>
    <n v="972"/>
    <n v="1"/>
    <n v="100"/>
    <s v="Electra Townie 3i EQ (20-inch) - Boys' - 2017"/>
    <n v="1"/>
    <x v="5"/>
    <n v="1"/>
    <n v="489.99"/>
    <n v="0.2"/>
    <n v="391.99200000000002"/>
  </r>
  <r>
    <n v="972"/>
    <n v="2"/>
    <n v="63"/>
    <s v="Trek Boone Race Shop Limited - 2017"/>
    <n v="4"/>
    <x v="2"/>
    <n v="1"/>
    <n v="3499.99"/>
    <n v="7.0000000000000007E-2"/>
    <n v="3254.9906999999998"/>
  </r>
  <r>
    <n v="973"/>
    <n v="1"/>
    <n v="4"/>
    <s v="Trek Fuel EX 8 29 - 2016"/>
    <n v="6"/>
    <x v="1"/>
    <n v="2"/>
    <n v="2899.99"/>
    <n v="0.1"/>
    <n v="5219.982"/>
  </r>
  <r>
    <n v="973"/>
    <n v="2"/>
    <n v="28"/>
    <s v="Surly Karate Monkey 27.5+ Frameset - 2017"/>
    <n v="6"/>
    <x v="1"/>
    <n v="2"/>
    <n v="2499.9899999999998"/>
    <n v="0.1"/>
    <n v="4499.982"/>
  </r>
  <r>
    <n v="973"/>
    <n v="3"/>
    <n v="47"/>
    <s v="Trek Remedy 9.8 - 2017"/>
    <n v="6"/>
    <x v="1"/>
    <n v="2"/>
    <n v="5299.99"/>
    <n v="0.05"/>
    <n v="10069.981"/>
  </r>
  <r>
    <n v="973"/>
    <n v="4"/>
    <n v="71"/>
    <s v="Sun Bicycles Atlas X-Type - 2017"/>
    <n v="3"/>
    <x v="0"/>
    <n v="1"/>
    <n v="416.99"/>
    <n v="7.0000000000000007E-2"/>
    <n v="387.80070000000001"/>
  </r>
  <r>
    <n v="974"/>
    <n v="1"/>
    <n v="33"/>
    <s v="Surly Wednesday Frameset - 2017"/>
    <n v="6"/>
    <x v="1"/>
    <n v="2"/>
    <n v="469.99"/>
    <n v="0.1"/>
    <n v="845.98199999999997"/>
  </r>
  <r>
    <n v="974"/>
    <n v="2"/>
    <n v="22"/>
    <s v="Electra Girl's Hawaii 1 (16-inch) - 2015/2016"/>
    <n v="1"/>
    <x v="5"/>
    <n v="2"/>
    <n v="269.99"/>
    <n v="0.2"/>
    <n v="431.98400000000004"/>
  </r>
  <r>
    <n v="975"/>
    <n v="1"/>
    <n v="110"/>
    <s v="Sun Bicycles Drifter 7 - 2017"/>
    <n v="2"/>
    <x v="3"/>
    <n v="2"/>
    <n v="470.99"/>
    <n v="0.2"/>
    <n v="753.58400000000006"/>
  </r>
  <r>
    <n v="976"/>
    <n v="1"/>
    <n v="26"/>
    <s v="Electra Townie Original 7D EQ - 2016"/>
    <n v="2"/>
    <x v="3"/>
    <n v="2"/>
    <n v="599.99"/>
    <n v="0.1"/>
    <n v="1079.982"/>
  </r>
  <r>
    <n v="976"/>
    <n v="2"/>
    <n v="39"/>
    <s v="Trek Stache 5 - 2017"/>
    <n v="6"/>
    <x v="1"/>
    <n v="1"/>
    <n v="1499.99"/>
    <n v="7.0000000000000007E-2"/>
    <n v="1394.9907000000001"/>
  </r>
  <r>
    <n v="977"/>
    <n v="1"/>
    <n v="52"/>
    <s v="Surly Steamroller - 2017"/>
    <n v="7"/>
    <x v="6"/>
    <n v="2"/>
    <n v="875.99"/>
    <n v="0.1"/>
    <n v="1576.7819999999999"/>
  </r>
  <r>
    <n v="977"/>
    <n v="2"/>
    <n v="69"/>
    <s v="Sun Bicycles Cruz 7 - 2017"/>
    <n v="3"/>
    <x v="0"/>
    <n v="2"/>
    <n v="416.99"/>
    <n v="0.05"/>
    <n v="792.28100000000006"/>
  </r>
  <r>
    <n v="977"/>
    <n v="3"/>
    <n v="27"/>
    <s v="Surly Big Dummy Frameset - 2017"/>
    <n v="6"/>
    <x v="1"/>
    <n v="1"/>
    <n v="999.99"/>
    <n v="0.05"/>
    <n v="949.9905"/>
  </r>
  <r>
    <n v="977"/>
    <n v="4"/>
    <n v="80"/>
    <s v="Sun Bicycles Brickell Tandem CB - 2017"/>
    <n v="3"/>
    <x v="0"/>
    <n v="2"/>
    <n v="761.99"/>
    <n v="0.05"/>
    <n v="1447.7809999999999"/>
  </r>
  <r>
    <n v="978"/>
    <n v="1"/>
    <n v="106"/>
    <s v="Sun Bicycles Cruz 3 - 2017"/>
    <n v="2"/>
    <x v="3"/>
    <n v="2"/>
    <n v="449.99"/>
    <n v="0.05"/>
    <n v="854.98099999999999"/>
  </r>
  <r>
    <n v="978"/>
    <n v="2"/>
    <n v="25"/>
    <s v="Electra Townie Original 7D - 2015/2016"/>
    <n v="2"/>
    <x v="3"/>
    <n v="2"/>
    <n v="499.99"/>
    <n v="0.2"/>
    <n v="799.98400000000004"/>
  </r>
  <r>
    <n v="978"/>
    <n v="3"/>
    <n v="108"/>
    <s v="Sun Bicycles Cruz 3 - Women's - 2017"/>
    <n v="2"/>
    <x v="3"/>
    <n v="2"/>
    <n v="449.99"/>
    <n v="0.05"/>
    <n v="854.98099999999999"/>
  </r>
  <r>
    <n v="979"/>
    <n v="1"/>
    <n v="55"/>
    <s v="Trek Domane S 6 - 2017"/>
    <n v="7"/>
    <x v="6"/>
    <n v="1"/>
    <n v="2699.99"/>
    <n v="0.05"/>
    <n v="2564.9904999999999"/>
  </r>
  <r>
    <n v="979"/>
    <n v="2"/>
    <n v="71"/>
    <s v="Sun Bicycles Atlas X-Type - 2017"/>
    <n v="3"/>
    <x v="0"/>
    <n v="2"/>
    <n v="416.99"/>
    <n v="0.2"/>
    <n v="667.18399999999997"/>
  </r>
  <r>
    <n v="979"/>
    <n v="3"/>
    <n v="12"/>
    <s v="Electra Townie Original 21D - 2016"/>
    <n v="3"/>
    <x v="0"/>
    <n v="2"/>
    <n v="549.99"/>
    <n v="0.1"/>
    <n v="989.98199999999997"/>
  </r>
  <r>
    <n v="979"/>
    <n v="4"/>
    <n v="52"/>
    <s v="Surly Steamroller - 2017"/>
    <n v="7"/>
    <x v="6"/>
    <n v="1"/>
    <n v="875.99"/>
    <n v="0.2"/>
    <n v="700.79200000000003"/>
  </r>
  <r>
    <n v="980"/>
    <n v="1"/>
    <n v="49"/>
    <s v="Trek Domane SL 6 - 2017"/>
    <n v="7"/>
    <x v="6"/>
    <n v="2"/>
    <n v="3499.99"/>
    <n v="0.2"/>
    <n v="5599.9839999999995"/>
  </r>
  <r>
    <n v="980"/>
    <n v="2"/>
    <n v="9"/>
    <s v="Trek Conduit+ - 2016"/>
    <n v="5"/>
    <x v="4"/>
    <n v="1"/>
    <n v="2999.99"/>
    <n v="0.1"/>
    <n v="2699.991"/>
  </r>
  <r>
    <n v="980"/>
    <n v="3"/>
    <n v="64"/>
    <s v="Electra Townie Original 7D - 2017"/>
    <n v="3"/>
    <x v="0"/>
    <n v="1"/>
    <n v="489.99"/>
    <n v="0.1"/>
    <n v="440.99099999999999"/>
  </r>
  <r>
    <n v="981"/>
    <n v="1"/>
    <n v="35"/>
    <s v="Sun Bicycles Spider 3i - 2017"/>
    <n v="6"/>
    <x v="1"/>
    <n v="1"/>
    <n v="832.99"/>
    <n v="0.1"/>
    <n v="749.69100000000003"/>
  </r>
  <r>
    <n v="981"/>
    <n v="2"/>
    <n v="95"/>
    <s v="Electra Girl's Hawaii 1 16&quot; - 2017"/>
    <n v="1"/>
    <x v="5"/>
    <n v="2"/>
    <n v="299.99"/>
    <n v="0.05"/>
    <n v="569.98099999999999"/>
  </r>
  <r>
    <n v="981"/>
    <n v="3"/>
    <n v="21"/>
    <s v="Electra Cruiser 1 (24-Inch) - 2016"/>
    <n v="1"/>
    <x v="5"/>
    <n v="2"/>
    <n v="269.99"/>
    <n v="7.0000000000000007E-2"/>
    <n v="502.1814"/>
  </r>
  <r>
    <n v="981"/>
    <n v="4"/>
    <n v="36"/>
    <s v="Surly Troll Frameset - 2017"/>
    <n v="6"/>
    <x v="1"/>
    <n v="2"/>
    <n v="832.99"/>
    <n v="0.1"/>
    <n v="1499.3820000000001"/>
  </r>
  <r>
    <n v="981"/>
    <n v="5"/>
    <n v="61"/>
    <s v="Trek Powerfly 8 FS Plus - 2017"/>
    <n v="5"/>
    <x v="4"/>
    <n v="1"/>
    <n v="4999.99"/>
    <n v="7.0000000000000007E-2"/>
    <n v="4649.9906999999994"/>
  </r>
  <r>
    <n v="982"/>
    <n v="1"/>
    <n v="22"/>
    <s v="Electra Girl's Hawaii 1 (16-inch) - 2015/2016"/>
    <n v="1"/>
    <x v="5"/>
    <n v="2"/>
    <n v="269.99"/>
    <n v="0.1"/>
    <n v="485.98200000000003"/>
  </r>
  <r>
    <n v="982"/>
    <n v="2"/>
    <n v="110"/>
    <s v="Sun Bicycles Drifter 7 - 2017"/>
    <n v="2"/>
    <x v="3"/>
    <n v="1"/>
    <n v="470.99"/>
    <n v="7.0000000000000007E-2"/>
    <n v="438.02070000000003"/>
  </r>
  <r>
    <n v="982"/>
    <n v="3"/>
    <n v="52"/>
    <s v="Surly Steamroller - 2017"/>
    <n v="7"/>
    <x v="6"/>
    <n v="1"/>
    <n v="875.99"/>
    <n v="7.0000000000000007E-2"/>
    <n v="814.67070000000001"/>
  </r>
  <r>
    <n v="982"/>
    <n v="4"/>
    <n v="40"/>
    <s v="Trek Fuel EX 9.8 29 - 2017"/>
    <n v="6"/>
    <x v="1"/>
    <n v="2"/>
    <n v="4999.99"/>
    <n v="0.05"/>
    <n v="9499.9809999999998"/>
  </r>
  <r>
    <n v="983"/>
    <n v="1"/>
    <n v="63"/>
    <s v="Trek Boone Race Shop Limited - 2017"/>
    <n v="4"/>
    <x v="2"/>
    <n v="1"/>
    <n v="3499.99"/>
    <n v="0.1"/>
    <n v="3149.991"/>
  </r>
  <r>
    <n v="983"/>
    <n v="2"/>
    <n v="20"/>
    <s v="Electra Townie Original 7D EQ - Women's - 2016"/>
    <n v="3"/>
    <x v="0"/>
    <n v="2"/>
    <n v="599.99"/>
    <n v="0.2"/>
    <n v="959.98400000000004"/>
  </r>
  <r>
    <n v="983"/>
    <n v="3"/>
    <n v="68"/>
    <s v="Sun Bicycles Cruz 3 - 2017"/>
    <n v="3"/>
    <x v="0"/>
    <n v="1"/>
    <n v="449.99"/>
    <n v="7.0000000000000007E-2"/>
    <n v="418.4907"/>
  </r>
  <r>
    <n v="983"/>
    <n v="4"/>
    <n v="81"/>
    <s v="Electra Amsterdam Fashion 7i Ladies' - 2017"/>
    <n v="3"/>
    <x v="0"/>
    <n v="2"/>
    <n v="1099.99"/>
    <n v="7.0000000000000007E-2"/>
    <n v="2045.9814000000001"/>
  </r>
  <r>
    <n v="983"/>
    <n v="5"/>
    <n v="88"/>
    <s v="Trek Precaliber 12 Girls - 2017"/>
    <n v="1"/>
    <x v="5"/>
    <n v="1"/>
    <n v="189.99"/>
    <n v="0.05"/>
    <n v="180.4905"/>
  </r>
  <r>
    <n v="984"/>
    <n v="1"/>
    <n v="68"/>
    <s v="Sun Bicycles Cruz 3 - 2017"/>
    <n v="3"/>
    <x v="0"/>
    <n v="1"/>
    <n v="449.99"/>
    <n v="0.2"/>
    <n v="359.99200000000002"/>
  </r>
  <r>
    <n v="984"/>
    <n v="2"/>
    <n v="81"/>
    <s v="Electra Amsterdam Fashion 7i Ladies' - 2017"/>
    <n v="3"/>
    <x v="0"/>
    <n v="2"/>
    <n v="1099.99"/>
    <n v="0.2"/>
    <n v="1759.9839999999999"/>
  </r>
  <r>
    <n v="984"/>
    <n v="3"/>
    <n v="12"/>
    <s v="Electra Townie Original 21D - 2016"/>
    <n v="3"/>
    <x v="0"/>
    <n v="1"/>
    <n v="549.99"/>
    <n v="0.1"/>
    <n v="494.99099999999999"/>
  </r>
  <r>
    <n v="984"/>
    <n v="4"/>
    <n v="111"/>
    <s v="Sun Bicycles Drifter 7 - Women's - 2017"/>
    <n v="2"/>
    <x v="3"/>
    <n v="1"/>
    <n v="470.99"/>
    <n v="0.2"/>
    <n v="376.79200000000003"/>
  </r>
  <r>
    <n v="985"/>
    <n v="1"/>
    <n v="5"/>
    <s v="Heller Shagamaw Frame - 2016"/>
    <n v="6"/>
    <x v="1"/>
    <n v="2"/>
    <n v="1320.99"/>
    <n v="7.0000000000000007E-2"/>
    <n v="2457.0414000000001"/>
  </r>
  <r>
    <n v="985"/>
    <n v="2"/>
    <n v="59"/>
    <s v="Trek Domane S 5 Disc - 2017"/>
    <n v="7"/>
    <x v="6"/>
    <n v="1"/>
    <n v="2599.9899999999998"/>
    <n v="0.2"/>
    <n v="2079.9919999999997"/>
  </r>
  <r>
    <n v="985"/>
    <n v="3"/>
    <n v="78"/>
    <s v="Sun Bicycles Biscayne Tandem CB - 2017"/>
    <n v="3"/>
    <x v="0"/>
    <n v="2"/>
    <n v="647.99"/>
    <n v="0.05"/>
    <n v="1231.181"/>
  </r>
  <r>
    <n v="986"/>
    <n v="1"/>
    <n v="87"/>
    <s v="Trek Precaliber 12 Boys - 2017"/>
    <n v="1"/>
    <x v="5"/>
    <n v="1"/>
    <n v="189.99"/>
    <n v="0.1"/>
    <n v="170.99100000000001"/>
  </r>
  <r>
    <n v="986"/>
    <n v="2"/>
    <n v="78"/>
    <s v="Sun Bicycles Biscayne Tandem CB - 2017"/>
    <n v="3"/>
    <x v="0"/>
    <n v="1"/>
    <n v="647.99"/>
    <n v="0.05"/>
    <n v="615.59050000000002"/>
  </r>
  <r>
    <n v="986"/>
    <n v="3"/>
    <n v="26"/>
    <s v="Electra Townie Original 7D EQ - 2016"/>
    <n v="2"/>
    <x v="3"/>
    <n v="2"/>
    <n v="599.99"/>
    <n v="7.0000000000000007E-2"/>
    <n v="1115.9814000000001"/>
  </r>
  <r>
    <n v="987"/>
    <n v="1"/>
    <n v="51"/>
    <s v="Trek Silque SLR 8 Women's - 2017"/>
    <n v="7"/>
    <x v="6"/>
    <n v="2"/>
    <n v="6499.99"/>
    <n v="0.1"/>
    <n v="11699.982"/>
  </r>
  <r>
    <n v="987"/>
    <n v="2"/>
    <n v="60"/>
    <s v="Sun Bicycles ElectroLite - 2017"/>
    <n v="5"/>
    <x v="4"/>
    <n v="2"/>
    <n v="1559.99"/>
    <n v="0.2"/>
    <n v="2495.9839999999999"/>
  </r>
  <r>
    <n v="987"/>
    <n v="3"/>
    <n v="80"/>
    <s v="Sun Bicycles Brickell Tandem CB - 2017"/>
    <n v="3"/>
    <x v="0"/>
    <n v="1"/>
    <n v="761.99"/>
    <n v="7.0000000000000007E-2"/>
    <n v="708.65070000000003"/>
  </r>
  <r>
    <n v="988"/>
    <n v="1"/>
    <n v="35"/>
    <s v="Sun Bicycles Spider 3i - 2017"/>
    <n v="6"/>
    <x v="1"/>
    <n v="1"/>
    <n v="832.99"/>
    <n v="0.2"/>
    <n v="666.39200000000005"/>
  </r>
  <r>
    <n v="988"/>
    <n v="2"/>
    <n v="38"/>
    <s v="Haro Flightline Two 26 Plus - 2017"/>
    <n v="6"/>
    <x v="1"/>
    <n v="1"/>
    <n v="549.99"/>
    <n v="7.0000000000000007E-2"/>
    <n v="511.4907"/>
  </r>
  <r>
    <n v="988"/>
    <n v="3"/>
    <n v="12"/>
    <s v="Electra Townie Original 21D - 2016"/>
    <n v="3"/>
    <x v="0"/>
    <n v="2"/>
    <n v="549.99"/>
    <n v="7.0000000000000007E-2"/>
    <n v="1022.9814"/>
  </r>
  <r>
    <n v="989"/>
    <n v="1"/>
    <n v="99"/>
    <s v="Electra Sugar Skulls 1 (20-inch) - Girl's - 2017"/>
    <n v="1"/>
    <x v="5"/>
    <n v="1"/>
    <n v="299.99"/>
    <n v="0.05"/>
    <n v="284.9905"/>
  </r>
  <r>
    <n v="989"/>
    <n v="2"/>
    <n v="27"/>
    <s v="Surly Big Dummy Frameset - 2017"/>
    <n v="6"/>
    <x v="1"/>
    <n v="1"/>
    <n v="999.99"/>
    <n v="0.1"/>
    <n v="899.99099999999999"/>
  </r>
  <r>
    <n v="989"/>
    <n v="3"/>
    <n v="70"/>
    <s v="Electra Amsterdam Original 3i - 2015/2017"/>
    <n v="3"/>
    <x v="0"/>
    <n v="1"/>
    <n v="659.99"/>
    <n v="0.1"/>
    <n v="593.99099999999999"/>
  </r>
  <r>
    <n v="989"/>
    <n v="4"/>
    <n v="84"/>
    <s v="Sun Bicycles Lil Kitt'n - 2017"/>
    <n v="1"/>
    <x v="5"/>
    <n v="2"/>
    <n v="109.99"/>
    <n v="7.0000000000000007E-2"/>
    <n v="204.5814"/>
  </r>
  <r>
    <n v="989"/>
    <n v="5"/>
    <n v="5"/>
    <s v="Heller Shagamaw Frame - 2016"/>
    <n v="6"/>
    <x v="1"/>
    <n v="1"/>
    <n v="1320.99"/>
    <n v="0.1"/>
    <n v="1188.8910000000001"/>
  </r>
  <r>
    <n v="990"/>
    <n v="1"/>
    <n v="6"/>
    <s v="Surly Ice Cream Truck Frameset - 2016"/>
    <n v="6"/>
    <x v="1"/>
    <n v="2"/>
    <n v="469.99"/>
    <n v="0.2"/>
    <n v="751.98400000000004"/>
  </r>
  <r>
    <n v="990"/>
    <n v="2"/>
    <n v="29"/>
    <s v="Trek X-Caliber 8 - 2017"/>
    <n v="6"/>
    <x v="1"/>
    <n v="1"/>
    <n v="999.99"/>
    <n v="0.1"/>
    <n v="899.99099999999999"/>
  </r>
  <r>
    <n v="990"/>
    <n v="3"/>
    <n v="91"/>
    <s v="Trek Precaliber 24 (21-Speed) - Girls - 2017"/>
    <n v="1"/>
    <x v="5"/>
    <n v="1"/>
    <n v="349.99"/>
    <n v="0.1"/>
    <n v="314.99099999999999"/>
  </r>
  <r>
    <n v="990"/>
    <n v="4"/>
    <n v="14"/>
    <s v="Electra Girl's Hawaii 1 (16-inch) - 2015/2016"/>
    <n v="3"/>
    <x v="0"/>
    <n v="2"/>
    <n v="269.99"/>
    <n v="0.1"/>
    <n v="485.98200000000003"/>
  </r>
  <r>
    <n v="991"/>
    <n v="1"/>
    <n v="9"/>
    <s v="Trek Conduit+ - 2016"/>
    <n v="5"/>
    <x v="4"/>
    <n v="2"/>
    <n v="2999.99"/>
    <n v="0.2"/>
    <n v="4799.9839999999995"/>
  </r>
  <r>
    <n v="991"/>
    <n v="2"/>
    <n v="79"/>
    <s v="Sun Bicycles Boardwalk (24-inch Wheels) - 2017"/>
    <n v="3"/>
    <x v="0"/>
    <n v="1"/>
    <n v="402.99"/>
    <n v="0.2"/>
    <n v="322.392"/>
  </r>
  <r>
    <n v="991"/>
    <n v="3"/>
    <n v="34"/>
    <s v="Trek Session DH 27.5 Carbon Frameset - 2017"/>
    <n v="6"/>
    <x v="1"/>
    <n v="1"/>
    <n v="469.99"/>
    <n v="0.2"/>
    <n v="375.99200000000002"/>
  </r>
  <r>
    <n v="992"/>
    <n v="1"/>
    <n v="45"/>
    <s v="Haro SR 1.2 - 2017"/>
    <n v="6"/>
    <x v="1"/>
    <n v="1"/>
    <n v="869.99"/>
    <n v="7.0000000000000007E-2"/>
    <n v="809.09069999999997"/>
  </r>
  <r>
    <n v="992"/>
    <n v="2"/>
    <n v="102"/>
    <s v="Electra Townie Original 7D - 2017"/>
    <n v="2"/>
    <x v="3"/>
    <n v="1"/>
    <n v="489.99"/>
    <n v="0.1"/>
    <n v="440.99099999999999"/>
  </r>
  <r>
    <n v="992"/>
    <n v="3"/>
    <n v="20"/>
    <s v="Electra Townie Original 7D EQ - Women's - 2016"/>
    <n v="3"/>
    <x v="0"/>
    <n v="1"/>
    <n v="599.99"/>
    <n v="0.2"/>
    <n v="479.99200000000002"/>
  </r>
  <r>
    <n v="992"/>
    <n v="4"/>
    <n v="101"/>
    <s v="Electra Townie 7D (20-inch) - Boys' - 2017"/>
    <n v="1"/>
    <x v="5"/>
    <n v="2"/>
    <n v="339.99"/>
    <n v="0.2"/>
    <n v="543.98400000000004"/>
  </r>
  <r>
    <n v="992"/>
    <n v="5"/>
    <n v="7"/>
    <s v="Trek Slash 8 27.5 - 2016"/>
    <n v="6"/>
    <x v="1"/>
    <n v="1"/>
    <n v="3999.99"/>
    <n v="0.05"/>
    <n v="3799.9904999999999"/>
  </r>
  <r>
    <n v="993"/>
    <n v="1"/>
    <n v="58"/>
    <s v="Trek Madone 9.2 - 2017"/>
    <n v="7"/>
    <x v="6"/>
    <n v="1"/>
    <n v="4999.99"/>
    <n v="0.2"/>
    <n v="3999.9919999999997"/>
  </r>
  <r>
    <n v="993"/>
    <n v="2"/>
    <n v="36"/>
    <s v="Surly Troll Frameset - 2017"/>
    <n v="6"/>
    <x v="1"/>
    <n v="2"/>
    <n v="832.99"/>
    <n v="0.1"/>
    <n v="1499.3820000000001"/>
  </r>
  <r>
    <n v="993"/>
    <n v="3"/>
    <n v="10"/>
    <s v="Surly Straggler - 2016"/>
    <n v="4"/>
    <x v="2"/>
    <n v="2"/>
    <n v="1549"/>
    <n v="0.05"/>
    <n v="2943.1"/>
  </r>
  <r>
    <n v="993"/>
    <n v="4"/>
    <n v="99"/>
    <s v="Electra Sugar Skulls 1 (20-inch) - Girl's - 2017"/>
    <n v="1"/>
    <x v="5"/>
    <n v="2"/>
    <n v="299.99"/>
    <n v="7.0000000000000007E-2"/>
    <n v="557.98140000000001"/>
  </r>
  <r>
    <n v="993"/>
    <n v="5"/>
    <n v="79"/>
    <s v="Sun Bicycles Boardwalk (24-inch Wheels) - 2017"/>
    <n v="3"/>
    <x v="0"/>
    <n v="2"/>
    <n v="402.99"/>
    <n v="0.1"/>
    <n v="725.38200000000006"/>
  </r>
  <r>
    <n v="994"/>
    <n v="1"/>
    <n v="37"/>
    <s v="Haro Flightline One ST - 2017"/>
    <n v="6"/>
    <x v="1"/>
    <n v="2"/>
    <n v="379.99"/>
    <n v="0.1"/>
    <n v="683.98199999999997"/>
  </r>
  <r>
    <n v="994"/>
    <n v="2"/>
    <n v="45"/>
    <s v="Haro SR 1.2 - 2017"/>
    <n v="6"/>
    <x v="1"/>
    <n v="1"/>
    <n v="869.99"/>
    <n v="0.2"/>
    <n v="695.99199999999996"/>
  </r>
  <r>
    <n v="994"/>
    <n v="3"/>
    <n v="66"/>
    <s v="Sun Bicycles Revolutions 24 - 2017"/>
    <n v="3"/>
    <x v="0"/>
    <n v="1"/>
    <n v="250.99"/>
    <n v="7.0000000000000007E-2"/>
    <n v="233.42070000000001"/>
  </r>
  <r>
    <n v="995"/>
    <n v="1"/>
    <n v="16"/>
    <s v="Electra Townie Original 7D EQ - 2016"/>
    <n v="3"/>
    <x v="0"/>
    <n v="2"/>
    <n v="599.99"/>
    <n v="0.1"/>
    <n v="1079.982"/>
  </r>
  <r>
    <n v="995"/>
    <n v="2"/>
    <n v="90"/>
    <s v="Trek Precaliber 16 Girls - 2017"/>
    <n v="1"/>
    <x v="5"/>
    <n v="1"/>
    <n v="209.99"/>
    <n v="0.2"/>
    <n v="167.99200000000002"/>
  </r>
  <r>
    <n v="995"/>
    <n v="3"/>
    <n v="101"/>
    <s v="Electra Townie 7D (20-inch) - Boys' - 2017"/>
    <n v="1"/>
    <x v="5"/>
    <n v="1"/>
    <n v="339.99"/>
    <n v="0.1"/>
    <n v="305.99099999999999"/>
  </r>
  <r>
    <n v="996"/>
    <n v="1"/>
    <n v="68"/>
    <s v="Sun Bicycles Cruz 3 - 2017"/>
    <n v="3"/>
    <x v="0"/>
    <n v="2"/>
    <n v="449.99"/>
    <n v="0.05"/>
    <n v="854.98099999999999"/>
  </r>
  <r>
    <n v="996"/>
    <n v="2"/>
    <n v="32"/>
    <s v="Trek Farley Alloy Frameset - 2017"/>
    <n v="6"/>
    <x v="1"/>
    <n v="1"/>
    <n v="469.99"/>
    <n v="0.05"/>
    <n v="446.4905"/>
  </r>
  <r>
    <n v="997"/>
    <n v="1"/>
    <n v="86"/>
    <s v="Trek Girl's Kickster - 2017"/>
    <n v="1"/>
    <x v="5"/>
    <n v="2"/>
    <n v="149.99"/>
    <n v="7.0000000000000007E-2"/>
    <n v="278.98140000000001"/>
  </r>
  <r>
    <n v="997"/>
    <n v="2"/>
    <n v="105"/>
    <s v="Sun Bicycles Streamway 7 - 2017"/>
    <n v="2"/>
    <x v="3"/>
    <n v="2"/>
    <n v="533.99"/>
    <n v="0.2"/>
    <n v="854.38400000000001"/>
  </r>
  <r>
    <n v="997"/>
    <n v="3"/>
    <n v="14"/>
    <s v="Electra Girl's Hawaii 1 (16-inch) - 2015/2016"/>
    <n v="3"/>
    <x v="0"/>
    <n v="2"/>
    <n v="269.99"/>
    <n v="7.0000000000000007E-2"/>
    <n v="502.1814"/>
  </r>
  <r>
    <n v="998"/>
    <n v="1"/>
    <n v="26"/>
    <s v="Electra Townie Original 7D EQ - 2016"/>
    <n v="2"/>
    <x v="3"/>
    <n v="2"/>
    <n v="599.99"/>
    <n v="0.05"/>
    <n v="1139.981"/>
  </r>
  <r>
    <n v="998"/>
    <n v="2"/>
    <n v="105"/>
    <s v="Sun Bicycles Streamway 7 - 2017"/>
    <n v="2"/>
    <x v="3"/>
    <n v="1"/>
    <n v="533.99"/>
    <n v="0.2"/>
    <n v="427.19200000000001"/>
  </r>
  <r>
    <n v="999"/>
    <n v="1"/>
    <n v="70"/>
    <s v="Electra Amsterdam Original 3i - 2015/2017"/>
    <n v="3"/>
    <x v="0"/>
    <n v="2"/>
    <n v="659.99"/>
    <n v="7.0000000000000007E-2"/>
    <n v="1227.5814"/>
  </r>
  <r>
    <n v="999"/>
    <n v="2"/>
    <n v="106"/>
    <s v="Sun Bicycles Cruz 3 - 2017"/>
    <n v="2"/>
    <x v="3"/>
    <n v="1"/>
    <n v="449.99"/>
    <n v="0.05"/>
    <n v="427.4905"/>
  </r>
  <r>
    <n v="1000"/>
    <n v="1"/>
    <n v="65"/>
    <s v="Sun Bicycles Lil Bolt Type-R - 2017"/>
    <n v="3"/>
    <x v="0"/>
    <n v="2"/>
    <n v="346.99"/>
    <n v="0.05"/>
    <n v="659.28100000000006"/>
  </r>
  <r>
    <n v="1000"/>
    <n v="2"/>
    <n v="111"/>
    <s v="Sun Bicycles Drifter 7 - Women's - 2017"/>
    <n v="2"/>
    <x v="3"/>
    <n v="1"/>
    <n v="470.99"/>
    <n v="0.1"/>
    <n v="423.89100000000002"/>
  </r>
  <r>
    <n v="1000"/>
    <n v="3"/>
    <n v="19"/>
    <s v="Pure Cycles William 3-Speed - 2016"/>
    <n v="3"/>
    <x v="0"/>
    <n v="2"/>
    <n v="449"/>
    <n v="7.0000000000000007E-2"/>
    <n v="835.14"/>
  </r>
  <r>
    <n v="1000"/>
    <n v="4"/>
    <n v="29"/>
    <s v="Trek X-Caliber 8 - 2017"/>
    <n v="6"/>
    <x v="1"/>
    <n v="2"/>
    <n v="999.99"/>
    <n v="0.05"/>
    <n v="1899.981"/>
  </r>
  <r>
    <n v="1001"/>
    <n v="1"/>
    <n v="72"/>
    <s v="Sun Bicycles Biscayne Tandem 7 - 2017"/>
    <n v="3"/>
    <x v="0"/>
    <n v="1"/>
    <n v="619.99"/>
    <n v="0.05"/>
    <n v="588.9905"/>
  </r>
  <r>
    <n v="1001"/>
    <n v="2"/>
    <n v="45"/>
    <s v="Haro SR 1.2 - 2017"/>
    <n v="6"/>
    <x v="1"/>
    <n v="2"/>
    <n v="869.99"/>
    <n v="0.05"/>
    <n v="1652.981"/>
  </r>
  <r>
    <n v="1001"/>
    <n v="3"/>
    <n v="58"/>
    <s v="Trek Madone 9.2 - 2017"/>
    <n v="7"/>
    <x v="6"/>
    <n v="1"/>
    <n v="4999.99"/>
    <n v="0.1"/>
    <n v="4499.991"/>
  </r>
  <r>
    <n v="1001"/>
    <n v="4"/>
    <n v="111"/>
    <s v="Sun Bicycles Drifter 7 - Women's - 2017"/>
    <n v="2"/>
    <x v="3"/>
    <n v="1"/>
    <n v="470.99"/>
    <n v="7.0000000000000007E-2"/>
    <n v="438.02070000000003"/>
  </r>
  <r>
    <n v="1002"/>
    <n v="1"/>
    <n v="100"/>
    <s v="Electra Townie 3i EQ (20-inch) - Boys' - 2017"/>
    <n v="1"/>
    <x v="5"/>
    <n v="1"/>
    <n v="489.99"/>
    <n v="0.05"/>
    <n v="465.4905"/>
  </r>
  <r>
    <n v="1002"/>
    <n v="2"/>
    <n v="83"/>
    <s v="Trek Boy's Kickster - 2015/2017"/>
    <n v="1"/>
    <x v="5"/>
    <n v="1"/>
    <n v="149.99"/>
    <n v="0.1"/>
    <n v="134.99100000000001"/>
  </r>
  <r>
    <n v="1002"/>
    <n v="3"/>
    <n v="8"/>
    <s v="Trek Remedy 29 Carbon Frameset - 2016"/>
    <n v="6"/>
    <x v="1"/>
    <n v="2"/>
    <n v="1799.99"/>
    <n v="0.1"/>
    <n v="3239.982"/>
  </r>
  <r>
    <n v="1002"/>
    <n v="4"/>
    <n v="79"/>
    <s v="Sun Bicycles Boardwalk (24-inch Wheels) - 2017"/>
    <n v="3"/>
    <x v="0"/>
    <n v="1"/>
    <n v="402.99"/>
    <n v="0.2"/>
    <n v="322.392"/>
  </r>
  <r>
    <n v="1003"/>
    <n v="1"/>
    <n v="34"/>
    <s v="Trek Session DH 27.5 Carbon Frameset - 2017"/>
    <n v="6"/>
    <x v="1"/>
    <n v="2"/>
    <n v="469.99"/>
    <n v="0.05"/>
    <n v="892.98099999999999"/>
  </r>
  <r>
    <n v="1003"/>
    <n v="2"/>
    <n v="51"/>
    <s v="Trek Silque SLR 8 Women's - 2017"/>
    <n v="7"/>
    <x v="6"/>
    <n v="2"/>
    <n v="6499.99"/>
    <n v="0.05"/>
    <n v="12349.981"/>
  </r>
  <r>
    <n v="1004"/>
    <n v="1"/>
    <n v="36"/>
    <s v="Surly Troll Frameset - 2017"/>
    <n v="6"/>
    <x v="1"/>
    <n v="2"/>
    <n v="832.99"/>
    <n v="0.1"/>
    <n v="1499.3820000000001"/>
  </r>
  <r>
    <n v="1005"/>
    <n v="1"/>
    <n v="14"/>
    <s v="Electra Girl's Hawaii 1 (16-inch) - 2015/2016"/>
    <n v="3"/>
    <x v="0"/>
    <n v="2"/>
    <n v="269.99"/>
    <n v="0.2"/>
    <n v="431.98400000000004"/>
  </r>
  <r>
    <n v="1005"/>
    <n v="2"/>
    <n v="81"/>
    <s v="Electra Amsterdam Fashion 7i Ladies' - 2017"/>
    <n v="3"/>
    <x v="0"/>
    <n v="2"/>
    <n v="1099.99"/>
    <n v="0.1"/>
    <n v="1979.982"/>
  </r>
  <r>
    <n v="1005"/>
    <n v="3"/>
    <n v="99"/>
    <s v="Electra Sugar Skulls 1 (20-inch) - Girl's - 2017"/>
    <n v="1"/>
    <x v="5"/>
    <n v="1"/>
    <n v="299.99"/>
    <n v="0.1"/>
    <n v="269.99099999999999"/>
  </r>
  <r>
    <n v="1006"/>
    <n v="1"/>
    <n v="20"/>
    <s v="Electra Townie Original 7D EQ - Women's - 2016"/>
    <n v="3"/>
    <x v="0"/>
    <n v="1"/>
    <n v="599.99"/>
    <n v="7.0000000000000007E-2"/>
    <n v="557.99070000000006"/>
  </r>
  <r>
    <n v="1006"/>
    <n v="2"/>
    <n v="68"/>
    <s v="Sun Bicycles Cruz 3 - 2017"/>
    <n v="3"/>
    <x v="0"/>
    <n v="1"/>
    <n v="449.99"/>
    <n v="0.1"/>
    <n v="404.99099999999999"/>
  </r>
  <r>
    <n v="1006"/>
    <n v="3"/>
    <n v="56"/>
    <s v="Trek Domane SLR 6 Disc - 2017"/>
    <n v="7"/>
    <x v="6"/>
    <n v="2"/>
    <n v="5499.99"/>
    <n v="7.0000000000000007E-2"/>
    <n v="10229.981399999999"/>
  </r>
  <r>
    <n v="1006"/>
    <n v="4"/>
    <n v="65"/>
    <s v="Sun Bicycles Lil Bolt Type-R - 2017"/>
    <n v="3"/>
    <x v="0"/>
    <n v="1"/>
    <n v="346.99"/>
    <n v="0.1"/>
    <n v="312.291"/>
  </r>
  <r>
    <n v="1006"/>
    <n v="5"/>
    <n v="46"/>
    <s v="Haro SR 1.3 - 2017"/>
    <n v="6"/>
    <x v="1"/>
    <n v="1"/>
    <n v="1409.99"/>
    <n v="0.1"/>
    <n v="1268.991"/>
  </r>
  <r>
    <n v="1007"/>
    <n v="1"/>
    <n v="26"/>
    <s v="Electra Townie Original 7D EQ - 2016"/>
    <n v="2"/>
    <x v="3"/>
    <n v="1"/>
    <n v="599.99"/>
    <n v="0.2"/>
    <n v="479.99200000000002"/>
  </r>
  <r>
    <n v="1007"/>
    <n v="2"/>
    <n v="11"/>
    <s v="Surly Straggler 650b - 2016"/>
    <n v="4"/>
    <x v="2"/>
    <n v="1"/>
    <n v="1680.99"/>
    <n v="0.05"/>
    <n v="1596.9404999999999"/>
  </r>
  <r>
    <n v="1007"/>
    <n v="3"/>
    <n v="85"/>
    <s v="Haro Downtown 16 - 2017"/>
    <n v="1"/>
    <x v="5"/>
    <n v="2"/>
    <n v="329.99"/>
    <n v="0.1"/>
    <n v="593.98199999999997"/>
  </r>
  <r>
    <n v="1007"/>
    <n v="4"/>
    <n v="76"/>
    <s v="Electra Girl's Hawaii 1 16&quot; - 2017"/>
    <n v="3"/>
    <x v="0"/>
    <n v="1"/>
    <n v="299.99"/>
    <n v="0.2"/>
    <n v="239.99200000000002"/>
  </r>
  <r>
    <n v="1007"/>
    <n v="5"/>
    <n v="106"/>
    <s v="Sun Bicycles Cruz 3 - 2017"/>
    <n v="2"/>
    <x v="3"/>
    <n v="2"/>
    <n v="449.99"/>
    <n v="0.1"/>
    <n v="809.98199999999997"/>
  </r>
  <r>
    <n v="1008"/>
    <n v="1"/>
    <n v="71"/>
    <s v="Sun Bicycles Atlas X-Type - 2017"/>
    <n v="3"/>
    <x v="0"/>
    <n v="1"/>
    <n v="416.99"/>
    <n v="0.2"/>
    <n v="333.59199999999998"/>
  </r>
  <r>
    <n v="1008"/>
    <n v="2"/>
    <n v="2"/>
    <s v="Ritchey Timberwolf Frameset - 2016"/>
    <n v="6"/>
    <x v="1"/>
    <n v="1"/>
    <n v="749.99"/>
    <n v="0.1"/>
    <n v="674.99099999999999"/>
  </r>
  <r>
    <n v="1008"/>
    <n v="3"/>
    <n v="95"/>
    <s v="Electra Girl's Hawaii 1 16&quot; - 2017"/>
    <n v="1"/>
    <x v="5"/>
    <n v="1"/>
    <n v="299.99"/>
    <n v="7.0000000000000007E-2"/>
    <n v="278.9907"/>
  </r>
  <r>
    <n v="1009"/>
    <n v="1"/>
    <n v="95"/>
    <s v="Electra Girl's Hawaii 1 16&quot; - 2017"/>
    <n v="1"/>
    <x v="5"/>
    <n v="2"/>
    <n v="299.99"/>
    <n v="7.0000000000000007E-2"/>
    <n v="557.98140000000001"/>
  </r>
  <r>
    <n v="1009"/>
    <n v="2"/>
    <n v="44"/>
    <s v="Haro SR 1.1 - 2017"/>
    <n v="6"/>
    <x v="1"/>
    <n v="1"/>
    <n v="539.99"/>
    <n v="7.0000000000000007E-2"/>
    <n v="502.19069999999999"/>
  </r>
  <r>
    <n v="1010"/>
    <n v="1"/>
    <n v="109"/>
    <s v="Sun Bicycles Cruz 7 - Women's - 2017"/>
    <n v="2"/>
    <x v="3"/>
    <n v="2"/>
    <n v="416.99"/>
    <n v="0.1"/>
    <n v="750.58199999999999"/>
  </r>
  <r>
    <n v="1011"/>
    <n v="1"/>
    <n v="88"/>
    <s v="Trek Precaliber 12 Girls - 2017"/>
    <n v="1"/>
    <x v="5"/>
    <n v="1"/>
    <n v="189.99"/>
    <n v="0.2"/>
    <n v="151.99200000000002"/>
  </r>
  <r>
    <n v="1011"/>
    <n v="2"/>
    <n v="99"/>
    <s v="Electra Sugar Skulls 1 (20-inch) - Girl's - 2017"/>
    <n v="1"/>
    <x v="5"/>
    <n v="2"/>
    <n v="299.99"/>
    <n v="0.2"/>
    <n v="479.98400000000004"/>
  </r>
  <r>
    <n v="1011"/>
    <n v="3"/>
    <n v="16"/>
    <s v="Electra Townie Original 7D EQ - 2016"/>
    <n v="3"/>
    <x v="0"/>
    <n v="2"/>
    <n v="599.99"/>
    <n v="0.2"/>
    <n v="959.98400000000004"/>
  </r>
  <r>
    <n v="1011"/>
    <n v="4"/>
    <n v="68"/>
    <s v="Sun Bicycles Cruz 3 - 2017"/>
    <n v="3"/>
    <x v="0"/>
    <n v="2"/>
    <n v="449.99"/>
    <n v="0.05"/>
    <n v="854.98099999999999"/>
  </r>
  <r>
    <n v="1012"/>
    <n v="1"/>
    <n v="8"/>
    <s v="Trek Remedy 29 Carbon Frameset - 2016"/>
    <n v="6"/>
    <x v="1"/>
    <n v="1"/>
    <n v="1799.99"/>
    <n v="7.0000000000000007E-2"/>
    <n v="1673.9907000000001"/>
  </r>
  <r>
    <n v="1012"/>
    <n v="2"/>
    <n v="64"/>
    <s v="Electra Townie Original 7D - 2017"/>
    <n v="3"/>
    <x v="0"/>
    <n v="1"/>
    <n v="489.99"/>
    <n v="0.2"/>
    <n v="391.99200000000002"/>
  </r>
  <r>
    <n v="1013"/>
    <n v="1"/>
    <n v="60"/>
    <s v="Sun Bicycles ElectroLite - 2017"/>
    <n v="5"/>
    <x v="4"/>
    <n v="2"/>
    <n v="1559.99"/>
    <n v="0.05"/>
    <n v="2963.9809999999998"/>
  </r>
  <r>
    <n v="1014"/>
    <n v="1"/>
    <n v="97"/>
    <s v="Electra Savannah 3i (20-inch) - Girl's - 2017"/>
    <n v="1"/>
    <x v="5"/>
    <n v="1"/>
    <n v="349.99"/>
    <n v="0.2"/>
    <n v="279.99200000000002"/>
  </r>
  <r>
    <n v="1014"/>
    <n v="2"/>
    <n v="45"/>
    <s v="Haro SR 1.2 - 2017"/>
    <n v="6"/>
    <x v="1"/>
    <n v="2"/>
    <n v="869.99"/>
    <n v="0.05"/>
    <n v="1652.981"/>
  </r>
  <r>
    <n v="1014"/>
    <n v="3"/>
    <n v="81"/>
    <s v="Electra Amsterdam Fashion 7i Ladies' - 2017"/>
    <n v="3"/>
    <x v="0"/>
    <n v="2"/>
    <n v="1099.99"/>
    <n v="0.1"/>
    <n v="1979.982"/>
  </r>
  <r>
    <n v="1014"/>
    <n v="4"/>
    <n v="59"/>
    <s v="Trek Domane S 5 Disc - 2017"/>
    <n v="7"/>
    <x v="6"/>
    <n v="1"/>
    <n v="2599.9899999999998"/>
    <n v="0.05"/>
    <n v="2469.9904999999999"/>
  </r>
  <r>
    <n v="1015"/>
    <n v="1"/>
    <n v="6"/>
    <s v="Surly Ice Cream Truck Frameset - 2016"/>
    <n v="6"/>
    <x v="1"/>
    <n v="2"/>
    <n v="469.99"/>
    <n v="0.1"/>
    <n v="845.98199999999997"/>
  </r>
  <r>
    <n v="1015"/>
    <n v="2"/>
    <n v="73"/>
    <s v="Sun Bicycles Brickell Tandem 7 - 2017"/>
    <n v="3"/>
    <x v="0"/>
    <n v="2"/>
    <n v="749.99"/>
    <n v="0.2"/>
    <n v="1199.9839999999999"/>
  </r>
  <r>
    <n v="1015"/>
    <n v="3"/>
    <n v="101"/>
    <s v="Electra Townie 7D (20-inch) - Boys' - 2017"/>
    <n v="1"/>
    <x v="5"/>
    <n v="2"/>
    <n v="339.99"/>
    <n v="0.1"/>
    <n v="611.98199999999997"/>
  </r>
  <r>
    <n v="1015"/>
    <n v="4"/>
    <n v="13"/>
    <s v="Electra Cruiser 1 (24-Inch) - 2016"/>
    <n v="3"/>
    <x v="0"/>
    <n v="1"/>
    <n v="269.99"/>
    <n v="0.2"/>
    <n v="215.99200000000002"/>
  </r>
  <r>
    <n v="1016"/>
    <n v="1"/>
    <n v="76"/>
    <s v="Electra Girl's Hawaii 1 16&quot; - 2017"/>
    <n v="3"/>
    <x v="0"/>
    <n v="2"/>
    <n v="299.99"/>
    <n v="7.0000000000000007E-2"/>
    <n v="557.98140000000001"/>
  </r>
  <r>
    <n v="1017"/>
    <n v="1"/>
    <n v="89"/>
    <s v="Trek Precaliber 16 Boys - 2017"/>
    <n v="1"/>
    <x v="5"/>
    <n v="1"/>
    <n v="209.99"/>
    <n v="7.0000000000000007E-2"/>
    <n v="195.29070000000002"/>
  </r>
  <r>
    <n v="1017"/>
    <n v="2"/>
    <n v="82"/>
    <s v="Electra Amsterdam Original 3i Ladies' - 2017"/>
    <n v="3"/>
    <x v="0"/>
    <n v="2"/>
    <n v="659.99"/>
    <n v="0.2"/>
    <n v="1055.9839999999999"/>
  </r>
  <r>
    <n v="1017"/>
    <n v="3"/>
    <n v="100"/>
    <s v="Electra Townie 3i EQ (20-inch) - Boys' - 2017"/>
    <n v="1"/>
    <x v="5"/>
    <n v="1"/>
    <n v="489.99"/>
    <n v="0.2"/>
    <n v="391.99200000000002"/>
  </r>
  <r>
    <n v="1017"/>
    <n v="4"/>
    <n v="18"/>
    <s v="Pure Cycles Western 3-Speed - Women's - 2015/2016"/>
    <n v="3"/>
    <x v="0"/>
    <n v="2"/>
    <n v="449"/>
    <n v="0.2"/>
    <n v="718.4"/>
  </r>
  <r>
    <n v="1017"/>
    <n v="5"/>
    <n v="77"/>
    <s v="Electra Glam Punk 3i Ladies' - 2017"/>
    <n v="3"/>
    <x v="0"/>
    <n v="2"/>
    <n v="799.99"/>
    <n v="0.1"/>
    <n v="1439.982"/>
  </r>
  <r>
    <n v="1018"/>
    <n v="1"/>
    <n v="76"/>
    <s v="Electra Girl's Hawaii 1 16&quot; - 2017"/>
    <n v="3"/>
    <x v="0"/>
    <n v="2"/>
    <n v="299.99"/>
    <n v="7.0000000000000007E-2"/>
    <n v="557.98140000000001"/>
  </r>
  <r>
    <n v="1018"/>
    <n v="2"/>
    <n v="97"/>
    <s v="Electra Savannah 3i (20-inch) - Girl's - 2017"/>
    <n v="1"/>
    <x v="5"/>
    <n v="2"/>
    <n v="349.99"/>
    <n v="0.1"/>
    <n v="629.98199999999997"/>
  </r>
  <r>
    <n v="1018"/>
    <n v="3"/>
    <n v="91"/>
    <s v="Trek Precaliber 24 (21-Speed) - Girls - 2017"/>
    <n v="1"/>
    <x v="5"/>
    <n v="1"/>
    <n v="349.99"/>
    <n v="0.2"/>
    <n v="279.99200000000002"/>
  </r>
  <r>
    <n v="1019"/>
    <n v="1"/>
    <n v="30"/>
    <s v="Surly Ice Cream Truck Frameset - 2017"/>
    <n v="6"/>
    <x v="1"/>
    <n v="1"/>
    <n v="999.99"/>
    <n v="0.1"/>
    <n v="899.99099999999999"/>
  </r>
  <r>
    <n v="1019"/>
    <n v="2"/>
    <n v="52"/>
    <s v="Surly Steamroller - 2017"/>
    <n v="7"/>
    <x v="6"/>
    <n v="1"/>
    <n v="875.99"/>
    <n v="0.2"/>
    <n v="700.79200000000003"/>
  </r>
  <r>
    <n v="1019"/>
    <n v="3"/>
    <n v="37"/>
    <s v="Haro Flightline One ST - 2017"/>
    <n v="6"/>
    <x v="1"/>
    <n v="1"/>
    <n v="379.99"/>
    <n v="0.05"/>
    <n v="360.9905"/>
  </r>
  <r>
    <n v="1019"/>
    <n v="4"/>
    <n v="93"/>
    <s v="Haro Shredder 20 Girls - 2017"/>
    <n v="1"/>
    <x v="5"/>
    <n v="2"/>
    <n v="209.99"/>
    <n v="0.2"/>
    <n v="335.98400000000004"/>
  </r>
  <r>
    <n v="1020"/>
    <n v="1"/>
    <n v="20"/>
    <s v="Electra Townie Original 7D EQ - Women's - 2016"/>
    <n v="3"/>
    <x v="0"/>
    <n v="2"/>
    <n v="599.99"/>
    <n v="0.05"/>
    <n v="1139.981"/>
  </r>
  <r>
    <n v="1020"/>
    <n v="2"/>
    <n v="69"/>
    <s v="Sun Bicycles Cruz 7 - 2017"/>
    <n v="3"/>
    <x v="0"/>
    <n v="2"/>
    <n v="416.99"/>
    <n v="0.05"/>
    <n v="792.28100000000006"/>
  </r>
  <r>
    <n v="1020"/>
    <n v="3"/>
    <n v="15"/>
    <s v="Electra Moto 1 - 2016"/>
    <n v="3"/>
    <x v="0"/>
    <n v="1"/>
    <n v="529.99"/>
    <n v="7.0000000000000007E-2"/>
    <n v="492.89069999999998"/>
  </r>
  <r>
    <n v="1020"/>
    <n v="4"/>
    <n v="57"/>
    <s v="Trek Emonda S 5 - 2017"/>
    <n v="7"/>
    <x v="6"/>
    <n v="2"/>
    <n v="1999.99"/>
    <n v="0.1"/>
    <n v="3599.982"/>
  </r>
  <r>
    <n v="1020"/>
    <n v="5"/>
    <n v="40"/>
    <s v="Trek Fuel EX 9.8 29 - 2017"/>
    <n v="6"/>
    <x v="1"/>
    <n v="2"/>
    <n v="4999.99"/>
    <n v="0.05"/>
    <n v="9499.9809999999998"/>
  </r>
  <r>
    <n v="1021"/>
    <n v="1"/>
    <n v="49"/>
    <s v="Trek Domane SL 6 - 2017"/>
    <n v="7"/>
    <x v="6"/>
    <n v="2"/>
    <n v="3499.99"/>
    <n v="7.0000000000000007E-2"/>
    <n v="6509.9813999999997"/>
  </r>
  <r>
    <n v="1021"/>
    <n v="2"/>
    <n v="23"/>
    <s v="Electra Girl's Hawaii 1 (20-inch) - 2015/2016"/>
    <n v="1"/>
    <x v="5"/>
    <n v="2"/>
    <n v="299.99"/>
    <n v="7.0000000000000007E-2"/>
    <n v="557.98140000000001"/>
  </r>
  <r>
    <n v="1022"/>
    <n v="1"/>
    <n v="33"/>
    <s v="Surly Wednesday Frameset - 2017"/>
    <n v="6"/>
    <x v="1"/>
    <n v="1"/>
    <n v="469.99"/>
    <n v="0.2"/>
    <n v="375.99200000000002"/>
  </r>
  <r>
    <n v="1022"/>
    <n v="2"/>
    <n v="46"/>
    <s v="Haro SR 1.3 - 2017"/>
    <n v="6"/>
    <x v="1"/>
    <n v="1"/>
    <n v="1409.99"/>
    <n v="0.1"/>
    <n v="1268.991"/>
  </r>
  <r>
    <n v="1022"/>
    <n v="3"/>
    <n v="65"/>
    <s v="Sun Bicycles Lil Bolt Type-R - 2017"/>
    <n v="3"/>
    <x v="0"/>
    <n v="1"/>
    <n v="346.99"/>
    <n v="7.0000000000000007E-2"/>
    <n v="322.70069999999998"/>
  </r>
  <r>
    <n v="1022"/>
    <n v="4"/>
    <n v="5"/>
    <s v="Heller Shagamaw Frame - 2016"/>
    <n v="6"/>
    <x v="1"/>
    <n v="1"/>
    <n v="1320.99"/>
    <n v="7.0000000000000007E-2"/>
    <n v="1228.5207"/>
  </r>
  <r>
    <n v="1023"/>
    <n v="1"/>
    <n v="91"/>
    <s v="Trek Precaliber 24 (21-Speed) - Girls - 2017"/>
    <n v="1"/>
    <x v="5"/>
    <n v="1"/>
    <n v="349.99"/>
    <n v="7.0000000000000007E-2"/>
    <n v="325.4907"/>
  </r>
  <r>
    <n v="1023"/>
    <n v="2"/>
    <n v="43"/>
    <s v="Trek Fuel EX 9.8 27.5 Plus - 2017"/>
    <n v="6"/>
    <x v="1"/>
    <n v="2"/>
    <n v="5299.99"/>
    <n v="0.1"/>
    <n v="9539.982"/>
  </r>
  <r>
    <n v="1024"/>
    <n v="1"/>
    <n v="104"/>
    <s v="Sun Bicycles Streamway - 2017"/>
    <n v="2"/>
    <x v="3"/>
    <n v="1"/>
    <n v="481.99"/>
    <n v="0.2"/>
    <n v="385.59199999999998"/>
  </r>
  <r>
    <n v="1024"/>
    <n v="2"/>
    <n v="28"/>
    <s v="Surly Karate Monkey 27.5+ Frameset - 2017"/>
    <n v="6"/>
    <x v="1"/>
    <n v="2"/>
    <n v="2499.9899999999998"/>
    <n v="0.05"/>
    <n v="4749.9809999999998"/>
  </r>
  <r>
    <n v="1024"/>
    <n v="3"/>
    <n v="98"/>
    <s v="Electra Straight 8 3i (20-inch) - Boy's - 2017"/>
    <n v="1"/>
    <x v="5"/>
    <n v="2"/>
    <n v="489.99"/>
    <n v="0.2"/>
    <n v="783.98400000000004"/>
  </r>
  <r>
    <n v="1024"/>
    <n v="4"/>
    <n v="96"/>
    <s v="Electra Moto 3i (20-inch) - Boy's - 2017"/>
    <n v="1"/>
    <x v="5"/>
    <n v="2"/>
    <n v="349.99"/>
    <n v="0.1"/>
    <n v="629.98199999999997"/>
  </r>
  <r>
    <n v="1024"/>
    <n v="5"/>
    <n v="91"/>
    <s v="Trek Precaliber 24 (21-Speed) - Girls - 2017"/>
    <n v="1"/>
    <x v="5"/>
    <n v="1"/>
    <n v="349.99"/>
    <n v="0.2"/>
    <n v="279.99200000000002"/>
  </r>
  <r>
    <n v="1025"/>
    <n v="1"/>
    <n v="89"/>
    <s v="Trek Precaliber 16 Boys - 2017"/>
    <n v="1"/>
    <x v="5"/>
    <n v="1"/>
    <n v="209.99"/>
    <n v="7.0000000000000007E-2"/>
    <n v="195.29070000000002"/>
  </r>
  <r>
    <n v="1025"/>
    <n v="2"/>
    <n v="102"/>
    <s v="Electra Townie Original 7D - 2017"/>
    <n v="2"/>
    <x v="3"/>
    <n v="1"/>
    <n v="489.99"/>
    <n v="0.1"/>
    <n v="440.99099999999999"/>
  </r>
  <r>
    <n v="1025"/>
    <n v="3"/>
    <n v="39"/>
    <s v="Trek Stache 5 - 2017"/>
    <n v="6"/>
    <x v="1"/>
    <n v="1"/>
    <n v="1499.99"/>
    <n v="0.1"/>
    <n v="1349.991"/>
  </r>
  <r>
    <n v="1025"/>
    <n v="4"/>
    <n v="15"/>
    <s v="Electra Moto 1 - 2016"/>
    <n v="3"/>
    <x v="0"/>
    <n v="1"/>
    <n v="529.99"/>
    <n v="0.05"/>
    <n v="503.4905"/>
  </r>
  <r>
    <n v="1025"/>
    <n v="5"/>
    <n v="66"/>
    <s v="Sun Bicycles Revolutions 24 - 2017"/>
    <n v="3"/>
    <x v="0"/>
    <n v="2"/>
    <n v="250.99"/>
    <n v="0.05"/>
    <n v="476.88100000000003"/>
  </r>
  <r>
    <n v="1026"/>
    <n v="1"/>
    <n v="7"/>
    <s v="Trek Slash 8 27.5 - 2016"/>
    <n v="6"/>
    <x v="1"/>
    <n v="2"/>
    <n v="3999.99"/>
    <n v="7.0000000000000007E-2"/>
    <n v="7439.9813999999997"/>
  </r>
  <r>
    <n v="1027"/>
    <n v="1"/>
    <n v="95"/>
    <s v="Electra Girl's Hawaii 1 16&quot; - 2017"/>
    <n v="1"/>
    <x v="5"/>
    <n v="2"/>
    <n v="299.99"/>
    <n v="0.1"/>
    <n v="539.98199999999997"/>
  </r>
  <r>
    <n v="1027"/>
    <n v="2"/>
    <n v="14"/>
    <s v="Electra Girl's Hawaii 1 (16-inch) - 2015/2016"/>
    <n v="3"/>
    <x v="0"/>
    <n v="2"/>
    <n v="269.99"/>
    <n v="0.05"/>
    <n v="512.98099999999999"/>
  </r>
  <r>
    <n v="1028"/>
    <n v="1"/>
    <n v="111"/>
    <s v="Sun Bicycles Drifter 7 - Women's - 2017"/>
    <n v="2"/>
    <x v="3"/>
    <n v="2"/>
    <n v="470.99"/>
    <n v="0.1"/>
    <n v="847.78200000000004"/>
  </r>
  <r>
    <n v="1028"/>
    <n v="2"/>
    <n v="10"/>
    <s v="Surly Straggler - 2016"/>
    <n v="4"/>
    <x v="2"/>
    <n v="1"/>
    <n v="1549"/>
    <n v="0.2"/>
    <n v="1239.2"/>
  </r>
  <r>
    <n v="1028"/>
    <n v="3"/>
    <n v="41"/>
    <s v="Haro Shift R3 - 2017"/>
    <n v="6"/>
    <x v="1"/>
    <n v="1"/>
    <n v="1469.99"/>
    <n v="0.2"/>
    <n v="1175.992"/>
  </r>
  <r>
    <n v="1028"/>
    <n v="4"/>
    <n v="35"/>
    <s v="Sun Bicycles Spider 3i - 2017"/>
    <n v="6"/>
    <x v="1"/>
    <n v="2"/>
    <n v="832.99"/>
    <n v="0.1"/>
    <n v="1499.3820000000001"/>
  </r>
  <r>
    <n v="1028"/>
    <n v="5"/>
    <n v="108"/>
    <s v="Sun Bicycles Cruz 3 - Women's - 2017"/>
    <n v="2"/>
    <x v="3"/>
    <n v="1"/>
    <n v="449.99"/>
    <n v="0.2"/>
    <n v="359.99200000000002"/>
  </r>
  <r>
    <n v="1029"/>
    <n v="1"/>
    <n v="20"/>
    <s v="Electra Townie Original 7D EQ - Women's - 2016"/>
    <n v="3"/>
    <x v="0"/>
    <n v="1"/>
    <n v="599.99"/>
    <n v="0.2"/>
    <n v="479.99200000000002"/>
  </r>
  <r>
    <n v="1029"/>
    <n v="2"/>
    <n v="55"/>
    <s v="Trek Domane S 6 - 2017"/>
    <n v="7"/>
    <x v="6"/>
    <n v="1"/>
    <n v="2699.99"/>
    <n v="0.1"/>
    <n v="2429.991"/>
  </r>
  <r>
    <n v="1029"/>
    <n v="3"/>
    <n v="40"/>
    <s v="Trek Fuel EX 9.8 29 - 2017"/>
    <n v="6"/>
    <x v="1"/>
    <n v="1"/>
    <n v="4999.99"/>
    <n v="0.2"/>
    <n v="3999.9919999999997"/>
  </r>
  <r>
    <n v="1029"/>
    <n v="4"/>
    <n v="68"/>
    <s v="Sun Bicycles Cruz 3 - 2017"/>
    <n v="3"/>
    <x v="0"/>
    <n v="2"/>
    <n v="449.99"/>
    <n v="0.1"/>
    <n v="809.98199999999997"/>
  </r>
  <r>
    <n v="1030"/>
    <n v="1"/>
    <n v="27"/>
    <s v="Surly Big Dummy Frameset - 2017"/>
    <n v="6"/>
    <x v="1"/>
    <n v="1"/>
    <n v="999.99"/>
    <n v="0.05"/>
    <n v="949.9905"/>
  </r>
  <r>
    <n v="1030"/>
    <n v="2"/>
    <n v="10"/>
    <s v="Surly Straggler - 2016"/>
    <n v="4"/>
    <x v="2"/>
    <n v="2"/>
    <n v="1549"/>
    <n v="0.1"/>
    <n v="2788.2"/>
  </r>
  <r>
    <n v="1030"/>
    <n v="3"/>
    <n v="72"/>
    <s v="Sun Bicycles Biscayne Tandem 7 - 2017"/>
    <n v="3"/>
    <x v="0"/>
    <n v="1"/>
    <n v="619.99"/>
    <n v="0.1"/>
    <n v="557.99099999999999"/>
  </r>
  <r>
    <n v="1031"/>
    <n v="1"/>
    <n v="27"/>
    <s v="Surly Big Dummy Frameset - 2017"/>
    <n v="6"/>
    <x v="1"/>
    <n v="2"/>
    <n v="999.99"/>
    <n v="0.2"/>
    <n v="1599.9839999999999"/>
  </r>
  <r>
    <n v="1031"/>
    <n v="2"/>
    <n v="108"/>
    <s v="Sun Bicycles Cruz 3 - Women's - 2017"/>
    <n v="2"/>
    <x v="3"/>
    <n v="2"/>
    <n v="449.99"/>
    <n v="0.2"/>
    <n v="719.98400000000004"/>
  </r>
  <r>
    <n v="1032"/>
    <n v="1"/>
    <n v="60"/>
    <s v="Sun Bicycles ElectroLite - 2017"/>
    <n v="5"/>
    <x v="4"/>
    <n v="2"/>
    <n v="1559.99"/>
    <n v="0.1"/>
    <n v="2807.982"/>
  </r>
  <r>
    <n v="1032"/>
    <n v="2"/>
    <n v="17"/>
    <s v="Pure Cycles Vine 8-Speed - 2016"/>
    <n v="3"/>
    <x v="0"/>
    <n v="1"/>
    <n v="429"/>
    <n v="0.1"/>
    <n v="386.1"/>
  </r>
  <r>
    <n v="1033"/>
    <n v="1"/>
    <n v="26"/>
    <s v="Electra Townie Original 7D EQ - 2016"/>
    <n v="2"/>
    <x v="3"/>
    <n v="1"/>
    <n v="599.99"/>
    <n v="7.0000000000000007E-2"/>
    <n v="557.99070000000006"/>
  </r>
  <r>
    <n v="1033"/>
    <n v="2"/>
    <n v="109"/>
    <s v="Sun Bicycles Cruz 7 - Women's - 2017"/>
    <n v="2"/>
    <x v="3"/>
    <n v="2"/>
    <n v="416.99"/>
    <n v="0.1"/>
    <n v="750.58199999999999"/>
  </r>
  <r>
    <n v="1033"/>
    <n v="3"/>
    <n v="27"/>
    <s v="Surly Big Dummy Frameset - 2017"/>
    <n v="6"/>
    <x v="1"/>
    <n v="2"/>
    <n v="999.99"/>
    <n v="7.0000000000000007E-2"/>
    <n v="1859.9814000000001"/>
  </r>
  <r>
    <n v="1034"/>
    <n v="1"/>
    <n v="101"/>
    <s v="Electra Townie 7D (20-inch) - Boys' - 2017"/>
    <n v="1"/>
    <x v="5"/>
    <n v="1"/>
    <n v="339.99"/>
    <n v="0.1"/>
    <n v="305.99099999999999"/>
  </r>
  <r>
    <n v="1034"/>
    <n v="2"/>
    <n v="8"/>
    <s v="Trek Remedy 29 Carbon Frameset - 2016"/>
    <n v="6"/>
    <x v="1"/>
    <n v="2"/>
    <n v="1799.99"/>
    <n v="0.1"/>
    <n v="3239.982"/>
  </r>
  <r>
    <n v="1034"/>
    <n v="3"/>
    <n v="11"/>
    <s v="Surly Straggler 650b - 2016"/>
    <n v="4"/>
    <x v="2"/>
    <n v="2"/>
    <n v="1680.99"/>
    <n v="7.0000000000000007E-2"/>
    <n v="3126.6414"/>
  </r>
  <r>
    <n v="1034"/>
    <n v="4"/>
    <n v="21"/>
    <s v="Electra Cruiser 1 (24-Inch) - 2016"/>
    <n v="1"/>
    <x v="5"/>
    <n v="1"/>
    <n v="269.99"/>
    <n v="0.05"/>
    <n v="256.4905"/>
  </r>
  <r>
    <n v="1035"/>
    <n v="1"/>
    <n v="96"/>
    <s v="Electra Moto 3i (20-inch) - Boy's - 2017"/>
    <n v="1"/>
    <x v="5"/>
    <n v="1"/>
    <n v="349.99"/>
    <n v="0.2"/>
    <n v="279.99200000000002"/>
  </r>
  <r>
    <n v="1036"/>
    <n v="1"/>
    <n v="55"/>
    <s v="Trek Domane S 6 - 2017"/>
    <n v="7"/>
    <x v="6"/>
    <n v="2"/>
    <n v="2699.99"/>
    <n v="0.1"/>
    <n v="4859.982"/>
  </r>
  <r>
    <n v="1036"/>
    <n v="2"/>
    <n v="76"/>
    <s v="Electra Girl's Hawaii 1 16&quot; - 2017"/>
    <n v="3"/>
    <x v="0"/>
    <n v="1"/>
    <n v="299.99"/>
    <n v="7.0000000000000007E-2"/>
    <n v="278.9907"/>
  </r>
  <r>
    <n v="1036"/>
    <n v="3"/>
    <n v="18"/>
    <s v="Pure Cycles Western 3-Speed - Women's - 2015/2016"/>
    <n v="3"/>
    <x v="0"/>
    <n v="2"/>
    <n v="449"/>
    <n v="0.05"/>
    <n v="853.1"/>
  </r>
  <r>
    <n v="1036"/>
    <n v="4"/>
    <n v="65"/>
    <s v="Sun Bicycles Lil Bolt Type-R - 2017"/>
    <n v="3"/>
    <x v="0"/>
    <n v="2"/>
    <n v="346.99"/>
    <n v="0.2"/>
    <n v="555.18399999999997"/>
  </r>
  <r>
    <n v="1036"/>
    <n v="5"/>
    <n v="12"/>
    <s v="Electra Townie Original 21D - 2016"/>
    <n v="3"/>
    <x v="0"/>
    <n v="1"/>
    <n v="549.99"/>
    <n v="0.2"/>
    <n v="439.99200000000002"/>
  </r>
  <r>
    <n v="1037"/>
    <n v="1"/>
    <n v="74"/>
    <s v="Electra Cruiser Lux 1 - 2017"/>
    <n v="3"/>
    <x v="0"/>
    <n v="2"/>
    <n v="439.99"/>
    <n v="7.0000000000000007E-2"/>
    <n v="818.38139999999999"/>
  </r>
  <r>
    <n v="1037"/>
    <n v="2"/>
    <n v="3"/>
    <s v="Surly Wednesday Frameset - 2016"/>
    <n v="6"/>
    <x v="1"/>
    <n v="1"/>
    <n v="999.99"/>
    <n v="7.0000000000000007E-2"/>
    <n v="929.99070000000006"/>
  </r>
  <r>
    <n v="1037"/>
    <n v="3"/>
    <n v="65"/>
    <s v="Sun Bicycles Lil Bolt Type-R - 2017"/>
    <n v="3"/>
    <x v="0"/>
    <n v="2"/>
    <n v="346.99"/>
    <n v="0.2"/>
    <n v="555.18399999999997"/>
  </r>
  <r>
    <n v="1037"/>
    <n v="4"/>
    <n v="92"/>
    <s v="Haro Shredder 20 - 2017"/>
    <n v="1"/>
    <x v="5"/>
    <n v="1"/>
    <n v="209.99"/>
    <n v="7.0000000000000007E-2"/>
    <n v="195.29070000000002"/>
  </r>
  <r>
    <n v="1037"/>
    <n v="5"/>
    <n v="84"/>
    <s v="Sun Bicycles Lil Kitt'n - 2017"/>
    <n v="1"/>
    <x v="5"/>
    <n v="2"/>
    <n v="109.99"/>
    <n v="0.05"/>
    <n v="208.98099999999999"/>
  </r>
  <r>
    <n v="1038"/>
    <n v="1"/>
    <n v="83"/>
    <s v="Trek Boy's Kickster - 2015/2017"/>
    <n v="1"/>
    <x v="5"/>
    <n v="1"/>
    <n v="149.99"/>
    <n v="0.05"/>
    <n v="142.4905"/>
  </r>
  <r>
    <n v="1038"/>
    <n v="2"/>
    <n v="9"/>
    <s v="Trek Conduit+ - 2016"/>
    <n v="5"/>
    <x v="4"/>
    <n v="1"/>
    <n v="2999.99"/>
    <n v="7.0000000000000007E-2"/>
    <n v="2789.9906999999998"/>
  </r>
  <r>
    <n v="1039"/>
    <n v="1"/>
    <n v="18"/>
    <s v="Pure Cycles Western 3-Speed - Women's - 2015/2016"/>
    <n v="3"/>
    <x v="0"/>
    <n v="2"/>
    <n v="449"/>
    <n v="0.2"/>
    <n v="718.4"/>
  </r>
  <r>
    <n v="1040"/>
    <n v="1"/>
    <n v="97"/>
    <s v="Electra Savannah 3i (20-inch) - Girl's - 2017"/>
    <n v="1"/>
    <x v="5"/>
    <n v="1"/>
    <n v="349.99"/>
    <n v="0.1"/>
    <n v="314.99099999999999"/>
  </r>
  <r>
    <n v="1040"/>
    <n v="2"/>
    <n v="28"/>
    <s v="Surly Karate Monkey 27.5+ Frameset - 2017"/>
    <n v="6"/>
    <x v="1"/>
    <n v="2"/>
    <n v="2499.9899999999998"/>
    <n v="0.2"/>
    <n v="3999.9839999999995"/>
  </r>
  <r>
    <n v="1040"/>
    <n v="3"/>
    <n v="64"/>
    <s v="Electra Townie Original 7D - 2017"/>
    <n v="3"/>
    <x v="0"/>
    <n v="1"/>
    <n v="489.99"/>
    <n v="7.0000000000000007E-2"/>
    <n v="455.69069999999999"/>
  </r>
  <r>
    <n v="1040"/>
    <n v="4"/>
    <n v="27"/>
    <s v="Surly Big Dummy Frameset - 2017"/>
    <n v="6"/>
    <x v="1"/>
    <n v="2"/>
    <n v="999.99"/>
    <n v="7.0000000000000007E-2"/>
    <n v="1859.9814000000001"/>
  </r>
  <r>
    <n v="1040"/>
    <n v="5"/>
    <n v="8"/>
    <s v="Trek Remedy 29 Carbon Frameset - 2016"/>
    <n v="6"/>
    <x v="1"/>
    <n v="2"/>
    <n v="1799.99"/>
    <n v="0.05"/>
    <n v="3419.9809999999998"/>
  </r>
  <r>
    <n v="1041"/>
    <n v="1"/>
    <n v="89"/>
    <s v="Trek Precaliber 16 Boys - 2017"/>
    <n v="1"/>
    <x v="5"/>
    <n v="1"/>
    <n v="209.99"/>
    <n v="0.1"/>
    <n v="188.99100000000001"/>
  </r>
  <r>
    <n v="1041"/>
    <n v="2"/>
    <n v="61"/>
    <s v="Trek Powerfly 8 FS Plus - 2017"/>
    <n v="5"/>
    <x v="4"/>
    <n v="2"/>
    <n v="4999.99"/>
    <n v="7.0000000000000007E-2"/>
    <n v="9299.9813999999988"/>
  </r>
  <r>
    <n v="1041"/>
    <n v="3"/>
    <n v="94"/>
    <s v="Haro Shredder Pro 20 - 2017"/>
    <n v="1"/>
    <x v="5"/>
    <n v="2"/>
    <n v="249.99"/>
    <n v="0.1"/>
    <n v="449.98200000000003"/>
  </r>
  <r>
    <n v="1042"/>
    <n v="1"/>
    <n v="23"/>
    <s v="Electra Girl's Hawaii 1 (20-inch) - 2015/2016"/>
    <n v="1"/>
    <x v="5"/>
    <n v="1"/>
    <n v="299.99"/>
    <n v="0.1"/>
    <n v="269.99099999999999"/>
  </r>
  <r>
    <n v="1043"/>
    <n v="1"/>
    <n v="55"/>
    <s v="Trek Domane S 6 - 2017"/>
    <n v="7"/>
    <x v="6"/>
    <n v="2"/>
    <n v="2699.99"/>
    <n v="0.1"/>
    <n v="4859.982"/>
  </r>
  <r>
    <n v="1043"/>
    <n v="2"/>
    <n v="20"/>
    <s v="Electra Townie Original 7D EQ - Women's - 2016"/>
    <n v="3"/>
    <x v="0"/>
    <n v="1"/>
    <n v="599.99"/>
    <n v="7.0000000000000007E-2"/>
    <n v="557.99070000000006"/>
  </r>
  <r>
    <n v="1044"/>
    <n v="1"/>
    <n v="97"/>
    <s v="Electra Savannah 3i (20-inch) - Girl's - 2017"/>
    <n v="1"/>
    <x v="5"/>
    <n v="2"/>
    <n v="349.99"/>
    <n v="0.1"/>
    <n v="629.98199999999997"/>
  </r>
  <r>
    <n v="1045"/>
    <n v="1"/>
    <n v="28"/>
    <s v="Surly Karate Monkey 27.5+ Frameset - 2017"/>
    <n v="6"/>
    <x v="1"/>
    <n v="1"/>
    <n v="2499.9899999999998"/>
    <n v="0.05"/>
    <n v="2374.9904999999999"/>
  </r>
  <r>
    <n v="1045"/>
    <n v="2"/>
    <n v="104"/>
    <s v="Sun Bicycles Streamway - 2017"/>
    <n v="2"/>
    <x v="3"/>
    <n v="2"/>
    <n v="481.99"/>
    <n v="0.05"/>
    <n v="915.78100000000006"/>
  </r>
  <r>
    <n v="1046"/>
    <n v="1"/>
    <n v="60"/>
    <s v="Sun Bicycles ElectroLite - 2017"/>
    <n v="5"/>
    <x v="4"/>
    <n v="1"/>
    <n v="1559.99"/>
    <n v="7.0000000000000007E-2"/>
    <n v="1450.7907"/>
  </r>
  <r>
    <n v="1046"/>
    <n v="2"/>
    <n v="79"/>
    <s v="Sun Bicycles Boardwalk (24-inch Wheels) - 2017"/>
    <n v="3"/>
    <x v="0"/>
    <n v="1"/>
    <n v="402.99"/>
    <n v="7.0000000000000007E-2"/>
    <n v="374.78070000000002"/>
  </r>
  <r>
    <n v="1046"/>
    <n v="3"/>
    <n v="32"/>
    <s v="Trek Farley Alloy Frameset - 2017"/>
    <n v="6"/>
    <x v="1"/>
    <n v="1"/>
    <n v="469.99"/>
    <n v="7.0000000000000007E-2"/>
    <n v="437.09070000000003"/>
  </r>
  <r>
    <n v="1046"/>
    <n v="4"/>
    <n v="41"/>
    <s v="Haro Shift R3 - 2017"/>
    <n v="6"/>
    <x v="1"/>
    <n v="2"/>
    <n v="1469.99"/>
    <n v="0.1"/>
    <n v="2645.982"/>
  </r>
  <r>
    <n v="1046"/>
    <n v="5"/>
    <n v="17"/>
    <s v="Pure Cycles Vine 8-Speed - 2016"/>
    <n v="3"/>
    <x v="0"/>
    <n v="2"/>
    <n v="429"/>
    <n v="0.05"/>
    <n v="815.1"/>
  </r>
  <r>
    <n v="1047"/>
    <n v="1"/>
    <n v="28"/>
    <s v="Surly Karate Monkey 27.5+ Frameset - 2017"/>
    <n v="6"/>
    <x v="1"/>
    <n v="2"/>
    <n v="2499.9899999999998"/>
    <n v="0.1"/>
    <n v="4499.982"/>
  </r>
  <r>
    <n v="1047"/>
    <n v="2"/>
    <n v="78"/>
    <s v="Sun Bicycles Biscayne Tandem CB - 2017"/>
    <n v="3"/>
    <x v="0"/>
    <n v="1"/>
    <n v="647.99"/>
    <n v="0.2"/>
    <n v="518.39200000000005"/>
  </r>
  <r>
    <n v="1047"/>
    <n v="3"/>
    <n v="35"/>
    <s v="Sun Bicycles Spider 3i - 2017"/>
    <n v="6"/>
    <x v="1"/>
    <n v="1"/>
    <n v="832.99"/>
    <n v="0.05"/>
    <n v="791.34050000000002"/>
  </r>
  <r>
    <n v="1047"/>
    <n v="4"/>
    <n v="49"/>
    <s v="Trek Domane SL 6 - 2017"/>
    <n v="7"/>
    <x v="6"/>
    <n v="1"/>
    <n v="3499.99"/>
    <n v="0.05"/>
    <n v="3324.9904999999999"/>
  </r>
  <r>
    <n v="1048"/>
    <n v="1"/>
    <n v="3"/>
    <s v="Surly Wednesday Frameset - 2016"/>
    <n v="6"/>
    <x v="1"/>
    <n v="2"/>
    <n v="999.99"/>
    <n v="0.1"/>
    <n v="1799.982"/>
  </r>
  <r>
    <n v="1048"/>
    <n v="2"/>
    <n v="37"/>
    <s v="Haro Flightline One ST - 2017"/>
    <n v="6"/>
    <x v="1"/>
    <n v="1"/>
    <n v="379.99"/>
    <n v="0.1"/>
    <n v="341.99099999999999"/>
  </r>
  <r>
    <n v="1048"/>
    <n v="3"/>
    <n v="94"/>
    <s v="Haro Shredder Pro 20 - 2017"/>
    <n v="1"/>
    <x v="5"/>
    <n v="1"/>
    <n v="249.99"/>
    <n v="0.05"/>
    <n v="237.4905"/>
  </r>
  <r>
    <n v="1049"/>
    <n v="1"/>
    <n v="9"/>
    <s v="Trek Conduit+ - 2016"/>
    <n v="5"/>
    <x v="4"/>
    <n v="1"/>
    <n v="2999.99"/>
    <n v="0.1"/>
    <n v="2699.991"/>
  </r>
  <r>
    <n v="1049"/>
    <n v="2"/>
    <n v="36"/>
    <s v="Surly Troll Frameset - 2017"/>
    <n v="6"/>
    <x v="1"/>
    <n v="2"/>
    <n v="832.99"/>
    <n v="0.05"/>
    <n v="1582.681"/>
  </r>
  <r>
    <n v="1049"/>
    <n v="3"/>
    <n v="3"/>
    <s v="Surly Wednesday Frameset - 2016"/>
    <n v="6"/>
    <x v="1"/>
    <n v="1"/>
    <n v="999.99"/>
    <n v="0.1"/>
    <n v="899.99099999999999"/>
  </r>
  <r>
    <n v="1049"/>
    <n v="4"/>
    <n v="26"/>
    <s v="Electra Townie Original 7D EQ - 2016"/>
    <n v="2"/>
    <x v="3"/>
    <n v="1"/>
    <n v="599.99"/>
    <n v="7.0000000000000007E-2"/>
    <n v="557.99070000000006"/>
  </r>
  <r>
    <n v="1049"/>
    <n v="5"/>
    <n v="10"/>
    <s v="Surly Straggler - 2016"/>
    <n v="4"/>
    <x v="2"/>
    <n v="2"/>
    <n v="1549"/>
    <n v="0.05"/>
    <n v="2943.1"/>
  </r>
  <r>
    <n v="1050"/>
    <n v="1"/>
    <n v="96"/>
    <s v="Electra Moto 3i (20-inch) - Boy's - 2017"/>
    <n v="1"/>
    <x v="5"/>
    <n v="2"/>
    <n v="349.99"/>
    <n v="7.0000000000000007E-2"/>
    <n v="650.98140000000001"/>
  </r>
  <r>
    <n v="1050"/>
    <n v="2"/>
    <n v="99"/>
    <s v="Electra Sugar Skulls 1 (20-inch) - Girl's - 2017"/>
    <n v="1"/>
    <x v="5"/>
    <n v="2"/>
    <n v="299.99"/>
    <n v="0.1"/>
    <n v="539.98199999999997"/>
  </r>
  <r>
    <n v="1050"/>
    <n v="3"/>
    <n v="45"/>
    <s v="Haro SR 1.2 - 2017"/>
    <n v="6"/>
    <x v="1"/>
    <n v="2"/>
    <n v="869.99"/>
    <n v="0.2"/>
    <n v="1391.9839999999999"/>
  </r>
  <r>
    <n v="1050"/>
    <n v="4"/>
    <n v="14"/>
    <s v="Electra Girl's Hawaii 1 (16-inch) - 2015/2016"/>
    <n v="3"/>
    <x v="0"/>
    <n v="2"/>
    <n v="269.99"/>
    <n v="0.2"/>
    <n v="431.98400000000004"/>
  </r>
  <r>
    <n v="1051"/>
    <n v="1"/>
    <n v="46"/>
    <s v="Haro SR 1.3 - 2017"/>
    <n v="6"/>
    <x v="1"/>
    <n v="1"/>
    <n v="1409.99"/>
    <n v="0.2"/>
    <n v="1127.992"/>
  </r>
  <r>
    <n v="1052"/>
    <n v="1"/>
    <n v="7"/>
    <s v="Trek Slash 8 27.5 - 2016"/>
    <n v="6"/>
    <x v="1"/>
    <n v="1"/>
    <n v="3999.99"/>
    <n v="0.05"/>
    <n v="3799.9904999999999"/>
  </r>
  <r>
    <n v="1052"/>
    <n v="2"/>
    <n v="103"/>
    <s v="Sun Bicycles Streamway 3 - 2017"/>
    <n v="2"/>
    <x v="3"/>
    <n v="1"/>
    <n v="551.99"/>
    <n v="0.05"/>
    <n v="524.39049999999997"/>
  </r>
  <r>
    <n v="1052"/>
    <n v="3"/>
    <n v="26"/>
    <s v="Electra Townie Original 7D EQ - 2016"/>
    <n v="2"/>
    <x v="3"/>
    <n v="2"/>
    <n v="599.99"/>
    <n v="7.0000000000000007E-2"/>
    <n v="1115.9814000000001"/>
  </r>
  <r>
    <n v="1053"/>
    <n v="1"/>
    <n v="49"/>
    <s v="Trek Domane SL 6 - 2017"/>
    <n v="7"/>
    <x v="6"/>
    <n v="2"/>
    <n v="3499.99"/>
    <n v="0.05"/>
    <n v="6649.9809999999998"/>
  </r>
  <r>
    <n v="1053"/>
    <n v="2"/>
    <n v="26"/>
    <s v="Electra Townie Original 7D EQ - 2016"/>
    <n v="2"/>
    <x v="3"/>
    <n v="2"/>
    <n v="599.99"/>
    <n v="0.2"/>
    <n v="959.98400000000004"/>
  </r>
  <r>
    <n v="1053"/>
    <n v="3"/>
    <n v="23"/>
    <s v="Electra Girl's Hawaii 1 (20-inch) - 2015/2016"/>
    <n v="1"/>
    <x v="5"/>
    <n v="2"/>
    <n v="299.99"/>
    <n v="0.2"/>
    <n v="479.98400000000004"/>
  </r>
  <r>
    <n v="1053"/>
    <n v="4"/>
    <n v="68"/>
    <s v="Sun Bicycles Cruz 3 - 2017"/>
    <n v="3"/>
    <x v="0"/>
    <n v="1"/>
    <n v="449.99"/>
    <n v="0.1"/>
    <n v="404.99099999999999"/>
  </r>
  <r>
    <n v="1053"/>
    <n v="5"/>
    <n v="73"/>
    <s v="Sun Bicycles Brickell Tandem 7 - 2017"/>
    <n v="3"/>
    <x v="0"/>
    <n v="2"/>
    <n v="749.99"/>
    <n v="0.05"/>
    <n v="1424.981"/>
  </r>
  <r>
    <n v="1054"/>
    <n v="1"/>
    <n v="36"/>
    <s v="Surly Troll Frameset - 2017"/>
    <n v="6"/>
    <x v="1"/>
    <n v="2"/>
    <n v="832.99"/>
    <n v="0.1"/>
    <n v="1499.3820000000001"/>
  </r>
  <r>
    <n v="1054"/>
    <n v="2"/>
    <n v="16"/>
    <s v="Electra Townie Original 7D EQ - 2016"/>
    <n v="3"/>
    <x v="0"/>
    <n v="1"/>
    <n v="599.99"/>
    <n v="0.05"/>
    <n v="569.9905"/>
  </r>
  <r>
    <n v="1055"/>
    <n v="1"/>
    <n v="43"/>
    <s v="Trek Fuel EX 9.8 27.5 Plus - 2017"/>
    <n v="6"/>
    <x v="1"/>
    <n v="2"/>
    <n v="5299.99"/>
    <n v="7.0000000000000007E-2"/>
    <n v="9857.9813999999988"/>
  </r>
  <r>
    <n v="1055"/>
    <n v="2"/>
    <n v="101"/>
    <s v="Electra Townie 7D (20-inch) - Boys' - 2017"/>
    <n v="1"/>
    <x v="5"/>
    <n v="2"/>
    <n v="339.99"/>
    <n v="0.2"/>
    <n v="543.98400000000004"/>
  </r>
  <r>
    <n v="1055"/>
    <n v="3"/>
    <n v="12"/>
    <s v="Electra Townie Original 21D - 2016"/>
    <n v="3"/>
    <x v="0"/>
    <n v="2"/>
    <n v="549.99"/>
    <n v="0.1"/>
    <n v="989.98199999999997"/>
  </r>
  <r>
    <n v="1055"/>
    <n v="4"/>
    <n v="83"/>
    <s v="Trek Boy's Kickster - 2015/2017"/>
    <n v="1"/>
    <x v="5"/>
    <n v="2"/>
    <n v="149.99"/>
    <n v="0.1"/>
    <n v="269.98200000000003"/>
  </r>
  <r>
    <n v="1055"/>
    <n v="5"/>
    <n v="60"/>
    <s v="Sun Bicycles ElectroLite - 2017"/>
    <n v="5"/>
    <x v="4"/>
    <n v="1"/>
    <n v="1559.99"/>
    <n v="0.2"/>
    <n v="1247.992"/>
  </r>
  <r>
    <n v="1056"/>
    <n v="1"/>
    <n v="3"/>
    <s v="Surly Wednesday Frameset - 2016"/>
    <n v="6"/>
    <x v="1"/>
    <n v="1"/>
    <n v="999.99"/>
    <n v="0.05"/>
    <n v="949.9905"/>
  </r>
  <r>
    <n v="1057"/>
    <n v="1"/>
    <n v="105"/>
    <s v="Sun Bicycles Streamway 7 - 2017"/>
    <n v="2"/>
    <x v="3"/>
    <n v="1"/>
    <n v="533.99"/>
    <n v="0.2"/>
    <n v="427.19200000000001"/>
  </r>
  <r>
    <n v="1057"/>
    <n v="2"/>
    <n v="97"/>
    <s v="Electra Savannah 3i (20-inch) - Girl's - 2017"/>
    <n v="1"/>
    <x v="5"/>
    <n v="1"/>
    <n v="349.99"/>
    <n v="0.05"/>
    <n v="332.4905"/>
  </r>
  <r>
    <n v="1057"/>
    <n v="3"/>
    <n v="98"/>
    <s v="Electra Straight 8 3i (20-inch) - Boy's - 2017"/>
    <n v="1"/>
    <x v="5"/>
    <n v="2"/>
    <n v="489.99"/>
    <n v="0.05"/>
    <n v="930.98099999999999"/>
  </r>
  <r>
    <n v="1058"/>
    <n v="1"/>
    <n v="43"/>
    <s v="Trek Fuel EX 9.8 27.5 Plus - 2017"/>
    <n v="6"/>
    <x v="1"/>
    <n v="1"/>
    <n v="5299.99"/>
    <n v="0.1"/>
    <n v="4769.991"/>
  </r>
  <r>
    <n v="1058"/>
    <n v="2"/>
    <n v="29"/>
    <s v="Trek X-Caliber 8 - 2017"/>
    <n v="6"/>
    <x v="1"/>
    <n v="2"/>
    <n v="999.99"/>
    <n v="0.05"/>
    <n v="1899.981"/>
  </r>
  <r>
    <n v="1058"/>
    <n v="3"/>
    <n v="103"/>
    <s v="Sun Bicycles Streamway 3 - 2017"/>
    <n v="2"/>
    <x v="3"/>
    <n v="1"/>
    <n v="551.99"/>
    <n v="7.0000000000000007E-2"/>
    <n v="513.35069999999996"/>
  </r>
  <r>
    <n v="1059"/>
    <n v="1"/>
    <n v="46"/>
    <s v="Haro SR 1.3 - 2017"/>
    <n v="6"/>
    <x v="1"/>
    <n v="2"/>
    <n v="1409.99"/>
    <n v="0.05"/>
    <n v="2678.9810000000002"/>
  </r>
  <r>
    <n v="1059"/>
    <n v="2"/>
    <n v="7"/>
    <s v="Trek Slash 8 27.5 - 2016"/>
    <n v="6"/>
    <x v="1"/>
    <n v="1"/>
    <n v="3999.99"/>
    <n v="0.1"/>
    <n v="3599.991"/>
  </r>
  <r>
    <n v="1059"/>
    <n v="3"/>
    <n v="13"/>
    <s v="Electra Cruiser 1 (24-Inch) - 2016"/>
    <n v="3"/>
    <x v="0"/>
    <n v="1"/>
    <n v="269.99"/>
    <n v="7.0000000000000007E-2"/>
    <n v="251.0907"/>
  </r>
  <r>
    <n v="1060"/>
    <n v="1"/>
    <n v="7"/>
    <s v="Trek Slash 8 27.5 - 2016"/>
    <n v="6"/>
    <x v="1"/>
    <n v="1"/>
    <n v="3999.99"/>
    <n v="7.0000000000000007E-2"/>
    <n v="3719.9906999999998"/>
  </r>
  <r>
    <n v="1060"/>
    <n v="2"/>
    <n v="11"/>
    <s v="Surly Straggler 650b - 2016"/>
    <n v="4"/>
    <x v="2"/>
    <n v="2"/>
    <n v="1680.99"/>
    <n v="7.0000000000000007E-2"/>
    <n v="3126.6414"/>
  </r>
  <r>
    <n v="1060"/>
    <n v="3"/>
    <n v="61"/>
    <s v="Trek Powerfly 8 FS Plus - 2017"/>
    <n v="5"/>
    <x v="4"/>
    <n v="2"/>
    <n v="4999.99"/>
    <n v="0.1"/>
    <n v="8999.982"/>
  </r>
  <r>
    <n v="1060"/>
    <n v="4"/>
    <n v="30"/>
    <s v="Surly Ice Cream Truck Frameset - 2017"/>
    <n v="6"/>
    <x v="1"/>
    <n v="2"/>
    <n v="999.99"/>
    <n v="0.05"/>
    <n v="1899.981"/>
  </r>
  <r>
    <n v="1061"/>
    <n v="1"/>
    <n v="14"/>
    <s v="Electra Girl's Hawaii 1 (16-inch) - 2015/2016"/>
    <n v="3"/>
    <x v="0"/>
    <n v="1"/>
    <n v="269.99"/>
    <n v="7.0000000000000007E-2"/>
    <n v="251.0907"/>
  </r>
  <r>
    <n v="1061"/>
    <n v="2"/>
    <n v="19"/>
    <s v="Pure Cycles William 3-Speed - 2016"/>
    <n v="3"/>
    <x v="0"/>
    <n v="1"/>
    <n v="449"/>
    <n v="0.1"/>
    <n v="404.1"/>
  </r>
  <r>
    <n v="1062"/>
    <n v="1"/>
    <n v="13"/>
    <s v="Electra Cruiser 1 (24-Inch) - 2016"/>
    <n v="3"/>
    <x v="0"/>
    <n v="1"/>
    <n v="269.99"/>
    <n v="0.05"/>
    <n v="256.4905"/>
  </r>
  <r>
    <n v="1062"/>
    <n v="2"/>
    <n v="111"/>
    <s v="Sun Bicycles Drifter 7 - Women's - 2017"/>
    <n v="2"/>
    <x v="3"/>
    <n v="2"/>
    <n v="470.99"/>
    <n v="0.2"/>
    <n v="753.58400000000006"/>
  </r>
  <r>
    <n v="1062"/>
    <n v="3"/>
    <n v="5"/>
    <s v="Heller Shagamaw Frame - 2016"/>
    <n v="6"/>
    <x v="1"/>
    <n v="1"/>
    <n v="1320.99"/>
    <n v="0.05"/>
    <n v="1254.9404999999999"/>
  </r>
  <r>
    <n v="1062"/>
    <n v="4"/>
    <n v="12"/>
    <s v="Electra Townie Original 21D - 2016"/>
    <n v="3"/>
    <x v="0"/>
    <n v="1"/>
    <n v="549.99"/>
    <n v="0.2"/>
    <n v="439.99200000000002"/>
  </r>
  <r>
    <n v="1063"/>
    <n v="1"/>
    <n v="33"/>
    <s v="Surly Wednesday Frameset - 2017"/>
    <n v="6"/>
    <x v="1"/>
    <n v="2"/>
    <n v="469.99"/>
    <n v="0.1"/>
    <n v="845.98199999999997"/>
  </r>
  <r>
    <n v="1063"/>
    <n v="2"/>
    <n v="100"/>
    <s v="Electra Townie 3i EQ (20-inch) - Boys' - 2017"/>
    <n v="1"/>
    <x v="5"/>
    <n v="2"/>
    <n v="489.99"/>
    <n v="7.0000000000000007E-2"/>
    <n v="911.38139999999999"/>
  </r>
  <r>
    <n v="1063"/>
    <n v="3"/>
    <n v="72"/>
    <s v="Sun Bicycles Biscayne Tandem 7 - 2017"/>
    <n v="3"/>
    <x v="0"/>
    <n v="2"/>
    <n v="619.99"/>
    <n v="0.2"/>
    <n v="991.98400000000004"/>
  </r>
  <r>
    <n v="1064"/>
    <n v="1"/>
    <n v="18"/>
    <s v="Pure Cycles Western 3-Speed - Women's - 2015/2016"/>
    <n v="3"/>
    <x v="0"/>
    <n v="1"/>
    <n v="449"/>
    <n v="7.0000000000000007E-2"/>
    <n v="417.57"/>
  </r>
  <r>
    <n v="1064"/>
    <n v="2"/>
    <n v="49"/>
    <s v="Trek Domane SL 6 - 2017"/>
    <n v="7"/>
    <x v="6"/>
    <n v="1"/>
    <n v="3499.99"/>
    <n v="0.1"/>
    <n v="3149.991"/>
  </r>
  <r>
    <n v="1065"/>
    <n v="1"/>
    <n v="48"/>
    <s v="Trek Emonda S 4 - 2017"/>
    <n v="7"/>
    <x v="6"/>
    <n v="2"/>
    <n v="1499.99"/>
    <n v="7.0000000000000007E-2"/>
    <n v="2789.9814000000001"/>
  </r>
  <r>
    <n v="1065"/>
    <n v="2"/>
    <n v="103"/>
    <s v="Sun Bicycles Streamway 3 - 2017"/>
    <n v="2"/>
    <x v="3"/>
    <n v="2"/>
    <n v="551.99"/>
    <n v="0.05"/>
    <n v="1048.7809999999999"/>
  </r>
  <r>
    <n v="1065"/>
    <n v="3"/>
    <n v="63"/>
    <s v="Trek Boone Race Shop Limited - 2017"/>
    <n v="4"/>
    <x v="2"/>
    <n v="1"/>
    <n v="3499.99"/>
    <n v="7.0000000000000007E-2"/>
    <n v="3254.9906999999998"/>
  </r>
  <r>
    <n v="1066"/>
    <n v="1"/>
    <n v="15"/>
    <s v="Electra Moto 1 - 2016"/>
    <n v="3"/>
    <x v="0"/>
    <n v="2"/>
    <n v="529.99"/>
    <n v="0.05"/>
    <n v="1006.981"/>
  </r>
  <r>
    <n v="1066"/>
    <n v="2"/>
    <n v="46"/>
    <s v="Haro SR 1.3 - 2017"/>
    <n v="6"/>
    <x v="1"/>
    <n v="1"/>
    <n v="1409.99"/>
    <n v="0.1"/>
    <n v="1268.991"/>
  </r>
  <r>
    <n v="1066"/>
    <n v="3"/>
    <n v="12"/>
    <s v="Electra Townie Original 21D - 2016"/>
    <n v="3"/>
    <x v="0"/>
    <n v="1"/>
    <n v="549.99"/>
    <n v="0.1"/>
    <n v="494.99099999999999"/>
  </r>
  <r>
    <n v="1067"/>
    <n v="1"/>
    <n v="74"/>
    <s v="Electra Cruiser Lux 1 - 2017"/>
    <n v="3"/>
    <x v="0"/>
    <n v="2"/>
    <n v="439.99"/>
    <n v="7.0000000000000007E-2"/>
    <n v="818.38139999999999"/>
  </r>
  <r>
    <n v="1067"/>
    <n v="2"/>
    <n v="9"/>
    <s v="Trek Conduit+ - 2016"/>
    <n v="5"/>
    <x v="4"/>
    <n v="2"/>
    <n v="2999.99"/>
    <n v="0.2"/>
    <n v="4799.9839999999995"/>
  </r>
  <r>
    <n v="1067"/>
    <n v="3"/>
    <n v="72"/>
    <s v="Sun Bicycles Biscayne Tandem 7 - 2017"/>
    <n v="3"/>
    <x v="0"/>
    <n v="2"/>
    <n v="619.99"/>
    <n v="0.1"/>
    <n v="1115.982"/>
  </r>
  <r>
    <n v="1067"/>
    <n v="4"/>
    <n v="6"/>
    <s v="Surly Ice Cream Truck Frameset - 2016"/>
    <n v="6"/>
    <x v="1"/>
    <n v="2"/>
    <n v="469.99"/>
    <n v="0.2"/>
    <n v="751.98400000000004"/>
  </r>
  <r>
    <n v="1068"/>
    <n v="1"/>
    <n v="87"/>
    <s v="Trek Precaliber 12 Boys - 2017"/>
    <n v="1"/>
    <x v="5"/>
    <n v="2"/>
    <n v="189.99"/>
    <n v="0.2"/>
    <n v="303.98400000000004"/>
  </r>
  <r>
    <n v="1068"/>
    <n v="2"/>
    <n v="82"/>
    <s v="Electra Amsterdam Original 3i Ladies' - 2017"/>
    <n v="3"/>
    <x v="0"/>
    <n v="1"/>
    <n v="659.99"/>
    <n v="0.2"/>
    <n v="527.99199999999996"/>
  </r>
  <r>
    <n v="1068"/>
    <n v="3"/>
    <n v="49"/>
    <s v="Trek Domane SL 6 - 2017"/>
    <n v="7"/>
    <x v="6"/>
    <n v="2"/>
    <n v="3499.99"/>
    <n v="0.2"/>
    <n v="5599.9839999999995"/>
  </r>
  <r>
    <n v="1068"/>
    <n v="4"/>
    <n v="45"/>
    <s v="Haro SR 1.2 - 2017"/>
    <n v="6"/>
    <x v="1"/>
    <n v="2"/>
    <n v="869.99"/>
    <n v="0.2"/>
    <n v="1391.9839999999999"/>
  </r>
  <r>
    <n v="1069"/>
    <n v="1"/>
    <n v="109"/>
    <s v="Sun Bicycles Cruz 7 - Women's - 2017"/>
    <n v="2"/>
    <x v="3"/>
    <n v="1"/>
    <n v="416.99"/>
    <n v="7.0000000000000007E-2"/>
    <n v="387.80070000000001"/>
  </r>
  <r>
    <n v="1069"/>
    <n v="2"/>
    <n v="93"/>
    <s v="Haro Shredder 20 Girls - 2017"/>
    <n v="1"/>
    <x v="5"/>
    <n v="1"/>
    <n v="209.99"/>
    <n v="0.1"/>
    <n v="188.99100000000001"/>
  </r>
  <r>
    <n v="1070"/>
    <n v="1"/>
    <n v="110"/>
    <s v="Sun Bicycles Drifter 7 - 2017"/>
    <n v="2"/>
    <x v="3"/>
    <n v="1"/>
    <n v="470.99"/>
    <n v="0.2"/>
    <n v="376.79200000000003"/>
  </r>
  <r>
    <n v="1070"/>
    <n v="2"/>
    <n v="18"/>
    <s v="Pure Cycles Western 3-Speed - Women's - 2015/2016"/>
    <n v="3"/>
    <x v="0"/>
    <n v="2"/>
    <n v="449"/>
    <n v="0.1"/>
    <n v="808.2"/>
  </r>
  <r>
    <n v="1070"/>
    <n v="3"/>
    <n v="94"/>
    <s v="Haro Shredder Pro 20 - 2017"/>
    <n v="1"/>
    <x v="5"/>
    <n v="1"/>
    <n v="249.99"/>
    <n v="0.05"/>
    <n v="237.4905"/>
  </r>
  <r>
    <n v="1071"/>
    <n v="1"/>
    <n v="25"/>
    <s v="Electra Townie Original 7D - 2015/2016"/>
    <n v="2"/>
    <x v="3"/>
    <n v="2"/>
    <n v="499.99"/>
    <n v="0.2"/>
    <n v="799.98400000000004"/>
  </r>
  <r>
    <n v="1072"/>
    <n v="1"/>
    <n v="83"/>
    <s v="Trek Boy's Kickster - 2015/2017"/>
    <n v="1"/>
    <x v="5"/>
    <n v="1"/>
    <n v="149.99"/>
    <n v="0.2"/>
    <n v="119.992"/>
  </r>
  <r>
    <n v="1072"/>
    <n v="2"/>
    <n v="89"/>
    <s v="Trek Precaliber 16 Boys - 2017"/>
    <n v="1"/>
    <x v="5"/>
    <n v="2"/>
    <n v="209.99"/>
    <n v="7.0000000000000007E-2"/>
    <n v="390.58140000000003"/>
  </r>
  <r>
    <n v="1072"/>
    <n v="3"/>
    <n v="36"/>
    <s v="Surly Troll Frameset - 2017"/>
    <n v="6"/>
    <x v="1"/>
    <n v="2"/>
    <n v="832.99"/>
    <n v="7.0000000000000007E-2"/>
    <n v="1549.3614"/>
  </r>
  <r>
    <n v="1073"/>
    <n v="1"/>
    <n v="81"/>
    <s v="Electra Amsterdam Fashion 7i Ladies' - 2017"/>
    <n v="3"/>
    <x v="0"/>
    <n v="1"/>
    <n v="1099.99"/>
    <n v="0.2"/>
    <n v="879.99199999999996"/>
  </r>
  <r>
    <n v="1073"/>
    <n v="2"/>
    <n v="13"/>
    <s v="Electra Cruiser 1 (24-Inch) - 2016"/>
    <n v="3"/>
    <x v="0"/>
    <n v="1"/>
    <n v="269.99"/>
    <n v="7.0000000000000007E-2"/>
    <n v="251.0907"/>
  </r>
  <r>
    <n v="1073"/>
    <n v="3"/>
    <n v="20"/>
    <s v="Electra Townie Original 7D EQ - Women's - 2016"/>
    <n v="3"/>
    <x v="0"/>
    <n v="1"/>
    <n v="599.99"/>
    <n v="0.2"/>
    <n v="479.99200000000002"/>
  </r>
  <r>
    <n v="1074"/>
    <n v="1"/>
    <n v="59"/>
    <s v="Trek Domane S 5 Disc - 2017"/>
    <n v="7"/>
    <x v="6"/>
    <n v="1"/>
    <n v="2599.9899999999998"/>
    <n v="0.1"/>
    <n v="2339.991"/>
  </r>
  <r>
    <n v="1074"/>
    <n v="2"/>
    <n v="87"/>
    <s v="Trek Precaliber 12 Boys - 2017"/>
    <n v="1"/>
    <x v="5"/>
    <n v="1"/>
    <n v="189.99"/>
    <n v="7.0000000000000007E-2"/>
    <n v="176.69069999999999"/>
  </r>
  <r>
    <n v="1074"/>
    <n v="3"/>
    <n v="89"/>
    <s v="Trek Precaliber 16 Boys - 2017"/>
    <n v="1"/>
    <x v="5"/>
    <n v="2"/>
    <n v="209.99"/>
    <n v="0.1"/>
    <n v="377.98200000000003"/>
  </r>
  <r>
    <n v="1075"/>
    <n v="1"/>
    <n v="48"/>
    <s v="Trek Emonda S 4 - 2017"/>
    <n v="7"/>
    <x v="6"/>
    <n v="2"/>
    <n v="1499.99"/>
    <n v="0.1"/>
    <n v="2699.982"/>
  </r>
  <r>
    <n v="1075"/>
    <n v="2"/>
    <n v="111"/>
    <s v="Sun Bicycles Drifter 7 - Women's - 2017"/>
    <n v="2"/>
    <x v="3"/>
    <n v="2"/>
    <n v="470.99"/>
    <n v="0.05"/>
    <n v="894.88099999999997"/>
  </r>
  <r>
    <n v="1076"/>
    <n v="1"/>
    <n v="95"/>
    <s v="Electra Girl's Hawaii 1 16&quot; - 2017"/>
    <n v="1"/>
    <x v="5"/>
    <n v="1"/>
    <n v="299.99"/>
    <n v="0.1"/>
    <n v="269.99099999999999"/>
  </r>
  <r>
    <n v="1076"/>
    <n v="2"/>
    <n v="102"/>
    <s v="Electra Townie Original 7D - 2017"/>
    <n v="2"/>
    <x v="3"/>
    <n v="1"/>
    <n v="489.99"/>
    <n v="7.0000000000000007E-2"/>
    <n v="455.69069999999999"/>
  </r>
  <r>
    <n v="1076"/>
    <n v="3"/>
    <n v="73"/>
    <s v="Sun Bicycles Brickell Tandem 7 - 2017"/>
    <n v="3"/>
    <x v="0"/>
    <n v="2"/>
    <n v="749.99"/>
    <n v="7.0000000000000007E-2"/>
    <n v="1394.9814000000001"/>
  </r>
  <r>
    <n v="1077"/>
    <n v="1"/>
    <n v="60"/>
    <s v="Sun Bicycles ElectroLite - 2017"/>
    <n v="5"/>
    <x v="4"/>
    <n v="2"/>
    <n v="1559.99"/>
    <n v="0.05"/>
    <n v="2963.9809999999998"/>
  </r>
  <r>
    <n v="1078"/>
    <n v="1"/>
    <n v="76"/>
    <s v="Electra Girl's Hawaii 1 16&quot; - 2017"/>
    <n v="3"/>
    <x v="0"/>
    <n v="2"/>
    <n v="299.99"/>
    <n v="7.0000000000000007E-2"/>
    <n v="557.98140000000001"/>
  </r>
  <r>
    <n v="1078"/>
    <n v="2"/>
    <n v="60"/>
    <s v="Sun Bicycles ElectroLite - 2017"/>
    <n v="5"/>
    <x v="4"/>
    <n v="2"/>
    <n v="1559.99"/>
    <n v="0.2"/>
    <n v="2495.9839999999999"/>
  </r>
  <r>
    <n v="1078"/>
    <n v="3"/>
    <n v="15"/>
    <s v="Electra Moto 1 - 2016"/>
    <n v="3"/>
    <x v="0"/>
    <n v="1"/>
    <n v="529.99"/>
    <n v="7.0000000000000007E-2"/>
    <n v="492.89069999999998"/>
  </r>
  <r>
    <n v="1078"/>
    <n v="4"/>
    <n v="10"/>
    <s v="Surly Straggler - 2016"/>
    <n v="4"/>
    <x v="2"/>
    <n v="2"/>
    <n v="1549"/>
    <n v="0.1"/>
    <n v="2788.2"/>
  </r>
  <r>
    <n v="1078"/>
    <n v="5"/>
    <n v="72"/>
    <s v="Sun Bicycles Biscayne Tandem 7 - 2017"/>
    <n v="3"/>
    <x v="0"/>
    <n v="2"/>
    <n v="619.99"/>
    <n v="0.2"/>
    <n v="991.98400000000004"/>
  </r>
  <r>
    <n v="1079"/>
    <n v="1"/>
    <n v="70"/>
    <s v="Electra Amsterdam Original 3i - 2015/2017"/>
    <n v="3"/>
    <x v="0"/>
    <n v="2"/>
    <n v="659.99"/>
    <n v="7.0000000000000007E-2"/>
    <n v="1227.5814"/>
  </r>
  <r>
    <n v="1080"/>
    <n v="1"/>
    <n v="31"/>
    <s v="Surly Wednesday - 2017"/>
    <n v="6"/>
    <x v="1"/>
    <n v="1"/>
    <n v="1632.99"/>
    <n v="0.2"/>
    <n v="1306.3920000000001"/>
  </r>
  <r>
    <n v="1080"/>
    <n v="2"/>
    <n v="40"/>
    <s v="Trek Fuel EX 9.8 29 - 2017"/>
    <n v="6"/>
    <x v="1"/>
    <n v="1"/>
    <n v="4999.99"/>
    <n v="0.1"/>
    <n v="4499.991"/>
  </r>
  <r>
    <n v="1080"/>
    <n v="3"/>
    <n v="50"/>
    <s v="Trek Silque SLR 7 Women's - 2017"/>
    <n v="7"/>
    <x v="6"/>
    <n v="1"/>
    <n v="5999.99"/>
    <n v="0.05"/>
    <n v="5699.9904999999999"/>
  </r>
  <r>
    <n v="1080"/>
    <n v="4"/>
    <n v="32"/>
    <s v="Trek Farley Alloy Frameset - 2017"/>
    <n v="6"/>
    <x v="1"/>
    <n v="2"/>
    <n v="469.99"/>
    <n v="0.2"/>
    <n v="751.98400000000004"/>
  </r>
  <r>
    <n v="1080"/>
    <n v="5"/>
    <n v="86"/>
    <s v="Trek Girl's Kickster - 2017"/>
    <n v="1"/>
    <x v="5"/>
    <n v="1"/>
    <n v="149.99"/>
    <n v="0.05"/>
    <n v="142.4905"/>
  </r>
  <r>
    <n v="1081"/>
    <n v="1"/>
    <n v="52"/>
    <s v="Surly Steamroller - 2017"/>
    <n v="7"/>
    <x v="6"/>
    <n v="2"/>
    <n v="875.99"/>
    <n v="0.1"/>
    <n v="1576.7819999999999"/>
  </r>
  <r>
    <n v="1082"/>
    <n v="1"/>
    <n v="29"/>
    <s v="Trek X-Caliber 8 - 2017"/>
    <n v="6"/>
    <x v="1"/>
    <n v="2"/>
    <n v="999.99"/>
    <n v="0.2"/>
    <n v="1599.9839999999999"/>
  </r>
  <r>
    <n v="1083"/>
    <n v="1"/>
    <n v="65"/>
    <s v="Sun Bicycles Lil Bolt Type-R - 2017"/>
    <n v="3"/>
    <x v="0"/>
    <n v="2"/>
    <n v="346.99"/>
    <n v="0.2"/>
    <n v="555.18399999999997"/>
  </r>
  <r>
    <n v="1083"/>
    <n v="2"/>
    <n v="77"/>
    <s v="Electra Glam Punk 3i Ladies' - 2017"/>
    <n v="3"/>
    <x v="0"/>
    <n v="2"/>
    <n v="799.99"/>
    <n v="0.1"/>
    <n v="1439.982"/>
  </r>
  <r>
    <n v="1083"/>
    <n v="3"/>
    <n v="61"/>
    <s v="Trek Powerfly 8 FS Plus - 2017"/>
    <n v="5"/>
    <x v="4"/>
    <n v="1"/>
    <n v="4999.99"/>
    <n v="7.0000000000000007E-2"/>
    <n v="4649.9906999999994"/>
  </r>
  <r>
    <n v="1083"/>
    <n v="4"/>
    <n v="33"/>
    <s v="Surly Wednesday Frameset - 2017"/>
    <n v="6"/>
    <x v="1"/>
    <n v="1"/>
    <n v="469.99"/>
    <n v="0.2"/>
    <n v="375.99200000000002"/>
  </r>
  <r>
    <n v="1084"/>
    <n v="1"/>
    <n v="30"/>
    <s v="Surly Ice Cream Truck Frameset - 2017"/>
    <n v="6"/>
    <x v="1"/>
    <n v="1"/>
    <n v="999.99"/>
    <n v="0.05"/>
    <n v="949.9905"/>
  </r>
  <r>
    <n v="1084"/>
    <n v="2"/>
    <n v="70"/>
    <s v="Electra Amsterdam Original 3i - 2015/2017"/>
    <n v="3"/>
    <x v="0"/>
    <n v="1"/>
    <n v="659.99"/>
    <n v="0.05"/>
    <n v="626.9905"/>
  </r>
  <r>
    <n v="1084"/>
    <n v="3"/>
    <n v="98"/>
    <s v="Electra Straight 8 3i (20-inch) - Boy's - 2017"/>
    <n v="1"/>
    <x v="5"/>
    <n v="2"/>
    <n v="489.99"/>
    <n v="0.2"/>
    <n v="783.98400000000004"/>
  </r>
  <r>
    <n v="1084"/>
    <n v="4"/>
    <n v="65"/>
    <s v="Sun Bicycles Lil Bolt Type-R - 2017"/>
    <n v="3"/>
    <x v="0"/>
    <n v="2"/>
    <n v="346.99"/>
    <n v="7.0000000000000007E-2"/>
    <n v="645.40139999999997"/>
  </r>
  <r>
    <n v="1084"/>
    <n v="5"/>
    <n v="60"/>
    <s v="Sun Bicycles ElectroLite - 2017"/>
    <n v="5"/>
    <x v="4"/>
    <n v="1"/>
    <n v="1559.99"/>
    <n v="0.1"/>
    <n v="1403.991"/>
  </r>
  <r>
    <n v="1085"/>
    <n v="1"/>
    <n v="66"/>
    <s v="Sun Bicycles Revolutions 24 - 2017"/>
    <n v="3"/>
    <x v="0"/>
    <n v="2"/>
    <n v="250.99"/>
    <n v="0.2"/>
    <n v="401.584"/>
  </r>
  <r>
    <n v="1085"/>
    <n v="2"/>
    <n v="64"/>
    <s v="Electra Townie Original 7D - 2017"/>
    <n v="3"/>
    <x v="0"/>
    <n v="1"/>
    <n v="489.99"/>
    <n v="0.1"/>
    <n v="440.99099999999999"/>
  </r>
  <r>
    <n v="1085"/>
    <n v="3"/>
    <n v="74"/>
    <s v="Electra Cruiser Lux 1 - 2017"/>
    <n v="3"/>
    <x v="0"/>
    <n v="1"/>
    <n v="439.99"/>
    <n v="0.1"/>
    <n v="395.99099999999999"/>
  </r>
  <r>
    <n v="1086"/>
    <n v="1"/>
    <n v="108"/>
    <s v="Sun Bicycles Cruz 3 - Women's - 2017"/>
    <n v="2"/>
    <x v="3"/>
    <n v="1"/>
    <n v="449.99"/>
    <n v="7.0000000000000007E-2"/>
    <n v="418.4907"/>
  </r>
  <r>
    <n v="1086"/>
    <n v="2"/>
    <n v="67"/>
    <s v="Sun Bicycles Revolutions 24 - Girl's - 2017"/>
    <n v="3"/>
    <x v="0"/>
    <n v="1"/>
    <n v="250.99"/>
    <n v="0.1"/>
    <n v="225.89100000000002"/>
  </r>
  <r>
    <n v="1086"/>
    <n v="3"/>
    <n v="81"/>
    <s v="Electra Amsterdam Fashion 7i Ladies' - 2017"/>
    <n v="3"/>
    <x v="0"/>
    <n v="2"/>
    <n v="1099.99"/>
    <n v="0.05"/>
    <n v="2089.9810000000002"/>
  </r>
  <r>
    <n v="1086"/>
    <n v="4"/>
    <n v="10"/>
    <s v="Surly Straggler - 2016"/>
    <n v="4"/>
    <x v="2"/>
    <n v="2"/>
    <n v="1549"/>
    <n v="7.0000000000000007E-2"/>
    <n v="2881.14"/>
  </r>
  <r>
    <n v="1086"/>
    <n v="5"/>
    <n v="5"/>
    <s v="Heller Shagamaw Frame - 2016"/>
    <n v="6"/>
    <x v="1"/>
    <n v="1"/>
    <n v="1320.99"/>
    <n v="0.2"/>
    <n v="1056.7919999999999"/>
  </r>
  <r>
    <n v="1087"/>
    <n v="1"/>
    <n v="15"/>
    <s v="Electra Moto 1 - 2016"/>
    <n v="3"/>
    <x v="0"/>
    <n v="1"/>
    <n v="529.99"/>
    <n v="7.0000000000000007E-2"/>
    <n v="492.89069999999998"/>
  </r>
  <r>
    <n v="1087"/>
    <n v="2"/>
    <n v="102"/>
    <s v="Electra Townie Original 7D - 2017"/>
    <n v="2"/>
    <x v="3"/>
    <n v="2"/>
    <n v="489.99"/>
    <n v="7.0000000000000007E-2"/>
    <n v="911.38139999999999"/>
  </r>
  <r>
    <n v="1087"/>
    <n v="3"/>
    <n v="59"/>
    <s v="Trek Domane S 5 Disc - 2017"/>
    <n v="7"/>
    <x v="6"/>
    <n v="2"/>
    <n v="2599.9899999999998"/>
    <n v="0.1"/>
    <n v="4679.982"/>
  </r>
  <r>
    <n v="1087"/>
    <n v="4"/>
    <n v="13"/>
    <s v="Electra Cruiser 1 (24-Inch) - 2016"/>
    <n v="3"/>
    <x v="0"/>
    <n v="2"/>
    <n v="269.99"/>
    <n v="7.0000000000000007E-2"/>
    <n v="502.1814"/>
  </r>
  <r>
    <n v="1087"/>
    <n v="5"/>
    <n v="109"/>
    <s v="Sun Bicycles Cruz 7 - Women's - 2017"/>
    <n v="2"/>
    <x v="3"/>
    <n v="2"/>
    <n v="416.99"/>
    <n v="0.2"/>
    <n v="667.18399999999997"/>
  </r>
  <r>
    <n v="1088"/>
    <n v="1"/>
    <n v="64"/>
    <s v="Electra Townie Original 7D - 2017"/>
    <n v="3"/>
    <x v="0"/>
    <n v="1"/>
    <n v="489.99"/>
    <n v="0.1"/>
    <n v="440.99099999999999"/>
  </r>
  <r>
    <n v="1088"/>
    <n v="2"/>
    <n v="30"/>
    <s v="Surly Ice Cream Truck Frameset - 2017"/>
    <n v="6"/>
    <x v="1"/>
    <n v="1"/>
    <n v="999.99"/>
    <n v="0.1"/>
    <n v="899.99099999999999"/>
  </r>
  <r>
    <n v="1088"/>
    <n v="3"/>
    <n v="33"/>
    <s v="Surly Wednesday Frameset - 2017"/>
    <n v="6"/>
    <x v="1"/>
    <n v="1"/>
    <n v="469.99"/>
    <n v="7.0000000000000007E-2"/>
    <n v="437.09070000000003"/>
  </r>
  <r>
    <n v="1088"/>
    <n v="4"/>
    <n v="36"/>
    <s v="Surly Troll Frameset - 2017"/>
    <n v="6"/>
    <x v="1"/>
    <n v="2"/>
    <n v="832.99"/>
    <n v="0.2"/>
    <n v="1332.7840000000001"/>
  </r>
  <r>
    <n v="1089"/>
    <n v="1"/>
    <n v="70"/>
    <s v="Electra Amsterdam Original 3i - 2015/2017"/>
    <n v="3"/>
    <x v="0"/>
    <n v="2"/>
    <n v="659.99"/>
    <n v="7.0000000000000007E-2"/>
    <n v="1227.5814"/>
  </r>
  <r>
    <n v="1089"/>
    <n v="2"/>
    <n v="30"/>
    <s v="Surly Ice Cream Truck Frameset - 2017"/>
    <n v="6"/>
    <x v="1"/>
    <n v="2"/>
    <n v="999.99"/>
    <n v="0.05"/>
    <n v="1899.981"/>
  </r>
  <r>
    <n v="1090"/>
    <n v="1"/>
    <n v="74"/>
    <s v="Electra Cruiser Lux 1 - 2017"/>
    <n v="3"/>
    <x v="0"/>
    <n v="1"/>
    <n v="439.99"/>
    <n v="0.2"/>
    <n v="351.99200000000002"/>
  </r>
  <r>
    <n v="1091"/>
    <n v="1"/>
    <n v="97"/>
    <s v="Electra Savannah 3i (20-inch) - Girl's - 2017"/>
    <n v="1"/>
    <x v="5"/>
    <n v="1"/>
    <n v="349.99"/>
    <n v="0.05"/>
    <n v="332.4905"/>
  </r>
  <r>
    <n v="1091"/>
    <n v="2"/>
    <n v="56"/>
    <s v="Trek Domane SLR 6 Disc - 2017"/>
    <n v="7"/>
    <x v="6"/>
    <n v="1"/>
    <n v="5499.99"/>
    <n v="0.1"/>
    <n v="4949.991"/>
  </r>
  <r>
    <n v="1091"/>
    <n v="3"/>
    <n v="19"/>
    <s v="Pure Cycles William 3-Speed - 2016"/>
    <n v="3"/>
    <x v="0"/>
    <n v="1"/>
    <n v="449"/>
    <n v="0.1"/>
    <n v="404.1"/>
  </r>
  <r>
    <n v="1092"/>
    <n v="1"/>
    <n v="34"/>
    <s v="Trek Session DH 27.5 Carbon Frameset - 2017"/>
    <n v="6"/>
    <x v="1"/>
    <n v="1"/>
    <n v="469.99"/>
    <n v="0.05"/>
    <n v="446.4905"/>
  </r>
  <r>
    <n v="1092"/>
    <n v="2"/>
    <n v="30"/>
    <s v="Surly Ice Cream Truck Frameset - 2017"/>
    <n v="6"/>
    <x v="1"/>
    <n v="2"/>
    <n v="999.99"/>
    <n v="7.0000000000000007E-2"/>
    <n v="1859.9814000000001"/>
  </r>
  <r>
    <n v="1092"/>
    <n v="3"/>
    <n v="2"/>
    <s v="Ritchey Timberwolf Frameset - 2016"/>
    <n v="6"/>
    <x v="1"/>
    <n v="2"/>
    <n v="749.99"/>
    <n v="0.1"/>
    <n v="1349.982"/>
  </r>
  <r>
    <n v="1092"/>
    <n v="4"/>
    <n v="18"/>
    <s v="Pure Cycles Western 3-Speed - Women's - 2015/2016"/>
    <n v="3"/>
    <x v="0"/>
    <n v="1"/>
    <n v="449"/>
    <n v="0.2"/>
    <n v="359.2"/>
  </r>
  <r>
    <n v="1093"/>
    <n v="1"/>
    <n v="45"/>
    <s v="Haro SR 1.2 - 2017"/>
    <n v="6"/>
    <x v="1"/>
    <n v="2"/>
    <n v="869.99"/>
    <n v="7.0000000000000007E-2"/>
    <n v="1618.1813999999999"/>
  </r>
  <r>
    <n v="1093"/>
    <n v="2"/>
    <n v="17"/>
    <s v="Pure Cycles Vine 8-Speed - 2016"/>
    <n v="3"/>
    <x v="0"/>
    <n v="2"/>
    <n v="429"/>
    <n v="0.1"/>
    <n v="772.2"/>
  </r>
  <r>
    <n v="1093"/>
    <n v="3"/>
    <n v="90"/>
    <s v="Trek Precaliber 16 Girls - 2017"/>
    <n v="1"/>
    <x v="5"/>
    <n v="2"/>
    <n v="209.99"/>
    <n v="0.1"/>
    <n v="377.98200000000003"/>
  </r>
  <r>
    <n v="1094"/>
    <n v="1"/>
    <n v="71"/>
    <s v="Sun Bicycles Atlas X-Type - 2017"/>
    <n v="3"/>
    <x v="0"/>
    <n v="1"/>
    <n v="416.99"/>
    <n v="0.1"/>
    <n v="375.291"/>
  </r>
  <r>
    <n v="1094"/>
    <n v="2"/>
    <n v="11"/>
    <s v="Surly Straggler 650b - 2016"/>
    <n v="4"/>
    <x v="2"/>
    <n v="1"/>
    <n v="1680.99"/>
    <n v="0.1"/>
    <n v="1512.8910000000001"/>
  </r>
  <r>
    <n v="1094"/>
    <n v="3"/>
    <n v="24"/>
    <s v="Electra Townie Original 21D - 2016"/>
    <n v="2"/>
    <x v="3"/>
    <n v="1"/>
    <n v="549.99"/>
    <n v="0.1"/>
    <n v="494.99099999999999"/>
  </r>
  <r>
    <n v="1094"/>
    <n v="4"/>
    <n v="107"/>
    <s v="Sun Bicycles Cruz 7 - 2017"/>
    <n v="2"/>
    <x v="3"/>
    <n v="1"/>
    <n v="416.99"/>
    <n v="0.2"/>
    <n v="333.59199999999998"/>
  </r>
  <r>
    <n v="1095"/>
    <n v="1"/>
    <n v="78"/>
    <s v="Sun Bicycles Biscayne Tandem CB - 2017"/>
    <n v="3"/>
    <x v="0"/>
    <n v="2"/>
    <n v="647.99"/>
    <n v="0.05"/>
    <n v="1231.181"/>
  </r>
  <r>
    <n v="1095"/>
    <n v="2"/>
    <n v="3"/>
    <s v="Surly Wednesday Frameset - 2016"/>
    <n v="6"/>
    <x v="1"/>
    <n v="2"/>
    <n v="999.99"/>
    <n v="0.2"/>
    <n v="1599.9839999999999"/>
  </r>
  <r>
    <n v="1095"/>
    <n v="3"/>
    <n v="15"/>
    <s v="Electra Moto 1 - 2016"/>
    <n v="3"/>
    <x v="0"/>
    <n v="2"/>
    <n v="529.99"/>
    <n v="0.1"/>
    <n v="953.98199999999997"/>
  </r>
  <r>
    <n v="1095"/>
    <n v="4"/>
    <n v="31"/>
    <s v="Surly Wednesday - 2017"/>
    <n v="6"/>
    <x v="1"/>
    <n v="1"/>
    <n v="1632.99"/>
    <n v="0.2"/>
    <n v="1306.3920000000001"/>
  </r>
  <r>
    <n v="1095"/>
    <n v="5"/>
    <n v="50"/>
    <s v="Trek Silque SLR 7 Women's - 2017"/>
    <n v="7"/>
    <x v="6"/>
    <n v="2"/>
    <n v="5999.99"/>
    <n v="0.05"/>
    <n v="11399.981"/>
  </r>
  <r>
    <n v="1096"/>
    <n v="1"/>
    <n v="11"/>
    <s v="Surly Straggler 650b - 2016"/>
    <n v="4"/>
    <x v="2"/>
    <n v="1"/>
    <n v="1680.99"/>
    <n v="0.1"/>
    <n v="1512.8910000000001"/>
  </r>
  <r>
    <n v="1097"/>
    <n v="1"/>
    <n v="99"/>
    <s v="Electra Sugar Skulls 1 (20-inch) - Girl's - 2017"/>
    <n v="1"/>
    <x v="5"/>
    <n v="1"/>
    <n v="299.99"/>
    <n v="0.05"/>
    <n v="284.9905"/>
  </r>
  <r>
    <n v="1097"/>
    <n v="2"/>
    <n v="106"/>
    <s v="Sun Bicycles Cruz 3 - 2017"/>
    <n v="2"/>
    <x v="3"/>
    <n v="2"/>
    <n v="449.99"/>
    <n v="7.0000000000000007E-2"/>
    <n v="836.98140000000001"/>
  </r>
  <r>
    <n v="1097"/>
    <n v="3"/>
    <n v="98"/>
    <s v="Electra Straight 8 3i (20-inch) - Boy's - 2017"/>
    <n v="1"/>
    <x v="5"/>
    <n v="2"/>
    <n v="489.99"/>
    <n v="7.0000000000000007E-2"/>
    <n v="911.38139999999999"/>
  </r>
  <r>
    <n v="1097"/>
    <n v="4"/>
    <n v="19"/>
    <s v="Pure Cycles William 3-Speed - 2016"/>
    <n v="3"/>
    <x v="0"/>
    <n v="1"/>
    <n v="449"/>
    <n v="0.2"/>
    <n v="359.2"/>
  </r>
  <r>
    <n v="1097"/>
    <n v="5"/>
    <n v="35"/>
    <s v="Sun Bicycles Spider 3i - 2017"/>
    <n v="6"/>
    <x v="1"/>
    <n v="2"/>
    <n v="832.99"/>
    <n v="0.05"/>
    <n v="1582.681"/>
  </r>
  <r>
    <n v="1098"/>
    <n v="1"/>
    <n v="88"/>
    <s v="Trek Precaliber 12 Girls - 2017"/>
    <n v="1"/>
    <x v="5"/>
    <n v="1"/>
    <n v="189.99"/>
    <n v="0.1"/>
    <n v="170.99100000000001"/>
  </r>
  <r>
    <n v="1099"/>
    <n v="1"/>
    <n v="64"/>
    <s v="Electra Townie Original 7D - 2017"/>
    <n v="3"/>
    <x v="0"/>
    <n v="1"/>
    <n v="489.99"/>
    <n v="0.1"/>
    <n v="440.99099999999999"/>
  </r>
  <r>
    <n v="1099"/>
    <n v="2"/>
    <n v="13"/>
    <s v="Electra Cruiser 1 (24-Inch) - 2016"/>
    <n v="3"/>
    <x v="0"/>
    <n v="2"/>
    <n v="269.99"/>
    <n v="0.05"/>
    <n v="512.98099999999999"/>
  </r>
  <r>
    <n v="1099"/>
    <n v="3"/>
    <n v="46"/>
    <s v="Haro SR 1.3 - 2017"/>
    <n v="6"/>
    <x v="1"/>
    <n v="1"/>
    <n v="1409.99"/>
    <n v="7.0000000000000007E-2"/>
    <n v="1311.2907"/>
  </r>
  <r>
    <n v="1099"/>
    <n v="4"/>
    <n v="89"/>
    <s v="Trek Precaliber 16 Boys - 2017"/>
    <n v="1"/>
    <x v="5"/>
    <n v="2"/>
    <n v="209.99"/>
    <n v="0.1"/>
    <n v="377.98200000000003"/>
  </r>
  <r>
    <n v="1100"/>
    <n v="1"/>
    <n v="12"/>
    <s v="Electra Townie Original 21D - 2016"/>
    <n v="3"/>
    <x v="0"/>
    <n v="1"/>
    <n v="549.99"/>
    <n v="0.05"/>
    <n v="522.4905"/>
  </r>
  <r>
    <n v="1100"/>
    <n v="2"/>
    <n v="9"/>
    <s v="Trek Conduit+ - 2016"/>
    <n v="5"/>
    <x v="4"/>
    <n v="2"/>
    <n v="2999.99"/>
    <n v="0.1"/>
    <n v="5399.982"/>
  </r>
  <r>
    <n v="1101"/>
    <n v="1"/>
    <n v="105"/>
    <s v="Sun Bicycles Streamway 7 - 2017"/>
    <n v="2"/>
    <x v="3"/>
    <n v="1"/>
    <n v="533.99"/>
    <n v="7.0000000000000007E-2"/>
    <n v="496.61070000000001"/>
  </r>
  <r>
    <n v="1101"/>
    <n v="2"/>
    <n v="51"/>
    <s v="Trek Silque SLR 8 Women's - 2017"/>
    <n v="7"/>
    <x v="6"/>
    <n v="1"/>
    <n v="6499.99"/>
    <n v="0.05"/>
    <n v="6174.9904999999999"/>
  </r>
  <r>
    <n v="1102"/>
    <n v="1"/>
    <n v="91"/>
    <s v="Trek Precaliber 24 (21-Speed) - Girls - 2017"/>
    <n v="1"/>
    <x v="5"/>
    <n v="1"/>
    <n v="349.99"/>
    <n v="7.0000000000000007E-2"/>
    <n v="325.4907"/>
  </r>
  <r>
    <n v="1103"/>
    <n v="1"/>
    <n v="106"/>
    <s v="Sun Bicycles Cruz 3 - 2017"/>
    <n v="2"/>
    <x v="3"/>
    <n v="1"/>
    <n v="449.99"/>
    <n v="0.2"/>
    <n v="359.99200000000002"/>
  </r>
  <r>
    <n v="1103"/>
    <n v="2"/>
    <n v="46"/>
    <s v="Haro SR 1.3 - 2017"/>
    <n v="6"/>
    <x v="1"/>
    <n v="2"/>
    <n v="1409.99"/>
    <n v="0.2"/>
    <n v="2255.9839999999999"/>
  </r>
  <r>
    <n v="1104"/>
    <n v="1"/>
    <n v="17"/>
    <s v="Pure Cycles Vine 8-Speed - 2016"/>
    <n v="3"/>
    <x v="0"/>
    <n v="1"/>
    <n v="429"/>
    <n v="0.1"/>
    <n v="386.1"/>
  </r>
  <r>
    <n v="1104"/>
    <n v="2"/>
    <n v="70"/>
    <s v="Electra Amsterdam Original 3i - 2015/2017"/>
    <n v="3"/>
    <x v="0"/>
    <n v="2"/>
    <n v="659.99"/>
    <n v="0.1"/>
    <n v="1187.982"/>
  </r>
  <r>
    <n v="1104"/>
    <n v="3"/>
    <n v="43"/>
    <s v="Trek Fuel EX 9.8 27.5 Plus - 2017"/>
    <n v="6"/>
    <x v="1"/>
    <n v="1"/>
    <n v="5299.99"/>
    <n v="7.0000000000000007E-2"/>
    <n v="4928.9906999999994"/>
  </r>
  <r>
    <n v="1104"/>
    <n v="4"/>
    <n v="80"/>
    <s v="Sun Bicycles Brickell Tandem CB - 2017"/>
    <n v="3"/>
    <x v="0"/>
    <n v="1"/>
    <n v="761.99"/>
    <n v="7.0000000000000007E-2"/>
    <n v="708.65070000000003"/>
  </r>
  <r>
    <n v="1105"/>
    <n v="1"/>
    <n v="60"/>
    <s v="Sun Bicycles ElectroLite - 2017"/>
    <n v="5"/>
    <x v="4"/>
    <n v="1"/>
    <n v="1559.99"/>
    <n v="0.05"/>
    <n v="1481.9904999999999"/>
  </r>
  <r>
    <n v="1105"/>
    <n v="2"/>
    <n v="56"/>
    <s v="Trek Domane SLR 6 Disc - 2017"/>
    <n v="7"/>
    <x v="6"/>
    <n v="2"/>
    <n v="5499.99"/>
    <n v="0.2"/>
    <n v="8799.9840000000004"/>
  </r>
  <r>
    <n v="1105"/>
    <n v="3"/>
    <n v="35"/>
    <s v="Sun Bicycles Spider 3i - 2017"/>
    <n v="6"/>
    <x v="1"/>
    <n v="2"/>
    <n v="832.99"/>
    <n v="7.0000000000000007E-2"/>
    <n v="1549.3614"/>
  </r>
  <r>
    <n v="1106"/>
    <n v="1"/>
    <n v="96"/>
    <s v="Electra Moto 3i (20-inch) - Boy's - 2017"/>
    <n v="1"/>
    <x v="5"/>
    <n v="1"/>
    <n v="349.99"/>
    <n v="0.1"/>
    <n v="314.99099999999999"/>
  </r>
  <r>
    <n v="1107"/>
    <n v="1"/>
    <n v="43"/>
    <s v="Trek Fuel EX 9.8 27.5 Plus - 2017"/>
    <n v="6"/>
    <x v="1"/>
    <n v="1"/>
    <n v="5299.99"/>
    <n v="0.2"/>
    <n v="4239.9920000000002"/>
  </r>
  <r>
    <n v="1107"/>
    <n v="2"/>
    <n v="41"/>
    <s v="Haro Shift R3 - 2017"/>
    <n v="6"/>
    <x v="1"/>
    <n v="2"/>
    <n v="1469.99"/>
    <n v="0.2"/>
    <n v="2351.9839999999999"/>
  </r>
  <r>
    <n v="1108"/>
    <n v="1"/>
    <n v="45"/>
    <s v="Haro SR 1.2 - 2017"/>
    <n v="6"/>
    <x v="1"/>
    <n v="2"/>
    <n v="869.99"/>
    <n v="0.05"/>
    <n v="1652.981"/>
  </r>
  <r>
    <n v="1108"/>
    <n v="2"/>
    <n v="100"/>
    <s v="Electra Townie 3i EQ (20-inch) - Boys' - 2017"/>
    <n v="1"/>
    <x v="5"/>
    <n v="1"/>
    <n v="489.99"/>
    <n v="7.0000000000000007E-2"/>
    <n v="455.69069999999999"/>
  </r>
  <r>
    <n v="1108"/>
    <n v="3"/>
    <n v="105"/>
    <s v="Sun Bicycles Streamway 7 - 2017"/>
    <n v="2"/>
    <x v="3"/>
    <n v="1"/>
    <n v="533.99"/>
    <n v="7.0000000000000007E-2"/>
    <n v="496.61070000000001"/>
  </r>
  <r>
    <n v="1109"/>
    <n v="1"/>
    <n v="72"/>
    <s v="Sun Bicycles Biscayne Tandem 7 - 2017"/>
    <n v="3"/>
    <x v="0"/>
    <n v="2"/>
    <n v="619.99"/>
    <n v="0.1"/>
    <n v="1115.982"/>
  </r>
  <r>
    <n v="1110"/>
    <n v="1"/>
    <n v="56"/>
    <s v="Trek Domane SLR 6 Disc - 2017"/>
    <n v="7"/>
    <x v="6"/>
    <n v="1"/>
    <n v="5499.99"/>
    <n v="0.1"/>
    <n v="4949.991"/>
  </r>
  <r>
    <n v="1111"/>
    <n v="1"/>
    <n v="95"/>
    <s v="Electra Girl's Hawaii 1 16&quot; - 2017"/>
    <n v="1"/>
    <x v="5"/>
    <n v="1"/>
    <n v="299.99"/>
    <n v="0.05"/>
    <n v="284.9905"/>
  </r>
  <r>
    <n v="1111"/>
    <n v="2"/>
    <n v="66"/>
    <s v="Sun Bicycles Revolutions 24 - 2017"/>
    <n v="3"/>
    <x v="0"/>
    <n v="2"/>
    <n v="250.99"/>
    <n v="0.1"/>
    <n v="451.78200000000004"/>
  </r>
  <r>
    <n v="1111"/>
    <n v="3"/>
    <n v="14"/>
    <s v="Electra Girl's Hawaii 1 (16-inch) - 2015/2016"/>
    <n v="3"/>
    <x v="0"/>
    <n v="1"/>
    <n v="269.99"/>
    <n v="0.2"/>
    <n v="215.99200000000002"/>
  </r>
  <r>
    <n v="1111"/>
    <n v="4"/>
    <n v="24"/>
    <s v="Electra Townie Original 21D - 2016"/>
    <n v="2"/>
    <x v="3"/>
    <n v="1"/>
    <n v="549.99"/>
    <n v="7.0000000000000007E-2"/>
    <n v="511.4907"/>
  </r>
  <r>
    <n v="1112"/>
    <n v="1"/>
    <n v="71"/>
    <s v="Sun Bicycles Atlas X-Type - 2017"/>
    <n v="3"/>
    <x v="0"/>
    <n v="2"/>
    <n v="416.99"/>
    <n v="0.05"/>
    <n v="792.28100000000006"/>
  </r>
  <r>
    <n v="1112"/>
    <n v="2"/>
    <n v="42"/>
    <s v="Trek Fuel EX 5 27.5 Plus - 2017"/>
    <n v="6"/>
    <x v="1"/>
    <n v="1"/>
    <n v="2299.9899999999998"/>
    <n v="7.0000000000000007E-2"/>
    <n v="2138.9906999999998"/>
  </r>
  <r>
    <n v="1112"/>
    <n v="3"/>
    <n v="5"/>
    <s v="Heller Shagamaw Frame - 2016"/>
    <n v="6"/>
    <x v="1"/>
    <n v="2"/>
    <n v="1320.99"/>
    <n v="0.1"/>
    <n v="2377.7820000000002"/>
  </r>
  <r>
    <n v="1112"/>
    <n v="4"/>
    <n v="87"/>
    <s v="Trek Precaliber 12 Boys - 2017"/>
    <n v="1"/>
    <x v="5"/>
    <n v="2"/>
    <n v="189.99"/>
    <n v="7.0000000000000007E-2"/>
    <n v="353.38139999999999"/>
  </r>
  <r>
    <n v="1112"/>
    <n v="5"/>
    <n v="9"/>
    <s v="Trek Conduit+ - 2016"/>
    <n v="5"/>
    <x v="4"/>
    <n v="2"/>
    <n v="2999.99"/>
    <n v="0.1"/>
    <n v="5399.982"/>
  </r>
  <r>
    <n v="1113"/>
    <n v="1"/>
    <n v="106"/>
    <s v="Sun Bicycles Cruz 3 - 2017"/>
    <n v="2"/>
    <x v="3"/>
    <n v="1"/>
    <n v="449.99"/>
    <n v="7.0000000000000007E-2"/>
    <n v="418.4907"/>
  </r>
  <r>
    <n v="1114"/>
    <n v="1"/>
    <n v="52"/>
    <s v="Surly Steamroller - 2017"/>
    <n v="7"/>
    <x v="6"/>
    <n v="1"/>
    <n v="875.99"/>
    <n v="0.2"/>
    <n v="700.79200000000003"/>
  </r>
  <r>
    <n v="1115"/>
    <n v="1"/>
    <n v="97"/>
    <s v="Electra Savannah 3i (20-inch) - Girl's - 2017"/>
    <n v="1"/>
    <x v="5"/>
    <n v="2"/>
    <n v="349.99"/>
    <n v="0.2"/>
    <n v="559.98400000000004"/>
  </r>
  <r>
    <n v="1115"/>
    <n v="2"/>
    <n v="50"/>
    <s v="Trek Silque SLR 7 Women's - 2017"/>
    <n v="7"/>
    <x v="6"/>
    <n v="2"/>
    <n v="5999.99"/>
    <n v="7.0000000000000007E-2"/>
    <n v="11159.981399999999"/>
  </r>
  <r>
    <n v="1115"/>
    <n v="3"/>
    <n v="91"/>
    <s v="Trek Precaliber 24 (21-Speed) - Girls - 2017"/>
    <n v="1"/>
    <x v="5"/>
    <n v="2"/>
    <n v="349.99"/>
    <n v="7.0000000000000007E-2"/>
    <n v="650.98140000000001"/>
  </r>
  <r>
    <n v="1115"/>
    <n v="4"/>
    <n v="49"/>
    <s v="Trek Domane SL 6 - 2017"/>
    <n v="7"/>
    <x v="6"/>
    <n v="2"/>
    <n v="3499.99"/>
    <n v="0.1"/>
    <n v="6299.982"/>
  </r>
  <r>
    <n v="1116"/>
    <n v="1"/>
    <n v="11"/>
    <s v="Surly Straggler 650b - 2016"/>
    <n v="4"/>
    <x v="2"/>
    <n v="2"/>
    <n v="1680.99"/>
    <n v="7.0000000000000007E-2"/>
    <n v="3126.6414"/>
  </r>
  <r>
    <n v="1117"/>
    <n v="1"/>
    <n v="37"/>
    <s v="Haro Flightline One ST - 2017"/>
    <n v="6"/>
    <x v="1"/>
    <n v="2"/>
    <n v="379.99"/>
    <n v="0.1"/>
    <n v="683.98199999999997"/>
  </r>
  <r>
    <n v="1117"/>
    <n v="2"/>
    <n v="91"/>
    <s v="Trek Precaliber 24 (21-Speed) - Girls - 2017"/>
    <n v="1"/>
    <x v="5"/>
    <n v="1"/>
    <n v="349.99"/>
    <n v="0.2"/>
    <n v="279.99200000000002"/>
  </r>
  <r>
    <n v="1117"/>
    <n v="3"/>
    <n v="51"/>
    <s v="Trek Silque SLR 8 Women's - 2017"/>
    <n v="7"/>
    <x v="6"/>
    <n v="2"/>
    <n v="6499.99"/>
    <n v="0.1"/>
    <n v="11699.982"/>
  </r>
  <r>
    <n v="1118"/>
    <n v="1"/>
    <n v="55"/>
    <s v="Trek Domane S 6 - 2017"/>
    <n v="7"/>
    <x v="6"/>
    <n v="2"/>
    <n v="2699.99"/>
    <n v="0.2"/>
    <n v="4319.9839999999995"/>
  </r>
  <r>
    <n v="1118"/>
    <n v="2"/>
    <n v="50"/>
    <s v="Trek Silque SLR 7 Women's - 2017"/>
    <n v="7"/>
    <x v="6"/>
    <n v="1"/>
    <n v="5999.99"/>
    <n v="7.0000000000000007E-2"/>
    <n v="5579.9906999999994"/>
  </r>
  <r>
    <n v="1118"/>
    <n v="3"/>
    <n v="29"/>
    <s v="Trek X-Caliber 8 - 2017"/>
    <n v="6"/>
    <x v="1"/>
    <n v="1"/>
    <n v="999.99"/>
    <n v="0.05"/>
    <n v="949.9905"/>
  </r>
  <r>
    <n v="1118"/>
    <n v="4"/>
    <n v="47"/>
    <s v="Trek Remedy 9.8 - 2017"/>
    <n v="6"/>
    <x v="1"/>
    <n v="2"/>
    <n v="5299.99"/>
    <n v="0.2"/>
    <n v="8479.9840000000004"/>
  </r>
  <r>
    <n v="1119"/>
    <n v="1"/>
    <n v="93"/>
    <s v="Haro Shredder 20 Girls - 2017"/>
    <n v="1"/>
    <x v="5"/>
    <n v="2"/>
    <n v="209.99"/>
    <n v="0.1"/>
    <n v="377.98200000000003"/>
  </r>
  <r>
    <n v="1119"/>
    <n v="2"/>
    <n v="55"/>
    <s v="Trek Domane S 6 - 2017"/>
    <n v="7"/>
    <x v="6"/>
    <n v="2"/>
    <n v="2699.99"/>
    <n v="0.05"/>
    <n v="5129.9809999999998"/>
  </r>
  <r>
    <n v="1119"/>
    <n v="3"/>
    <n v="104"/>
    <s v="Sun Bicycles Streamway - 2017"/>
    <n v="2"/>
    <x v="3"/>
    <n v="1"/>
    <n v="481.99"/>
    <n v="0.2"/>
    <n v="385.59199999999998"/>
  </r>
  <r>
    <n v="1120"/>
    <n v="1"/>
    <n v="92"/>
    <s v="Haro Shredder 20 - 2017"/>
    <n v="1"/>
    <x v="5"/>
    <n v="2"/>
    <n v="209.99"/>
    <n v="7.0000000000000007E-2"/>
    <n v="390.58140000000003"/>
  </r>
  <r>
    <n v="1120"/>
    <n v="2"/>
    <n v="31"/>
    <s v="Surly Wednesday - 2017"/>
    <n v="6"/>
    <x v="1"/>
    <n v="1"/>
    <n v="1632.99"/>
    <n v="7.0000000000000007E-2"/>
    <n v="1518.6806999999999"/>
  </r>
  <r>
    <n v="1120"/>
    <n v="3"/>
    <n v="30"/>
    <s v="Surly Ice Cream Truck Frameset - 2017"/>
    <n v="6"/>
    <x v="1"/>
    <n v="2"/>
    <n v="999.99"/>
    <n v="0.05"/>
    <n v="1899.981"/>
  </r>
  <r>
    <n v="1120"/>
    <n v="4"/>
    <n v="93"/>
    <s v="Haro Shredder 20 Girls - 2017"/>
    <n v="1"/>
    <x v="5"/>
    <n v="1"/>
    <n v="209.99"/>
    <n v="7.0000000000000007E-2"/>
    <n v="195.29070000000002"/>
  </r>
  <r>
    <n v="1120"/>
    <n v="5"/>
    <n v="94"/>
    <s v="Haro Shredder Pro 20 - 2017"/>
    <n v="1"/>
    <x v="5"/>
    <n v="1"/>
    <n v="249.99"/>
    <n v="0.2"/>
    <n v="199.99200000000002"/>
  </r>
  <r>
    <n v="1121"/>
    <n v="1"/>
    <n v="11"/>
    <s v="Surly Straggler 650b - 2016"/>
    <n v="4"/>
    <x v="2"/>
    <n v="2"/>
    <n v="1680.99"/>
    <n v="0.1"/>
    <n v="3025.7820000000002"/>
  </r>
  <r>
    <n v="1121"/>
    <n v="2"/>
    <n v="110"/>
    <s v="Sun Bicycles Drifter 7 - 2017"/>
    <n v="2"/>
    <x v="3"/>
    <n v="2"/>
    <n v="470.99"/>
    <n v="0.05"/>
    <n v="894.88099999999997"/>
  </r>
  <r>
    <n v="1122"/>
    <n v="1"/>
    <n v="9"/>
    <s v="Trek Conduit+ - 2016"/>
    <n v="5"/>
    <x v="4"/>
    <n v="2"/>
    <n v="2999.99"/>
    <n v="7.0000000000000007E-2"/>
    <n v="5579.9813999999997"/>
  </r>
  <r>
    <n v="1122"/>
    <n v="2"/>
    <n v="53"/>
    <s v="Surly Ogre Frameset - 2017"/>
    <n v="7"/>
    <x v="6"/>
    <n v="1"/>
    <n v="749.99"/>
    <n v="0.1"/>
    <n v="674.99099999999999"/>
  </r>
  <r>
    <n v="1122"/>
    <n v="3"/>
    <n v="49"/>
    <s v="Trek Domane SL 6 - 2017"/>
    <n v="7"/>
    <x v="6"/>
    <n v="2"/>
    <n v="3499.99"/>
    <n v="0.2"/>
    <n v="5599.9839999999995"/>
  </r>
  <r>
    <n v="1122"/>
    <n v="4"/>
    <n v="41"/>
    <s v="Haro Shift R3 - 2017"/>
    <n v="6"/>
    <x v="1"/>
    <n v="2"/>
    <n v="1469.99"/>
    <n v="0.05"/>
    <n v="2792.9810000000002"/>
  </r>
  <r>
    <n v="1122"/>
    <n v="5"/>
    <n v="72"/>
    <s v="Sun Bicycles Biscayne Tandem 7 - 2017"/>
    <n v="3"/>
    <x v="0"/>
    <n v="1"/>
    <n v="619.99"/>
    <n v="0.1"/>
    <n v="557.99099999999999"/>
  </r>
  <r>
    <n v="1123"/>
    <n v="1"/>
    <n v="65"/>
    <s v="Sun Bicycles Lil Bolt Type-R - 2017"/>
    <n v="3"/>
    <x v="0"/>
    <n v="2"/>
    <n v="346.99"/>
    <n v="7.0000000000000007E-2"/>
    <n v="645.40139999999997"/>
  </r>
  <r>
    <n v="1123"/>
    <n v="2"/>
    <n v="61"/>
    <s v="Trek Powerfly 8 FS Plus - 2017"/>
    <n v="5"/>
    <x v="4"/>
    <n v="2"/>
    <n v="4999.99"/>
    <n v="0.1"/>
    <n v="8999.982"/>
  </r>
  <r>
    <n v="1124"/>
    <n v="1"/>
    <n v="7"/>
    <s v="Trek Slash 8 27.5 - 2016"/>
    <n v="6"/>
    <x v="1"/>
    <n v="2"/>
    <n v="3999.99"/>
    <n v="0.1"/>
    <n v="7199.982"/>
  </r>
  <r>
    <n v="1124"/>
    <n v="2"/>
    <n v="6"/>
    <s v="Surly Ice Cream Truck Frameset - 2016"/>
    <n v="6"/>
    <x v="1"/>
    <n v="1"/>
    <n v="469.99"/>
    <n v="0.1"/>
    <n v="422.99099999999999"/>
  </r>
  <r>
    <n v="1124"/>
    <n v="3"/>
    <n v="109"/>
    <s v="Sun Bicycles Cruz 7 - Women's - 2017"/>
    <n v="2"/>
    <x v="3"/>
    <n v="2"/>
    <n v="416.99"/>
    <n v="7.0000000000000007E-2"/>
    <n v="775.60140000000001"/>
  </r>
  <r>
    <n v="1124"/>
    <n v="4"/>
    <n v="45"/>
    <s v="Haro SR 1.2 - 2017"/>
    <n v="6"/>
    <x v="1"/>
    <n v="2"/>
    <n v="869.99"/>
    <n v="0.05"/>
    <n v="1652.981"/>
  </r>
  <r>
    <n v="1124"/>
    <n v="5"/>
    <n v="2"/>
    <s v="Ritchey Timberwolf Frameset - 2016"/>
    <n v="6"/>
    <x v="1"/>
    <n v="2"/>
    <n v="749.99"/>
    <n v="0.05"/>
    <n v="1424.981"/>
  </r>
  <r>
    <n v="1125"/>
    <n v="1"/>
    <n v="16"/>
    <s v="Electra Townie Original 7D EQ - 2016"/>
    <n v="3"/>
    <x v="0"/>
    <n v="2"/>
    <n v="599.99"/>
    <n v="0.05"/>
    <n v="1139.981"/>
  </r>
  <r>
    <n v="1125"/>
    <n v="2"/>
    <n v="21"/>
    <s v="Electra Cruiser 1 (24-Inch) - 2016"/>
    <n v="1"/>
    <x v="5"/>
    <n v="1"/>
    <n v="269.99"/>
    <n v="0.1"/>
    <n v="242.99100000000001"/>
  </r>
  <r>
    <n v="1125"/>
    <n v="3"/>
    <n v="81"/>
    <s v="Electra Amsterdam Fashion 7i Ladies' - 2017"/>
    <n v="3"/>
    <x v="0"/>
    <n v="2"/>
    <n v="1099.99"/>
    <n v="7.0000000000000007E-2"/>
    <n v="2045.9814000000001"/>
  </r>
  <r>
    <n v="1125"/>
    <n v="4"/>
    <n v="24"/>
    <s v="Electra Townie Original 21D - 2016"/>
    <n v="2"/>
    <x v="3"/>
    <n v="1"/>
    <n v="549.99"/>
    <n v="7.0000000000000007E-2"/>
    <n v="511.4907"/>
  </r>
  <r>
    <n v="1125"/>
    <n v="5"/>
    <n v="32"/>
    <s v="Trek Farley Alloy Frameset - 2017"/>
    <n v="6"/>
    <x v="1"/>
    <n v="2"/>
    <n v="469.99"/>
    <n v="7.0000000000000007E-2"/>
    <n v="874.18140000000005"/>
  </r>
  <r>
    <n v="1126"/>
    <n v="1"/>
    <n v="33"/>
    <s v="Surly Wednesday Frameset - 2017"/>
    <n v="6"/>
    <x v="1"/>
    <n v="2"/>
    <n v="469.99"/>
    <n v="0.1"/>
    <n v="845.98199999999997"/>
  </r>
  <r>
    <n v="1126"/>
    <n v="2"/>
    <n v="58"/>
    <s v="Trek Madone 9.2 - 2017"/>
    <n v="7"/>
    <x v="6"/>
    <n v="1"/>
    <n v="4999.99"/>
    <n v="0.2"/>
    <n v="3999.9919999999997"/>
  </r>
  <r>
    <n v="1126"/>
    <n v="3"/>
    <n v="89"/>
    <s v="Trek Precaliber 16 Boys - 2017"/>
    <n v="1"/>
    <x v="5"/>
    <n v="2"/>
    <n v="209.99"/>
    <n v="0.05"/>
    <n v="398.98099999999999"/>
  </r>
  <r>
    <n v="1127"/>
    <n v="1"/>
    <n v="23"/>
    <s v="Electra Girl's Hawaii 1 (20-inch) - 2015/2016"/>
    <n v="1"/>
    <x v="5"/>
    <n v="2"/>
    <n v="299.99"/>
    <n v="0.1"/>
    <n v="539.98199999999997"/>
  </r>
  <r>
    <n v="1127"/>
    <n v="2"/>
    <n v="96"/>
    <s v="Electra Moto 3i (20-inch) - Boy's - 2017"/>
    <n v="1"/>
    <x v="5"/>
    <n v="2"/>
    <n v="349.99"/>
    <n v="7.0000000000000007E-2"/>
    <n v="650.98140000000001"/>
  </r>
  <r>
    <n v="1127"/>
    <n v="3"/>
    <n v="37"/>
    <s v="Haro Flightline One ST - 2017"/>
    <n v="6"/>
    <x v="1"/>
    <n v="1"/>
    <n v="379.99"/>
    <n v="0.2"/>
    <n v="303.99200000000002"/>
  </r>
  <r>
    <n v="1128"/>
    <n v="1"/>
    <n v="44"/>
    <s v="Haro SR 1.1 - 2017"/>
    <n v="6"/>
    <x v="1"/>
    <n v="1"/>
    <n v="539.99"/>
    <n v="0.05"/>
    <n v="512.9905"/>
  </r>
  <r>
    <n v="1128"/>
    <n v="2"/>
    <n v="10"/>
    <s v="Surly Straggler - 2016"/>
    <n v="4"/>
    <x v="2"/>
    <n v="1"/>
    <n v="1549"/>
    <n v="0.2"/>
    <n v="1239.2"/>
  </r>
  <r>
    <n v="1128"/>
    <n v="3"/>
    <n v="65"/>
    <s v="Sun Bicycles Lil Bolt Type-R - 2017"/>
    <n v="3"/>
    <x v="0"/>
    <n v="2"/>
    <n v="346.99"/>
    <n v="0.05"/>
    <n v="659.28100000000006"/>
  </r>
  <r>
    <n v="1129"/>
    <n v="1"/>
    <n v="71"/>
    <s v="Sun Bicycles Atlas X-Type - 2017"/>
    <n v="3"/>
    <x v="0"/>
    <n v="2"/>
    <n v="416.99"/>
    <n v="0.2"/>
    <n v="667.18399999999997"/>
  </r>
  <r>
    <n v="1129"/>
    <n v="2"/>
    <n v="56"/>
    <s v="Trek Domane SLR 6 Disc - 2017"/>
    <n v="7"/>
    <x v="6"/>
    <n v="1"/>
    <n v="5499.99"/>
    <n v="0.2"/>
    <n v="4399.9920000000002"/>
  </r>
  <r>
    <n v="1129"/>
    <n v="3"/>
    <n v="61"/>
    <s v="Trek Powerfly 8 FS Plus - 2017"/>
    <n v="5"/>
    <x v="4"/>
    <n v="2"/>
    <n v="4999.99"/>
    <n v="0.05"/>
    <n v="9499.9809999999998"/>
  </r>
  <r>
    <n v="1130"/>
    <n v="1"/>
    <n v="54"/>
    <s v="Trek Domane SL Disc Frameset - 2017"/>
    <n v="7"/>
    <x v="6"/>
    <n v="2"/>
    <n v="3199.99"/>
    <n v="0.2"/>
    <n v="5119.9839999999995"/>
  </r>
  <r>
    <n v="1131"/>
    <n v="1"/>
    <n v="60"/>
    <s v="Sun Bicycles ElectroLite - 2017"/>
    <n v="5"/>
    <x v="4"/>
    <n v="2"/>
    <n v="1559.99"/>
    <n v="7.0000000000000007E-2"/>
    <n v="2901.5814"/>
  </r>
  <r>
    <n v="1131"/>
    <n v="2"/>
    <n v="103"/>
    <s v="Sun Bicycles Streamway 3 - 2017"/>
    <n v="2"/>
    <x v="3"/>
    <n v="2"/>
    <n v="551.99"/>
    <n v="0.05"/>
    <n v="1048.7809999999999"/>
  </r>
  <r>
    <n v="1132"/>
    <n v="1"/>
    <n v="43"/>
    <s v="Trek Fuel EX 9.8 27.5 Plus - 2017"/>
    <n v="6"/>
    <x v="1"/>
    <n v="1"/>
    <n v="5299.99"/>
    <n v="0.05"/>
    <n v="5034.9904999999999"/>
  </r>
  <r>
    <n v="1132"/>
    <n v="2"/>
    <n v="10"/>
    <s v="Surly Straggler - 2016"/>
    <n v="4"/>
    <x v="2"/>
    <n v="1"/>
    <n v="1549"/>
    <n v="0.1"/>
    <n v="1394.1"/>
  </r>
  <r>
    <n v="1132"/>
    <n v="3"/>
    <n v="36"/>
    <s v="Surly Troll Frameset - 2017"/>
    <n v="6"/>
    <x v="1"/>
    <n v="2"/>
    <n v="832.99"/>
    <n v="0.1"/>
    <n v="1499.3820000000001"/>
  </r>
  <r>
    <n v="1132"/>
    <n v="4"/>
    <n v="16"/>
    <s v="Electra Townie Original 7D EQ - 2016"/>
    <n v="3"/>
    <x v="0"/>
    <n v="1"/>
    <n v="599.99"/>
    <n v="0.05"/>
    <n v="569.9905"/>
  </r>
  <r>
    <n v="1133"/>
    <n v="1"/>
    <n v="4"/>
    <s v="Trek Fuel EX 8 29 - 2016"/>
    <n v="6"/>
    <x v="1"/>
    <n v="2"/>
    <n v="2899.99"/>
    <n v="0.05"/>
    <n v="5509.9809999999998"/>
  </r>
  <r>
    <n v="1133"/>
    <n v="2"/>
    <n v="17"/>
    <s v="Pure Cycles Vine 8-Speed - 2016"/>
    <n v="3"/>
    <x v="0"/>
    <n v="1"/>
    <n v="429"/>
    <n v="7.0000000000000007E-2"/>
    <n v="398.97"/>
  </r>
  <r>
    <n v="1133"/>
    <n v="3"/>
    <n v="90"/>
    <s v="Trek Precaliber 16 Girls - 2017"/>
    <n v="1"/>
    <x v="5"/>
    <n v="2"/>
    <n v="209.99"/>
    <n v="0.2"/>
    <n v="335.98400000000004"/>
  </r>
  <r>
    <n v="1133"/>
    <n v="4"/>
    <n v="62"/>
    <s v="Trek Boone 7 - 2017"/>
    <n v="4"/>
    <x v="2"/>
    <n v="1"/>
    <n v="3499.99"/>
    <n v="0.2"/>
    <n v="2799.9919999999997"/>
  </r>
  <r>
    <n v="1134"/>
    <n v="1"/>
    <n v="97"/>
    <s v="Electra Savannah 3i (20-inch) - Girl's - 2017"/>
    <n v="1"/>
    <x v="5"/>
    <n v="1"/>
    <n v="349.99"/>
    <n v="0.1"/>
    <n v="314.99099999999999"/>
  </r>
  <r>
    <n v="1134"/>
    <n v="2"/>
    <n v="36"/>
    <s v="Surly Troll Frameset - 2017"/>
    <n v="6"/>
    <x v="1"/>
    <n v="1"/>
    <n v="832.99"/>
    <n v="0.1"/>
    <n v="749.69100000000003"/>
  </r>
  <r>
    <n v="1135"/>
    <n v="1"/>
    <n v="101"/>
    <s v="Electra Townie 7D (20-inch) - Boys' - 2017"/>
    <n v="1"/>
    <x v="5"/>
    <n v="2"/>
    <n v="339.99"/>
    <n v="0.05"/>
    <n v="645.98099999999999"/>
  </r>
  <r>
    <n v="1135"/>
    <n v="2"/>
    <n v="51"/>
    <s v="Trek Silque SLR 8 Women's - 2017"/>
    <n v="7"/>
    <x v="6"/>
    <n v="1"/>
    <n v="6499.99"/>
    <n v="0.1"/>
    <n v="5849.991"/>
  </r>
  <r>
    <n v="1136"/>
    <n v="1"/>
    <n v="105"/>
    <s v="Sun Bicycles Streamway 7 - 2017"/>
    <n v="2"/>
    <x v="3"/>
    <n v="1"/>
    <n v="533.99"/>
    <n v="0.1"/>
    <n v="480.59100000000001"/>
  </r>
  <r>
    <n v="1137"/>
    <n v="1"/>
    <n v="28"/>
    <s v="Surly Karate Monkey 27.5+ Frameset - 2017"/>
    <n v="6"/>
    <x v="1"/>
    <n v="1"/>
    <n v="2499.9899999999998"/>
    <n v="0.2"/>
    <n v="1999.9919999999997"/>
  </r>
  <r>
    <n v="1137"/>
    <n v="2"/>
    <n v="58"/>
    <s v="Trek Madone 9.2 - 2017"/>
    <n v="7"/>
    <x v="6"/>
    <n v="2"/>
    <n v="4999.99"/>
    <n v="0.2"/>
    <n v="7999.9839999999995"/>
  </r>
  <r>
    <n v="1137"/>
    <n v="3"/>
    <n v="84"/>
    <s v="Sun Bicycles Lil Kitt'n - 2017"/>
    <n v="1"/>
    <x v="5"/>
    <n v="2"/>
    <n v="109.99"/>
    <n v="0.2"/>
    <n v="175.98399999999998"/>
  </r>
  <r>
    <n v="1137"/>
    <n v="4"/>
    <n v="69"/>
    <s v="Sun Bicycles Cruz 7 - 2017"/>
    <n v="3"/>
    <x v="0"/>
    <n v="2"/>
    <n v="416.99"/>
    <n v="7.0000000000000007E-2"/>
    <n v="775.60140000000001"/>
  </r>
  <r>
    <n v="1138"/>
    <n v="1"/>
    <n v="13"/>
    <s v="Electra Cruiser 1 (24-Inch) - 2016"/>
    <n v="3"/>
    <x v="0"/>
    <n v="2"/>
    <n v="269.99"/>
    <n v="0.05"/>
    <n v="512.98099999999999"/>
  </r>
  <r>
    <n v="1138"/>
    <n v="2"/>
    <n v="105"/>
    <s v="Sun Bicycles Streamway 7 - 2017"/>
    <n v="2"/>
    <x v="3"/>
    <n v="2"/>
    <n v="533.99"/>
    <n v="0.05"/>
    <n v="1014.581"/>
  </r>
  <r>
    <n v="1138"/>
    <n v="3"/>
    <n v="93"/>
    <s v="Haro Shredder 20 Girls - 2017"/>
    <n v="1"/>
    <x v="5"/>
    <n v="1"/>
    <n v="209.99"/>
    <n v="0.1"/>
    <n v="188.99100000000001"/>
  </r>
  <r>
    <n v="1139"/>
    <n v="1"/>
    <n v="106"/>
    <s v="Sun Bicycles Cruz 3 - 2017"/>
    <n v="2"/>
    <x v="3"/>
    <n v="2"/>
    <n v="449.99"/>
    <n v="0.05"/>
    <n v="854.98099999999999"/>
  </r>
  <r>
    <n v="1139"/>
    <n v="2"/>
    <n v="44"/>
    <s v="Haro SR 1.1 - 2017"/>
    <n v="6"/>
    <x v="1"/>
    <n v="2"/>
    <n v="539.99"/>
    <n v="0.1"/>
    <n v="971.98199999999997"/>
  </r>
  <r>
    <n v="1139"/>
    <n v="3"/>
    <n v="69"/>
    <s v="Sun Bicycles Cruz 7 - 2017"/>
    <n v="3"/>
    <x v="0"/>
    <n v="1"/>
    <n v="416.99"/>
    <n v="0.05"/>
    <n v="396.14050000000003"/>
  </r>
  <r>
    <n v="1139"/>
    <n v="4"/>
    <n v="25"/>
    <s v="Electra Townie Original 7D - 2015/2016"/>
    <n v="2"/>
    <x v="3"/>
    <n v="2"/>
    <n v="499.99"/>
    <n v="0.1"/>
    <n v="899.98199999999997"/>
  </r>
  <r>
    <n v="1139"/>
    <n v="5"/>
    <n v="7"/>
    <s v="Trek Slash 8 27.5 - 2016"/>
    <n v="6"/>
    <x v="1"/>
    <n v="1"/>
    <n v="3999.99"/>
    <n v="0.1"/>
    <n v="3599.991"/>
  </r>
  <r>
    <n v="1140"/>
    <n v="1"/>
    <n v="39"/>
    <s v="Trek Stache 5 - 2017"/>
    <n v="6"/>
    <x v="1"/>
    <n v="2"/>
    <n v="1499.99"/>
    <n v="0.1"/>
    <n v="2699.982"/>
  </r>
  <r>
    <n v="1140"/>
    <n v="2"/>
    <n v="71"/>
    <s v="Sun Bicycles Atlas X-Type - 2017"/>
    <n v="3"/>
    <x v="0"/>
    <n v="2"/>
    <n v="416.99"/>
    <n v="7.0000000000000007E-2"/>
    <n v="775.60140000000001"/>
  </r>
  <r>
    <n v="1140"/>
    <n v="3"/>
    <n v="38"/>
    <s v="Haro Flightline Two 26 Plus - 2017"/>
    <n v="6"/>
    <x v="1"/>
    <n v="2"/>
    <n v="549.99"/>
    <n v="0.1"/>
    <n v="989.98199999999997"/>
  </r>
  <r>
    <n v="1140"/>
    <n v="4"/>
    <n v="40"/>
    <s v="Trek Fuel EX 9.8 29 - 2017"/>
    <n v="6"/>
    <x v="1"/>
    <n v="2"/>
    <n v="4999.99"/>
    <n v="7.0000000000000007E-2"/>
    <n v="9299.9813999999988"/>
  </r>
  <r>
    <n v="1141"/>
    <n v="1"/>
    <n v="8"/>
    <s v="Trek Remedy 29 Carbon Frameset - 2016"/>
    <n v="6"/>
    <x v="1"/>
    <n v="1"/>
    <n v="1799.99"/>
    <n v="0.1"/>
    <n v="1619.991"/>
  </r>
  <r>
    <n v="1142"/>
    <n v="1"/>
    <n v="20"/>
    <s v="Electra Townie Original 7D EQ - Women's - 2016"/>
    <n v="3"/>
    <x v="0"/>
    <n v="2"/>
    <n v="599.99"/>
    <n v="7.0000000000000007E-2"/>
    <n v="1115.9814000000001"/>
  </r>
  <r>
    <n v="1142"/>
    <n v="2"/>
    <n v="30"/>
    <s v="Surly Ice Cream Truck Frameset - 2017"/>
    <n v="6"/>
    <x v="1"/>
    <n v="1"/>
    <n v="999.99"/>
    <n v="0.1"/>
    <n v="899.99099999999999"/>
  </r>
  <r>
    <n v="1142"/>
    <n v="3"/>
    <n v="109"/>
    <s v="Sun Bicycles Cruz 7 - Women's - 2017"/>
    <n v="2"/>
    <x v="3"/>
    <n v="2"/>
    <n v="416.99"/>
    <n v="0.05"/>
    <n v="792.28100000000006"/>
  </r>
  <r>
    <n v="1142"/>
    <n v="4"/>
    <n v="108"/>
    <s v="Sun Bicycles Cruz 3 - Women's - 2017"/>
    <n v="2"/>
    <x v="3"/>
    <n v="2"/>
    <n v="449.99"/>
    <n v="0.2"/>
    <n v="719.98400000000004"/>
  </r>
  <r>
    <n v="1142"/>
    <n v="5"/>
    <n v="100"/>
    <s v="Electra Townie 3i EQ (20-inch) - Boys' - 2017"/>
    <n v="1"/>
    <x v="5"/>
    <n v="2"/>
    <n v="489.99"/>
    <n v="0.05"/>
    <n v="930.98099999999999"/>
  </r>
  <r>
    <n v="1143"/>
    <n v="1"/>
    <n v="99"/>
    <s v="Electra Sugar Skulls 1 (20-inch) - Girl's - 2017"/>
    <n v="1"/>
    <x v="5"/>
    <n v="1"/>
    <n v="299.99"/>
    <n v="0.2"/>
    <n v="239.99200000000002"/>
  </r>
  <r>
    <n v="1143"/>
    <n v="2"/>
    <n v="48"/>
    <s v="Trek Emonda S 4 - 2017"/>
    <n v="7"/>
    <x v="6"/>
    <n v="1"/>
    <n v="1499.99"/>
    <n v="0.2"/>
    <n v="1199.992"/>
  </r>
  <r>
    <n v="1143"/>
    <n v="3"/>
    <n v="69"/>
    <s v="Sun Bicycles Cruz 7 - 2017"/>
    <n v="3"/>
    <x v="0"/>
    <n v="2"/>
    <n v="416.99"/>
    <n v="0.1"/>
    <n v="750.58199999999999"/>
  </r>
  <r>
    <n v="1144"/>
    <n v="1"/>
    <n v="88"/>
    <s v="Trek Precaliber 12 Girls - 2017"/>
    <n v="1"/>
    <x v="5"/>
    <n v="1"/>
    <n v="189.99"/>
    <n v="7.0000000000000007E-2"/>
    <n v="176.69069999999999"/>
  </r>
  <r>
    <n v="1145"/>
    <n v="1"/>
    <n v="105"/>
    <s v="Sun Bicycles Streamway 7 - 2017"/>
    <n v="2"/>
    <x v="3"/>
    <n v="2"/>
    <n v="533.99"/>
    <n v="7.0000000000000007E-2"/>
    <n v="993.22140000000002"/>
  </r>
  <r>
    <n v="1146"/>
    <n v="1"/>
    <n v="36"/>
    <s v="Surly Troll Frameset - 2017"/>
    <n v="6"/>
    <x v="1"/>
    <n v="1"/>
    <n v="832.99"/>
    <n v="7.0000000000000007E-2"/>
    <n v="774.6807"/>
  </r>
  <r>
    <n v="1146"/>
    <n v="2"/>
    <n v="64"/>
    <s v="Electra Townie Original 7D - 2017"/>
    <n v="3"/>
    <x v="0"/>
    <n v="1"/>
    <n v="489.99"/>
    <n v="0.2"/>
    <n v="391.99200000000002"/>
  </r>
  <r>
    <n v="1146"/>
    <n v="3"/>
    <n v="11"/>
    <s v="Surly Straggler 650b - 2016"/>
    <n v="4"/>
    <x v="2"/>
    <n v="1"/>
    <n v="1680.99"/>
    <n v="0.2"/>
    <n v="1344.7919999999999"/>
  </r>
  <r>
    <n v="1147"/>
    <n v="1"/>
    <n v="82"/>
    <s v="Electra Amsterdam Original 3i Ladies' - 2017"/>
    <n v="3"/>
    <x v="0"/>
    <n v="1"/>
    <n v="659.99"/>
    <n v="0.2"/>
    <n v="527.99199999999996"/>
  </r>
  <r>
    <n v="1147"/>
    <n v="2"/>
    <n v="39"/>
    <s v="Trek Stache 5 - 2017"/>
    <n v="6"/>
    <x v="1"/>
    <n v="2"/>
    <n v="1499.99"/>
    <n v="0.05"/>
    <n v="2849.9810000000002"/>
  </r>
  <r>
    <n v="1148"/>
    <n v="1"/>
    <n v="82"/>
    <s v="Electra Amsterdam Original 3i Ladies' - 2017"/>
    <n v="3"/>
    <x v="0"/>
    <n v="1"/>
    <n v="659.99"/>
    <n v="7.0000000000000007E-2"/>
    <n v="613.79070000000002"/>
  </r>
  <r>
    <n v="1148"/>
    <n v="2"/>
    <n v="22"/>
    <s v="Electra Girl's Hawaii 1 (16-inch) - 2015/2016"/>
    <n v="1"/>
    <x v="5"/>
    <n v="1"/>
    <n v="269.99"/>
    <n v="7.0000000000000007E-2"/>
    <n v="251.0907"/>
  </r>
  <r>
    <n v="1148"/>
    <n v="3"/>
    <n v="77"/>
    <s v="Electra Glam Punk 3i Ladies' - 2017"/>
    <n v="3"/>
    <x v="0"/>
    <n v="2"/>
    <n v="799.99"/>
    <n v="0.05"/>
    <n v="1519.981"/>
  </r>
  <r>
    <n v="1148"/>
    <n v="4"/>
    <n v="94"/>
    <s v="Haro Shredder Pro 20 - 2017"/>
    <n v="1"/>
    <x v="5"/>
    <n v="2"/>
    <n v="249.99"/>
    <n v="0.1"/>
    <n v="449.98200000000003"/>
  </r>
  <r>
    <n v="1149"/>
    <n v="1"/>
    <n v="98"/>
    <s v="Electra Straight 8 3i (20-inch) - Boy's - 2017"/>
    <n v="1"/>
    <x v="5"/>
    <n v="2"/>
    <n v="489.99"/>
    <n v="7.0000000000000007E-2"/>
    <n v="911.38139999999999"/>
  </r>
  <r>
    <n v="1149"/>
    <n v="2"/>
    <n v="48"/>
    <s v="Trek Emonda S 4 - 2017"/>
    <n v="7"/>
    <x v="6"/>
    <n v="1"/>
    <n v="1499.99"/>
    <n v="0.05"/>
    <n v="1424.9905000000001"/>
  </r>
  <r>
    <n v="1149"/>
    <n v="3"/>
    <n v="58"/>
    <s v="Trek Madone 9.2 - 2017"/>
    <n v="7"/>
    <x v="6"/>
    <n v="1"/>
    <n v="4999.99"/>
    <n v="0.05"/>
    <n v="4749.9904999999999"/>
  </r>
  <r>
    <n v="1149"/>
    <n v="4"/>
    <n v="85"/>
    <s v="Haro Downtown 16 - 2017"/>
    <n v="1"/>
    <x v="5"/>
    <n v="1"/>
    <n v="329.99"/>
    <n v="0.2"/>
    <n v="263.99200000000002"/>
  </r>
  <r>
    <n v="1149"/>
    <n v="5"/>
    <n v="94"/>
    <s v="Haro Shredder Pro 20 - 2017"/>
    <n v="1"/>
    <x v="5"/>
    <n v="1"/>
    <n v="249.99"/>
    <n v="0.1"/>
    <n v="224.99100000000001"/>
  </r>
  <r>
    <n v="1150"/>
    <n v="1"/>
    <n v="29"/>
    <s v="Trek X-Caliber 8 - 2017"/>
    <n v="6"/>
    <x v="1"/>
    <n v="1"/>
    <n v="999.99"/>
    <n v="0.05"/>
    <n v="949.9905"/>
  </r>
  <r>
    <n v="1150"/>
    <n v="2"/>
    <n v="91"/>
    <s v="Trek Precaliber 24 (21-Speed) - Girls - 2017"/>
    <n v="1"/>
    <x v="5"/>
    <n v="1"/>
    <n v="349.99"/>
    <n v="0.05"/>
    <n v="332.4905"/>
  </r>
  <r>
    <n v="1150"/>
    <n v="3"/>
    <n v="104"/>
    <s v="Sun Bicycles Streamway - 2017"/>
    <n v="2"/>
    <x v="3"/>
    <n v="2"/>
    <n v="481.99"/>
    <n v="7.0000000000000007E-2"/>
    <n v="896.50139999999999"/>
  </r>
  <r>
    <n v="1150"/>
    <n v="4"/>
    <n v="21"/>
    <s v="Electra Cruiser 1 (24-Inch) - 2016"/>
    <n v="1"/>
    <x v="5"/>
    <n v="2"/>
    <n v="269.99"/>
    <n v="0.1"/>
    <n v="485.98200000000003"/>
  </r>
  <r>
    <n v="1151"/>
    <n v="1"/>
    <n v="30"/>
    <s v="Surly Ice Cream Truck Frameset - 2017"/>
    <n v="6"/>
    <x v="1"/>
    <n v="2"/>
    <n v="999.99"/>
    <n v="0.05"/>
    <n v="1899.981"/>
  </r>
  <r>
    <n v="1152"/>
    <n v="1"/>
    <n v="58"/>
    <s v="Trek Madone 9.2 - 2017"/>
    <n v="7"/>
    <x v="6"/>
    <n v="1"/>
    <n v="4999.99"/>
    <n v="7.0000000000000007E-2"/>
    <n v="4649.9906999999994"/>
  </r>
  <r>
    <n v="1152"/>
    <n v="2"/>
    <n v="91"/>
    <s v="Trek Precaliber 24 (21-Speed) - Girls - 2017"/>
    <n v="1"/>
    <x v="5"/>
    <n v="2"/>
    <n v="349.99"/>
    <n v="0.2"/>
    <n v="559.98400000000004"/>
  </r>
  <r>
    <n v="1152"/>
    <n v="3"/>
    <n v="24"/>
    <s v="Electra Townie Original 21D - 2016"/>
    <n v="2"/>
    <x v="3"/>
    <n v="1"/>
    <n v="549.99"/>
    <n v="0.05"/>
    <n v="522.4905"/>
  </r>
  <r>
    <n v="1153"/>
    <n v="1"/>
    <n v="103"/>
    <s v="Sun Bicycles Streamway 3 - 2017"/>
    <n v="2"/>
    <x v="3"/>
    <n v="1"/>
    <n v="551.99"/>
    <n v="0.1"/>
    <n v="496.791"/>
  </r>
  <r>
    <n v="1153"/>
    <n v="2"/>
    <n v="6"/>
    <s v="Surly Ice Cream Truck Frameset - 2016"/>
    <n v="6"/>
    <x v="1"/>
    <n v="2"/>
    <n v="469.99"/>
    <n v="0.05"/>
    <n v="892.98099999999999"/>
  </r>
  <r>
    <n v="1154"/>
    <n v="1"/>
    <n v="17"/>
    <s v="Pure Cycles Vine 8-Speed - 2016"/>
    <n v="3"/>
    <x v="0"/>
    <n v="1"/>
    <n v="429"/>
    <n v="0.2"/>
    <n v="343.2"/>
  </r>
  <r>
    <n v="1154"/>
    <n v="2"/>
    <n v="60"/>
    <s v="Sun Bicycles ElectroLite - 2017"/>
    <n v="5"/>
    <x v="4"/>
    <n v="1"/>
    <n v="1559.99"/>
    <n v="7.0000000000000007E-2"/>
    <n v="1450.7907"/>
  </r>
  <r>
    <n v="1154"/>
    <n v="3"/>
    <n v="67"/>
    <s v="Sun Bicycles Revolutions 24 - Girl's - 2017"/>
    <n v="3"/>
    <x v="0"/>
    <n v="2"/>
    <n v="250.99"/>
    <n v="0.2"/>
    <n v="401.584"/>
  </r>
  <r>
    <n v="1155"/>
    <n v="1"/>
    <n v="68"/>
    <s v="Sun Bicycles Cruz 3 - 2017"/>
    <n v="3"/>
    <x v="0"/>
    <n v="2"/>
    <n v="449.99"/>
    <n v="0.05"/>
    <n v="854.98099999999999"/>
  </r>
  <r>
    <n v="1155"/>
    <n v="2"/>
    <n v="6"/>
    <s v="Surly Ice Cream Truck Frameset - 2016"/>
    <n v="6"/>
    <x v="1"/>
    <n v="2"/>
    <n v="469.99"/>
    <n v="0.1"/>
    <n v="845.98199999999997"/>
  </r>
  <r>
    <n v="1155"/>
    <n v="3"/>
    <n v="35"/>
    <s v="Sun Bicycles Spider 3i - 2017"/>
    <n v="6"/>
    <x v="1"/>
    <n v="1"/>
    <n v="832.99"/>
    <n v="7.0000000000000007E-2"/>
    <n v="774.6807"/>
  </r>
  <r>
    <n v="1155"/>
    <n v="4"/>
    <n v="77"/>
    <s v="Electra Glam Punk 3i Ladies' - 2017"/>
    <n v="3"/>
    <x v="0"/>
    <n v="2"/>
    <n v="799.99"/>
    <n v="0.05"/>
    <n v="1519.981"/>
  </r>
  <r>
    <n v="1156"/>
    <n v="1"/>
    <n v="111"/>
    <s v="Sun Bicycles Drifter 7 - Women's - 2017"/>
    <n v="2"/>
    <x v="3"/>
    <n v="2"/>
    <n v="470.99"/>
    <n v="0.05"/>
    <n v="894.88099999999997"/>
  </r>
  <r>
    <n v="1156"/>
    <n v="2"/>
    <n v="86"/>
    <s v="Trek Girl's Kickster - 2017"/>
    <n v="1"/>
    <x v="5"/>
    <n v="1"/>
    <n v="149.99"/>
    <n v="0.05"/>
    <n v="142.4905"/>
  </r>
  <r>
    <n v="1157"/>
    <n v="1"/>
    <n v="20"/>
    <s v="Electra Townie Original 7D EQ - Women's - 2016"/>
    <n v="3"/>
    <x v="0"/>
    <n v="1"/>
    <n v="599.99"/>
    <n v="0.1"/>
    <n v="539.99099999999999"/>
  </r>
  <r>
    <n v="1157"/>
    <n v="2"/>
    <n v="31"/>
    <s v="Surly Wednesday - 2017"/>
    <n v="6"/>
    <x v="1"/>
    <n v="2"/>
    <n v="1632.99"/>
    <n v="0.1"/>
    <n v="2939.3820000000001"/>
  </r>
  <r>
    <n v="1157"/>
    <n v="3"/>
    <n v="37"/>
    <s v="Haro Flightline One ST - 2017"/>
    <n v="6"/>
    <x v="1"/>
    <n v="2"/>
    <n v="379.99"/>
    <n v="0.2"/>
    <n v="607.98400000000004"/>
  </r>
  <r>
    <n v="1157"/>
    <n v="4"/>
    <n v="41"/>
    <s v="Haro Shift R3 - 2017"/>
    <n v="6"/>
    <x v="1"/>
    <n v="1"/>
    <n v="1469.99"/>
    <n v="7.0000000000000007E-2"/>
    <n v="1367.0907"/>
  </r>
  <r>
    <n v="1158"/>
    <n v="1"/>
    <n v="95"/>
    <s v="Electra Girl's Hawaii 1 16&quot; - 2017"/>
    <n v="1"/>
    <x v="5"/>
    <n v="2"/>
    <n v="299.99"/>
    <n v="0.1"/>
    <n v="539.98199999999997"/>
  </r>
  <r>
    <n v="1158"/>
    <n v="2"/>
    <n v="74"/>
    <s v="Electra Cruiser Lux 1 - 2017"/>
    <n v="3"/>
    <x v="0"/>
    <n v="1"/>
    <n v="439.99"/>
    <n v="7.0000000000000007E-2"/>
    <n v="409.19069999999999"/>
  </r>
  <r>
    <n v="1159"/>
    <n v="1"/>
    <n v="12"/>
    <s v="Electra Townie Original 21D - 2016"/>
    <n v="3"/>
    <x v="0"/>
    <n v="2"/>
    <n v="549.99"/>
    <n v="0.1"/>
    <n v="989.98199999999997"/>
  </r>
  <r>
    <n v="1160"/>
    <n v="1"/>
    <n v="41"/>
    <s v="Haro Shift R3 - 2017"/>
    <n v="6"/>
    <x v="1"/>
    <n v="1"/>
    <n v="1469.99"/>
    <n v="0.1"/>
    <n v="1322.991"/>
  </r>
  <r>
    <n v="1160"/>
    <n v="2"/>
    <n v="9"/>
    <s v="Trek Conduit+ - 2016"/>
    <n v="5"/>
    <x v="4"/>
    <n v="1"/>
    <n v="2999.99"/>
    <n v="0.2"/>
    <n v="2399.9919999999997"/>
  </r>
  <r>
    <n v="1161"/>
    <n v="1"/>
    <n v="71"/>
    <s v="Sun Bicycles Atlas X-Type - 2017"/>
    <n v="3"/>
    <x v="0"/>
    <n v="2"/>
    <n v="416.99"/>
    <n v="0.1"/>
    <n v="750.58199999999999"/>
  </r>
  <r>
    <n v="1161"/>
    <n v="2"/>
    <n v="38"/>
    <s v="Haro Flightline Two 26 Plus - 2017"/>
    <n v="6"/>
    <x v="1"/>
    <n v="1"/>
    <n v="549.99"/>
    <n v="7.0000000000000007E-2"/>
    <n v="511.4907"/>
  </r>
  <r>
    <n v="1161"/>
    <n v="3"/>
    <n v="22"/>
    <s v="Electra Girl's Hawaii 1 (16-inch) - 2015/2016"/>
    <n v="1"/>
    <x v="5"/>
    <n v="1"/>
    <n v="269.99"/>
    <n v="0.2"/>
    <n v="215.99200000000002"/>
  </r>
  <r>
    <n v="1161"/>
    <n v="4"/>
    <n v="29"/>
    <s v="Trek X-Caliber 8 - 2017"/>
    <n v="6"/>
    <x v="1"/>
    <n v="2"/>
    <n v="999.99"/>
    <n v="0.1"/>
    <n v="1799.982"/>
  </r>
  <r>
    <n v="1162"/>
    <n v="1"/>
    <n v="88"/>
    <s v="Trek Precaliber 12 Girls - 2017"/>
    <n v="1"/>
    <x v="5"/>
    <n v="1"/>
    <n v="189.99"/>
    <n v="0.2"/>
    <n v="151.99200000000002"/>
  </r>
  <r>
    <n v="1162"/>
    <n v="2"/>
    <n v="40"/>
    <s v="Trek Fuel EX 9.8 29 - 2017"/>
    <n v="6"/>
    <x v="1"/>
    <n v="2"/>
    <n v="4999.99"/>
    <n v="0.2"/>
    <n v="7999.9839999999995"/>
  </r>
  <r>
    <n v="1162"/>
    <n v="3"/>
    <n v="86"/>
    <s v="Trek Girl's Kickster - 2017"/>
    <n v="1"/>
    <x v="5"/>
    <n v="1"/>
    <n v="149.99"/>
    <n v="0.1"/>
    <n v="134.99100000000001"/>
  </r>
  <r>
    <n v="1162"/>
    <n v="4"/>
    <n v="41"/>
    <s v="Haro Shift R3 - 2017"/>
    <n v="6"/>
    <x v="1"/>
    <n v="1"/>
    <n v="1469.99"/>
    <n v="0.05"/>
    <n v="1396.4905000000001"/>
  </r>
  <r>
    <n v="1162"/>
    <n v="5"/>
    <n v="12"/>
    <s v="Electra Townie Original 21D - 2016"/>
    <n v="3"/>
    <x v="0"/>
    <n v="2"/>
    <n v="549.99"/>
    <n v="0.05"/>
    <n v="1044.981"/>
  </r>
  <r>
    <n v="1163"/>
    <n v="1"/>
    <n v="63"/>
    <s v="Trek Boone Race Shop Limited - 2017"/>
    <n v="4"/>
    <x v="2"/>
    <n v="2"/>
    <n v="3499.99"/>
    <n v="0.05"/>
    <n v="6649.9809999999998"/>
  </r>
  <r>
    <n v="1163"/>
    <n v="2"/>
    <n v="53"/>
    <s v="Surly Ogre Frameset - 2017"/>
    <n v="7"/>
    <x v="6"/>
    <n v="2"/>
    <n v="749.99"/>
    <n v="0.1"/>
    <n v="1349.982"/>
  </r>
  <r>
    <n v="1164"/>
    <n v="1"/>
    <n v="8"/>
    <s v="Trek Remedy 29 Carbon Frameset - 2016"/>
    <n v="6"/>
    <x v="1"/>
    <n v="1"/>
    <n v="1799.99"/>
    <n v="0.2"/>
    <n v="1439.992"/>
  </r>
  <r>
    <n v="1164"/>
    <n v="2"/>
    <n v="78"/>
    <s v="Sun Bicycles Biscayne Tandem CB - 2017"/>
    <n v="3"/>
    <x v="0"/>
    <n v="1"/>
    <n v="647.99"/>
    <n v="0.05"/>
    <n v="615.59050000000002"/>
  </r>
  <r>
    <n v="1164"/>
    <n v="3"/>
    <n v="103"/>
    <s v="Sun Bicycles Streamway 3 - 2017"/>
    <n v="2"/>
    <x v="3"/>
    <n v="2"/>
    <n v="551.99"/>
    <n v="0.05"/>
    <n v="1048.7809999999999"/>
  </r>
  <r>
    <n v="1164"/>
    <n v="4"/>
    <n v="44"/>
    <s v="Haro SR 1.1 - 2017"/>
    <n v="6"/>
    <x v="1"/>
    <n v="2"/>
    <n v="539.99"/>
    <n v="0.05"/>
    <n v="1025.981"/>
  </r>
  <r>
    <n v="1165"/>
    <n v="1"/>
    <n v="65"/>
    <s v="Sun Bicycles Lil Bolt Type-R - 2017"/>
    <n v="3"/>
    <x v="0"/>
    <n v="2"/>
    <n v="346.99"/>
    <n v="7.0000000000000007E-2"/>
    <n v="645.40139999999997"/>
  </r>
  <r>
    <n v="1165"/>
    <n v="2"/>
    <n v="68"/>
    <s v="Sun Bicycles Cruz 3 - 2017"/>
    <n v="3"/>
    <x v="0"/>
    <n v="1"/>
    <n v="449.99"/>
    <n v="7.0000000000000007E-2"/>
    <n v="418.4907"/>
  </r>
  <r>
    <n v="1166"/>
    <n v="1"/>
    <n v="103"/>
    <s v="Sun Bicycles Streamway 3 - 2017"/>
    <n v="2"/>
    <x v="3"/>
    <n v="2"/>
    <n v="551.99"/>
    <n v="7.0000000000000007E-2"/>
    <n v="1026.7013999999999"/>
  </r>
  <r>
    <n v="1167"/>
    <n v="1"/>
    <n v="29"/>
    <s v="Trek X-Caliber 8 - 2017"/>
    <n v="6"/>
    <x v="1"/>
    <n v="2"/>
    <n v="999.99"/>
    <n v="0.05"/>
    <n v="1899.981"/>
  </r>
  <r>
    <n v="1167"/>
    <n v="2"/>
    <n v="81"/>
    <s v="Electra Amsterdam Fashion 7i Ladies' - 2017"/>
    <n v="3"/>
    <x v="0"/>
    <n v="2"/>
    <n v="1099.99"/>
    <n v="0.1"/>
    <n v="1979.982"/>
  </r>
  <r>
    <n v="1167"/>
    <n v="3"/>
    <n v="68"/>
    <s v="Sun Bicycles Cruz 3 - 2017"/>
    <n v="3"/>
    <x v="0"/>
    <n v="1"/>
    <n v="449.99"/>
    <n v="7.0000000000000007E-2"/>
    <n v="418.4907"/>
  </r>
  <r>
    <n v="1168"/>
    <n v="1"/>
    <n v="23"/>
    <s v="Electra Girl's Hawaii 1 (20-inch) - 2015/2016"/>
    <n v="1"/>
    <x v="5"/>
    <n v="2"/>
    <n v="299.99"/>
    <n v="0.1"/>
    <n v="539.98199999999997"/>
  </r>
  <r>
    <n v="1168"/>
    <n v="2"/>
    <n v="82"/>
    <s v="Electra Amsterdam Original 3i Ladies' - 2017"/>
    <n v="3"/>
    <x v="0"/>
    <n v="1"/>
    <n v="659.99"/>
    <n v="0.2"/>
    <n v="527.99199999999996"/>
  </r>
  <r>
    <n v="1168"/>
    <n v="3"/>
    <n v="51"/>
    <s v="Trek Silque SLR 8 Women's - 2017"/>
    <n v="7"/>
    <x v="6"/>
    <n v="1"/>
    <n v="6499.99"/>
    <n v="7.0000000000000007E-2"/>
    <n v="6044.9906999999994"/>
  </r>
  <r>
    <n v="1168"/>
    <n v="4"/>
    <n v="107"/>
    <s v="Sun Bicycles Cruz 7 - 2017"/>
    <n v="2"/>
    <x v="3"/>
    <n v="2"/>
    <n v="416.99"/>
    <n v="0.2"/>
    <n v="667.18399999999997"/>
  </r>
  <r>
    <n v="1168"/>
    <n v="5"/>
    <n v="15"/>
    <s v="Electra Moto 1 - 2016"/>
    <n v="3"/>
    <x v="0"/>
    <n v="2"/>
    <n v="529.99"/>
    <n v="0.05"/>
    <n v="1006.981"/>
  </r>
  <r>
    <n v="1169"/>
    <n v="1"/>
    <n v="91"/>
    <s v="Trek Precaliber 24 (21-Speed) - Girls - 2017"/>
    <n v="1"/>
    <x v="5"/>
    <n v="2"/>
    <n v="349.99"/>
    <n v="0.2"/>
    <n v="559.98400000000004"/>
  </r>
  <r>
    <n v="1169"/>
    <n v="2"/>
    <n v="51"/>
    <s v="Trek Silque SLR 8 Women's - 2017"/>
    <n v="7"/>
    <x v="6"/>
    <n v="1"/>
    <n v="6499.99"/>
    <n v="0.05"/>
    <n v="6174.9904999999999"/>
  </r>
  <r>
    <n v="1169"/>
    <n v="3"/>
    <n v="58"/>
    <s v="Trek Madone 9.2 - 2017"/>
    <n v="7"/>
    <x v="6"/>
    <n v="2"/>
    <n v="4999.99"/>
    <n v="0.1"/>
    <n v="8999.982"/>
  </r>
  <r>
    <n v="1169"/>
    <n v="4"/>
    <n v="81"/>
    <s v="Electra Amsterdam Fashion 7i Ladies' - 2017"/>
    <n v="3"/>
    <x v="0"/>
    <n v="2"/>
    <n v="1099.99"/>
    <n v="0.2"/>
    <n v="1759.9839999999999"/>
  </r>
  <r>
    <n v="1170"/>
    <n v="1"/>
    <n v="15"/>
    <s v="Electra Moto 1 - 2016"/>
    <n v="3"/>
    <x v="0"/>
    <n v="1"/>
    <n v="529.99"/>
    <n v="0.1"/>
    <n v="476.99099999999999"/>
  </r>
  <r>
    <n v="1170"/>
    <n v="2"/>
    <n v="47"/>
    <s v="Trek Remedy 9.8 - 2017"/>
    <n v="6"/>
    <x v="1"/>
    <n v="2"/>
    <n v="5299.99"/>
    <n v="0.05"/>
    <n v="10069.981"/>
  </r>
  <r>
    <n v="1170"/>
    <n v="3"/>
    <n v="62"/>
    <s v="Trek Boone 7 - 2017"/>
    <n v="4"/>
    <x v="2"/>
    <n v="2"/>
    <n v="3499.99"/>
    <n v="0.1"/>
    <n v="6299.982"/>
  </r>
  <r>
    <n v="1171"/>
    <n v="1"/>
    <n v="94"/>
    <s v="Haro Shredder Pro 20 - 2017"/>
    <n v="1"/>
    <x v="5"/>
    <n v="2"/>
    <n v="249.99"/>
    <n v="0.2"/>
    <n v="399.98400000000004"/>
  </r>
  <r>
    <n v="1171"/>
    <n v="2"/>
    <n v="92"/>
    <s v="Haro Shredder 20 - 2017"/>
    <n v="1"/>
    <x v="5"/>
    <n v="2"/>
    <n v="209.99"/>
    <n v="7.0000000000000007E-2"/>
    <n v="390.58140000000003"/>
  </r>
  <r>
    <n v="1171"/>
    <n v="3"/>
    <n v="10"/>
    <s v="Surly Straggler - 2016"/>
    <n v="4"/>
    <x v="2"/>
    <n v="2"/>
    <n v="1549"/>
    <n v="7.0000000000000007E-2"/>
    <n v="2881.14"/>
  </r>
  <r>
    <n v="1172"/>
    <n v="1"/>
    <n v="78"/>
    <s v="Sun Bicycles Biscayne Tandem CB - 2017"/>
    <n v="3"/>
    <x v="0"/>
    <n v="2"/>
    <n v="647.99"/>
    <n v="7.0000000000000007E-2"/>
    <n v="1205.2614000000001"/>
  </r>
  <r>
    <n v="1172"/>
    <n v="2"/>
    <n v="104"/>
    <s v="Sun Bicycles Streamway - 2017"/>
    <n v="2"/>
    <x v="3"/>
    <n v="1"/>
    <n v="481.99"/>
    <n v="0.2"/>
    <n v="385.59199999999998"/>
  </r>
  <r>
    <n v="1173"/>
    <n v="1"/>
    <n v="95"/>
    <s v="Electra Girl's Hawaii 1 16&quot; - 2017"/>
    <n v="1"/>
    <x v="5"/>
    <n v="1"/>
    <n v="299.99"/>
    <n v="0.2"/>
    <n v="239.99200000000002"/>
  </r>
  <r>
    <n v="1173"/>
    <n v="2"/>
    <n v="17"/>
    <s v="Pure Cycles Vine 8-Speed - 2016"/>
    <n v="3"/>
    <x v="0"/>
    <n v="1"/>
    <n v="429"/>
    <n v="7.0000000000000007E-2"/>
    <n v="398.97"/>
  </r>
  <r>
    <n v="1173"/>
    <n v="3"/>
    <n v="68"/>
    <s v="Sun Bicycles Cruz 3 - 2017"/>
    <n v="3"/>
    <x v="0"/>
    <n v="1"/>
    <n v="449.99"/>
    <n v="0.05"/>
    <n v="427.4905"/>
  </r>
  <r>
    <n v="1173"/>
    <n v="4"/>
    <n v="103"/>
    <s v="Sun Bicycles Streamway 3 - 2017"/>
    <n v="2"/>
    <x v="3"/>
    <n v="2"/>
    <n v="551.99"/>
    <n v="0.2"/>
    <n v="883.18399999999997"/>
  </r>
  <r>
    <n v="1174"/>
    <n v="1"/>
    <n v="110"/>
    <s v="Sun Bicycles Drifter 7 - 2017"/>
    <n v="2"/>
    <x v="3"/>
    <n v="2"/>
    <n v="470.99"/>
    <n v="0.2"/>
    <n v="753.58400000000006"/>
  </r>
  <r>
    <n v="1174"/>
    <n v="2"/>
    <n v="6"/>
    <s v="Surly Ice Cream Truck Frameset - 2016"/>
    <n v="6"/>
    <x v="1"/>
    <n v="1"/>
    <n v="469.99"/>
    <n v="7.0000000000000007E-2"/>
    <n v="437.09070000000003"/>
  </r>
  <r>
    <n v="1174"/>
    <n v="3"/>
    <n v="106"/>
    <s v="Sun Bicycles Cruz 3 - 2017"/>
    <n v="2"/>
    <x v="3"/>
    <n v="1"/>
    <n v="449.99"/>
    <n v="0.1"/>
    <n v="404.99099999999999"/>
  </r>
  <r>
    <n v="1175"/>
    <n v="1"/>
    <n v="58"/>
    <s v="Trek Madone 9.2 - 2017"/>
    <n v="7"/>
    <x v="6"/>
    <n v="2"/>
    <n v="4999.99"/>
    <n v="7.0000000000000007E-2"/>
    <n v="9299.9813999999988"/>
  </r>
  <r>
    <n v="1175"/>
    <n v="2"/>
    <n v="65"/>
    <s v="Sun Bicycles Lil Bolt Type-R - 2017"/>
    <n v="3"/>
    <x v="0"/>
    <n v="1"/>
    <n v="346.99"/>
    <n v="0.2"/>
    <n v="277.59199999999998"/>
  </r>
  <r>
    <n v="1175"/>
    <n v="3"/>
    <n v="20"/>
    <s v="Electra Townie Original 7D EQ - Women's - 2016"/>
    <n v="3"/>
    <x v="0"/>
    <n v="1"/>
    <n v="599.99"/>
    <n v="0.05"/>
    <n v="569.9905"/>
  </r>
  <r>
    <n v="1175"/>
    <n v="4"/>
    <n v="3"/>
    <s v="Surly Wednesday Frameset - 2016"/>
    <n v="6"/>
    <x v="1"/>
    <n v="1"/>
    <n v="999.99"/>
    <n v="0.05"/>
    <n v="949.9905"/>
  </r>
  <r>
    <n v="1175"/>
    <n v="5"/>
    <n v="9"/>
    <s v="Trek Conduit+ - 2016"/>
    <n v="5"/>
    <x v="4"/>
    <n v="1"/>
    <n v="2999.99"/>
    <n v="0.05"/>
    <n v="2849.9904999999999"/>
  </r>
  <r>
    <n v="1176"/>
    <n v="1"/>
    <n v="87"/>
    <s v="Trek Precaliber 12 Boys - 2017"/>
    <n v="1"/>
    <x v="5"/>
    <n v="1"/>
    <n v="189.99"/>
    <n v="0.1"/>
    <n v="170.99100000000001"/>
  </r>
  <r>
    <n v="1177"/>
    <n v="1"/>
    <n v="62"/>
    <s v="Trek Boone 7 - 2017"/>
    <n v="4"/>
    <x v="2"/>
    <n v="2"/>
    <n v="3499.99"/>
    <n v="7.0000000000000007E-2"/>
    <n v="6509.9813999999997"/>
  </r>
  <r>
    <n v="1177"/>
    <n v="2"/>
    <n v="74"/>
    <s v="Electra Cruiser Lux 1 - 2017"/>
    <n v="3"/>
    <x v="0"/>
    <n v="1"/>
    <n v="439.99"/>
    <n v="0.1"/>
    <n v="395.99099999999999"/>
  </r>
  <r>
    <n v="1178"/>
    <n v="1"/>
    <n v="46"/>
    <s v="Haro SR 1.3 - 2017"/>
    <n v="6"/>
    <x v="1"/>
    <n v="1"/>
    <n v="1409.99"/>
    <n v="7.0000000000000007E-2"/>
    <n v="1311.2907"/>
  </r>
  <r>
    <n v="1178"/>
    <n v="2"/>
    <n v="77"/>
    <s v="Electra Glam Punk 3i Ladies' - 2017"/>
    <n v="3"/>
    <x v="0"/>
    <n v="1"/>
    <n v="799.99"/>
    <n v="0.2"/>
    <n v="639.99199999999996"/>
  </r>
  <r>
    <n v="1178"/>
    <n v="3"/>
    <n v="108"/>
    <s v="Sun Bicycles Cruz 3 - Women's - 2017"/>
    <n v="2"/>
    <x v="3"/>
    <n v="1"/>
    <n v="449.99"/>
    <n v="0.05"/>
    <n v="427.4905"/>
  </r>
  <r>
    <n v="1178"/>
    <n v="4"/>
    <n v="13"/>
    <s v="Electra Cruiser 1 (24-Inch) - 2016"/>
    <n v="3"/>
    <x v="0"/>
    <n v="2"/>
    <n v="269.99"/>
    <n v="0.05"/>
    <n v="512.98099999999999"/>
  </r>
  <r>
    <n v="1179"/>
    <n v="1"/>
    <n v="93"/>
    <s v="Haro Shredder 20 Girls - 2017"/>
    <n v="1"/>
    <x v="5"/>
    <n v="2"/>
    <n v="209.99"/>
    <n v="0.05"/>
    <n v="398.98099999999999"/>
  </r>
  <r>
    <n v="1179"/>
    <n v="2"/>
    <n v="88"/>
    <s v="Trek Precaliber 12 Girls - 2017"/>
    <n v="1"/>
    <x v="5"/>
    <n v="2"/>
    <n v="189.99"/>
    <n v="0.05"/>
    <n v="360.98099999999999"/>
  </r>
  <r>
    <n v="1179"/>
    <n v="3"/>
    <n v="33"/>
    <s v="Surly Wednesday Frameset - 2017"/>
    <n v="6"/>
    <x v="1"/>
    <n v="2"/>
    <n v="469.99"/>
    <n v="0.2"/>
    <n v="751.98400000000004"/>
  </r>
  <r>
    <n v="1179"/>
    <n v="4"/>
    <n v="50"/>
    <s v="Trek Silque SLR 7 Women's - 2017"/>
    <n v="7"/>
    <x v="6"/>
    <n v="1"/>
    <n v="5999.99"/>
    <n v="7.0000000000000007E-2"/>
    <n v="5579.9906999999994"/>
  </r>
  <r>
    <n v="1180"/>
    <n v="1"/>
    <n v="66"/>
    <s v="Sun Bicycles Revolutions 24 - 2017"/>
    <n v="3"/>
    <x v="0"/>
    <n v="2"/>
    <n v="250.99"/>
    <n v="7.0000000000000007E-2"/>
    <n v="466.84140000000002"/>
  </r>
  <r>
    <n v="1181"/>
    <n v="1"/>
    <n v="98"/>
    <s v="Electra Straight 8 3i (20-inch) - Boy's - 2017"/>
    <n v="1"/>
    <x v="5"/>
    <n v="1"/>
    <n v="489.99"/>
    <n v="0.1"/>
    <n v="440.99099999999999"/>
  </r>
  <r>
    <n v="1182"/>
    <n v="1"/>
    <n v="35"/>
    <s v="Sun Bicycles Spider 3i - 2017"/>
    <n v="6"/>
    <x v="1"/>
    <n v="1"/>
    <n v="832.99"/>
    <n v="0.1"/>
    <n v="749.69100000000003"/>
  </r>
  <r>
    <n v="1182"/>
    <n v="2"/>
    <n v="49"/>
    <s v="Trek Domane SL 6 - 2017"/>
    <n v="7"/>
    <x v="6"/>
    <n v="2"/>
    <n v="3499.99"/>
    <n v="0.1"/>
    <n v="6299.982"/>
  </r>
  <r>
    <n v="1183"/>
    <n v="1"/>
    <n v="63"/>
    <s v="Trek Boone Race Shop Limited - 2017"/>
    <n v="4"/>
    <x v="2"/>
    <n v="1"/>
    <n v="3499.99"/>
    <n v="0.2"/>
    <n v="2799.9919999999997"/>
  </r>
  <r>
    <n v="1183"/>
    <n v="2"/>
    <n v="80"/>
    <s v="Sun Bicycles Brickell Tandem CB - 2017"/>
    <n v="3"/>
    <x v="0"/>
    <n v="2"/>
    <n v="761.99"/>
    <n v="0.2"/>
    <n v="1219.184"/>
  </r>
  <r>
    <n v="1183"/>
    <n v="3"/>
    <n v="6"/>
    <s v="Surly Ice Cream Truck Frameset - 2016"/>
    <n v="6"/>
    <x v="1"/>
    <n v="2"/>
    <n v="469.99"/>
    <n v="0.05"/>
    <n v="892.98099999999999"/>
  </r>
  <r>
    <n v="1184"/>
    <n v="1"/>
    <n v="16"/>
    <s v="Electra Townie Original 7D EQ - 2016"/>
    <n v="3"/>
    <x v="0"/>
    <n v="2"/>
    <n v="599.99"/>
    <n v="0.05"/>
    <n v="1139.981"/>
  </r>
  <r>
    <n v="1184"/>
    <n v="2"/>
    <n v="71"/>
    <s v="Sun Bicycles Atlas X-Type - 2017"/>
    <n v="3"/>
    <x v="0"/>
    <n v="1"/>
    <n v="416.99"/>
    <n v="0.05"/>
    <n v="396.14050000000003"/>
  </r>
  <r>
    <n v="1185"/>
    <n v="1"/>
    <n v="19"/>
    <s v="Pure Cycles William 3-Speed - 2016"/>
    <n v="3"/>
    <x v="0"/>
    <n v="2"/>
    <n v="449"/>
    <n v="7.0000000000000007E-2"/>
    <n v="835.14"/>
  </r>
  <r>
    <n v="1185"/>
    <n v="2"/>
    <n v="21"/>
    <s v="Electra Cruiser 1 (24-Inch) - 2016"/>
    <n v="1"/>
    <x v="5"/>
    <n v="1"/>
    <n v="269.99"/>
    <n v="7.0000000000000007E-2"/>
    <n v="251.0907"/>
  </r>
  <r>
    <n v="1185"/>
    <n v="3"/>
    <n v="63"/>
    <s v="Trek Boone Race Shop Limited - 2017"/>
    <n v="4"/>
    <x v="2"/>
    <n v="2"/>
    <n v="3499.99"/>
    <n v="0.1"/>
    <n v="6299.982"/>
  </r>
  <r>
    <n v="1185"/>
    <n v="4"/>
    <n v="80"/>
    <s v="Sun Bicycles Brickell Tandem CB - 2017"/>
    <n v="3"/>
    <x v="0"/>
    <n v="1"/>
    <n v="761.99"/>
    <n v="0.2"/>
    <n v="609.59199999999998"/>
  </r>
  <r>
    <n v="1186"/>
    <n v="1"/>
    <n v="48"/>
    <s v="Trek Emonda S 4 - 2017"/>
    <n v="7"/>
    <x v="6"/>
    <n v="2"/>
    <n v="1499.99"/>
    <n v="0.1"/>
    <n v="2699.982"/>
  </r>
  <r>
    <n v="1186"/>
    <n v="2"/>
    <n v="49"/>
    <s v="Trek Domane SL 6 - 2017"/>
    <n v="7"/>
    <x v="6"/>
    <n v="1"/>
    <n v="3499.99"/>
    <n v="7.0000000000000007E-2"/>
    <n v="3254.9906999999998"/>
  </r>
  <r>
    <n v="1186"/>
    <n v="3"/>
    <n v="106"/>
    <s v="Sun Bicycles Cruz 3 - 2017"/>
    <n v="2"/>
    <x v="3"/>
    <n v="1"/>
    <n v="449.99"/>
    <n v="0.1"/>
    <n v="404.99099999999999"/>
  </r>
  <r>
    <n v="1186"/>
    <n v="4"/>
    <n v="27"/>
    <s v="Surly Big Dummy Frameset - 2017"/>
    <n v="6"/>
    <x v="1"/>
    <n v="1"/>
    <n v="999.99"/>
    <n v="0.2"/>
    <n v="799.99199999999996"/>
  </r>
  <r>
    <n v="1187"/>
    <n v="1"/>
    <n v="36"/>
    <s v="Surly Troll Frameset - 2017"/>
    <n v="6"/>
    <x v="1"/>
    <n v="2"/>
    <n v="832.99"/>
    <n v="0.1"/>
    <n v="1499.3820000000001"/>
  </r>
  <r>
    <n v="1187"/>
    <n v="2"/>
    <n v="79"/>
    <s v="Sun Bicycles Boardwalk (24-inch Wheels) - 2017"/>
    <n v="3"/>
    <x v="0"/>
    <n v="1"/>
    <n v="402.99"/>
    <n v="7.0000000000000007E-2"/>
    <n v="374.78070000000002"/>
  </r>
  <r>
    <n v="1187"/>
    <n v="3"/>
    <n v="4"/>
    <s v="Trek Fuel EX 8 29 - 2016"/>
    <n v="6"/>
    <x v="1"/>
    <n v="1"/>
    <n v="2899.99"/>
    <n v="0.1"/>
    <n v="2609.991"/>
  </r>
  <r>
    <n v="1187"/>
    <n v="4"/>
    <n v="53"/>
    <s v="Surly Ogre Frameset - 2017"/>
    <n v="7"/>
    <x v="6"/>
    <n v="2"/>
    <n v="749.99"/>
    <n v="0.1"/>
    <n v="1349.982"/>
  </r>
  <r>
    <n v="1188"/>
    <n v="1"/>
    <n v="66"/>
    <s v="Sun Bicycles Revolutions 24 - 2017"/>
    <n v="3"/>
    <x v="0"/>
    <n v="2"/>
    <n v="250.99"/>
    <n v="0.1"/>
    <n v="451.78200000000004"/>
  </r>
  <r>
    <n v="1188"/>
    <n v="2"/>
    <n v="91"/>
    <s v="Trek Precaliber 24 (21-Speed) - Girls - 2017"/>
    <n v="1"/>
    <x v="5"/>
    <n v="2"/>
    <n v="349.99"/>
    <n v="0.2"/>
    <n v="559.98400000000004"/>
  </r>
  <r>
    <n v="1188"/>
    <n v="3"/>
    <n v="87"/>
    <s v="Trek Precaliber 12 Boys - 2017"/>
    <n v="1"/>
    <x v="5"/>
    <n v="2"/>
    <n v="189.99"/>
    <n v="0.1"/>
    <n v="341.98200000000003"/>
  </r>
  <r>
    <n v="1189"/>
    <n v="1"/>
    <n v="55"/>
    <s v="Trek Domane S 6 - 2017"/>
    <n v="7"/>
    <x v="6"/>
    <n v="1"/>
    <n v="2699.99"/>
    <n v="7.0000000000000007E-2"/>
    <n v="2510.9906999999998"/>
  </r>
  <r>
    <n v="1189"/>
    <n v="2"/>
    <n v="102"/>
    <s v="Electra Townie Original 7D - 2017"/>
    <n v="2"/>
    <x v="3"/>
    <n v="2"/>
    <n v="489.99"/>
    <n v="0.1"/>
    <n v="881.98199999999997"/>
  </r>
  <r>
    <n v="1189"/>
    <n v="3"/>
    <n v="40"/>
    <s v="Trek Fuel EX 9.8 29 - 2017"/>
    <n v="6"/>
    <x v="1"/>
    <n v="2"/>
    <n v="4999.99"/>
    <n v="0.1"/>
    <n v="8999.982"/>
  </r>
  <r>
    <n v="1190"/>
    <n v="1"/>
    <n v="71"/>
    <s v="Sun Bicycles Atlas X-Type - 2017"/>
    <n v="3"/>
    <x v="0"/>
    <n v="1"/>
    <n v="416.99"/>
    <n v="7.0000000000000007E-2"/>
    <n v="387.80070000000001"/>
  </r>
  <r>
    <n v="1191"/>
    <n v="1"/>
    <n v="40"/>
    <s v="Trek Fuel EX 9.8 29 - 2017"/>
    <n v="6"/>
    <x v="1"/>
    <n v="2"/>
    <n v="4999.99"/>
    <n v="0.1"/>
    <n v="8999.982"/>
  </r>
  <r>
    <n v="1191"/>
    <n v="2"/>
    <n v="89"/>
    <s v="Trek Precaliber 16 Boys - 2017"/>
    <n v="1"/>
    <x v="5"/>
    <n v="2"/>
    <n v="209.99"/>
    <n v="0.1"/>
    <n v="377.98200000000003"/>
  </r>
  <r>
    <n v="1191"/>
    <n v="3"/>
    <n v="100"/>
    <s v="Electra Townie 3i EQ (20-inch) - Boys' - 2017"/>
    <n v="1"/>
    <x v="5"/>
    <n v="1"/>
    <n v="489.99"/>
    <n v="7.0000000000000007E-2"/>
    <n v="455.69069999999999"/>
  </r>
  <r>
    <n v="1192"/>
    <n v="1"/>
    <n v="24"/>
    <s v="Electra Townie Original 21D - 2016"/>
    <n v="2"/>
    <x v="3"/>
    <n v="2"/>
    <n v="549.99"/>
    <n v="0.1"/>
    <n v="989.98199999999997"/>
  </r>
  <r>
    <n v="1192"/>
    <n v="2"/>
    <n v="88"/>
    <s v="Trek Precaliber 12 Girls - 2017"/>
    <n v="1"/>
    <x v="5"/>
    <n v="2"/>
    <n v="189.99"/>
    <n v="7.0000000000000007E-2"/>
    <n v="353.38139999999999"/>
  </r>
  <r>
    <n v="1192"/>
    <n v="3"/>
    <n v="37"/>
    <s v="Haro Flightline One ST - 2017"/>
    <n v="6"/>
    <x v="1"/>
    <n v="2"/>
    <n v="379.99"/>
    <n v="0.2"/>
    <n v="607.98400000000004"/>
  </r>
  <r>
    <n v="1193"/>
    <n v="1"/>
    <n v="83"/>
    <s v="Trek Boy's Kickster - 2015/2017"/>
    <n v="1"/>
    <x v="5"/>
    <n v="2"/>
    <n v="149.99"/>
    <n v="0.05"/>
    <n v="284.98099999999999"/>
  </r>
  <r>
    <n v="1193"/>
    <n v="2"/>
    <n v="27"/>
    <s v="Surly Big Dummy Frameset - 2017"/>
    <n v="6"/>
    <x v="1"/>
    <n v="1"/>
    <n v="999.99"/>
    <n v="0.05"/>
    <n v="949.9905"/>
  </r>
  <r>
    <n v="1194"/>
    <n v="1"/>
    <n v="71"/>
    <s v="Sun Bicycles Atlas X-Type - 2017"/>
    <n v="3"/>
    <x v="0"/>
    <n v="1"/>
    <n v="416.99"/>
    <n v="0.05"/>
    <n v="396.14050000000003"/>
  </r>
  <r>
    <n v="1194"/>
    <n v="2"/>
    <n v="7"/>
    <s v="Trek Slash 8 27.5 - 2016"/>
    <n v="6"/>
    <x v="1"/>
    <n v="2"/>
    <n v="3999.99"/>
    <n v="7.0000000000000007E-2"/>
    <n v="7439.9813999999997"/>
  </r>
  <r>
    <n v="1194"/>
    <n v="3"/>
    <n v="105"/>
    <s v="Sun Bicycles Streamway 7 - 2017"/>
    <n v="2"/>
    <x v="3"/>
    <n v="2"/>
    <n v="533.99"/>
    <n v="0.1"/>
    <n v="961.18200000000002"/>
  </r>
  <r>
    <n v="1194"/>
    <n v="4"/>
    <n v="84"/>
    <s v="Sun Bicycles Lil Kitt'n - 2017"/>
    <n v="1"/>
    <x v="5"/>
    <n v="1"/>
    <n v="109.99"/>
    <n v="0.05"/>
    <n v="104.4905"/>
  </r>
  <r>
    <n v="1195"/>
    <n v="1"/>
    <n v="52"/>
    <s v="Surly Steamroller - 2017"/>
    <n v="7"/>
    <x v="6"/>
    <n v="1"/>
    <n v="875.99"/>
    <n v="7.0000000000000007E-2"/>
    <n v="814.67070000000001"/>
  </r>
  <r>
    <n v="1196"/>
    <n v="1"/>
    <n v="53"/>
    <s v="Surly Ogre Frameset - 2017"/>
    <n v="7"/>
    <x v="6"/>
    <n v="1"/>
    <n v="749.99"/>
    <n v="7.0000000000000007E-2"/>
    <n v="697.49070000000006"/>
  </r>
  <r>
    <n v="1197"/>
    <n v="1"/>
    <n v="13"/>
    <s v="Electra Cruiser 1 (24-Inch) - 2016"/>
    <n v="3"/>
    <x v="0"/>
    <n v="1"/>
    <n v="269.99"/>
    <n v="7.0000000000000007E-2"/>
    <n v="251.0907"/>
  </r>
  <r>
    <n v="1197"/>
    <n v="2"/>
    <n v="108"/>
    <s v="Sun Bicycles Cruz 3 - Women's - 2017"/>
    <n v="2"/>
    <x v="3"/>
    <n v="2"/>
    <n v="449.99"/>
    <n v="0.05"/>
    <n v="854.98099999999999"/>
  </r>
  <r>
    <n v="1197"/>
    <n v="3"/>
    <n v="9"/>
    <s v="Trek Conduit+ - 2016"/>
    <n v="5"/>
    <x v="4"/>
    <n v="2"/>
    <n v="2999.99"/>
    <n v="0.05"/>
    <n v="5699.9809999999998"/>
  </r>
  <r>
    <n v="1197"/>
    <n v="4"/>
    <n v="106"/>
    <s v="Sun Bicycles Cruz 3 - 2017"/>
    <n v="2"/>
    <x v="3"/>
    <n v="2"/>
    <n v="449.99"/>
    <n v="0.2"/>
    <n v="719.98400000000004"/>
  </r>
  <r>
    <n v="1198"/>
    <n v="1"/>
    <n v="105"/>
    <s v="Sun Bicycles Streamway 7 - 2017"/>
    <n v="2"/>
    <x v="3"/>
    <n v="1"/>
    <n v="533.99"/>
    <n v="0.05"/>
    <n v="507.29050000000001"/>
  </r>
  <r>
    <n v="1199"/>
    <n v="1"/>
    <n v="32"/>
    <s v="Trek Farley Alloy Frameset - 2017"/>
    <n v="6"/>
    <x v="1"/>
    <n v="1"/>
    <n v="469.99"/>
    <n v="0.05"/>
    <n v="446.4905"/>
  </r>
  <r>
    <n v="1199"/>
    <n v="2"/>
    <n v="94"/>
    <s v="Haro Shredder Pro 20 - 2017"/>
    <n v="1"/>
    <x v="5"/>
    <n v="2"/>
    <n v="249.99"/>
    <n v="7.0000000000000007E-2"/>
    <n v="464.98140000000001"/>
  </r>
  <r>
    <n v="1199"/>
    <n v="3"/>
    <n v="109"/>
    <s v="Sun Bicycles Cruz 7 - Women's - 2017"/>
    <n v="2"/>
    <x v="3"/>
    <n v="2"/>
    <n v="416.99"/>
    <n v="0.1"/>
    <n v="750.58199999999999"/>
  </r>
  <r>
    <n v="1200"/>
    <n v="1"/>
    <n v="42"/>
    <s v="Trek Fuel EX 5 27.5 Plus - 2017"/>
    <n v="6"/>
    <x v="1"/>
    <n v="2"/>
    <n v="2299.9899999999998"/>
    <n v="0.2"/>
    <n v="3679.9839999999995"/>
  </r>
  <r>
    <n v="1201"/>
    <n v="1"/>
    <n v="95"/>
    <s v="Electra Girl's Hawaii 1 16&quot; - 2017"/>
    <n v="1"/>
    <x v="5"/>
    <n v="1"/>
    <n v="299.99"/>
    <n v="7.0000000000000007E-2"/>
    <n v="278.9907"/>
  </r>
  <r>
    <n v="1201"/>
    <n v="2"/>
    <n v="13"/>
    <s v="Electra Cruiser 1 (24-Inch) - 2016"/>
    <n v="3"/>
    <x v="0"/>
    <n v="1"/>
    <n v="269.99"/>
    <n v="0.05"/>
    <n v="256.4905"/>
  </r>
  <r>
    <n v="1201"/>
    <n v="3"/>
    <n v="26"/>
    <s v="Electra Townie Original 7D EQ - 2016"/>
    <n v="2"/>
    <x v="3"/>
    <n v="1"/>
    <n v="599.99"/>
    <n v="0.2"/>
    <n v="479.99200000000002"/>
  </r>
  <r>
    <n v="1201"/>
    <n v="4"/>
    <n v="17"/>
    <s v="Pure Cycles Vine 8-Speed - 2016"/>
    <n v="3"/>
    <x v="0"/>
    <n v="2"/>
    <n v="429"/>
    <n v="0.05"/>
    <n v="815.1"/>
  </r>
  <r>
    <n v="1201"/>
    <n v="5"/>
    <n v="19"/>
    <s v="Pure Cycles William 3-Speed - 2016"/>
    <n v="3"/>
    <x v="0"/>
    <n v="2"/>
    <n v="449"/>
    <n v="0.2"/>
    <n v="718.4"/>
  </r>
  <r>
    <n v="1202"/>
    <n v="1"/>
    <n v="84"/>
    <s v="Sun Bicycles Lil Kitt'n - 2017"/>
    <n v="1"/>
    <x v="5"/>
    <n v="2"/>
    <n v="109.99"/>
    <n v="0.05"/>
    <n v="208.98099999999999"/>
  </r>
  <r>
    <n v="1203"/>
    <n v="1"/>
    <n v="6"/>
    <s v="Surly Ice Cream Truck Frameset - 2016"/>
    <n v="6"/>
    <x v="1"/>
    <n v="2"/>
    <n v="469.99"/>
    <n v="7.0000000000000007E-2"/>
    <n v="874.18140000000005"/>
  </r>
  <r>
    <n v="1203"/>
    <n v="2"/>
    <n v="55"/>
    <s v="Trek Domane S 6 - 2017"/>
    <n v="7"/>
    <x v="6"/>
    <n v="1"/>
    <n v="2699.99"/>
    <n v="0.05"/>
    <n v="2564.9904999999999"/>
  </r>
  <r>
    <n v="1204"/>
    <n v="1"/>
    <n v="37"/>
    <s v="Haro Flightline One ST - 2017"/>
    <n v="6"/>
    <x v="1"/>
    <n v="2"/>
    <n v="379.99"/>
    <n v="7.0000000000000007E-2"/>
    <n v="706.78139999999996"/>
  </r>
  <r>
    <n v="1205"/>
    <n v="1"/>
    <n v="105"/>
    <s v="Sun Bicycles Streamway 7 - 2017"/>
    <n v="2"/>
    <x v="3"/>
    <n v="2"/>
    <n v="533.99"/>
    <n v="0.2"/>
    <n v="854.38400000000001"/>
  </r>
  <r>
    <n v="1205"/>
    <n v="2"/>
    <n v="46"/>
    <s v="Haro SR 1.3 - 2017"/>
    <n v="6"/>
    <x v="1"/>
    <n v="2"/>
    <n v="1409.99"/>
    <n v="0.2"/>
    <n v="2255.9839999999999"/>
  </r>
  <r>
    <n v="1205"/>
    <n v="3"/>
    <n v="71"/>
    <s v="Sun Bicycles Atlas X-Type - 2017"/>
    <n v="3"/>
    <x v="0"/>
    <n v="1"/>
    <n v="416.99"/>
    <n v="0.05"/>
    <n v="396.14050000000003"/>
  </r>
  <r>
    <n v="1205"/>
    <n v="4"/>
    <n v="79"/>
    <s v="Sun Bicycles Boardwalk (24-inch Wheels) - 2017"/>
    <n v="3"/>
    <x v="0"/>
    <n v="2"/>
    <n v="402.99"/>
    <n v="7.0000000000000007E-2"/>
    <n v="749.56140000000005"/>
  </r>
  <r>
    <n v="1205"/>
    <n v="5"/>
    <n v="92"/>
    <s v="Haro Shredder 20 - 2017"/>
    <n v="1"/>
    <x v="5"/>
    <n v="1"/>
    <n v="209.99"/>
    <n v="0.1"/>
    <n v="188.99100000000001"/>
  </r>
  <r>
    <n v="1206"/>
    <n v="1"/>
    <n v="73"/>
    <s v="Sun Bicycles Brickell Tandem 7 - 2017"/>
    <n v="3"/>
    <x v="0"/>
    <n v="1"/>
    <n v="749.99"/>
    <n v="7.0000000000000007E-2"/>
    <n v="697.49070000000006"/>
  </r>
  <r>
    <n v="1206"/>
    <n v="2"/>
    <n v="29"/>
    <s v="Trek X-Caliber 8 - 2017"/>
    <n v="6"/>
    <x v="1"/>
    <n v="1"/>
    <n v="999.99"/>
    <n v="0.2"/>
    <n v="799.99199999999996"/>
  </r>
  <r>
    <n v="1207"/>
    <n v="1"/>
    <n v="104"/>
    <s v="Sun Bicycles Streamway - 2017"/>
    <n v="2"/>
    <x v="3"/>
    <n v="1"/>
    <n v="481.99"/>
    <n v="0.05"/>
    <n v="457.89050000000003"/>
  </r>
  <r>
    <n v="1207"/>
    <n v="2"/>
    <n v="103"/>
    <s v="Sun Bicycles Streamway 3 - 2017"/>
    <n v="2"/>
    <x v="3"/>
    <n v="1"/>
    <n v="551.99"/>
    <n v="0.1"/>
    <n v="496.791"/>
  </r>
  <r>
    <n v="1207"/>
    <n v="3"/>
    <n v="23"/>
    <s v="Electra Girl's Hawaii 1 (20-inch) - 2015/2016"/>
    <n v="1"/>
    <x v="5"/>
    <n v="1"/>
    <n v="299.99"/>
    <n v="7.0000000000000007E-2"/>
    <n v="278.9907"/>
  </r>
  <r>
    <n v="1208"/>
    <n v="1"/>
    <n v="12"/>
    <s v="Electra Townie Original 21D - 2016"/>
    <n v="3"/>
    <x v="0"/>
    <n v="1"/>
    <n v="549.99"/>
    <n v="0.2"/>
    <n v="439.99200000000002"/>
  </r>
  <r>
    <n v="1208"/>
    <n v="2"/>
    <n v="65"/>
    <s v="Sun Bicycles Lil Bolt Type-R - 2017"/>
    <n v="3"/>
    <x v="0"/>
    <n v="2"/>
    <n v="346.99"/>
    <n v="7.0000000000000007E-2"/>
    <n v="645.40139999999997"/>
  </r>
  <r>
    <n v="1208"/>
    <n v="3"/>
    <n v="86"/>
    <s v="Trek Girl's Kickster - 2017"/>
    <n v="1"/>
    <x v="5"/>
    <n v="2"/>
    <n v="149.99"/>
    <n v="0.2"/>
    <n v="239.98400000000001"/>
  </r>
  <r>
    <n v="1208"/>
    <n v="4"/>
    <n v="13"/>
    <s v="Electra Cruiser 1 (24-Inch) - 2016"/>
    <n v="3"/>
    <x v="0"/>
    <n v="2"/>
    <n v="269.99"/>
    <n v="0.1"/>
    <n v="485.98200000000003"/>
  </r>
  <r>
    <n v="1208"/>
    <n v="5"/>
    <n v="87"/>
    <s v="Trek Precaliber 12 Boys - 2017"/>
    <n v="1"/>
    <x v="5"/>
    <n v="1"/>
    <n v="189.99"/>
    <n v="7.0000000000000007E-2"/>
    <n v="176.69069999999999"/>
  </r>
  <r>
    <n v="1209"/>
    <n v="1"/>
    <n v="89"/>
    <s v="Trek Precaliber 16 Boys - 2017"/>
    <n v="1"/>
    <x v="5"/>
    <n v="1"/>
    <n v="209.99"/>
    <n v="7.0000000000000007E-2"/>
    <n v="195.29070000000002"/>
  </r>
  <r>
    <n v="1209"/>
    <n v="2"/>
    <n v="97"/>
    <s v="Electra Savannah 3i (20-inch) - Girl's - 2017"/>
    <n v="1"/>
    <x v="5"/>
    <n v="1"/>
    <n v="349.99"/>
    <n v="0.05"/>
    <n v="332.4905"/>
  </r>
  <r>
    <n v="1210"/>
    <n v="1"/>
    <n v="26"/>
    <s v="Electra Townie Original 7D EQ - 2016"/>
    <n v="2"/>
    <x v="3"/>
    <n v="1"/>
    <n v="599.99"/>
    <n v="0.1"/>
    <n v="539.99099999999999"/>
  </r>
  <r>
    <n v="1210"/>
    <n v="2"/>
    <n v="6"/>
    <s v="Surly Ice Cream Truck Frameset - 2016"/>
    <n v="6"/>
    <x v="1"/>
    <n v="2"/>
    <n v="469.99"/>
    <n v="7.0000000000000007E-2"/>
    <n v="874.18140000000005"/>
  </r>
  <r>
    <n v="1210"/>
    <n v="3"/>
    <n v="78"/>
    <s v="Sun Bicycles Biscayne Tandem CB - 2017"/>
    <n v="3"/>
    <x v="0"/>
    <n v="2"/>
    <n v="647.99"/>
    <n v="0.05"/>
    <n v="1231.181"/>
  </r>
  <r>
    <n v="1210"/>
    <n v="4"/>
    <n v="84"/>
    <s v="Sun Bicycles Lil Kitt'n - 2017"/>
    <n v="1"/>
    <x v="5"/>
    <n v="1"/>
    <n v="109.99"/>
    <n v="0.1"/>
    <n v="98.991"/>
  </r>
  <r>
    <n v="1210"/>
    <n v="5"/>
    <n v="35"/>
    <s v="Sun Bicycles Spider 3i - 2017"/>
    <n v="6"/>
    <x v="1"/>
    <n v="2"/>
    <n v="832.99"/>
    <n v="0.05"/>
    <n v="1582.681"/>
  </r>
  <r>
    <n v="1211"/>
    <n v="1"/>
    <n v="15"/>
    <s v="Electra Moto 1 - 2016"/>
    <n v="3"/>
    <x v="0"/>
    <n v="2"/>
    <n v="529.99"/>
    <n v="0.2"/>
    <n v="847.98400000000004"/>
  </r>
  <r>
    <n v="1211"/>
    <n v="2"/>
    <n v="59"/>
    <s v="Trek Domane S 5 Disc - 2017"/>
    <n v="7"/>
    <x v="6"/>
    <n v="1"/>
    <n v="2599.9899999999998"/>
    <n v="0.05"/>
    <n v="2469.9904999999999"/>
  </r>
  <r>
    <n v="1211"/>
    <n v="3"/>
    <n v="92"/>
    <s v="Haro Shredder 20 - 2017"/>
    <n v="1"/>
    <x v="5"/>
    <n v="1"/>
    <n v="209.99"/>
    <n v="0.2"/>
    <n v="167.99200000000002"/>
  </r>
  <r>
    <n v="1211"/>
    <n v="4"/>
    <n v="93"/>
    <s v="Haro Shredder 20 Girls - 2017"/>
    <n v="1"/>
    <x v="5"/>
    <n v="1"/>
    <n v="209.99"/>
    <n v="0.1"/>
    <n v="188.99100000000001"/>
  </r>
  <r>
    <n v="1211"/>
    <n v="5"/>
    <n v="108"/>
    <s v="Sun Bicycles Cruz 3 - Women's - 2017"/>
    <n v="2"/>
    <x v="3"/>
    <n v="2"/>
    <n v="449.99"/>
    <n v="0.2"/>
    <n v="719.98400000000004"/>
  </r>
  <r>
    <n v="1212"/>
    <n v="1"/>
    <n v="74"/>
    <s v="Electra Cruiser Lux 1 - 2017"/>
    <n v="3"/>
    <x v="0"/>
    <n v="1"/>
    <n v="439.99"/>
    <n v="0.1"/>
    <n v="395.99099999999999"/>
  </r>
  <r>
    <n v="1212"/>
    <n v="2"/>
    <n v="37"/>
    <s v="Haro Flightline One ST - 2017"/>
    <n v="6"/>
    <x v="1"/>
    <n v="2"/>
    <n v="379.99"/>
    <n v="7.0000000000000007E-2"/>
    <n v="706.78139999999996"/>
  </r>
  <r>
    <n v="1212"/>
    <n v="3"/>
    <n v="39"/>
    <s v="Trek Stache 5 - 2017"/>
    <n v="6"/>
    <x v="1"/>
    <n v="2"/>
    <n v="1499.99"/>
    <n v="0.05"/>
    <n v="2849.9810000000002"/>
  </r>
  <r>
    <n v="1212"/>
    <n v="4"/>
    <n v="68"/>
    <s v="Sun Bicycles Cruz 3 - 2017"/>
    <n v="3"/>
    <x v="0"/>
    <n v="2"/>
    <n v="449.99"/>
    <n v="7.0000000000000007E-2"/>
    <n v="836.98140000000001"/>
  </r>
  <r>
    <n v="1213"/>
    <n v="1"/>
    <n v="64"/>
    <s v="Electra Townie Original 7D - 2017"/>
    <n v="3"/>
    <x v="0"/>
    <n v="2"/>
    <n v="489.99"/>
    <n v="7.0000000000000007E-2"/>
    <n v="911.38139999999999"/>
  </r>
  <r>
    <n v="1213"/>
    <n v="2"/>
    <n v="78"/>
    <s v="Sun Bicycles Biscayne Tandem CB - 2017"/>
    <n v="3"/>
    <x v="0"/>
    <n v="1"/>
    <n v="647.99"/>
    <n v="7.0000000000000007E-2"/>
    <n v="602.63070000000005"/>
  </r>
  <r>
    <n v="1213"/>
    <n v="3"/>
    <n v="102"/>
    <s v="Electra Townie Original 7D - 2017"/>
    <n v="2"/>
    <x v="3"/>
    <n v="2"/>
    <n v="489.99"/>
    <n v="0.1"/>
    <n v="881.98199999999997"/>
  </r>
  <r>
    <n v="1213"/>
    <n v="4"/>
    <n v="15"/>
    <s v="Electra Moto 1 - 2016"/>
    <n v="3"/>
    <x v="0"/>
    <n v="1"/>
    <n v="529.99"/>
    <n v="0.05"/>
    <n v="503.4905"/>
  </r>
  <r>
    <n v="1214"/>
    <n v="1"/>
    <n v="9"/>
    <s v="Trek Conduit+ - 2016"/>
    <n v="5"/>
    <x v="4"/>
    <n v="2"/>
    <n v="2999.99"/>
    <n v="0.05"/>
    <n v="5699.9809999999998"/>
  </r>
  <r>
    <n v="1214"/>
    <n v="2"/>
    <n v="7"/>
    <s v="Trek Slash 8 27.5 - 2016"/>
    <n v="6"/>
    <x v="1"/>
    <n v="1"/>
    <n v="3999.99"/>
    <n v="0.2"/>
    <n v="3199.9919999999997"/>
  </r>
  <r>
    <n v="1214"/>
    <n v="3"/>
    <n v="22"/>
    <s v="Electra Girl's Hawaii 1 (16-inch) - 2015/2016"/>
    <n v="1"/>
    <x v="5"/>
    <n v="1"/>
    <n v="269.99"/>
    <n v="0.05"/>
    <n v="256.4905"/>
  </r>
  <r>
    <n v="1214"/>
    <n v="4"/>
    <n v="77"/>
    <s v="Electra Glam Punk 3i Ladies' - 2017"/>
    <n v="3"/>
    <x v="0"/>
    <n v="2"/>
    <n v="799.99"/>
    <n v="0.1"/>
    <n v="1439.982"/>
  </r>
  <r>
    <n v="1214"/>
    <n v="5"/>
    <n v="67"/>
    <s v="Sun Bicycles Revolutions 24 - Girl's - 2017"/>
    <n v="3"/>
    <x v="0"/>
    <n v="2"/>
    <n v="250.99"/>
    <n v="0.2"/>
    <n v="401.584"/>
  </r>
  <r>
    <n v="1215"/>
    <n v="1"/>
    <n v="73"/>
    <s v="Sun Bicycles Brickell Tandem 7 - 2017"/>
    <n v="3"/>
    <x v="0"/>
    <n v="2"/>
    <n v="749.99"/>
    <n v="0.1"/>
    <n v="1349.982"/>
  </r>
  <r>
    <n v="1215"/>
    <n v="2"/>
    <n v="10"/>
    <s v="Surly Straggler - 2016"/>
    <n v="4"/>
    <x v="2"/>
    <n v="2"/>
    <n v="1549"/>
    <n v="7.0000000000000007E-2"/>
    <n v="2881.14"/>
  </r>
  <r>
    <n v="1216"/>
    <n v="1"/>
    <n v="64"/>
    <s v="Electra Townie Original 7D - 2017"/>
    <n v="3"/>
    <x v="0"/>
    <n v="2"/>
    <n v="489.99"/>
    <n v="0.1"/>
    <n v="881.98199999999997"/>
  </r>
  <r>
    <n v="1216"/>
    <n v="2"/>
    <n v="54"/>
    <s v="Trek Domane SL Disc Frameset - 2017"/>
    <n v="7"/>
    <x v="6"/>
    <n v="1"/>
    <n v="3199.99"/>
    <n v="0.05"/>
    <n v="3039.9904999999999"/>
  </r>
  <r>
    <n v="1216"/>
    <n v="3"/>
    <n v="19"/>
    <s v="Pure Cycles William 3-Speed - 2016"/>
    <n v="3"/>
    <x v="0"/>
    <n v="1"/>
    <n v="449"/>
    <n v="0.2"/>
    <n v="359.2"/>
  </r>
  <r>
    <n v="1216"/>
    <n v="4"/>
    <n v="110"/>
    <s v="Sun Bicycles Drifter 7 - 2017"/>
    <n v="2"/>
    <x v="3"/>
    <n v="2"/>
    <n v="470.99"/>
    <n v="7.0000000000000007E-2"/>
    <n v="876.04140000000007"/>
  </r>
  <r>
    <n v="1216"/>
    <n v="5"/>
    <n v="43"/>
    <s v="Trek Fuel EX 9.8 27.5 Plus - 2017"/>
    <n v="6"/>
    <x v="1"/>
    <n v="1"/>
    <n v="5299.99"/>
    <n v="0.1"/>
    <n v="4769.991"/>
  </r>
  <r>
    <n v="1217"/>
    <n v="1"/>
    <n v="73"/>
    <s v="Sun Bicycles Brickell Tandem 7 - 2017"/>
    <n v="3"/>
    <x v="0"/>
    <n v="1"/>
    <n v="749.99"/>
    <n v="0.05"/>
    <n v="712.4905"/>
  </r>
  <r>
    <n v="1217"/>
    <n v="2"/>
    <n v="106"/>
    <s v="Sun Bicycles Cruz 3 - 2017"/>
    <n v="2"/>
    <x v="3"/>
    <n v="2"/>
    <n v="449.99"/>
    <n v="0.05"/>
    <n v="854.98099999999999"/>
  </r>
  <r>
    <n v="1218"/>
    <n v="1"/>
    <n v="32"/>
    <s v="Trek Farley Alloy Frameset - 2017"/>
    <n v="6"/>
    <x v="1"/>
    <n v="1"/>
    <n v="469.99"/>
    <n v="7.0000000000000007E-2"/>
    <n v="437.09070000000003"/>
  </r>
  <r>
    <n v="1218"/>
    <n v="2"/>
    <n v="102"/>
    <s v="Electra Townie Original 7D - 2017"/>
    <n v="2"/>
    <x v="3"/>
    <n v="2"/>
    <n v="489.99"/>
    <n v="0.05"/>
    <n v="930.98099999999999"/>
  </r>
  <r>
    <n v="1219"/>
    <n v="1"/>
    <n v="17"/>
    <s v="Pure Cycles Vine 8-Speed - 2016"/>
    <n v="3"/>
    <x v="0"/>
    <n v="2"/>
    <n v="429"/>
    <n v="7.0000000000000007E-2"/>
    <n v="797.94"/>
  </r>
  <r>
    <n v="1219"/>
    <n v="2"/>
    <n v="62"/>
    <s v="Trek Boone 7 - 2017"/>
    <n v="4"/>
    <x v="2"/>
    <n v="2"/>
    <n v="3499.99"/>
    <n v="0.1"/>
    <n v="6299.982"/>
  </r>
  <r>
    <n v="1219"/>
    <n v="3"/>
    <n v="40"/>
    <s v="Trek Fuel EX 9.8 29 - 2017"/>
    <n v="6"/>
    <x v="1"/>
    <n v="2"/>
    <n v="4999.99"/>
    <n v="0.2"/>
    <n v="7999.9839999999995"/>
  </r>
  <r>
    <n v="1220"/>
    <n v="1"/>
    <n v="47"/>
    <s v="Trek Remedy 9.8 - 2017"/>
    <n v="6"/>
    <x v="1"/>
    <n v="2"/>
    <n v="5299.99"/>
    <n v="0.1"/>
    <n v="9539.982"/>
  </r>
  <r>
    <n v="1220"/>
    <n v="2"/>
    <n v="49"/>
    <s v="Trek Domane SL 6 - 2017"/>
    <n v="7"/>
    <x v="6"/>
    <n v="1"/>
    <n v="3499.99"/>
    <n v="0.2"/>
    <n v="2799.9919999999997"/>
  </r>
  <r>
    <n v="1220"/>
    <n v="3"/>
    <n v="85"/>
    <s v="Haro Downtown 16 - 2017"/>
    <n v="1"/>
    <x v="5"/>
    <n v="2"/>
    <n v="329.99"/>
    <n v="0.2"/>
    <n v="527.98400000000004"/>
  </r>
  <r>
    <n v="1221"/>
    <n v="1"/>
    <n v="100"/>
    <s v="Electra Townie 3i EQ (20-inch) - Boys' - 2017"/>
    <n v="1"/>
    <x v="5"/>
    <n v="1"/>
    <n v="489.99"/>
    <n v="0.05"/>
    <n v="465.4905"/>
  </r>
  <r>
    <n v="1221"/>
    <n v="2"/>
    <n v="81"/>
    <s v="Electra Amsterdam Fashion 7i Ladies' - 2017"/>
    <n v="3"/>
    <x v="0"/>
    <n v="2"/>
    <n v="1099.99"/>
    <n v="0.05"/>
    <n v="2089.9810000000002"/>
  </r>
  <r>
    <n v="1221"/>
    <n v="3"/>
    <n v="42"/>
    <s v="Trek Fuel EX 5 27.5 Plus - 2017"/>
    <n v="6"/>
    <x v="1"/>
    <n v="2"/>
    <n v="2299.9899999999998"/>
    <n v="0.1"/>
    <n v="4139.982"/>
  </r>
  <r>
    <n v="1221"/>
    <n v="4"/>
    <n v="38"/>
    <s v="Haro Flightline Two 26 Plus - 2017"/>
    <n v="6"/>
    <x v="1"/>
    <n v="2"/>
    <n v="549.99"/>
    <n v="0.1"/>
    <n v="989.98199999999997"/>
  </r>
  <r>
    <n v="1221"/>
    <n v="5"/>
    <n v="97"/>
    <s v="Electra Savannah 3i (20-inch) - Girl's - 2017"/>
    <n v="1"/>
    <x v="5"/>
    <n v="2"/>
    <n v="349.99"/>
    <n v="7.0000000000000007E-2"/>
    <n v="650.98140000000001"/>
  </r>
  <r>
    <n v="1222"/>
    <n v="1"/>
    <n v="97"/>
    <s v="Electra Savannah 3i (20-inch) - Girl's - 2017"/>
    <n v="1"/>
    <x v="5"/>
    <n v="1"/>
    <n v="349.99"/>
    <n v="0.2"/>
    <n v="279.99200000000002"/>
  </r>
  <r>
    <n v="1223"/>
    <n v="1"/>
    <n v="103"/>
    <s v="Sun Bicycles Streamway 3 - 2017"/>
    <n v="2"/>
    <x v="3"/>
    <n v="1"/>
    <n v="551.99"/>
    <n v="0.05"/>
    <n v="524.39049999999997"/>
  </r>
  <r>
    <n v="1224"/>
    <n v="1"/>
    <n v="62"/>
    <s v="Trek Boone 7 - 2017"/>
    <n v="4"/>
    <x v="2"/>
    <n v="1"/>
    <n v="3499.99"/>
    <n v="7.0000000000000007E-2"/>
    <n v="3254.9906999999998"/>
  </r>
  <r>
    <n v="1224"/>
    <n v="2"/>
    <n v="51"/>
    <s v="Trek Silque SLR 8 Women's - 2017"/>
    <n v="7"/>
    <x v="6"/>
    <n v="1"/>
    <n v="6499.99"/>
    <n v="0.1"/>
    <n v="5849.991"/>
  </r>
  <r>
    <n v="1224"/>
    <n v="3"/>
    <n v="108"/>
    <s v="Sun Bicycles Cruz 3 - Women's - 2017"/>
    <n v="2"/>
    <x v="3"/>
    <n v="1"/>
    <n v="449.99"/>
    <n v="0.05"/>
    <n v="427.4905"/>
  </r>
  <r>
    <n v="1224"/>
    <n v="4"/>
    <n v="32"/>
    <s v="Trek Farley Alloy Frameset - 2017"/>
    <n v="6"/>
    <x v="1"/>
    <n v="1"/>
    <n v="469.99"/>
    <n v="0.2"/>
    <n v="375.99200000000002"/>
  </r>
  <r>
    <n v="1225"/>
    <n v="1"/>
    <n v="81"/>
    <s v="Electra Amsterdam Fashion 7i Ladies' - 2017"/>
    <n v="3"/>
    <x v="0"/>
    <n v="1"/>
    <n v="1099.99"/>
    <n v="0.1"/>
    <n v="989.99099999999999"/>
  </r>
  <r>
    <n v="1225"/>
    <n v="2"/>
    <n v="59"/>
    <s v="Trek Domane S 5 Disc - 2017"/>
    <n v="7"/>
    <x v="6"/>
    <n v="2"/>
    <n v="2599.9899999999998"/>
    <n v="0.1"/>
    <n v="4679.982"/>
  </r>
  <r>
    <n v="1225"/>
    <n v="3"/>
    <n v="6"/>
    <s v="Surly Ice Cream Truck Frameset - 2016"/>
    <n v="6"/>
    <x v="1"/>
    <n v="2"/>
    <n v="469.99"/>
    <n v="0.1"/>
    <n v="845.98199999999997"/>
  </r>
  <r>
    <n v="1226"/>
    <n v="1"/>
    <n v="77"/>
    <s v="Electra Glam Punk 3i Ladies' - 2017"/>
    <n v="3"/>
    <x v="0"/>
    <n v="2"/>
    <n v="799.99"/>
    <n v="0.05"/>
    <n v="1519.981"/>
  </r>
  <r>
    <n v="1226"/>
    <n v="2"/>
    <n v="101"/>
    <s v="Electra Townie 7D (20-inch) - Boys' - 2017"/>
    <n v="1"/>
    <x v="5"/>
    <n v="1"/>
    <n v="339.99"/>
    <n v="0.2"/>
    <n v="271.99200000000002"/>
  </r>
  <r>
    <n v="1226"/>
    <n v="3"/>
    <n v="11"/>
    <s v="Surly Straggler 650b - 2016"/>
    <n v="4"/>
    <x v="2"/>
    <n v="2"/>
    <n v="1680.99"/>
    <n v="7.0000000000000007E-2"/>
    <n v="3126.6414"/>
  </r>
  <r>
    <n v="1226"/>
    <n v="4"/>
    <n v="51"/>
    <s v="Trek Silque SLR 8 Women's - 2017"/>
    <n v="7"/>
    <x v="6"/>
    <n v="1"/>
    <n v="6499.99"/>
    <n v="7.0000000000000007E-2"/>
    <n v="6044.9906999999994"/>
  </r>
  <r>
    <n v="1226"/>
    <n v="5"/>
    <n v="42"/>
    <s v="Trek Fuel EX 5 27.5 Plus - 2017"/>
    <n v="6"/>
    <x v="1"/>
    <n v="1"/>
    <n v="2299.9899999999998"/>
    <n v="0.1"/>
    <n v="2069.991"/>
  </r>
  <r>
    <n v="1227"/>
    <n v="1"/>
    <n v="90"/>
    <s v="Trek Precaliber 16 Girls - 2017"/>
    <n v="1"/>
    <x v="5"/>
    <n v="2"/>
    <n v="209.99"/>
    <n v="0.2"/>
    <n v="335.98400000000004"/>
  </r>
  <r>
    <n v="1227"/>
    <n v="2"/>
    <n v="44"/>
    <s v="Haro SR 1.1 - 2017"/>
    <n v="6"/>
    <x v="1"/>
    <n v="1"/>
    <n v="539.99"/>
    <n v="7.0000000000000007E-2"/>
    <n v="502.19069999999999"/>
  </r>
  <r>
    <n v="1227"/>
    <n v="3"/>
    <n v="26"/>
    <s v="Electra Townie Original 7D EQ - 2016"/>
    <n v="2"/>
    <x v="3"/>
    <n v="1"/>
    <n v="599.99"/>
    <n v="0.05"/>
    <n v="569.9905"/>
  </r>
  <r>
    <n v="1227"/>
    <n v="4"/>
    <n v="8"/>
    <s v="Trek Remedy 29 Carbon Frameset - 2016"/>
    <n v="6"/>
    <x v="1"/>
    <n v="1"/>
    <n v="1799.99"/>
    <n v="7.0000000000000007E-2"/>
    <n v="1673.9907000000001"/>
  </r>
  <r>
    <n v="1227"/>
    <n v="5"/>
    <n v="42"/>
    <s v="Trek Fuel EX 5 27.5 Plus - 2017"/>
    <n v="6"/>
    <x v="1"/>
    <n v="2"/>
    <n v="2299.9899999999998"/>
    <n v="0.2"/>
    <n v="3679.9839999999995"/>
  </r>
  <r>
    <n v="1228"/>
    <n v="1"/>
    <n v="92"/>
    <s v="Haro Shredder 20 - 2017"/>
    <n v="1"/>
    <x v="5"/>
    <n v="1"/>
    <n v="209.99"/>
    <n v="0.2"/>
    <n v="167.99200000000002"/>
  </r>
  <r>
    <n v="1228"/>
    <n v="2"/>
    <n v="55"/>
    <s v="Trek Domane S 6 - 2017"/>
    <n v="7"/>
    <x v="6"/>
    <n v="2"/>
    <n v="2699.99"/>
    <n v="0.2"/>
    <n v="4319.9839999999995"/>
  </r>
  <r>
    <n v="1228"/>
    <n v="3"/>
    <n v="20"/>
    <s v="Electra Townie Original 7D EQ - Women's - 2016"/>
    <n v="3"/>
    <x v="0"/>
    <n v="2"/>
    <n v="599.99"/>
    <n v="0.05"/>
    <n v="1139.981"/>
  </r>
  <r>
    <n v="1229"/>
    <n v="1"/>
    <n v="36"/>
    <s v="Surly Troll Frameset - 2017"/>
    <n v="6"/>
    <x v="1"/>
    <n v="2"/>
    <n v="832.99"/>
    <n v="7.0000000000000007E-2"/>
    <n v="1549.3614"/>
  </r>
  <r>
    <n v="1229"/>
    <n v="2"/>
    <n v="61"/>
    <s v="Trek Powerfly 8 FS Plus - 2017"/>
    <n v="5"/>
    <x v="4"/>
    <n v="2"/>
    <n v="4999.99"/>
    <n v="0.1"/>
    <n v="8999.982"/>
  </r>
  <r>
    <n v="1230"/>
    <n v="1"/>
    <n v="32"/>
    <s v="Trek Farley Alloy Frameset - 2017"/>
    <n v="6"/>
    <x v="1"/>
    <n v="2"/>
    <n v="469.99"/>
    <n v="0.1"/>
    <n v="845.98199999999997"/>
  </r>
  <r>
    <n v="1230"/>
    <n v="2"/>
    <n v="38"/>
    <s v="Haro Flightline Two 26 Plus - 2017"/>
    <n v="6"/>
    <x v="1"/>
    <n v="2"/>
    <n v="549.99"/>
    <n v="7.0000000000000007E-2"/>
    <n v="1022.9814"/>
  </r>
  <r>
    <n v="1231"/>
    <n v="1"/>
    <n v="75"/>
    <s v="Electra Cruiser Lux Fat Tire 1 Ladies - 2017"/>
    <n v="3"/>
    <x v="0"/>
    <n v="2"/>
    <n v="599.99"/>
    <n v="0.05"/>
    <n v="1139.981"/>
  </r>
  <r>
    <n v="1231"/>
    <n v="2"/>
    <n v="70"/>
    <s v="Electra Amsterdam Original 3i - 2015/2017"/>
    <n v="3"/>
    <x v="0"/>
    <n v="1"/>
    <n v="659.99"/>
    <n v="7.0000000000000007E-2"/>
    <n v="613.79070000000002"/>
  </r>
  <r>
    <n v="1232"/>
    <n v="1"/>
    <n v="4"/>
    <s v="Trek Fuel EX 8 29 - 2016"/>
    <n v="6"/>
    <x v="1"/>
    <n v="2"/>
    <n v="2899.99"/>
    <n v="7.0000000000000007E-2"/>
    <n v="5393.9813999999997"/>
  </r>
  <r>
    <n v="1232"/>
    <n v="2"/>
    <n v="110"/>
    <s v="Sun Bicycles Drifter 7 - 2017"/>
    <n v="2"/>
    <x v="3"/>
    <n v="2"/>
    <n v="470.99"/>
    <n v="0.05"/>
    <n v="894.88099999999997"/>
  </r>
  <r>
    <n v="1232"/>
    <n v="3"/>
    <n v="6"/>
    <s v="Surly Ice Cream Truck Frameset - 2016"/>
    <n v="6"/>
    <x v="1"/>
    <n v="2"/>
    <n v="469.99"/>
    <n v="0.2"/>
    <n v="751.98400000000004"/>
  </r>
  <r>
    <n v="1233"/>
    <n v="1"/>
    <n v="87"/>
    <s v="Trek Precaliber 12 Boys - 2017"/>
    <n v="1"/>
    <x v="5"/>
    <n v="2"/>
    <n v="189.99"/>
    <n v="0.2"/>
    <n v="303.98400000000004"/>
  </r>
  <r>
    <n v="1233"/>
    <n v="2"/>
    <n v="61"/>
    <s v="Trek Powerfly 8 FS Plus - 2017"/>
    <n v="5"/>
    <x v="4"/>
    <n v="2"/>
    <n v="4999.99"/>
    <n v="0.1"/>
    <n v="8999.982"/>
  </r>
  <r>
    <n v="1233"/>
    <n v="3"/>
    <n v="55"/>
    <s v="Trek Domane S 6 - 2017"/>
    <n v="7"/>
    <x v="6"/>
    <n v="1"/>
    <n v="2699.99"/>
    <n v="0.2"/>
    <n v="2159.9919999999997"/>
  </r>
  <r>
    <n v="1234"/>
    <n v="1"/>
    <n v="56"/>
    <s v="Trek Domane SLR 6 Disc - 2017"/>
    <n v="7"/>
    <x v="6"/>
    <n v="2"/>
    <n v="5499.99"/>
    <n v="7.0000000000000007E-2"/>
    <n v="10229.981399999999"/>
  </r>
  <r>
    <n v="1234"/>
    <n v="2"/>
    <n v="71"/>
    <s v="Sun Bicycles Atlas X-Type - 2017"/>
    <n v="3"/>
    <x v="0"/>
    <n v="2"/>
    <n v="416.99"/>
    <n v="7.0000000000000007E-2"/>
    <n v="775.60140000000001"/>
  </r>
  <r>
    <n v="1235"/>
    <n v="1"/>
    <n v="7"/>
    <s v="Trek Slash 8 27.5 - 2016"/>
    <n v="6"/>
    <x v="1"/>
    <n v="1"/>
    <n v="3999.99"/>
    <n v="0.1"/>
    <n v="3599.991"/>
  </r>
  <r>
    <n v="1236"/>
    <n v="1"/>
    <n v="60"/>
    <s v="Sun Bicycles ElectroLite - 2017"/>
    <n v="5"/>
    <x v="4"/>
    <n v="1"/>
    <n v="1559.99"/>
    <n v="7.0000000000000007E-2"/>
    <n v="1450.7907"/>
  </r>
  <r>
    <n v="1236"/>
    <n v="2"/>
    <n v="32"/>
    <s v="Trek Farley Alloy Frameset - 2017"/>
    <n v="6"/>
    <x v="1"/>
    <n v="2"/>
    <n v="469.99"/>
    <n v="0.05"/>
    <n v="892.98099999999999"/>
  </r>
  <r>
    <n v="1236"/>
    <n v="3"/>
    <n v="91"/>
    <s v="Trek Precaliber 24 (21-Speed) - Girls - 2017"/>
    <n v="1"/>
    <x v="5"/>
    <n v="1"/>
    <n v="349.99"/>
    <n v="0.1"/>
    <n v="314.99099999999999"/>
  </r>
  <r>
    <n v="1237"/>
    <n v="1"/>
    <n v="23"/>
    <s v="Electra Girl's Hawaii 1 (20-inch) - 2015/2016"/>
    <n v="1"/>
    <x v="5"/>
    <n v="1"/>
    <n v="299.99"/>
    <n v="0.1"/>
    <n v="269.99099999999999"/>
  </r>
  <r>
    <n v="1237"/>
    <n v="2"/>
    <n v="87"/>
    <s v="Trek Precaliber 12 Boys - 2017"/>
    <n v="1"/>
    <x v="5"/>
    <n v="2"/>
    <n v="189.99"/>
    <n v="0.1"/>
    <n v="341.98200000000003"/>
  </r>
  <r>
    <n v="1237"/>
    <n v="3"/>
    <n v="95"/>
    <s v="Electra Girl's Hawaii 1 16&quot; - 2017"/>
    <n v="1"/>
    <x v="5"/>
    <n v="2"/>
    <n v="299.99"/>
    <n v="0.2"/>
    <n v="479.98400000000004"/>
  </r>
  <r>
    <n v="1237"/>
    <n v="4"/>
    <n v="55"/>
    <s v="Trek Domane S 6 - 2017"/>
    <n v="7"/>
    <x v="6"/>
    <n v="2"/>
    <n v="2699.99"/>
    <n v="7.0000000000000007E-2"/>
    <n v="5021.9813999999997"/>
  </r>
  <r>
    <n v="1237"/>
    <n v="5"/>
    <n v="25"/>
    <s v="Electra Townie Original 7D - 2015/2016"/>
    <n v="2"/>
    <x v="3"/>
    <n v="1"/>
    <n v="499.99"/>
    <n v="7.0000000000000007E-2"/>
    <n v="464.9907"/>
  </r>
  <r>
    <n v="1238"/>
    <n v="1"/>
    <n v="40"/>
    <s v="Trek Fuel EX 9.8 29 - 2017"/>
    <n v="6"/>
    <x v="1"/>
    <n v="1"/>
    <n v="4999.99"/>
    <n v="0.1"/>
    <n v="4499.991"/>
  </r>
  <r>
    <n v="1238"/>
    <n v="2"/>
    <n v="14"/>
    <s v="Electra Girl's Hawaii 1 (16-inch) - 2015/2016"/>
    <n v="3"/>
    <x v="0"/>
    <n v="1"/>
    <n v="269.99"/>
    <n v="0.1"/>
    <n v="242.99100000000001"/>
  </r>
  <r>
    <n v="1238"/>
    <n v="3"/>
    <n v="99"/>
    <s v="Electra Sugar Skulls 1 (20-inch) - Girl's - 2017"/>
    <n v="1"/>
    <x v="5"/>
    <n v="2"/>
    <n v="299.99"/>
    <n v="0.2"/>
    <n v="479.98400000000004"/>
  </r>
  <r>
    <n v="1238"/>
    <n v="4"/>
    <n v="101"/>
    <s v="Electra Townie 7D (20-inch) - Boys' - 2017"/>
    <n v="1"/>
    <x v="5"/>
    <n v="1"/>
    <n v="339.99"/>
    <n v="0.1"/>
    <n v="305.99099999999999"/>
  </r>
  <r>
    <n v="1239"/>
    <n v="1"/>
    <n v="15"/>
    <s v="Electra Moto 1 - 2016"/>
    <n v="3"/>
    <x v="0"/>
    <n v="2"/>
    <n v="529.99"/>
    <n v="0.2"/>
    <n v="847.98400000000004"/>
  </r>
  <r>
    <n v="1239"/>
    <n v="2"/>
    <n v="91"/>
    <s v="Trek Precaliber 24 (21-Speed) - Girls - 2017"/>
    <n v="1"/>
    <x v="5"/>
    <n v="1"/>
    <n v="349.99"/>
    <n v="0.1"/>
    <n v="314.99099999999999"/>
  </r>
  <r>
    <n v="1239"/>
    <n v="3"/>
    <n v="34"/>
    <s v="Trek Session DH 27.5 Carbon Frameset - 2017"/>
    <n v="6"/>
    <x v="1"/>
    <n v="2"/>
    <n v="469.99"/>
    <n v="0.1"/>
    <n v="845.98199999999997"/>
  </r>
  <r>
    <n v="1239"/>
    <n v="4"/>
    <n v="36"/>
    <s v="Surly Troll Frameset - 2017"/>
    <n v="6"/>
    <x v="1"/>
    <n v="1"/>
    <n v="832.99"/>
    <n v="0.05"/>
    <n v="791.34050000000002"/>
  </r>
  <r>
    <n v="1240"/>
    <n v="1"/>
    <n v="107"/>
    <s v="Sun Bicycles Cruz 7 - 2017"/>
    <n v="2"/>
    <x v="3"/>
    <n v="2"/>
    <n v="416.99"/>
    <n v="0.1"/>
    <n v="750.58199999999999"/>
  </r>
  <r>
    <n v="1240"/>
    <n v="2"/>
    <n v="23"/>
    <s v="Electra Girl's Hawaii 1 (20-inch) - 2015/2016"/>
    <n v="1"/>
    <x v="5"/>
    <n v="2"/>
    <n v="299.99"/>
    <n v="0.05"/>
    <n v="569.98099999999999"/>
  </r>
  <r>
    <n v="1240"/>
    <n v="3"/>
    <n v="15"/>
    <s v="Electra Moto 1 - 2016"/>
    <n v="3"/>
    <x v="0"/>
    <n v="2"/>
    <n v="529.99"/>
    <n v="0.2"/>
    <n v="847.98400000000004"/>
  </r>
  <r>
    <n v="1240"/>
    <n v="4"/>
    <n v="77"/>
    <s v="Electra Glam Punk 3i Ladies' - 2017"/>
    <n v="3"/>
    <x v="0"/>
    <n v="2"/>
    <n v="799.99"/>
    <n v="0.05"/>
    <n v="1519.981"/>
  </r>
  <r>
    <n v="1240"/>
    <n v="5"/>
    <n v="57"/>
    <s v="Trek Emonda S 5 - 2017"/>
    <n v="7"/>
    <x v="6"/>
    <n v="1"/>
    <n v="1999.99"/>
    <n v="0.05"/>
    <n v="1899.9904999999999"/>
  </r>
  <r>
    <n v="1241"/>
    <n v="1"/>
    <n v="74"/>
    <s v="Electra Cruiser Lux 1 - 2017"/>
    <n v="3"/>
    <x v="0"/>
    <n v="1"/>
    <n v="439.99"/>
    <n v="0.05"/>
    <n v="417.9905"/>
  </r>
  <r>
    <n v="1241"/>
    <n v="2"/>
    <n v="71"/>
    <s v="Sun Bicycles Atlas X-Type - 2017"/>
    <n v="3"/>
    <x v="0"/>
    <n v="2"/>
    <n v="416.99"/>
    <n v="0.05"/>
    <n v="792.28100000000006"/>
  </r>
  <r>
    <n v="1242"/>
    <n v="1"/>
    <n v="94"/>
    <s v="Haro Shredder Pro 20 - 2017"/>
    <n v="1"/>
    <x v="5"/>
    <n v="1"/>
    <n v="249.99"/>
    <n v="0.05"/>
    <n v="237.4905"/>
  </r>
  <r>
    <n v="1242"/>
    <n v="2"/>
    <n v="27"/>
    <s v="Surly Big Dummy Frameset - 2017"/>
    <n v="6"/>
    <x v="1"/>
    <n v="1"/>
    <n v="999.99"/>
    <n v="7.0000000000000007E-2"/>
    <n v="929.99070000000006"/>
  </r>
  <r>
    <n v="1242"/>
    <n v="3"/>
    <n v="10"/>
    <s v="Surly Straggler - 2016"/>
    <n v="4"/>
    <x v="2"/>
    <n v="1"/>
    <n v="1549"/>
    <n v="7.0000000000000007E-2"/>
    <n v="1440.57"/>
  </r>
  <r>
    <n v="1242"/>
    <n v="4"/>
    <n v="70"/>
    <s v="Electra Amsterdam Original 3i - 2015/2017"/>
    <n v="3"/>
    <x v="0"/>
    <n v="1"/>
    <n v="659.99"/>
    <n v="0.2"/>
    <n v="527.99199999999996"/>
  </r>
  <r>
    <n v="1243"/>
    <n v="1"/>
    <n v="44"/>
    <s v="Haro SR 1.1 - 2017"/>
    <n v="6"/>
    <x v="1"/>
    <n v="1"/>
    <n v="539.99"/>
    <n v="7.0000000000000007E-2"/>
    <n v="502.19069999999999"/>
  </r>
  <r>
    <n v="1244"/>
    <n v="1"/>
    <n v="45"/>
    <s v="Haro SR 1.2 - 2017"/>
    <n v="6"/>
    <x v="1"/>
    <n v="1"/>
    <n v="869.99"/>
    <n v="0.2"/>
    <n v="695.99199999999996"/>
  </r>
  <r>
    <n v="1244"/>
    <n v="2"/>
    <n v="38"/>
    <s v="Haro Flightline Two 26 Plus - 2017"/>
    <n v="6"/>
    <x v="1"/>
    <n v="2"/>
    <n v="549.99"/>
    <n v="7.0000000000000007E-2"/>
    <n v="1022.9814"/>
  </r>
  <r>
    <n v="1244"/>
    <n v="3"/>
    <n v="33"/>
    <s v="Surly Wednesday Frameset - 2017"/>
    <n v="6"/>
    <x v="1"/>
    <n v="1"/>
    <n v="469.99"/>
    <n v="7.0000000000000007E-2"/>
    <n v="437.09070000000003"/>
  </r>
  <r>
    <n v="1244"/>
    <n v="4"/>
    <n v="37"/>
    <s v="Haro Flightline One ST - 2017"/>
    <n v="6"/>
    <x v="1"/>
    <n v="2"/>
    <n v="379.99"/>
    <n v="0.1"/>
    <n v="683.98199999999997"/>
  </r>
  <r>
    <n v="1245"/>
    <n v="1"/>
    <n v="13"/>
    <s v="Electra Cruiser 1 (24-Inch) - 2016"/>
    <n v="3"/>
    <x v="0"/>
    <n v="1"/>
    <n v="269.99"/>
    <n v="0.1"/>
    <n v="242.99100000000001"/>
  </r>
  <r>
    <n v="1246"/>
    <n v="1"/>
    <n v="78"/>
    <s v="Sun Bicycles Biscayne Tandem CB - 2017"/>
    <n v="3"/>
    <x v="0"/>
    <n v="2"/>
    <n v="647.99"/>
    <n v="0.2"/>
    <n v="1036.7840000000001"/>
  </r>
  <r>
    <n v="1246"/>
    <n v="2"/>
    <n v="46"/>
    <s v="Haro SR 1.3 - 2017"/>
    <n v="6"/>
    <x v="1"/>
    <n v="1"/>
    <n v="1409.99"/>
    <n v="0.05"/>
    <n v="1339.4905000000001"/>
  </r>
  <r>
    <n v="1246"/>
    <n v="3"/>
    <n v="45"/>
    <s v="Haro SR 1.2 - 2017"/>
    <n v="6"/>
    <x v="1"/>
    <n v="2"/>
    <n v="869.99"/>
    <n v="7.0000000000000007E-2"/>
    <n v="1618.1813999999999"/>
  </r>
  <r>
    <n v="1247"/>
    <n v="1"/>
    <n v="15"/>
    <s v="Electra Moto 1 - 2016"/>
    <n v="3"/>
    <x v="0"/>
    <n v="2"/>
    <n v="529.99"/>
    <n v="0.1"/>
    <n v="953.98199999999997"/>
  </r>
  <r>
    <n v="1247"/>
    <n v="2"/>
    <n v="28"/>
    <s v="Surly Karate Monkey 27.5+ Frameset - 2017"/>
    <n v="6"/>
    <x v="1"/>
    <n v="2"/>
    <n v="2499.9899999999998"/>
    <n v="0.1"/>
    <n v="4499.982"/>
  </r>
  <r>
    <n v="1247"/>
    <n v="3"/>
    <n v="26"/>
    <s v="Electra Townie Original 7D EQ - 2016"/>
    <n v="2"/>
    <x v="3"/>
    <n v="1"/>
    <n v="599.99"/>
    <n v="0.05"/>
    <n v="569.9905"/>
  </r>
  <r>
    <n v="1248"/>
    <n v="1"/>
    <n v="94"/>
    <s v="Haro Shredder Pro 20 - 2017"/>
    <n v="1"/>
    <x v="5"/>
    <n v="2"/>
    <n v="249.99"/>
    <n v="0.05"/>
    <n v="474.98099999999999"/>
  </r>
  <r>
    <n v="1248"/>
    <n v="2"/>
    <n v="33"/>
    <s v="Surly Wednesday Frameset - 2017"/>
    <n v="6"/>
    <x v="1"/>
    <n v="2"/>
    <n v="469.99"/>
    <n v="0.1"/>
    <n v="845.98199999999997"/>
  </r>
  <r>
    <n v="1248"/>
    <n v="3"/>
    <n v="92"/>
    <s v="Haro Shredder 20 - 2017"/>
    <n v="1"/>
    <x v="5"/>
    <n v="1"/>
    <n v="209.99"/>
    <n v="0.1"/>
    <n v="188.99100000000001"/>
  </r>
  <r>
    <n v="1248"/>
    <n v="4"/>
    <n v="12"/>
    <s v="Electra Townie Original 21D - 2016"/>
    <n v="3"/>
    <x v="0"/>
    <n v="1"/>
    <n v="549.99"/>
    <n v="0.05"/>
    <n v="522.4905"/>
  </r>
  <r>
    <n v="1249"/>
    <n v="1"/>
    <n v="62"/>
    <s v="Trek Boone 7 - 2017"/>
    <n v="4"/>
    <x v="2"/>
    <n v="1"/>
    <n v="3499.99"/>
    <n v="0.05"/>
    <n v="3324.9904999999999"/>
  </r>
  <r>
    <n v="1249"/>
    <n v="2"/>
    <n v="104"/>
    <s v="Sun Bicycles Streamway - 2017"/>
    <n v="2"/>
    <x v="3"/>
    <n v="1"/>
    <n v="481.99"/>
    <n v="0.05"/>
    <n v="457.89050000000003"/>
  </r>
  <r>
    <n v="1249"/>
    <n v="3"/>
    <n v="61"/>
    <s v="Trek Powerfly 8 FS Plus - 2017"/>
    <n v="5"/>
    <x v="4"/>
    <n v="1"/>
    <n v="4999.99"/>
    <n v="0.2"/>
    <n v="3999.9919999999997"/>
  </r>
  <r>
    <n v="1250"/>
    <n v="1"/>
    <n v="78"/>
    <s v="Sun Bicycles Biscayne Tandem CB - 2017"/>
    <n v="3"/>
    <x v="0"/>
    <n v="2"/>
    <n v="647.99"/>
    <n v="0.05"/>
    <n v="1231.181"/>
  </r>
  <r>
    <n v="1250"/>
    <n v="2"/>
    <n v="66"/>
    <s v="Sun Bicycles Revolutions 24 - 2017"/>
    <n v="3"/>
    <x v="0"/>
    <n v="2"/>
    <n v="250.99"/>
    <n v="0.1"/>
    <n v="451.78200000000004"/>
  </r>
  <r>
    <n v="1250"/>
    <n v="3"/>
    <n v="20"/>
    <s v="Electra Townie Original 7D EQ - Women's - 2016"/>
    <n v="3"/>
    <x v="0"/>
    <n v="2"/>
    <n v="599.99"/>
    <n v="0.05"/>
    <n v="1139.981"/>
  </r>
  <r>
    <n v="1250"/>
    <n v="4"/>
    <n v="6"/>
    <s v="Surly Ice Cream Truck Frameset - 2016"/>
    <n v="6"/>
    <x v="1"/>
    <n v="2"/>
    <n v="469.99"/>
    <n v="0.1"/>
    <n v="845.98199999999997"/>
  </r>
  <r>
    <n v="1251"/>
    <n v="1"/>
    <n v="40"/>
    <s v="Trek Fuel EX 9.8 29 - 2017"/>
    <n v="6"/>
    <x v="1"/>
    <n v="2"/>
    <n v="4999.99"/>
    <n v="0.1"/>
    <n v="8999.982"/>
  </r>
  <r>
    <n v="1251"/>
    <n v="2"/>
    <n v="56"/>
    <s v="Trek Domane SLR 6 Disc - 2017"/>
    <n v="7"/>
    <x v="6"/>
    <n v="1"/>
    <n v="5499.99"/>
    <n v="7.0000000000000007E-2"/>
    <n v="5114.9906999999994"/>
  </r>
  <r>
    <n v="1251"/>
    <n v="3"/>
    <n v="7"/>
    <s v="Trek Slash 8 27.5 - 2016"/>
    <n v="6"/>
    <x v="1"/>
    <n v="1"/>
    <n v="3999.99"/>
    <n v="7.0000000000000007E-2"/>
    <n v="3719.9906999999998"/>
  </r>
  <r>
    <n v="1252"/>
    <n v="1"/>
    <n v="79"/>
    <s v="Sun Bicycles Boardwalk (24-inch Wheels) - 2017"/>
    <n v="3"/>
    <x v="0"/>
    <n v="1"/>
    <n v="402.99"/>
    <n v="0.2"/>
    <n v="322.392"/>
  </r>
  <r>
    <n v="1252"/>
    <n v="2"/>
    <n v="84"/>
    <s v="Sun Bicycles Lil Kitt'n - 2017"/>
    <n v="1"/>
    <x v="5"/>
    <n v="1"/>
    <n v="109.99"/>
    <n v="0.2"/>
    <n v="87.99199999999999"/>
  </r>
  <r>
    <n v="1252"/>
    <n v="3"/>
    <n v="57"/>
    <s v="Trek Emonda S 5 - 2017"/>
    <n v="7"/>
    <x v="6"/>
    <n v="2"/>
    <n v="1999.99"/>
    <n v="0.05"/>
    <n v="3799.9809999999998"/>
  </r>
  <r>
    <n v="1253"/>
    <n v="1"/>
    <n v="25"/>
    <s v="Electra Townie Original 7D - 2015/2016"/>
    <n v="2"/>
    <x v="3"/>
    <n v="2"/>
    <n v="499.99"/>
    <n v="0.1"/>
    <n v="899.98199999999997"/>
  </r>
  <r>
    <n v="1253"/>
    <n v="2"/>
    <n v="21"/>
    <s v="Electra Cruiser 1 (24-Inch) - 2016"/>
    <n v="1"/>
    <x v="5"/>
    <n v="1"/>
    <n v="269.99"/>
    <n v="7.0000000000000007E-2"/>
    <n v="251.0907"/>
  </r>
  <r>
    <n v="1253"/>
    <n v="3"/>
    <n v="88"/>
    <s v="Trek Precaliber 12 Girls - 2017"/>
    <n v="1"/>
    <x v="5"/>
    <n v="1"/>
    <n v="189.99"/>
    <n v="0.2"/>
    <n v="151.99200000000002"/>
  </r>
  <r>
    <n v="1254"/>
    <n v="1"/>
    <n v="80"/>
    <s v="Sun Bicycles Brickell Tandem CB - 2017"/>
    <n v="3"/>
    <x v="0"/>
    <n v="1"/>
    <n v="761.99"/>
    <n v="0.2"/>
    <n v="609.59199999999998"/>
  </r>
  <r>
    <n v="1254"/>
    <n v="2"/>
    <n v="91"/>
    <s v="Trek Precaliber 24 (21-Speed) - Girls - 2017"/>
    <n v="1"/>
    <x v="5"/>
    <n v="1"/>
    <n v="349.99"/>
    <n v="0.2"/>
    <n v="279.99200000000002"/>
  </r>
  <r>
    <n v="1255"/>
    <n v="1"/>
    <n v="43"/>
    <s v="Trek Fuel EX 9.8 27.5 Plus - 2017"/>
    <n v="6"/>
    <x v="1"/>
    <n v="2"/>
    <n v="5299.99"/>
    <n v="0.2"/>
    <n v="8479.9840000000004"/>
  </r>
  <r>
    <n v="1255"/>
    <n v="2"/>
    <n v="53"/>
    <s v="Surly Ogre Frameset - 2017"/>
    <n v="7"/>
    <x v="6"/>
    <n v="1"/>
    <n v="749.99"/>
    <n v="0.05"/>
    <n v="712.4905"/>
  </r>
  <r>
    <n v="1255"/>
    <n v="3"/>
    <n v="14"/>
    <s v="Electra Girl's Hawaii 1 (16-inch) - 2015/2016"/>
    <n v="3"/>
    <x v="0"/>
    <n v="2"/>
    <n v="269.99"/>
    <n v="0.2"/>
    <n v="431.98400000000004"/>
  </r>
  <r>
    <n v="1255"/>
    <n v="4"/>
    <n v="26"/>
    <s v="Electra Townie Original 7D EQ - 2016"/>
    <n v="2"/>
    <x v="3"/>
    <n v="2"/>
    <n v="599.99"/>
    <n v="0.05"/>
    <n v="1139.981"/>
  </r>
  <r>
    <n v="1255"/>
    <n v="5"/>
    <n v="82"/>
    <s v="Electra Amsterdam Original 3i Ladies' - 2017"/>
    <n v="3"/>
    <x v="0"/>
    <n v="1"/>
    <n v="659.99"/>
    <n v="0.05"/>
    <n v="626.9905"/>
  </r>
  <r>
    <n v="1256"/>
    <n v="1"/>
    <n v="44"/>
    <s v="Haro SR 1.1 - 2017"/>
    <n v="6"/>
    <x v="1"/>
    <n v="2"/>
    <n v="539.99"/>
    <n v="0.2"/>
    <n v="863.98400000000004"/>
  </r>
  <r>
    <n v="1256"/>
    <n v="2"/>
    <n v="100"/>
    <s v="Electra Townie 3i EQ (20-inch) - Boys' - 2017"/>
    <n v="1"/>
    <x v="5"/>
    <n v="1"/>
    <n v="489.99"/>
    <n v="0.1"/>
    <n v="440.99099999999999"/>
  </r>
  <r>
    <n v="1257"/>
    <n v="1"/>
    <n v="30"/>
    <s v="Surly Ice Cream Truck Frameset - 2017"/>
    <n v="6"/>
    <x v="1"/>
    <n v="2"/>
    <n v="999.99"/>
    <n v="0.05"/>
    <n v="1899.981"/>
  </r>
  <r>
    <n v="1257"/>
    <n v="2"/>
    <n v="61"/>
    <s v="Trek Powerfly 8 FS Plus - 2017"/>
    <n v="5"/>
    <x v="4"/>
    <n v="1"/>
    <n v="4999.99"/>
    <n v="0.05"/>
    <n v="4749.9904999999999"/>
  </r>
  <r>
    <n v="1257"/>
    <n v="3"/>
    <n v="17"/>
    <s v="Pure Cycles Vine 8-Speed - 2016"/>
    <n v="3"/>
    <x v="0"/>
    <n v="2"/>
    <n v="429"/>
    <n v="0.1"/>
    <n v="772.2"/>
  </r>
  <r>
    <n v="1257"/>
    <n v="4"/>
    <n v="41"/>
    <s v="Haro Shift R3 - 2017"/>
    <n v="6"/>
    <x v="1"/>
    <n v="1"/>
    <n v="1469.99"/>
    <n v="0.05"/>
    <n v="1396.4905000000001"/>
  </r>
  <r>
    <n v="1257"/>
    <n v="5"/>
    <n v="4"/>
    <s v="Trek Fuel EX 8 29 - 2016"/>
    <n v="6"/>
    <x v="1"/>
    <n v="1"/>
    <n v="2899.99"/>
    <n v="0.1"/>
    <n v="2609.991"/>
  </r>
  <r>
    <n v="1258"/>
    <n v="1"/>
    <n v="94"/>
    <s v="Haro Shredder Pro 20 - 2017"/>
    <n v="1"/>
    <x v="5"/>
    <n v="2"/>
    <n v="249.99"/>
    <n v="0.1"/>
    <n v="449.98200000000003"/>
  </r>
  <r>
    <n v="1258"/>
    <n v="2"/>
    <n v="99"/>
    <s v="Electra Sugar Skulls 1 (20-inch) - Girl's - 2017"/>
    <n v="1"/>
    <x v="5"/>
    <n v="2"/>
    <n v="299.99"/>
    <n v="0.05"/>
    <n v="569.98099999999999"/>
  </r>
  <r>
    <n v="1259"/>
    <n v="1"/>
    <n v="60"/>
    <s v="Sun Bicycles ElectroLite - 2017"/>
    <n v="5"/>
    <x v="4"/>
    <n v="1"/>
    <n v="1559.99"/>
    <n v="0.1"/>
    <n v="1403.991"/>
  </r>
  <r>
    <n v="1259"/>
    <n v="2"/>
    <n v="19"/>
    <s v="Pure Cycles William 3-Speed - 2016"/>
    <n v="3"/>
    <x v="0"/>
    <n v="1"/>
    <n v="449"/>
    <n v="0.2"/>
    <n v="359.2"/>
  </r>
  <r>
    <n v="1260"/>
    <n v="1"/>
    <n v="8"/>
    <s v="Trek Remedy 29 Carbon Frameset - 2016"/>
    <n v="6"/>
    <x v="1"/>
    <n v="1"/>
    <n v="1799.99"/>
    <n v="0.1"/>
    <n v="1619.991"/>
  </r>
  <r>
    <n v="1260"/>
    <n v="2"/>
    <n v="66"/>
    <s v="Sun Bicycles Revolutions 24 - 2017"/>
    <n v="3"/>
    <x v="0"/>
    <n v="1"/>
    <n v="250.99"/>
    <n v="0.1"/>
    <n v="225.89100000000002"/>
  </r>
  <r>
    <n v="1261"/>
    <n v="1"/>
    <n v="73"/>
    <s v="Sun Bicycles Brickell Tandem 7 - 2017"/>
    <n v="3"/>
    <x v="0"/>
    <n v="1"/>
    <n v="749.99"/>
    <n v="0.2"/>
    <n v="599.99199999999996"/>
  </r>
  <r>
    <n v="1261"/>
    <n v="2"/>
    <n v="88"/>
    <s v="Trek Precaliber 12 Girls - 2017"/>
    <n v="1"/>
    <x v="5"/>
    <n v="2"/>
    <n v="189.99"/>
    <n v="0.2"/>
    <n v="303.98400000000004"/>
  </r>
  <r>
    <n v="1261"/>
    <n v="3"/>
    <n v="100"/>
    <s v="Electra Townie 3i EQ (20-inch) - Boys' - 2017"/>
    <n v="1"/>
    <x v="5"/>
    <n v="1"/>
    <n v="489.99"/>
    <n v="0.05"/>
    <n v="465.4905"/>
  </r>
  <r>
    <n v="1261"/>
    <n v="4"/>
    <n v="42"/>
    <s v="Trek Fuel EX 5 27.5 Plus - 2017"/>
    <n v="6"/>
    <x v="1"/>
    <n v="1"/>
    <n v="2299.9899999999998"/>
    <n v="0.1"/>
    <n v="2069.991"/>
  </r>
  <r>
    <n v="1262"/>
    <n v="1"/>
    <n v="37"/>
    <s v="Haro Flightline One ST - 2017"/>
    <n v="6"/>
    <x v="1"/>
    <n v="1"/>
    <n v="379.99"/>
    <n v="7.0000000000000007E-2"/>
    <n v="353.39069999999998"/>
  </r>
  <r>
    <n v="1262"/>
    <n v="2"/>
    <n v="52"/>
    <s v="Surly Steamroller - 2017"/>
    <n v="7"/>
    <x v="6"/>
    <n v="1"/>
    <n v="875.99"/>
    <n v="0.05"/>
    <n v="832.19050000000004"/>
  </r>
  <r>
    <n v="1262"/>
    <n v="3"/>
    <n v="43"/>
    <s v="Trek Fuel EX 9.8 27.5 Plus - 2017"/>
    <n v="6"/>
    <x v="1"/>
    <n v="2"/>
    <n v="5299.99"/>
    <n v="7.0000000000000007E-2"/>
    <n v="9857.9813999999988"/>
  </r>
  <r>
    <n v="1262"/>
    <n v="4"/>
    <n v="77"/>
    <s v="Electra Glam Punk 3i Ladies' - 2017"/>
    <n v="3"/>
    <x v="0"/>
    <n v="1"/>
    <n v="799.99"/>
    <n v="7.0000000000000007E-2"/>
    <n v="743.99070000000006"/>
  </r>
  <r>
    <n v="1263"/>
    <n v="1"/>
    <n v="45"/>
    <s v="Haro SR 1.2 - 2017"/>
    <n v="6"/>
    <x v="1"/>
    <n v="1"/>
    <n v="869.99"/>
    <n v="0.2"/>
    <n v="695.99199999999996"/>
  </r>
  <r>
    <n v="1263"/>
    <n v="2"/>
    <n v="62"/>
    <s v="Trek Boone 7 - 2017"/>
    <n v="4"/>
    <x v="2"/>
    <n v="1"/>
    <n v="3499.99"/>
    <n v="0.05"/>
    <n v="3324.9904999999999"/>
  </r>
  <r>
    <n v="1263"/>
    <n v="3"/>
    <n v="19"/>
    <s v="Pure Cycles William 3-Speed - 2016"/>
    <n v="3"/>
    <x v="0"/>
    <n v="2"/>
    <n v="449"/>
    <n v="0.1"/>
    <n v="808.2"/>
  </r>
  <r>
    <n v="1264"/>
    <n v="1"/>
    <n v="101"/>
    <s v="Electra Townie 7D (20-inch) - Boys' - 2017"/>
    <n v="1"/>
    <x v="5"/>
    <n v="1"/>
    <n v="339.99"/>
    <n v="7.0000000000000007E-2"/>
    <n v="316.19069999999999"/>
  </r>
  <r>
    <n v="1264"/>
    <n v="2"/>
    <n v="77"/>
    <s v="Electra Glam Punk 3i Ladies' - 2017"/>
    <n v="3"/>
    <x v="0"/>
    <n v="2"/>
    <n v="799.99"/>
    <n v="7.0000000000000007E-2"/>
    <n v="1487.9814000000001"/>
  </r>
  <r>
    <n v="1264"/>
    <n v="3"/>
    <n v="29"/>
    <s v="Trek X-Caliber 8 - 2017"/>
    <n v="6"/>
    <x v="1"/>
    <n v="2"/>
    <n v="999.99"/>
    <n v="0.2"/>
    <n v="1599.9839999999999"/>
  </r>
  <r>
    <n v="1264"/>
    <n v="4"/>
    <n v="52"/>
    <s v="Surly Steamroller - 2017"/>
    <n v="7"/>
    <x v="6"/>
    <n v="1"/>
    <n v="875.99"/>
    <n v="0.05"/>
    <n v="832.19050000000004"/>
  </r>
  <r>
    <n v="1265"/>
    <n v="1"/>
    <n v="41"/>
    <s v="Haro Shift R3 - 2017"/>
    <n v="6"/>
    <x v="1"/>
    <n v="2"/>
    <n v="1469.99"/>
    <n v="0.1"/>
    <n v="2645.982"/>
  </r>
  <r>
    <n v="1265"/>
    <n v="2"/>
    <n v="72"/>
    <s v="Sun Bicycles Biscayne Tandem 7 - 2017"/>
    <n v="3"/>
    <x v="0"/>
    <n v="2"/>
    <n v="619.99"/>
    <n v="7.0000000000000007E-2"/>
    <n v="1153.1813999999999"/>
  </r>
  <r>
    <n v="1266"/>
    <n v="1"/>
    <n v="90"/>
    <s v="Trek Precaliber 16 Girls - 2017"/>
    <n v="1"/>
    <x v="5"/>
    <n v="1"/>
    <n v="209.99"/>
    <n v="0.2"/>
    <n v="167.99200000000002"/>
  </r>
  <r>
    <n v="1266"/>
    <n v="2"/>
    <n v="48"/>
    <s v="Trek Emonda S 4 - 2017"/>
    <n v="7"/>
    <x v="6"/>
    <n v="1"/>
    <n v="1499.99"/>
    <n v="0.2"/>
    <n v="1199.992"/>
  </r>
  <r>
    <n v="1267"/>
    <n v="1"/>
    <n v="45"/>
    <s v="Haro SR 1.2 - 2017"/>
    <n v="6"/>
    <x v="1"/>
    <n v="1"/>
    <n v="869.99"/>
    <n v="0.1"/>
    <n v="782.99099999999999"/>
  </r>
  <r>
    <n v="1267"/>
    <n v="2"/>
    <n v="27"/>
    <s v="Surly Big Dummy Frameset - 2017"/>
    <n v="6"/>
    <x v="1"/>
    <n v="1"/>
    <n v="999.99"/>
    <n v="7.0000000000000007E-2"/>
    <n v="929.99070000000006"/>
  </r>
  <r>
    <n v="1267"/>
    <n v="3"/>
    <n v="108"/>
    <s v="Sun Bicycles Cruz 3 - Women's - 2017"/>
    <n v="2"/>
    <x v="3"/>
    <n v="1"/>
    <n v="449.99"/>
    <n v="0.2"/>
    <n v="359.99200000000002"/>
  </r>
  <r>
    <n v="1267"/>
    <n v="4"/>
    <n v="95"/>
    <s v="Electra Girl's Hawaii 1 16&quot; - 2017"/>
    <n v="1"/>
    <x v="5"/>
    <n v="1"/>
    <n v="299.99"/>
    <n v="0.05"/>
    <n v="284.9905"/>
  </r>
  <r>
    <n v="1268"/>
    <n v="1"/>
    <n v="68"/>
    <s v="Sun Bicycles Cruz 3 - 2017"/>
    <n v="3"/>
    <x v="0"/>
    <n v="2"/>
    <n v="449.99"/>
    <n v="7.0000000000000007E-2"/>
    <n v="836.98140000000001"/>
  </r>
  <r>
    <n v="1268"/>
    <n v="2"/>
    <n v="87"/>
    <s v="Trek Precaliber 12 Boys - 2017"/>
    <n v="1"/>
    <x v="5"/>
    <n v="2"/>
    <n v="189.99"/>
    <n v="7.0000000000000007E-2"/>
    <n v="353.38139999999999"/>
  </r>
  <r>
    <n v="1268"/>
    <n v="3"/>
    <n v="59"/>
    <s v="Trek Domane S 5 Disc - 2017"/>
    <n v="7"/>
    <x v="6"/>
    <n v="2"/>
    <n v="2599.9899999999998"/>
    <n v="0.2"/>
    <n v="4159.9839999999995"/>
  </r>
  <r>
    <n v="1268"/>
    <n v="4"/>
    <n v="100"/>
    <s v="Electra Townie 3i EQ (20-inch) - Boys' - 2017"/>
    <n v="1"/>
    <x v="5"/>
    <n v="1"/>
    <n v="489.99"/>
    <n v="7.0000000000000007E-2"/>
    <n v="455.69069999999999"/>
  </r>
  <r>
    <n v="1269"/>
    <n v="1"/>
    <n v="4"/>
    <s v="Trek Fuel EX 8 29 - 2016"/>
    <n v="6"/>
    <x v="1"/>
    <n v="2"/>
    <n v="2899.99"/>
    <n v="0.2"/>
    <n v="4639.9839999999995"/>
  </r>
  <r>
    <n v="1269"/>
    <n v="2"/>
    <n v="7"/>
    <s v="Trek Slash 8 27.5 - 2016"/>
    <n v="6"/>
    <x v="1"/>
    <n v="1"/>
    <n v="3999.99"/>
    <n v="0.2"/>
    <n v="3199.9919999999997"/>
  </r>
  <r>
    <n v="1269"/>
    <n v="3"/>
    <n v="111"/>
    <s v="Sun Bicycles Drifter 7 - Women's - 2017"/>
    <n v="2"/>
    <x v="3"/>
    <n v="1"/>
    <n v="470.99"/>
    <n v="0.1"/>
    <n v="423.89100000000002"/>
  </r>
  <r>
    <n v="1270"/>
    <n v="1"/>
    <n v="54"/>
    <s v="Trek Domane SL Disc Frameset - 2017"/>
    <n v="7"/>
    <x v="6"/>
    <n v="1"/>
    <n v="3199.99"/>
    <n v="0.2"/>
    <n v="2559.9919999999997"/>
  </r>
  <r>
    <n v="1271"/>
    <n v="1"/>
    <n v="25"/>
    <s v="Electra Townie Original 7D - 2015/2016"/>
    <n v="2"/>
    <x v="3"/>
    <n v="2"/>
    <n v="499.99"/>
    <n v="0.1"/>
    <n v="899.98199999999997"/>
  </r>
  <r>
    <n v="1271"/>
    <n v="2"/>
    <n v="50"/>
    <s v="Trek Silque SLR 7 Women's - 2017"/>
    <n v="7"/>
    <x v="6"/>
    <n v="2"/>
    <n v="5999.99"/>
    <n v="7.0000000000000007E-2"/>
    <n v="11159.981399999999"/>
  </r>
  <r>
    <n v="1271"/>
    <n v="3"/>
    <n v="87"/>
    <s v="Trek Precaliber 12 Boys - 2017"/>
    <n v="1"/>
    <x v="5"/>
    <n v="2"/>
    <n v="189.99"/>
    <n v="7.0000000000000007E-2"/>
    <n v="353.38139999999999"/>
  </r>
  <r>
    <n v="1271"/>
    <n v="4"/>
    <n v="32"/>
    <s v="Trek Farley Alloy Frameset - 2017"/>
    <n v="6"/>
    <x v="1"/>
    <n v="2"/>
    <n v="469.99"/>
    <n v="7.0000000000000007E-2"/>
    <n v="874.18140000000005"/>
  </r>
  <r>
    <n v="1272"/>
    <n v="1"/>
    <n v="16"/>
    <s v="Electra Townie Original 7D EQ - 2016"/>
    <n v="3"/>
    <x v="0"/>
    <n v="2"/>
    <n v="599.99"/>
    <n v="0.2"/>
    <n v="959.98400000000004"/>
  </r>
  <r>
    <n v="1272"/>
    <n v="2"/>
    <n v="71"/>
    <s v="Sun Bicycles Atlas X-Type - 2017"/>
    <n v="3"/>
    <x v="0"/>
    <n v="2"/>
    <n v="416.99"/>
    <n v="0.1"/>
    <n v="750.58199999999999"/>
  </r>
  <r>
    <n v="1272"/>
    <n v="3"/>
    <n v="86"/>
    <s v="Trek Girl's Kickster - 2017"/>
    <n v="1"/>
    <x v="5"/>
    <n v="1"/>
    <n v="149.99"/>
    <n v="7.0000000000000007E-2"/>
    <n v="139.4907"/>
  </r>
  <r>
    <n v="1273"/>
    <n v="1"/>
    <n v="95"/>
    <s v="Electra Girl's Hawaii 1 16&quot; - 2017"/>
    <n v="1"/>
    <x v="5"/>
    <n v="2"/>
    <n v="299.99"/>
    <n v="7.0000000000000007E-2"/>
    <n v="557.98140000000001"/>
  </r>
  <r>
    <n v="1273"/>
    <n v="2"/>
    <n v="20"/>
    <s v="Electra Townie Original 7D EQ - Women's - 2016"/>
    <n v="3"/>
    <x v="0"/>
    <n v="1"/>
    <n v="599.99"/>
    <n v="7.0000000000000007E-2"/>
    <n v="557.99070000000006"/>
  </r>
  <r>
    <n v="1273"/>
    <n v="3"/>
    <n v="58"/>
    <s v="Trek Madone 9.2 - 2017"/>
    <n v="7"/>
    <x v="6"/>
    <n v="1"/>
    <n v="4999.99"/>
    <n v="0.2"/>
    <n v="3999.9919999999997"/>
  </r>
  <r>
    <n v="1274"/>
    <n v="1"/>
    <n v="81"/>
    <s v="Electra Amsterdam Fashion 7i Ladies' - 2017"/>
    <n v="3"/>
    <x v="0"/>
    <n v="1"/>
    <n v="1099.99"/>
    <n v="0.1"/>
    <n v="989.99099999999999"/>
  </r>
  <r>
    <n v="1275"/>
    <n v="1"/>
    <n v="58"/>
    <s v="Trek Madone 9.2 - 2017"/>
    <n v="7"/>
    <x v="6"/>
    <n v="1"/>
    <n v="4999.99"/>
    <n v="7.0000000000000007E-2"/>
    <n v="4649.9906999999994"/>
  </r>
  <r>
    <n v="1275"/>
    <n v="2"/>
    <n v="30"/>
    <s v="Surly Ice Cream Truck Frameset - 2017"/>
    <n v="6"/>
    <x v="1"/>
    <n v="1"/>
    <n v="999.99"/>
    <n v="0.1"/>
    <n v="899.99099999999999"/>
  </r>
  <r>
    <n v="1276"/>
    <n v="1"/>
    <n v="18"/>
    <s v="Pure Cycles Western 3-Speed - Women's - 2015/2016"/>
    <n v="3"/>
    <x v="0"/>
    <n v="2"/>
    <n v="449"/>
    <n v="0.2"/>
    <n v="718.4"/>
  </r>
  <r>
    <n v="1276"/>
    <n v="2"/>
    <n v="58"/>
    <s v="Trek Madone 9.2 - 2017"/>
    <n v="7"/>
    <x v="6"/>
    <n v="1"/>
    <n v="4999.99"/>
    <n v="0.2"/>
    <n v="3999.9919999999997"/>
  </r>
  <r>
    <n v="1276"/>
    <n v="3"/>
    <n v="42"/>
    <s v="Trek Fuel EX 5 27.5 Plus - 2017"/>
    <n v="6"/>
    <x v="1"/>
    <n v="1"/>
    <n v="2299.9899999999998"/>
    <n v="0.05"/>
    <n v="2184.9904999999999"/>
  </r>
  <r>
    <n v="1276"/>
    <n v="4"/>
    <n v="24"/>
    <s v="Electra Townie Original 21D - 2016"/>
    <n v="2"/>
    <x v="3"/>
    <n v="2"/>
    <n v="549.99"/>
    <n v="0.2"/>
    <n v="879.98400000000004"/>
  </r>
  <r>
    <n v="1276"/>
    <n v="5"/>
    <n v="78"/>
    <s v="Sun Bicycles Biscayne Tandem CB - 2017"/>
    <n v="3"/>
    <x v="0"/>
    <n v="2"/>
    <n v="647.99"/>
    <n v="0.2"/>
    <n v="1036.7840000000001"/>
  </r>
  <r>
    <n v="1277"/>
    <n v="1"/>
    <n v="56"/>
    <s v="Trek Domane SLR 6 Disc - 2017"/>
    <n v="7"/>
    <x v="6"/>
    <n v="2"/>
    <n v="5499.99"/>
    <n v="0.2"/>
    <n v="8799.9840000000004"/>
  </r>
  <r>
    <n v="1277"/>
    <n v="2"/>
    <n v="93"/>
    <s v="Haro Shredder 20 Girls - 2017"/>
    <n v="1"/>
    <x v="5"/>
    <n v="2"/>
    <n v="209.99"/>
    <n v="0.05"/>
    <n v="398.98099999999999"/>
  </r>
  <r>
    <n v="1277"/>
    <n v="3"/>
    <n v="9"/>
    <s v="Trek Conduit+ - 2016"/>
    <n v="5"/>
    <x v="4"/>
    <n v="2"/>
    <n v="2999.99"/>
    <n v="0.1"/>
    <n v="5399.982"/>
  </r>
  <r>
    <n v="1277"/>
    <n v="4"/>
    <n v="4"/>
    <s v="Trek Fuel EX 8 29 - 2016"/>
    <n v="6"/>
    <x v="1"/>
    <n v="1"/>
    <n v="2899.99"/>
    <n v="0.1"/>
    <n v="2609.991"/>
  </r>
  <r>
    <n v="1277"/>
    <n v="5"/>
    <n v="11"/>
    <s v="Surly Straggler 650b - 2016"/>
    <n v="4"/>
    <x v="2"/>
    <n v="1"/>
    <n v="1680.99"/>
    <n v="0.2"/>
    <n v="1344.7919999999999"/>
  </r>
  <r>
    <n v="1278"/>
    <n v="1"/>
    <n v="103"/>
    <s v="Sun Bicycles Streamway 3 - 2017"/>
    <n v="2"/>
    <x v="3"/>
    <n v="2"/>
    <n v="551.99"/>
    <n v="0.1"/>
    <n v="993.58199999999999"/>
  </r>
  <r>
    <n v="1278"/>
    <n v="2"/>
    <n v="32"/>
    <s v="Trek Farley Alloy Frameset - 2017"/>
    <n v="6"/>
    <x v="1"/>
    <n v="1"/>
    <n v="469.99"/>
    <n v="0.1"/>
    <n v="422.99099999999999"/>
  </r>
  <r>
    <n v="1279"/>
    <n v="1"/>
    <n v="9"/>
    <s v="Trek Conduit+ - 2016"/>
    <n v="5"/>
    <x v="4"/>
    <n v="2"/>
    <n v="2999.99"/>
    <n v="0.05"/>
    <n v="5699.9809999999998"/>
  </r>
  <r>
    <n v="1280"/>
    <n v="1"/>
    <n v="72"/>
    <s v="Sun Bicycles Biscayne Tandem 7 - 2017"/>
    <n v="3"/>
    <x v="0"/>
    <n v="2"/>
    <n v="619.99"/>
    <n v="7.0000000000000007E-2"/>
    <n v="1153.1813999999999"/>
  </r>
  <r>
    <n v="1280"/>
    <n v="2"/>
    <n v="74"/>
    <s v="Electra Cruiser Lux 1 - 2017"/>
    <n v="3"/>
    <x v="0"/>
    <n v="1"/>
    <n v="439.99"/>
    <n v="0.05"/>
    <n v="417.9905"/>
  </r>
  <r>
    <n v="1280"/>
    <n v="3"/>
    <n v="52"/>
    <s v="Surly Steamroller - 2017"/>
    <n v="7"/>
    <x v="6"/>
    <n v="1"/>
    <n v="875.99"/>
    <n v="7.0000000000000007E-2"/>
    <n v="814.67070000000001"/>
  </r>
  <r>
    <n v="1280"/>
    <n v="4"/>
    <n v="63"/>
    <s v="Trek Boone Race Shop Limited - 2017"/>
    <n v="4"/>
    <x v="2"/>
    <n v="1"/>
    <n v="3499.99"/>
    <n v="0.2"/>
    <n v="2799.9919999999997"/>
  </r>
  <r>
    <n v="1281"/>
    <n v="1"/>
    <n v="36"/>
    <s v="Surly Troll Frameset - 2017"/>
    <n v="6"/>
    <x v="1"/>
    <n v="1"/>
    <n v="832.99"/>
    <n v="0.05"/>
    <n v="791.34050000000002"/>
  </r>
  <r>
    <n v="1281"/>
    <n v="2"/>
    <n v="49"/>
    <s v="Trek Domane SL 6 - 2017"/>
    <n v="7"/>
    <x v="6"/>
    <n v="2"/>
    <n v="3499.99"/>
    <n v="0.05"/>
    <n v="6649.9809999999998"/>
  </r>
  <r>
    <n v="1281"/>
    <n v="3"/>
    <n v="75"/>
    <s v="Electra Cruiser Lux Fat Tire 1 Ladies - 2017"/>
    <n v="3"/>
    <x v="0"/>
    <n v="1"/>
    <n v="599.99"/>
    <n v="0.05"/>
    <n v="569.9905"/>
  </r>
  <r>
    <n v="1282"/>
    <n v="1"/>
    <n v="111"/>
    <s v="Sun Bicycles Drifter 7 - Women's - 2017"/>
    <n v="2"/>
    <x v="3"/>
    <n v="1"/>
    <n v="470.99"/>
    <n v="0.05"/>
    <n v="447.44049999999999"/>
  </r>
  <r>
    <n v="1282"/>
    <n v="2"/>
    <n v="50"/>
    <s v="Trek Silque SLR 7 Women's - 2017"/>
    <n v="7"/>
    <x v="6"/>
    <n v="2"/>
    <n v="5999.99"/>
    <n v="0.2"/>
    <n v="9599.9840000000004"/>
  </r>
  <r>
    <n v="1283"/>
    <n v="1"/>
    <n v="61"/>
    <s v="Trek Powerfly 8 FS Plus - 2017"/>
    <n v="5"/>
    <x v="4"/>
    <n v="2"/>
    <n v="4999.99"/>
    <n v="0.05"/>
    <n v="9499.9809999999998"/>
  </r>
  <r>
    <n v="1283"/>
    <n v="2"/>
    <n v="81"/>
    <s v="Electra Amsterdam Fashion 7i Ladies' - 2017"/>
    <n v="3"/>
    <x v="0"/>
    <n v="1"/>
    <n v="1099.99"/>
    <n v="0.2"/>
    <n v="879.99199999999996"/>
  </r>
  <r>
    <n v="1283"/>
    <n v="3"/>
    <n v="7"/>
    <s v="Trek Slash 8 27.5 - 2016"/>
    <n v="6"/>
    <x v="1"/>
    <n v="1"/>
    <n v="3999.99"/>
    <n v="0.1"/>
    <n v="3599.991"/>
  </r>
  <r>
    <n v="1283"/>
    <n v="4"/>
    <n v="32"/>
    <s v="Trek Farley Alloy Frameset - 2017"/>
    <n v="6"/>
    <x v="1"/>
    <n v="1"/>
    <n v="469.99"/>
    <n v="0.1"/>
    <n v="422.99099999999999"/>
  </r>
  <r>
    <n v="1283"/>
    <n v="5"/>
    <n v="11"/>
    <s v="Surly Straggler 650b - 2016"/>
    <n v="4"/>
    <x v="2"/>
    <n v="1"/>
    <n v="1680.99"/>
    <n v="0.2"/>
    <n v="1344.7919999999999"/>
  </r>
  <r>
    <n v="1284"/>
    <n v="1"/>
    <n v="101"/>
    <s v="Electra Townie 7D (20-inch) - Boys' - 2017"/>
    <n v="1"/>
    <x v="5"/>
    <n v="1"/>
    <n v="339.99"/>
    <n v="7.0000000000000007E-2"/>
    <n v="316.19069999999999"/>
  </r>
  <r>
    <n v="1284"/>
    <n v="2"/>
    <n v="8"/>
    <s v="Trek Remedy 29 Carbon Frameset - 2016"/>
    <n v="6"/>
    <x v="1"/>
    <n v="1"/>
    <n v="1799.99"/>
    <n v="0.05"/>
    <n v="1709.9904999999999"/>
  </r>
  <r>
    <n v="1284"/>
    <n v="3"/>
    <n v="4"/>
    <s v="Trek Fuel EX 8 29 - 2016"/>
    <n v="6"/>
    <x v="1"/>
    <n v="2"/>
    <n v="2899.99"/>
    <n v="0.05"/>
    <n v="5509.9809999999998"/>
  </r>
  <r>
    <n v="1285"/>
    <n v="1"/>
    <n v="78"/>
    <s v="Sun Bicycles Biscayne Tandem CB - 2017"/>
    <n v="3"/>
    <x v="0"/>
    <n v="2"/>
    <n v="647.99"/>
    <n v="7.0000000000000007E-2"/>
    <n v="1205.2614000000001"/>
  </r>
  <r>
    <n v="1285"/>
    <n v="2"/>
    <n v="93"/>
    <s v="Haro Shredder 20 Girls - 2017"/>
    <n v="1"/>
    <x v="5"/>
    <n v="1"/>
    <n v="209.99"/>
    <n v="0.1"/>
    <n v="188.99100000000001"/>
  </r>
  <r>
    <n v="1285"/>
    <n v="3"/>
    <n v="69"/>
    <s v="Sun Bicycles Cruz 7 - 2017"/>
    <n v="3"/>
    <x v="0"/>
    <n v="2"/>
    <n v="416.99"/>
    <n v="0.2"/>
    <n v="667.18399999999997"/>
  </r>
  <r>
    <n v="1285"/>
    <n v="4"/>
    <n v="6"/>
    <s v="Surly Ice Cream Truck Frameset - 2016"/>
    <n v="6"/>
    <x v="1"/>
    <n v="1"/>
    <n v="469.99"/>
    <n v="0.1"/>
    <n v="422.99099999999999"/>
  </r>
  <r>
    <n v="1286"/>
    <n v="1"/>
    <n v="109"/>
    <s v="Sun Bicycles Cruz 7 - Women's - 2017"/>
    <n v="2"/>
    <x v="3"/>
    <n v="2"/>
    <n v="416.99"/>
    <n v="0.2"/>
    <n v="667.18399999999997"/>
  </r>
  <r>
    <n v="1286"/>
    <n v="2"/>
    <n v="81"/>
    <s v="Electra Amsterdam Fashion 7i Ladies' - 2017"/>
    <n v="3"/>
    <x v="0"/>
    <n v="2"/>
    <n v="1099.99"/>
    <n v="7.0000000000000007E-2"/>
    <n v="2045.9814000000001"/>
  </r>
  <r>
    <n v="1286"/>
    <n v="3"/>
    <n v="87"/>
    <s v="Trek Precaliber 12 Boys - 2017"/>
    <n v="1"/>
    <x v="5"/>
    <n v="1"/>
    <n v="189.99"/>
    <n v="7.0000000000000007E-2"/>
    <n v="176.69069999999999"/>
  </r>
  <r>
    <n v="1287"/>
    <n v="1"/>
    <n v="27"/>
    <s v="Surly Big Dummy Frameset - 2017"/>
    <n v="6"/>
    <x v="1"/>
    <n v="2"/>
    <n v="999.99"/>
    <n v="0.2"/>
    <n v="1599.9839999999999"/>
  </r>
  <r>
    <n v="1287"/>
    <n v="2"/>
    <n v="62"/>
    <s v="Trek Boone 7 - 2017"/>
    <n v="4"/>
    <x v="2"/>
    <n v="2"/>
    <n v="3499.99"/>
    <n v="0.1"/>
    <n v="6299.982"/>
  </r>
  <r>
    <n v="1287"/>
    <n v="3"/>
    <n v="103"/>
    <s v="Sun Bicycles Streamway 3 - 2017"/>
    <n v="2"/>
    <x v="3"/>
    <n v="1"/>
    <n v="551.99"/>
    <n v="0.1"/>
    <n v="496.791"/>
  </r>
  <r>
    <n v="1287"/>
    <n v="4"/>
    <n v="100"/>
    <s v="Electra Townie 3i EQ (20-inch) - Boys' - 2017"/>
    <n v="1"/>
    <x v="5"/>
    <n v="2"/>
    <n v="489.99"/>
    <n v="0.05"/>
    <n v="930.98099999999999"/>
  </r>
  <r>
    <n v="1288"/>
    <n v="1"/>
    <n v="73"/>
    <s v="Sun Bicycles Brickell Tandem 7 - 2017"/>
    <n v="3"/>
    <x v="0"/>
    <n v="1"/>
    <n v="749.99"/>
    <n v="0.2"/>
    <n v="599.99199999999996"/>
  </r>
  <r>
    <n v="1288"/>
    <n v="2"/>
    <n v="64"/>
    <s v="Electra Townie Original 7D - 2017"/>
    <n v="3"/>
    <x v="0"/>
    <n v="2"/>
    <n v="489.99"/>
    <n v="0.2"/>
    <n v="783.98400000000004"/>
  </r>
  <r>
    <n v="1288"/>
    <n v="3"/>
    <n v="62"/>
    <s v="Trek Boone 7 - 2017"/>
    <n v="4"/>
    <x v="2"/>
    <n v="2"/>
    <n v="3499.99"/>
    <n v="0.1"/>
    <n v="6299.982"/>
  </r>
  <r>
    <n v="1288"/>
    <n v="4"/>
    <n v="17"/>
    <s v="Pure Cycles Vine 8-Speed - 2016"/>
    <n v="3"/>
    <x v="0"/>
    <n v="2"/>
    <n v="429"/>
    <n v="7.0000000000000007E-2"/>
    <n v="797.94"/>
  </r>
  <r>
    <n v="1289"/>
    <n v="1"/>
    <n v="89"/>
    <s v="Trek Precaliber 16 Boys - 2017"/>
    <n v="1"/>
    <x v="5"/>
    <n v="1"/>
    <n v="209.99"/>
    <n v="0.05"/>
    <n v="199.4905"/>
  </r>
  <r>
    <n v="1289"/>
    <n v="2"/>
    <n v="3"/>
    <s v="Surly Wednesday Frameset - 2016"/>
    <n v="6"/>
    <x v="1"/>
    <n v="1"/>
    <n v="999.99"/>
    <n v="0.1"/>
    <n v="899.99099999999999"/>
  </r>
  <r>
    <n v="1290"/>
    <n v="1"/>
    <n v="75"/>
    <s v="Electra Cruiser Lux Fat Tire 1 Ladies - 2017"/>
    <n v="3"/>
    <x v="0"/>
    <n v="2"/>
    <n v="599.99"/>
    <n v="0.05"/>
    <n v="1139.981"/>
  </r>
  <r>
    <n v="1290"/>
    <n v="2"/>
    <n v="36"/>
    <s v="Surly Troll Frameset - 2017"/>
    <n v="6"/>
    <x v="1"/>
    <n v="1"/>
    <n v="832.99"/>
    <n v="0.05"/>
    <n v="791.34050000000002"/>
  </r>
  <r>
    <n v="1290"/>
    <n v="3"/>
    <n v="92"/>
    <s v="Haro Shredder 20 - 2017"/>
    <n v="1"/>
    <x v="5"/>
    <n v="2"/>
    <n v="209.99"/>
    <n v="0.1"/>
    <n v="377.98200000000003"/>
  </r>
  <r>
    <n v="1291"/>
    <n v="1"/>
    <n v="57"/>
    <s v="Trek Emonda S 5 - 2017"/>
    <n v="7"/>
    <x v="6"/>
    <n v="1"/>
    <n v="1999.99"/>
    <n v="0.1"/>
    <n v="1799.991"/>
  </r>
  <r>
    <n v="1291"/>
    <n v="2"/>
    <n v="58"/>
    <s v="Trek Madone 9.2 - 2017"/>
    <n v="7"/>
    <x v="6"/>
    <n v="2"/>
    <n v="4999.99"/>
    <n v="0.05"/>
    <n v="9499.9809999999998"/>
  </r>
  <r>
    <n v="1292"/>
    <n v="1"/>
    <n v="70"/>
    <s v="Electra Amsterdam Original 3i - 2015/2017"/>
    <n v="3"/>
    <x v="0"/>
    <n v="1"/>
    <n v="659.99"/>
    <n v="7.0000000000000007E-2"/>
    <n v="613.79070000000002"/>
  </r>
  <r>
    <n v="1293"/>
    <n v="1"/>
    <n v="88"/>
    <s v="Trek Precaliber 12 Girls - 2017"/>
    <n v="1"/>
    <x v="5"/>
    <n v="2"/>
    <n v="189.99"/>
    <n v="0.1"/>
    <n v="341.98200000000003"/>
  </r>
  <r>
    <n v="1293"/>
    <n v="2"/>
    <n v="74"/>
    <s v="Electra Cruiser Lux 1 - 2017"/>
    <n v="3"/>
    <x v="0"/>
    <n v="2"/>
    <n v="439.99"/>
    <n v="0.05"/>
    <n v="835.98099999999999"/>
  </r>
  <r>
    <n v="1293"/>
    <n v="3"/>
    <n v="38"/>
    <s v="Haro Flightline Two 26 Plus - 2017"/>
    <n v="6"/>
    <x v="1"/>
    <n v="2"/>
    <n v="549.99"/>
    <n v="7.0000000000000007E-2"/>
    <n v="1022.9814"/>
  </r>
  <r>
    <n v="1294"/>
    <n v="1"/>
    <n v="95"/>
    <s v="Electra Girl's Hawaii 1 16&quot; - 2017"/>
    <n v="1"/>
    <x v="5"/>
    <n v="2"/>
    <n v="299.99"/>
    <n v="0.05"/>
    <n v="569.98099999999999"/>
  </r>
  <r>
    <n v="1294"/>
    <n v="2"/>
    <n v="44"/>
    <s v="Haro SR 1.1 - 2017"/>
    <n v="6"/>
    <x v="1"/>
    <n v="1"/>
    <n v="539.99"/>
    <n v="0.05"/>
    <n v="512.9905"/>
  </r>
  <r>
    <n v="1295"/>
    <n v="1"/>
    <n v="5"/>
    <s v="Heller Shagamaw Frame - 2016"/>
    <n v="6"/>
    <x v="1"/>
    <n v="2"/>
    <n v="1320.99"/>
    <n v="0.2"/>
    <n v="2113.5839999999998"/>
  </r>
  <r>
    <n v="1295"/>
    <n v="2"/>
    <n v="61"/>
    <s v="Trek Powerfly 8 FS Plus - 2017"/>
    <n v="5"/>
    <x v="4"/>
    <n v="1"/>
    <n v="4999.99"/>
    <n v="0.2"/>
    <n v="3999.9919999999997"/>
  </r>
  <r>
    <n v="1295"/>
    <n v="3"/>
    <n v="52"/>
    <s v="Surly Steamroller - 2017"/>
    <n v="7"/>
    <x v="6"/>
    <n v="1"/>
    <n v="875.99"/>
    <n v="0.05"/>
    <n v="832.19050000000004"/>
  </r>
  <r>
    <n v="1296"/>
    <n v="1"/>
    <n v="25"/>
    <s v="Electra Townie Original 7D - 2015/2016"/>
    <n v="2"/>
    <x v="3"/>
    <n v="2"/>
    <n v="499.99"/>
    <n v="0.05"/>
    <n v="949.98099999999999"/>
  </r>
  <r>
    <n v="1296"/>
    <n v="2"/>
    <n v="90"/>
    <s v="Trek Precaliber 16 Girls - 2017"/>
    <n v="1"/>
    <x v="5"/>
    <n v="1"/>
    <n v="209.99"/>
    <n v="0.1"/>
    <n v="188.99100000000001"/>
  </r>
  <r>
    <n v="1296"/>
    <n v="3"/>
    <n v="16"/>
    <s v="Electra Townie Original 7D EQ - 2016"/>
    <n v="3"/>
    <x v="0"/>
    <n v="1"/>
    <n v="599.99"/>
    <n v="0.05"/>
    <n v="569.9905"/>
  </r>
  <r>
    <n v="1296"/>
    <n v="4"/>
    <n v="2"/>
    <s v="Ritchey Timberwolf Frameset - 2016"/>
    <n v="6"/>
    <x v="1"/>
    <n v="2"/>
    <n v="749.99"/>
    <n v="0.1"/>
    <n v="1349.982"/>
  </r>
  <r>
    <n v="1297"/>
    <n v="1"/>
    <n v="104"/>
    <s v="Sun Bicycles Streamway - 2017"/>
    <n v="2"/>
    <x v="3"/>
    <n v="2"/>
    <n v="481.99"/>
    <n v="7.0000000000000007E-2"/>
    <n v="896.50139999999999"/>
  </r>
  <r>
    <n v="1297"/>
    <n v="2"/>
    <n v="43"/>
    <s v="Trek Fuel EX 9.8 27.5 Plus - 2017"/>
    <n v="6"/>
    <x v="1"/>
    <n v="1"/>
    <n v="5299.99"/>
    <n v="0.05"/>
    <n v="5034.9904999999999"/>
  </r>
  <r>
    <n v="1297"/>
    <n v="3"/>
    <n v="51"/>
    <s v="Trek Silque SLR 8 Women's - 2017"/>
    <n v="7"/>
    <x v="6"/>
    <n v="2"/>
    <n v="6499.99"/>
    <n v="0.05"/>
    <n v="12349.981"/>
  </r>
  <r>
    <n v="1298"/>
    <n v="1"/>
    <n v="59"/>
    <s v="Trek Domane S 5 Disc - 2017"/>
    <n v="7"/>
    <x v="6"/>
    <n v="1"/>
    <n v="2599.9899999999998"/>
    <n v="0.05"/>
    <n v="2469.9904999999999"/>
  </r>
  <r>
    <n v="1298"/>
    <n v="2"/>
    <n v="110"/>
    <s v="Sun Bicycles Drifter 7 - 2017"/>
    <n v="2"/>
    <x v="3"/>
    <n v="2"/>
    <n v="470.99"/>
    <n v="7.0000000000000007E-2"/>
    <n v="876.04140000000007"/>
  </r>
  <r>
    <n v="1299"/>
    <n v="1"/>
    <n v="14"/>
    <s v="Electra Girl's Hawaii 1 (16-inch) - 2015/2016"/>
    <n v="3"/>
    <x v="0"/>
    <n v="2"/>
    <n v="269.99"/>
    <n v="0.1"/>
    <n v="485.98200000000003"/>
  </r>
  <r>
    <n v="1299"/>
    <n v="2"/>
    <n v="101"/>
    <s v="Electra Townie 7D (20-inch) - Boys' - 2017"/>
    <n v="1"/>
    <x v="5"/>
    <n v="1"/>
    <n v="339.99"/>
    <n v="0.05"/>
    <n v="322.9905"/>
  </r>
  <r>
    <n v="1299"/>
    <n v="3"/>
    <n v="75"/>
    <s v="Electra Cruiser Lux Fat Tire 1 Ladies - 2017"/>
    <n v="3"/>
    <x v="0"/>
    <n v="1"/>
    <n v="599.99"/>
    <n v="0.05"/>
    <n v="569.9905"/>
  </r>
  <r>
    <n v="1299"/>
    <n v="4"/>
    <n v="52"/>
    <s v="Surly Steamroller - 2017"/>
    <n v="7"/>
    <x v="6"/>
    <n v="2"/>
    <n v="875.99"/>
    <n v="0.2"/>
    <n v="1401.5840000000001"/>
  </r>
  <r>
    <n v="1300"/>
    <n v="1"/>
    <n v="101"/>
    <s v="Electra Townie 7D (20-inch) - Boys' - 2017"/>
    <n v="1"/>
    <x v="5"/>
    <n v="2"/>
    <n v="339.99"/>
    <n v="7.0000000000000007E-2"/>
    <n v="632.38139999999999"/>
  </r>
  <r>
    <n v="1300"/>
    <n v="2"/>
    <n v="58"/>
    <s v="Trek Madone 9.2 - 2017"/>
    <n v="7"/>
    <x v="6"/>
    <n v="2"/>
    <n v="4999.99"/>
    <n v="0.05"/>
    <n v="9499.9809999999998"/>
  </r>
  <r>
    <n v="1301"/>
    <n v="1"/>
    <n v="45"/>
    <s v="Haro SR 1.2 - 2017"/>
    <n v="6"/>
    <x v="1"/>
    <n v="2"/>
    <n v="869.99"/>
    <n v="0.2"/>
    <n v="1391.9839999999999"/>
  </r>
  <r>
    <n v="1301"/>
    <n v="2"/>
    <n v="105"/>
    <s v="Sun Bicycles Streamway 7 - 2017"/>
    <n v="2"/>
    <x v="3"/>
    <n v="2"/>
    <n v="533.99"/>
    <n v="0.1"/>
    <n v="961.18200000000002"/>
  </r>
  <r>
    <n v="1301"/>
    <n v="3"/>
    <n v="8"/>
    <s v="Trek Remedy 29 Carbon Frameset - 2016"/>
    <n v="6"/>
    <x v="1"/>
    <n v="1"/>
    <n v="1799.99"/>
    <n v="0.2"/>
    <n v="1439.992"/>
  </r>
  <r>
    <n v="1302"/>
    <n v="1"/>
    <n v="38"/>
    <s v="Haro Flightline Two 26 Plus - 2017"/>
    <n v="6"/>
    <x v="1"/>
    <n v="1"/>
    <n v="549.99"/>
    <n v="0.05"/>
    <n v="522.4905"/>
  </r>
  <r>
    <n v="1302"/>
    <n v="2"/>
    <n v="20"/>
    <s v="Electra Townie Original 7D EQ - Women's - 2016"/>
    <n v="3"/>
    <x v="0"/>
    <n v="2"/>
    <n v="599.99"/>
    <n v="0.1"/>
    <n v="1079.982"/>
  </r>
  <r>
    <n v="1302"/>
    <n v="3"/>
    <n v="56"/>
    <s v="Trek Domane SLR 6 Disc - 2017"/>
    <n v="7"/>
    <x v="6"/>
    <n v="2"/>
    <n v="5499.99"/>
    <n v="7.0000000000000007E-2"/>
    <n v="10229.981399999999"/>
  </r>
  <r>
    <n v="1303"/>
    <n v="1"/>
    <n v="96"/>
    <s v="Electra Moto 3i (20-inch) - Boy's - 2017"/>
    <n v="1"/>
    <x v="5"/>
    <n v="1"/>
    <n v="349.99"/>
    <n v="0.1"/>
    <n v="314.99099999999999"/>
  </r>
  <r>
    <n v="1303"/>
    <n v="2"/>
    <n v="63"/>
    <s v="Trek Boone Race Shop Limited - 2017"/>
    <n v="4"/>
    <x v="2"/>
    <n v="2"/>
    <n v="3499.99"/>
    <n v="0.2"/>
    <n v="5599.9839999999995"/>
  </r>
  <r>
    <n v="1303"/>
    <n v="3"/>
    <n v="108"/>
    <s v="Sun Bicycles Cruz 3 - Women's - 2017"/>
    <n v="2"/>
    <x v="3"/>
    <n v="1"/>
    <n v="449.99"/>
    <n v="0.1"/>
    <n v="404.99099999999999"/>
  </r>
  <r>
    <n v="1303"/>
    <n v="4"/>
    <n v="73"/>
    <s v="Sun Bicycles Brickell Tandem 7 - 2017"/>
    <n v="3"/>
    <x v="0"/>
    <n v="1"/>
    <n v="749.99"/>
    <n v="0.1"/>
    <n v="674.99099999999999"/>
  </r>
  <r>
    <n v="1303"/>
    <n v="5"/>
    <n v="24"/>
    <s v="Electra Townie Original 21D - 2016"/>
    <n v="2"/>
    <x v="3"/>
    <n v="2"/>
    <n v="549.99"/>
    <n v="0.1"/>
    <n v="989.98199999999997"/>
  </r>
  <r>
    <n v="1304"/>
    <n v="1"/>
    <n v="80"/>
    <s v="Sun Bicycles Brickell Tandem CB - 2017"/>
    <n v="3"/>
    <x v="0"/>
    <n v="1"/>
    <n v="761.99"/>
    <n v="0.05"/>
    <n v="723.89049999999997"/>
  </r>
  <r>
    <n v="1304"/>
    <n v="2"/>
    <n v="99"/>
    <s v="Electra Sugar Skulls 1 (20-inch) - Girl's - 2017"/>
    <n v="1"/>
    <x v="5"/>
    <n v="2"/>
    <n v="299.99"/>
    <n v="0.05"/>
    <n v="569.98099999999999"/>
  </r>
  <r>
    <n v="1304"/>
    <n v="3"/>
    <n v="102"/>
    <s v="Electra Townie Original 7D - 2017"/>
    <n v="2"/>
    <x v="3"/>
    <n v="1"/>
    <n v="489.99"/>
    <n v="0.2"/>
    <n v="391.99200000000002"/>
  </r>
  <r>
    <n v="1304"/>
    <n v="4"/>
    <n v="17"/>
    <s v="Pure Cycles Vine 8-Speed - 2016"/>
    <n v="3"/>
    <x v="0"/>
    <n v="1"/>
    <n v="429"/>
    <n v="0.05"/>
    <n v="407.55"/>
  </r>
  <r>
    <n v="1305"/>
    <n v="1"/>
    <n v="85"/>
    <s v="Haro Downtown 16 - 2017"/>
    <n v="1"/>
    <x v="5"/>
    <n v="1"/>
    <n v="329.99"/>
    <n v="0.2"/>
    <n v="263.99200000000002"/>
  </r>
  <r>
    <n v="1305"/>
    <n v="2"/>
    <n v="9"/>
    <s v="Trek Conduit+ - 2016"/>
    <n v="5"/>
    <x v="4"/>
    <n v="1"/>
    <n v="2999.99"/>
    <n v="7.0000000000000007E-2"/>
    <n v="2789.9906999999998"/>
  </r>
  <r>
    <n v="1305"/>
    <n v="3"/>
    <n v="11"/>
    <s v="Surly Straggler 650b - 2016"/>
    <n v="4"/>
    <x v="2"/>
    <n v="1"/>
    <n v="1680.99"/>
    <n v="0.05"/>
    <n v="1596.9404999999999"/>
  </r>
  <r>
    <n v="1305"/>
    <n v="4"/>
    <n v="91"/>
    <s v="Trek Precaliber 24 (21-Speed) - Girls - 2017"/>
    <n v="1"/>
    <x v="5"/>
    <n v="2"/>
    <n v="349.99"/>
    <n v="0.05"/>
    <n v="664.98099999999999"/>
  </r>
  <r>
    <n v="1306"/>
    <n v="1"/>
    <n v="103"/>
    <s v="Sun Bicycles Streamway 3 - 2017"/>
    <n v="2"/>
    <x v="3"/>
    <n v="2"/>
    <n v="551.99"/>
    <n v="0.05"/>
    <n v="1048.7809999999999"/>
  </r>
  <r>
    <n v="1306"/>
    <n v="2"/>
    <n v="81"/>
    <s v="Electra Amsterdam Fashion 7i Ladies' - 2017"/>
    <n v="3"/>
    <x v="0"/>
    <n v="2"/>
    <n v="1099.99"/>
    <n v="7.0000000000000007E-2"/>
    <n v="2045.9814000000001"/>
  </r>
  <r>
    <n v="1306"/>
    <n v="3"/>
    <n v="45"/>
    <s v="Haro SR 1.2 - 2017"/>
    <n v="6"/>
    <x v="1"/>
    <n v="1"/>
    <n v="869.99"/>
    <n v="0.2"/>
    <n v="695.99199999999996"/>
  </r>
  <r>
    <n v="1306"/>
    <n v="4"/>
    <n v="42"/>
    <s v="Trek Fuel EX 5 27.5 Plus - 2017"/>
    <n v="6"/>
    <x v="1"/>
    <n v="1"/>
    <n v="2299.9899999999998"/>
    <n v="0.2"/>
    <n v="1839.9919999999997"/>
  </r>
  <r>
    <n v="1306"/>
    <n v="5"/>
    <n v="9"/>
    <s v="Trek Conduit+ - 2016"/>
    <n v="5"/>
    <x v="4"/>
    <n v="2"/>
    <n v="2999.99"/>
    <n v="7.0000000000000007E-2"/>
    <n v="5579.9813999999997"/>
  </r>
  <r>
    <n v="1307"/>
    <n v="1"/>
    <n v="96"/>
    <s v="Electra Moto 3i (20-inch) - Boy's - 2017"/>
    <n v="1"/>
    <x v="5"/>
    <n v="2"/>
    <n v="349.99"/>
    <n v="7.0000000000000007E-2"/>
    <n v="650.98140000000001"/>
  </r>
  <r>
    <n v="1307"/>
    <n v="2"/>
    <n v="53"/>
    <s v="Surly Ogre Frameset - 2017"/>
    <n v="7"/>
    <x v="6"/>
    <n v="2"/>
    <n v="749.99"/>
    <n v="0.2"/>
    <n v="1199.9839999999999"/>
  </r>
  <r>
    <n v="1307"/>
    <n v="3"/>
    <n v="69"/>
    <s v="Sun Bicycles Cruz 7 - 2017"/>
    <n v="3"/>
    <x v="0"/>
    <n v="2"/>
    <n v="416.99"/>
    <n v="0.2"/>
    <n v="667.18399999999997"/>
  </r>
  <r>
    <n v="1308"/>
    <n v="1"/>
    <n v="54"/>
    <s v="Trek Domane SL Disc Frameset - 2017"/>
    <n v="7"/>
    <x v="6"/>
    <n v="1"/>
    <n v="3199.99"/>
    <n v="0.05"/>
    <n v="3039.9904999999999"/>
  </r>
  <r>
    <n v="1308"/>
    <n v="2"/>
    <n v="69"/>
    <s v="Sun Bicycles Cruz 7 - 2017"/>
    <n v="3"/>
    <x v="0"/>
    <n v="1"/>
    <n v="416.99"/>
    <n v="0.2"/>
    <n v="333.59199999999998"/>
  </r>
  <r>
    <n v="1308"/>
    <n v="3"/>
    <n v="14"/>
    <s v="Electra Girl's Hawaii 1 (16-inch) - 2015/2016"/>
    <n v="3"/>
    <x v="0"/>
    <n v="2"/>
    <n v="269.99"/>
    <n v="7.0000000000000007E-2"/>
    <n v="502.1814"/>
  </r>
  <r>
    <n v="1308"/>
    <n v="4"/>
    <n v="56"/>
    <s v="Trek Domane SLR 6 Disc - 2017"/>
    <n v="7"/>
    <x v="6"/>
    <n v="1"/>
    <n v="5499.99"/>
    <n v="0.2"/>
    <n v="4399.9920000000002"/>
  </r>
  <r>
    <n v="1308"/>
    <n v="5"/>
    <n v="32"/>
    <s v="Trek Farley Alloy Frameset - 2017"/>
    <n v="6"/>
    <x v="1"/>
    <n v="1"/>
    <n v="469.99"/>
    <n v="7.0000000000000007E-2"/>
    <n v="437.09070000000003"/>
  </r>
  <r>
    <n v="1309"/>
    <n v="1"/>
    <n v="65"/>
    <s v="Sun Bicycles Lil Bolt Type-R - 2017"/>
    <n v="3"/>
    <x v="0"/>
    <n v="1"/>
    <n v="346.99"/>
    <n v="0.05"/>
    <n v="329.64050000000003"/>
  </r>
  <r>
    <n v="1309"/>
    <n v="2"/>
    <n v="87"/>
    <s v="Trek Precaliber 12 Boys - 2017"/>
    <n v="1"/>
    <x v="5"/>
    <n v="2"/>
    <n v="189.99"/>
    <n v="0.2"/>
    <n v="303.98400000000004"/>
  </r>
  <r>
    <n v="1310"/>
    <n v="1"/>
    <n v="59"/>
    <s v="Trek Domane S 5 Disc - 2017"/>
    <n v="7"/>
    <x v="6"/>
    <n v="1"/>
    <n v="2599.9899999999998"/>
    <n v="0.2"/>
    <n v="2079.9919999999997"/>
  </r>
  <r>
    <n v="1310"/>
    <n v="2"/>
    <n v="77"/>
    <s v="Electra Glam Punk 3i Ladies' - 2017"/>
    <n v="3"/>
    <x v="0"/>
    <n v="2"/>
    <n v="799.99"/>
    <n v="0.2"/>
    <n v="1279.9839999999999"/>
  </r>
  <r>
    <n v="1310"/>
    <n v="3"/>
    <n v="11"/>
    <s v="Surly Straggler 650b - 2016"/>
    <n v="4"/>
    <x v="2"/>
    <n v="2"/>
    <n v="1680.99"/>
    <n v="0.1"/>
    <n v="3025.7820000000002"/>
  </r>
  <r>
    <n v="1310"/>
    <n v="4"/>
    <n v="54"/>
    <s v="Trek Domane SL Disc Frameset - 2017"/>
    <n v="7"/>
    <x v="6"/>
    <n v="1"/>
    <n v="3199.99"/>
    <n v="0.2"/>
    <n v="2559.9919999999997"/>
  </r>
  <r>
    <n v="1311"/>
    <n v="1"/>
    <n v="69"/>
    <s v="Sun Bicycles Cruz 7 - 2017"/>
    <n v="3"/>
    <x v="0"/>
    <n v="1"/>
    <n v="416.99"/>
    <n v="0.1"/>
    <n v="375.291"/>
  </r>
  <r>
    <n v="1311"/>
    <n v="2"/>
    <n v="45"/>
    <s v="Haro SR 1.2 - 2017"/>
    <n v="6"/>
    <x v="1"/>
    <n v="2"/>
    <n v="869.99"/>
    <n v="7.0000000000000007E-2"/>
    <n v="1618.1813999999999"/>
  </r>
  <r>
    <n v="1311"/>
    <n v="3"/>
    <n v="27"/>
    <s v="Surly Big Dummy Frameset - 2017"/>
    <n v="6"/>
    <x v="1"/>
    <n v="2"/>
    <n v="999.99"/>
    <n v="0.1"/>
    <n v="1799.982"/>
  </r>
  <r>
    <n v="1311"/>
    <n v="4"/>
    <n v="42"/>
    <s v="Trek Fuel EX 5 27.5 Plus - 2017"/>
    <n v="6"/>
    <x v="1"/>
    <n v="1"/>
    <n v="2299.9899999999998"/>
    <n v="0.1"/>
    <n v="2069.991"/>
  </r>
  <r>
    <n v="1312"/>
    <n v="1"/>
    <n v="67"/>
    <s v="Sun Bicycles Revolutions 24 - Girl's - 2017"/>
    <n v="3"/>
    <x v="0"/>
    <n v="2"/>
    <n v="250.99"/>
    <n v="0.05"/>
    <n v="476.88100000000003"/>
  </r>
  <r>
    <n v="1312"/>
    <n v="2"/>
    <n v="14"/>
    <s v="Electra Girl's Hawaii 1 (16-inch) - 2015/2016"/>
    <n v="3"/>
    <x v="0"/>
    <n v="1"/>
    <n v="269.99"/>
    <n v="0.2"/>
    <n v="215.99200000000002"/>
  </r>
  <r>
    <n v="1312"/>
    <n v="3"/>
    <n v="20"/>
    <s v="Electra Townie Original 7D EQ - Women's - 2016"/>
    <n v="3"/>
    <x v="0"/>
    <n v="1"/>
    <n v="599.99"/>
    <n v="7.0000000000000007E-2"/>
    <n v="557.99070000000006"/>
  </r>
  <r>
    <n v="1313"/>
    <n v="1"/>
    <n v="75"/>
    <s v="Electra Cruiser Lux Fat Tire 1 Ladies - 2017"/>
    <n v="3"/>
    <x v="0"/>
    <n v="1"/>
    <n v="599.99"/>
    <n v="0.2"/>
    <n v="479.99200000000002"/>
  </r>
  <r>
    <n v="1313"/>
    <n v="2"/>
    <n v="33"/>
    <s v="Surly Wednesday Frameset - 2017"/>
    <n v="6"/>
    <x v="1"/>
    <n v="1"/>
    <n v="469.99"/>
    <n v="0.2"/>
    <n v="375.99200000000002"/>
  </r>
  <r>
    <n v="1313"/>
    <n v="3"/>
    <n v="69"/>
    <s v="Sun Bicycles Cruz 7 - 2017"/>
    <n v="3"/>
    <x v="0"/>
    <n v="1"/>
    <n v="416.99"/>
    <n v="7.0000000000000007E-2"/>
    <n v="387.80070000000001"/>
  </r>
  <r>
    <n v="1314"/>
    <n v="1"/>
    <n v="52"/>
    <s v="Surly Steamroller - 2017"/>
    <n v="7"/>
    <x v="6"/>
    <n v="1"/>
    <n v="875.99"/>
    <n v="7.0000000000000007E-2"/>
    <n v="814.67070000000001"/>
  </r>
  <r>
    <n v="1314"/>
    <n v="2"/>
    <n v="72"/>
    <s v="Sun Bicycles Biscayne Tandem 7 - 2017"/>
    <n v="3"/>
    <x v="0"/>
    <n v="2"/>
    <n v="619.99"/>
    <n v="0.05"/>
    <n v="1177.981"/>
  </r>
  <r>
    <n v="1314"/>
    <n v="3"/>
    <n v="94"/>
    <s v="Haro Shredder Pro 20 - 2017"/>
    <n v="1"/>
    <x v="5"/>
    <n v="1"/>
    <n v="249.99"/>
    <n v="0.1"/>
    <n v="224.99100000000001"/>
  </r>
  <r>
    <n v="1315"/>
    <n v="1"/>
    <n v="104"/>
    <s v="Sun Bicycles Streamway - 2017"/>
    <n v="2"/>
    <x v="3"/>
    <n v="2"/>
    <n v="481.99"/>
    <n v="7.0000000000000007E-2"/>
    <n v="896.50139999999999"/>
  </r>
  <r>
    <n v="1315"/>
    <n v="2"/>
    <n v="41"/>
    <s v="Haro Shift R3 - 2017"/>
    <n v="6"/>
    <x v="1"/>
    <n v="1"/>
    <n v="1469.99"/>
    <n v="0.05"/>
    <n v="1396.4905000000001"/>
  </r>
  <r>
    <n v="1315"/>
    <n v="3"/>
    <n v="24"/>
    <s v="Electra Townie Original 21D - 2016"/>
    <n v="2"/>
    <x v="3"/>
    <n v="1"/>
    <n v="549.99"/>
    <n v="0.1"/>
    <n v="494.99099999999999"/>
  </r>
  <r>
    <n v="1315"/>
    <n v="4"/>
    <n v="26"/>
    <s v="Electra Townie Original 7D EQ - 2016"/>
    <n v="2"/>
    <x v="3"/>
    <n v="1"/>
    <n v="599.99"/>
    <n v="7.0000000000000007E-2"/>
    <n v="557.99070000000006"/>
  </r>
  <r>
    <n v="1315"/>
    <n v="5"/>
    <n v="16"/>
    <s v="Electra Townie Original 7D EQ - 2016"/>
    <n v="3"/>
    <x v="0"/>
    <n v="2"/>
    <n v="599.99"/>
    <n v="0.2"/>
    <n v="959.98400000000004"/>
  </r>
  <r>
    <n v="1316"/>
    <n v="1"/>
    <n v="76"/>
    <s v="Electra Girl's Hawaii 1 16&quot; - 2017"/>
    <n v="3"/>
    <x v="0"/>
    <n v="2"/>
    <n v="299.99"/>
    <n v="0.1"/>
    <n v="539.98199999999997"/>
  </r>
  <r>
    <n v="1316"/>
    <n v="2"/>
    <n v="90"/>
    <s v="Trek Precaliber 16 Girls - 2017"/>
    <n v="1"/>
    <x v="5"/>
    <n v="1"/>
    <n v="209.99"/>
    <n v="0.1"/>
    <n v="188.99100000000001"/>
  </r>
  <r>
    <n v="1317"/>
    <n v="1"/>
    <n v="82"/>
    <s v="Electra Amsterdam Original 3i Ladies' - 2017"/>
    <n v="3"/>
    <x v="0"/>
    <n v="1"/>
    <n v="659.99"/>
    <n v="0.1"/>
    <n v="593.99099999999999"/>
  </r>
  <r>
    <n v="1318"/>
    <n v="1"/>
    <n v="82"/>
    <s v="Electra Amsterdam Original 3i Ladies' - 2017"/>
    <n v="3"/>
    <x v="0"/>
    <n v="2"/>
    <n v="659.99"/>
    <n v="0.2"/>
    <n v="1055.9839999999999"/>
  </r>
  <r>
    <n v="1318"/>
    <n v="2"/>
    <n v="62"/>
    <s v="Trek Boone 7 - 2017"/>
    <n v="4"/>
    <x v="2"/>
    <n v="2"/>
    <n v="3499.99"/>
    <n v="0.2"/>
    <n v="5599.9839999999995"/>
  </r>
  <r>
    <n v="1318"/>
    <n v="3"/>
    <n v="111"/>
    <s v="Sun Bicycles Drifter 7 - Women's - 2017"/>
    <n v="2"/>
    <x v="3"/>
    <n v="1"/>
    <n v="470.99"/>
    <n v="0.2"/>
    <n v="376.79200000000003"/>
  </r>
  <r>
    <n v="1318"/>
    <n v="4"/>
    <n v="92"/>
    <s v="Haro Shredder 20 - 2017"/>
    <n v="1"/>
    <x v="5"/>
    <n v="1"/>
    <n v="209.99"/>
    <n v="7.0000000000000007E-2"/>
    <n v="195.29070000000002"/>
  </r>
  <r>
    <n v="1319"/>
    <n v="1"/>
    <n v="75"/>
    <s v="Electra Cruiser Lux Fat Tire 1 Ladies - 2017"/>
    <n v="3"/>
    <x v="0"/>
    <n v="1"/>
    <n v="599.99"/>
    <n v="7.0000000000000007E-2"/>
    <n v="557.99070000000006"/>
  </r>
  <r>
    <n v="1319"/>
    <n v="2"/>
    <n v="91"/>
    <s v="Trek Precaliber 24 (21-Speed) - Girls - 2017"/>
    <n v="1"/>
    <x v="5"/>
    <n v="1"/>
    <n v="349.99"/>
    <n v="0.2"/>
    <n v="279.99200000000002"/>
  </r>
  <r>
    <n v="1320"/>
    <n v="1"/>
    <n v="104"/>
    <s v="Sun Bicycles Streamway - 2017"/>
    <n v="2"/>
    <x v="3"/>
    <n v="1"/>
    <n v="481.99"/>
    <n v="0.1"/>
    <n v="433.791"/>
  </r>
  <r>
    <n v="1320"/>
    <n v="2"/>
    <n v="93"/>
    <s v="Haro Shredder 20 Girls - 2017"/>
    <n v="1"/>
    <x v="5"/>
    <n v="1"/>
    <n v="209.99"/>
    <n v="0.05"/>
    <n v="199.4905"/>
  </r>
  <r>
    <n v="1320"/>
    <n v="3"/>
    <n v="99"/>
    <s v="Electra Sugar Skulls 1 (20-inch) - Girl's - 2017"/>
    <n v="1"/>
    <x v="5"/>
    <n v="2"/>
    <n v="299.99"/>
    <n v="0.2"/>
    <n v="479.98400000000004"/>
  </r>
  <r>
    <n v="1321"/>
    <n v="1"/>
    <n v="34"/>
    <s v="Trek Session DH 27.5 Carbon Frameset - 2017"/>
    <n v="6"/>
    <x v="1"/>
    <n v="1"/>
    <n v="469.99"/>
    <n v="0.1"/>
    <n v="422.99099999999999"/>
  </r>
  <r>
    <n v="1321"/>
    <n v="2"/>
    <n v="107"/>
    <s v="Sun Bicycles Cruz 7 - 2017"/>
    <n v="2"/>
    <x v="3"/>
    <n v="1"/>
    <n v="416.99"/>
    <n v="0.1"/>
    <n v="375.291"/>
  </r>
  <r>
    <n v="1321"/>
    <n v="3"/>
    <n v="11"/>
    <s v="Surly Straggler 650b - 2016"/>
    <n v="4"/>
    <x v="2"/>
    <n v="2"/>
    <n v="1680.99"/>
    <n v="0.1"/>
    <n v="3025.7820000000002"/>
  </r>
  <r>
    <n v="1322"/>
    <n v="1"/>
    <n v="28"/>
    <s v="Surly Karate Monkey 27.5+ Frameset - 2017"/>
    <n v="6"/>
    <x v="1"/>
    <n v="2"/>
    <n v="2499.9899999999998"/>
    <n v="0.05"/>
    <n v="4749.9809999999998"/>
  </r>
  <r>
    <n v="1322"/>
    <n v="2"/>
    <n v="104"/>
    <s v="Sun Bicycles Streamway - 2017"/>
    <n v="2"/>
    <x v="3"/>
    <n v="2"/>
    <n v="481.99"/>
    <n v="0.05"/>
    <n v="915.78100000000006"/>
  </r>
  <r>
    <n v="1323"/>
    <n v="1"/>
    <n v="27"/>
    <s v="Surly Big Dummy Frameset - 2017"/>
    <n v="6"/>
    <x v="1"/>
    <n v="2"/>
    <n v="999.99"/>
    <n v="7.0000000000000007E-2"/>
    <n v="1859.9814000000001"/>
  </r>
  <r>
    <n v="1323"/>
    <n v="2"/>
    <n v="20"/>
    <s v="Electra Townie Original 7D EQ - Women's - 2016"/>
    <n v="3"/>
    <x v="0"/>
    <n v="1"/>
    <n v="599.99"/>
    <n v="0.05"/>
    <n v="569.9905"/>
  </r>
  <r>
    <n v="1323"/>
    <n v="3"/>
    <n v="70"/>
    <s v="Electra Amsterdam Original 3i - 2015/2017"/>
    <n v="3"/>
    <x v="0"/>
    <n v="1"/>
    <n v="659.99"/>
    <n v="0.05"/>
    <n v="626.9905"/>
  </r>
  <r>
    <n v="1324"/>
    <n v="1"/>
    <n v="66"/>
    <s v="Sun Bicycles Revolutions 24 - 2017"/>
    <n v="3"/>
    <x v="0"/>
    <n v="1"/>
    <n v="250.99"/>
    <n v="0.1"/>
    <n v="225.89100000000002"/>
  </r>
  <r>
    <n v="1324"/>
    <n v="2"/>
    <n v="120"/>
    <s v="Trek Fuel EX 7 29 - 2018"/>
    <n v="6"/>
    <x v="1"/>
    <n v="2"/>
    <n v="2499.9899999999998"/>
    <n v="0.2"/>
    <n v="3999.9839999999995"/>
  </r>
  <r>
    <n v="1324"/>
    <n v="3"/>
    <n v="235"/>
    <s v="Electra Koa 3i Ladies' - 2018"/>
    <n v="3"/>
    <x v="0"/>
    <n v="1"/>
    <n v="899.99"/>
    <n v="0.1"/>
    <n v="809.99099999999999"/>
  </r>
  <r>
    <n v="1324"/>
    <n v="4"/>
    <n v="3"/>
    <s v="Surly Wednesday Frameset - 2016"/>
    <n v="6"/>
    <x v="1"/>
    <n v="1"/>
    <n v="999.99"/>
    <n v="0.2"/>
    <n v="799.99199999999996"/>
  </r>
  <r>
    <n v="1325"/>
    <n v="1"/>
    <n v="139"/>
    <s v="Trek Remedy 7 27.5 - 2018"/>
    <n v="6"/>
    <x v="1"/>
    <n v="1"/>
    <n v="2999.99"/>
    <n v="0.05"/>
    <n v="2849.9904999999999"/>
  </r>
  <r>
    <n v="1325"/>
    <n v="2"/>
    <n v="257"/>
    <s v="Electra Amsterdam Fashion 3i Ladies' - 2017/2018"/>
    <n v="3"/>
    <x v="0"/>
    <n v="1"/>
    <n v="899.99"/>
    <n v="0.05"/>
    <n v="854.9905"/>
  </r>
  <r>
    <n v="1325"/>
    <n v="3"/>
    <n v="209"/>
    <s v="Trek Crockett 7 Disc - 2018"/>
    <n v="4"/>
    <x v="2"/>
    <n v="1"/>
    <n v="2999.99"/>
    <n v="0.1"/>
    <n v="2699.991"/>
  </r>
  <r>
    <n v="1325"/>
    <n v="4"/>
    <n v="28"/>
    <s v="Surly Karate Monkey 27.5+ Frameset - 2017"/>
    <n v="6"/>
    <x v="1"/>
    <n v="1"/>
    <n v="2499.9899999999998"/>
    <n v="7.0000000000000007E-2"/>
    <n v="2324.9906999999998"/>
  </r>
  <r>
    <n v="1326"/>
    <n v="1"/>
    <n v="190"/>
    <s v="Trek Dual Sport+ - 2018"/>
    <n v="5"/>
    <x v="4"/>
    <n v="2"/>
    <n v="2799.99"/>
    <n v="7.0000000000000007E-2"/>
    <n v="5207.9813999999997"/>
  </r>
  <r>
    <n v="1326"/>
    <n v="2"/>
    <n v="269"/>
    <s v="Trek Precaliber 12 Boy's - 2018"/>
    <n v="1"/>
    <x v="5"/>
    <n v="2"/>
    <n v="199.99"/>
    <n v="7.0000000000000007E-2"/>
    <n v="371.98140000000001"/>
  </r>
  <r>
    <n v="1327"/>
    <n v="1"/>
    <n v="151"/>
    <s v="Trek Domane ALR 4 Disc Women's - 2018"/>
    <n v="7"/>
    <x v="6"/>
    <n v="2"/>
    <n v="1549.99"/>
    <n v="7.0000000000000007E-2"/>
    <n v="2882.9814000000001"/>
  </r>
  <r>
    <n v="1327"/>
    <n v="2"/>
    <n v="235"/>
    <s v="Electra Koa 3i Ladies' - 2018"/>
    <n v="3"/>
    <x v="0"/>
    <n v="2"/>
    <n v="899.99"/>
    <n v="0.1"/>
    <n v="1619.982"/>
  </r>
  <r>
    <n v="1327"/>
    <n v="3"/>
    <n v="48"/>
    <s v="Trek Emonda S 4 - 2017"/>
    <n v="7"/>
    <x v="6"/>
    <n v="2"/>
    <n v="1499.99"/>
    <n v="0.1"/>
    <n v="2699.982"/>
  </r>
  <r>
    <n v="1327"/>
    <n v="4"/>
    <n v="180"/>
    <s v="Trek Domane AL 3 Women's - 2018"/>
    <n v="7"/>
    <x v="6"/>
    <n v="1"/>
    <n v="919.99"/>
    <n v="0.2"/>
    <n v="735.99199999999996"/>
  </r>
  <r>
    <n v="1328"/>
    <n v="1"/>
    <n v="241"/>
    <s v="Electra Townie Commute 8D - 2018"/>
    <n v="3"/>
    <x v="0"/>
    <n v="1"/>
    <n v="749.99"/>
    <n v="7.0000000000000007E-2"/>
    <n v="697.49070000000006"/>
  </r>
  <r>
    <n v="1328"/>
    <n v="2"/>
    <n v="129"/>
    <s v="Trek X-Caliber 7 - 2018"/>
    <n v="6"/>
    <x v="1"/>
    <n v="2"/>
    <n v="919.99"/>
    <n v="0.1"/>
    <n v="1655.982"/>
  </r>
  <r>
    <n v="1328"/>
    <n v="3"/>
    <n v="228"/>
    <s v="Electra Cruiser 7D Tall - 2016/2018"/>
    <n v="3"/>
    <x v="0"/>
    <n v="1"/>
    <n v="319.99"/>
    <n v="7.0000000000000007E-2"/>
    <n v="297.59070000000003"/>
  </r>
  <r>
    <n v="1328"/>
    <n v="4"/>
    <n v="311"/>
    <s v="Electra Townie Commute 8D - 2018"/>
    <n v="2"/>
    <x v="3"/>
    <n v="1"/>
    <n v="749.99"/>
    <n v="0.1"/>
    <n v="674.99099999999999"/>
  </r>
  <r>
    <n v="1328"/>
    <n v="5"/>
    <n v="247"/>
    <s v="Electra Townie Original 7D EQ - 2018"/>
    <n v="3"/>
    <x v="0"/>
    <n v="1"/>
    <n v="599.99"/>
    <n v="0.1"/>
    <n v="539.99099999999999"/>
  </r>
  <r>
    <n v="1329"/>
    <n v="1"/>
    <n v="143"/>
    <s v="Trek Domane ALR 3 - 2018"/>
    <n v="7"/>
    <x v="6"/>
    <n v="1"/>
    <n v="1099.99"/>
    <n v="7.0000000000000007E-2"/>
    <n v="1022.9907000000001"/>
  </r>
  <r>
    <n v="1329"/>
    <n v="2"/>
    <n v="107"/>
    <s v="Sun Bicycles Cruz 7 - 2017"/>
    <n v="2"/>
    <x v="3"/>
    <n v="1"/>
    <n v="416.99"/>
    <n v="0.05"/>
    <n v="396.14050000000003"/>
  </r>
  <r>
    <n v="1329"/>
    <n v="3"/>
    <n v="55"/>
    <s v="Trek Domane S 6 - 2017"/>
    <n v="7"/>
    <x v="6"/>
    <n v="1"/>
    <n v="2699.99"/>
    <n v="7.0000000000000007E-2"/>
    <n v="2510.9906999999998"/>
  </r>
  <r>
    <n v="1329"/>
    <n v="4"/>
    <n v="283"/>
    <s v="Electra Heartchya 1 (20-inch) - Girl's - 2018"/>
    <n v="1"/>
    <x v="5"/>
    <n v="2"/>
    <n v="319.99"/>
    <n v="0.2"/>
    <n v="511.98400000000004"/>
  </r>
  <r>
    <n v="1329"/>
    <n v="5"/>
    <n v="13"/>
    <s v="Electra Cruiser 1 (24-Inch) - 2016"/>
    <n v="3"/>
    <x v="0"/>
    <n v="1"/>
    <n v="269.99"/>
    <n v="0.1"/>
    <n v="242.99100000000001"/>
  </r>
  <r>
    <n v="1330"/>
    <n v="1"/>
    <n v="232"/>
    <s v="Electra Cruiser Lux 7D Ladies' - 2018"/>
    <n v="3"/>
    <x v="0"/>
    <n v="1"/>
    <n v="479.99"/>
    <n v="0.2"/>
    <n v="383.99200000000002"/>
  </r>
  <r>
    <n v="1330"/>
    <n v="2"/>
    <n v="243"/>
    <s v="Electra Townie Original 21D EQ Ladies' - 2018"/>
    <n v="3"/>
    <x v="0"/>
    <n v="2"/>
    <n v="679.99"/>
    <n v="0.05"/>
    <n v="1291.981"/>
  </r>
  <r>
    <n v="1330"/>
    <n v="3"/>
    <n v="230"/>
    <s v="Electra Cruiser Lux 1 Ladies' - 2018"/>
    <n v="3"/>
    <x v="0"/>
    <n v="2"/>
    <n v="429.99"/>
    <n v="0.2"/>
    <n v="687.98400000000004"/>
  </r>
  <r>
    <n v="1330"/>
    <n v="4"/>
    <n v="102"/>
    <s v="Electra Townie Original 7D - 2017"/>
    <n v="2"/>
    <x v="3"/>
    <n v="2"/>
    <n v="489.99"/>
    <n v="0.05"/>
    <n v="930.98099999999999"/>
  </r>
  <r>
    <n v="1330"/>
    <n v="5"/>
    <n v="282"/>
    <s v="Electra Cyclosaurus 1 (16-inch) - Boy's - 2018"/>
    <n v="1"/>
    <x v="5"/>
    <n v="1"/>
    <n v="279.99"/>
    <n v="0.1"/>
    <n v="251.99100000000001"/>
  </r>
  <r>
    <n v="1331"/>
    <n v="1"/>
    <n v="253"/>
    <s v="Electra Townie Go! 8i Ladies' - 2018"/>
    <n v="3"/>
    <x v="0"/>
    <n v="1"/>
    <n v="2599.9899999999998"/>
    <n v="0.05"/>
    <n v="2469.9904999999999"/>
  </r>
  <r>
    <n v="1331"/>
    <n v="2"/>
    <n v="290"/>
    <s v="Electra Superbolt 3i 20&quot; - 2018"/>
    <n v="1"/>
    <x v="5"/>
    <n v="1"/>
    <n v="369.99"/>
    <n v="0.05"/>
    <n v="351.4905"/>
  </r>
  <r>
    <n v="1331"/>
    <n v="3"/>
    <n v="145"/>
    <s v="Trek Domane ALR 5 Disc - 2018"/>
    <n v="7"/>
    <x v="6"/>
    <n v="2"/>
    <n v="1799.99"/>
    <n v="0.1"/>
    <n v="3239.982"/>
  </r>
  <r>
    <n v="1331"/>
    <n v="4"/>
    <n v="300"/>
    <s v="Electra Townie Balloon 3i EQ Ladies' - 2018"/>
    <n v="2"/>
    <x v="3"/>
    <n v="1"/>
    <n v="799.99"/>
    <n v="0.2"/>
    <n v="639.99199999999996"/>
  </r>
  <r>
    <n v="1332"/>
    <n v="1"/>
    <n v="296"/>
    <s v="Electra Treasure 3i 20&quot; - 2018"/>
    <n v="1"/>
    <x v="5"/>
    <n v="1"/>
    <n v="369.99"/>
    <n v="0.2"/>
    <n v="295.99200000000002"/>
  </r>
  <r>
    <n v="1332"/>
    <n v="2"/>
    <n v="93"/>
    <s v="Haro Shredder 20 Girls - 2017"/>
    <n v="1"/>
    <x v="5"/>
    <n v="2"/>
    <n v="209.99"/>
    <n v="0.05"/>
    <n v="398.98099999999999"/>
  </r>
  <r>
    <n v="1332"/>
    <n v="3"/>
    <n v="179"/>
    <s v="Trek Domane AL 3 - 2018"/>
    <n v="7"/>
    <x v="6"/>
    <n v="2"/>
    <n v="919.99"/>
    <n v="7.0000000000000007E-2"/>
    <n v="1711.1813999999999"/>
  </r>
  <r>
    <n v="1332"/>
    <n v="4"/>
    <n v="298"/>
    <s v="Electra Water Lily 1 (16-inch) - Girl's - 2018"/>
    <n v="1"/>
    <x v="5"/>
    <n v="1"/>
    <n v="279.99"/>
    <n v="0.1"/>
    <n v="251.99100000000001"/>
  </r>
  <r>
    <n v="1333"/>
    <n v="1"/>
    <n v="205"/>
    <s v="Trek Super Commuter+ 8S - 2018"/>
    <n v="5"/>
    <x v="4"/>
    <n v="2"/>
    <n v="4999.99"/>
    <n v="0.05"/>
    <n v="9499.9809999999998"/>
  </r>
  <r>
    <n v="1333"/>
    <n v="2"/>
    <n v="304"/>
    <s v="Electra Townie Original 21D EQ - 2017/2018"/>
    <n v="2"/>
    <x v="3"/>
    <n v="2"/>
    <n v="679.99"/>
    <n v="0.1"/>
    <n v="1223.982"/>
  </r>
  <r>
    <n v="1333"/>
    <n v="3"/>
    <n v="99"/>
    <s v="Electra Sugar Skulls 1 (20-inch) - Girl's - 2017"/>
    <n v="1"/>
    <x v="5"/>
    <n v="2"/>
    <n v="299.99"/>
    <n v="0.1"/>
    <n v="539.98199999999997"/>
  </r>
  <r>
    <n v="1333"/>
    <n v="4"/>
    <n v="12"/>
    <s v="Electra Townie Original 21D - 2016"/>
    <n v="3"/>
    <x v="0"/>
    <n v="1"/>
    <n v="549.99"/>
    <n v="0.05"/>
    <n v="522.4905"/>
  </r>
  <r>
    <n v="1333"/>
    <n v="5"/>
    <n v="78"/>
    <s v="Sun Bicycles Biscayne Tandem CB - 2017"/>
    <n v="3"/>
    <x v="0"/>
    <n v="1"/>
    <n v="647.99"/>
    <n v="0.1"/>
    <n v="583.19100000000003"/>
  </r>
  <r>
    <n v="1334"/>
    <n v="1"/>
    <n v="203"/>
    <s v="Trek Powerfly 7 FS - 2018"/>
    <n v="5"/>
    <x v="4"/>
    <n v="2"/>
    <n v="4999.99"/>
    <n v="0.05"/>
    <n v="9499.9809999999998"/>
  </r>
  <r>
    <n v="1334"/>
    <n v="2"/>
    <n v="160"/>
    <s v="Trek Emonda SLR 6 - 2018"/>
    <n v="7"/>
    <x v="6"/>
    <n v="2"/>
    <n v="4499.99"/>
    <n v="7.0000000000000007E-2"/>
    <n v="8369.9813999999988"/>
  </r>
  <r>
    <n v="1334"/>
    <n v="3"/>
    <n v="84"/>
    <s v="Sun Bicycles Lil Kitt'n - 2017"/>
    <n v="1"/>
    <x v="5"/>
    <n v="2"/>
    <n v="109.99"/>
    <n v="0.1"/>
    <n v="197.982"/>
  </r>
  <r>
    <n v="1334"/>
    <n v="4"/>
    <n v="13"/>
    <s v="Electra Cruiser 1 (24-Inch) - 2016"/>
    <n v="3"/>
    <x v="0"/>
    <n v="1"/>
    <n v="269.99"/>
    <n v="0.05"/>
    <n v="256.4905"/>
  </r>
  <r>
    <n v="1334"/>
    <n v="5"/>
    <n v="42"/>
    <s v="Trek Fuel EX 5 27.5 Plus - 2017"/>
    <n v="6"/>
    <x v="1"/>
    <n v="1"/>
    <n v="2299.9899999999998"/>
    <n v="0.05"/>
    <n v="2184.9904999999999"/>
  </r>
  <r>
    <n v="1335"/>
    <n v="1"/>
    <n v="138"/>
    <s v="Trek Fuel EX 5 Plus - 2018"/>
    <n v="6"/>
    <x v="1"/>
    <n v="2"/>
    <n v="2249.9899999999998"/>
    <n v="0.05"/>
    <n v="4274.9809999999998"/>
  </r>
  <r>
    <n v="1336"/>
    <n v="1"/>
    <n v="29"/>
    <s v="Trek X-Caliber 8 - 2017"/>
    <n v="6"/>
    <x v="1"/>
    <n v="2"/>
    <n v="999.99"/>
    <n v="0.2"/>
    <n v="1599.9839999999999"/>
  </r>
  <r>
    <n v="1336"/>
    <n v="2"/>
    <n v="157"/>
    <s v="Trek Domane SL Frameset Women's - 2018"/>
    <n v="7"/>
    <x v="6"/>
    <n v="1"/>
    <n v="6499.99"/>
    <n v="0.05"/>
    <n v="6174.9904999999999"/>
  </r>
  <r>
    <n v="1336"/>
    <n v="3"/>
    <n v="21"/>
    <s v="Electra Cruiser 1 (24-Inch) - 2016"/>
    <n v="1"/>
    <x v="5"/>
    <n v="2"/>
    <n v="269.99"/>
    <n v="7.0000000000000007E-2"/>
    <n v="502.1814"/>
  </r>
  <r>
    <n v="1336"/>
    <n v="4"/>
    <n v="207"/>
    <s v="Trek Boone 7 Disc - 2018"/>
    <n v="4"/>
    <x v="2"/>
    <n v="1"/>
    <n v="3999.99"/>
    <n v="0.1"/>
    <n v="3599.991"/>
  </r>
  <r>
    <n v="1336"/>
    <n v="5"/>
    <n v="185"/>
    <s v="Trek Conduit+ - 2018"/>
    <n v="5"/>
    <x v="4"/>
    <n v="1"/>
    <n v="2799.99"/>
    <n v="0.1"/>
    <n v="2519.991"/>
  </r>
  <r>
    <n v="1337"/>
    <n v="1"/>
    <n v="153"/>
    <s v="Trek Domane SL 7 Women's - 2018"/>
    <n v="7"/>
    <x v="6"/>
    <n v="1"/>
    <n v="4999.99"/>
    <n v="0.1"/>
    <n v="4499.991"/>
  </r>
  <r>
    <n v="1338"/>
    <n v="1"/>
    <n v="169"/>
    <s v="Trek Emonda SLR 8 - 2018"/>
    <n v="7"/>
    <x v="6"/>
    <n v="2"/>
    <n v="6499.99"/>
    <n v="7.0000000000000007E-2"/>
    <n v="12089.981399999999"/>
  </r>
  <r>
    <n v="1339"/>
    <n v="1"/>
    <n v="175"/>
    <s v="Trek Domane SLR Frameset - 2018"/>
    <n v="7"/>
    <x v="6"/>
    <n v="1"/>
    <n v="3199.99"/>
    <n v="7.0000000000000007E-2"/>
    <n v="2975.9906999999998"/>
  </r>
  <r>
    <n v="1340"/>
    <n v="1"/>
    <n v="253"/>
    <s v="Electra Townie Go! 8i Ladies' - 2018"/>
    <n v="3"/>
    <x v="0"/>
    <n v="1"/>
    <n v="2599.9899999999998"/>
    <n v="0.2"/>
    <n v="2079.9919999999997"/>
  </r>
  <r>
    <n v="1340"/>
    <n v="2"/>
    <n v="92"/>
    <s v="Haro Shredder 20 - 2017"/>
    <n v="1"/>
    <x v="5"/>
    <n v="2"/>
    <n v="209.99"/>
    <n v="0.2"/>
    <n v="335.98400000000004"/>
  </r>
  <r>
    <n v="1340"/>
    <n v="3"/>
    <n v="237"/>
    <s v="Electra Relic 3i - 2018"/>
    <n v="3"/>
    <x v="0"/>
    <n v="2"/>
    <n v="849.99"/>
    <n v="0.05"/>
    <n v="1614.981"/>
  </r>
  <r>
    <n v="1341"/>
    <n v="1"/>
    <n v="215"/>
    <s v="Electra Queen of Hearts 3i - 2018"/>
    <n v="3"/>
    <x v="0"/>
    <n v="2"/>
    <n v="749.99"/>
    <n v="7.0000000000000007E-2"/>
    <n v="1394.9814000000001"/>
  </r>
  <r>
    <n v="1341"/>
    <n v="2"/>
    <n v="56"/>
    <s v="Trek Domane SLR 6 Disc - 2017"/>
    <n v="7"/>
    <x v="6"/>
    <n v="2"/>
    <n v="5499.99"/>
    <n v="0.2"/>
    <n v="8799.9840000000004"/>
  </r>
  <r>
    <n v="1341"/>
    <n v="3"/>
    <n v="234"/>
    <s v="Electra Daydreamer 3i Ladies' - 2018"/>
    <n v="3"/>
    <x v="0"/>
    <n v="2"/>
    <n v="899.99"/>
    <n v="0.05"/>
    <n v="1709.981"/>
  </r>
  <r>
    <n v="1341"/>
    <n v="4"/>
    <n v="66"/>
    <s v="Sun Bicycles Revolutions 24 - 2017"/>
    <n v="3"/>
    <x v="0"/>
    <n v="2"/>
    <n v="250.99"/>
    <n v="0.05"/>
    <n v="476.88100000000003"/>
  </r>
  <r>
    <n v="1342"/>
    <n v="1"/>
    <n v="60"/>
    <s v="Sun Bicycles ElectroLite - 2017"/>
    <n v="5"/>
    <x v="4"/>
    <n v="1"/>
    <n v="1559.99"/>
    <n v="0.05"/>
    <n v="1481.9904999999999"/>
  </r>
  <r>
    <n v="1342"/>
    <n v="2"/>
    <n v="270"/>
    <s v="Trek Precaliber 16 Boy's - 2018"/>
    <n v="1"/>
    <x v="5"/>
    <n v="1"/>
    <n v="209.99"/>
    <n v="0.05"/>
    <n v="199.4905"/>
  </r>
  <r>
    <n v="1343"/>
    <n v="1"/>
    <n v="244"/>
    <s v="Electra Townie Original 21D Ladies' - 2018"/>
    <n v="3"/>
    <x v="0"/>
    <n v="1"/>
    <n v="559.99"/>
    <n v="0.05"/>
    <n v="531.9905"/>
  </r>
  <r>
    <n v="1343"/>
    <n v="2"/>
    <n v="99"/>
    <s v="Electra Sugar Skulls 1 (20-inch) - Girl's - 2017"/>
    <n v="1"/>
    <x v="5"/>
    <n v="1"/>
    <n v="299.99"/>
    <n v="0.05"/>
    <n v="284.9905"/>
  </r>
  <r>
    <n v="1343"/>
    <n v="3"/>
    <n v="184"/>
    <s v="Trek Domane SL 6 Disc - 2018"/>
    <n v="7"/>
    <x v="6"/>
    <n v="2"/>
    <n v="3499.99"/>
    <n v="0.2"/>
    <n v="5599.9839999999995"/>
  </r>
  <r>
    <n v="1343"/>
    <n v="4"/>
    <n v="65"/>
    <s v="Sun Bicycles Lil Bolt Type-R - 2017"/>
    <n v="3"/>
    <x v="0"/>
    <n v="2"/>
    <n v="346.99"/>
    <n v="0.2"/>
    <n v="555.18399999999997"/>
  </r>
  <r>
    <n v="1343"/>
    <n v="5"/>
    <n v="206"/>
    <s v="Trek Boone 5 Disc - 2018"/>
    <n v="4"/>
    <x v="2"/>
    <n v="1"/>
    <n v="3299.99"/>
    <n v="0.1"/>
    <n v="2969.991"/>
  </r>
  <r>
    <n v="1344"/>
    <n v="1"/>
    <n v="77"/>
    <s v="Electra Glam Punk 3i Ladies' - 2017"/>
    <n v="3"/>
    <x v="0"/>
    <n v="2"/>
    <n v="799.99"/>
    <n v="7.0000000000000007E-2"/>
    <n v="1487.9814000000001"/>
  </r>
  <r>
    <n v="1344"/>
    <n v="2"/>
    <n v="103"/>
    <s v="Sun Bicycles Streamway 3 - 2017"/>
    <n v="2"/>
    <x v="3"/>
    <n v="2"/>
    <n v="551.99"/>
    <n v="0.2"/>
    <n v="883.18399999999997"/>
  </r>
  <r>
    <n v="1344"/>
    <n v="3"/>
    <n v="3"/>
    <s v="Surly Wednesday Frameset - 2016"/>
    <n v="6"/>
    <x v="1"/>
    <n v="1"/>
    <n v="999.99"/>
    <n v="7.0000000000000007E-2"/>
    <n v="929.99070000000006"/>
  </r>
  <r>
    <n v="1344"/>
    <n v="4"/>
    <n v="61"/>
    <s v="Trek Powerfly 8 FS Plus - 2017"/>
    <n v="5"/>
    <x v="4"/>
    <n v="1"/>
    <n v="4999.99"/>
    <n v="7.0000000000000007E-2"/>
    <n v="4649.9906999999994"/>
  </r>
  <r>
    <n v="1345"/>
    <n v="1"/>
    <n v="40"/>
    <s v="Trek Fuel EX 9.8 29 - 2017"/>
    <n v="6"/>
    <x v="1"/>
    <n v="2"/>
    <n v="4999.99"/>
    <n v="0.2"/>
    <n v="7999.9839999999995"/>
  </r>
  <r>
    <n v="1345"/>
    <n v="2"/>
    <n v="172"/>
    <s v="Trek Domane ALR Disc Frameset - 2018"/>
    <n v="7"/>
    <x v="6"/>
    <n v="2"/>
    <n v="3199.99"/>
    <n v="0.05"/>
    <n v="6079.9809999999998"/>
  </r>
  <r>
    <n v="1345"/>
    <n v="3"/>
    <n v="164"/>
    <s v="Surly Straggler 650b - 2018"/>
    <n v="7"/>
    <x v="6"/>
    <n v="2"/>
    <n v="1549"/>
    <n v="0.2"/>
    <n v="2478.4"/>
  </r>
  <r>
    <n v="1345"/>
    <n v="4"/>
    <n v="2"/>
    <s v="Ritchey Timberwolf Frameset - 2016"/>
    <n v="6"/>
    <x v="1"/>
    <n v="2"/>
    <n v="749.99"/>
    <n v="0.2"/>
    <n v="1199.9839999999999"/>
  </r>
  <r>
    <n v="1346"/>
    <n v="1"/>
    <n v="134"/>
    <s v="Trek Remedy 27.5 C Frameset - 2018"/>
    <n v="6"/>
    <x v="1"/>
    <n v="2"/>
    <n v="1499.99"/>
    <n v="0.05"/>
    <n v="2849.9810000000002"/>
  </r>
  <r>
    <n v="1346"/>
    <n v="2"/>
    <n v="150"/>
    <s v="Trek Emonda SL 7 - 2018"/>
    <n v="7"/>
    <x v="6"/>
    <n v="1"/>
    <n v="4499.99"/>
    <n v="0.05"/>
    <n v="4274.9904999999999"/>
  </r>
  <r>
    <n v="1346"/>
    <n v="3"/>
    <n v="18"/>
    <s v="Pure Cycles Western 3-Speed - Women's - 2015/2016"/>
    <n v="3"/>
    <x v="0"/>
    <n v="2"/>
    <n v="449"/>
    <n v="0.05"/>
    <n v="853.1"/>
  </r>
  <r>
    <n v="1346"/>
    <n v="4"/>
    <n v="249"/>
    <s v="Electra White Water 3i - 2018"/>
    <n v="3"/>
    <x v="0"/>
    <n v="1"/>
    <n v="749.99"/>
    <n v="0.1"/>
    <n v="674.99099999999999"/>
  </r>
  <r>
    <n v="1346"/>
    <n v="5"/>
    <n v="263"/>
    <s v="Strider Classic 12 Balance Bike - 2018"/>
    <n v="1"/>
    <x v="5"/>
    <n v="2"/>
    <n v="89.99"/>
    <n v="0.2"/>
    <n v="143.98399999999998"/>
  </r>
  <r>
    <n v="1347"/>
    <n v="1"/>
    <n v="43"/>
    <s v="Trek Fuel EX 9.8 27.5 Plus - 2017"/>
    <n v="6"/>
    <x v="1"/>
    <n v="2"/>
    <n v="5299.99"/>
    <n v="7.0000000000000007E-2"/>
    <n v="9857.9813999999988"/>
  </r>
  <r>
    <n v="1347"/>
    <n v="2"/>
    <n v="53"/>
    <s v="Surly Ogre Frameset - 2017"/>
    <n v="7"/>
    <x v="6"/>
    <n v="1"/>
    <n v="749.99"/>
    <n v="0.05"/>
    <n v="712.4905"/>
  </r>
  <r>
    <n v="1348"/>
    <n v="1"/>
    <n v="203"/>
    <s v="Trek Powerfly 7 FS - 2018"/>
    <n v="5"/>
    <x v="4"/>
    <n v="1"/>
    <n v="4999.99"/>
    <n v="0.05"/>
    <n v="4749.9904999999999"/>
  </r>
  <r>
    <n v="1348"/>
    <n v="2"/>
    <n v="148"/>
    <s v="Trek Domane SL 8 Disc - 2018"/>
    <n v="7"/>
    <x v="6"/>
    <n v="1"/>
    <n v="5499.99"/>
    <n v="0.05"/>
    <n v="5224.9904999999999"/>
  </r>
  <r>
    <n v="1348"/>
    <n v="3"/>
    <n v="58"/>
    <s v="Trek Madone 9.2 - 2017"/>
    <n v="7"/>
    <x v="6"/>
    <n v="2"/>
    <n v="4999.99"/>
    <n v="0.1"/>
    <n v="8999.982"/>
  </r>
  <r>
    <n v="1348"/>
    <n v="4"/>
    <n v="147"/>
    <s v="Trek Domane ALR 5 Gravel - 2018"/>
    <n v="7"/>
    <x v="6"/>
    <n v="1"/>
    <n v="1799.99"/>
    <n v="7.0000000000000007E-2"/>
    <n v="1673.9907000000001"/>
  </r>
  <r>
    <n v="1349"/>
    <n v="1"/>
    <n v="138"/>
    <s v="Trek Fuel EX 5 Plus - 2018"/>
    <n v="6"/>
    <x v="1"/>
    <n v="2"/>
    <n v="2249.9899999999998"/>
    <n v="0.05"/>
    <n v="4274.9809999999998"/>
  </r>
  <r>
    <n v="1349"/>
    <n v="2"/>
    <n v="205"/>
    <s v="Trek Super Commuter+ 8S - 2018"/>
    <n v="5"/>
    <x v="4"/>
    <n v="2"/>
    <n v="4999.99"/>
    <n v="7.0000000000000007E-2"/>
    <n v="9299.9813999999988"/>
  </r>
  <r>
    <n v="1349"/>
    <n v="3"/>
    <n v="168"/>
    <s v="Surly Straggler - 2018"/>
    <n v="7"/>
    <x v="6"/>
    <n v="2"/>
    <n v="1549"/>
    <n v="0.2"/>
    <n v="2478.4"/>
  </r>
  <r>
    <n v="1349"/>
    <n v="4"/>
    <n v="184"/>
    <s v="Trek Domane SL 6 Disc - 2018"/>
    <n v="7"/>
    <x v="6"/>
    <n v="1"/>
    <n v="3499.99"/>
    <n v="0.2"/>
    <n v="2799.9919999999997"/>
  </r>
  <r>
    <n v="1350"/>
    <n v="1"/>
    <n v="305"/>
    <s v="Electra Townie Balloon 3i EQ - 2017/2018"/>
    <n v="2"/>
    <x v="3"/>
    <n v="1"/>
    <n v="749.99"/>
    <n v="0.1"/>
    <n v="674.99099999999999"/>
  </r>
  <r>
    <n v="1350"/>
    <n v="2"/>
    <n v="250"/>
    <s v="Electra Townie Go! 8i - 2017/2018"/>
    <n v="3"/>
    <x v="0"/>
    <n v="1"/>
    <n v="2599.9899999999998"/>
    <n v="7.0000000000000007E-2"/>
    <n v="2417.9906999999998"/>
  </r>
  <r>
    <n v="1350"/>
    <n v="3"/>
    <n v="253"/>
    <s v="Electra Townie Go! 8i Ladies' - 2018"/>
    <n v="3"/>
    <x v="0"/>
    <n v="1"/>
    <n v="2599.9899999999998"/>
    <n v="7.0000000000000007E-2"/>
    <n v="2417.9906999999998"/>
  </r>
  <r>
    <n v="1350"/>
    <n v="4"/>
    <n v="159"/>
    <s v="Trek Emonda ALR 6 - 2018"/>
    <n v="7"/>
    <x v="6"/>
    <n v="1"/>
    <n v="2299.9899999999998"/>
    <n v="0.05"/>
    <n v="2184.9904999999999"/>
  </r>
  <r>
    <n v="1350"/>
    <n v="5"/>
    <n v="13"/>
    <s v="Electra Cruiser 1 (24-Inch) - 2016"/>
    <n v="3"/>
    <x v="0"/>
    <n v="2"/>
    <n v="269.99"/>
    <n v="0.2"/>
    <n v="431.98400000000004"/>
  </r>
  <r>
    <n v="1351"/>
    <n v="1"/>
    <n v="297"/>
    <s v="Electra Under-The-Sea 1 16&quot; - 2018"/>
    <n v="1"/>
    <x v="5"/>
    <n v="2"/>
    <n v="279.99"/>
    <n v="0.2"/>
    <n v="447.98400000000004"/>
  </r>
  <r>
    <n v="1351"/>
    <n v="2"/>
    <n v="133"/>
    <s v="Trek Procaliber Frameset - 2018"/>
    <n v="6"/>
    <x v="1"/>
    <n v="1"/>
    <n v="1499.99"/>
    <n v="0.1"/>
    <n v="1349.991"/>
  </r>
  <r>
    <n v="1352"/>
    <n v="1"/>
    <n v="136"/>
    <s v="Trek Procaliber 6 - 2018"/>
    <n v="6"/>
    <x v="1"/>
    <n v="1"/>
    <n v="1799.99"/>
    <n v="0.2"/>
    <n v="1439.992"/>
  </r>
  <r>
    <n v="1352"/>
    <n v="2"/>
    <n v="52"/>
    <s v="Surly Steamroller - 2017"/>
    <n v="7"/>
    <x v="6"/>
    <n v="2"/>
    <n v="875.99"/>
    <n v="0.1"/>
    <n v="1576.7819999999999"/>
  </r>
  <r>
    <n v="1352"/>
    <n v="3"/>
    <n v="282"/>
    <s v="Electra Cyclosaurus 1 (16-inch) - Boy's - 2018"/>
    <n v="1"/>
    <x v="5"/>
    <n v="2"/>
    <n v="279.99"/>
    <n v="0.1"/>
    <n v="503.98200000000003"/>
  </r>
  <r>
    <n v="1352"/>
    <n v="4"/>
    <n v="86"/>
    <s v="Trek Girl's Kickster - 2017"/>
    <n v="1"/>
    <x v="5"/>
    <n v="2"/>
    <n v="149.99"/>
    <n v="0.2"/>
    <n v="239.98400000000001"/>
  </r>
  <r>
    <n v="1352"/>
    <n v="5"/>
    <n v="100"/>
    <s v="Electra Townie 3i EQ (20-inch) - Boys' - 2017"/>
    <n v="1"/>
    <x v="5"/>
    <n v="1"/>
    <n v="489.99"/>
    <n v="0.05"/>
    <n v="465.4905"/>
  </r>
  <r>
    <n v="1353"/>
    <n v="1"/>
    <n v="107"/>
    <s v="Sun Bicycles Cruz 7 - 2017"/>
    <n v="2"/>
    <x v="3"/>
    <n v="2"/>
    <n v="416.99"/>
    <n v="0.05"/>
    <n v="792.28100000000006"/>
  </r>
  <r>
    <n v="1353"/>
    <n v="2"/>
    <n v="233"/>
    <s v="Electra Cruiser Lux Fat Tire 7D - 2018"/>
    <n v="3"/>
    <x v="0"/>
    <n v="1"/>
    <n v="639.99"/>
    <n v="7.0000000000000007E-2"/>
    <n v="595.19069999999999"/>
  </r>
  <r>
    <n v="1353"/>
    <n v="3"/>
    <n v="300"/>
    <s v="Electra Townie Balloon 3i EQ Ladies' - 2018"/>
    <n v="2"/>
    <x v="3"/>
    <n v="1"/>
    <n v="799.99"/>
    <n v="0.2"/>
    <n v="639.99199999999996"/>
  </r>
  <r>
    <n v="1353"/>
    <n v="4"/>
    <n v="86"/>
    <s v="Trek Girl's Kickster - 2017"/>
    <n v="1"/>
    <x v="5"/>
    <n v="2"/>
    <n v="149.99"/>
    <n v="0.05"/>
    <n v="284.98099999999999"/>
  </r>
  <r>
    <n v="1354"/>
    <n v="1"/>
    <n v="166"/>
    <s v="Trek Domane AL 2 Women's - 2018"/>
    <n v="7"/>
    <x v="6"/>
    <n v="2"/>
    <n v="749.99"/>
    <n v="7.0000000000000007E-2"/>
    <n v="1394.9814000000001"/>
  </r>
  <r>
    <n v="1355"/>
    <n v="1"/>
    <n v="297"/>
    <s v="Electra Under-The-Sea 1 16&quot; - 2018"/>
    <n v="1"/>
    <x v="5"/>
    <n v="1"/>
    <n v="279.99"/>
    <n v="0.1"/>
    <n v="251.99100000000001"/>
  </r>
  <r>
    <n v="1355"/>
    <n v="2"/>
    <n v="253"/>
    <s v="Electra Townie Go! 8i Ladies' - 2018"/>
    <n v="3"/>
    <x v="0"/>
    <n v="1"/>
    <n v="2599.9899999999998"/>
    <n v="7.0000000000000007E-2"/>
    <n v="2417.9906999999998"/>
  </r>
  <r>
    <n v="1355"/>
    <n v="3"/>
    <n v="149"/>
    <s v="Trek Domane SLR 8 Disc - 2018"/>
    <n v="7"/>
    <x v="6"/>
    <n v="1"/>
    <n v="7499.99"/>
    <n v="0.2"/>
    <n v="5999.9920000000002"/>
  </r>
  <r>
    <n v="1355"/>
    <n v="4"/>
    <n v="313"/>
    <s v="Electra Townie Original 1 Ladies' - 2018"/>
    <n v="2"/>
    <x v="3"/>
    <n v="2"/>
    <n v="449.99"/>
    <n v="0.1"/>
    <n v="809.98199999999997"/>
  </r>
  <r>
    <n v="1356"/>
    <n v="1"/>
    <n v="192"/>
    <s v="Electra Townie Go! 8i - 2017/2018"/>
    <n v="5"/>
    <x v="4"/>
    <n v="1"/>
    <n v="2599.9899999999998"/>
    <n v="0.05"/>
    <n v="2469.9904999999999"/>
  </r>
  <r>
    <n v="1356"/>
    <n v="2"/>
    <n v="199"/>
    <s v="Electra Townie Commute Go! Ladies' - 2018"/>
    <n v="5"/>
    <x v="4"/>
    <n v="2"/>
    <n v="2999.99"/>
    <n v="0.1"/>
    <n v="5399.982"/>
  </r>
  <r>
    <n v="1356"/>
    <n v="3"/>
    <n v="276"/>
    <s v="Trek Precaliber 24 (7-Speed) - Boys - 2018"/>
    <n v="1"/>
    <x v="5"/>
    <n v="2"/>
    <n v="319.99"/>
    <n v="0.1"/>
    <n v="575.98199999999997"/>
  </r>
  <r>
    <n v="1357"/>
    <n v="1"/>
    <n v="145"/>
    <s v="Trek Domane ALR 5 Disc - 2018"/>
    <n v="7"/>
    <x v="6"/>
    <n v="2"/>
    <n v="1799.99"/>
    <n v="0.2"/>
    <n v="2879.9839999999999"/>
  </r>
  <r>
    <n v="1357"/>
    <n v="2"/>
    <n v="60"/>
    <s v="Sun Bicycles ElectroLite - 2017"/>
    <n v="5"/>
    <x v="4"/>
    <n v="1"/>
    <n v="1559.99"/>
    <n v="0.2"/>
    <n v="1247.992"/>
  </r>
  <r>
    <n v="1357"/>
    <n v="3"/>
    <n v="130"/>
    <s v="Trek Stache Carbon Frameset - 2018"/>
    <n v="6"/>
    <x v="1"/>
    <n v="1"/>
    <n v="919.99"/>
    <n v="0.2"/>
    <n v="735.99199999999996"/>
  </r>
  <r>
    <n v="1358"/>
    <n v="1"/>
    <n v="257"/>
    <s v="Electra Amsterdam Fashion 3i Ladies' - 2017/2018"/>
    <n v="3"/>
    <x v="0"/>
    <n v="2"/>
    <n v="899.99"/>
    <n v="0.2"/>
    <n v="1439.9839999999999"/>
  </r>
  <r>
    <n v="1359"/>
    <n v="1"/>
    <n v="282"/>
    <s v="Electra Cyclosaurus 1 (16-inch) - Boy's - 2018"/>
    <n v="1"/>
    <x v="5"/>
    <n v="1"/>
    <n v="279.99"/>
    <n v="0.05"/>
    <n v="265.9905"/>
  </r>
  <r>
    <n v="1359"/>
    <n v="2"/>
    <n v="82"/>
    <s v="Electra Amsterdam Original 3i Ladies' - 2017"/>
    <n v="3"/>
    <x v="0"/>
    <n v="1"/>
    <n v="659.99"/>
    <n v="0.05"/>
    <n v="626.9905"/>
  </r>
  <r>
    <n v="1360"/>
    <n v="1"/>
    <n v="31"/>
    <s v="Surly Wednesday - 2017"/>
    <n v="6"/>
    <x v="1"/>
    <n v="1"/>
    <n v="1632.99"/>
    <n v="0.05"/>
    <n v="1551.3405"/>
  </r>
  <r>
    <n v="1361"/>
    <n v="1"/>
    <n v="307"/>
    <s v="Electra Townie Balloon 8D EQ - 2016/2017/2018"/>
    <n v="2"/>
    <x v="3"/>
    <n v="2"/>
    <n v="749.99"/>
    <n v="7.0000000000000007E-2"/>
    <n v="1394.9814000000001"/>
  </r>
  <r>
    <n v="1361"/>
    <n v="2"/>
    <n v="153"/>
    <s v="Trek Domane SL 7 Women's - 2018"/>
    <n v="7"/>
    <x v="6"/>
    <n v="1"/>
    <n v="4999.99"/>
    <n v="0.05"/>
    <n v="4749.9904999999999"/>
  </r>
  <r>
    <n v="1361"/>
    <n v="3"/>
    <n v="163"/>
    <s v="Surly Pack Rat - 2018"/>
    <n v="7"/>
    <x v="6"/>
    <n v="2"/>
    <n v="1349"/>
    <n v="0.2"/>
    <n v="2158.4"/>
  </r>
  <r>
    <n v="1362"/>
    <n v="1"/>
    <n v="27"/>
    <s v="Surly Big Dummy Frameset - 2017"/>
    <n v="6"/>
    <x v="1"/>
    <n v="2"/>
    <n v="999.99"/>
    <n v="0.2"/>
    <n v="1599.9839999999999"/>
  </r>
  <r>
    <n v="1362"/>
    <n v="2"/>
    <n v="204"/>
    <s v="Trek Super Commuter+ 7 - 2018"/>
    <n v="5"/>
    <x v="4"/>
    <n v="2"/>
    <n v="3599.99"/>
    <n v="7.0000000000000007E-2"/>
    <n v="6695.9813999999997"/>
  </r>
  <r>
    <n v="1362"/>
    <n v="3"/>
    <n v="4"/>
    <s v="Trek Fuel EX 8 29 - 2016"/>
    <n v="6"/>
    <x v="1"/>
    <n v="2"/>
    <n v="2899.99"/>
    <n v="0.2"/>
    <n v="4639.9839999999995"/>
  </r>
  <r>
    <n v="1363"/>
    <n v="1"/>
    <n v="66"/>
    <s v="Sun Bicycles Revolutions 24 - 2017"/>
    <n v="3"/>
    <x v="0"/>
    <n v="2"/>
    <n v="250.99"/>
    <n v="0.1"/>
    <n v="451.78200000000004"/>
  </r>
  <r>
    <n v="1364"/>
    <n v="1"/>
    <n v="78"/>
    <s v="Sun Bicycles Biscayne Tandem CB - 2017"/>
    <n v="3"/>
    <x v="0"/>
    <n v="1"/>
    <n v="647.99"/>
    <n v="7.0000000000000007E-2"/>
    <n v="602.63070000000005"/>
  </r>
  <r>
    <n v="1364"/>
    <n v="2"/>
    <n v="155"/>
    <s v="Trek Domane SLR 9 Disc - 2018"/>
    <n v="7"/>
    <x v="6"/>
    <n v="2"/>
    <n v="11999.99"/>
    <n v="0.1"/>
    <n v="21599.982"/>
  </r>
  <r>
    <n v="1364"/>
    <n v="3"/>
    <n v="152"/>
    <s v="Trek Domane SL 5 Disc Women's - 2018"/>
    <n v="7"/>
    <x v="6"/>
    <n v="1"/>
    <n v="2499.9899999999998"/>
    <n v="0.1"/>
    <n v="2249.991"/>
  </r>
  <r>
    <n v="1364"/>
    <n v="4"/>
    <n v="110"/>
    <s v="Sun Bicycles Drifter 7 - 2017"/>
    <n v="2"/>
    <x v="3"/>
    <n v="1"/>
    <n v="470.99"/>
    <n v="7.0000000000000007E-2"/>
    <n v="438.02070000000003"/>
  </r>
  <r>
    <n v="1365"/>
    <n v="1"/>
    <n v="144"/>
    <s v="Trek Domane ALR 4 Disc - 2018"/>
    <n v="7"/>
    <x v="6"/>
    <n v="1"/>
    <n v="1549.99"/>
    <n v="7.0000000000000007E-2"/>
    <n v="1441.4907000000001"/>
  </r>
  <r>
    <n v="1365"/>
    <n v="2"/>
    <n v="58"/>
    <s v="Trek Madone 9.2 - 2017"/>
    <n v="7"/>
    <x v="6"/>
    <n v="1"/>
    <n v="4999.99"/>
    <n v="7.0000000000000007E-2"/>
    <n v="4649.9906999999994"/>
  </r>
  <r>
    <n v="1365"/>
    <n v="3"/>
    <n v="236"/>
    <s v="Electra Morningstar 3i Ladies' - 2018"/>
    <n v="3"/>
    <x v="0"/>
    <n v="1"/>
    <n v="749.99"/>
    <n v="0.05"/>
    <n v="712.4905"/>
  </r>
  <r>
    <n v="1366"/>
    <n v="1"/>
    <n v="115"/>
    <s v="Trek Fuel EX 8 29 - 2018"/>
    <n v="6"/>
    <x v="1"/>
    <n v="1"/>
    <n v="3199.99"/>
    <n v="0.1"/>
    <n v="2879.991"/>
  </r>
  <r>
    <n v="1366"/>
    <n v="2"/>
    <n v="128"/>
    <s v="Surly ECR 27.5 - 2018"/>
    <n v="6"/>
    <x v="1"/>
    <n v="2"/>
    <n v="1899"/>
    <n v="0.2"/>
    <n v="3038.4"/>
  </r>
  <r>
    <n v="1366"/>
    <n v="3"/>
    <n v="200"/>
    <s v="Trek Powerfly 5 - 2018"/>
    <n v="5"/>
    <x v="4"/>
    <n v="1"/>
    <n v="3499.99"/>
    <n v="7.0000000000000007E-2"/>
    <n v="3254.9906999999998"/>
  </r>
  <r>
    <n v="1367"/>
    <n v="1"/>
    <n v="132"/>
    <s v="Trek Procal AL Frameset - 2018"/>
    <n v="6"/>
    <x v="1"/>
    <n v="1"/>
    <n v="1499.99"/>
    <n v="0.1"/>
    <n v="1349.991"/>
  </r>
  <r>
    <n v="1367"/>
    <n v="2"/>
    <n v="131"/>
    <s v="Heller Bloodhound Trail - 2018"/>
    <n v="6"/>
    <x v="1"/>
    <n v="2"/>
    <n v="2599"/>
    <n v="0.2"/>
    <n v="4158.3999999999996"/>
  </r>
  <r>
    <n v="1367"/>
    <n v="3"/>
    <n v="124"/>
    <s v="Surly Krampus - 2018"/>
    <n v="6"/>
    <x v="1"/>
    <n v="1"/>
    <n v="1499"/>
    <n v="7.0000000000000007E-2"/>
    <n v="1394.07"/>
  </r>
  <r>
    <n v="1367"/>
    <n v="4"/>
    <n v="24"/>
    <s v="Electra Townie Original 21D - 2016"/>
    <n v="2"/>
    <x v="3"/>
    <n v="2"/>
    <n v="549.99"/>
    <n v="0.05"/>
    <n v="1044.981"/>
  </r>
  <r>
    <n v="1368"/>
    <n v="1"/>
    <n v="66"/>
    <s v="Sun Bicycles Revolutions 24 - 2017"/>
    <n v="3"/>
    <x v="0"/>
    <n v="1"/>
    <n v="250.99"/>
    <n v="0.1"/>
    <n v="225.89100000000002"/>
  </r>
  <r>
    <n v="1368"/>
    <n v="2"/>
    <n v="113"/>
    <s v="Trek Marlin 5 - 2018"/>
    <n v="6"/>
    <x v="1"/>
    <n v="2"/>
    <n v="489.99"/>
    <n v="7.0000000000000007E-2"/>
    <n v="911.38139999999999"/>
  </r>
  <r>
    <n v="1368"/>
    <n v="3"/>
    <n v="186"/>
    <s v="Trek CrossRip+ - 2018"/>
    <n v="5"/>
    <x v="4"/>
    <n v="1"/>
    <n v="4499.99"/>
    <n v="0.2"/>
    <n v="3599.9919999999997"/>
  </r>
  <r>
    <n v="1369"/>
    <n v="1"/>
    <n v="213"/>
    <s v="Electra Cruiser 1 - 2016/2017/2018"/>
    <n v="3"/>
    <x v="0"/>
    <n v="2"/>
    <n v="269.99"/>
    <n v="0.05"/>
    <n v="512.98099999999999"/>
  </r>
  <r>
    <n v="1370"/>
    <n v="1"/>
    <n v="7"/>
    <s v="Trek Slash 8 27.5 - 2016"/>
    <n v="6"/>
    <x v="1"/>
    <n v="1"/>
    <n v="3999.99"/>
    <n v="7.0000000000000007E-2"/>
    <n v="3719.9906999999998"/>
  </r>
  <r>
    <n v="1370"/>
    <n v="2"/>
    <n v="89"/>
    <s v="Trek Precaliber 16 Boys - 2017"/>
    <n v="1"/>
    <x v="5"/>
    <n v="2"/>
    <n v="209.99"/>
    <n v="0.1"/>
    <n v="377.98200000000003"/>
  </r>
  <r>
    <n v="1370"/>
    <n v="3"/>
    <n v="208"/>
    <s v="Trek Crockett 5 Disc - 2018"/>
    <n v="4"/>
    <x v="2"/>
    <n v="2"/>
    <n v="1799.99"/>
    <n v="0.2"/>
    <n v="2879.9839999999999"/>
  </r>
  <r>
    <n v="1370"/>
    <n v="4"/>
    <n v="134"/>
    <s v="Trek Remedy 27.5 C Frameset - 2018"/>
    <n v="6"/>
    <x v="1"/>
    <n v="1"/>
    <n v="1499.99"/>
    <n v="0.1"/>
    <n v="1349.991"/>
  </r>
  <r>
    <n v="1371"/>
    <n v="1"/>
    <n v="223"/>
    <s v="Electra Cruiser Lux 3i - 2018"/>
    <n v="3"/>
    <x v="0"/>
    <n v="2"/>
    <n v="529.99"/>
    <n v="7.0000000000000007E-2"/>
    <n v="985.78139999999996"/>
  </r>
  <r>
    <n v="1371"/>
    <n v="2"/>
    <n v="8"/>
    <s v="Trek Remedy 29 Carbon Frameset - 2016"/>
    <n v="6"/>
    <x v="1"/>
    <n v="2"/>
    <n v="1799.99"/>
    <n v="0.2"/>
    <n v="2879.9839999999999"/>
  </r>
  <r>
    <n v="1372"/>
    <n v="1"/>
    <n v="307"/>
    <s v="Electra Townie Balloon 8D EQ - 2016/2017/2018"/>
    <n v="2"/>
    <x v="3"/>
    <n v="1"/>
    <n v="749.99"/>
    <n v="7.0000000000000007E-2"/>
    <n v="697.49070000000006"/>
  </r>
  <r>
    <n v="1372"/>
    <n v="2"/>
    <n v="283"/>
    <s v="Electra Heartchya 1 (20-inch) - Girl's - 2018"/>
    <n v="1"/>
    <x v="5"/>
    <n v="2"/>
    <n v="319.99"/>
    <n v="0.2"/>
    <n v="511.98400000000004"/>
  </r>
  <r>
    <n v="1373"/>
    <n v="1"/>
    <n v="63"/>
    <s v="Trek Boone Race Shop Limited - 2017"/>
    <n v="4"/>
    <x v="2"/>
    <n v="1"/>
    <n v="3499.99"/>
    <n v="0.1"/>
    <n v="3149.991"/>
  </r>
  <r>
    <n v="1374"/>
    <n v="1"/>
    <n v="181"/>
    <s v="Trek Domane SL 5 - 2018"/>
    <n v="7"/>
    <x v="6"/>
    <n v="2"/>
    <n v="2199.9899999999998"/>
    <n v="0.05"/>
    <n v="4179.9809999999998"/>
  </r>
  <r>
    <n v="1374"/>
    <n v="2"/>
    <n v="130"/>
    <s v="Trek Stache Carbon Frameset - 2018"/>
    <n v="6"/>
    <x v="1"/>
    <n v="2"/>
    <n v="919.99"/>
    <n v="7.0000000000000007E-2"/>
    <n v="1711.1813999999999"/>
  </r>
  <r>
    <n v="1375"/>
    <n v="1"/>
    <n v="147"/>
    <s v="Trek Domane ALR 5 Gravel - 2018"/>
    <n v="7"/>
    <x v="6"/>
    <n v="2"/>
    <n v="1799.99"/>
    <n v="0.05"/>
    <n v="3419.9809999999998"/>
  </r>
  <r>
    <n v="1375"/>
    <n v="2"/>
    <n v="182"/>
    <s v="Trek Domane SL 5 Disc - 2018"/>
    <n v="7"/>
    <x v="6"/>
    <n v="1"/>
    <n v="2499.9899999999998"/>
    <n v="0.2"/>
    <n v="1999.9919999999997"/>
  </r>
  <r>
    <n v="1376"/>
    <n v="1"/>
    <n v="5"/>
    <s v="Heller Shagamaw Frame - 2016"/>
    <n v="6"/>
    <x v="1"/>
    <n v="1"/>
    <n v="1320.99"/>
    <n v="7.0000000000000007E-2"/>
    <n v="1228.5207"/>
  </r>
  <r>
    <n v="1377"/>
    <n v="1"/>
    <n v="153"/>
    <s v="Trek Domane SL 7 Women's - 2018"/>
    <n v="7"/>
    <x v="6"/>
    <n v="2"/>
    <n v="4999.99"/>
    <n v="0.05"/>
    <n v="9499.9809999999998"/>
  </r>
  <r>
    <n v="1377"/>
    <n v="2"/>
    <n v="130"/>
    <s v="Trek Stache Carbon Frameset - 2018"/>
    <n v="6"/>
    <x v="1"/>
    <n v="1"/>
    <n v="919.99"/>
    <n v="0.05"/>
    <n v="873.9905"/>
  </r>
  <r>
    <n v="1377"/>
    <n v="3"/>
    <n v="48"/>
    <s v="Trek Emonda S 4 - 2017"/>
    <n v="7"/>
    <x v="6"/>
    <n v="1"/>
    <n v="1499.99"/>
    <n v="7.0000000000000007E-2"/>
    <n v="1394.9907000000001"/>
  </r>
  <r>
    <n v="1377"/>
    <n v="4"/>
    <n v="188"/>
    <s v="Trek XM700+ Lowstep - 2018"/>
    <n v="5"/>
    <x v="4"/>
    <n v="2"/>
    <n v="3499.99"/>
    <n v="7.0000000000000007E-2"/>
    <n v="6509.9813999999997"/>
  </r>
  <r>
    <n v="1378"/>
    <n v="1"/>
    <n v="96"/>
    <s v="Electra Moto 3i (20-inch) - Boy's - 2017"/>
    <n v="1"/>
    <x v="5"/>
    <n v="2"/>
    <n v="349.99"/>
    <n v="7.0000000000000007E-2"/>
    <n v="650.98140000000001"/>
  </r>
  <r>
    <n v="1378"/>
    <n v="2"/>
    <n v="142"/>
    <s v="Trek Fuel EX 8 29 XT - 2018"/>
    <n v="6"/>
    <x v="1"/>
    <n v="2"/>
    <n v="3199.99"/>
    <n v="7.0000000000000007E-2"/>
    <n v="5951.9813999999997"/>
  </r>
  <r>
    <n v="1378"/>
    <n v="3"/>
    <n v="2"/>
    <s v="Ritchey Timberwolf Frameset - 2016"/>
    <n v="6"/>
    <x v="1"/>
    <n v="2"/>
    <n v="749.99"/>
    <n v="0.2"/>
    <n v="1199.9839999999999"/>
  </r>
  <r>
    <n v="1378"/>
    <n v="4"/>
    <n v="110"/>
    <s v="Sun Bicycles Drifter 7 - 2017"/>
    <n v="2"/>
    <x v="3"/>
    <n v="1"/>
    <n v="470.99"/>
    <n v="7.0000000000000007E-2"/>
    <n v="438.02070000000003"/>
  </r>
  <r>
    <n v="1378"/>
    <n v="5"/>
    <n v="129"/>
    <s v="Trek X-Caliber 7 - 2018"/>
    <n v="6"/>
    <x v="1"/>
    <n v="2"/>
    <n v="919.99"/>
    <n v="0.2"/>
    <n v="1471.9839999999999"/>
  </r>
  <r>
    <n v="1379"/>
    <n v="1"/>
    <n v="15"/>
    <s v="Electra Moto 1 - 2016"/>
    <n v="3"/>
    <x v="0"/>
    <n v="1"/>
    <n v="529.99"/>
    <n v="0.1"/>
    <n v="476.99099999999999"/>
  </r>
  <r>
    <n v="1379"/>
    <n v="2"/>
    <n v="118"/>
    <s v="Trek X-Caliber 8 - 2018"/>
    <n v="6"/>
    <x v="1"/>
    <n v="1"/>
    <n v="999.99"/>
    <n v="0.1"/>
    <n v="899.99099999999999"/>
  </r>
  <r>
    <n v="1379"/>
    <n v="3"/>
    <n v="263"/>
    <s v="Strider Classic 12 Balance Bike - 2018"/>
    <n v="1"/>
    <x v="5"/>
    <n v="2"/>
    <n v="89.99"/>
    <n v="0.1"/>
    <n v="161.982"/>
  </r>
  <r>
    <n v="1380"/>
    <n v="1"/>
    <n v="255"/>
    <s v="Electra Townie Balloon 7i EQ Ladies' - 2017/2018"/>
    <n v="3"/>
    <x v="0"/>
    <n v="2"/>
    <n v="899.99"/>
    <n v="0.1"/>
    <n v="1619.982"/>
  </r>
  <r>
    <n v="1380"/>
    <n v="2"/>
    <n v="229"/>
    <s v="Electra Cruiser Lux 1 - 2016/2018"/>
    <n v="3"/>
    <x v="0"/>
    <n v="2"/>
    <n v="429.99"/>
    <n v="7.0000000000000007E-2"/>
    <n v="799.78139999999996"/>
  </r>
  <r>
    <n v="1381"/>
    <n v="1"/>
    <n v="274"/>
    <s v="Trek Precaliber 20 Boy's - 2018"/>
    <n v="1"/>
    <x v="5"/>
    <n v="2"/>
    <n v="229.99"/>
    <n v="0.2"/>
    <n v="367.98400000000004"/>
  </r>
  <r>
    <n v="1381"/>
    <n v="2"/>
    <n v="214"/>
    <s v="Electra Tiger Shark 3i - 2018"/>
    <n v="3"/>
    <x v="0"/>
    <n v="2"/>
    <n v="899.99"/>
    <n v="0.1"/>
    <n v="1619.982"/>
  </r>
  <r>
    <n v="1382"/>
    <n v="1"/>
    <n v="232"/>
    <s v="Electra Cruiser Lux 7D Ladies' - 2018"/>
    <n v="3"/>
    <x v="0"/>
    <n v="1"/>
    <n v="479.99"/>
    <n v="0.2"/>
    <n v="383.99200000000002"/>
  </r>
  <r>
    <n v="1382"/>
    <n v="2"/>
    <n v="81"/>
    <s v="Electra Amsterdam Fashion 7i Ladies' - 2017"/>
    <n v="3"/>
    <x v="0"/>
    <n v="2"/>
    <n v="1099.99"/>
    <n v="0.05"/>
    <n v="2089.9810000000002"/>
  </r>
  <r>
    <n v="1382"/>
    <n v="3"/>
    <n v="225"/>
    <s v="Electra Delivery 3i - 2016/2017/2018"/>
    <n v="3"/>
    <x v="0"/>
    <n v="1"/>
    <n v="959.99"/>
    <n v="0.1"/>
    <n v="863.99099999999999"/>
  </r>
  <r>
    <n v="1382"/>
    <n v="4"/>
    <n v="135"/>
    <s v="Trek X-Caliber Frameset - 2018"/>
    <n v="6"/>
    <x v="1"/>
    <n v="1"/>
    <n v="1499.99"/>
    <n v="7.0000000000000007E-2"/>
    <n v="1394.9907000000001"/>
  </r>
  <r>
    <n v="1382"/>
    <n v="5"/>
    <n v="238"/>
    <s v="Electra Townie Balloon 8D EQ - 2016/2017/2018"/>
    <n v="3"/>
    <x v="0"/>
    <n v="1"/>
    <n v="749.99"/>
    <n v="0.2"/>
    <n v="599.99199999999996"/>
  </r>
  <r>
    <n v="1383"/>
    <n v="1"/>
    <n v="188"/>
    <s v="Trek XM700+ Lowstep - 2018"/>
    <n v="5"/>
    <x v="4"/>
    <n v="2"/>
    <n v="3499.99"/>
    <n v="0.2"/>
    <n v="5599.9839999999995"/>
  </r>
  <r>
    <n v="1383"/>
    <n v="2"/>
    <n v="65"/>
    <s v="Sun Bicycles Lil Bolt Type-R - 2017"/>
    <n v="3"/>
    <x v="0"/>
    <n v="2"/>
    <n v="346.99"/>
    <n v="0.05"/>
    <n v="659.28100000000006"/>
  </r>
  <r>
    <n v="1384"/>
    <n v="1"/>
    <n v="32"/>
    <s v="Trek Farley Alloy Frameset - 2017"/>
    <n v="6"/>
    <x v="1"/>
    <n v="1"/>
    <n v="469.99"/>
    <n v="7.0000000000000007E-2"/>
    <n v="437.09070000000003"/>
  </r>
  <r>
    <n v="1384"/>
    <n v="2"/>
    <n v="142"/>
    <s v="Trek Fuel EX 8 29 XT - 2018"/>
    <n v="6"/>
    <x v="1"/>
    <n v="2"/>
    <n v="3199.99"/>
    <n v="0.1"/>
    <n v="5759.982"/>
  </r>
  <r>
    <n v="1384"/>
    <n v="3"/>
    <n v="89"/>
    <s v="Trek Precaliber 16 Boys - 2017"/>
    <n v="1"/>
    <x v="5"/>
    <n v="1"/>
    <n v="209.99"/>
    <n v="0.1"/>
    <n v="188.99100000000001"/>
  </r>
  <r>
    <n v="1384"/>
    <n v="4"/>
    <n v="97"/>
    <s v="Electra Savannah 3i (20-inch) - Girl's - 2017"/>
    <n v="1"/>
    <x v="5"/>
    <n v="1"/>
    <n v="349.99"/>
    <n v="0.05"/>
    <n v="332.4905"/>
  </r>
  <r>
    <n v="1385"/>
    <n v="1"/>
    <n v="24"/>
    <s v="Electra Townie Original 21D - 2016"/>
    <n v="2"/>
    <x v="3"/>
    <n v="2"/>
    <n v="549.99"/>
    <n v="0.05"/>
    <n v="1044.981"/>
  </r>
  <r>
    <n v="1385"/>
    <n v="2"/>
    <n v="145"/>
    <s v="Trek Domane ALR 5 Disc - 2018"/>
    <n v="7"/>
    <x v="6"/>
    <n v="1"/>
    <n v="1799.99"/>
    <n v="7.0000000000000007E-2"/>
    <n v="1673.9907000000001"/>
  </r>
  <r>
    <n v="1385"/>
    <n v="3"/>
    <n v="39"/>
    <s v="Trek Stache 5 - 2017"/>
    <n v="6"/>
    <x v="1"/>
    <n v="2"/>
    <n v="1499.99"/>
    <n v="0.1"/>
    <n v="2699.982"/>
  </r>
  <r>
    <n v="1385"/>
    <n v="4"/>
    <n v="135"/>
    <s v="Trek X-Caliber Frameset - 2018"/>
    <n v="6"/>
    <x v="1"/>
    <n v="1"/>
    <n v="1499.99"/>
    <n v="0.05"/>
    <n v="1424.9905000000001"/>
  </r>
  <r>
    <n v="1386"/>
    <n v="1"/>
    <n v="292"/>
    <s v="Electra Sweet Ride 3i (20-inch) - Girls' - 2018"/>
    <n v="1"/>
    <x v="5"/>
    <n v="1"/>
    <n v="369.99"/>
    <n v="0.2"/>
    <n v="295.99200000000002"/>
  </r>
  <r>
    <n v="1386"/>
    <n v="2"/>
    <n v="262"/>
    <s v="Trek MT 201 - 2018"/>
    <n v="1"/>
    <x v="5"/>
    <n v="1"/>
    <n v="249.99"/>
    <n v="0.1"/>
    <n v="224.99100000000001"/>
  </r>
  <r>
    <n v="1386"/>
    <n v="3"/>
    <n v="306"/>
    <s v="Electra Townie Balloon 7i EQ Ladies' - 2017/2018"/>
    <n v="2"/>
    <x v="3"/>
    <n v="1"/>
    <n v="899.99"/>
    <n v="0.1"/>
    <n v="809.99099999999999"/>
  </r>
  <r>
    <n v="1386"/>
    <n v="4"/>
    <n v="150"/>
    <s v="Trek Emonda SL 7 - 2018"/>
    <n v="7"/>
    <x v="6"/>
    <n v="1"/>
    <n v="4499.99"/>
    <n v="7.0000000000000007E-2"/>
    <n v="4184.9906999999994"/>
  </r>
  <r>
    <n v="1387"/>
    <n v="1"/>
    <n v="106"/>
    <s v="Sun Bicycles Cruz 3 - 2017"/>
    <n v="2"/>
    <x v="3"/>
    <n v="1"/>
    <n v="449.99"/>
    <n v="0.1"/>
    <n v="404.99099999999999"/>
  </r>
  <r>
    <n v="1388"/>
    <n v="1"/>
    <n v="251"/>
    <s v="Electra Townie Commute Go! - 2018"/>
    <n v="3"/>
    <x v="0"/>
    <n v="1"/>
    <n v="2999.99"/>
    <n v="0.1"/>
    <n v="2699.991"/>
  </r>
  <r>
    <n v="1389"/>
    <n v="1"/>
    <n v="85"/>
    <s v="Haro Downtown 16 - 2017"/>
    <n v="1"/>
    <x v="5"/>
    <n v="2"/>
    <n v="329.99"/>
    <n v="0.1"/>
    <n v="593.98199999999997"/>
  </r>
  <r>
    <n v="1389"/>
    <n v="2"/>
    <n v="171"/>
    <s v="Trek Domane SL 6 - 2018"/>
    <n v="7"/>
    <x v="6"/>
    <n v="2"/>
    <n v="3199.99"/>
    <n v="0.05"/>
    <n v="6079.9809999999998"/>
  </r>
  <r>
    <n v="1389"/>
    <n v="3"/>
    <n v="227"/>
    <s v="Electra Cruiser 7D (24-Inch) Ladies' - 2016/2018"/>
    <n v="3"/>
    <x v="0"/>
    <n v="1"/>
    <n v="319.99"/>
    <n v="7.0000000000000007E-2"/>
    <n v="297.59070000000003"/>
  </r>
  <r>
    <n v="1390"/>
    <n v="1"/>
    <n v="41"/>
    <s v="Haro Shift R3 - 2017"/>
    <n v="6"/>
    <x v="1"/>
    <n v="2"/>
    <n v="1469.99"/>
    <n v="0.05"/>
    <n v="2792.9810000000002"/>
  </r>
  <r>
    <n v="1390"/>
    <n v="2"/>
    <n v="27"/>
    <s v="Surly Big Dummy Frameset - 2017"/>
    <n v="6"/>
    <x v="1"/>
    <n v="2"/>
    <n v="999.99"/>
    <n v="0.05"/>
    <n v="1899.981"/>
  </r>
  <r>
    <n v="1390"/>
    <n v="3"/>
    <n v="306"/>
    <s v="Electra Townie Balloon 7i EQ Ladies' - 2017/2018"/>
    <n v="2"/>
    <x v="3"/>
    <n v="1"/>
    <n v="899.99"/>
    <n v="0.1"/>
    <n v="809.99099999999999"/>
  </r>
  <r>
    <n v="1390"/>
    <n v="4"/>
    <n v="104"/>
    <s v="Sun Bicycles Streamway - 2017"/>
    <n v="2"/>
    <x v="3"/>
    <n v="1"/>
    <n v="481.99"/>
    <n v="0.05"/>
    <n v="457.89050000000003"/>
  </r>
  <r>
    <n v="1390"/>
    <n v="5"/>
    <n v="147"/>
    <s v="Trek Domane ALR 5 Gravel - 2018"/>
    <n v="7"/>
    <x v="6"/>
    <n v="2"/>
    <n v="1799.99"/>
    <n v="0.1"/>
    <n v="3239.982"/>
  </r>
  <r>
    <n v="1391"/>
    <n v="1"/>
    <n v="223"/>
    <s v="Electra Cruiser Lux 3i - 2018"/>
    <n v="3"/>
    <x v="0"/>
    <n v="2"/>
    <n v="529.99"/>
    <n v="7.0000000000000007E-2"/>
    <n v="985.78139999999996"/>
  </r>
  <r>
    <n v="1391"/>
    <n v="2"/>
    <n v="295"/>
    <s v="Electra Treasure 1 20&quot; - 2018"/>
    <n v="1"/>
    <x v="5"/>
    <n v="2"/>
    <n v="319.99"/>
    <n v="0.2"/>
    <n v="511.98400000000004"/>
  </r>
  <r>
    <n v="1391"/>
    <n v="3"/>
    <n v="277"/>
    <s v="Trek Precaliber 24 21-speed Boy's - 2018"/>
    <n v="1"/>
    <x v="5"/>
    <n v="1"/>
    <n v="369.99"/>
    <n v="0.2"/>
    <n v="295.99200000000002"/>
  </r>
  <r>
    <n v="1392"/>
    <n v="1"/>
    <n v="87"/>
    <s v="Trek Precaliber 12 Boys - 2017"/>
    <n v="1"/>
    <x v="5"/>
    <n v="2"/>
    <n v="189.99"/>
    <n v="0.2"/>
    <n v="303.98400000000004"/>
  </r>
  <r>
    <n v="1392"/>
    <n v="2"/>
    <n v="240"/>
    <s v="Electra Townie Commute 27D Ladies - 2018"/>
    <n v="3"/>
    <x v="0"/>
    <n v="2"/>
    <n v="899.99"/>
    <n v="0.05"/>
    <n v="1709.981"/>
  </r>
  <r>
    <n v="1393"/>
    <n v="1"/>
    <n v="92"/>
    <s v="Haro Shredder 20 - 2017"/>
    <n v="1"/>
    <x v="5"/>
    <n v="1"/>
    <n v="209.99"/>
    <n v="7.0000000000000007E-2"/>
    <n v="195.29070000000002"/>
  </r>
  <r>
    <n v="1393"/>
    <n v="2"/>
    <n v="82"/>
    <s v="Electra Amsterdam Original 3i Ladies' - 2017"/>
    <n v="3"/>
    <x v="0"/>
    <n v="1"/>
    <n v="659.99"/>
    <n v="7.0000000000000007E-2"/>
    <n v="613.79070000000002"/>
  </r>
  <r>
    <n v="1393"/>
    <n v="3"/>
    <n v="47"/>
    <s v="Trek Remedy 9.8 - 2017"/>
    <n v="6"/>
    <x v="1"/>
    <n v="2"/>
    <n v="5299.99"/>
    <n v="0.05"/>
    <n v="10069.981"/>
  </r>
  <r>
    <n v="1393"/>
    <n v="4"/>
    <n v="268"/>
    <s v="Trek Kickster - 2018"/>
    <n v="1"/>
    <x v="5"/>
    <n v="2"/>
    <n v="159.99"/>
    <n v="0.05"/>
    <n v="303.98099999999999"/>
  </r>
  <r>
    <n v="1394"/>
    <n v="1"/>
    <n v="165"/>
    <s v="Trek 1120 - 2018"/>
    <n v="7"/>
    <x v="6"/>
    <n v="2"/>
    <n v="2499.9899999999998"/>
    <n v="0.05"/>
    <n v="4749.9809999999998"/>
  </r>
  <r>
    <n v="1395"/>
    <n v="1"/>
    <n v="204"/>
    <s v="Trek Super Commuter+ 7 - 2018"/>
    <n v="5"/>
    <x v="4"/>
    <n v="1"/>
    <n v="3599.99"/>
    <n v="0.2"/>
    <n v="2879.9919999999997"/>
  </r>
  <r>
    <n v="1395"/>
    <n v="2"/>
    <n v="48"/>
    <s v="Trek Emonda S 4 - 2017"/>
    <n v="7"/>
    <x v="6"/>
    <n v="2"/>
    <n v="1499.99"/>
    <n v="0.1"/>
    <n v="2699.982"/>
  </r>
  <r>
    <n v="1395"/>
    <n v="3"/>
    <n v="180"/>
    <s v="Trek Domane AL 3 Women's - 2018"/>
    <n v="7"/>
    <x v="6"/>
    <n v="2"/>
    <n v="919.99"/>
    <n v="0.2"/>
    <n v="1471.9839999999999"/>
  </r>
  <r>
    <n v="1395"/>
    <n v="4"/>
    <n v="226"/>
    <s v="Electra Townie Original 21D EQ - 2017/2018"/>
    <n v="3"/>
    <x v="0"/>
    <n v="1"/>
    <n v="679.99"/>
    <n v="0.1"/>
    <n v="611.99099999999999"/>
  </r>
  <r>
    <n v="1396"/>
    <n v="1"/>
    <n v="57"/>
    <s v="Trek Emonda S 5 - 2017"/>
    <n v="7"/>
    <x v="6"/>
    <n v="1"/>
    <n v="1999.99"/>
    <n v="0.05"/>
    <n v="1899.9904999999999"/>
  </r>
  <r>
    <n v="1396"/>
    <n v="2"/>
    <n v="181"/>
    <s v="Trek Domane SL 5 - 2018"/>
    <n v="7"/>
    <x v="6"/>
    <n v="1"/>
    <n v="2199.9899999999998"/>
    <n v="0.2"/>
    <n v="1759.9919999999997"/>
  </r>
  <r>
    <n v="1397"/>
    <n v="1"/>
    <n v="127"/>
    <s v="Surly Pack Rat Frameset - 2018"/>
    <n v="6"/>
    <x v="1"/>
    <n v="2"/>
    <n v="469.99"/>
    <n v="0.1"/>
    <n v="845.98199999999997"/>
  </r>
  <r>
    <n v="1397"/>
    <n v="2"/>
    <n v="139"/>
    <s v="Trek Remedy 7 27.5 - 2018"/>
    <n v="6"/>
    <x v="1"/>
    <n v="1"/>
    <n v="2999.99"/>
    <n v="7.0000000000000007E-2"/>
    <n v="2789.9906999999998"/>
  </r>
  <r>
    <n v="1397"/>
    <n v="3"/>
    <n v="7"/>
    <s v="Trek Slash 8 27.5 - 2016"/>
    <n v="6"/>
    <x v="1"/>
    <n v="1"/>
    <n v="3999.99"/>
    <n v="0.05"/>
    <n v="3799.9904999999999"/>
  </r>
  <r>
    <n v="1397"/>
    <n v="4"/>
    <n v="249"/>
    <s v="Electra White Water 3i - 2018"/>
    <n v="3"/>
    <x v="0"/>
    <n v="1"/>
    <n v="749.99"/>
    <n v="0.05"/>
    <n v="712.4905"/>
  </r>
  <r>
    <n v="1397"/>
    <n v="5"/>
    <n v="78"/>
    <s v="Sun Bicycles Biscayne Tandem CB - 2017"/>
    <n v="3"/>
    <x v="0"/>
    <n v="2"/>
    <n v="647.99"/>
    <n v="0.1"/>
    <n v="1166.3820000000001"/>
  </r>
  <r>
    <n v="1398"/>
    <n v="1"/>
    <n v="69"/>
    <s v="Sun Bicycles Cruz 7 - 2017"/>
    <n v="3"/>
    <x v="0"/>
    <n v="2"/>
    <n v="416.99"/>
    <n v="0.05"/>
    <n v="792.28100000000006"/>
  </r>
  <r>
    <n v="1398"/>
    <n v="2"/>
    <n v="53"/>
    <s v="Surly Ogre Frameset - 2017"/>
    <n v="7"/>
    <x v="6"/>
    <n v="1"/>
    <n v="749.99"/>
    <n v="0.2"/>
    <n v="599.99199999999996"/>
  </r>
  <r>
    <n v="1399"/>
    <n v="1"/>
    <n v="210"/>
    <s v="Surly Straggler - 2018"/>
    <n v="4"/>
    <x v="2"/>
    <n v="2"/>
    <n v="1549"/>
    <n v="0.2"/>
    <n v="2478.4"/>
  </r>
  <r>
    <n v="1399"/>
    <n v="2"/>
    <n v="224"/>
    <s v="Electra Cruiser Lux 7D - 2018"/>
    <n v="3"/>
    <x v="0"/>
    <n v="1"/>
    <n v="479.99"/>
    <n v="0.05"/>
    <n v="455.9905"/>
  </r>
  <r>
    <n v="1399"/>
    <n v="3"/>
    <n v="127"/>
    <s v="Surly Pack Rat Frameset - 2018"/>
    <n v="6"/>
    <x v="1"/>
    <n v="2"/>
    <n v="469.99"/>
    <n v="7.0000000000000007E-2"/>
    <n v="874.18140000000005"/>
  </r>
  <r>
    <n v="1399"/>
    <n v="4"/>
    <n v="28"/>
    <s v="Surly Karate Monkey 27.5+ Frameset - 2017"/>
    <n v="6"/>
    <x v="1"/>
    <n v="1"/>
    <n v="2499.9899999999998"/>
    <n v="0.05"/>
    <n v="2374.9904999999999"/>
  </r>
  <r>
    <n v="1400"/>
    <n v="1"/>
    <n v="24"/>
    <s v="Electra Townie Original 21D - 2016"/>
    <n v="2"/>
    <x v="3"/>
    <n v="2"/>
    <n v="549.99"/>
    <n v="0.2"/>
    <n v="879.98400000000004"/>
  </r>
  <r>
    <n v="1400"/>
    <n v="2"/>
    <n v="217"/>
    <s v="Electra Straight 8 3i - 2018"/>
    <n v="3"/>
    <x v="0"/>
    <n v="2"/>
    <n v="909.99"/>
    <n v="0.2"/>
    <n v="1455.9839999999999"/>
  </r>
  <r>
    <n v="1400"/>
    <n v="3"/>
    <n v="275"/>
    <s v="Trek Precaliber 20 Girl's - 2018"/>
    <n v="1"/>
    <x v="5"/>
    <n v="1"/>
    <n v="229.99"/>
    <n v="0.1"/>
    <n v="206.99100000000001"/>
  </r>
  <r>
    <n v="1400"/>
    <n v="4"/>
    <n v="90"/>
    <s v="Trek Precaliber 16 Girls - 2017"/>
    <n v="1"/>
    <x v="5"/>
    <n v="1"/>
    <n v="209.99"/>
    <n v="7.0000000000000007E-2"/>
    <n v="195.29070000000002"/>
  </r>
  <r>
    <n v="1401"/>
    <n v="1"/>
    <n v="112"/>
    <s v="Trek 820 - 2018"/>
    <n v="6"/>
    <x v="1"/>
    <n v="1"/>
    <n v="379.99"/>
    <n v="7.0000000000000007E-2"/>
    <n v="353.39069999999998"/>
  </r>
  <r>
    <n v="1401"/>
    <n v="2"/>
    <n v="230"/>
    <s v="Electra Cruiser Lux 1 Ladies' - 2018"/>
    <n v="3"/>
    <x v="0"/>
    <n v="1"/>
    <n v="429.99"/>
    <n v="0.05"/>
    <n v="408.4905"/>
  </r>
  <r>
    <n v="1401"/>
    <n v="3"/>
    <n v="254"/>
    <s v="Electra Townie Balloon 3i EQ - 2017/2018"/>
    <n v="3"/>
    <x v="0"/>
    <n v="2"/>
    <n v="749.99"/>
    <n v="0.2"/>
    <n v="1199.9839999999999"/>
  </r>
  <r>
    <n v="1402"/>
    <n v="1"/>
    <n v="189"/>
    <s v="Trek Lift+ Lowstep - 2018"/>
    <n v="5"/>
    <x v="4"/>
    <n v="2"/>
    <n v="2799.99"/>
    <n v="0.2"/>
    <n v="4479.9839999999995"/>
  </r>
  <r>
    <n v="1402"/>
    <n v="2"/>
    <n v="28"/>
    <s v="Surly Karate Monkey 27.5+ Frameset - 2017"/>
    <n v="6"/>
    <x v="1"/>
    <n v="2"/>
    <n v="2499.9899999999998"/>
    <n v="0.05"/>
    <n v="4749.9809999999998"/>
  </r>
  <r>
    <n v="1402"/>
    <n v="3"/>
    <n v="203"/>
    <s v="Trek Powerfly 7 FS - 2018"/>
    <n v="5"/>
    <x v="4"/>
    <n v="1"/>
    <n v="4999.99"/>
    <n v="0.05"/>
    <n v="4749.9904999999999"/>
  </r>
  <r>
    <n v="1402"/>
    <n v="4"/>
    <n v="273"/>
    <s v="Trek Precaliber 20 6-speed Girl's - 2018"/>
    <n v="1"/>
    <x v="5"/>
    <n v="1"/>
    <n v="289.99"/>
    <n v="7.0000000000000007E-2"/>
    <n v="269.69069999999999"/>
  </r>
  <r>
    <n v="1403"/>
    <n v="1"/>
    <n v="93"/>
    <s v="Haro Shredder 20 Girls - 2017"/>
    <n v="1"/>
    <x v="5"/>
    <n v="2"/>
    <n v="209.99"/>
    <n v="0.1"/>
    <n v="377.98200000000003"/>
  </r>
  <r>
    <n v="1404"/>
    <n v="1"/>
    <n v="112"/>
    <s v="Trek 820 - 2018"/>
    <n v="6"/>
    <x v="1"/>
    <n v="2"/>
    <n v="379.99"/>
    <n v="0.05"/>
    <n v="721.98099999999999"/>
  </r>
  <r>
    <n v="1404"/>
    <n v="2"/>
    <n v="220"/>
    <s v="Electra Cruiser 1 Ladies' - 2018"/>
    <n v="3"/>
    <x v="0"/>
    <n v="1"/>
    <n v="269.99"/>
    <n v="0.1"/>
    <n v="242.99100000000001"/>
  </r>
  <r>
    <n v="1404"/>
    <n v="3"/>
    <n v="193"/>
    <s v="Trek Lift+ - 2018"/>
    <n v="5"/>
    <x v="4"/>
    <n v="2"/>
    <n v="2799.99"/>
    <n v="0.2"/>
    <n v="4479.9839999999995"/>
  </r>
  <r>
    <n v="1405"/>
    <n v="1"/>
    <n v="162"/>
    <s v="Trek Emonda SL 6 Disc - 2018"/>
    <n v="7"/>
    <x v="6"/>
    <n v="2"/>
    <n v="2999.99"/>
    <n v="0.1"/>
    <n v="5399.982"/>
  </r>
  <r>
    <n v="1406"/>
    <n v="1"/>
    <n v="230"/>
    <s v="Electra Cruiser Lux 1 Ladies' - 2018"/>
    <n v="3"/>
    <x v="0"/>
    <n v="2"/>
    <n v="429.99"/>
    <n v="0.05"/>
    <n v="816.98099999999999"/>
  </r>
  <r>
    <n v="1406"/>
    <n v="2"/>
    <n v="113"/>
    <s v="Trek Marlin 5 - 2018"/>
    <n v="6"/>
    <x v="1"/>
    <n v="1"/>
    <n v="489.99"/>
    <n v="0.1"/>
    <n v="440.99099999999999"/>
  </r>
  <r>
    <n v="1407"/>
    <n v="1"/>
    <n v="300"/>
    <s v="Electra Townie Balloon 3i EQ Ladies' - 2018"/>
    <n v="2"/>
    <x v="3"/>
    <n v="1"/>
    <n v="799.99"/>
    <n v="0.05"/>
    <n v="759.9905"/>
  </r>
  <r>
    <n v="1407"/>
    <n v="2"/>
    <n v="36"/>
    <s v="Surly Troll Frameset - 2017"/>
    <n v="6"/>
    <x v="1"/>
    <n v="2"/>
    <n v="832.99"/>
    <n v="0.1"/>
    <n v="1499.3820000000001"/>
  </r>
  <r>
    <n v="1407"/>
    <n v="3"/>
    <n v="266"/>
    <s v="Trek Superfly 20 - 2018"/>
    <n v="1"/>
    <x v="5"/>
    <n v="1"/>
    <n v="399.99"/>
    <n v="0.1"/>
    <n v="359.99099999999999"/>
  </r>
  <r>
    <n v="1407"/>
    <n v="4"/>
    <n v="35"/>
    <s v="Sun Bicycles Spider 3i - 2017"/>
    <n v="6"/>
    <x v="1"/>
    <n v="1"/>
    <n v="832.99"/>
    <n v="0.2"/>
    <n v="666.39200000000005"/>
  </r>
  <r>
    <n v="1408"/>
    <n v="1"/>
    <n v="23"/>
    <s v="Electra Girl's Hawaii 1 (20-inch) - 2015/2016"/>
    <n v="1"/>
    <x v="5"/>
    <n v="2"/>
    <n v="299.99"/>
    <n v="0.2"/>
    <n v="479.98400000000004"/>
  </r>
  <r>
    <n v="1408"/>
    <n v="2"/>
    <n v="166"/>
    <s v="Trek Domane AL 2 Women's - 2018"/>
    <n v="7"/>
    <x v="6"/>
    <n v="1"/>
    <n v="749.99"/>
    <n v="0.2"/>
    <n v="599.99199999999996"/>
  </r>
  <r>
    <n v="1408"/>
    <n v="3"/>
    <n v="114"/>
    <s v="Trek Marlin 6 - 2018"/>
    <n v="6"/>
    <x v="1"/>
    <n v="1"/>
    <n v="579.99"/>
    <n v="7.0000000000000007E-2"/>
    <n v="539.39070000000004"/>
  </r>
  <r>
    <n v="1408"/>
    <n v="4"/>
    <n v="137"/>
    <s v="Heller Shagamaw GX1 - 2018"/>
    <n v="6"/>
    <x v="1"/>
    <n v="2"/>
    <n v="2599"/>
    <n v="0.2"/>
    <n v="4158.3999999999996"/>
  </r>
  <r>
    <n v="1409"/>
    <n v="1"/>
    <n v="301"/>
    <s v="Electra Townie Balloon 7i EQ - 2018"/>
    <n v="2"/>
    <x v="3"/>
    <n v="2"/>
    <n v="899.99"/>
    <n v="7.0000000000000007E-2"/>
    <n v="1673.9814000000001"/>
  </r>
  <r>
    <n v="1409"/>
    <n v="2"/>
    <n v="170"/>
    <s v="Trek CrossRip 2 - 2018"/>
    <n v="7"/>
    <x v="6"/>
    <n v="1"/>
    <n v="1299.99"/>
    <n v="7.0000000000000007E-2"/>
    <n v="1208.9907000000001"/>
  </r>
  <r>
    <n v="1409"/>
    <n v="3"/>
    <n v="171"/>
    <s v="Trek Domane SL 6 - 2018"/>
    <n v="7"/>
    <x v="6"/>
    <n v="2"/>
    <n v="3199.99"/>
    <n v="0.05"/>
    <n v="6079.9809999999998"/>
  </r>
  <r>
    <n v="1409"/>
    <n v="4"/>
    <n v="265"/>
    <s v="Strider Strider 20 Sport - 2018"/>
    <n v="1"/>
    <x v="5"/>
    <n v="1"/>
    <n v="289.99"/>
    <n v="0.05"/>
    <n v="275.4905"/>
  </r>
  <r>
    <n v="1409"/>
    <n v="5"/>
    <n v="222"/>
    <s v="Electra Cruiser 1 Tall - 2016/2018"/>
    <n v="3"/>
    <x v="0"/>
    <n v="1"/>
    <n v="269.99"/>
    <n v="0.1"/>
    <n v="242.99100000000001"/>
  </r>
  <r>
    <n v="1410"/>
    <n v="1"/>
    <n v="205"/>
    <s v="Trek Super Commuter+ 8S - 2018"/>
    <n v="5"/>
    <x v="4"/>
    <n v="2"/>
    <n v="4999.99"/>
    <n v="0.1"/>
    <n v="8999.982"/>
  </r>
  <r>
    <n v="1410"/>
    <n v="2"/>
    <n v="203"/>
    <s v="Trek Powerfly 7 FS - 2018"/>
    <n v="5"/>
    <x v="4"/>
    <n v="2"/>
    <n v="4999.99"/>
    <n v="0.2"/>
    <n v="7999.9839999999995"/>
  </r>
  <r>
    <n v="1410"/>
    <n v="3"/>
    <n v="304"/>
    <s v="Electra Townie Original 21D EQ - 2017/2018"/>
    <n v="2"/>
    <x v="3"/>
    <n v="1"/>
    <n v="679.99"/>
    <n v="0.1"/>
    <n v="611.99099999999999"/>
  </r>
  <r>
    <n v="1411"/>
    <n v="1"/>
    <n v="9"/>
    <s v="Trek Conduit+ - 2016"/>
    <n v="5"/>
    <x v="4"/>
    <n v="1"/>
    <n v="2999.99"/>
    <n v="0.1"/>
    <n v="2699.991"/>
  </r>
  <r>
    <n v="1411"/>
    <n v="2"/>
    <n v="308"/>
    <s v="Electra Townie Balloon 8D EQ Ladies' - 2016/2017/2018"/>
    <n v="2"/>
    <x v="3"/>
    <n v="2"/>
    <n v="749.99"/>
    <n v="0.2"/>
    <n v="1199.9839999999999"/>
  </r>
  <r>
    <n v="1412"/>
    <n v="1"/>
    <n v="180"/>
    <s v="Trek Domane AL 3 Women's - 2018"/>
    <n v="7"/>
    <x v="6"/>
    <n v="2"/>
    <n v="919.99"/>
    <n v="7.0000000000000007E-2"/>
    <n v="1711.1813999999999"/>
  </r>
  <r>
    <n v="1412"/>
    <n v="2"/>
    <n v="43"/>
    <s v="Trek Fuel EX 9.8 27.5 Plus - 2017"/>
    <n v="6"/>
    <x v="1"/>
    <n v="1"/>
    <n v="5299.99"/>
    <n v="0.1"/>
    <n v="4769.991"/>
  </r>
  <r>
    <n v="1412"/>
    <n v="3"/>
    <n v="109"/>
    <s v="Sun Bicycles Cruz 7 - Women's - 2017"/>
    <n v="2"/>
    <x v="3"/>
    <n v="2"/>
    <n v="416.99"/>
    <n v="7.0000000000000007E-2"/>
    <n v="775.60140000000001"/>
  </r>
  <r>
    <n v="1413"/>
    <n v="1"/>
    <n v="297"/>
    <s v="Electra Under-The-Sea 1 16&quot; - 2018"/>
    <n v="1"/>
    <x v="5"/>
    <n v="2"/>
    <n v="279.99"/>
    <n v="0.05"/>
    <n v="531.98099999999999"/>
  </r>
  <r>
    <n v="1414"/>
    <n v="1"/>
    <n v="162"/>
    <s v="Trek Emonda SL 6 Disc - 2018"/>
    <n v="7"/>
    <x v="6"/>
    <n v="2"/>
    <n v="2999.99"/>
    <n v="0.1"/>
    <n v="5399.982"/>
  </r>
  <r>
    <n v="1414"/>
    <n v="2"/>
    <n v="292"/>
    <s v="Electra Sweet Ride 3i (20-inch) - Girls' - 2018"/>
    <n v="1"/>
    <x v="5"/>
    <n v="2"/>
    <n v="369.99"/>
    <n v="0.05"/>
    <n v="702.98099999999999"/>
  </r>
  <r>
    <n v="1415"/>
    <n v="1"/>
    <n v="31"/>
    <s v="Surly Wednesday - 2017"/>
    <n v="6"/>
    <x v="1"/>
    <n v="2"/>
    <n v="1632.99"/>
    <n v="7.0000000000000007E-2"/>
    <n v="3037.3613999999998"/>
  </r>
  <r>
    <n v="1415"/>
    <n v="2"/>
    <n v="17"/>
    <s v="Pure Cycles Vine 8-Speed - 2016"/>
    <n v="3"/>
    <x v="0"/>
    <n v="1"/>
    <n v="429"/>
    <n v="0.05"/>
    <n v="407.55"/>
  </r>
  <r>
    <n v="1415"/>
    <n v="3"/>
    <n v="264"/>
    <s v="Strider Sport 16 - 2018"/>
    <n v="1"/>
    <x v="5"/>
    <n v="2"/>
    <n v="249.99"/>
    <n v="0.1"/>
    <n v="449.98200000000003"/>
  </r>
  <r>
    <n v="1415"/>
    <n v="4"/>
    <n v="245"/>
    <s v="Electra Townie Original 3i EQ - 2017/2018"/>
    <n v="3"/>
    <x v="0"/>
    <n v="1"/>
    <n v="659.99"/>
    <n v="0.05"/>
    <n v="626.9905"/>
  </r>
  <r>
    <n v="1416"/>
    <n v="1"/>
    <n v="194"/>
    <s v="Trek XM700+ - 2018"/>
    <n v="5"/>
    <x v="4"/>
    <n v="1"/>
    <n v="3499.99"/>
    <n v="0.2"/>
    <n v="2799.9919999999997"/>
  </r>
  <r>
    <n v="1416"/>
    <n v="2"/>
    <n v="242"/>
    <s v="Electra Townie Commute 8D Ladies' - 2018"/>
    <n v="3"/>
    <x v="0"/>
    <n v="2"/>
    <n v="699.99"/>
    <n v="0.1"/>
    <n v="1259.982"/>
  </r>
  <r>
    <n v="1416"/>
    <n v="3"/>
    <n v="92"/>
    <s v="Haro Shredder 20 - 2017"/>
    <n v="1"/>
    <x v="5"/>
    <n v="2"/>
    <n v="209.99"/>
    <n v="0.05"/>
    <n v="398.98099999999999"/>
  </r>
  <r>
    <n v="1417"/>
    <n v="1"/>
    <n v="219"/>
    <s v="Electra Moto 3i - 2018"/>
    <n v="3"/>
    <x v="0"/>
    <n v="2"/>
    <n v="639.99"/>
    <n v="0.2"/>
    <n v="1023.984"/>
  </r>
  <r>
    <n v="1418"/>
    <n v="1"/>
    <n v="120"/>
    <s v="Trek Fuel EX 7 29 - 2018"/>
    <n v="6"/>
    <x v="1"/>
    <n v="2"/>
    <n v="2499.9899999999998"/>
    <n v="0.2"/>
    <n v="3999.9839999999995"/>
  </r>
  <r>
    <n v="1418"/>
    <n v="2"/>
    <n v="243"/>
    <s v="Electra Townie Original 21D EQ Ladies' - 2018"/>
    <n v="3"/>
    <x v="0"/>
    <n v="2"/>
    <n v="679.99"/>
    <n v="0.05"/>
    <n v="1291.981"/>
  </r>
  <r>
    <n v="1419"/>
    <n v="1"/>
    <n v="124"/>
    <s v="Surly Krampus - 2018"/>
    <n v="6"/>
    <x v="1"/>
    <n v="1"/>
    <n v="1499"/>
    <n v="7.0000000000000007E-2"/>
    <n v="1394.07"/>
  </r>
  <r>
    <n v="1419"/>
    <n v="2"/>
    <n v="235"/>
    <s v="Electra Koa 3i Ladies' - 2018"/>
    <n v="3"/>
    <x v="0"/>
    <n v="2"/>
    <n v="899.99"/>
    <n v="0.2"/>
    <n v="1439.9839999999999"/>
  </r>
  <r>
    <n v="1419"/>
    <n v="3"/>
    <n v="234"/>
    <s v="Electra Daydreamer 3i Ladies' - 2018"/>
    <n v="3"/>
    <x v="0"/>
    <n v="1"/>
    <n v="899.99"/>
    <n v="0.1"/>
    <n v="809.99099999999999"/>
  </r>
  <r>
    <n v="1420"/>
    <n v="1"/>
    <n v="197"/>
    <s v="Trek Verve+ Lowstep - 2018"/>
    <n v="5"/>
    <x v="4"/>
    <n v="1"/>
    <n v="2299.9899999999998"/>
    <n v="0.2"/>
    <n v="1839.9919999999997"/>
  </r>
  <r>
    <n v="1420"/>
    <n v="2"/>
    <n v="194"/>
    <s v="Trek XM700+ - 2018"/>
    <n v="5"/>
    <x v="4"/>
    <n v="2"/>
    <n v="3499.99"/>
    <n v="0.1"/>
    <n v="6299.982"/>
  </r>
  <r>
    <n v="1420"/>
    <n v="3"/>
    <n v="128"/>
    <s v="Surly ECR 27.5 - 2018"/>
    <n v="6"/>
    <x v="1"/>
    <n v="1"/>
    <n v="1899"/>
    <n v="0.1"/>
    <n v="1709.1"/>
  </r>
  <r>
    <n v="1421"/>
    <n v="1"/>
    <n v="298"/>
    <s v="Electra Water Lily 1 (16-inch) - Girl's - 2018"/>
    <n v="1"/>
    <x v="5"/>
    <n v="2"/>
    <n v="279.99"/>
    <n v="0.05"/>
    <n v="531.98099999999999"/>
  </r>
  <r>
    <n v="1422"/>
    <n v="1"/>
    <n v="80"/>
    <s v="Sun Bicycles Brickell Tandem CB - 2017"/>
    <n v="3"/>
    <x v="0"/>
    <n v="2"/>
    <n v="761.99"/>
    <n v="7.0000000000000007E-2"/>
    <n v="1417.3014000000001"/>
  </r>
  <r>
    <n v="1422"/>
    <n v="2"/>
    <n v="180"/>
    <s v="Trek Domane AL 3 Women's - 2018"/>
    <n v="7"/>
    <x v="6"/>
    <n v="2"/>
    <n v="919.99"/>
    <n v="0.2"/>
    <n v="1471.9839999999999"/>
  </r>
  <r>
    <n v="1422"/>
    <n v="3"/>
    <n v="243"/>
    <s v="Electra Townie Original 21D EQ Ladies' - 2018"/>
    <n v="3"/>
    <x v="0"/>
    <n v="1"/>
    <n v="679.99"/>
    <n v="0.05"/>
    <n v="645.9905"/>
  </r>
  <r>
    <n v="1423"/>
    <n v="1"/>
    <n v="249"/>
    <s v="Electra White Water 3i - 2018"/>
    <n v="3"/>
    <x v="0"/>
    <n v="1"/>
    <n v="749.99"/>
    <n v="0.2"/>
    <n v="599.99199999999996"/>
  </r>
  <r>
    <n v="1423"/>
    <n v="2"/>
    <n v="71"/>
    <s v="Sun Bicycles Atlas X-Type - 2017"/>
    <n v="3"/>
    <x v="0"/>
    <n v="1"/>
    <n v="416.99"/>
    <n v="0.1"/>
    <n v="375.291"/>
  </r>
  <r>
    <n v="1423"/>
    <n v="3"/>
    <n v="302"/>
    <s v="Electra Townie Original 1 - 2018"/>
    <n v="2"/>
    <x v="3"/>
    <n v="1"/>
    <n v="449.99"/>
    <n v="0.2"/>
    <n v="359.99200000000002"/>
  </r>
  <r>
    <n v="1423"/>
    <n v="4"/>
    <n v="113"/>
    <s v="Trek Marlin 5 - 2018"/>
    <n v="6"/>
    <x v="1"/>
    <n v="2"/>
    <n v="489.99"/>
    <n v="0.2"/>
    <n v="783.98400000000004"/>
  </r>
  <r>
    <n v="1424"/>
    <n v="1"/>
    <n v="140"/>
    <s v="Trek Remedy 9.8 27.5 - 2018"/>
    <n v="6"/>
    <x v="1"/>
    <n v="2"/>
    <n v="4999.99"/>
    <n v="0.2"/>
    <n v="7999.9839999999995"/>
  </r>
  <r>
    <n v="1425"/>
    <n v="1"/>
    <n v="227"/>
    <s v="Electra Cruiser 7D (24-Inch) Ladies' - 2016/2018"/>
    <n v="3"/>
    <x v="0"/>
    <n v="2"/>
    <n v="319.99"/>
    <n v="0.05"/>
    <n v="607.98099999999999"/>
  </r>
  <r>
    <n v="1425"/>
    <n v="2"/>
    <n v="263"/>
    <s v="Strider Classic 12 Balance Bike - 2018"/>
    <n v="1"/>
    <x v="5"/>
    <n v="1"/>
    <n v="89.99"/>
    <n v="7.0000000000000007E-2"/>
    <n v="83.690699999999993"/>
  </r>
  <r>
    <n v="1425"/>
    <n v="3"/>
    <n v="93"/>
    <s v="Haro Shredder 20 Girls - 2017"/>
    <n v="1"/>
    <x v="5"/>
    <n v="1"/>
    <n v="209.99"/>
    <n v="7.0000000000000007E-2"/>
    <n v="195.29070000000002"/>
  </r>
  <r>
    <n v="1425"/>
    <n v="4"/>
    <n v="54"/>
    <s v="Trek Domane SL Disc Frameset - 2017"/>
    <n v="7"/>
    <x v="6"/>
    <n v="2"/>
    <n v="3199.99"/>
    <n v="0.05"/>
    <n v="6079.9809999999998"/>
  </r>
  <r>
    <n v="1425"/>
    <n v="5"/>
    <n v="145"/>
    <s v="Trek Domane ALR 5 Disc - 2018"/>
    <n v="7"/>
    <x v="6"/>
    <n v="2"/>
    <n v="1799.99"/>
    <n v="7.0000000000000007E-2"/>
    <n v="3347.9814000000001"/>
  </r>
  <r>
    <n v="1426"/>
    <n v="1"/>
    <n v="215"/>
    <s v="Electra Queen of Hearts 3i - 2018"/>
    <n v="3"/>
    <x v="0"/>
    <n v="1"/>
    <n v="749.99"/>
    <n v="7.0000000000000007E-2"/>
    <n v="697.49070000000006"/>
  </r>
  <r>
    <n v="1426"/>
    <n v="2"/>
    <n v="20"/>
    <s v="Electra Townie Original 7D EQ - Women's - 2016"/>
    <n v="3"/>
    <x v="0"/>
    <n v="2"/>
    <n v="599.99"/>
    <n v="0.05"/>
    <n v="1139.981"/>
  </r>
  <r>
    <n v="1426"/>
    <n v="3"/>
    <n v="281"/>
    <s v="Electra Cruiser 7D (24-Inch) Ladies' - 2016/2018"/>
    <n v="1"/>
    <x v="5"/>
    <n v="1"/>
    <n v="319.99"/>
    <n v="7.0000000000000007E-2"/>
    <n v="297.59070000000003"/>
  </r>
  <r>
    <n v="1427"/>
    <n v="1"/>
    <n v="230"/>
    <s v="Electra Cruiser Lux 1 Ladies' - 2018"/>
    <n v="3"/>
    <x v="0"/>
    <n v="2"/>
    <n v="429.99"/>
    <n v="7.0000000000000007E-2"/>
    <n v="799.78139999999996"/>
  </r>
  <r>
    <n v="1427"/>
    <n v="2"/>
    <n v="139"/>
    <s v="Trek Remedy 7 27.5 - 2018"/>
    <n v="6"/>
    <x v="1"/>
    <n v="1"/>
    <n v="2999.99"/>
    <n v="0.05"/>
    <n v="2849.9904999999999"/>
  </r>
  <r>
    <n v="1427"/>
    <n v="3"/>
    <n v="164"/>
    <s v="Surly Straggler 650b - 2018"/>
    <n v="7"/>
    <x v="6"/>
    <n v="2"/>
    <n v="1549"/>
    <n v="7.0000000000000007E-2"/>
    <n v="2881.14"/>
  </r>
  <r>
    <n v="1428"/>
    <n v="1"/>
    <n v="216"/>
    <s v="Electra Super Moto 8i - 2018"/>
    <n v="3"/>
    <x v="0"/>
    <n v="2"/>
    <n v="899.99"/>
    <n v="0.2"/>
    <n v="1439.9839999999999"/>
  </r>
  <r>
    <n v="1428"/>
    <n v="2"/>
    <n v="126"/>
    <s v="Surly Big Fat Dummy Frameset - 2018"/>
    <n v="6"/>
    <x v="1"/>
    <n v="1"/>
    <n v="469.99"/>
    <n v="7.0000000000000007E-2"/>
    <n v="437.09070000000003"/>
  </r>
  <r>
    <n v="1428"/>
    <n v="3"/>
    <n v="187"/>
    <s v="Trek Neko+ - 2018"/>
    <n v="5"/>
    <x v="4"/>
    <n v="2"/>
    <n v="2799.99"/>
    <n v="7.0000000000000007E-2"/>
    <n v="5207.9813999999997"/>
  </r>
  <r>
    <n v="1428"/>
    <n v="4"/>
    <n v="28"/>
    <s v="Surly Karate Monkey 27.5+ Frameset - 2017"/>
    <n v="6"/>
    <x v="1"/>
    <n v="1"/>
    <n v="2499.9899999999998"/>
    <n v="0.1"/>
    <n v="2249.991"/>
  </r>
  <r>
    <n v="1428"/>
    <n v="5"/>
    <n v="194"/>
    <s v="Trek XM700+ - 2018"/>
    <n v="5"/>
    <x v="4"/>
    <n v="2"/>
    <n v="3499.99"/>
    <n v="0.2"/>
    <n v="5599.9839999999995"/>
  </r>
  <r>
    <n v="1429"/>
    <n v="1"/>
    <n v="70"/>
    <s v="Electra Amsterdam Original 3i - 2015/2017"/>
    <n v="3"/>
    <x v="0"/>
    <n v="2"/>
    <n v="659.99"/>
    <n v="0.2"/>
    <n v="1055.9839999999999"/>
  </r>
  <r>
    <n v="1430"/>
    <n v="1"/>
    <n v="221"/>
    <s v="Electra Cruiser 7D Ladies' - 2016/2018"/>
    <n v="3"/>
    <x v="0"/>
    <n v="1"/>
    <n v="319.99"/>
    <n v="0.05"/>
    <n v="303.9905"/>
  </r>
  <r>
    <n v="1430"/>
    <n v="2"/>
    <n v="281"/>
    <s v="Electra Cruiser 7D (24-Inch) Ladies' - 2016/2018"/>
    <n v="1"/>
    <x v="5"/>
    <n v="1"/>
    <n v="319.99"/>
    <n v="7.0000000000000007E-2"/>
    <n v="297.59070000000003"/>
  </r>
  <r>
    <n v="1431"/>
    <n v="1"/>
    <n v="207"/>
    <s v="Trek Boone 7 Disc - 2018"/>
    <n v="4"/>
    <x v="2"/>
    <n v="1"/>
    <n v="3999.99"/>
    <n v="0.1"/>
    <n v="3599.991"/>
  </r>
  <r>
    <n v="1431"/>
    <n v="2"/>
    <n v="53"/>
    <s v="Surly Ogre Frameset - 2017"/>
    <n v="7"/>
    <x v="6"/>
    <n v="1"/>
    <n v="749.99"/>
    <n v="7.0000000000000007E-2"/>
    <n v="697.49070000000006"/>
  </r>
  <r>
    <n v="1431"/>
    <n v="3"/>
    <n v="252"/>
    <s v="Electra Townie Commute Go! Ladies' - 2018"/>
    <n v="3"/>
    <x v="0"/>
    <n v="1"/>
    <n v="2999.99"/>
    <n v="0.2"/>
    <n v="2399.9919999999997"/>
  </r>
  <r>
    <n v="1431"/>
    <n v="4"/>
    <n v="254"/>
    <s v="Electra Townie Balloon 3i EQ - 2017/2018"/>
    <n v="3"/>
    <x v="0"/>
    <n v="1"/>
    <n v="749.99"/>
    <n v="7.0000000000000007E-2"/>
    <n v="697.49070000000006"/>
  </r>
  <r>
    <n v="1432"/>
    <n v="1"/>
    <n v="161"/>
    <s v="Surly ECR - 2018"/>
    <n v="7"/>
    <x v="6"/>
    <n v="1"/>
    <n v="1899"/>
    <n v="0.2"/>
    <n v="1519.2"/>
  </r>
  <r>
    <n v="1433"/>
    <n v="1"/>
    <n v="264"/>
    <s v="Strider Sport 16 - 2018"/>
    <n v="1"/>
    <x v="5"/>
    <n v="1"/>
    <n v="249.99"/>
    <n v="7.0000000000000007E-2"/>
    <n v="232.4907"/>
  </r>
  <r>
    <n v="1434"/>
    <n v="1"/>
    <n v="229"/>
    <s v="Electra Cruiser Lux 1 - 2016/2018"/>
    <n v="3"/>
    <x v="0"/>
    <n v="2"/>
    <n v="429.99"/>
    <n v="0.2"/>
    <n v="687.98400000000004"/>
  </r>
  <r>
    <n v="1434"/>
    <n v="2"/>
    <n v="198"/>
    <s v="Electra Townie Commute Go! - 2018"/>
    <n v="5"/>
    <x v="4"/>
    <n v="1"/>
    <n v="2999.99"/>
    <n v="0.1"/>
    <n v="2699.991"/>
  </r>
  <r>
    <n v="1434"/>
    <n v="3"/>
    <n v="286"/>
    <s v="Electra Starship 1 16&quot; - 2018"/>
    <n v="1"/>
    <x v="5"/>
    <n v="2"/>
    <n v="279.99"/>
    <n v="0.1"/>
    <n v="503.98200000000003"/>
  </r>
  <r>
    <n v="1434"/>
    <n v="4"/>
    <n v="61"/>
    <s v="Trek Powerfly 8 FS Plus - 2017"/>
    <n v="5"/>
    <x v="4"/>
    <n v="2"/>
    <n v="4999.99"/>
    <n v="7.0000000000000007E-2"/>
    <n v="9299.9813999999988"/>
  </r>
  <r>
    <n v="1435"/>
    <n v="1"/>
    <n v="141"/>
    <s v="Trek Stache 5 - 2018"/>
    <n v="6"/>
    <x v="1"/>
    <n v="2"/>
    <n v="1599.99"/>
    <n v="7.0000000000000007E-2"/>
    <n v="2975.9814000000001"/>
  </r>
  <r>
    <n v="1435"/>
    <n v="2"/>
    <n v="29"/>
    <s v="Trek X-Caliber 8 - 2017"/>
    <n v="6"/>
    <x v="1"/>
    <n v="1"/>
    <n v="999.99"/>
    <n v="0.2"/>
    <n v="799.99199999999996"/>
  </r>
  <r>
    <n v="1435"/>
    <n v="3"/>
    <n v="60"/>
    <s v="Sun Bicycles ElectroLite - 2017"/>
    <n v="5"/>
    <x v="4"/>
    <n v="1"/>
    <n v="1559.99"/>
    <n v="0.1"/>
    <n v="1403.991"/>
  </r>
  <r>
    <n v="1435"/>
    <n v="4"/>
    <n v="260"/>
    <s v="Electra Townie Balloon 3i EQ Ladies' - 2018"/>
    <n v="3"/>
    <x v="0"/>
    <n v="1"/>
    <n v="799.99"/>
    <n v="7.0000000000000007E-2"/>
    <n v="743.99070000000006"/>
  </r>
  <r>
    <n v="1436"/>
    <n v="1"/>
    <n v="244"/>
    <s v="Electra Townie Original 21D Ladies' - 2018"/>
    <n v="3"/>
    <x v="0"/>
    <n v="2"/>
    <n v="559.99"/>
    <n v="7.0000000000000007E-2"/>
    <n v="1041.5814"/>
  </r>
  <r>
    <n v="1437"/>
    <n v="1"/>
    <n v="141"/>
    <s v="Trek Stache 5 - 2018"/>
    <n v="6"/>
    <x v="1"/>
    <n v="2"/>
    <n v="1599.99"/>
    <n v="0.05"/>
    <n v="3039.9809999999998"/>
  </r>
  <r>
    <n v="1438"/>
    <n v="1"/>
    <n v="225"/>
    <s v="Electra Delivery 3i - 2016/2017/2018"/>
    <n v="3"/>
    <x v="0"/>
    <n v="1"/>
    <n v="959.99"/>
    <n v="0.2"/>
    <n v="767.99199999999996"/>
  </r>
  <r>
    <n v="1438"/>
    <n v="2"/>
    <n v="140"/>
    <s v="Trek Remedy 9.8 27.5 - 2018"/>
    <n v="6"/>
    <x v="1"/>
    <n v="1"/>
    <n v="4999.99"/>
    <n v="0.2"/>
    <n v="3999.9919999999997"/>
  </r>
  <r>
    <n v="1438"/>
    <n v="3"/>
    <n v="81"/>
    <s v="Electra Amsterdam Fashion 7i Ladies' - 2017"/>
    <n v="3"/>
    <x v="0"/>
    <n v="2"/>
    <n v="1099.99"/>
    <n v="0.05"/>
    <n v="2089.9810000000002"/>
  </r>
  <r>
    <n v="1438"/>
    <n v="4"/>
    <n v="137"/>
    <s v="Heller Shagamaw GX1 - 2018"/>
    <n v="6"/>
    <x v="1"/>
    <n v="1"/>
    <n v="2599"/>
    <n v="0.1"/>
    <n v="2339.1"/>
  </r>
  <r>
    <n v="1438"/>
    <n v="5"/>
    <n v="190"/>
    <s v="Trek Dual Sport+ - 2018"/>
    <n v="5"/>
    <x v="4"/>
    <n v="2"/>
    <n v="2799.99"/>
    <n v="7.0000000000000007E-2"/>
    <n v="5207.9813999999997"/>
  </r>
  <r>
    <n v="1439"/>
    <n v="1"/>
    <n v="42"/>
    <s v="Trek Fuel EX 5 27.5 Plus - 2017"/>
    <n v="6"/>
    <x v="1"/>
    <n v="1"/>
    <n v="2299.9899999999998"/>
    <n v="7.0000000000000007E-2"/>
    <n v="2138.9906999999998"/>
  </r>
  <r>
    <n v="1439"/>
    <n v="2"/>
    <n v="263"/>
    <s v="Strider Classic 12 Balance Bike - 2018"/>
    <n v="1"/>
    <x v="5"/>
    <n v="1"/>
    <n v="89.99"/>
    <n v="0.2"/>
    <n v="71.99199999999999"/>
  </r>
  <r>
    <n v="1439"/>
    <n v="3"/>
    <n v="102"/>
    <s v="Electra Townie Original 7D - 2017"/>
    <n v="2"/>
    <x v="3"/>
    <n v="2"/>
    <n v="489.99"/>
    <n v="0.05"/>
    <n v="930.98099999999999"/>
  </r>
  <r>
    <n v="1439"/>
    <n v="4"/>
    <n v="149"/>
    <s v="Trek Domane SLR 8 Disc - 2018"/>
    <n v="7"/>
    <x v="6"/>
    <n v="1"/>
    <n v="7499.99"/>
    <n v="0.05"/>
    <n v="7124.9904999999999"/>
  </r>
  <r>
    <n v="1440"/>
    <n v="1"/>
    <n v="116"/>
    <s v="Trek Marlin 7 - 2017/2018"/>
    <n v="6"/>
    <x v="1"/>
    <n v="2"/>
    <n v="749.99"/>
    <n v="7.0000000000000007E-2"/>
    <n v="1394.9814000000001"/>
  </r>
  <r>
    <n v="1440"/>
    <n v="2"/>
    <n v="109"/>
    <s v="Sun Bicycles Cruz 7 - Women's - 2017"/>
    <n v="2"/>
    <x v="3"/>
    <n v="1"/>
    <n v="416.99"/>
    <n v="7.0000000000000007E-2"/>
    <n v="387.80070000000001"/>
  </r>
  <r>
    <n v="1440"/>
    <n v="3"/>
    <n v="186"/>
    <s v="Trek CrossRip+ - 2018"/>
    <n v="5"/>
    <x v="4"/>
    <n v="1"/>
    <n v="4499.99"/>
    <n v="0.1"/>
    <n v="4049.991"/>
  </r>
  <r>
    <n v="1440"/>
    <n v="4"/>
    <n v="178"/>
    <s v="Trek Domane AL 2 - 2018"/>
    <n v="7"/>
    <x v="6"/>
    <n v="2"/>
    <n v="749.99"/>
    <n v="0.05"/>
    <n v="1424.981"/>
  </r>
  <r>
    <n v="1440"/>
    <n v="5"/>
    <n v="67"/>
    <s v="Sun Bicycles Revolutions 24 - Girl's - 2017"/>
    <n v="3"/>
    <x v="0"/>
    <n v="2"/>
    <n v="250.99"/>
    <n v="0.2"/>
    <n v="401.584"/>
  </r>
  <r>
    <n v="1441"/>
    <n v="1"/>
    <n v="6"/>
    <s v="Surly Ice Cream Truck Frameset - 2016"/>
    <n v="6"/>
    <x v="1"/>
    <n v="1"/>
    <n v="469.99"/>
    <n v="0.05"/>
    <n v="446.4905"/>
  </r>
  <r>
    <n v="1441"/>
    <n v="2"/>
    <n v="242"/>
    <s v="Electra Townie Commute 8D Ladies' - 2018"/>
    <n v="3"/>
    <x v="0"/>
    <n v="2"/>
    <n v="699.99"/>
    <n v="0.2"/>
    <n v="1119.9839999999999"/>
  </r>
  <r>
    <n v="1441"/>
    <n v="3"/>
    <n v="46"/>
    <s v="Haro SR 1.3 - 2017"/>
    <n v="6"/>
    <x v="1"/>
    <n v="1"/>
    <n v="1409.99"/>
    <n v="7.0000000000000007E-2"/>
    <n v="1311.2907"/>
  </r>
  <r>
    <n v="1442"/>
    <n v="1"/>
    <n v="160"/>
    <s v="Trek Emonda SLR 6 - 2018"/>
    <n v="7"/>
    <x v="6"/>
    <n v="1"/>
    <n v="4499.99"/>
    <n v="0.1"/>
    <n v="4049.991"/>
  </r>
  <r>
    <n v="1442"/>
    <n v="2"/>
    <n v="220"/>
    <s v="Electra Cruiser 1 Ladies' - 2018"/>
    <n v="3"/>
    <x v="0"/>
    <n v="1"/>
    <n v="269.99"/>
    <n v="7.0000000000000007E-2"/>
    <n v="251.0907"/>
  </r>
  <r>
    <n v="1442"/>
    <n v="3"/>
    <n v="271"/>
    <s v="Trek Precaliber 16 Girl's - 2018"/>
    <n v="1"/>
    <x v="5"/>
    <n v="2"/>
    <n v="209.99"/>
    <n v="0.05"/>
    <n v="398.98099999999999"/>
  </r>
  <r>
    <n v="1443"/>
    <n v="1"/>
    <n v="160"/>
    <s v="Trek Emonda SLR 6 - 2018"/>
    <n v="7"/>
    <x v="6"/>
    <n v="1"/>
    <n v="4499.99"/>
    <n v="7.0000000000000007E-2"/>
    <n v="4184.9906999999994"/>
  </r>
  <r>
    <n v="1443"/>
    <n v="2"/>
    <n v="57"/>
    <s v="Trek Emonda S 5 - 2017"/>
    <n v="7"/>
    <x v="6"/>
    <n v="1"/>
    <n v="1999.99"/>
    <n v="0.2"/>
    <n v="1599.992"/>
  </r>
  <r>
    <n v="1443"/>
    <n v="3"/>
    <n v="101"/>
    <s v="Electra Townie 7D (20-inch) - Boys' - 2017"/>
    <n v="1"/>
    <x v="5"/>
    <n v="2"/>
    <n v="339.99"/>
    <n v="0.1"/>
    <n v="611.98199999999997"/>
  </r>
  <r>
    <n v="1444"/>
    <n v="1"/>
    <n v="90"/>
    <s v="Trek Precaliber 16 Girls - 2017"/>
    <n v="1"/>
    <x v="5"/>
    <n v="1"/>
    <n v="209.99"/>
    <n v="0.1"/>
    <n v="188.99100000000001"/>
  </r>
  <r>
    <n v="1444"/>
    <n v="2"/>
    <n v="128"/>
    <s v="Surly ECR 27.5 - 2018"/>
    <n v="6"/>
    <x v="1"/>
    <n v="2"/>
    <n v="1899"/>
    <n v="0.2"/>
    <n v="3038.4"/>
  </r>
  <r>
    <n v="1445"/>
    <n v="1"/>
    <n v="219"/>
    <s v="Electra Moto 3i - 2018"/>
    <n v="3"/>
    <x v="0"/>
    <n v="2"/>
    <n v="639.99"/>
    <n v="0.1"/>
    <n v="1151.982"/>
  </r>
  <r>
    <n v="1445"/>
    <n v="2"/>
    <n v="52"/>
    <s v="Surly Steamroller - 2017"/>
    <n v="7"/>
    <x v="6"/>
    <n v="1"/>
    <n v="875.99"/>
    <n v="7.0000000000000007E-2"/>
    <n v="814.67070000000001"/>
  </r>
  <r>
    <n v="1445"/>
    <n v="3"/>
    <n v="123"/>
    <s v="Trek Farley Carbon Frameset - 2018"/>
    <n v="6"/>
    <x v="1"/>
    <n v="2"/>
    <n v="999.99"/>
    <n v="0.1"/>
    <n v="1799.982"/>
  </r>
  <r>
    <n v="1446"/>
    <n v="1"/>
    <n v="227"/>
    <s v="Electra Cruiser 7D (24-Inch) Ladies' - 2016/2018"/>
    <n v="3"/>
    <x v="0"/>
    <n v="1"/>
    <n v="319.99"/>
    <n v="0.05"/>
    <n v="303.9905"/>
  </r>
  <r>
    <n v="1446"/>
    <n v="2"/>
    <n v="233"/>
    <s v="Electra Cruiser Lux Fat Tire 7D - 2018"/>
    <n v="3"/>
    <x v="0"/>
    <n v="2"/>
    <n v="639.99"/>
    <n v="0.05"/>
    <n v="1215.981"/>
  </r>
  <r>
    <n v="1446"/>
    <n v="3"/>
    <n v="234"/>
    <s v="Electra Daydreamer 3i Ladies' - 2018"/>
    <n v="3"/>
    <x v="0"/>
    <n v="2"/>
    <n v="899.99"/>
    <n v="0.05"/>
    <n v="1709.981"/>
  </r>
  <r>
    <n v="1447"/>
    <n v="1"/>
    <n v="148"/>
    <s v="Trek Domane SL 8 Disc - 2018"/>
    <n v="7"/>
    <x v="6"/>
    <n v="1"/>
    <n v="5499.99"/>
    <n v="0.2"/>
    <n v="4399.9920000000002"/>
  </r>
  <r>
    <n v="1448"/>
    <n v="1"/>
    <n v="239"/>
    <s v="Electra Townie Balloon 8D EQ Ladies' - 2016/2017/2018"/>
    <n v="3"/>
    <x v="0"/>
    <n v="1"/>
    <n v="749.99"/>
    <n v="0.1"/>
    <n v="674.99099999999999"/>
  </r>
  <r>
    <n v="1449"/>
    <n v="1"/>
    <n v="159"/>
    <s v="Trek Emonda ALR 6 - 2018"/>
    <n v="7"/>
    <x v="6"/>
    <n v="1"/>
    <n v="2299.9899999999998"/>
    <n v="7.0000000000000007E-2"/>
    <n v="2138.9906999999998"/>
  </r>
  <r>
    <n v="1449"/>
    <n v="2"/>
    <n v="55"/>
    <s v="Trek Domane S 6 - 2017"/>
    <n v="7"/>
    <x v="6"/>
    <n v="1"/>
    <n v="2699.99"/>
    <n v="0.2"/>
    <n v="2159.9919999999997"/>
  </r>
  <r>
    <n v="1449"/>
    <n v="3"/>
    <n v="260"/>
    <s v="Electra Townie Balloon 3i EQ Ladies' - 2018"/>
    <n v="3"/>
    <x v="0"/>
    <n v="2"/>
    <n v="799.99"/>
    <n v="7.0000000000000007E-2"/>
    <n v="1487.9814000000001"/>
  </r>
  <r>
    <n v="1449"/>
    <n v="4"/>
    <n v="252"/>
    <s v="Electra Townie Commute Go! Ladies' - 2018"/>
    <n v="3"/>
    <x v="0"/>
    <n v="2"/>
    <n v="2999.99"/>
    <n v="0.05"/>
    <n v="5699.9809999999998"/>
  </r>
  <r>
    <n v="1449"/>
    <n v="5"/>
    <n v="14"/>
    <s v="Electra Girl's Hawaii 1 (16-inch) - 2015/2016"/>
    <n v="3"/>
    <x v="0"/>
    <n v="2"/>
    <n v="269.99"/>
    <n v="0.1"/>
    <n v="485.98200000000003"/>
  </r>
  <r>
    <n v="1450"/>
    <n v="1"/>
    <n v="98"/>
    <s v="Electra Straight 8 3i (20-inch) - Boy's - 2017"/>
    <n v="1"/>
    <x v="5"/>
    <n v="1"/>
    <n v="489.99"/>
    <n v="7.0000000000000007E-2"/>
    <n v="455.69069999999999"/>
  </r>
  <r>
    <n v="1450"/>
    <n v="2"/>
    <n v="173"/>
    <s v="Trek Domane ALR Frameset - 2018"/>
    <n v="7"/>
    <x v="6"/>
    <n v="2"/>
    <n v="3199.99"/>
    <n v="0.1"/>
    <n v="5759.982"/>
  </r>
  <r>
    <n v="1450"/>
    <n v="3"/>
    <n v="299"/>
    <s v="Electra Townie Original 21D - 2018"/>
    <n v="2"/>
    <x v="3"/>
    <n v="1"/>
    <n v="559.99"/>
    <n v="0.2"/>
    <n v="447.99200000000002"/>
  </r>
  <r>
    <n v="1450"/>
    <n v="4"/>
    <n v="209"/>
    <s v="Trek Crockett 7 Disc - 2018"/>
    <n v="4"/>
    <x v="2"/>
    <n v="2"/>
    <n v="2999.99"/>
    <n v="0.1"/>
    <n v="5399.982"/>
  </r>
  <r>
    <n v="1450"/>
    <n v="5"/>
    <n v="235"/>
    <s v="Electra Koa 3i Ladies' - 2018"/>
    <n v="3"/>
    <x v="0"/>
    <n v="2"/>
    <n v="899.99"/>
    <n v="0.05"/>
    <n v="1709.981"/>
  </r>
  <r>
    <n v="1451"/>
    <n v="1"/>
    <n v="117"/>
    <s v="Trek Ticket S Frame - 2018"/>
    <n v="6"/>
    <x v="1"/>
    <n v="1"/>
    <n v="1469.99"/>
    <n v="0.05"/>
    <n v="1396.4905000000001"/>
  </r>
  <r>
    <n v="1452"/>
    <n v="1"/>
    <n v="99"/>
    <s v="Electra Sugar Skulls 1 (20-inch) - Girl's - 2017"/>
    <n v="1"/>
    <x v="5"/>
    <n v="2"/>
    <n v="299.99"/>
    <n v="0.1"/>
    <n v="539.98199999999997"/>
  </r>
  <r>
    <n v="1452"/>
    <n v="2"/>
    <n v="234"/>
    <s v="Electra Daydreamer 3i Ladies' - 2018"/>
    <n v="3"/>
    <x v="0"/>
    <n v="1"/>
    <n v="899.99"/>
    <n v="0.2"/>
    <n v="719.99199999999996"/>
  </r>
  <r>
    <n v="1452"/>
    <n v="3"/>
    <n v="86"/>
    <s v="Trek Girl's Kickster - 2017"/>
    <n v="1"/>
    <x v="5"/>
    <n v="2"/>
    <n v="149.99"/>
    <n v="0.05"/>
    <n v="284.98099999999999"/>
  </r>
  <r>
    <n v="1452"/>
    <n v="4"/>
    <n v="109"/>
    <s v="Sun Bicycles Cruz 7 - Women's - 2017"/>
    <n v="2"/>
    <x v="3"/>
    <n v="2"/>
    <n v="416.99"/>
    <n v="7.0000000000000007E-2"/>
    <n v="775.60140000000001"/>
  </r>
  <r>
    <n v="1453"/>
    <n v="1"/>
    <n v="89"/>
    <s v="Trek Precaliber 16 Boys - 2017"/>
    <n v="1"/>
    <x v="5"/>
    <n v="2"/>
    <n v="209.99"/>
    <n v="0.1"/>
    <n v="377.98200000000003"/>
  </r>
  <r>
    <n v="1454"/>
    <n v="1"/>
    <n v="283"/>
    <s v="Electra Heartchya 1 (20-inch) - Girl's - 2018"/>
    <n v="1"/>
    <x v="5"/>
    <n v="1"/>
    <n v="319.99"/>
    <n v="7.0000000000000007E-2"/>
    <n v="297.59070000000003"/>
  </r>
  <r>
    <n v="1454"/>
    <n v="2"/>
    <n v="35"/>
    <s v="Sun Bicycles Spider 3i - 2017"/>
    <n v="6"/>
    <x v="1"/>
    <n v="2"/>
    <n v="832.99"/>
    <n v="0.1"/>
    <n v="1499.3820000000001"/>
  </r>
  <r>
    <n v="1454"/>
    <n v="3"/>
    <n v="124"/>
    <s v="Surly Krampus - 2018"/>
    <n v="6"/>
    <x v="1"/>
    <n v="1"/>
    <n v="1499"/>
    <n v="0.2"/>
    <n v="1199.2"/>
  </r>
  <r>
    <n v="1454"/>
    <n v="4"/>
    <n v="38"/>
    <s v="Haro Flightline Two 26 Plus - 2017"/>
    <n v="6"/>
    <x v="1"/>
    <n v="2"/>
    <n v="549.99"/>
    <n v="0.05"/>
    <n v="1044.981"/>
  </r>
  <r>
    <n v="1455"/>
    <n v="1"/>
    <n v="101"/>
    <s v="Electra Townie 7D (20-inch) - Boys' - 2017"/>
    <n v="1"/>
    <x v="5"/>
    <n v="2"/>
    <n v="339.99"/>
    <n v="0.05"/>
    <n v="645.98099999999999"/>
  </r>
  <r>
    <n v="1455"/>
    <n v="2"/>
    <n v="254"/>
    <s v="Electra Townie Balloon 3i EQ - 2017/2018"/>
    <n v="3"/>
    <x v="0"/>
    <n v="1"/>
    <n v="749.99"/>
    <n v="0.2"/>
    <n v="599.99199999999996"/>
  </r>
  <r>
    <n v="1456"/>
    <n v="1"/>
    <n v="193"/>
    <s v="Trek Lift+ - 2018"/>
    <n v="5"/>
    <x v="4"/>
    <n v="2"/>
    <n v="2799.99"/>
    <n v="0.05"/>
    <n v="5319.9809999999998"/>
  </r>
  <r>
    <n v="1456"/>
    <n v="2"/>
    <n v="246"/>
    <s v="Electra Townie Original 3i EQ Ladies' - 2018"/>
    <n v="3"/>
    <x v="0"/>
    <n v="1"/>
    <n v="639.99"/>
    <n v="7.0000000000000007E-2"/>
    <n v="595.19069999999999"/>
  </r>
  <r>
    <n v="1456"/>
    <n v="3"/>
    <n v="268"/>
    <s v="Trek Kickster - 2018"/>
    <n v="1"/>
    <x v="5"/>
    <n v="2"/>
    <n v="159.99"/>
    <n v="0.1"/>
    <n v="287.98200000000003"/>
  </r>
  <r>
    <n v="1456"/>
    <n v="4"/>
    <n v="272"/>
    <s v="Trek Precaliber 20 6-speed Boy's - 2018"/>
    <n v="1"/>
    <x v="5"/>
    <n v="1"/>
    <n v="289.99"/>
    <n v="0.1"/>
    <n v="260.99099999999999"/>
  </r>
  <r>
    <n v="1456"/>
    <n v="5"/>
    <n v="126"/>
    <s v="Surly Big Fat Dummy Frameset - 2018"/>
    <n v="6"/>
    <x v="1"/>
    <n v="1"/>
    <n v="469.99"/>
    <n v="0.1"/>
    <n v="422.99099999999999"/>
  </r>
  <r>
    <n v="1457"/>
    <n v="1"/>
    <n v="113"/>
    <s v="Trek Marlin 5 - 2018"/>
    <n v="6"/>
    <x v="1"/>
    <n v="1"/>
    <n v="489.99"/>
    <n v="7.0000000000000007E-2"/>
    <n v="455.69069999999999"/>
  </r>
  <r>
    <n v="1457"/>
    <n v="2"/>
    <n v="111"/>
    <s v="Sun Bicycles Drifter 7 - Women's - 2017"/>
    <n v="2"/>
    <x v="3"/>
    <n v="1"/>
    <n v="470.99"/>
    <n v="0.2"/>
    <n v="376.79200000000003"/>
  </r>
  <r>
    <n v="1457"/>
    <n v="3"/>
    <n v="268"/>
    <s v="Trek Kickster - 2018"/>
    <n v="1"/>
    <x v="5"/>
    <n v="1"/>
    <n v="159.99"/>
    <n v="0.2"/>
    <n v="127.992"/>
  </r>
  <r>
    <n v="1457"/>
    <n v="4"/>
    <n v="152"/>
    <s v="Trek Domane SL 5 Disc Women's - 2018"/>
    <n v="7"/>
    <x v="6"/>
    <n v="2"/>
    <n v="2499.9899999999998"/>
    <n v="0.2"/>
    <n v="3999.9839999999995"/>
  </r>
  <r>
    <n v="1458"/>
    <n v="1"/>
    <n v="295"/>
    <s v="Electra Treasure 1 20&quot; - 2018"/>
    <n v="1"/>
    <x v="5"/>
    <n v="2"/>
    <n v="319.99"/>
    <n v="0.05"/>
    <n v="607.98099999999999"/>
  </r>
  <r>
    <n v="1458"/>
    <n v="2"/>
    <n v="105"/>
    <s v="Sun Bicycles Streamway 7 - 2017"/>
    <n v="2"/>
    <x v="3"/>
    <n v="1"/>
    <n v="533.99"/>
    <n v="0.05"/>
    <n v="507.29050000000001"/>
  </r>
  <r>
    <n v="1458"/>
    <n v="3"/>
    <n v="12"/>
    <s v="Electra Townie Original 21D - 2016"/>
    <n v="3"/>
    <x v="0"/>
    <n v="1"/>
    <n v="549.99"/>
    <n v="0.05"/>
    <n v="522.4905"/>
  </r>
  <r>
    <n v="1458"/>
    <n v="4"/>
    <n v="78"/>
    <s v="Sun Bicycles Biscayne Tandem CB - 2017"/>
    <n v="3"/>
    <x v="0"/>
    <n v="2"/>
    <n v="647.99"/>
    <n v="0.1"/>
    <n v="1166.3820000000001"/>
  </r>
  <r>
    <n v="1459"/>
    <n v="1"/>
    <n v="258"/>
    <s v="Electra Amsterdam Royal 8i - 2017/2018"/>
    <n v="3"/>
    <x v="0"/>
    <n v="1"/>
    <n v="1259.9000000000001"/>
    <n v="0.1"/>
    <n v="1133.9100000000001"/>
  </r>
  <r>
    <n v="1460"/>
    <n v="1"/>
    <n v="201"/>
    <s v="Trek Powerfly 5 FS - 2018"/>
    <n v="5"/>
    <x v="4"/>
    <n v="1"/>
    <n v="4499.99"/>
    <n v="0.05"/>
    <n v="4274.9904999999999"/>
  </r>
  <r>
    <n v="1460"/>
    <n v="2"/>
    <n v="76"/>
    <s v="Electra Girl's Hawaii 1 16&quot; - 2017"/>
    <n v="3"/>
    <x v="0"/>
    <n v="1"/>
    <n v="299.99"/>
    <n v="7.0000000000000007E-2"/>
    <n v="278.9907"/>
  </r>
  <r>
    <n v="1460"/>
    <n v="3"/>
    <n v="167"/>
    <s v="Surly ECR Frameset - 2018"/>
    <n v="7"/>
    <x v="6"/>
    <n v="1"/>
    <n v="749.99"/>
    <n v="0.05"/>
    <n v="712.4905"/>
  </r>
  <r>
    <n v="1460"/>
    <n v="4"/>
    <n v="7"/>
    <s v="Trek Slash 8 27.5 - 2016"/>
    <n v="6"/>
    <x v="1"/>
    <n v="2"/>
    <n v="3999.99"/>
    <n v="7.0000000000000007E-2"/>
    <n v="7439.9813999999997"/>
  </r>
  <r>
    <n v="1460"/>
    <n v="5"/>
    <n v="123"/>
    <s v="Trek Farley Carbon Frameset - 2018"/>
    <n v="6"/>
    <x v="1"/>
    <n v="2"/>
    <n v="999.99"/>
    <n v="7.0000000000000007E-2"/>
    <n v="1859.9814000000001"/>
  </r>
  <r>
    <n v="1461"/>
    <n v="1"/>
    <n v="48"/>
    <s v="Trek Emonda S 4 - 2017"/>
    <n v="7"/>
    <x v="6"/>
    <n v="1"/>
    <n v="1499.99"/>
    <n v="0.2"/>
    <n v="1199.992"/>
  </r>
  <r>
    <n v="1461"/>
    <n v="2"/>
    <n v="242"/>
    <s v="Electra Townie Commute 8D Ladies' - 2018"/>
    <n v="3"/>
    <x v="0"/>
    <n v="2"/>
    <n v="699.99"/>
    <n v="0.2"/>
    <n v="1119.9839999999999"/>
  </r>
  <r>
    <n v="1462"/>
    <n v="1"/>
    <n v="263"/>
    <s v="Strider Classic 12 Balance Bike - 2018"/>
    <n v="1"/>
    <x v="5"/>
    <n v="1"/>
    <n v="89.99"/>
    <n v="0.2"/>
    <n v="71.99199999999999"/>
  </r>
  <r>
    <n v="1462"/>
    <n v="2"/>
    <n v="25"/>
    <s v="Electra Townie Original 7D - 2015/2016"/>
    <n v="2"/>
    <x v="3"/>
    <n v="1"/>
    <n v="499.99"/>
    <n v="7.0000000000000007E-2"/>
    <n v="464.9907"/>
  </r>
  <r>
    <n v="1462"/>
    <n v="3"/>
    <n v="223"/>
    <s v="Electra Cruiser Lux 3i - 2018"/>
    <n v="3"/>
    <x v="0"/>
    <n v="1"/>
    <n v="529.99"/>
    <n v="0.1"/>
    <n v="476.99099999999999"/>
  </r>
  <r>
    <n v="1462"/>
    <n v="4"/>
    <n v="294"/>
    <s v="Electra Tiger Shark 3i (20-inch) - Boys' - 2018"/>
    <n v="1"/>
    <x v="5"/>
    <n v="1"/>
    <n v="369.99"/>
    <n v="0.1"/>
    <n v="332.99099999999999"/>
  </r>
  <r>
    <n v="1462"/>
    <n v="5"/>
    <n v="251"/>
    <s v="Electra Townie Commute Go! - 2018"/>
    <n v="3"/>
    <x v="0"/>
    <n v="1"/>
    <n v="2999.99"/>
    <n v="0.05"/>
    <n v="2849.9904999999999"/>
  </r>
  <r>
    <n v="1463"/>
    <n v="1"/>
    <n v="51"/>
    <s v="Trek Silque SLR 8 Women's - 2017"/>
    <n v="7"/>
    <x v="6"/>
    <n v="2"/>
    <n v="6499.99"/>
    <n v="0.05"/>
    <n v="12349.981"/>
  </r>
  <r>
    <n v="1463"/>
    <n v="2"/>
    <n v="168"/>
    <s v="Surly Straggler - 2018"/>
    <n v="7"/>
    <x v="6"/>
    <n v="1"/>
    <n v="1549"/>
    <n v="0.05"/>
    <n v="1471.55"/>
  </r>
  <r>
    <n v="1464"/>
    <n v="1"/>
    <n v="109"/>
    <s v="Sun Bicycles Cruz 7 - Women's - 2017"/>
    <n v="2"/>
    <x v="3"/>
    <n v="2"/>
    <n v="416.99"/>
    <n v="0.05"/>
    <n v="792.28100000000006"/>
  </r>
  <r>
    <n v="1464"/>
    <n v="2"/>
    <n v="124"/>
    <s v="Surly Krampus - 2018"/>
    <n v="6"/>
    <x v="1"/>
    <n v="1"/>
    <n v="1499"/>
    <n v="0.2"/>
    <n v="1199.2"/>
  </r>
  <r>
    <n v="1464"/>
    <n v="3"/>
    <n v="165"/>
    <s v="Trek 1120 - 2018"/>
    <n v="7"/>
    <x v="6"/>
    <n v="2"/>
    <n v="2499.9899999999998"/>
    <n v="0.2"/>
    <n v="3999.9839999999995"/>
  </r>
  <r>
    <n v="1464"/>
    <n v="4"/>
    <n v="151"/>
    <s v="Trek Domane ALR 4 Disc Women's - 2018"/>
    <n v="7"/>
    <x v="6"/>
    <n v="2"/>
    <n v="1549.99"/>
    <n v="0.05"/>
    <n v="2944.9809999999998"/>
  </r>
  <r>
    <n v="1465"/>
    <n v="1"/>
    <n v="70"/>
    <s v="Electra Amsterdam Original 3i - 2015/2017"/>
    <n v="3"/>
    <x v="0"/>
    <n v="2"/>
    <n v="659.99"/>
    <n v="0.05"/>
    <n v="1253.981"/>
  </r>
  <r>
    <n v="1466"/>
    <n v="1"/>
    <n v="310"/>
    <s v="Electra Townie Commute 27D Ladies - 2018"/>
    <n v="2"/>
    <x v="3"/>
    <n v="2"/>
    <n v="899.99"/>
    <n v="7.0000000000000007E-2"/>
    <n v="1673.9814000000001"/>
  </r>
  <r>
    <n v="1466"/>
    <n v="2"/>
    <n v="251"/>
    <s v="Electra Townie Commute Go! - 2018"/>
    <n v="3"/>
    <x v="0"/>
    <n v="1"/>
    <n v="2999.99"/>
    <n v="0.05"/>
    <n v="2849.9904999999999"/>
  </r>
  <r>
    <n v="1466"/>
    <n v="3"/>
    <n v="163"/>
    <s v="Surly Pack Rat - 2018"/>
    <n v="7"/>
    <x v="6"/>
    <n v="2"/>
    <n v="1349"/>
    <n v="0.2"/>
    <n v="2158.4"/>
  </r>
  <r>
    <n v="1466"/>
    <n v="4"/>
    <n v="39"/>
    <s v="Trek Stache 5 - 2017"/>
    <n v="6"/>
    <x v="1"/>
    <n v="2"/>
    <n v="1499.99"/>
    <n v="0.05"/>
    <n v="2849.9810000000002"/>
  </r>
  <r>
    <n v="1467"/>
    <n v="1"/>
    <n v="18"/>
    <s v="Pure Cycles Western 3-Speed - Women's - 2015/2016"/>
    <n v="3"/>
    <x v="0"/>
    <n v="1"/>
    <n v="449"/>
    <n v="7.0000000000000007E-2"/>
    <n v="417.57"/>
  </r>
  <r>
    <n v="1467"/>
    <n v="2"/>
    <n v="115"/>
    <s v="Trek Fuel EX 8 29 - 2018"/>
    <n v="6"/>
    <x v="1"/>
    <n v="1"/>
    <n v="3199.99"/>
    <n v="0.2"/>
    <n v="2559.9919999999997"/>
  </r>
  <r>
    <n v="1467"/>
    <n v="3"/>
    <n v="278"/>
    <s v="Trek Precaliber 24 21-speed Girl's - 2018"/>
    <n v="1"/>
    <x v="5"/>
    <n v="2"/>
    <n v="369.99"/>
    <n v="0.1"/>
    <n v="665.98199999999997"/>
  </r>
  <r>
    <n v="1468"/>
    <n v="1"/>
    <n v="269"/>
    <s v="Trek Precaliber 12 Boy's - 2018"/>
    <n v="1"/>
    <x v="5"/>
    <n v="1"/>
    <n v="199.99"/>
    <n v="0.05"/>
    <n v="189.9905"/>
  </r>
  <r>
    <n v="1468"/>
    <n v="2"/>
    <n v="58"/>
    <s v="Trek Madone 9.2 - 2017"/>
    <n v="7"/>
    <x v="6"/>
    <n v="1"/>
    <n v="4999.99"/>
    <n v="7.0000000000000007E-2"/>
    <n v="4649.9906999999994"/>
  </r>
  <r>
    <n v="1468"/>
    <n v="3"/>
    <n v="50"/>
    <s v="Trek Silque SLR 7 Women's - 2017"/>
    <n v="7"/>
    <x v="6"/>
    <n v="2"/>
    <n v="5999.99"/>
    <n v="7.0000000000000007E-2"/>
    <n v="11159.981399999999"/>
  </r>
  <r>
    <n v="1469"/>
    <n v="1"/>
    <n v="77"/>
    <s v="Electra Glam Punk 3i Ladies' - 2017"/>
    <n v="3"/>
    <x v="0"/>
    <n v="2"/>
    <n v="799.99"/>
    <n v="0.2"/>
    <n v="1279.9839999999999"/>
  </r>
  <r>
    <n v="1469"/>
    <n v="2"/>
    <n v="237"/>
    <s v="Electra Relic 3i - 2018"/>
    <n v="3"/>
    <x v="0"/>
    <n v="2"/>
    <n v="849.99"/>
    <n v="0.05"/>
    <n v="1614.981"/>
  </r>
  <r>
    <n v="1469"/>
    <n v="3"/>
    <n v="182"/>
    <s v="Trek Domane SL 5 Disc - 2018"/>
    <n v="7"/>
    <x v="6"/>
    <n v="1"/>
    <n v="2499.9899999999998"/>
    <n v="7.0000000000000007E-2"/>
    <n v="2324.9906999999998"/>
  </r>
  <r>
    <n v="1469"/>
    <n v="4"/>
    <n v="100"/>
    <s v="Electra Townie 3i EQ (20-inch) - Boys' - 2017"/>
    <n v="1"/>
    <x v="5"/>
    <n v="2"/>
    <n v="489.99"/>
    <n v="0.05"/>
    <n v="930.98099999999999"/>
  </r>
  <r>
    <n v="1470"/>
    <n v="1"/>
    <n v="110"/>
    <s v="Sun Bicycles Drifter 7 - 2017"/>
    <n v="2"/>
    <x v="3"/>
    <n v="2"/>
    <n v="470.99"/>
    <n v="0.1"/>
    <n v="847.78200000000004"/>
  </r>
  <r>
    <n v="1470"/>
    <n v="2"/>
    <n v="287"/>
    <s v="Electra Straight 8 1 (16-inch) - Boy's - 2018"/>
    <n v="1"/>
    <x v="5"/>
    <n v="1"/>
    <n v="279.99"/>
    <n v="0.05"/>
    <n v="265.9905"/>
  </r>
  <r>
    <n v="1470"/>
    <n v="3"/>
    <n v="252"/>
    <s v="Electra Townie Commute Go! Ladies' - 2018"/>
    <n v="3"/>
    <x v="0"/>
    <n v="2"/>
    <n v="2999.99"/>
    <n v="0.05"/>
    <n v="5699.9809999999998"/>
  </r>
  <r>
    <n v="1471"/>
    <n v="1"/>
    <n v="59"/>
    <s v="Trek Domane S 5 Disc - 2017"/>
    <n v="7"/>
    <x v="6"/>
    <n v="2"/>
    <n v="2599.9899999999998"/>
    <n v="0.2"/>
    <n v="4159.9839999999995"/>
  </r>
  <r>
    <n v="1471"/>
    <n v="2"/>
    <n v="136"/>
    <s v="Trek Procaliber 6 - 2018"/>
    <n v="6"/>
    <x v="1"/>
    <n v="1"/>
    <n v="1799.99"/>
    <n v="7.0000000000000007E-2"/>
    <n v="1673.9907000000001"/>
  </r>
  <r>
    <n v="1472"/>
    <n v="1"/>
    <n v="84"/>
    <s v="Sun Bicycles Lil Kitt'n - 2017"/>
    <n v="1"/>
    <x v="5"/>
    <n v="1"/>
    <n v="109.99"/>
    <n v="0.2"/>
    <n v="87.99199999999999"/>
  </r>
  <r>
    <n v="1472"/>
    <n v="2"/>
    <n v="300"/>
    <s v="Electra Townie Balloon 3i EQ Ladies' - 2018"/>
    <n v="2"/>
    <x v="3"/>
    <n v="1"/>
    <n v="799.99"/>
    <n v="0.2"/>
    <n v="639.99199999999996"/>
  </r>
  <r>
    <n v="1473"/>
    <n v="1"/>
    <n v="84"/>
    <s v="Sun Bicycles Lil Kitt'n - 2017"/>
    <n v="1"/>
    <x v="5"/>
    <n v="2"/>
    <n v="109.99"/>
    <n v="0.2"/>
    <n v="175.98399999999998"/>
  </r>
  <r>
    <n v="1473"/>
    <n v="2"/>
    <n v="102"/>
    <s v="Electra Townie Original 7D - 2017"/>
    <n v="2"/>
    <x v="3"/>
    <n v="1"/>
    <n v="489.99"/>
    <n v="7.0000000000000007E-2"/>
    <n v="455.69069999999999"/>
  </r>
  <r>
    <n v="1474"/>
    <n v="1"/>
    <n v="301"/>
    <s v="Electra Townie Balloon 7i EQ - 2018"/>
    <n v="2"/>
    <x v="3"/>
    <n v="1"/>
    <n v="899.99"/>
    <n v="0.2"/>
    <n v="719.99199999999996"/>
  </r>
  <r>
    <n v="1474"/>
    <n v="2"/>
    <n v="123"/>
    <s v="Trek Farley Carbon Frameset - 2018"/>
    <n v="6"/>
    <x v="1"/>
    <n v="1"/>
    <n v="999.99"/>
    <n v="0.05"/>
    <n v="949.9905"/>
  </r>
  <r>
    <n v="1475"/>
    <n v="1"/>
    <n v="306"/>
    <s v="Electra Townie Balloon 7i EQ Ladies' - 2017/2018"/>
    <n v="2"/>
    <x v="3"/>
    <n v="2"/>
    <n v="899.99"/>
    <n v="0.05"/>
    <n v="1709.981"/>
  </r>
  <r>
    <n v="1475"/>
    <n v="2"/>
    <n v="261"/>
    <s v="Electra Townie Balloon 7i EQ - 2018"/>
    <n v="3"/>
    <x v="0"/>
    <n v="2"/>
    <n v="899.99"/>
    <n v="7.0000000000000007E-2"/>
    <n v="1673.9814000000001"/>
  </r>
  <r>
    <n v="1475"/>
    <n v="3"/>
    <n v="161"/>
    <s v="Surly ECR - 2018"/>
    <n v="7"/>
    <x v="6"/>
    <n v="2"/>
    <n v="1899"/>
    <n v="0.05"/>
    <n v="3608.1"/>
  </r>
  <r>
    <n v="1475"/>
    <n v="4"/>
    <n v="248"/>
    <s v="Electra Townie Original 7D EQ Ladies' - 2017/2018"/>
    <n v="3"/>
    <x v="0"/>
    <n v="2"/>
    <n v="599.99"/>
    <n v="0.2"/>
    <n v="959.98400000000004"/>
  </r>
  <r>
    <n v="1476"/>
    <n v="1"/>
    <n v="142"/>
    <s v="Trek Fuel EX 8 29 XT - 2018"/>
    <n v="6"/>
    <x v="1"/>
    <n v="2"/>
    <n v="3199.99"/>
    <n v="7.0000000000000007E-2"/>
    <n v="5951.9813999999997"/>
  </r>
  <r>
    <n v="1476"/>
    <n v="2"/>
    <n v="91"/>
    <s v="Trek Precaliber 24 (21-Speed) - Girls - 2017"/>
    <n v="1"/>
    <x v="5"/>
    <n v="2"/>
    <n v="349.99"/>
    <n v="7.0000000000000007E-2"/>
    <n v="650.98140000000001"/>
  </r>
  <r>
    <n v="1476"/>
    <n v="3"/>
    <n v="43"/>
    <s v="Trek Fuel EX 9.8 27.5 Plus - 2017"/>
    <n v="6"/>
    <x v="1"/>
    <n v="1"/>
    <n v="5299.99"/>
    <n v="7.0000000000000007E-2"/>
    <n v="4928.9906999999994"/>
  </r>
  <r>
    <n v="1476"/>
    <n v="4"/>
    <n v="191"/>
    <s v="Electra Loft Go! 8i - 2018"/>
    <n v="5"/>
    <x v="4"/>
    <n v="1"/>
    <n v="2799.99"/>
    <n v="0.1"/>
    <n v="2519.991"/>
  </r>
  <r>
    <n v="1476"/>
    <n v="5"/>
    <n v="265"/>
    <s v="Strider Strider 20 Sport - 2018"/>
    <n v="1"/>
    <x v="5"/>
    <n v="2"/>
    <n v="289.99"/>
    <n v="0.1"/>
    <n v="521.98199999999997"/>
  </r>
  <r>
    <n v="1477"/>
    <n v="1"/>
    <n v="210"/>
    <s v="Surly Straggler - 2018"/>
    <n v="4"/>
    <x v="2"/>
    <n v="2"/>
    <n v="1549"/>
    <n v="0.2"/>
    <n v="2478.4"/>
  </r>
  <r>
    <n v="1478"/>
    <n v="1"/>
    <n v="100"/>
    <s v="Electra Townie 3i EQ (20-inch) - Boys' - 2017"/>
    <n v="1"/>
    <x v="5"/>
    <n v="2"/>
    <n v="489.99"/>
    <n v="0.1"/>
    <n v="881.98199999999997"/>
  </r>
  <r>
    <n v="1478"/>
    <n v="2"/>
    <n v="123"/>
    <s v="Trek Farley Carbon Frameset - 2018"/>
    <n v="6"/>
    <x v="1"/>
    <n v="1"/>
    <n v="999.99"/>
    <n v="0.2"/>
    <n v="799.99199999999996"/>
  </r>
  <r>
    <n v="1479"/>
    <n v="1"/>
    <n v="252"/>
    <s v="Electra Townie Commute Go! Ladies' - 2018"/>
    <n v="3"/>
    <x v="0"/>
    <n v="1"/>
    <n v="2999.99"/>
    <n v="0.05"/>
    <n v="2849.9904999999999"/>
  </r>
  <r>
    <n v="1479"/>
    <n v="2"/>
    <n v="256"/>
    <s v="Electra Townie Commute 27D - 2018"/>
    <n v="3"/>
    <x v="0"/>
    <n v="1"/>
    <n v="899.99"/>
    <n v="0.1"/>
    <n v="809.99099999999999"/>
  </r>
  <r>
    <n v="1480"/>
    <n v="1"/>
    <n v="308"/>
    <s v="Electra Townie Balloon 8D EQ Ladies' - 2016/2017/2018"/>
    <n v="2"/>
    <x v="3"/>
    <n v="2"/>
    <n v="749.99"/>
    <n v="0.1"/>
    <n v="1349.982"/>
  </r>
  <r>
    <n v="1480"/>
    <n v="2"/>
    <n v="82"/>
    <s v="Electra Amsterdam Original 3i Ladies' - 2017"/>
    <n v="3"/>
    <x v="0"/>
    <n v="2"/>
    <n v="659.99"/>
    <n v="0.1"/>
    <n v="1187.982"/>
  </r>
  <r>
    <n v="1480"/>
    <n v="3"/>
    <n v="92"/>
    <s v="Haro Shredder 20 - 2017"/>
    <n v="1"/>
    <x v="5"/>
    <n v="2"/>
    <n v="209.99"/>
    <n v="7.0000000000000007E-2"/>
    <n v="390.58140000000003"/>
  </r>
  <r>
    <n v="1480"/>
    <n v="4"/>
    <n v="225"/>
    <s v="Electra Delivery 3i - 2016/2017/2018"/>
    <n v="3"/>
    <x v="0"/>
    <n v="2"/>
    <n v="959.99"/>
    <n v="7.0000000000000007E-2"/>
    <n v="1785.5814"/>
  </r>
  <r>
    <n v="1481"/>
    <n v="1"/>
    <n v="53"/>
    <s v="Surly Ogre Frameset - 2017"/>
    <n v="7"/>
    <x v="6"/>
    <n v="2"/>
    <n v="749.99"/>
    <n v="7.0000000000000007E-2"/>
    <n v="1394.9814000000001"/>
  </r>
  <r>
    <n v="1481"/>
    <n v="2"/>
    <n v="130"/>
    <s v="Trek Stache Carbon Frameset - 2018"/>
    <n v="6"/>
    <x v="1"/>
    <n v="1"/>
    <n v="919.99"/>
    <n v="0.1"/>
    <n v="827.99099999999999"/>
  </r>
  <r>
    <n v="1482"/>
    <n v="1"/>
    <n v="48"/>
    <s v="Trek Emonda S 4 - 2017"/>
    <n v="7"/>
    <x v="6"/>
    <n v="1"/>
    <n v="1499.99"/>
    <n v="0.1"/>
    <n v="1349.991"/>
  </r>
  <r>
    <n v="1482"/>
    <n v="2"/>
    <n v="113"/>
    <s v="Trek Marlin 5 - 2018"/>
    <n v="6"/>
    <x v="1"/>
    <n v="1"/>
    <n v="489.99"/>
    <n v="0.05"/>
    <n v="465.4905"/>
  </r>
  <r>
    <n v="1482"/>
    <n v="3"/>
    <n v="58"/>
    <s v="Trek Madone 9.2 - 2017"/>
    <n v="7"/>
    <x v="6"/>
    <n v="2"/>
    <n v="4999.99"/>
    <n v="7.0000000000000007E-2"/>
    <n v="9299.9813999999988"/>
  </r>
  <r>
    <n v="1482"/>
    <n v="4"/>
    <n v="40"/>
    <s v="Trek Fuel EX 9.8 29 - 2017"/>
    <n v="6"/>
    <x v="1"/>
    <n v="1"/>
    <n v="4999.99"/>
    <n v="0.05"/>
    <n v="4749.9904999999999"/>
  </r>
  <r>
    <n v="1482"/>
    <n v="5"/>
    <n v="205"/>
    <s v="Trek Super Commuter+ 8S - 2018"/>
    <n v="5"/>
    <x v="4"/>
    <n v="2"/>
    <n v="4999.99"/>
    <n v="0.05"/>
    <n v="9499.9809999999998"/>
  </r>
  <r>
    <n v="1483"/>
    <n v="1"/>
    <n v="280"/>
    <s v="Trek Superfly 24 - 2017/2018"/>
    <n v="1"/>
    <x v="5"/>
    <n v="1"/>
    <n v="489.99"/>
    <n v="0.05"/>
    <n v="465.4905"/>
  </r>
  <r>
    <n v="1483"/>
    <n v="2"/>
    <n v="226"/>
    <s v="Electra Townie Original 21D EQ - 2017/2018"/>
    <n v="3"/>
    <x v="0"/>
    <n v="2"/>
    <n v="679.99"/>
    <n v="7.0000000000000007E-2"/>
    <n v="1264.7814000000001"/>
  </r>
  <r>
    <n v="1484"/>
    <n v="1"/>
    <n v="295"/>
    <s v="Electra Treasure 1 20&quot; - 2018"/>
    <n v="1"/>
    <x v="5"/>
    <n v="2"/>
    <n v="319.99"/>
    <n v="7.0000000000000007E-2"/>
    <n v="595.18140000000005"/>
  </r>
  <r>
    <n v="1484"/>
    <n v="2"/>
    <n v="49"/>
    <s v="Trek Domane SL 6 - 2017"/>
    <n v="7"/>
    <x v="6"/>
    <n v="2"/>
    <n v="3499.99"/>
    <n v="0.2"/>
    <n v="5599.9839999999995"/>
  </r>
  <r>
    <n v="1484"/>
    <n v="3"/>
    <n v="304"/>
    <s v="Electra Townie Original 21D EQ - 2017/2018"/>
    <n v="2"/>
    <x v="3"/>
    <n v="2"/>
    <n v="679.99"/>
    <n v="0.05"/>
    <n v="1291.981"/>
  </r>
  <r>
    <n v="1485"/>
    <n v="1"/>
    <n v="122"/>
    <s v="Surly Troll Frameset - 2018"/>
    <n v="6"/>
    <x v="1"/>
    <n v="2"/>
    <n v="2499.9899999999998"/>
    <n v="0.2"/>
    <n v="3999.9839999999995"/>
  </r>
  <r>
    <n v="1485"/>
    <n v="2"/>
    <n v="276"/>
    <s v="Trek Precaliber 24 (7-Speed) - Boys - 2018"/>
    <n v="1"/>
    <x v="5"/>
    <n v="1"/>
    <n v="319.99"/>
    <n v="0.2"/>
    <n v="255.99200000000002"/>
  </r>
  <r>
    <n v="1486"/>
    <n v="1"/>
    <n v="60"/>
    <s v="Sun Bicycles ElectroLite - 2017"/>
    <n v="5"/>
    <x v="4"/>
    <n v="2"/>
    <n v="1559.99"/>
    <n v="0.05"/>
    <n v="2963.9809999999998"/>
  </r>
  <r>
    <n v="1486"/>
    <n v="2"/>
    <n v="98"/>
    <s v="Electra Straight 8 3i (20-inch) - Boy's - 2017"/>
    <n v="1"/>
    <x v="5"/>
    <n v="1"/>
    <n v="489.99"/>
    <n v="0.05"/>
    <n v="465.4905"/>
  </r>
  <r>
    <n v="1486"/>
    <n v="3"/>
    <n v="113"/>
    <s v="Trek Marlin 5 - 2018"/>
    <n v="6"/>
    <x v="1"/>
    <n v="1"/>
    <n v="489.99"/>
    <n v="0.1"/>
    <n v="440.99099999999999"/>
  </r>
  <r>
    <n v="1486"/>
    <n v="4"/>
    <n v="269"/>
    <s v="Trek Precaliber 12 Boy's - 2018"/>
    <n v="1"/>
    <x v="5"/>
    <n v="1"/>
    <n v="199.99"/>
    <n v="0.1"/>
    <n v="179.99100000000001"/>
  </r>
  <r>
    <n v="1487"/>
    <n v="1"/>
    <n v="160"/>
    <s v="Trek Emonda SLR 6 - 2018"/>
    <n v="7"/>
    <x v="6"/>
    <n v="1"/>
    <n v="4499.99"/>
    <n v="7.0000000000000007E-2"/>
    <n v="4184.9906999999994"/>
  </r>
  <r>
    <n v="1487"/>
    <n v="2"/>
    <n v="151"/>
    <s v="Trek Domane ALR 4 Disc Women's - 2018"/>
    <n v="7"/>
    <x v="6"/>
    <n v="2"/>
    <n v="1549.99"/>
    <n v="0.2"/>
    <n v="2479.9839999999999"/>
  </r>
  <r>
    <n v="1487"/>
    <n v="3"/>
    <n v="198"/>
    <s v="Electra Townie Commute Go! - 2018"/>
    <n v="5"/>
    <x v="4"/>
    <n v="1"/>
    <n v="2999.99"/>
    <n v="0.05"/>
    <n v="2849.9904999999999"/>
  </r>
  <r>
    <n v="1487"/>
    <n v="4"/>
    <n v="196"/>
    <s v="Trek Verve+ - 2018"/>
    <n v="5"/>
    <x v="4"/>
    <n v="1"/>
    <n v="2299.9899999999998"/>
    <n v="0.05"/>
    <n v="2184.9904999999999"/>
  </r>
  <r>
    <n v="1487"/>
    <n v="5"/>
    <n v="96"/>
    <s v="Electra Moto 3i (20-inch) - Boy's - 2017"/>
    <n v="1"/>
    <x v="5"/>
    <n v="2"/>
    <n v="349.99"/>
    <n v="0.2"/>
    <n v="559.98400000000004"/>
  </r>
  <r>
    <n v="1488"/>
    <n v="1"/>
    <n v="42"/>
    <s v="Trek Fuel EX 5 27.5 Plus - 2017"/>
    <n v="6"/>
    <x v="1"/>
    <n v="1"/>
    <n v="2299.9899999999998"/>
    <n v="7.0000000000000007E-2"/>
    <n v="2138.9906999999998"/>
  </r>
  <r>
    <n v="1488"/>
    <n v="2"/>
    <n v="122"/>
    <s v="Surly Troll Frameset - 2018"/>
    <n v="6"/>
    <x v="1"/>
    <n v="1"/>
    <n v="2499.9899999999998"/>
    <n v="7.0000000000000007E-2"/>
    <n v="2324.9906999999998"/>
  </r>
  <r>
    <n v="1489"/>
    <n v="1"/>
    <n v="198"/>
    <s v="Electra Townie Commute Go! - 2018"/>
    <n v="5"/>
    <x v="4"/>
    <n v="1"/>
    <n v="2999.99"/>
    <n v="0.2"/>
    <n v="2399.9919999999997"/>
  </r>
  <r>
    <n v="1489"/>
    <n v="2"/>
    <n v="282"/>
    <s v="Electra Cyclosaurus 1 (16-inch) - Boy's - 2018"/>
    <n v="1"/>
    <x v="5"/>
    <n v="2"/>
    <n v="279.99"/>
    <n v="0.2"/>
    <n v="447.98400000000004"/>
  </r>
  <r>
    <n v="1489"/>
    <n v="3"/>
    <n v="52"/>
    <s v="Surly Steamroller - 2017"/>
    <n v="7"/>
    <x v="6"/>
    <n v="1"/>
    <n v="875.99"/>
    <n v="0.1"/>
    <n v="788.39099999999996"/>
  </r>
  <r>
    <n v="1490"/>
    <n v="1"/>
    <n v="99"/>
    <s v="Electra Sugar Skulls 1 (20-inch) - Girl's - 2017"/>
    <n v="1"/>
    <x v="5"/>
    <n v="1"/>
    <n v="299.99"/>
    <n v="0.1"/>
    <n v="269.99099999999999"/>
  </r>
  <r>
    <n v="1490"/>
    <n v="2"/>
    <n v="254"/>
    <s v="Electra Townie Balloon 3i EQ - 2017/2018"/>
    <n v="3"/>
    <x v="0"/>
    <n v="1"/>
    <n v="749.99"/>
    <n v="0.1"/>
    <n v="674.99099999999999"/>
  </r>
  <r>
    <n v="1490"/>
    <n v="3"/>
    <n v="218"/>
    <s v="Electra Cruiser 7D - 2016/2017/2018"/>
    <n v="3"/>
    <x v="0"/>
    <n v="1"/>
    <n v="319.99"/>
    <n v="0.05"/>
    <n v="303.9905"/>
  </r>
  <r>
    <n v="1491"/>
    <n v="1"/>
    <n v="95"/>
    <s v="Electra Girl's Hawaii 1 16&quot; - 2017"/>
    <n v="1"/>
    <x v="5"/>
    <n v="2"/>
    <n v="299.99"/>
    <n v="0.2"/>
    <n v="479.98400000000004"/>
  </r>
  <r>
    <n v="1491"/>
    <n v="2"/>
    <n v="302"/>
    <s v="Electra Townie Original 1 - 2018"/>
    <n v="2"/>
    <x v="3"/>
    <n v="1"/>
    <n v="449.99"/>
    <n v="0.05"/>
    <n v="427.4905"/>
  </r>
  <r>
    <n v="1491"/>
    <n v="3"/>
    <n v="60"/>
    <s v="Sun Bicycles ElectroLite - 2017"/>
    <n v="5"/>
    <x v="4"/>
    <n v="2"/>
    <n v="1559.99"/>
    <n v="7.0000000000000007E-2"/>
    <n v="2901.5814"/>
  </r>
  <r>
    <n v="1491"/>
    <n v="4"/>
    <n v="139"/>
    <s v="Trek Remedy 7 27.5 - 2018"/>
    <n v="6"/>
    <x v="1"/>
    <n v="2"/>
    <n v="2999.99"/>
    <n v="7.0000000000000007E-2"/>
    <n v="5579.9813999999997"/>
  </r>
  <r>
    <n v="1492"/>
    <n v="1"/>
    <n v="37"/>
    <s v="Haro Flightline One ST - 2017"/>
    <n v="6"/>
    <x v="1"/>
    <n v="2"/>
    <n v="379.99"/>
    <n v="0.1"/>
    <n v="683.98199999999997"/>
  </r>
  <r>
    <n v="1493"/>
    <n v="1"/>
    <n v="230"/>
    <s v="Electra Cruiser Lux 1 Ladies' - 2018"/>
    <n v="3"/>
    <x v="0"/>
    <n v="1"/>
    <n v="429.99"/>
    <n v="0.1"/>
    <n v="386.99099999999999"/>
  </r>
  <r>
    <n v="1494"/>
    <n v="1"/>
    <n v="230"/>
    <s v="Electra Cruiser Lux 1 Ladies' - 2018"/>
    <n v="3"/>
    <x v="0"/>
    <n v="2"/>
    <n v="429.99"/>
    <n v="0.1"/>
    <n v="773.98199999999997"/>
  </r>
  <r>
    <n v="1494"/>
    <n v="2"/>
    <n v="178"/>
    <s v="Trek Domane AL 2 - 2018"/>
    <n v="7"/>
    <x v="6"/>
    <n v="2"/>
    <n v="749.99"/>
    <n v="0.2"/>
    <n v="1199.9839999999999"/>
  </r>
  <r>
    <n v="1494"/>
    <n v="3"/>
    <n v="264"/>
    <s v="Strider Sport 16 - 2018"/>
    <n v="1"/>
    <x v="5"/>
    <n v="2"/>
    <n v="249.99"/>
    <n v="0.05"/>
    <n v="474.98099999999999"/>
  </r>
  <r>
    <n v="1495"/>
    <n v="1"/>
    <n v="292"/>
    <s v="Electra Sweet Ride 3i (20-inch) - Girls' - 2018"/>
    <n v="1"/>
    <x v="5"/>
    <n v="2"/>
    <n v="369.99"/>
    <n v="0.05"/>
    <n v="702.98099999999999"/>
  </r>
  <r>
    <n v="1495"/>
    <n v="2"/>
    <n v="308"/>
    <s v="Electra Townie Balloon 8D EQ Ladies' - 2016/2017/2018"/>
    <n v="2"/>
    <x v="3"/>
    <n v="2"/>
    <n v="749.99"/>
    <n v="0.2"/>
    <n v="1199.9839999999999"/>
  </r>
  <r>
    <n v="1495"/>
    <n v="3"/>
    <n v="137"/>
    <s v="Heller Shagamaw GX1 - 2018"/>
    <n v="6"/>
    <x v="1"/>
    <n v="1"/>
    <n v="2599"/>
    <n v="0.1"/>
    <n v="2339.1"/>
  </r>
  <r>
    <n v="1496"/>
    <n v="1"/>
    <n v="248"/>
    <s v="Electra Townie Original 7D EQ Ladies' - 2017/2018"/>
    <n v="3"/>
    <x v="0"/>
    <n v="1"/>
    <n v="599.99"/>
    <n v="7.0000000000000007E-2"/>
    <n v="557.99070000000006"/>
  </r>
  <r>
    <n v="1496"/>
    <n v="2"/>
    <n v="214"/>
    <s v="Electra Tiger Shark 3i - 2018"/>
    <n v="3"/>
    <x v="0"/>
    <n v="1"/>
    <n v="899.99"/>
    <n v="7.0000000000000007E-2"/>
    <n v="836.99070000000006"/>
  </r>
  <r>
    <n v="1496"/>
    <n v="3"/>
    <n v="224"/>
    <s v="Electra Cruiser Lux 7D - 2018"/>
    <n v="3"/>
    <x v="0"/>
    <n v="2"/>
    <n v="479.99"/>
    <n v="0.05"/>
    <n v="911.98099999999999"/>
  </r>
  <r>
    <n v="1496"/>
    <n v="4"/>
    <n v="302"/>
    <s v="Electra Townie Original 1 - 2018"/>
    <n v="2"/>
    <x v="3"/>
    <n v="1"/>
    <n v="449.99"/>
    <n v="0.05"/>
    <n v="427.4905"/>
  </r>
  <r>
    <n v="1496"/>
    <n v="5"/>
    <n v="225"/>
    <s v="Electra Delivery 3i - 2016/2017/2018"/>
    <n v="3"/>
    <x v="0"/>
    <n v="2"/>
    <n v="959.99"/>
    <n v="0.2"/>
    <n v="1535.9839999999999"/>
  </r>
  <r>
    <n v="1497"/>
    <n v="1"/>
    <n v="141"/>
    <s v="Trek Stache 5 - 2018"/>
    <n v="6"/>
    <x v="1"/>
    <n v="2"/>
    <n v="1599.99"/>
    <n v="0.2"/>
    <n v="2559.9839999999999"/>
  </r>
  <r>
    <n v="1497"/>
    <n v="2"/>
    <n v="198"/>
    <s v="Electra Townie Commute Go! - 2018"/>
    <n v="5"/>
    <x v="4"/>
    <n v="2"/>
    <n v="2999.99"/>
    <n v="0.1"/>
    <n v="5399.982"/>
  </r>
  <r>
    <n v="1497"/>
    <n v="3"/>
    <n v="204"/>
    <s v="Trek Super Commuter+ 7 - 2018"/>
    <n v="5"/>
    <x v="4"/>
    <n v="2"/>
    <n v="3599.99"/>
    <n v="7.0000000000000007E-2"/>
    <n v="6695.9813999999997"/>
  </r>
  <r>
    <n v="1498"/>
    <n v="1"/>
    <n v="172"/>
    <s v="Trek Domane ALR Disc Frameset - 2018"/>
    <n v="7"/>
    <x v="6"/>
    <n v="1"/>
    <n v="3199.99"/>
    <n v="0.05"/>
    <n v="3039.9904999999999"/>
  </r>
  <r>
    <n v="1498"/>
    <n v="2"/>
    <n v="260"/>
    <s v="Electra Townie Balloon 3i EQ Ladies' - 2018"/>
    <n v="3"/>
    <x v="0"/>
    <n v="2"/>
    <n v="799.99"/>
    <n v="7.0000000000000007E-2"/>
    <n v="1487.9814000000001"/>
  </r>
  <r>
    <n v="1499"/>
    <n v="1"/>
    <n v="110"/>
    <s v="Sun Bicycles Drifter 7 - 2017"/>
    <n v="2"/>
    <x v="3"/>
    <n v="1"/>
    <n v="470.99"/>
    <n v="0.05"/>
    <n v="447.44049999999999"/>
  </r>
  <r>
    <n v="1499"/>
    <n v="2"/>
    <n v="208"/>
    <s v="Trek Crockett 5 Disc - 2018"/>
    <n v="4"/>
    <x v="2"/>
    <n v="1"/>
    <n v="1799.99"/>
    <n v="7.0000000000000007E-2"/>
    <n v="1673.9907000000001"/>
  </r>
  <r>
    <n v="1499"/>
    <n v="3"/>
    <n v="268"/>
    <s v="Trek Kickster - 2018"/>
    <n v="1"/>
    <x v="5"/>
    <n v="2"/>
    <n v="159.99"/>
    <n v="0.05"/>
    <n v="303.98099999999999"/>
  </r>
  <r>
    <n v="1499"/>
    <n v="4"/>
    <n v="2"/>
    <s v="Ritchey Timberwolf Frameset - 2016"/>
    <n v="6"/>
    <x v="1"/>
    <n v="1"/>
    <n v="749.99"/>
    <n v="0.05"/>
    <n v="712.4905"/>
  </r>
  <r>
    <n v="1499"/>
    <n v="5"/>
    <n v="171"/>
    <s v="Trek Domane SL 6 - 2018"/>
    <n v="7"/>
    <x v="6"/>
    <n v="2"/>
    <n v="3199.99"/>
    <n v="0.1"/>
    <n v="5759.982"/>
  </r>
  <r>
    <n v="1500"/>
    <n v="1"/>
    <n v="41"/>
    <s v="Haro Shift R3 - 2017"/>
    <n v="6"/>
    <x v="1"/>
    <n v="2"/>
    <n v="1469.99"/>
    <n v="7.0000000000000007E-2"/>
    <n v="2734.1813999999999"/>
  </r>
  <r>
    <n v="1500"/>
    <n v="2"/>
    <n v="293"/>
    <s v="Electra Tiger Shark 1 (20-inch) - Boys' - 2018"/>
    <n v="1"/>
    <x v="5"/>
    <n v="1"/>
    <n v="319.99"/>
    <n v="7.0000000000000007E-2"/>
    <n v="297.59070000000003"/>
  </r>
  <r>
    <n v="1501"/>
    <n v="1"/>
    <n v="248"/>
    <s v="Electra Townie Original 7D EQ Ladies' - 2017/2018"/>
    <n v="3"/>
    <x v="0"/>
    <n v="1"/>
    <n v="599.99"/>
    <n v="0.05"/>
    <n v="569.9905"/>
  </r>
  <r>
    <n v="1501"/>
    <n v="2"/>
    <n v="219"/>
    <s v="Electra Moto 3i - 2018"/>
    <n v="3"/>
    <x v="0"/>
    <n v="1"/>
    <n v="639.99"/>
    <n v="7.0000000000000007E-2"/>
    <n v="595.19069999999999"/>
  </r>
  <r>
    <n v="1501"/>
    <n v="3"/>
    <n v="15"/>
    <s v="Electra Moto 1 - 2016"/>
    <n v="3"/>
    <x v="0"/>
    <n v="1"/>
    <n v="529.99"/>
    <n v="0.05"/>
    <n v="503.4905"/>
  </r>
  <r>
    <n v="1501"/>
    <n v="4"/>
    <n v="67"/>
    <s v="Sun Bicycles Revolutions 24 - Girl's - 2017"/>
    <n v="3"/>
    <x v="0"/>
    <n v="1"/>
    <n v="250.99"/>
    <n v="0.2"/>
    <n v="200.792"/>
  </r>
  <r>
    <n v="1501"/>
    <n v="5"/>
    <n v="210"/>
    <s v="Surly Straggler - 2018"/>
    <n v="4"/>
    <x v="2"/>
    <n v="1"/>
    <n v="1549"/>
    <n v="0.05"/>
    <n v="1471.55"/>
  </r>
  <r>
    <n v="1502"/>
    <n v="1"/>
    <n v="231"/>
    <s v="Electra Cruiser Lux 3i Ladies' - 2018"/>
    <n v="3"/>
    <x v="0"/>
    <n v="2"/>
    <n v="529.99"/>
    <n v="0.2"/>
    <n v="847.98400000000004"/>
  </r>
  <r>
    <n v="1502"/>
    <n v="2"/>
    <n v="19"/>
    <s v="Pure Cycles William 3-Speed - 2016"/>
    <n v="3"/>
    <x v="0"/>
    <n v="2"/>
    <n v="449"/>
    <n v="7.0000000000000007E-2"/>
    <n v="835.14"/>
  </r>
  <r>
    <n v="1502"/>
    <n v="3"/>
    <n v="26"/>
    <s v="Electra Townie Original 7D EQ - 2016"/>
    <n v="2"/>
    <x v="3"/>
    <n v="2"/>
    <n v="599.99"/>
    <n v="7.0000000000000007E-2"/>
    <n v="1115.9814000000001"/>
  </r>
  <r>
    <n v="1502"/>
    <n v="4"/>
    <n v="268"/>
    <s v="Trek Kickster - 2018"/>
    <n v="1"/>
    <x v="5"/>
    <n v="1"/>
    <n v="159.99"/>
    <n v="0.2"/>
    <n v="127.992"/>
  </r>
  <r>
    <n v="1502"/>
    <n v="5"/>
    <n v="255"/>
    <s v="Electra Townie Balloon 7i EQ Ladies' - 2017/2018"/>
    <n v="3"/>
    <x v="0"/>
    <n v="1"/>
    <n v="899.99"/>
    <n v="7.0000000000000007E-2"/>
    <n v="836.99070000000006"/>
  </r>
  <r>
    <n v="1503"/>
    <n v="1"/>
    <n v="217"/>
    <s v="Electra Straight 8 3i - 2018"/>
    <n v="3"/>
    <x v="0"/>
    <n v="1"/>
    <n v="909.99"/>
    <n v="0.1"/>
    <n v="818.99099999999999"/>
  </r>
  <r>
    <n v="1503"/>
    <n v="2"/>
    <n v="302"/>
    <s v="Electra Townie Original 1 - 2018"/>
    <n v="2"/>
    <x v="3"/>
    <n v="2"/>
    <n v="449.99"/>
    <n v="0.05"/>
    <n v="854.98099999999999"/>
  </r>
  <r>
    <n v="1504"/>
    <n v="1"/>
    <n v="276"/>
    <s v="Trek Precaliber 24 (7-Speed) - Boys - 2018"/>
    <n v="1"/>
    <x v="5"/>
    <n v="1"/>
    <n v="319.99"/>
    <n v="7.0000000000000007E-2"/>
    <n v="297.59070000000003"/>
  </r>
  <r>
    <n v="1505"/>
    <n v="1"/>
    <n v="223"/>
    <s v="Electra Cruiser Lux 3i - 2018"/>
    <n v="3"/>
    <x v="0"/>
    <n v="2"/>
    <n v="529.99"/>
    <n v="0.05"/>
    <n v="1006.981"/>
  </r>
  <r>
    <n v="1505"/>
    <n v="2"/>
    <n v="24"/>
    <s v="Electra Townie Original 21D - 2016"/>
    <n v="2"/>
    <x v="3"/>
    <n v="2"/>
    <n v="549.99"/>
    <n v="7.0000000000000007E-2"/>
    <n v="1022.9814"/>
  </r>
  <r>
    <n v="1505"/>
    <n v="3"/>
    <n v="43"/>
    <s v="Trek Fuel EX 9.8 27.5 Plus - 2017"/>
    <n v="6"/>
    <x v="1"/>
    <n v="2"/>
    <n v="5299.99"/>
    <n v="0.05"/>
    <n v="10069.981"/>
  </r>
  <r>
    <n v="1506"/>
    <n v="1"/>
    <n v="184"/>
    <s v="Trek Domane SL 6 Disc - 2018"/>
    <n v="7"/>
    <x v="6"/>
    <n v="1"/>
    <n v="3499.99"/>
    <n v="0.05"/>
    <n v="3324.9904999999999"/>
  </r>
  <r>
    <n v="1506"/>
    <n v="2"/>
    <n v="153"/>
    <s v="Trek Domane SL 7 Women's - 2018"/>
    <n v="7"/>
    <x v="6"/>
    <n v="2"/>
    <n v="4999.99"/>
    <n v="0.2"/>
    <n v="7999.9839999999995"/>
  </r>
  <r>
    <n v="1506"/>
    <n v="3"/>
    <n v="149"/>
    <s v="Trek Domane SLR 8 Disc - 2018"/>
    <n v="7"/>
    <x v="6"/>
    <n v="2"/>
    <n v="7499.99"/>
    <n v="0.05"/>
    <n v="14249.981"/>
  </r>
  <r>
    <n v="1507"/>
    <n v="1"/>
    <n v="39"/>
    <s v="Trek Stache 5 - 2017"/>
    <n v="6"/>
    <x v="1"/>
    <n v="2"/>
    <n v="1499.99"/>
    <n v="0.2"/>
    <n v="2399.9839999999999"/>
  </r>
  <r>
    <n v="1507"/>
    <n v="2"/>
    <n v="11"/>
    <s v="Surly Straggler 650b - 2016"/>
    <n v="4"/>
    <x v="2"/>
    <n v="2"/>
    <n v="1680.99"/>
    <n v="0.1"/>
    <n v="3025.7820000000002"/>
  </r>
  <r>
    <n v="1507"/>
    <n v="3"/>
    <n v="259"/>
    <s v="Electra Amsterdam Royal 8i Ladies - 2018"/>
    <n v="3"/>
    <x v="0"/>
    <n v="1"/>
    <n v="1199.99"/>
    <n v="7.0000000000000007E-2"/>
    <n v="1115.9907000000001"/>
  </r>
  <r>
    <n v="1507"/>
    <n v="4"/>
    <n v="281"/>
    <s v="Electra Cruiser 7D (24-Inch) Ladies' - 2016/2018"/>
    <n v="1"/>
    <x v="5"/>
    <n v="1"/>
    <n v="319.99"/>
    <n v="7.0000000000000007E-2"/>
    <n v="297.59070000000003"/>
  </r>
  <r>
    <n v="1507"/>
    <n v="5"/>
    <n v="293"/>
    <s v="Electra Tiger Shark 1 (20-inch) - Boys' - 2018"/>
    <n v="1"/>
    <x v="5"/>
    <n v="2"/>
    <n v="319.99"/>
    <n v="0.05"/>
    <n v="607.98099999999999"/>
  </r>
  <r>
    <n v="1508"/>
    <n v="1"/>
    <n v="37"/>
    <s v="Haro Flightline One ST - 2017"/>
    <n v="6"/>
    <x v="1"/>
    <n v="1"/>
    <n v="379.99"/>
    <n v="0.2"/>
    <n v="303.99200000000002"/>
  </r>
  <r>
    <n v="1508"/>
    <n v="2"/>
    <n v="109"/>
    <s v="Sun Bicycles Cruz 7 - Women's - 2017"/>
    <n v="2"/>
    <x v="3"/>
    <n v="1"/>
    <n v="416.99"/>
    <n v="0.1"/>
    <n v="375.291"/>
  </r>
  <r>
    <n v="1508"/>
    <n v="3"/>
    <n v="52"/>
    <s v="Surly Steamroller - 2017"/>
    <n v="7"/>
    <x v="6"/>
    <n v="2"/>
    <n v="875.99"/>
    <n v="0.05"/>
    <n v="1664.3810000000001"/>
  </r>
  <r>
    <n v="1508"/>
    <n v="4"/>
    <n v="88"/>
    <s v="Trek Precaliber 12 Girls - 2017"/>
    <n v="1"/>
    <x v="5"/>
    <n v="1"/>
    <n v="189.99"/>
    <n v="0.05"/>
    <n v="180.4905"/>
  </r>
  <r>
    <n v="1509"/>
    <n v="1"/>
    <n v="215"/>
    <s v="Electra Queen of Hearts 3i - 2018"/>
    <n v="3"/>
    <x v="0"/>
    <n v="2"/>
    <n v="749.99"/>
    <n v="7.0000000000000007E-2"/>
    <n v="1394.9814000000001"/>
  </r>
  <r>
    <n v="1510"/>
    <n v="1"/>
    <n v="142"/>
    <s v="Trek Fuel EX 8 29 XT - 2018"/>
    <n v="6"/>
    <x v="1"/>
    <n v="2"/>
    <n v="3199.99"/>
    <n v="0.05"/>
    <n v="6079.9809999999998"/>
  </r>
  <r>
    <n v="1510"/>
    <n v="2"/>
    <n v="68"/>
    <s v="Sun Bicycles Cruz 3 - 2017"/>
    <n v="3"/>
    <x v="0"/>
    <n v="1"/>
    <n v="449.99"/>
    <n v="0.1"/>
    <n v="404.99099999999999"/>
  </r>
  <r>
    <n v="1510"/>
    <n v="3"/>
    <n v="251"/>
    <s v="Electra Townie Commute Go! - 2018"/>
    <n v="3"/>
    <x v="0"/>
    <n v="2"/>
    <n v="2999.99"/>
    <n v="0.1"/>
    <n v="5399.982"/>
  </r>
  <r>
    <n v="1510"/>
    <n v="4"/>
    <n v="220"/>
    <s v="Electra Cruiser 1 Ladies' - 2018"/>
    <n v="3"/>
    <x v="0"/>
    <n v="2"/>
    <n v="269.99"/>
    <n v="0.1"/>
    <n v="485.98200000000003"/>
  </r>
  <r>
    <n v="1510"/>
    <n v="5"/>
    <n v="137"/>
    <s v="Heller Shagamaw GX1 - 2018"/>
    <n v="6"/>
    <x v="1"/>
    <n v="1"/>
    <n v="2599"/>
    <n v="0.05"/>
    <n v="2469.0500000000002"/>
  </r>
  <r>
    <n v="1511"/>
    <n v="1"/>
    <n v="144"/>
    <s v="Trek Domane ALR 4 Disc - 2018"/>
    <n v="7"/>
    <x v="6"/>
    <n v="2"/>
    <n v="1549.99"/>
    <n v="0.2"/>
    <n v="2479.9839999999999"/>
  </r>
  <r>
    <n v="1511"/>
    <n v="2"/>
    <n v="288"/>
    <s v="Electra Straight 8 1 (20-inch) - Boy's - 2018"/>
    <n v="1"/>
    <x v="5"/>
    <n v="1"/>
    <n v="389.99"/>
    <n v="7.0000000000000007E-2"/>
    <n v="362.69069999999999"/>
  </r>
  <r>
    <n v="1511"/>
    <n v="3"/>
    <n v="17"/>
    <s v="Pure Cycles Vine 8-Speed - 2016"/>
    <n v="3"/>
    <x v="0"/>
    <n v="2"/>
    <n v="429"/>
    <n v="7.0000000000000007E-2"/>
    <n v="797.94"/>
  </r>
  <r>
    <n v="1511"/>
    <n v="4"/>
    <n v="41"/>
    <s v="Haro Shift R3 - 2017"/>
    <n v="6"/>
    <x v="1"/>
    <n v="1"/>
    <n v="1469.99"/>
    <n v="0.05"/>
    <n v="1396.4905000000001"/>
  </r>
  <r>
    <n v="1511"/>
    <n v="5"/>
    <n v="124"/>
    <s v="Surly Krampus - 2018"/>
    <n v="6"/>
    <x v="1"/>
    <n v="2"/>
    <n v="1499"/>
    <n v="0.2"/>
    <n v="2398.4"/>
  </r>
  <r>
    <n v="1512"/>
    <n v="1"/>
    <n v="217"/>
    <s v="Electra Straight 8 3i - 2018"/>
    <n v="3"/>
    <x v="0"/>
    <n v="1"/>
    <n v="909.99"/>
    <n v="7.0000000000000007E-2"/>
    <n v="846.29070000000002"/>
  </r>
  <r>
    <n v="1513"/>
    <n v="1"/>
    <n v="166"/>
    <s v="Trek Domane AL 2 Women's - 2018"/>
    <n v="7"/>
    <x v="6"/>
    <n v="1"/>
    <n v="749.99"/>
    <n v="0.1"/>
    <n v="674.99099999999999"/>
  </r>
  <r>
    <n v="1513"/>
    <n v="2"/>
    <n v="61"/>
    <s v="Trek Powerfly 8 FS Plus - 2017"/>
    <n v="5"/>
    <x v="4"/>
    <n v="2"/>
    <n v="4999.99"/>
    <n v="0.05"/>
    <n v="9499.9809999999998"/>
  </r>
  <r>
    <n v="1513"/>
    <n v="3"/>
    <n v="159"/>
    <s v="Trek Emonda ALR 6 - 2018"/>
    <n v="7"/>
    <x v="6"/>
    <n v="2"/>
    <n v="2299.9899999999998"/>
    <n v="0.05"/>
    <n v="4369.9809999999998"/>
  </r>
  <r>
    <n v="1514"/>
    <n v="1"/>
    <n v="240"/>
    <s v="Electra Townie Commute 27D Ladies - 2018"/>
    <n v="3"/>
    <x v="0"/>
    <n v="2"/>
    <n v="899.99"/>
    <n v="0.1"/>
    <n v="1619.982"/>
  </r>
  <r>
    <n v="1514"/>
    <n v="2"/>
    <n v="203"/>
    <s v="Trek Powerfly 7 FS - 2018"/>
    <n v="5"/>
    <x v="4"/>
    <n v="2"/>
    <n v="4999.99"/>
    <n v="0.05"/>
    <n v="9499.9809999999998"/>
  </r>
  <r>
    <n v="1515"/>
    <n v="1"/>
    <n v="27"/>
    <s v="Surly Big Dummy Frameset - 2017"/>
    <n v="6"/>
    <x v="1"/>
    <n v="2"/>
    <n v="999.99"/>
    <n v="0.2"/>
    <n v="1599.9839999999999"/>
  </r>
  <r>
    <n v="1515"/>
    <n v="2"/>
    <n v="202"/>
    <s v="Trek Powerfly 5 Women's - 2018"/>
    <n v="5"/>
    <x v="4"/>
    <n v="2"/>
    <n v="3499.99"/>
    <n v="0.1"/>
    <n v="6299.982"/>
  </r>
  <r>
    <n v="1515"/>
    <n v="3"/>
    <n v="310"/>
    <s v="Electra Townie Commute 27D Ladies - 2018"/>
    <n v="2"/>
    <x v="3"/>
    <n v="2"/>
    <n v="899.99"/>
    <n v="0.05"/>
    <n v="1709.981"/>
  </r>
  <r>
    <n v="1515"/>
    <n v="4"/>
    <n v="40"/>
    <s v="Trek Fuel EX 9.8 29 - 2017"/>
    <n v="6"/>
    <x v="1"/>
    <n v="1"/>
    <n v="4999.99"/>
    <n v="0.1"/>
    <n v="4499.991"/>
  </r>
  <r>
    <n v="1515"/>
    <n v="5"/>
    <n v="158"/>
    <s v="Trek CrossRip 1 - 2018"/>
    <n v="7"/>
    <x v="6"/>
    <n v="2"/>
    <n v="959.99"/>
    <n v="0.2"/>
    <n v="1535.9839999999999"/>
  </r>
  <r>
    <n v="1516"/>
    <n v="1"/>
    <n v="172"/>
    <s v="Trek Domane ALR Disc Frameset - 2018"/>
    <n v="7"/>
    <x v="6"/>
    <n v="2"/>
    <n v="3199.99"/>
    <n v="0.1"/>
    <n v="5759.982"/>
  </r>
  <r>
    <n v="1516"/>
    <n v="2"/>
    <n v="253"/>
    <s v="Electra Townie Go! 8i Ladies' - 2018"/>
    <n v="3"/>
    <x v="0"/>
    <n v="1"/>
    <n v="2599.9899999999998"/>
    <n v="0.1"/>
    <n v="2339.991"/>
  </r>
  <r>
    <n v="1516"/>
    <n v="3"/>
    <n v="196"/>
    <s v="Trek Verve+ - 2018"/>
    <n v="5"/>
    <x v="4"/>
    <n v="2"/>
    <n v="2299.9899999999998"/>
    <n v="0.2"/>
    <n v="3679.9839999999995"/>
  </r>
  <r>
    <n v="1516"/>
    <n v="4"/>
    <n v="259"/>
    <s v="Electra Amsterdam Royal 8i Ladies - 2018"/>
    <n v="3"/>
    <x v="0"/>
    <n v="2"/>
    <n v="1199.99"/>
    <n v="0.2"/>
    <n v="1919.9839999999999"/>
  </r>
  <r>
    <n v="1516"/>
    <n v="5"/>
    <n v="271"/>
    <s v="Trek Precaliber 16 Girl's - 2018"/>
    <n v="1"/>
    <x v="5"/>
    <n v="2"/>
    <n v="209.99"/>
    <n v="0.2"/>
    <n v="335.98400000000004"/>
  </r>
  <r>
    <n v="1517"/>
    <n v="1"/>
    <n v="303"/>
    <s v="Electra Townie Go! 8i - 2017/2018"/>
    <n v="2"/>
    <x v="3"/>
    <n v="2"/>
    <n v="2599.9899999999998"/>
    <n v="7.0000000000000007E-2"/>
    <n v="4835.9813999999997"/>
  </r>
  <r>
    <n v="1517"/>
    <n v="2"/>
    <n v="226"/>
    <s v="Electra Townie Original 21D EQ - 2017/2018"/>
    <n v="3"/>
    <x v="0"/>
    <n v="2"/>
    <n v="679.99"/>
    <n v="0.05"/>
    <n v="1291.981"/>
  </r>
  <r>
    <n v="1518"/>
    <n v="1"/>
    <n v="304"/>
    <s v="Electra Townie Original 21D EQ - 2017/2018"/>
    <n v="2"/>
    <x v="3"/>
    <n v="2"/>
    <n v="679.99"/>
    <n v="0.1"/>
    <n v="1223.982"/>
  </r>
  <r>
    <n v="1518"/>
    <n v="2"/>
    <n v="182"/>
    <s v="Trek Domane SL 5 Disc - 2018"/>
    <n v="7"/>
    <x v="6"/>
    <n v="2"/>
    <n v="2499.9899999999998"/>
    <n v="0.05"/>
    <n v="4749.9809999999998"/>
  </r>
  <r>
    <n v="1518"/>
    <n v="3"/>
    <n v="252"/>
    <s v="Electra Townie Commute Go! Ladies' - 2018"/>
    <n v="3"/>
    <x v="0"/>
    <n v="2"/>
    <n v="2999.99"/>
    <n v="0.05"/>
    <n v="5699.9809999999998"/>
  </r>
  <r>
    <n v="1519"/>
    <n v="1"/>
    <n v="150"/>
    <s v="Trek Emonda SL 7 - 2018"/>
    <n v="7"/>
    <x v="6"/>
    <n v="1"/>
    <n v="4499.99"/>
    <n v="0.2"/>
    <n v="3599.9919999999997"/>
  </r>
  <r>
    <n v="1519"/>
    <n v="2"/>
    <n v="85"/>
    <s v="Haro Downtown 16 - 2017"/>
    <n v="1"/>
    <x v="5"/>
    <n v="2"/>
    <n v="329.99"/>
    <n v="0.2"/>
    <n v="527.98400000000004"/>
  </r>
  <r>
    <n v="1519"/>
    <n v="3"/>
    <n v="124"/>
    <s v="Surly Krampus - 2018"/>
    <n v="6"/>
    <x v="1"/>
    <n v="2"/>
    <n v="1499"/>
    <n v="7.0000000000000007E-2"/>
    <n v="2788.14"/>
  </r>
  <r>
    <n v="1519"/>
    <n v="4"/>
    <n v="65"/>
    <s v="Sun Bicycles Lil Bolt Type-R - 2017"/>
    <n v="3"/>
    <x v="0"/>
    <n v="1"/>
    <n v="346.99"/>
    <n v="0.2"/>
    <n v="277.59199999999998"/>
  </r>
  <r>
    <n v="1519"/>
    <n v="5"/>
    <n v="265"/>
    <s v="Strider Strider 20 Sport - 2018"/>
    <n v="1"/>
    <x v="5"/>
    <n v="2"/>
    <n v="289.99"/>
    <n v="0.05"/>
    <n v="550.98099999999999"/>
  </r>
  <r>
    <n v="1520"/>
    <n v="1"/>
    <n v="186"/>
    <s v="Trek CrossRip+ - 2018"/>
    <n v="5"/>
    <x v="4"/>
    <n v="1"/>
    <n v="4499.99"/>
    <n v="0.05"/>
    <n v="4274.9904999999999"/>
  </r>
  <r>
    <n v="1520"/>
    <n v="2"/>
    <n v="188"/>
    <s v="Trek XM700+ Lowstep - 2018"/>
    <n v="5"/>
    <x v="4"/>
    <n v="2"/>
    <n v="3499.99"/>
    <n v="0.2"/>
    <n v="5599.9839999999995"/>
  </r>
  <r>
    <n v="1520"/>
    <n v="3"/>
    <n v="310"/>
    <s v="Electra Townie Commute 27D Ladies - 2018"/>
    <n v="2"/>
    <x v="3"/>
    <n v="2"/>
    <n v="899.99"/>
    <n v="7.0000000000000007E-2"/>
    <n v="1673.9814000000001"/>
  </r>
  <r>
    <n v="1520"/>
    <n v="4"/>
    <n v="263"/>
    <s v="Strider Classic 12 Balance Bike - 2018"/>
    <n v="1"/>
    <x v="5"/>
    <n v="2"/>
    <n v="89.99"/>
    <n v="0.1"/>
    <n v="161.982"/>
  </r>
  <r>
    <n v="1521"/>
    <n v="1"/>
    <n v="100"/>
    <s v="Electra Townie 3i EQ (20-inch) - Boys' - 2017"/>
    <n v="1"/>
    <x v="5"/>
    <n v="1"/>
    <n v="489.99"/>
    <n v="0.2"/>
    <n v="391.99200000000002"/>
  </r>
  <r>
    <n v="1521"/>
    <n v="2"/>
    <n v="314"/>
    <s v="Electra Townie Original 21D EQ Ladies' - 2018"/>
    <n v="2"/>
    <x v="3"/>
    <n v="2"/>
    <n v="679.99"/>
    <n v="0.2"/>
    <n v="1087.9839999999999"/>
  </r>
  <r>
    <n v="1521"/>
    <n v="3"/>
    <n v="123"/>
    <s v="Trek Farley Carbon Frameset - 2018"/>
    <n v="6"/>
    <x v="1"/>
    <n v="1"/>
    <n v="999.99"/>
    <n v="0.1"/>
    <n v="899.99099999999999"/>
  </r>
  <r>
    <n v="1521"/>
    <n v="4"/>
    <n v="135"/>
    <s v="Trek X-Caliber Frameset - 2018"/>
    <n v="6"/>
    <x v="1"/>
    <n v="2"/>
    <n v="1499.99"/>
    <n v="0.2"/>
    <n v="2399.9839999999999"/>
  </r>
  <r>
    <n v="1522"/>
    <n v="1"/>
    <n v="95"/>
    <s v="Electra Girl's Hawaii 1 16&quot; - 2017"/>
    <n v="1"/>
    <x v="5"/>
    <n v="1"/>
    <n v="299.99"/>
    <n v="0.1"/>
    <n v="269.99099999999999"/>
  </r>
  <r>
    <n v="1522"/>
    <n v="2"/>
    <n v="141"/>
    <s v="Trek Stache 5 - 2018"/>
    <n v="6"/>
    <x v="1"/>
    <n v="1"/>
    <n v="1599.99"/>
    <n v="7.0000000000000007E-2"/>
    <n v="1487.9907000000001"/>
  </r>
  <r>
    <n v="1522"/>
    <n v="3"/>
    <n v="117"/>
    <s v="Trek Ticket S Frame - 2018"/>
    <n v="6"/>
    <x v="1"/>
    <n v="1"/>
    <n v="1469.99"/>
    <n v="7.0000000000000007E-2"/>
    <n v="1367.0907"/>
  </r>
  <r>
    <n v="1523"/>
    <n v="1"/>
    <n v="311"/>
    <s v="Electra Townie Commute 8D - 2018"/>
    <n v="2"/>
    <x v="3"/>
    <n v="2"/>
    <n v="749.99"/>
    <n v="0.2"/>
    <n v="1199.9839999999999"/>
  </r>
  <r>
    <n v="1524"/>
    <n v="1"/>
    <n v="168"/>
    <s v="Surly Straggler - 2018"/>
    <n v="7"/>
    <x v="6"/>
    <n v="1"/>
    <n v="1549"/>
    <n v="0.1"/>
    <n v="1394.1"/>
  </r>
  <r>
    <n v="1524"/>
    <n v="2"/>
    <n v="295"/>
    <s v="Electra Treasure 1 20&quot; - 2018"/>
    <n v="1"/>
    <x v="5"/>
    <n v="2"/>
    <n v="319.99"/>
    <n v="0.2"/>
    <n v="511.98400000000004"/>
  </r>
  <r>
    <n v="1524"/>
    <n v="3"/>
    <n v="313"/>
    <s v="Electra Townie Original 1 Ladies' - 2018"/>
    <n v="2"/>
    <x v="3"/>
    <n v="1"/>
    <n v="449.99"/>
    <n v="0.2"/>
    <n v="359.99200000000002"/>
  </r>
  <r>
    <n v="1524"/>
    <n v="4"/>
    <n v="252"/>
    <s v="Electra Townie Commute Go! Ladies' - 2018"/>
    <n v="3"/>
    <x v="0"/>
    <n v="2"/>
    <n v="2999.99"/>
    <n v="0.2"/>
    <n v="4799.9839999999995"/>
  </r>
  <r>
    <n v="1525"/>
    <n v="1"/>
    <n v="156"/>
    <s v="Trek Domane SL Frameset - 2018"/>
    <n v="7"/>
    <x v="6"/>
    <n v="1"/>
    <n v="6499.99"/>
    <n v="0.1"/>
    <n v="5849.991"/>
  </r>
  <r>
    <n v="1525"/>
    <n v="2"/>
    <n v="163"/>
    <s v="Surly Pack Rat - 2018"/>
    <n v="7"/>
    <x v="6"/>
    <n v="2"/>
    <n v="1349"/>
    <n v="7.0000000000000007E-2"/>
    <n v="2509.14"/>
  </r>
  <r>
    <n v="1525"/>
    <n v="3"/>
    <n v="193"/>
    <s v="Trek Lift+ - 2018"/>
    <n v="5"/>
    <x v="4"/>
    <n v="1"/>
    <n v="2799.99"/>
    <n v="7.0000000000000007E-2"/>
    <n v="2603.9906999999998"/>
  </r>
  <r>
    <n v="1526"/>
    <n v="1"/>
    <n v="151"/>
    <s v="Trek Domane ALR 4 Disc Women's - 2018"/>
    <n v="7"/>
    <x v="6"/>
    <n v="1"/>
    <n v="1549.99"/>
    <n v="7.0000000000000007E-2"/>
    <n v="1441.4907000000001"/>
  </r>
  <r>
    <n v="1526"/>
    <n v="2"/>
    <n v="56"/>
    <s v="Trek Domane SLR 6 Disc - 2017"/>
    <n v="7"/>
    <x v="6"/>
    <n v="1"/>
    <n v="5499.99"/>
    <n v="0.1"/>
    <n v="4949.991"/>
  </r>
  <r>
    <n v="1526"/>
    <n v="3"/>
    <n v="238"/>
    <s v="Electra Townie Balloon 8D EQ - 2016/2017/2018"/>
    <n v="3"/>
    <x v="0"/>
    <n v="1"/>
    <n v="749.99"/>
    <n v="0.1"/>
    <n v="674.99099999999999"/>
  </r>
  <r>
    <n v="1526"/>
    <n v="4"/>
    <n v="243"/>
    <s v="Electra Townie Original 21D EQ Ladies' - 2018"/>
    <n v="3"/>
    <x v="0"/>
    <n v="1"/>
    <n v="679.99"/>
    <n v="0.05"/>
    <n v="645.9905"/>
  </r>
  <r>
    <n v="1527"/>
    <n v="1"/>
    <n v="33"/>
    <s v="Surly Wednesday Frameset - 2017"/>
    <n v="6"/>
    <x v="1"/>
    <n v="1"/>
    <n v="469.99"/>
    <n v="0.1"/>
    <n v="422.99099999999999"/>
  </r>
  <r>
    <n v="1527"/>
    <n v="2"/>
    <n v="103"/>
    <s v="Sun Bicycles Streamway 3 - 2017"/>
    <n v="2"/>
    <x v="3"/>
    <n v="1"/>
    <n v="551.99"/>
    <n v="0.05"/>
    <n v="524.39049999999997"/>
  </r>
  <r>
    <n v="1527"/>
    <n v="3"/>
    <n v="57"/>
    <s v="Trek Emonda S 5 - 2017"/>
    <n v="7"/>
    <x v="6"/>
    <n v="2"/>
    <n v="1999.99"/>
    <n v="0.05"/>
    <n v="3799.9809999999998"/>
  </r>
  <r>
    <n v="1528"/>
    <n v="1"/>
    <n v="229"/>
    <s v="Electra Cruiser Lux 1 - 2016/2018"/>
    <n v="3"/>
    <x v="0"/>
    <n v="2"/>
    <n v="429.99"/>
    <n v="0.2"/>
    <n v="687.98400000000004"/>
  </r>
  <r>
    <n v="1529"/>
    <n v="1"/>
    <n v="23"/>
    <s v="Electra Girl's Hawaii 1 (20-inch) - 2015/2016"/>
    <n v="1"/>
    <x v="5"/>
    <n v="1"/>
    <n v="299.99"/>
    <n v="0.05"/>
    <n v="284.9905"/>
  </r>
  <r>
    <n v="1529"/>
    <n v="2"/>
    <n v="50"/>
    <s v="Trek Silque SLR 7 Women's - 2017"/>
    <n v="7"/>
    <x v="6"/>
    <n v="2"/>
    <n v="5999.99"/>
    <n v="0.1"/>
    <n v="10799.982"/>
  </r>
  <r>
    <n v="1530"/>
    <n v="1"/>
    <n v="213"/>
    <s v="Electra Cruiser 1 - 2016/2017/2018"/>
    <n v="3"/>
    <x v="0"/>
    <n v="2"/>
    <n v="269.99"/>
    <n v="0.1"/>
    <n v="485.98200000000003"/>
  </r>
  <r>
    <n v="1530"/>
    <n v="2"/>
    <n v="116"/>
    <s v="Trek Marlin 7 - 2017/2018"/>
    <n v="6"/>
    <x v="1"/>
    <n v="1"/>
    <n v="749.99"/>
    <n v="0.1"/>
    <n v="674.99099999999999"/>
  </r>
  <r>
    <n v="1531"/>
    <n v="1"/>
    <n v="128"/>
    <s v="Surly ECR 27.5 - 2018"/>
    <n v="6"/>
    <x v="1"/>
    <n v="1"/>
    <n v="1899"/>
    <n v="0.1"/>
    <n v="1709.1"/>
  </r>
  <r>
    <n v="1532"/>
    <n v="1"/>
    <n v="209"/>
    <s v="Trek Crockett 7 Disc - 2018"/>
    <n v="4"/>
    <x v="2"/>
    <n v="2"/>
    <n v="2999.99"/>
    <n v="7.0000000000000007E-2"/>
    <n v="5579.9813999999997"/>
  </r>
  <r>
    <n v="1533"/>
    <n v="1"/>
    <n v="274"/>
    <s v="Trek Precaliber 20 Boy's - 2018"/>
    <n v="1"/>
    <x v="5"/>
    <n v="2"/>
    <n v="229.99"/>
    <n v="0.1"/>
    <n v="413.98200000000003"/>
  </r>
  <r>
    <n v="1533"/>
    <n v="2"/>
    <n v="78"/>
    <s v="Sun Bicycles Biscayne Tandem CB - 2017"/>
    <n v="3"/>
    <x v="0"/>
    <n v="1"/>
    <n v="647.99"/>
    <n v="0.1"/>
    <n v="583.19100000000003"/>
  </r>
  <r>
    <n v="1533"/>
    <n v="3"/>
    <n v="96"/>
    <s v="Electra Moto 3i (20-inch) - Boy's - 2017"/>
    <n v="1"/>
    <x v="5"/>
    <n v="1"/>
    <n v="349.99"/>
    <n v="0.1"/>
    <n v="314.99099999999999"/>
  </r>
  <r>
    <n v="1533"/>
    <n v="4"/>
    <n v="235"/>
    <s v="Electra Koa 3i Ladies' - 2018"/>
    <n v="3"/>
    <x v="0"/>
    <n v="2"/>
    <n v="899.99"/>
    <n v="0.1"/>
    <n v="1619.982"/>
  </r>
  <r>
    <n v="1533"/>
    <n v="5"/>
    <n v="51"/>
    <s v="Trek Silque SLR 8 Women's - 2017"/>
    <n v="7"/>
    <x v="6"/>
    <n v="1"/>
    <n v="6499.99"/>
    <n v="0.1"/>
    <n v="5849.991"/>
  </r>
  <r>
    <n v="1534"/>
    <n v="1"/>
    <n v="194"/>
    <s v="Trek XM700+ - 2018"/>
    <n v="5"/>
    <x v="4"/>
    <n v="1"/>
    <n v="3499.99"/>
    <n v="0.1"/>
    <n v="3149.991"/>
  </r>
  <r>
    <n v="1534"/>
    <n v="2"/>
    <n v="117"/>
    <s v="Trek Ticket S Frame - 2018"/>
    <n v="6"/>
    <x v="1"/>
    <n v="1"/>
    <n v="1469.99"/>
    <n v="0.05"/>
    <n v="1396.4905000000001"/>
  </r>
  <r>
    <n v="1534"/>
    <n v="3"/>
    <n v="269"/>
    <s v="Trek Precaliber 12 Boy's - 2018"/>
    <n v="1"/>
    <x v="5"/>
    <n v="2"/>
    <n v="199.99"/>
    <n v="0.2"/>
    <n v="319.98400000000004"/>
  </r>
  <r>
    <n v="1534"/>
    <n v="4"/>
    <n v="172"/>
    <s v="Trek Domane ALR Disc Frameset - 2018"/>
    <n v="7"/>
    <x v="6"/>
    <n v="2"/>
    <n v="3199.99"/>
    <n v="0.2"/>
    <n v="5119.9839999999995"/>
  </r>
  <r>
    <n v="1535"/>
    <n v="1"/>
    <n v="92"/>
    <s v="Haro Shredder 20 - 2017"/>
    <n v="1"/>
    <x v="5"/>
    <n v="1"/>
    <n v="209.99"/>
    <n v="0.05"/>
    <n v="199.4905"/>
  </r>
  <r>
    <n v="1535"/>
    <n v="2"/>
    <n v="75"/>
    <s v="Electra Cruiser Lux Fat Tire 1 Ladies - 2017"/>
    <n v="3"/>
    <x v="0"/>
    <n v="2"/>
    <n v="599.99"/>
    <n v="0.05"/>
    <n v="1139.981"/>
  </r>
  <r>
    <n v="1536"/>
    <n v="1"/>
    <n v="183"/>
    <s v="Trek Domane SL 5 Women's - 2018"/>
    <n v="7"/>
    <x v="6"/>
    <n v="1"/>
    <n v="2199.9899999999998"/>
    <n v="0.2"/>
    <n v="1759.9919999999997"/>
  </r>
  <r>
    <n v="1536"/>
    <n v="2"/>
    <n v="185"/>
    <s v="Trek Conduit+ - 2018"/>
    <n v="5"/>
    <x v="4"/>
    <n v="2"/>
    <n v="2799.99"/>
    <n v="7.0000000000000007E-2"/>
    <n v="5207.9813999999997"/>
  </r>
  <r>
    <n v="1536"/>
    <n v="3"/>
    <n v="196"/>
    <s v="Trek Verve+ - 2018"/>
    <n v="5"/>
    <x v="4"/>
    <n v="2"/>
    <n v="2299.9899999999998"/>
    <n v="0.2"/>
    <n v="3679.9839999999995"/>
  </r>
  <r>
    <n v="1537"/>
    <n v="1"/>
    <n v="237"/>
    <s v="Electra Relic 3i - 2018"/>
    <n v="3"/>
    <x v="0"/>
    <n v="2"/>
    <n v="849.99"/>
    <n v="0.05"/>
    <n v="1614.981"/>
  </r>
  <r>
    <n v="1538"/>
    <n v="1"/>
    <n v="206"/>
    <s v="Trek Boone 5 Disc - 2018"/>
    <n v="4"/>
    <x v="2"/>
    <n v="1"/>
    <n v="3299.99"/>
    <n v="7.0000000000000007E-2"/>
    <n v="3068.9906999999998"/>
  </r>
  <r>
    <n v="1538"/>
    <n v="2"/>
    <n v="46"/>
    <s v="Haro SR 1.3 - 2017"/>
    <n v="6"/>
    <x v="1"/>
    <n v="2"/>
    <n v="1409.99"/>
    <n v="7.0000000000000007E-2"/>
    <n v="2622.5814"/>
  </r>
  <r>
    <n v="1538"/>
    <n v="3"/>
    <n v="117"/>
    <s v="Trek Ticket S Frame - 2018"/>
    <n v="6"/>
    <x v="1"/>
    <n v="1"/>
    <n v="1469.99"/>
    <n v="7.0000000000000007E-2"/>
    <n v="1367.0907"/>
  </r>
  <r>
    <n v="1538"/>
    <n v="4"/>
    <n v="197"/>
    <s v="Trek Verve+ Lowstep - 2018"/>
    <n v="5"/>
    <x v="4"/>
    <n v="1"/>
    <n v="2299.9899999999998"/>
    <n v="0.2"/>
    <n v="1839.9919999999997"/>
  </r>
  <r>
    <n v="1538"/>
    <n v="5"/>
    <n v="306"/>
    <s v="Electra Townie Balloon 7i EQ Ladies' - 2017/2018"/>
    <n v="2"/>
    <x v="3"/>
    <n v="2"/>
    <n v="899.99"/>
    <n v="0.05"/>
    <n v="1709.981"/>
  </r>
  <r>
    <n v="1539"/>
    <n v="1"/>
    <n v="6"/>
    <s v="Surly Ice Cream Truck Frameset - 2016"/>
    <n v="6"/>
    <x v="1"/>
    <n v="2"/>
    <n v="469.99"/>
    <n v="0.05"/>
    <n v="892.98099999999999"/>
  </r>
  <r>
    <n v="1539"/>
    <n v="2"/>
    <n v="12"/>
    <s v="Electra Townie Original 21D - 2016"/>
    <n v="3"/>
    <x v="0"/>
    <n v="2"/>
    <n v="549.99"/>
    <n v="0.05"/>
    <n v="1044.981"/>
  </r>
  <r>
    <n v="1540"/>
    <n v="1"/>
    <n v="71"/>
    <s v="Sun Bicycles Atlas X-Type - 2017"/>
    <n v="3"/>
    <x v="0"/>
    <n v="2"/>
    <n v="416.99"/>
    <n v="0.05"/>
    <n v="792.28100000000006"/>
  </r>
  <r>
    <n v="1540"/>
    <n v="2"/>
    <n v="236"/>
    <s v="Electra Morningstar 3i Ladies' - 2018"/>
    <n v="3"/>
    <x v="0"/>
    <n v="1"/>
    <n v="749.99"/>
    <n v="7.0000000000000007E-2"/>
    <n v="697.49070000000006"/>
  </r>
  <r>
    <n v="1540"/>
    <n v="3"/>
    <n v="224"/>
    <s v="Electra Cruiser Lux 7D - 2018"/>
    <n v="3"/>
    <x v="0"/>
    <n v="1"/>
    <n v="479.99"/>
    <n v="0.05"/>
    <n v="455.9905"/>
  </r>
  <r>
    <n v="1540"/>
    <n v="4"/>
    <n v="177"/>
    <s v="Trek Domane SLR 6 Disc - 2018"/>
    <n v="7"/>
    <x v="6"/>
    <n v="2"/>
    <n v="5499.99"/>
    <n v="0.05"/>
    <n v="10449.981"/>
  </r>
  <r>
    <n v="1540"/>
    <n v="5"/>
    <n v="78"/>
    <s v="Sun Bicycles Biscayne Tandem CB - 2017"/>
    <n v="3"/>
    <x v="0"/>
    <n v="1"/>
    <n v="647.99"/>
    <n v="0.2"/>
    <n v="518.39200000000005"/>
  </r>
  <r>
    <n v="1541"/>
    <n v="1"/>
    <n v="155"/>
    <s v="Trek Domane SLR 9 Disc - 2018"/>
    <n v="7"/>
    <x v="6"/>
    <n v="2"/>
    <n v="11999.99"/>
    <n v="0.1"/>
    <n v="21599.982"/>
  </r>
  <r>
    <n v="1541"/>
    <n v="2"/>
    <n v="248"/>
    <s v="Electra Townie Original 7D EQ Ladies' - 2017/2018"/>
    <n v="3"/>
    <x v="0"/>
    <n v="2"/>
    <n v="599.99"/>
    <n v="7.0000000000000007E-2"/>
    <n v="1115.9814000000001"/>
  </r>
  <r>
    <n v="1541"/>
    <n v="3"/>
    <n v="142"/>
    <s v="Trek Fuel EX 8 29 XT - 2018"/>
    <n v="6"/>
    <x v="1"/>
    <n v="2"/>
    <n v="3199.99"/>
    <n v="0.1"/>
    <n v="5759.982"/>
  </r>
  <r>
    <n v="1541"/>
    <n v="4"/>
    <n v="17"/>
    <s v="Pure Cycles Vine 8-Speed - 2016"/>
    <n v="3"/>
    <x v="0"/>
    <n v="1"/>
    <n v="429"/>
    <n v="0.1"/>
    <n v="386.1"/>
  </r>
  <r>
    <n v="1541"/>
    <n v="5"/>
    <n v="86"/>
    <s v="Trek Girl's Kickster - 2017"/>
    <n v="1"/>
    <x v="5"/>
    <n v="2"/>
    <n v="149.99"/>
    <n v="0.05"/>
    <n v="284.98099999999999"/>
  </r>
  <r>
    <n v="1542"/>
    <n v="1"/>
    <n v="79"/>
    <s v="Sun Bicycles Boardwalk (24-inch Wheels) - 2017"/>
    <n v="3"/>
    <x v="0"/>
    <n v="1"/>
    <n v="402.99"/>
    <n v="0.2"/>
    <n v="322.392"/>
  </r>
  <r>
    <n v="1542"/>
    <n v="2"/>
    <n v="122"/>
    <s v="Surly Troll Frameset - 2018"/>
    <n v="6"/>
    <x v="1"/>
    <n v="2"/>
    <n v="2499.9899999999998"/>
    <n v="0.05"/>
    <n v="4749.9809999999998"/>
  </r>
  <r>
    <n v="1542"/>
    <n v="3"/>
    <n v="184"/>
    <s v="Trek Domane SL 6 Disc - 2018"/>
    <n v="7"/>
    <x v="6"/>
    <n v="2"/>
    <n v="3499.99"/>
    <n v="0.2"/>
    <n v="5599.9839999999995"/>
  </r>
  <r>
    <n v="1542"/>
    <n v="4"/>
    <n v="37"/>
    <s v="Haro Flightline One ST - 2017"/>
    <n v="6"/>
    <x v="1"/>
    <n v="2"/>
    <n v="379.99"/>
    <n v="0.1"/>
    <n v="683.98199999999997"/>
  </r>
  <r>
    <n v="1542"/>
    <n v="5"/>
    <n v="297"/>
    <s v="Electra Under-The-Sea 1 16&quot; - 2018"/>
    <n v="1"/>
    <x v="5"/>
    <n v="1"/>
    <n v="279.99"/>
    <n v="0.2"/>
    <n v="223.99200000000002"/>
  </r>
  <r>
    <n v="1543"/>
    <n v="1"/>
    <n v="108"/>
    <s v="Sun Bicycles Cruz 3 - Women's - 2017"/>
    <n v="2"/>
    <x v="3"/>
    <n v="2"/>
    <n v="449.99"/>
    <n v="0.1"/>
    <n v="809.98199999999997"/>
  </r>
  <r>
    <n v="1543"/>
    <n v="2"/>
    <n v="93"/>
    <s v="Haro Shredder 20 Girls - 2017"/>
    <n v="1"/>
    <x v="5"/>
    <n v="1"/>
    <n v="209.99"/>
    <n v="0.2"/>
    <n v="167.99200000000002"/>
  </r>
  <r>
    <n v="1543"/>
    <n v="3"/>
    <n v="158"/>
    <s v="Trek CrossRip 1 - 2018"/>
    <n v="7"/>
    <x v="6"/>
    <n v="2"/>
    <n v="959.99"/>
    <n v="7.0000000000000007E-2"/>
    <n v="1785.5814"/>
  </r>
  <r>
    <n v="1543"/>
    <n v="4"/>
    <n v="97"/>
    <s v="Electra Savannah 3i (20-inch) - Girl's - 2017"/>
    <n v="1"/>
    <x v="5"/>
    <n v="2"/>
    <n v="349.99"/>
    <n v="0.05"/>
    <n v="664.98099999999999"/>
  </r>
  <r>
    <n v="1543"/>
    <n v="5"/>
    <n v="136"/>
    <s v="Trek Procaliber 6 - 2018"/>
    <n v="6"/>
    <x v="1"/>
    <n v="1"/>
    <n v="1799.99"/>
    <n v="0.2"/>
    <n v="1439.992"/>
  </r>
  <r>
    <n v="1544"/>
    <n v="1"/>
    <n v="194"/>
    <s v="Trek XM700+ - 2018"/>
    <n v="5"/>
    <x v="4"/>
    <n v="2"/>
    <n v="3499.99"/>
    <n v="0.1"/>
    <n v="6299.982"/>
  </r>
  <r>
    <n v="1544"/>
    <n v="2"/>
    <n v="107"/>
    <s v="Sun Bicycles Cruz 7 - 2017"/>
    <n v="2"/>
    <x v="3"/>
    <n v="2"/>
    <n v="416.99"/>
    <n v="0.2"/>
    <n v="667.18399999999997"/>
  </r>
  <r>
    <n v="1545"/>
    <n v="1"/>
    <n v="45"/>
    <s v="Haro SR 1.2 - 2017"/>
    <n v="6"/>
    <x v="1"/>
    <n v="1"/>
    <n v="869.99"/>
    <n v="0.1"/>
    <n v="782.99099999999999"/>
  </r>
  <r>
    <n v="1546"/>
    <n v="1"/>
    <n v="156"/>
    <s v="Trek Domane SL Frameset - 2018"/>
    <n v="7"/>
    <x v="6"/>
    <n v="1"/>
    <n v="6499.99"/>
    <n v="0.1"/>
    <n v="5849.991"/>
  </r>
  <r>
    <n v="1546"/>
    <n v="2"/>
    <n v="185"/>
    <s v="Trek Conduit+ - 2018"/>
    <n v="5"/>
    <x v="4"/>
    <n v="2"/>
    <n v="2799.99"/>
    <n v="0.1"/>
    <n v="5039.982"/>
  </r>
  <r>
    <n v="1546"/>
    <n v="3"/>
    <n v="215"/>
    <s v="Electra Queen of Hearts 3i - 2018"/>
    <n v="3"/>
    <x v="0"/>
    <n v="1"/>
    <n v="749.99"/>
    <n v="0.1"/>
    <n v="674.99099999999999"/>
  </r>
  <r>
    <n v="1546"/>
    <n v="4"/>
    <n v="25"/>
    <s v="Electra Townie Original 7D - 2015/2016"/>
    <n v="2"/>
    <x v="3"/>
    <n v="1"/>
    <n v="499.99"/>
    <n v="0.05"/>
    <n v="474.9905"/>
  </r>
  <r>
    <n v="1547"/>
    <n v="1"/>
    <n v="106"/>
    <s v="Sun Bicycles Cruz 3 - 2017"/>
    <n v="2"/>
    <x v="3"/>
    <n v="2"/>
    <n v="449.99"/>
    <n v="0.2"/>
    <n v="719.98400000000004"/>
  </r>
  <r>
    <n v="1547"/>
    <n v="2"/>
    <n v="204"/>
    <s v="Trek Super Commuter+ 7 - 2018"/>
    <n v="5"/>
    <x v="4"/>
    <n v="1"/>
    <n v="3599.99"/>
    <n v="0.2"/>
    <n v="2879.9919999999997"/>
  </r>
  <r>
    <n v="1548"/>
    <n v="1"/>
    <n v="32"/>
    <s v="Trek Farley Alloy Frameset - 2017"/>
    <n v="6"/>
    <x v="1"/>
    <n v="1"/>
    <n v="469.99"/>
    <n v="0.1"/>
    <n v="422.99099999999999"/>
  </r>
  <r>
    <n v="1548"/>
    <n v="2"/>
    <n v="202"/>
    <s v="Trek Powerfly 5 Women's - 2018"/>
    <n v="5"/>
    <x v="4"/>
    <n v="1"/>
    <n v="3499.99"/>
    <n v="7.0000000000000007E-2"/>
    <n v="3254.9906999999998"/>
  </r>
  <r>
    <n v="1548"/>
    <n v="3"/>
    <n v="62"/>
    <s v="Trek Boone 7 - 2017"/>
    <n v="4"/>
    <x v="2"/>
    <n v="2"/>
    <n v="3499.99"/>
    <n v="0.2"/>
    <n v="5599.9839999999995"/>
  </r>
  <r>
    <n v="1549"/>
    <n v="1"/>
    <n v="158"/>
    <s v="Trek CrossRip 1 - 2018"/>
    <n v="7"/>
    <x v="6"/>
    <n v="1"/>
    <n v="959.99"/>
    <n v="0.2"/>
    <n v="767.99199999999996"/>
  </r>
  <r>
    <n v="1549"/>
    <n v="2"/>
    <n v="119"/>
    <s v="Trek Kids' Neko - 2018"/>
    <n v="6"/>
    <x v="1"/>
    <n v="1"/>
    <n v="469.99"/>
    <n v="0.05"/>
    <n v="446.4905"/>
  </r>
  <r>
    <n v="1549"/>
    <n v="3"/>
    <n v="249"/>
    <s v="Electra White Water 3i - 2018"/>
    <n v="3"/>
    <x v="0"/>
    <n v="2"/>
    <n v="749.99"/>
    <n v="0.05"/>
    <n v="1424.981"/>
  </r>
  <r>
    <n v="1549"/>
    <n v="4"/>
    <n v="242"/>
    <s v="Electra Townie Commute 8D Ladies' - 2018"/>
    <n v="3"/>
    <x v="0"/>
    <n v="2"/>
    <n v="699.99"/>
    <n v="0.1"/>
    <n v="1259.982"/>
  </r>
  <r>
    <n v="1550"/>
    <n v="1"/>
    <n v="315"/>
    <s v="Electra Townie Original 21D Ladies' - 2018"/>
    <n v="2"/>
    <x v="3"/>
    <n v="2"/>
    <n v="559.99"/>
    <n v="0.05"/>
    <n v="1063.981"/>
  </r>
  <r>
    <n v="1550"/>
    <n v="2"/>
    <n v="245"/>
    <s v="Electra Townie Original 3i EQ - 2017/2018"/>
    <n v="3"/>
    <x v="0"/>
    <n v="1"/>
    <n v="659.99"/>
    <n v="7.0000000000000007E-2"/>
    <n v="613.79070000000002"/>
  </r>
  <r>
    <n v="1550"/>
    <n v="3"/>
    <n v="185"/>
    <s v="Trek Conduit+ - 2018"/>
    <n v="5"/>
    <x v="4"/>
    <n v="2"/>
    <n v="2799.99"/>
    <n v="0.1"/>
    <n v="5039.982"/>
  </r>
  <r>
    <n v="1550"/>
    <n v="4"/>
    <n v="148"/>
    <s v="Trek Domane SL 8 Disc - 2018"/>
    <n v="7"/>
    <x v="6"/>
    <n v="1"/>
    <n v="5499.99"/>
    <n v="7.0000000000000007E-2"/>
    <n v="5114.9906999999994"/>
  </r>
  <r>
    <n v="1550"/>
    <n v="5"/>
    <n v="86"/>
    <s v="Trek Girl's Kickster - 2017"/>
    <n v="1"/>
    <x v="5"/>
    <n v="2"/>
    <n v="149.99"/>
    <n v="0.05"/>
    <n v="284.98099999999999"/>
  </r>
  <r>
    <n v="1551"/>
    <n v="1"/>
    <n v="207"/>
    <s v="Trek Boone 7 Disc - 2018"/>
    <n v="4"/>
    <x v="2"/>
    <n v="2"/>
    <n v="3999.99"/>
    <n v="0.2"/>
    <n v="6399.9839999999995"/>
  </r>
  <r>
    <n v="1552"/>
    <n v="1"/>
    <n v="197"/>
    <s v="Trek Verve+ Lowstep - 2018"/>
    <n v="5"/>
    <x v="4"/>
    <n v="1"/>
    <n v="2299.9899999999998"/>
    <n v="0.1"/>
    <n v="2069.991"/>
  </r>
  <r>
    <n v="1552"/>
    <n v="2"/>
    <n v="41"/>
    <s v="Haro Shift R3 - 2017"/>
    <n v="6"/>
    <x v="1"/>
    <n v="2"/>
    <n v="1469.99"/>
    <n v="0.05"/>
    <n v="2792.9810000000002"/>
  </r>
  <r>
    <n v="1553"/>
    <n v="1"/>
    <n v="102"/>
    <s v="Electra Townie Original 7D - 2017"/>
    <n v="2"/>
    <x v="3"/>
    <n v="1"/>
    <n v="489.99"/>
    <n v="7.0000000000000007E-2"/>
    <n v="455.69069999999999"/>
  </r>
  <r>
    <n v="1553"/>
    <n v="2"/>
    <n v="12"/>
    <s v="Electra Townie Original 21D - 2016"/>
    <n v="3"/>
    <x v="0"/>
    <n v="1"/>
    <n v="549.99"/>
    <n v="0.1"/>
    <n v="494.99099999999999"/>
  </r>
  <r>
    <n v="1553"/>
    <n v="3"/>
    <n v="251"/>
    <s v="Electra Townie Commute Go! - 2018"/>
    <n v="3"/>
    <x v="0"/>
    <n v="1"/>
    <n v="2999.99"/>
    <n v="0.05"/>
    <n v="2849.9904999999999"/>
  </r>
  <r>
    <n v="1553"/>
    <n v="4"/>
    <n v="89"/>
    <s v="Trek Precaliber 16 Boys - 2017"/>
    <n v="1"/>
    <x v="5"/>
    <n v="1"/>
    <n v="209.99"/>
    <n v="0.05"/>
    <n v="199.4905"/>
  </r>
  <r>
    <n v="1554"/>
    <n v="1"/>
    <n v="166"/>
    <s v="Trek Domane AL 2 Women's - 2018"/>
    <n v="7"/>
    <x v="6"/>
    <n v="1"/>
    <n v="749.99"/>
    <n v="0.05"/>
    <n v="712.4905"/>
  </r>
  <r>
    <n v="1554"/>
    <n v="2"/>
    <n v="285"/>
    <s v="Electra Soft Serve 1 (16-inch) - Girl's - 2018"/>
    <n v="1"/>
    <x v="5"/>
    <n v="1"/>
    <n v="279.99"/>
    <n v="0.2"/>
    <n v="223.99200000000002"/>
  </r>
  <r>
    <n v="1555"/>
    <n v="1"/>
    <n v="24"/>
    <s v="Electra Townie Original 21D - 2016"/>
    <n v="2"/>
    <x v="3"/>
    <n v="2"/>
    <n v="549.99"/>
    <n v="0.1"/>
    <n v="989.98199999999997"/>
  </r>
  <r>
    <n v="1555"/>
    <n v="2"/>
    <n v="156"/>
    <s v="Trek Domane SL Frameset - 2018"/>
    <n v="7"/>
    <x v="6"/>
    <n v="1"/>
    <n v="6499.99"/>
    <n v="0.1"/>
    <n v="5849.991"/>
  </r>
  <r>
    <n v="1555"/>
    <n v="3"/>
    <n v="126"/>
    <s v="Surly Big Fat Dummy Frameset - 2018"/>
    <n v="6"/>
    <x v="1"/>
    <n v="1"/>
    <n v="469.99"/>
    <n v="0.1"/>
    <n v="422.99099999999999"/>
  </r>
  <r>
    <n v="1555"/>
    <n v="4"/>
    <n v="128"/>
    <s v="Surly ECR 27.5 - 2018"/>
    <n v="6"/>
    <x v="1"/>
    <n v="2"/>
    <n v="1899"/>
    <n v="0.05"/>
    <n v="3608.1"/>
  </r>
  <r>
    <n v="1555"/>
    <n v="5"/>
    <n v="174"/>
    <s v="Trek Domane SLR Disc Frameset - 2018"/>
    <n v="7"/>
    <x v="6"/>
    <n v="1"/>
    <n v="3199.99"/>
    <n v="0.2"/>
    <n v="2559.9919999999997"/>
  </r>
  <r>
    <n v="1556"/>
    <n v="1"/>
    <n v="49"/>
    <s v="Trek Domane SL 6 - 2017"/>
    <n v="7"/>
    <x v="6"/>
    <n v="2"/>
    <n v="3499.99"/>
    <n v="0.2"/>
    <n v="5599.9839999999995"/>
  </r>
  <r>
    <n v="1556"/>
    <n v="2"/>
    <n v="82"/>
    <s v="Electra Amsterdam Original 3i Ladies' - 2017"/>
    <n v="3"/>
    <x v="0"/>
    <n v="1"/>
    <n v="659.99"/>
    <n v="7.0000000000000007E-2"/>
    <n v="613.79070000000002"/>
  </r>
  <r>
    <n v="1556"/>
    <n v="3"/>
    <n v="265"/>
    <s v="Strider Strider 20 Sport - 2018"/>
    <n v="1"/>
    <x v="5"/>
    <n v="1"/>
    <n v="289.99"/>
    <n v="0.1"/>
    <n v="260.99099999999999"/>
  </r>
  <r>
    <n v="1556"/>
    <n v="4"/>
    <n v="119"/>
    <s v="Trek Kids' Neko - 2018"/>
    <n v="6"/>
    <x v="1"/>
    <n v="2"/>
    <n v="469.99"/>
    <n v="0.05"/>
    <n v="892.98099999999999"/>
  </r>
  <r>
    <n v="1556"/>
    <n v="5"/>
    <n v="235"/>
    <s v="Electra Koa 3i Ladies' - 2018"/>
    <n v="3"/>
    <x v="0"/>
    <n v="2"/>
    <n v="899.99"/>
    <n v="0.1"/>
    <n v="1619.982"/>
  </r>
  <r>
    <n v="1557"/>
    <n v="1"/>
    <n v="163"/>
    <s v="Surly Pack Rat - 2018"/>
    <n v="7"/>
    <x v="6"/>
    <n v="2"/>
    <n v="1349"/>
    <n v="7.0000000000000007E-2"/>
    <n v="2509.14"/>
  </r>
  <r>
    <n v="1558"/>
    <n v="1"/>
    <n v="46"/>
    <s v="Haro SR 1.3 - 2017"/>
    <n v="6"/>
    <x v="1"/>
    <n v="2"/>
    <n v="1409.99"/>
    <n v="7.0000000000000007E-2"/>
    <n v="2622.5814"/>
  </r>
  <r>
    <n v="1558"/>
    <n v="2"/>
    <n v="123"/>
    <s v="Trek Farley Carbon Frameset - 2018"/>
    <n v="6"/>
    <x v="1"/>
    <n v="1"/>
    <n v="999.99"/>
    <n v="7.0000000000000007E-2"/>
    <n v="929.99070000000006"/>
  </r>
  <r>
    <n v="1558"/>
    <n v="3"/>
    <n v="4"/>
    <s v="Trek Fuel EX 8 29 - 2016"/>
    <n v="6"/>
    <x v="1"/>
    <n v="1"/>
    <n v="2899.99"/>
    <n v="0.05"/>
    <n v="2754.9904999999999"/>
  </r>
  <r>
    <n v="1558"/>
    <n v="4"/>
    <n v="55"/>
    <s v="Trek Domane S 6 - 2017"/>
    <n v="7"/>
    <x v="6"/>
    <n v="1"/>
    <n v="2699.99"/>
    <n v="0.2"/>
    <n v="2159.9919999999997"/>
  </r>
  <r>
    <n v="1558"/>
    <n v="5"/>
    <n v="253"/>
    <s v="Electra Townie Go! 8i Ladies' - 2018"/>
    <n v="3"/>
    <x v="0"/>
    <n v="1"/>
    <n v="2599.9899999999998"/>
    <n v="7.0000000000000007E-2"/>
    <n v="2417.9906999999998"/>
  </r>
  <r>
    <n v="1559"/>
    <n v="1"/>
    <n v="101"/>
    <s v="Electra Townie 7D (20-inch) - Boys' - 2017"/>
    <n v="1"/>
    <x v="5"/>
    <n v="2"/>
    <n v="339.99"/>
    <n v="7.0000000000000007E-2"/>
    <n v="632.38139999999999"/>
  </r>
  <r>
    <n v="1559"/>
    <n v="2"/>
    <n v="18"/>
    <s v="Pure Cycles Western 3-Speed - Women's - 2015/2016"/>
    <n v="3"/>
    <x v="0"/>
    <n v="1"/>
    <n v="449"/>
    <n v="0.1"/>
    <n v="404.1"/>
  </r>
  <r>
    <n v="1559"/>
    <n v="3"/>
    <n v="54"/>
    <s v="Trek Domane SL Disc Frameset - 2017"/>
    <n v="7"/>
    <x v="6"/>
    <n v="2"/>
    <n v="3199.99"/>
    <n v="0.1"/>
    <n v="5759.982"/>
  </r>
  <r>
    <n v="1559"/>
    <n v="4"/>
    <n v="221"/>
    <s v="Electra Cruiser 7D Ladies' - 2016/2018"/>
    <n v="3"/>
    <x v="0"/>
    <n v="1"/>
    <n v="319.99"/>
    <n v="0.1"/>
    <n v="287.99099999999999"/>
  </r>
  <r>
    <n v="1560"/>
    <n v="1"/>
    <n v="118"/>
    <s v="Trek X-Caliber 8 - 2018"/>
    <n v="6"/>
    <x v="1"/>
    <n v="2"/>
    <n v="999.99"/>
    <n v="0.2"/>
    <n v="1599.9839999999999"/>
  </r>
  <r>
    <n v="1560"/>
    <n v="2"/>
    <n v="41"/>
    <s v="Haro Shift R3 - 2017"/>
    <n v="6"/>
    <x v="1"/>
    <n v="1"/>
    <n v="1469.99"/>
    <n v="0.2"/>
    <n v="1175.992"/>
  </r>
  <r>
    <n v="1561"/>
    <n v="1"/>
    <n v="181"/>
    <s v="Trek Domane SL 5 - 2018"/>
    <n v="7"/>
    <x v="6"/>
    <n v="2"/>
    <n v="2199.9899999999998"/>
    <n v="7.0000000000000007E-2"/>
    <n v="4091.9813999999997"/>
  </r>
  <r>
    <n v="1561"/>
    <n v="2"/>
    <n v="297"/>
    <s v="Electra Under-The-Sea 1 16&quot; - 2018"/>
    <n v="1"/>
    <x v="5"/>
    <n v="2"/>
    <n v="279.99"/>
    <n v="0.05"/>
    <n v="531.98099999999999"/>
  </r>
  <r>
    <n v="1562"/>
    <n v="1"/>
    <n v="54"/>
    <s v="Trek Domane SL Disc Frameset - 2017"/>
    <n v="7"/>
    <x v="6"/>
    <n v="1"/>
    <n v="3199.99"/>
    <n v="0.2"/>
    <n v="2559.9919999999997"/>
  </r>
  <r>
    <n v="1562"/>
    <n v="2"/>
    <n v="66"/>
    <s v="Sun Bicycles Revolutions 24 - 2017"/>
    <n v="3"/>
    <x v="0"/>
    <n v="1"/>
    <n v="250.99"/>
    <n v="0.2"/>
    <n v="200.792"/>
  </r>
  <r>
    <n v="1562"/>
    <n v="3"/>
    <n v="115"/>
    <s v="Trek Fuel EX 8 29 - 2018"/>
    <n v="6"/>
    <x v="1"/>
    <n v="2"/>
    <n v="3199.99"/>
    <n v="7.0000000000000007E-2"/>
    <n v="5951.9813999999997"/>
  </r>
  <r>
    <n v="1563"/>
    <n v="1"/>
    <n v="188"/>
    <s v="Trek XM700+ Lowstep - 2018"/>
    <n v="5"/>
    <x v="4"/>
    <n v="1"/>
    <n v="3499.99"/>
    <n v="7.0000000000000007E-2"/>
    <n v="3254.9906999999998"/>
  </r>
  <r>
    <n v="1564"/>
    <n v="1"/>
    <n v="309"/>
    <s v="Electra Townie Commute 27D - 2018"/>
    <n v="2"/>
    <x v="3"/>
    <n v="1"/>
    <n v="899.99"/>
    <n v="7.0000000000000007E-2"/>
    <n v="836.99070000000006"/>
  </r>
  <r>
    <n v="1564"/>
    <n v="2"/>
    <n v="14"/>
    <s v="Electra Girl's Hawaii 1 (16-inch) - 2015/2016"/>
    <n v="3"/>
    <x v="0"/>
    <n v="1"/>
    <n v="269.99"/>
    <n v="0.1"/>
    <n v="242.99100000000001"/>
  </r>
  <r>
    <n v="1565"/>
    <n v="1"/>
    <n v="37"/>
    <s v="Haro Flightline One ST - 2017"/>
    <n v="6"/>
    <x v="1"/>
    <n v="1"/>
    <n v="379.99"/>
    <n v="7.0000000000000007E-2"/>
    <n v="353.39069999999998"/>
  </r>
  <r>
    <n v="1565"/>
    <n v="2"/>
    <n v="92"/>
    <s v="Haro Shredder 20 - 2017"/>
    <n v="1"/>
    <x v="5"/>
    <n v="1"/>
    <n v="209.99"/>
    <n v="0.1"/>
    <n v="188.99100000000001"/>
  </r>
  <r>
    <n v="1565"/>
    <n v="3"/>
    <n v="261"/>
    <s v="Electra Townie Balloon 7i EQ - 2018"/>
    <n v="3"/>
    <x v="0"/>
    <n v="1"/>
    <n v="899.99"/>
    <n v="0.1"/>
    <n v="809.99099999999999"/>
  </r>
  <r>
    <n v="1565"/>
    <n v="4"/>
    <n v="95"/>
    <s v="Electra Girl's Hawaii 1 16&quot; - 2017"/>
    <n v="1"/>
    <x v="5"/>
    <n v="1"/>
    <n v="299.99"/>
    <n v="7.0000000000000007E-2"/>
    <n v="278.9907"/>
  </r>
  <r>
    <n v="1565"/>
    <n v="5"/>
    <n v="226"/>
    <s v="Electra Townie Original 21D EQ - 2017/2018"/>
    <n v="3"/>
    <x v="0"/>
    <n v="2"/>
    <n v="679.99"/>
    <n v="0.2"/>
    <n v="1087.9839999999999"/>
  </r>
  <r>
    <n v="1566"/>
    <n v="1"/>
    <n v="179"/>
    <s v="Trek Domane AL 3 - 2018"/>
    <n v="7"/>
    <x v="6"/>
    <n v="1"/>
    <n v="919.99"/>
    <n v="0.05"/>
    <n v="873.9905"/>
  </r>
  <r>
    <n v="1566"/>
    <n v="2"/>
    <n v="61"/>
    <s v="Trek Powerfly 8 FS Plus - 2017"/>
    <n v="5"/>
    <x v="4"/>
    <n v="2"/>
    <n v="4999.99"/>
    <n v="0.05"/>
    <n v="9499.9809999999998"/>
  </r>
  <r>
    <n v="1567"/>
    <n v="1"/>
    <n v="279"/>
    <s v="Trek Precaliber 24 7-speed Girl's - 2018"/>
    <n v="1"/>
    <x v="5"/>
    <n v="1"/>
    <n v="319.99"/>
    <n v="0.2"/>
    <n v="255.99200000000002"/>
  </r>
  <r>
    <n v="1568"/>
    <n v="1"/>
    <n v="146"/>
    <s v="Trek Domane SLR 6 - 2018"/>
    <n v="7"/>
    <x v="6"/>
    <n v="1"/>
    <n v="4999.99"/>
    <n v="0.2"/>
    <n v="3999.9919999999997"/>
  </r>
  <r>
    <n v="1568"/>
    <n v="2"/>
    <n v="105"/>
    <s v="Sun Bicycles Streamway 7 - 2017"/>
    <n v="2"/>
    <x v="3"/>
    <n v="1"/>
    <n v="533.99"/>
    <n v="7.0000000000000007E-2"/>
    <n v="496.61070000000001"/>
  </r>
  <r>
    <n v="1568"/>
    <n v="3"/>
    <n v="301"/>
    <s v="Electra Townie Balloon 7i EQ - 2018"/>
    <n v="2"/>
    <x v="3"/>
    <n v="1"/>
    <n v="899.99"/>
    <n v="0.1"/>
    <n v="809.99099999999999"/>
  </r>
  <r>
    <n v="1569"/>
    <n v="1"/>
    <n v="252"/>
    <s v="Electra Townie Commute Go! Ladies' - 2018"/>
    <n v="3"/>
    <x v="0"/>
    <n v="1"/>
    <n v="2999.99"/>
    <n v="0.1"/>
    <n v="2699.991"/>
  </r>
  <r>
    <n v="1570"/>
    <n v="1"/>
    <n v="155"/>
    <s v="Trek Domane SLR 9 Disc - 2018"/>
    <n v="7"/>
    <x v="6"/>
    <n v="1"/>
    <n v="11999.99"/>
    <n v="7.0000000000000007E-2"/>
    <n v="11159.9907"/>
  </r>
  <r>
    <n v="1571"/>
    <n v="1"/>
    <n v="312"/>
    <s v="Electra Townie Commute 8D Ladies' - 2018"/>
    <n v="2"/>
    <x v="3"/>
    <n v="2"/>
    <n v="699.99"/>
    <n v="0.1"/>
    <n v="1259.982"/>
  </r>
  <r>
    <n v="1571"/>
    <n v="2"/>
    <n v="212"/>
    <s v="Electra Townie Original 21D - 2018"/>
    <n v="3"/>
    <x v="0"/>
    <n v="1"/>
    <n v="559.99"/>
    <n v="7.0000000000000007E-2"/>
    <n v="520.79070000000002"/>
  </r>
  <r>
    <n v="1571"/>
    <n v="3"/>
    <n v="20"/>
    <s v="Electra Townie Original 7D EQ - Women's - 2016"/>
    <n v="3"/>
    <x v="0"/>
    <n v="2"/>
    <n v="599.99"/>
    <n v="0.2"/>
    <n v="959.98400000000004"/>
  </r>
  <r>
    <n v="1572"/>
    <n v="1"/>
    <n v="216"/>
    <s v="Electra Super Moto 8i - 2018"/>
    <n v="3"/>
    <x v="0"/>
    <n v="2"/>
    <n v="899.99"/>
    <n v="0.05"/>
    <n v="1709.981"/>
  </r>
  <r>
    <n v="1572"/>
    <n v="2"/>
    <n v="198"/>
    <s v="Electra Townie Commute Go! - 2018"/>
    <n v="5"/>
    <x v="4"/>
    <n v="1"/>
    <n v="2999.99"/>
    <n v="0.2"/>
    <n v="2399.9919999999997"/>
  </r>
  <r>
    <n v="1572"/>
    <n v="3"/>
    <n v="115"/>
    <s v="Trek Fuel EX 8 29 - 2018"/>
    <n v="6"/>
    <x v="1"/>
    <n v="1"/>
    <n v="3199.99"/>
    <n v="0.05"/>
    <n v="3039.9904999999999"/>
  </r>
  <r>
    <n v="1572"/>
    <n v="4"/>
    <n v="304"/>
    <s v="Electra Townie Original 21D EQ - 2017/2018"/>
    <n v="2"/>
    <x v="3"/>
    <n v="2"/>
    <n v="679.99"/>
    <n v="0.2"/>
    <n v="1087.9839999999999"/>
  </r>
  <r>
    <n v="1573"/>
    <n v="1"/>
    <n v="9"/>
    <s v="Trek Conduit+ - 2016"/>
    <n v="5"/>
    <x v="4"/>
    <n v="1"/>
    <n v="2999.99"/>
    <n v="0.05"/>
    <n v="2849.9904999999999"/>
  </r>
  <r>
    <n v="1573"/>
    <n v="2"/>
    <n v="129"/>
    <s v="Trek X-Caliber 7 - 2018"/>
    <n v="6"/>
    <x v="1"/>
    <n v="1"/>
    <n v="919.99"/>
    <n v="7.0000000000000007E-2"/>
    <n v="855.59069999999997"/>
  </r>
  <r>
    <n v="1573"/>
    <n v="3"/>
    <n v="15"/>
    <s v="Electra Moto 1 - 2016"/>
    <n v="3"/>
    <x v="0"/>
    <n v="2"/>
    <n v="529.99"/>
    <n v="0.1"/>
    <n v="953.98199999999997"/>
  </r>
  <r>
    <n v="1573"/>
    <n v="4"/>
    <n v="216"/>
    <s v="Electra Super Moto 8i - 2018"/>
    <n v="3"/>
    <x v="0"/>
    <n v="2"/>
    <n v="899.99"/>
    <n v="7.0000000000000007E-2"/>
    <n v="1673.9814000000001"/>
  </r>
  <r>
    <n v="1573"/>
    <n v="5"/>
    <n v="263"/>
    <s v="Strider Classic 12 Balance Bike - 2018"/>
    <n v="1"/>
    <x v="5"/>
    <n v="2"/>
    <n v="89.99"/>
    <n v="0.1"/>
    <n v="161.982"/>
  </r>
  <r>
    <n v="1574"/>
    <n v="1"/>
    <n v="127"/>
    <s v="Surly Pack Rat Frameset - 2018"/>
    <n v="6"/>
    <x v="1"/>
    <n v="1"/>
    <n v="469.99"/>
    <n v="0.1"/>
    <n v="422.99099999999999"/>
  </r>
  <r>
    <n v="1575"/>
    <n v="1"/>
    <n v="44"/>
    <s v="Haro SR 1.1 - 2017"/>
    <n v="6"/>
    <x v="1"/>
    <n v="1"/>
    <n v="539.99"/>
    <n v="7.0000000000000007E-2"/>
    <n v="502.19069999999999"/>
  </r>
  <r>
    <n v="1575"/>
    <n v="2"/>
    <n v="207"/>
    <s v="Trek Boone 7 Disc - 2018"/>
    <n v="4"/>
    <x v="2"/>
    <n v="2"/>
    <n v="3999.99"/>
    <n v="0.1"/>
    <n v="7199.982"/>
  </r>
  <r>
    <n v="1575"/>
    <n v="3"/>
    <n v="213"/>
    <s v="Electra Cruiser 1 - 2016/2017/2018"/>
    <n v="3"/>
    <x v="0"/>
    <n v="1"/>
    <n v="269.99"/>
    <n v="7.0000000000000007E-2"/>
    <n v="251.0907"/>
  </r>
  <r>
    <n v="1575"/>
    <n v="4"/>
    <n v="126"/>
    <s v="Surly Big Fat Dummy Frameset - 2018"/>
    <n v="6"/>
    <x v="1"/>
    <n v="2"/>
    <n v="469.99"/>
    <n v="0.05"/>
    <n v="892.98099999999999"/>
  </r>
  <r>
    <n v="1575"/>
    <n v="5"/>
    <n v="92"/>
    <s v="Haro Shredder 20 - 2017"/>
    <n v="1"/>
    <x v="5"/>
    <n v="2"/>
    <n v="209.99"/>
    <n v="0.2"/>
    <n v="335.98400000000004"/>
  </r>
  <r>
    <n v="1576"/>
    <n v="1"/>
    <n v="69"/>
    <s v="Sun Bicycles Cruz 7 - 2017"/>
    <n v="3"/>
    <x v="0"/>
    <n v="1"/>
    <n v="416.99"/>
    <n v="0.05"/>
    <n v="396.14050000000003"/>
  </r>
  <r>
    <n v="1576"/>
    <n v="2"/>
    <n v="293"/>
    <s v="Electra Tiger Shark 1 (20-inch) - Boys' - 2018"/>
    <n v="1"/>
    <x v="5"/>
    <n v="1"/>
    <n v="319.99"/>
    <n v="0.05"/>
    <n v="303.9905"/>
  </r>
  <r>
    <n v="1576"/>
    <n v="3"/>
    <n v="202"/>
    <s v="Trek Powerfly 5 Women's - 2018"/>
    <n v="5"/>
    <x v="4"/>
    <n v="2"/>
    <n v="3499.99"/>
    <n v="0.05"/>
    <n v="6649.9809999999998"/>
  </r>
  <r>
    <n v="1577"/>
    <n v="1"/>
    <n v="298"/>
    <s v="Electra Water Lily 1 (16-inch) - Girl's - 2018"/>
    <n v="1"/>
    <x v="5"/>
    <n v="2"/>
    <n v="279.99"/>
    <n v="0.05"/>
    <n v="531.98099999999999"/>
  </r>
  <r>
    <n v="1577"/>
    <n v="2"/>
    <n v="111"/>
    <s v="Sun Bicycles Drifter 7 - Women's - 2017"/>
    <n v="2"/>
    <x v="3"/>
    <n v="2"/>
    <n v="470.99"/>
    <n v="0.1"/>
    <n v="847.78200000000004"/>
  </r>
  <r>
    <n v="1577"/>
    <n v="3"/>
    <n v="300"/>
    <s v="Electra Townie Balloon 3i EQ Ladies' - 2018"/>
    <n v="2"/>
    <x v="3"/>
    <n v="2"/>
    <n v="799.99"/>
    <n v="0.2"/>
    <n v="1279.9839999999999"/>
  </r>
  <r>
    <n v="1577"/>
    <n v="4"/>
    <n v="131"/>
    <s v="Heller Bloodhound Trail - 2018"/>
    <n v="6"/>
    <x v="1"/>
    <n v="2"/>
    <n v="2599"/>
    <n v="7.0000000000000007E-2"/>
    <n v="4834.1400000000003"/>
  </r>
  <r>
    <n v="1577"/>
    <n v="5"/>
    <n v="282"/>
    <s v="Electra Cyclosaurus 1 (16-inch) - Boy's - 2018"/>
    <n v="1"/>
    <x v="5"/>
    <n v="2"/>
    <n v="279.99"/>
    <n v="0.05"/>
    <n v="531.98099999999999"/>
  </r>
  <r>
    <n v="1578"/>
    <n v="1"/>
    <n v="204"/>
    <s v="Trek Super Commuter+ 7 - 2018"/>
    <n v="5"/>
    <x v="4"/>
    <n v="2"/>
    <n v="3599.99"/>
    <n v="7.0000000000000007E-2"/>
    <n v="6695.9813999999997"/>
  </r>
  <r>
    <n v="1578"/>
    <n v="2"/>
    <n v="310"/>
    <s v="Electra Townie Commute 27D Ladies - 2018"/>
    <n v="2"/>
    <x v="3"/>
    <n v="1"/>
    <n v="899.99"/>
    <n v="0.05"/>
    <n v="854.9905"/>
  </r>
  <r>
    <n v="1578"/>
    <n v="3"/>
    <n v="241"/>
    <s v="Electra Townie Commute 8D - 2018"/>
    <n v="3"/>
    <x v="0"/>
    <n v="2"/>
    <n v="749.99"/>
    <n v="0.2"/>
    <n v="1199.9839999999999"/>
  </r>
  <r>
    <n v="1579"/>
    <n v="1"/>
    <n v="49"/>
    <s v="Trek Domane SL 6 - 2017"/>
    <n v="7"/>
    <x v="6"/>
    <n v="1"/>
    <n v="3499.99"/>
    <n v="0.05"/>
    <n v="3324.9904999999999"/>
  </r>
  <r>
    <n v="1579"/>
    <n v="2"/>
    <n v="214"/>
    <s v="Electra Tiger Shark 3i - 2018"/>
    <n v="3"/>
    <x v="0"/>
    <n v="1"/>
    <n v="899.99"/>
    <n v="0.1"/>
    <n v="809.99099999999999"/>
  </r>
  <r>
    <n v="1579"/>
    <n v="3"/>
    <n v="286"/>
    <s v="Electra Starship 1 16&quot; - 2018"/>
    <n v="1"/>
    <x v="5"/>
    <n v="1"/>
    <n v="279.99"/>
    <n v="7.0000000000000007E-2"/>
    <n v="260.39069999999998"/>
  </r>
  <r>
    <n v="1579"/>
    <n v="4"/>
    <n v="65"/>
    <s v="Sun Bicycles Lil Bolt Type-R - 2017"/>
    <n v="3"/>
    <x v="0"/>
    <n v="2"/>
    <n v="346.99"/>
    <n v="0.1"/>
    <n v="624.58199999999999"/>
  </r>
  <r>
    <n v="1580"/>
    <n v="1"/>
    <n v="119"/>
    <s v="Trek Kids' Neko - 2018"/>
    <n v="6"/>
    <x v="1"/>
    <n v="2"/>
    <n v="469.99"/>
    <n v="7.0000000000000007E-2"/>
    <n v="874.18140000000005"/>
  </r>
  <r>
    <n v="1580"/>
    <n v="2"/>
    <n v="86"/>
    <s v="Trek Girl's Kickster - 2017"/>
    <n v="1"/>
    <x v="5"/>
    <n v="2"/>
    <n v="149.99"/>
    <n v="0.2"/>
    <n v="239.98400000000001"/>
  </r>
  <r>
    <n v="1581"/>
    <n v="1"/>
    <n v="64"/>
    <s v="Electra Townie Original 7D - 2017"/>
    <n v="3"/>
    <x v="0"/>
    <n v="1"/>
    <n v="489.99"/>
    <n v="0.1"/>
    <n v="440.99099999999999"/>
  </r>
  <r>
    <n v="1581"/>
    <n v="2"/>
    <n v="272"/>
    <s v="Trek Precaliber 20 6-speed Boy's - 2018"/>
    <n v="1"/>
    <x v="5"/>
    <n v="1"/>
    <n v="289.99"/>
    <n v="0.2"/>
    <n v="231.99200000000002"/>
  </r>
  <r>
    <n v="1582"/>
    <n v="1"/>
    <n v="75"/>
    <s v="Electra Cruiser Lux Fat Tire 1 Ladies - 2017"/>
    <n v="3"/>
    <x v="0"/>
    <n v="1"/>
    <n v="599.99"/>
    <n v="7.0000000000000007E-2"/>
    <n v="557.99070000000006"/>
  </r>
  <r>
    <n v="1582"/>
    <n v="2"/>
    <n v="133"/>
    <s v="Trek Procaliber Frameset - 2018"/>
    <n v="6"/>
    <x v="1"/>
    <n v="2"/>
    <n v="1499.99"/>
    <n v="7.0000000000000007E-2"/>
    <n v="2789.9814000000001"/>
  </r>
  <r>
    <n v="1583"/>
    <n v="1"/>
    <n v="15"/>
    <s v="Electra Moto 1 - 2016"/>
    <n v="3"/>
    <x v="0"/>
    <n v="1"/>
    <n v="529.99"/>
    <n v="0.05"/>
    <n v="503.4905"/>
  </r>
  <r>
    <n v="1583"/>
    <n v="2"/>
    <n v="265"/>
    <s v="Strider Strider 20 Sport - 2018"/>
    <n v="1"/>
    <x v="5"/>
    <n v="2"/>
    <n v="289.99"/>
    <n v="0.2"/>
    <n v="463.98400000000004"/>
  </r>
  <r>
    <n v="1584"/>
    <n v="1"/>
    <n v="45"/>
    <s v="Haro SR 1.2 - 2017"/>
    <n v="6"/>
    <x v="1"/>
    <n v="2"/>
    <n v="869.99"/>
    <n v="0.1"/>
    <n v="1565.982"/>
  </r>
  <r>
    <n v="1584"/>
    <n v="2"/>
    <n v="216"/>
    <s v="Electra Super Moto 8i - 2018"/>
    <n v="3"/>
    <x v="0"/>
    <n v="2"/>
    <n v="899.99"/>
    <n v="0.1"/>
    <n v="1619.982"/>
  </r>
  <r>
    <n v="1584"/>
    <n v="3"/>
    <n v="43"/>
    <s v="Trek Fuel EX 9.8 27.5 Plus - 2017"/>
    <n v="6"/>
    <x v="1"/>
    <n v="1"/>
    <n v="5299.99"/>
    <n v="0.2"/>
    <n v="4239.9920000000002"/>
  </r>
  <r>
    <n v="1584"/>
    <n v="4"/>
    <n v="187"/>
    <s v="Trek Neko+ - 2018"/>
    <n v="5"/>
    <x v="4"/>
    <n v="1"/>
    <n v="2799.99"/>
    <n v="0.1"/>
    <n v="2519.991"/>
  </r>
  <r>
    <n v="1584"/>
    <n v="5"/>
    <n v="147"/>
    <s v="Trek Domane ALR 5 Gravel - 2018"/>
    <n v="7"/>
    <x v="6"/>
    <n v="2"/>
    <n v="1799.99"/>
    <n v="7.0000000000000007E-2"/>
    <n v="3347.9814000000001"/>
  </r>
  <r>
    <n v="1585"/>
    <n v="1"/>
    <n v="313"/>
    <s v="Electra Townie Original 1 Ladies' - 2018"/>
    <n v="2"/>
    <x v="3"/>
    <n v="1"/>
    <n v="449.99"/>
    <n v="0.1"/>
    <n v="404.99099999999999"/>
  </r>
  <r>
    <n v="1585"/>
    <n v="2"/>
    <n v="106"/>
    <s v="Sun Bicycles Cruz 3 - 2017"/>
    <n v="2"/>
    <x v="3"/>
    <n v="2"/>
    <n v="449.99"/>
    <n v="0.1"/>
    <n v="809.98199999999997"/>
  </r>
  <r>
    <n v="1585"/>
    <n v="3"/>
    <n v="207"/>
    <s v="Trek Boone 7 Disc - 2018"/>
    <n v="4"/>
    <x v="2"/>
    <n v="2"/>
    <n v="3999.99"/>
    <n v="7.0000000000000007E-2"/>
    <n v="7439.9813999999997"/>
  </r>
  <r>
    <n v="1585"/>
    <n v="4"/>
    <n v="95"/>
    <s v="Electra Girl's Hawaii 1 16&quot; - 2017"/>
    <n v="1"/>
    <x v="5"/>
    <n v="1"/>
    <n v="299.99"/>
    <n v="0.1"/>
    <n v="269.99099999999999"/>
  </r>
  <r>
    <n v="1585"/>
    <n v="5"/>
    <n v="191"/>
    <s v="Electra Loft Go! 8i - 2018"/>
    <n v="5"/>
    <x v="4"/>
    <n v="1"/>
    <n v="2799.99"/>
    <n v="0.1"/>
    <n v="2519.991"/>
  </r>
  <r>
    <n v="1586"/>
    <n v="1"/>
    <n v="22"/>
    <s v="Electra Girl's Hawaii 1 (16-inch) - 2015/2016"/>
    <n v="1"/>
    <x v="5"/>
    <n v="2"/>
    <n v="269.99"/>
    <n v="0.1"/>
    <n v="485.98200000000003"/>
  </r>
  <r>
    <n v="1586"/>
    <n v="2"/>
    <n v="277"/>
    <s v="Trek Precaliber 24 21-speed Boy's - 2018"/>
    <n v="1"/>
    <x v="5"/>
    <n v="1"/>
    <n v="369.99"/>
    <n v="7.0000000000000007E-2"/>
    <n v="344.09070000000003"/>
  </r>
  <r>
    <n v="1586"/>
    <n v="3"/>
    <n v="295"/>
    <s v="Electra Treasure 1 20&quot; - 2018"/>
    <n v="1"/>
    <x v="5"/>
    <n v="1"/>
    <n v="319.99"/>
    <n v="0.05"/>
    <n v="303.9905"/>
  </r>
  <r>
    <n v="1586"/>
    <n v="4"/>
    <n v="173"/>
    <s v="Trek Domane ALR Frameset - 2018"/>
    <n v="7"/>
    <x v="6"/>
    <n v="1"/>
    <n v="3199.99"/>
    <n v="0.2"/>
    <n v="2559.9919999999997"/>
  </r>
  <r>
    <n v="1586"/>
    <n v="5"/>
    <n v="36"/>
    <s v="Surly Troll Frameset - 2017"/>
    <n v="6"/>
    <x v="1"/>
    <n v="1"/>
    <n v="832.99"/>
    <n v="0.1"/>
    <n v="749.69100000000003"/>
  </r>
  <r>
    <n v="1587"/>
    <n v="1"/>
    <n v="104"/>
    <s v="Sun Bicycles Streamway - 2017"/>
    <n v="2"/>
    <x v="3"/>
    <n v="1"/>
    <n v="481.99"/>
    <n v="0.1"/>
    <n v="433.791"/>
  </r>
  <r>
    <n v="1587"/>
    <n v="2"/>
    <n v="63"/>
    <s v="Trek Boone Race Shop Limited - 2017"/>
    <n v="4"/>
    <x v="2"/>
    <n v="2"/>
    <n v="3499.99"/>
    <n v="0.05"/>
    <n v="6649.9809999999998"/>
  </r>
  <r>
    <n v="1587"/>
    <n v="3"/>
    <n v="78"/>
    <s v="Sun Bicycles Biscayne Tandem CB - 2017"/>
    <n v="3"/>
    <x v="0"/>
    <n v="2"/>
    <n v="647.99"/>
    <n v="0.05"/>
    <n v="1231.181"/>
  </r>
  <r>
    <n v="1587"/>
    <n v="4"/>
    <n v="300"/>
    <s v="Electra Townie Balloon 3i EQ Ladies' - 2018"/>
    <n v="2"/>
    <x v="3"/>
    <n v="2"/>
    <n v="799.99"/>
    <n v="7.0000000000000007E-2"/>
    <n v="1487.9814000000001"/>
  </r>
  <r>
    <n v="1588"/>
    <n v="1"/>
    <n v="93"/>
    <s v="Haro Shredder 20 Girls - 2017"/>
    <n v="1"/>
    <x v="5"/>
    <n v="2"/>
    <n v="209.99"/>
    <n v="7.0000000000000007E-2"/>
    <n v="390.58140000000003"/>
  </r>
  <r>
    <n v="1589"/>
    <n v="1"/>
    <n v="246"/>
    <s v="Electra Townie Original 3i EQ Ladies' - 2018"/>
    <n v="3"/>
    <x v="0"/>
    <n v="2"/>
    <n v="639.99"/>
    <n v="0.05"/>
    <n v="1215.981"/>
  </r>
  <r>
    <n v="1589"/>
    <n v="2"/>
    <n v="260"/>
    <s v="Electra Townie Balloon 3i EQ Ladies' - 2018"/>
    <n v="3"/>
    <x v="0"/>
    <n v="1"/>
    <n v="799.99"/>
    <n v="0.2"/>
    <n v="639.99199999999996"/>
  </r>
  <r>
    <n v="1589"/>
    <n v="3"/>
    <n v="28"/>
    <s v="Surly Karate Monkey 27.5+ Frameset - 2017"/>
    <n v="6"/>
    <x v="1"/>
    <n v="2"/>
    <n v="2499.9899999999998"/>
    <n v="0.1"/>
    <n v="4499.982"/>
  </r>
  <r>
    <n v="1590"/>
    <n v="1"/>
    <n v="175"/>
    <s v="Trek Domane SLR Frameset - 2018"/>
    <n v="7"/>
    <x v="6"/>
    <n v="2"/>
    <n v="3199.99"/>
    <n v="7.0000000000000007E-2"/>
    <n v="5951.9813999999997"/>
  </r>
  <r>
    <n v="1590"/>
    <n v="2"/>
    <n v="248"/>
    <s v="Electra Townie Original 7D EQ Ladies' - 2017/2018"/>
    <n v="3"/>
    <x v="0"/>
    <n v="1"/>
    <n v="599.99"/>
    <n v="0.2"/>
    <n v="479.99200000000002"/>
  </r>
  <r>
    <n v="1590"/>
    <n v="3"/>
    <n v="23"/>
    <s v="Electra Girl's Hawaii 1 (20-inch) - 2015/2016"/>
    <n v="1"/>
    <x v="5"/>
    <n v="1"/>
    <n v="299.99"/>
    <n v="7.0000000000000007E-2"/>
    <n v="278.9907"/>
  </r>
  <r>
    <n v="1591"/>
    <n v="1"/>
    <n v="286"/>
    <s v="Electra Starship 1 16&quot; - 2018"/>
    <n v="1"/>
    <x v="5"/>
    <n v="2"/>
    <n v="279.99"/>
    <n v="0.2"/>
    <n v="447.98400000000004"/>
  </r>
  <r>
    <n v="1591"/>
    <n v="2"/>
    <n v="126"/>
    <s v="Surly Big Fat Dummy Frameset - 2018"/>
    <n v="6"/>
    <x v="1"/>
    <n v="2"/>
    <n v="469.99"/>
    <n v="0.2"/>
    <n v="751.98400000000004"/>
  </r>
  <r>
    <n v="1591"/>
    <n v="3"/>
    <n v="97"/>
    <s v="Electra Savannah 3i (20-inch) - Girl's - 2017"/>
    <n v="1"/>
    <x v="5"/>
    <n v="2"/>
    <n v="349.99"/>
    <n v="7.0000000000000007E-2"/>
    <n v="650.98140000000001"/>
  </r>
  <r>
    <n v="1591"/>
    <n v="4"/>
    <n v="138"/>
    <s v="Trek Fuel EX 5 Plus - 2018"/>
    <n v="6"/>
    <x v="1"/>
    <n v="2"/>
    <n v="2249.9899999999998"/>
    <n v="0.05"/>
    <n v="4274.9809999999998"/>
  </r>
  <r>
    <n v="1591"/>
    <n v="5"/>
    <n v="265"/>
    <s v="Strider Strider 20 Sport - 2018"/>
    <n v="1"/>
    <x v="5"/>
    <n v="1"/>
    <n v="289.99"/>
    <n v="0.2"/>
    <n v="231.99200000000002"/>
  </r>
  <r>
    <n v="1592"/>
    <n v="1"/>
    <n v="211"/>
    <s v="Surly Straggler 650b - 2018"/>
    <n v="4"/>
    <x v="2"/>
    <n v="2"/>
    <n v="1549"/>
    <n v="0.05"/>
    <n v="2943.1"/>
  </r>
  <r>
    <n v="1592"/>
    <n v="2"/>
    <n v="159"/>
    <s v="Trek Emonda ALR 6 - 2018"/>
    <n v="7"/>
    <x v="6"/>
    <n v="1"/>
    <n v="2299.9899999999998"/>
    <n v="7.0000000000000007E-2"/>
    <n v="2138.9906999999998"/>
  </r>
  <r>
    <n v="1592"/>
    <n v="3"/>
    <n v="40"/>
    <s v="Trek Fuel EX 9.8 29 - 2017"/>
    <n v="6"/>
    <x v="1"/>
    <n v="2"/>
    <n v="4999.99"/>
    <n v="7.0000000000000007E-2"/>
    <n v="9299.9813999999988"/>
  </r>
  <r>
    <n v="1592"/>
    <n v="4"/>
    <n v="9"/>
    <s v="Trek Conduit+ - 2016"/>
    <n v="5"/>
    <x v="4"/>
    <n v="1"/>
    <n v="2999.99"/>
    <n v="0.2"/>
    <n v="2399.9919999999997"/>
  </r>
  <r>
    <n v="1592"/>
    <n v="5"/>
    <n v="271"/>
    <s v="Trek Precaliber 16 Girl's - 2018"/>
    <n v="1"/>
    <x v="5"/>
    <n v="2"/>
    <n v="209.99"/>
    <n v="0.05"/>
    <n v="398.98099999999999"/>
  </r>
  <r>
    <n v="1593"/>
    <n v="1"/>
    <n v="97"/>
    <s v="Electra Savannah 3i (20-inch) - Girl's - 2017"/>
    <n v="1"/>
    <x v="5"/>
    <n v="2"/>
    <n v="349.99"/>
    <n v="0.2"/>
    <n v="559.98400000000004"/>
  </r>
  <r>
    <n v="1593"/>
    <n v="2"/>
    <n v="34"/>
    <s v="Trek Session DH 27.5 Carbon Frameset - 2017"/>
    <n v="6"/>
    <x v="1"/>
    <n v="1"/>
    <n v="469.99"/>
    <n v="7.0000000000000007E-2"/>
    <n v="437.09070000000003"/>
  </r>
  <r>
    <n v="1593"/>
    <n v="3"/>
    <n v="190"/>
    <s v="Trek Dual Sport+ - 2018"/>
    <n v="5"/>
    <x v="4"/>
    <n v="2"/>
    <n v="2799.99"/>
    <n v="0.1"/>
    <n v="5039.982"/>
  </r>
  <r>
    <n v="1593"/>
    <n v="4"/>
    <n v="107"/>
    <s v="Sun Bicycles Cruz 7 - 2017"/>
    <n v="2"/>
    <x v="3"/>
    <n v="1"/>
    <n v="416.99"/>
    <n v="0.05"/>
    <n v="396.14050000000003"/>
  </r>
  <r>
    <n v="1593"/>
    <n v="5"/>
    <n v="169"/>
    <s v="Trek Emonda SLR 8 - 2018"/>
    <n v="7"/>
    <x v="6"/>
    <n v="2"/>
    <n v="6499.99"/>
    <n v="7.0000000000000007E-2"/>
    <n v="12089.981399999999"/>
  </r>
  <r>
    <n v="1594"/>
    <n v="1"/>
    <n v="79"/>
    <s v="Sun Bicycles Boardwalk (24-inch Wheels) - 2017"/>
    <n v="3"/>
    <x v="0"/>
    <n v="2"/>
    <n v="402.99"/>
    <n v="0.1"/>
    <n v="725.38200000000006"/>
  </r>
  <r>
    <n v="1594"/>
    <n v="2"/>
    <n v="105"/>
    <s v="Sun Bicycles Streamway 7 - 2017"/>
    <n v="2"/>
    <x v="3"/>
    <n v="1"/>
    <n v="533.99"/>
    <n v="0.1"/>
    <n v="480.59100000000001"/>
  </r>
  <r>
    <n v="1595"/>
    <n v="1"/>
    <n v="112"/>
    <s v="Trek 820 - 2018"/>
    <n v="6"/>
    <x v="1"/>
    <n v="1"/>
    <n v="379.99"/>
    <n v="0.2"/>
    <n v="303.99200000000002"/>
  </r>
  <r>
    <n v="1596"/>
    <n v="1"/>
    <n v="91"/>
    <s v="Trek Precaliber 24 (21-Speed) - Girls - 2017"/>
    <n v="1"/>
    <x v="5"/>
    <n v="1"/>
    <n v="349.99"/>
    <n v="0.05"/>
    <n v="332.4905"/>
  </r>
  <r>
    <n v="1596"/>
    <n v="2"/>
    <n v="18"/>
    <s v="Pure Cycles Western 3-Speed - Women's - 2015/2016"/>
    <n v="3"/>
    <x v="0"/>
    <n v="1"/>
    <n v="449"/>
    <n v="0.1"/>
    <n v="404.1"/>
  </r>
  <r>
    <n v="1597"/>
    <n v="1"/>
    <n v="176"/>
    <s v="Trek Madone 9 Frameset - 2018"/>
    <n v="7"/>
    <x v="6"/>
    <n v="1"/>
    <n v="3199.99"/>
    <n v="7.0000000000000007E-2"/>
    <n v="2975.9906999999998"/>
  </r>
  <r>
    <n v="1597"/>
    <n v="2"/>
    <n v="59"/>
    <s v="Trek Domane S 5 Disc - 2017"/>
    <n v="7"/>
    <x v="6"/>
    <n v="1"/>
    <n v="2599.9899999999998"/>
    <n v="7.0000000000000007E-2"/>
    <n v="2417.9906999999998"/>
  </r>
  <r>
    <n v="1598"/>
    <n v="1"/>
    <n v="247"/>
    <s v="Electra Townie Original 7D EQ - 2018"/>
    <n v="3"/>
    <x v="0"/>
    <n v="1"/>
    <n v="599.99"/>
    <n v="0.2"/>
    <n v="479.99200000000002"/>
  </r>
  <r>
    <n v="1598"/>
    <n v="2"/>
    <n v="49"/>
    <s v="Trek Domane SL 6 - 2017"/>
    <n v="7"/>
    <x v="6"/>
    <n v="2"/>
    <n v="3499.99"/>
    <n v="7.0000000000000007E-2"/>
    <n v="6509.9813999999997"/>
  </r>
  <r>
    <n v="1598"/>
    <n v="3"/>
    <n v="88"/>
    <s v="Trek Precaliber 12 Girls - 2017"/>
    <n v="1"/>
    <x v="5"/>
    <n v="1"/>
    <n v="189.99"/>
    <n v="0.2"/>
    <n v="151.99200000000002"/>
  </r>
  <r>
    <n v="1599"/>
    <n v="1"/>
    <n v="104"/>
    <s v="Sun Bicycles Streamway - 2017"/>
    <n v="2"/>
    <x v="3"/>
    <n v="2"/>
    <n v="481.99"/>
    <n v="0.2"/>
    <n v="771.18399999999997"/>
  </r>
  <r>
    <n v="1600"/>
    <n v="1"/>
    <n v="146"/>
    <s v="Trek Domane SLR 6 - 2018"/>
    <n v="7"/>
    <x v="6"/>
    <n v="1"/>
    <n v="4999.99"/>
    <n v="0.1"/>
    <n v="4499.991"/>
  </r>
  <r>
    <n v="1600"/>
    <n v="2"/>
    <n v="295"/>
    <s v="Electra Treasure 1 20&quot; - 2018"/>
    <n v="1"/>
    <x v="5"/>
    <n v="1"/>
    <n v="319.99"/>
    <n v="0.05"/>
    <n v="303.9905"/>
  </r>
  <r>
    <n v="1600"/>
    <n v="3"/>
    <n v="36"/>
    <s v="Surly Troll Frameset - 2017"/>
    <n v="6"/>
    <x v="1"/>
    <n v="1"/>
    <n v="832.99"/>
    <n v="0.2"/>
    <n v="666.39200000000005"/>
  </r>
  <r>
    <n v="1601"/>
    <n v="1"/>
    <n v="114"/>
    <s v="Trek Marlin 6 - 2018"/>
    <n v="6"/>
    <x v="1"/>
    <n v="2"/>
    <n v="579.99"/>
    <n v="0.2"/>
    <n v="927.98400000000004"/>
  </r>
  <r>
    <n v="1601"/>
    <n v="2"/>
    <n v="10"/>
    <s v="Surly Straggler - 2016"/>
    <n v="4"/>
    <x v="2"/>
    <n v="1"/>
    <n v="1549"/>
    <n v="0.2"/>
    <n v="1239.2"/>
  </r>
  <r>
    <n v="1601"/>
    <n v="3"/>
    <n v="220"/>
    <s v="Electra Cruiser 1 Ladies' - 2018"/>
    <n v="3"/>
    <x v="0"/>
    <n v="2"/>
    <n v="269.99"/>
    <n v="7.0000000000000007E-2"/>
    <n v="502.1814"/>
  </r>
  <r>
    <n v="1601"/>
    <n v="4"/>
    <n v="7"/>
    <s v="Trek Slash 8 27.5 - 2016"/>
    <n v="6"/>
    <x v="1"/>
    <n v="2"/>
    <n v="3999.99"/>
    <n v="7.0000000000000007E-2"/>
    <n v="7439.9813999999997"/>
  </r>
  <r>
    <n v="1601"/>
    <n v="5"/>
    <n v="180"/>
    <s v="Trek Domane AL 3 Women's - 2018"/>
    <n v="7"/>
    <x v="6"/>
    <n v="1"/>
    <n v="919.99"/>
    <n v="0.1"/>
    <n v="827.99099999999999"/>
  </r>
  <r>
    <n v="1602"/>
    <n v="1"/>
    <n v="71"/>
    <s v="Sun Bicycles Atlas X-Type - 2017"/>
    <n v="3"/>
    <x v="0"/>
    <n v="2"/>
    <n v="416.99"/>
    <n v="0.05"/>
    <n v="792.28100000000006"/>
  </r>
  <r>
    <n v="1602"/>
    <n v="2"/>
    <n v="37"/>
    <s v="Haro Flightline One ST - 2017"/>
    <n v="6"/>
    <x v="1"/>
    <n v="1"/>
    <n v="379.99"/>
    <n v="7.0000000000000007E-2"/>
    <n v="353.39069999999998"/>
  </r>
  <r>
    <n v="1602"/>
    <n v="3"/>
    <n v="275"/>
    <s v="Trek Precaliber 20 Girl's - 2018"/>
    <n v="1"/>
    <x v="5"/>
    <n v="2"/>
    <n v="229.99"/>
    <n v="0.2"/>
    <n v="367.98400000000004"/>
  </r>
  <r>
    <n v="1602"/>
    <n v="4"/>
    <n v="257"/>
    <s v="Electra Amsterdam Fashion 3i Ladies' - 2017/2018"/>
    <n v="3"/>
    <x v="0"/>
    <n v="2"/>
    <n v="899.99"/>
    <n v="0.05"/>
    <n v="1709.981"/>
  </r>
  <r>
    <n v="1603"/>
    <n v="1"/>
    <n v="275"/>
    <s v="Trek Precaliber 20 Girl's - 2018"/>
    <n v="1"/>
    <x v="5"/>
    <n v="2"/>
    <n v="229.99"/>
    <n v="0.05"/>
    <n v="436.98099999999999"/>
  </r>
  <r>
    <n v="1604"/>
    <n v="1"/>
    <n v="271"/>
    <s v="Trek Precaliber 16 Girl's - 2018"/>
    <n v="1"/>
    <x v="5"/>
    <n v="1"/>
    <n v="209.99"/>
    <n v="0.1"/>
    <n v="188.99100000000001"/>
  </r>
  <r>
    <n v="1605"/>
    <n v="1"/>
    <n v="72"/>
    <s v="Sun Bicycles Biscayne Tandem 7 - 2017"/>
    <n v="3"/>
    <x v="0"/>
    <n v="1"/>
    <n v="619.99"/>
    <n v="0.1"/>
    <n v="557.99099999999999"/>
  </r>
  <r>
    <n v="1605"/>
    <n v="2"/>
    <n v="186"/>
    <s v="Trek CrossRip+ - 2018"/>
    <n v="5"/>
    <x v="4"/>
    <n v="1"/>
    <n v="4499.99"/>
    <n v="0.2"/>
    <n v="3599.9919999999997"/>
  </r>
  <r>
    <n v="1605"/>
    <n v="3"/>
    <n v="132"/>
    <s v="Trek Procal AL Frameset - 2018"/>
    <n v="6"/>
    <x v="1"/>
    <n v="2"/>
    <n v="1499.99"/>
    <n v="0.1"/>
    <n v="2699.982"/>
  </r>
  <r>
    <n v="1605"/>
    <n v="4"/>
    <n v="301"/>
    <s v="Electra Townie Balloon 7i EQ - 2018"/>
    <n v="2"/>
    <x v="3"/>
    <n v="1"/>
    <n v="899.99"/>
    <n v="0.1"/>
    <n v="809.99099999999999"/>
  </r>
  <r>
    <n v="1605"/>
    <n v="5"/>
    <n v="29"/>
    <s v="Trek X-Caliber 8 - 2017"/>
    <n v="6"/>
    <x v="1"/>
    <n v="1"/>
    <n v="999.99"/>
    <n v="7.0000000000000007E-2"/>
    <n v="929.99070000000006"/>
  </r>
  <r>
    <n v="1606"/>
    <n v="1"/>
    <n v="245"/>
    <s v="Electra Townie Original 3i EQ - 2017/2018"/>
    <n v="3"/>
    <x v="0"/>
    <n v="1"/>
    <n v="659.99"/>
    <n v="0.1"/>
    <n v="593.99099999999999"/>
  </r>
  <r>
    <n v="1606"/>
    <n v="2"/>
    <n v="271"/>
    <s v="Trek Precaliber 16 Girl's - 2018"/>
    <n v="1"/>
    <x v="5"/>
    <n v="1"/>
    <n v="209.99"/>
    <n v="0.1"/>
    <n v="188.99100000000001"/>
  </r>
  <r>
    <n v="1607"/>
    <n v="1"/>
    <n v="29"/>
    <s v="Trek X-Caliber 8 - 2017"/>
    <n v="6"/>
    <x v="1"/>
    <n v="1"/>
    <n v="999.99"/>
    <n v="0.05"/>
    <n v="949.9905"/>
  </r>
  <r>
    <n v="1608"/>
    <n v="1"/>
    <n v="231"/>
    <s v="Electra Cruiser Lux 3i Ladies' - 2018"/>
    <n v="3"/>
    <x v="0"/>
    <n v="2"/>
    <n v="529.99"/>
    <n v="0.05"/>
    <n v="1006.981"/>
  </r>
  <r>
    <n v="1609"/>
    <n v="1"/>
    <n v="96"/>
    <s v="Electra Moto 3i (20-inch) - Boy's - 2017"/>
    <n v="1"/>
    <x v="5"/>
    <n v="1"/>
    <n v="349.99"/>
    <n v="0.2"/>
    <n v="279.99200000000002"/>
  </r>
  <r>
    <n v="1609"/>
    <n v="2"/>
    <n v="238"/>
    <s v="Electra Townie Balloon 8D EQ - 2016/2017/2018"/>
    <n v="3"/>
    <x v="0"/>
    <n v="2"/>
    <n v="749.99"/>
    <n v="0.2"/>
    <n v="1199.9839999999999"/>
  </r>
  <r>
    <n v="1609"/>
    <n v="3"/>
    <n v="228"/>
    <s v="Electra Cruiser 7D Tall - 2016/2018"/>
    <n v="3"/>
    <x v="0"/>
    <n v="2"/>
    <n v="319.99"/>
    <n v="0.1"/>
    <n v="575.98199999999997"/>
  </r>
  <r>
    <n v="1609"/>
    <n v="4"/>
    <n v="105"/>
    <s v="Sun Bicycles Streamway 7 - 2017"/>
    <n v="2"/>
    <x v="3"/>
    <n v="1"/>
    <n v="533.99"/>
    <n v="0.2"/>
    <n v="427.19200000000001"/>
  </r>
  <r>
    <n v="1610"/>
    <n v="1"/>
    <n v="36"/>
    <s v="Surly Troll Frameset - 2017"/>
    <n v="6"/>
    <x v="1"/>
    <n v="1"/>
    <n v="832.99"/>
    <n v="7.0000000000000007E-2"/>
    <n v="774.6807"/>
  </r>
  <r>
    <n v="1610"/>
    <n v="2"/>
    <n v="173"/>
    <s v="Trek Domane ALR Frameset - 2018"/>
    <n v="7"/>
    <x v="6"/>
    <n v="2"/>
    <n v="3199.99"/>
    <n v="0.2"/>
    <n v="5119.9839999999995"/>
  </r>
  <r>
    <n v="1611"/>
    <n v="1"/>
    <n v="191"/>
    <s v="Electra Loft Go! 8i - 2018"/>
    <n v="5"/>
    <x v="4"/>
    <n v="1"/>
    <n v="2799.99"/>
    <n v="7.0000000000000007E-2"/>
    <n v="2603.9906999999998"/>
  </r>
  <r>
    <n v="1611"/>
    <n v="2"/>
    <n v="171"/>
    <s v="Trek Domane SL 6 - 2018"/>
    <n v="7"/>
    <x v="6"/>
    <n v="2"/>
    <n v="3199.99"/>
    <n v="0.1"/>
    <n v="5759.982"/>
  </r>
  <r>
    <n v="1611"/>
    <n v="3"/>
    <n v="236"/>
    <s v="Electra Morningstar 3i Ladies' - 2018"/>
    <n v="3"/>
    <x v="0"/>
    <n v="1"/>
    <n v="749.99"/>
    <n v="0.2"/>
    <n v="599.99199999999996"/>
  </r>
  <r>
    <n v="1612"/>
    <n v="1"/>
    <n v="242"/>
    <s v="Electra Townie Commute 8D Ladies' - 2018"/>
    <n v="3"/>
    <x v="0"/>
    <n v="1"/>
    <n v="699.99"/>
    <n v="0.1"/>
    <n v="629.99099999999999"/>
  </r>
  <r>
    <n v="1612"/>
    <n v="2"/>
    <n v="289"/>
    <s v="Electra Superbolt 1 20&quot; - 2018"/>
    <n v="1"/>
    <x v="5"/>
    <n v="2"/>
    <n v="319.99"/>
    <n v="0.05"/>
    <n v="607.98099999999999"/>
  </r>
  <r>
    <n v="1612"/>
    <n v="3"/>
    <n v="101"/>
    <s v="Electra Townie 7D (20-inch) - Boys' - 2017"/>
    <n v="1"/>
    <x v="5"/>
    <n v="2"/>
    <n v="339.99"/>
    <n v="0.2"/>
    <n v="543.98400000000004"/>
  </r>
  <r>
    <n v="1612"/>
    <n v="4"/>
    <n v="293"/>
    <s v="Electra Tiger Shark 1 (20-inch) - Boys' - 2018"/>
    <n v="1"/>
    <x v="5"/>
    <n v="2"/>
    <n v="319.99"/>
    <n v="7.0000000000000007E-2"/>
    <n v="595.18140000000005"/>
  </r>
  <r>
    <n v="1612"/>
    <n v="5"/>
    <n v="60"/>
    <s v="Sun Bicycles ElectroLite - 2017"/>
    <n v="5"/>
    <x v="4"/>
    <n v="1"/>
    <n v="1559.99"/>
    <n v="0.1"/>
    <n v="1403.991"/>
  </r>
  <r>
    <n v="1613"/>
    <n v="1"/>
    <n v="153"/>
    <s v="Trek Domane SL 7 Women's - 2018"/>
    <n v="7"/>
    <x v="6"/>
    <n v="1"/>
    <n v="4999.99"/>
    <n v="7.0000000000000007E-2"/>
    <n v="4649.9906999999994"/>
  </r>
  <r>
    <n v="1613"/>
    <n v="2"/>
    <n v="283"/>
    <s v="Electra Heartchya 1 (20-inch) - Girl's - 2018"/>
    <n v="1"/>
    <x v="5"/>
    <n v="2"/>
    <n v="319.99"/>
    <n v="0.05"/>
    <n v="607.98099999999999"/>
  </r>
  <r>
    <n v="1614"/>
    <n v="1"/>
    <n v="124"/>
    <s v="Surly Krampus - 2018"/>
    <n v="6"/>
    <x v="1"/>
    <n v="1"/>
    <n v="1499"/>
    <n v="7.0000000000000007E-2"/>
    <n v="1394.07"/>
  </r>
  <r>
    <n v="1614"/>
    <n v="2"/>
    <n v="159"/>
    <s v="Trek Emonda ALR 6 - 2018"/>
    <n v="7"/>
    <x v="6"/>
    <n v="2"/>
    <n v="2299.9899999999998"/>
    <n v="7.0000000000000007E-2"/>
    <n v="4277.9813999999997"/>
  </r>
  <r>
    <n v="1614"/>
    <n v="3"/>
    <n v="213"/>
    <s v="Electra Cruiser 1 - 2016/2017/2018"/>
    <n v="3"/>
    <x v="0"/>
    <n v="2"/>
    <n v="269.99"/>
    <n v="0.2"/>
    <n v="431.98400000000004"/>
  </r>
  <r>
    <n v="1615"/>
    <n v="1"/>
    <n v="197"/>
    <s v="Trek Verve+ Lowstep - 2018"/>
    <n v="5"/>
    <x v="4"/>
    <n v="2"/>
    <n v="2299.9899999999998"/>
    <n v="0.2"/>
    <n v="3679.9839999999995"/>
  </r>
  <r>
    <n v="1615"/>
    <n v="2"/>
    <n v="214"/>
    <s v="Electra Tiger Shark 3i - 2018"/>
    <n v="3"/>
    <x v="0"/>
    <n v="1"/>
    <n v="899.99"/>
    <n v="7.0000000000000007E-2"/>
    <n v="836.99070000000006"/>
  </r>
  <r>
    <n v="1615"/>
    <n v="3"/>
    <n v="182"/>
    <s v="Trek Domane SL 5 Disc - 2018"/>
    <n v="7"/>
    <x v="6"/>
    <n v="1"/>
    <n v="2499.9899999999998"/>
    <n v="0.2"/>
    <n v="1999.991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FBAC5-FCEA-45EB-B738-21FB6EBDBE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  <pivotField showAll="0"/>
    <pivotField showAll="0"/>
    <pivotField numFmtId="9"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5" sqref="C15"/>
    </sheetView>
  </sheetViews>
  <sheetFormatPr defaultRowHeight="14.4" x14ac:dyDescent="0.3"/>
  <cols>
    <col min="2" max="2" width="11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E14" sqref="E14"/>
    </sheetView>
  </sheetViews>
  <sheetFormatPr defaultRowHeight="14.4" x14ac:dyDescent="0.3"/>
  <cols>
    <col min="1" max="1" width="10.88671875" bestFit="1" customWidth="1"/>
    <col min="2" max="2" width="16.6640625" bestFit="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14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16</v>
      </c>
    </row>
    <row r="6" spans="1:2" x14ac:dyDescent="0.3">
      <c r="A6">
        <v>5</v>
      </c>
      <c r="B6" t="s">
        <v>17</v>
      </c>
    </row>
    <row r="7" spans="1:2" x14ac:dyDescent="0.3">
      <c r="A7">
        <v>6</v>
      </c>
      <c r="B7" t="s">
        <v>18</v>
      </c>
    </row>
    <row r="8" spans="1:2" x14ac:dyDescent="0.3">
      <c r="A8">
        <v>7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6"/>
  <sheetViews>
    <sheetView workbookViewId="0"/>
  </sheetViews>
  <sheetFormatPr defaultRowHeight="14.4" x14ac:dyDescent="0.3"/>
  <cols>
    <col min="1" max="1" width="11.4414062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44140625" bestFit="1" customWidth="1"/>
  </cols>
  <sheetData>
    <row r="1" spans="1:9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3">
      <c r="A2">
        <v>1</v>
      </c>
      <c r="B2" t="s">
        <v>29</v>
      </c>
      <c r="C2" t="s">
        <v>30</v>
      </c>
      <c r="D2" t="s">
        <v>5611</v>
      </c>
      <c r="E2" t="s">
        <v>31</v>
      </c>
      <c r="F2" t="s">
        <v>32</v>
      </c>
      <c r="G2" t="s">
        <v>33</v>
      </c>
      <c r="H2" t="s">
        <v>34</v>
      </c>
      <c r="I2">
        <v>14127</v>
      </c>
    </row>
    <row r="3" spans="1:9" x14ac:dyDescent="0.3">
      <c r="A3">
        <v>2</v>
      </c>
      <c r="B3" t="s">
        <v>35</v>
      </c>
      <c r="C3" t="s">
        <v>36</v>
      </c>
      <c r="D3" t="s">
        <v>5611</v>
      </c>
      <c r="E3" t="s">
        <v>37</v>
      </c>
      <c r="F3" t="s">
        <v>38</v>
      </c>
      <c r="G3" t="s">
        <v>39</v>
      </c>
      <c r="H3" t="s">
        <v>40</v>
      </c>
      <c r="I3">
        <v>95008</v>
      </c>
    </row>
    <row r="4" spans="1:9" x14ac:dyDescent="0.3">
      <c r="A4">
        <v>3</v>
      </c>
      <c r="B4" t="s">
        <v>41</v>
      </c>
      <c r="C4" t="s">
        <v>42</v>
      </c>
      <c r="D4" t="s">
        <v>5611</v>
      </c>
      <c r="E4" t="s">
        <v>43</v>
      </c>
      <c r="F4" t="s">
        <v>44</v>
      </c>
      <c r="G4" t="s">
        <v>45</v>
      </c>
      <c r="H4" t="s">
        <v>40</v>
      </c>
      <c r="I4">
        <v>90278</v>
      </c>
    </row>
    <row r="5" spans="1:9" x14ac:dyDescent="0.3">
      <c r="A5">
        <v>4</v>
      </c>
      <c r="B5" t="s">
        <v>46</v>
      </c>
      <c r="C5" t="s">
        <v>47</v>
      </c>
      <c r="D5" t="s">
        <v>5611</v>
      </c>
      <c r="E5" t="s">
        <v>48</v>
      </c>
      <c r="F5" t="s">
        <v>49</v>
      </c>
      <c r="G5" t="s">
        <v>50</v>
      </c>
      <c r="H5" t="s">
        <v>34</v>
      </c>
      <c r="I5">
        <v>11553</v>
      </c>
    </row>
    <row r="6" spans="1:9" x14ac:dyDescent="0.3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40</v>
      </c>
      <c r="I6">
        <v>95820</v>
      </c>
    </row>
    <row r="7" spans="1:9" x14ac:dyDescent="0.3">
      <c r="A7">
        <v>6</v>
      </c>
      <c r="B7" t="s">
        <v>57</v>
      </c>
      <c r="C7" t="s">
        <v>58</v>
      </c>
      <c r="D7" t="s">
        <v>5611</v>
      </c>
      <c r="E7" t="s">
        <v>59</v>
      </c>
      <c r="F7" t="s">
        <v>60</v>
      </c>
      <c r="G7" t="s">
        <v>61</v>
      </c>
      <c r="H7" t="s">
        <v>34</v>
      </c>
      <c r="I7">
        <v>14450</v>
      </c>
    </row>
    <row r="8" spans="1:9" x14ac:dyDescent="0.3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34</v>
      </c>
      <c r="I8">
        <v>14215</v>
      </c>
    </row>
    <row r="9" spans="1:9" x14ac:dyDescent="0.3">
      <c r="A9">
        <v>8</v>
      </c>
      <c r="B9" t="s">
        <v>68</v>
      </c>
      <c r="C9" t="s">
        <v>69</v>
      </c>
      <c r="D9" t="s">
        <v>5611</v>
      </c>
      <c r="E9" t="s">
        <v>70</v>
      </c>
      <c r="F9" t="s">
        <v>71</v>
      </c>
      <c r="G9" t="s">
        <v>72</v>
      </c>
      <c r="H9" t="s">
        <v>34</v>
      </c>
      <c r="I9">
        <v>11372</v>
      </c>
    </row>
    <row r="10" spans="1:9" x14ac:dyDescent="0.3">
      <c r="A10">
        <v>9</v>
      </c>
      <c r="B10" t="s">
        <v>73</v>
      </c>
      <c r="C10" t="s">
        <v>74</v>
      </c>
      <c r="D10" t="s">
        <v>5611</v>
      </c>
      <c r="E10" t="s">
        <v>75</v>
      </c>
      <c r="F10" t="s">
        <v>76</v>
      </c>
      <c r="G10" t="s">
        <v>77</v>
      </c>
      <c r="H10" t="s">
        <v>34</v>
      </c>
      <c r="I10">
        <v>11050</v>
      </c>
    </row>
    <row r="11" spans="1:9" x14ac:dyDescent="0.3">
      <c r="A11">
        <v>10</v>
      </c>
      <c r="B11" t="s">
        <v>78</v>
      </c>
      <c r="C11" t="s">
        <v>79</v>
      </c>
      <c r="D11" t="s">
        <v>5611</v>
      </c>
      <c r="E11" t="s">
        <v>80</v>
      </c>
      <c r="F11" t="s">
        <v>81</v>
      </c>
      <c r="G11" t="s">
        <v>82</v>
      </c>
      <c r="H11" t="s">
        <v>34</v>
      </c>
      <c r="I11">
        <v>10950</v>
      </c>
    </row>
    <row r="12" spans="1:9" x14ac:dyDescent="0.3">
      <c r="A12">
        <v>11</v>
      </c>
      <c r="B12" t="s">
        <v>83</v>
      </c>
      <c r="C12" t="s">
        <v>84</v>
      </c>
      <c r="D12" t="s">
        <v>5611</v>
      </c>
      <c r="E12" t="s">
        <v>85</v>
      </c>
      <c r="F12" t="s">
        <v>86</v>
      </c>
      <c r="G12" t="s">
        <v>87</v>
      </c>
      <c r="H12" t="s">
        <v>34</v>
      </c>
      <c r="I12">
        <v>10952</v>
      </c>
    </row>
    <row r="13" spans="1:9" x14ac:dyDescent="0.3">
      <c r="A13">
        <v>12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34</v>
      </c>
      <c r="I13">
        <v>11550</v>
      </c>
    </row>
    <row r="14" spans="1:9" x14ac:dyDescent="0.3">
      <c r="A14">
        <v>13</v>
      </c>
      <c r="B14" t="s">
        <v>94</v>
      </c>
      <c r="C14" t="s">
        <v>95</v>
      </c>
      <c r="D14" t="s">
        <v>5611</v>
      </c>
      <c r="E14" t="s">
        <v>96</v>
      </c>
      <c r="F14" t="s">
        <v>97</v>
      </c>
      <c r="G14" t="s">
        <v>98</v>
      </c>
      <c r="H14" t="s">
        <v>99</v>
      </c>
      <c r="I14">
        <v>75604</v>
      </c>
    </row>
    <row r="15" spans="1:9" x14ac:dyDescent="0.3">
      <c r="A15">
        <v>14</v>
      </c>
      <c r="B15" t="s">
        <v>100</v>
      </c>
      <c r="C15" t="s">
        <v>101</v>
      </c>
      <c r="D15" t="s">
        <v>5611</v>
      </c>
      <c r="E15" t="s">
        <v>102</v>
      </c>
      <c r="F15" t="s">
        <v>103</v>
      </c>
      <c r="G15" t="s">
        <v>104</v>
      </c>
      <c r="H15" t="s">
        <v>99</v>
      </c>
      <c r="I15">
        <v>75126</v>
      </c>
    </row>
    <row r="16" spans="1:9" x14ac:dyDescent="0.3">
      <c r="A16">
        <v>15</v>
      </c>
      <c r="B16" t="s">
        <v>105</v>
      </c>
      <c r="C16" t="s">
        <v>106</v>
      </c>
      <c r="D16" t="s">
        <v>5611</v>
      </c>
      <c r="E16" t="s">
        <v>107</v>
      </c>
      <c r="F16" t="s">
        <v>108</v>
      </c>
      <c r="G16" t="s">
        <v>109</v>
      </c>
      <c r="H16" t="s">
        <v>34</v>
      </c>
      <c r="I16">
        <v>12901</v>
      </c>
    </row>
    <row r="17" spans="1:9" x14ac:dyDescent="0.3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34</v>
      </c>
      <c r="I17">
        <v>10002</v>
      </c>
    </row>
    <row r="18" spans="1:9" x14ac:dyDescent="0.3">
      <c r="A18">
        <v>17</v>
      </c>
      <c r="B18" t="s">
        <v>116</v>
      </c>
      <c r="C18" t="s">
        <v>117</v>
      </c>
      <c r="D18" t="s">
        <v>5611</v>
      </c>
      <c r="E18" t="s">
        <v>118</v>
      </c>
      <c r="F18" t="s">
        <v>119</v>
      </c>
      <c r="G18" t="s">
        <v>120</v>
      </c>
      <c r="H18" t="s">
        <v>34</v>
      </c>
      <c r="I18">
        <v>10583</v>
      </c>
    </row>
    <row r="19" spans="1:9" x14ac:dyDescent="0.3">
      <c r="A19">
        <v>18</v>
      </c>
      <c r="B19" t="s">
        <v>121</v>
      </c>
      <c r="C19" t="s">
        <v>122</v>
      </c>
      <c r="D19" t="s">
        <v>5611</v>
      </c>
      <c r="E19" t="s">
        <v>123</v>
      </c>
      <c r="F19" t="s">
        <v>124</v>
      </c>
      <c r="G19" t="s">
        <v>125</v>
      </c>
      <c r="H19" t="s">
        <v>34</v>
      </c>
      <c r="I19">
        <v>14424</v>
      </c>
    </row>
    <row r="20" spans="1:9" x14ac:dyDescent="0.3">
      <c r="A20">
        <v>19</v>
      </c>
      <c r="B20" t="s">
        <v>126</v>
      </c>
      <c r="C20" t="s">
        <v>127</v>
      </c>
      <c r="D20" t="s">
        <v>5611</v>
      </c>
      <c r="E20" t="s">
        <v>128</v>
      </c>
      <c r="F20" t="s">
        <v>129</v>
      </c>
      <c r="G20" t="s">
        <v>33</v>
      </c>
      <c r="H20" t="s">
        <v>34</v>
      </c>
      <c r="I20">
        <v>14127</v>
      </c>
    </row>
    <row r="21" spans="1:9" x14ac:dyDescent="0.3">
      <c r="A21">
        <v>20</v>
      </c>
      <c r="B21" t="s">
        <v>130</v>
      </c>
      <c r="C21" t="s">
        <v>131</v>
      </c>
      <c r="D21" t="s">
        <v>5611</v>
      </c>
      <c r="E21" t="s">
        <v>132</v>
      </c>
      <c r="F21" t="s">
        <v>133</v>
      </c>
      <c r="G21" t="s">
        <v>134</v>
      </c>
      <c r="H21" t="s">
        <v>99</v>
      </c>
      <c r="I21">
        <v>77478</v>
      </c>
    </row>
    <row r="22" spans="1:9" x14ac:dyDescent="0.3">
      <c r="A22">
        <v>21</v>
      </c>
      <c r="B22" t="s">
        <v>135</v>
      </c>
      <c r="C22" t="s">
        <v>136</v>
      </c>
      <c r="D22" t="s">
        <v>5611</v>
      </c>
      <c r="E22" t="s">
        <v>137</v>
      </c>
      <c r="F22" t="s">
        <v>138</v>
      </c>
      <c r="G22" t="s">
        <v>139</v>
      </c>
      <c r="H22" t="s">
        <v>99</v>
      </c>
      <c r="I22">
        <v>77904</v>
      </c>
    </row>
    <row r="23" spans="1:9" x14ac:dyDescent="0.3">
      <c r="A23">
        <v>22</v>
      </c>
      <c r="B23" t="s">
        <v>140</v>
      </c>
      <c r="C23" t="s">
        <v>141</v>
      </c>
      <c r="D23" t="s">
        <v>5611</v>
      </c>
      <c r="E23" t="s">
        <v>142</v>
      </c>
      <c r="F23" t="s">
        <v>143</v>
      </c>
      <c r="G23" t="s">
        <v>144</v>
      </c>
      <c r="H23" t="s">
        <v>34</v>
      </c>
      <c r="I23">
        <v>11731</v>
      </c>
    </row>
    <row r="24" spans="1:9" x14ac:dyDescent="0.3">
      <c r="A24">
        <v>23</v>
      </c>
      <c r="B24" t="s">
        <v>145</v>
      </c>
      <c r="C24" t="s">
        <v>146</v>
      </c>
      <c r="D24" t="s">
        <v>5611</v>
      </c>
      <c r="E24" t="s">
        <v>147</v>
      </c>
      <c r="F24" t="s">
        <v>148</v>
      </c>
      <c r="G24" t="s">
        <v>149</v>
      </c>
      <c r="H24" t="s">
        <v>34</v>
      </c>
      <c r="I24">
        <v>11423</v>
      </c>
    </row>
    <row r="25" spans="1:9" x14ac:dyDescent="0.3">
      <c r="A25">
        <v>24</v>
      </c>
      <c r="B25" t="s">
        <v>150</v>
      </c>
      <c r="C25" t="s">
        <v>151</v>
      </c>
      <c r="D25" t="s">
        <v>5611</v>
      </c>
      <c r="E25" t="s">
        <v>152</v>
      </c>
      <c r="F25" t="s">
        <v>153</v>
      </c>
      <c r="G25" t="s">
        <v>154</v>
      </c>
      <c r="H25" t="s">
        <v>40</v>
      </c>
      <c r="I25">
        <v>95301</v>
      </c>
    </row>
    <row r="26" spans="1:9" x14ac:dyDescent="0.3">
      <c r="A26">
        <v>25</v>
      </c>
      <c r="B26" t="s">
        <v>155</v>
      </c>
      <c r="C26" t="s">
        <v>156</v>
      </c>
      <c r="D26" t="s">
        <v>5611</v>
      </c>
      <c r="E26" t="s">
        <v>157</v>
      </c>
      <c r="F26" t="s">
        <v>158</v>
      </c>
      <c r="G26" t="s">
        <v>159</v>
      </c>
      <c r="H26" t="s">
        <v>34</v>
      </c>
      <c r="I26">
        <v>10541</v>
      </c>
    </row>
    <row r="27" spans="1:9" x14ac:dyDescent="0.3">
      <c r="A27">
        <v>26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 t="s">
        <v>165</v>
      </c>
      <c r="H27" t="s">
        <v>34</v>
      </c>
      <c r="I27">
        <v>11561</v>
      </c>
    </row>
    <row r="28" spans="1:9" x14ac:dyDescent="0.3">
      <c r="A28">
        <v>27</v>
      </c>
      <c r="B28" t="s">
        <v>166</v>
      </c>
      <c r="C28" t="s">
        <v>167</v>
      </c>
      <c r="D28" t="s">
        <v>5611</v>
      </c>
      <c r="E28" t="s">
        <v>168</v>
      </c>
      <c r="F28" t="s">
        <v>169</v>
      </c>
      <c r="G28" t="s">
        <v>170</v>
      </c>
      <c r="H28" t="s">
        <v>34</v>
      </c>
      <c r="I28">
        <v>11104</v>
      </c>
    </row>
    <row r="29" spans="1:9" x14ac:dyDescent="0.3">
      <c r="A29">
        <v>28</v>
      </c>
      <c r="B29" t="s">
        <v>171</v>
      </c>
      <c r="C29" t="s">
        <v>172</v>
      </c>
      <c r="D29" t="s">
        <v>5611</v>
      </c>
      <c r="E29" t="s">
        <v>173</v>
      </c>
      <c r="F29" t="s">
        <v>174</v>
      </c>
      <c r="G29" t="s">
        <v>175</v>
      </c>
      <c r="H29" t="s">
        <v>34</v>
      </c>
      <c r="I29">
        <v>10562</v>
      </c>
    </row>
    <row r="30" spans="1:9" x14ac:dyDescent="0.3">
      <c r="A30">
        <v>29</v>
      </c>
      <c r="B30" t="s">
        <v>176</v>
      </c>
      <c r="C30" t="s">
        <v>177</v>
      </c>
      <c r="D30" t="s">
        <v>5611</v>
      </c>
      <c r="E30" t="s">
        <v>178</v>
      </c>
      <c r="F30" t="s">
        <v>179</v>
      </c>
      <c r="G30" t="s">
        <v>159</v>
      </c>
      <c r="H30" t="s">
        <v>34</v>
      </c>
      <c r="I30">
        <v>10541</v>
      </c>
    </row>
    <row r="31" spans="1:9" x14ac:dyDescent="0.3">
      <c r="A31">
        <v>30</v>
      </c>
      <c r="B31" t="s">
        <v>180</v>
      </c>
      <c r="C31" t="s">
        <v>181</v>
      </c>
      <c r="D31" t="s">
        <v>5611</v>
      </c>
      <c r="E31" t="s">
        <v>182</v>
      </c>
      <c r="F31" t="s">
        <v>183</v>
      </c>
      <c r="G31" t="s">
        <v>184</v>
      </c>
      <c r="H31" t="s">
        <v>40</v>
      </c>
      <c r="I31">
        <v>90505</v>
      </c>
    </row>
    <row r="32" spans="1:9" x14ac:dyDescent="0.3">
      <c r="A32">
        <v>31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190</v>
      </c>
      <c r="H32" t="s">
        <v>40</v>
      </c>
      <c r="I32">
        <v>94603</v>
      </c>
    </row>
    <row r="33" spans="1:9" x14ac:dyDescent="0.3">
      <c r="A33">
        <v>32</v>
      </c>
      <c r="B33" t="s">
        <v>191</v>
      </c>
      <c r="C33" t="s">
        <v>192</v>
      </c>
      <c r="D33" t="s">
        <v>5611</v>
      </c>
      <c r="E33" t="s">
        <v>193</v>
      </c>
      <c r="F33" t="s">
        <v>194</v>
      </c>
      <c r="G33" t="s">
        <v>195</v>
      </c>
      <c r="H33" t="s">
        <v>40</v>
      </c>
      <c r="I33">
        <v>92831</v>
      </c>
    </row>
    <row r="34" spans="1:9" x14ac:dyDescent="0.3">
      <c r="A34">
        <v>33</v>
      </c>
      <c r="B34" t="s">
        <v>196</v>
      </c>
      <c r="C34" t="s">
        <v>197</v>
      </c>
      <c r="D34" t="s">
        <v>5611</v>
      </c>
      <c r="E34" t="s">
        <v>198</v>
      </c>
      <c r="F34" t="s">
        <v>199</v>
      </c>
      <c r="G34" t="s">
        <v>200</v>
      </c>
      <c r="H34" t="s">
        <v>40</v>
      </c>
      <c r="I34">
        <v>90274</v>
      </c>
    </row>
    <row r="35" spans="1:9" x14ac:dyDescent="0.3">
      <c r="A35">
        <v>34</v>
      </c>
      <c r="B35" t="s">
        <v>201</v>
      </c>
      <c r="C35" t="s">
        <v>202</v>
      </c>
      <c r="D35" t="s">
        <v>5611</v>
      </c>
      <c r="E35" t="s">
        <v>203</v>
      </c>
      <c r="F35" t="s">
        <v>204</v>
      </c>
      <c r="G35" t="s">
        <v>144</v>
      </c>
      <c r="H35" t="s">
        <v>34</v>
      </c>
      <c r="I35">
        <v>11731</v>
      </c>
    </row>
    <row r="36" spans="1:9" x14ac:dyDescent="0.3">
      <c r="A36">
        <v>35</v>
      </c>
      <c r="B36" t="s">
        <v>205</v>
      </c>
      <c r="C36" t="s">
        <v>206</v>
      </c>
      <c r="D36" t="s">
        <v>5611</v>
      </c>
      <c r="E36" t="s">
        <v>207</v>
      </c>
      <c r="F36" t="s">
        <v>208</v>
      </c>
      <c r="G36" t="s">
        <v>209</v>
      </c>
      <c r="H36" t="s">
        <v>34</v>
      </c>
      <c r="I36">
        <v>13027</v>
      </c>
    </row>
    <row r="37" spans="1:9" x14ac:dyDescent="0.3">
      <c r="A37">
        <v>36</v>
      </c>
      <c r="B37" t="s">
        <v>210</v>
      </c>
      <c r="C37" t="s">
        <v>211</v>
      </c>
      <c r="D37" t="s">
        <v>5611</v>
      </c>
      <c r="E37" t="s">
        <v>212</v>
      </c>
      <c r="F37" t="s">
        <v>213</v>
      </c>
      <c r="G37" t="s">
        <v>214</v>
      </c>
      <c r="H37" t="s">
        <v>34</v>
      </c>
      <c r="I37">
        <v>13090</v>
      </c>
    </row>
    <row r="38" spans="1:9" x14ac:dyDescent="0.3">
      <c r="A38">
        <v>37</v>
      </c>
      <c r="B38" t="s">
        <v>215</v>
      </c>
      <c r="C38" t="s">
        <v>216</v>
      </c>
      <c r="D38" t="s">
        <v>5611</v>
      </c>
      <c r="E38" t="s">
        <v>217</v>
      </c>
      <c r="F38" t="s">
        <v>218</v>
      </c>
      <c r="G38" t="s">
        <v>219</v>
      </c>
      <c r="H38" t="s">
        <v>34</v>
      </c>
      <c r="I38">
        <v>11378</v>
      </c>
    </row>
    <row r="39" spans="1:9" x14ac:dyDescent="0.3">
      <c r="A39">
        <v>38</v>
      </c>
      <c r="B39" t="s">
        <v>220</v>
      </c>
      <c r="C39" t="s">
        <v>221</v>
      </c>
      <c r="D39" t="s">
        <v>5611</v>
      </c>
      <c r="E39" t="s">
        <v>222</v>
      </c>
      <c r="F39" t="s">
        <v>223</v>
      </c>
      <c r="G39" t="s">
        <v>224</v>
      </c>
      <c r="H39" t="s">
        <v>34</v>
      </c>
      <c r="I39">
        <v>11102</v>
      </c>
    </row>
    <row r="40" spans="1:9" x14ac:dyDescent="0.3">
      <c r="A40">
        <v>39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230</v>
      </c>
      <c r="H40" t="s">
        <v>34</v>
      </c>
      <c r="I40">
        <v>14086</v>
      </c>
    </row>
    <row r="41" spans="1:9" x14ac:dyDescent="0.3">
      <c r="A41">
        <v>40</v>
      </c>
      <c r="B41" t="s">
        <v>231</v>
      </c>
      <c r="C41" t="s">
        <v>232</v>
      </c>
      <c r="D41" t="s">
        <v>5611</v>
      </c>
      <c r="E41" t="s">
        <v>233</v>
      </c>
      <c r="F41" t="s">
        <v>234</v>
      </c>
      <c r="G41" t="s">
        <v>235</v>
      </c>
      <c r="H41" t="s">
        <v>40</v>
      </c>
      <c r="I41">
        <v>91316</v>
      </c>
    </row>
    <row r="42" spans="1:9" x14ac:dyDescent="0.3">
      <c r="A42">
        <v>41</v>
      </c>
      <c r="B42" t="s">
        <v>236</v>
      </c>
      <c r="C42" t="s">
        <v>237</v>
      </c>
      <c r="D42" t="s">
        <v>5611</v>
      </c>
      <c r="E42" t="s">
        <v>238</v>
      </c>
      <c r="F42" t="s">
        <v>239</v>
      </c>
      <c r="G42" t="s">
        <v>240</v>
      </c>
      <c r="H42" t="s">
        <v>34</v>
      </c>
      <c r="I42">
        <v>12804</v>
      </c>
    </row>
    <row r="43" spans="1:9" x14ac:dyDescent="0.3">
      <c r="A43">
        <v>42</v>
      </c>
      <c r="B43" t="s">
        <v>241</v>
      </c>
      <c r="C43" t="s">
        <v>242</v>
      </c>
      <c r="D43" t="s">
        <v>5611</v>
      </c>
      <c r="E43" t="s">
        <v>243</v>
      </c>
      <c r="F43" t="s">
        <v>244</v>
      </c>
      <c r="G43" t="s">
        <v>245</v>
      </c>
      <c r="H43" t="s">
        <v>34</v>
      </c>
      <c r="I43">
        <v>11418</v>
      </c>
    </row>
    <row r="44" spans="1:9" x14ac:dyDescent="0.3">
      <c r="A44">
        <v>43</v>
      </c>
      <c r="B44" t="s">
        <v>246</v>
      </c>
      <c r="C44" t="s">
        <v>247</v>
      </c>
      <c r="D44" t="s">
        <v>248</v>
      </c>
      <c r="E44" t="s">
        <v>249</v>
      </c>
      <c r="F44" t="s">
        <v>250</v>
      </c>
      <c r="G44" t="s">
        <v>251</v>
      </c>
      <c r="H44" t="s">
        <v>99</v>
      </c>
      <c r="I44">
        <v>77016</v>
      </c>
    </row>
    <row r="45" spans="1:9" x14ac:dyDescent="0.3">
      <c r="A45">
        <v>44</v>
      </c>
      <c r="B45" t="s">
        <v>252</v>
      </c>
      <c r="C45" t="s">
        <v>253</v>
      </c>
      <c r="D45" t="s">
        <v>5611</v>
      </c>
      <c r="E45" t="s">
        <v>254</v>
      </c>
      <c r="F45" t="s">
        <v>255</v>
      </c>
      <c r="G45" t="s">
        <v>256</v>
      </c>
      <c r="H45" t="s">
        <v>34</v>
      </c>
      <c r="I45">
        <v>11003</v>
      </c>
    </row>
    <row r="46" spans="1:9" x14ac:dyDescent="0.3">
      <c r="A46">
        <v>45</v>
      </c>
      <c r="B46" t="s">
        <v>257</v>
      </c>
      <c r="C46" t="s">
        <v>258</v>
      </c>
      <c r="D46" t="s">
        <v>5611</v>
      </c>
      <c r="E46" t="s">
        <v>259</v>
      </c>
      <c r="F46" t="s">
        <v>260</v>
      </c>
      <c r="G46" t="s">
        <v>261</v>
      </c>
      <c r="H46" t="s">
        <v>34</v>
      </c>
      <c r="I46">
        <v>11714</v>
      </c>
    </row>
    <row r="47" spans="1:9" x14ac:dyDescent="0.3">
      <c r="A47">
        <v>46</v>
      </c>
      <c r="B47" t="s">
        <v>262</v>
      </c>
      <c r="C47" t="s">
        <v>263</v>
      </c>
      <c r="D47" t="s">
        <v>5611</v>
      </c>
      <c r="E47" t="s">
        <v>264</v>
      </c>
      <c r="F47" t="s">
        <v>265</v>
      </c>
      <c r="G47" t="s">
        <v>235</v>
      </c>
      <c r="H47" t="s">
        <v>40</v>
      </c>
      <c r="I47">
        <v>91316</v>
      </c>
    </row>
    <row r="48" spans="1:9" x14ac:dyDescent="0.3">
      <c r="A48">
        <v>47</v>
      </c>
      <c r="B48" t="s">
        <v>266</v>
      </c>
      <c r="C48" t="s">
        <v>267</v>
      </c>
      <c r="D48" t="s">
        <v>5611</v>
      </c>
      <c r="E48" t="s">
        <v>268</v>
      </c>
      <c r="F48" t="s">
        <v>269</v>
      </c>
      <c r="G48" t="s">
        <v>270</v>
      </c>
      <c r="H48" t="s">
        <v>40</v>
      </c>
      <c r="I48">
        <v>94580</v>
      </c>
    </row>
    <row r="49" spans="1:9" x14ac:dyDescent="0.3">
      <c r="A49">
        <v>48</v>
      </c>
      <c r="B49" t="s">
        <v>271</v>
      </c>
      <c r="C49" t="s">
        <v>272</v>
      </c>
      <c r="D49" t="s">
        <v>5611</v>
      </c>
      <c r="E49" t="s">
        <v>273</v>
      </c>
      <c r="F49" t="s">
        <v>274</v>
      </c>
      <c r="G49" t="s">
        <v>214</v>
      </c>
      <c r="H49" t="s">
        <v>34</v>
      </c>
      <c r="I49">
        <v>13090</v>
      </c>
    </row>
    <row r="50" spans="1:9" x14ac:dyDescent="0.3">
      <c r="A50">
        <v>49</v>
      </c>
      <c r="B50" t="s">
        <v>275</v>
      </c>
      <c r="C50" t="s">
        <v>63</v>
      </c>
      <c r="D50" t="s">
        <v>5611</v>
      </c>
      <c r="E50" t="s">
        <v>276</v>
      </c>
      <c r="F50" t="s">
        <v>277</v>
      </c>
      <c r="G50" t="s">
        <v>61</v>
      </c>
      <c r="H50" t="s">
        <v>34</v>
      </c>
      <c r="I50">
        <v>14450</v>
      </c>
    </row>
    <row r="51" spans="1:9" x14ac:dyDescent="0.3">
      <c r="A51">
        <v>50</v>
      </c>
      <c r="B51" t="s">
        <v>278</v>
      </c>
      <c r="C51" t="s">
        <v>279</v>
      </c>
      <c r="D51" t="s">
        <v>5611</v>
      </c>
      <c r="E51" t="s">
        <v>280</v>
      </c>
      <c r="F51" t="s">
        <v>281</v>
      </c>
      <c r="G51" t="s">
        <v>134</v>
      </c>
      <c r="H51" t="s">
        <v>99</v>
      </c>
      <c r="I51">
        <v>77478</v>
      </c>
    </row>
    <row r="52" spans="1:9" x14ac:dyDescent="0.3">
      <c r="A52">
        <v>51</v>
      </c>
      <c r="B52" t="s">
        <v>282</v>
      </c>
      <c r="C52" t="s">
        <v>283</v>
      </c>
      <c r="D52" t="s">
        <v>5611</v>
      </c>
      <c r="E52" t="s">
        <v>284</v>
      </c>
      <c r="F52" t="s">
        <v>285</v>
      </c>
      <c r="G52" t="s">
        <v>286</v>
      </c>
      <c r="H52" t="s">
        <v>34</v>
      </c>
      <c r="I52">
        <v>11566</v>
      </c>
    </row>
    <row r="53" spans="1:9" x14ac:dyDescent="0.3">
      <c r="A53">
        <v>52</v>
      </c>
      <c r="B53" t="s">
        <v>287</v>
      </c>
      <c r="C53" t="s">
        <v>288</v>
      </c>
      <c r="D53" t="s">
        <v>5611</v>
      </c>
      <c r="E53" t="s">
        <v>289</v>
      </c>
      <c r="F53" t="s">
        <v>290</v>
      </c>
      <c r="G53" t="s">
        <v>291</v>
      </c>
      <c r="H53" t="s">
        <v>34</v>
      </c>
      <c r="I53">
        <v>11369</v>
      </c>
    </row>
    <row r="54" spans="1:9" x14ac:dyDescent="0.3">
      <c r="A54">
        <v>53</v>
      </c>
      <c r="B54" t="s">
        <v>292</v>
      </c>
      <c r="C54" t="s">
        <v>293</v>
      </c>
      <c r="D54" t="s">
        <v>5611</v>
      </c>
      <c r="E54" t="s">
        <v>294</v>
      </c>
      <c r="F54" t="s">
        <v>295</v>
      </c>
      <c r="G54" t="s">
        <v>296</v>
      </c>
      <c r="H54" t="s">
        <v>40</v>
      </c>
      <c r="I54">
        <v>91740</v>
      </c>
    </row>
    <row r="55" spans="1:9" x14ac:dyDescent="0.3">
      <c r="A55">
        <v>54</v>
      </c>
      <c r="B55" t="s">
        <v>297</v>
      </c>
      <c r="C55" t="s">
        <v>298</v>
      </c>
      <c r="D55" t="s">
        <v>5611</v>
      </c>
      <c r="E55" t="s">
        <v>299</v>
      </c>
      <c r="F55" t="s">
        <v>300</v>
      </c>
      <c r="G55" t="s">
        <v>301</v>
      </c>
      <c r="H55" t="s">
        <v>34</v>
      </c>
      <c r="I55">
        <v>13501</v>
      </c>
    </row>
    <row r="56" spans="1:9" x14ac:dyDescent="0.3">
      <c r="A56">
        <v>55</v>
      </c>
      <c r="B56" t="s">
        <v>302</v>
      </c>
      <c r="C56" t="s">
        <v>267</v>
      </c>
      <c r="D56" t="s">
        <v>5611</v>
      </c>
      <c r="E56" t="s">
        <v>303</v>
      </c>
      <c r="F56" t="s">
        <v>304</v>
      </c>
      <c r="G56" t="s">
        <v>286</v>
      </c>
      <c r="H56" t="s">
        <v>34</v>
      </c>
      <c r="I56">
        <v>11566</v>
      </c>
    </row>
    <row r="57" spans="1:9" x14ac:dyDescent="0.3">
      <c r="A57">
        <v>56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  <c r="G57" t="s">
        <v>251</v>
      </c>
      <c r="H57" t="s">
        <v>99</v>
      </c>
      <c r="I57">
        <v>77016</v>
      </c>
    </row>
    <row r="58" spans="1:9" x14ac:dyDescent="0.3">
      <c r="A58">
        <v>57</v>
      </c>
      <c r="B58" t="s">
        <v>310</v>
      </c>
      <c r="C58" t="s">
        <v>311</v>
      </c>
      <c r="D58" t="s">
        <v>5611</v>
      </c>
      <c r="E58" t="s">
        <v>312</v>
      </c>
      <c r="F58" t="s">
        <v>313</v>
      </c>
      <c r="G58" t="s">
        <v>314</v>
      </c>
      <c r="H58" t="s">
        <v>34</v>
      </c>
      <c r="I58">
        <v>10451</v>
      </c>
    </row>
    <row r="59" spans="1:9" x14ac:dyDescent="0.3">
      <c r="A59">
        <v>58</v>
      </c>
      <c r="B59" t="s">
        <v>315</v>
      </c>
      <c r="C59" t="s">
        <v>316</v>
      </c>
      <c r="D59" t="s">
        <v>5611</v>
      </c>
      <c r="E59" t="s">
        <v>317</v>
      </c>
      <c r="F59" t="s">
        <v>318</v>
      </c>
      <c r="G59" t="s">
        <v>319</v>
      </c>
      <c r="H59" t="s">
        <v>34</v>
      </c>
      <c r="I59">
        <v>11722</v>
      </c>
    </row>
    <row r="60" spans="1:9" x14ac:dyDescent="0.3">
      <c r="A60">
        <v>59</v>
      </c>
      <c r="B60" t="s">
        <v>62</v>
      </c>
      <c r="C60" t="s">
        <v>320</v>
      </c>
      <c r="D60" t="s">
        <v>5611</v>
      </c>
      <c r="E60" t="s">
        <v>321</v>
      </c>
      <c r="F60" t="s">
        <v>322</v>
      </c>
      <c r="G60" t="s">
        <v>323</v>
      </c>
      <c r="H60" t="s">
        <v>34</v>
      </c>
      <c r="I60">
        <v>11570</v>
      </c>
    </row>
    <row r="61" spans="1:9" x14ac:dyDescent="0.3">
      <c r="A61">
        <v>60</v>
      </c>
      <c r="B61" t="s">
        <v>324</v>
      </c>
      <c r="C61" t="s">
        <v>325</v>
      </c>
      <c r="D61" t="s">
        <v>5611</v>
      </c>
      <c r="E61" t="s">
        <v>326</v>
      </c>
      <c r="F61" t="s">
        <v>327</v>
      </c>
      <c r="G61" t="s">
        <v>328</v>
      </c>
      <c r="H61" t="s">
        <v>40</v>
      </c>
      <c r="I61">
        <v>94070</v>
      </c>
    </row>
    <row r="62" spans="1:9" x14ac:dyDescent="0.3">
      <c r="A62">
        <v>61</v>
      </c>
      <c r="B62" t="s">
        <v>329</v>
      </c>
      <c r="C62" t="s">
        <v>330</v>
      </c>
      <c r="D62" t="s">
        <v>5611</v>
      </c>
      <c r="E62" t="s">
        <v>331</v>
      </c>
      <c r="F62" t="s">
        <v>332</v>
      </c>
      <c r="G62" t="s">
        <v>333</v>
      </c>
      <c r="H62" t="s">
        <v>99</v>
      </c>
      <c r="I62">
        <v>76901</v>
      </c>
    </row>
    <row r="63" spans="1:9" x14ac:dyDescent="0.3">
      <c r="A63">
        <v>62</v>
      </c>
      <c r="B63" t="s">
        <v>334</v>
      </c>
      <c r="C63" t="s">
        <v>335</v>
      </c>
      <c r="D63" t="s">
        <v>5611</v>
      </c>
      <c r="E63" t="s">
        <v>336</v>
      </c>
      <c r="F63" t="s">
        <v>337</v>
      </c>
      <c r="G63" t="s">
        <v>291</v>
      </c>
      <c r="H63" t="s">
        <v>34</v>
      </c>
      <c r="I63">
        <v>11369</v>
      </c>
    </row>
    <row r="64" spans="1:9" x14ac:dyDescent="0.3">
      <c r="A64">
        <v>63</v>
      </c>
      <c r="B64" t="s">
        <v>338</v>
      </c>
      <c r="C64" t="s">
        <v>339</v>
      </c>
      <c r="D64" t="s">
        <v>5611</v>
      </c>
      <c r="E64" t="s">
        <v>340</v>
      </c>
      <c r="F64" t="s">
        <v>341</v>
      </c>
      <c r="G64" t="s">
        <v>342</v>
      </c>
      <c r="H64" t="s">
        <v>34</v>
      </c>
      <c r="I64">
        <v>11701</v>
      </c>
    </row>
    <row r="65" spans="1:9" x14ac:dyDescent="0.3">
      <c r="A65">
        <v>64</v>
      </c>
      <c r="B65" t="s">
        <v>343</v>
      </c>
      <c r="C65" t="s">
        <v>344</v>
      </c>
      <c r="D65" t="s">
        <v>5611</v>
      </c>
      <c r="E65" t="s">
        <v>345</v>
      </c>
      <c r="F65" t="s">
        <v>346</v>
      </c>
      <c r="G65" t="s">
        <v>347</v>
      </c>
      <c r="H65" t="s">
        <v>99</v>
      </c>
      <c r="I65">
        <v>75115</v>
      </c>
    </row>
    <row r="66" spans="1:9" x14ac:dyDescent="0.3">
      <c r="A66">
        <v>65</v>
      </c>
      <c r="B66" t="s">
        <v>348</v>
      </c>
      <c r="C66" t="s">
        <v>349</v>
      </c>
      <c r="D66" t="s">
        <v>5611</v>
      </c>
      <c r="E66" t="s">
        <v>350</v>
      </c>
      <c r="F66" t="s">
        <v>351</v>
      </c>
      <c r="G66" t="s">
        <v>352</v>
      </c>
      <c r="H66" t="s">
        <v>34</v>
      </c>
      <c r="I66">
        <v>13440</v>
      </c>
    </row>
    <row r="67" spans="1:9" x14ac:dyDescent="0.3">
      <c r="A67">
        <v>66</v>
      </c>
      <c r="B67" t="s">
        <v>353</v>
      </c>
      <c r="C67" t="s">
        <v>354</v>
      </c>
      <c r="D67" t="s">
        <v>5611</v>
      </c>
      <c r="E67" t="s">
        <v>355</v>
      </c>
      <c r="F67" t="s">
        <v>356</v>
      </c>
      <c r="G67" t="s">
        <v>357</v>
      </c>
      <c r="H67" t="s">
        <v>99</v>
      </c>
      <c r="I67">
        <v>75043</v>
      </c>
    </row>
    <row r="68" spans="1:9" x14ac:dyDescent="0.3">
      <c r="A68">
        <v>67</v>
      </c>
      <c r="B68" t="s">
        <v>358</v>
      </c>
      <c r="C68" t="s">
        <v>359</v>
      </c>
      <c r="D68" t="s">
        <v>360</v>
      </c>
      <c r="E68" t="s">
        <v>361</v>
      </c>
      <c r="F68" t="s">
        <v>362</v>
      </c>
      <c r="G68" t="s">
        <v>56</v>
      </c>
      <c r="H68" t="s">
        <v>40</v>
      </c>
      <c r="I68">
        <v>95820</v>
      </c>
    </row>
    <row r="69" spans="1:9" x14ac:dyDescent="0.3">
      <c r="A69">
        <v>68</v>
      </c>
      <c r="B69" t="s">
        <v>363</v>
      </c>
      <c r="C69" t="s">
        <v>364</v>
      </c>
      <c r="D69" t="s">
        <v>5611</v>
      </c>
      <c r="E69" t="s">
        <v>365</v>
      </c>
      <c r="F69" t="s">
        <v>366</v>
      </c>
      <c r="G69" t="s">
        <v>367</v>
      </c>
      <c r="H69" t="s">
        <v>99</v>
      </c>
      <c r="I69">
        <v>75088</v>
      </c>
    </row>
    <row r="70" spans="1:9" x14ac:dyDescent="0.3">
      <c r="A70">
        <v>69</v>
      </c>
      <c r="B70" t="s">
        <v>368</v>
      </c>
      <c r="C70" t="s">
        <v>369</v>
      </c>
      <c r="D70" t="s">
        <v>5611</v>
      </c>
      <c r="E70" t="s">
        <v>370</v>
      </c>
      <c r="F70" t="s">
        <v>371</v>
      </c>
      <c r="G70" t="s">
        <v>372</v>
      </c>
      <c r="H70" t="s">
        <v>40</v>
      </c>
      <c r="I70">
        <v>95677</v>
      </c>
    </row>
    <row r="71" spans="1:9" x14ac:dyDescent="0.3">
      <c r="A71">
        <v>70</v>
      </c>
      <c r="B71" t="s">
        <v>373</v>
      </c>
      <c r="C71" t="s">
        <v>374</v>
      </c>
      <c r="D71" t="s">
        <v>5611</v>
      </c>
      <c r="E71" t="s">
        <v>375</v>
      </c>
      <c r="F71" t="s">
        <v>376</v>
      </c>
      <c r="G71" t="s">
        <v>291</v>
      </c>
      <c r="H71" t="s">
        <v>34</v>
      </c>
      <c r="I71">
        <v>11369</v>
      </c>
    </row>
    <row r="72" spans="1:9" x14ac:dyDescent="0.3">
      <c r="A72">
        <v>71</v>
      </c>
      <c r="B72" t="s">
        <v>377</v>
      </c>
      <c r="C72" t="s">
        <v>378</v>
      </c>
      <c r="D72" t="s">
        <v>5611</v>
      </c>
      <c r="E72" t="s">
        <v>379</v>
      </c>
      <c r="F72" t="s">
        <v>380</v>
      </c>
      <c r="G72" t="s">
        <v>314</v>
      </c>
      <c r="H72" t="s">
        <v>34</v>
      </c>
      <c r="I72">
        <v>10451</v>
      </c>
    </row>
    <row r="73" spans="1:9" x14ac:dyDescent="0.3">
      <c r="A73">
        <v>72</v>
      </c>
      <c r="B73" t="s">
        <v>381</v>
      </c>
      <c r="C73" t="s">
        <v>382</v>
      </c>
      <c r="D73" t="s">
        <v>5611</v>
      </c>
      <c r="E73" t="s">
        <v>383</v>
      </c>
      <c r="F73" t="s">
        <v>384</v>
      </c>
      <c r="G73" t="s">
        <v>385</v>
      </c>
      <c r="H73" t="s">
        <v>40</v>
      </c>
      <c r="I73">
        <v>91733</v>
      </c>
    </row>
    <row r="74" spans="1:9" x14ac:dyDescent="0.3">
      <c r="A74">
        <v>73</v>
      </c>
      <c r="B74" t="s">
        <v>386</v>
      </c>
      <c r="C74" t="s">
        <v>387</v>
      </c>
      <c r="D74" t="s">
        <v>5611</v>
      </c>
      <c r="E74" t="s">
        <v>388</v>
      </c>
      <c r="F74" t="s">
        <v>389</v>
      </c>
      <c r="G74" t="s">
        <v>214</v>
      </c>
      <c r="H74" t="s">
        <v>34</v>
      </c>
      <c r="I74">
        <v>13090</v>
      </c>
    </row>
    <row r="75" spans="1:9" x14ac:dyDescent="0.3">
      <c r="A75">
        <v>74</v>
      </c>
      <c r="B75" t="s">
        <v>390</v>
      </c>
      <c r="C75" t="s">
        <v>391</v>
      </c>
      <c r="D75" t="s">
        <v>5611</v>
      </c>
      <c r="E75" t="s">
        <v>392</v>
      </c>
      <c r="F75" t="s">
        <v>393</v>
      </c>
      <c r="G75" t="s">
        <v>394</v>
      </c>
      <c r="H75" t="s">
        <v>34</v>
      </c>
      <c r="I75">
        <v>14120</v>
      </c>
    </row>
    <row r="76" spans="1:9" x14ac:dyDescent="0.3">
      <c r="A76">
        <v>75</v>
      </c>
      <c r="B76" t="s">
        <v>395</v>
      </c>
      <c r="C76" t="s">
        <v>396</v>
      </c>
      <c r="D76" t="s">
        <v>5611</v>
      </c>
      <c r="E76" t="s">
        <v>397</v>
      </c>
      <c r="F76" t="s">
        <v>398</v>
      </c>
      <c r="G76" t="s">
        <v>342</v>
      </c>
      <c r="H76" t="s">
        <v>34</v>
      </c>
      <c r="I76">
        <v>11701</v>
      </c>
    </row>
    <row r="77" spans="1:9" x14ac:dyDescent="0.3">
      <c r="A77">
        <v>76</v>
      </c>
      <c r="B77" t="s">
        <v>399</v>
      </c>
      <c r="C77" t="s">
        <v>400</v>
      </c>
      <c r="D77" t="s">
        <v>5611</v>
      </c>
      <c r="E77" t="s">
        <v>401</v>
      </c>
      <c r="F77" t="s">
        <v>402</v>
      </c>
      <c r="G77" t="s">
        <v>403</v>
      </c>
      <c r="H77" t="s">
        <v>34</v>
      </c>
      <c r="I77">
        <v>11776</v>
      </c>
    </row>
    <row r="78" spans="1:9" x14ac:dyDescent="0.3">
      <c r="A78">
        <v>77</v>
      </c>
      <c r="B78" t="s">
        <v>404</v>
      </c>
      <c r="C78" t="s">
        <v>405</v>
      </c>
      <c r="D78" t="s">
        <v>5611</v>
      </c>
      <c r="E78" t="s">
        <v>406</v>
      </c>
      <c r="F78" t="s">
        <v>407</v>
      </c>
      <c r="G78" t="s">
        <v>408</v>
      </c>
      <c r="H78" t="s">
        <v>99</v>
      </c>
      <c r="I78">
        <v>75080</v>
      </c>
    </row>
    <row r="79" spans="1:9" x14ac:dyDescent="0.3">
      <c r="A79">
        <v>78</v>
      </c>
      <c r="B79" t="s">
        <v>409</v>
      </c>
      <c r="C79" t="s">
        <v>410</v>
      </c>
      <c r="D79" t="s">
        <v>5611</v>
      </c>
      <c r="E79" t="s">
        <v>411</v>
      </c>
      <c r="F79" t="s">
        <v>412</v>
      </c>
      <c r="G79" t="s">
        <v>200</v>
      </c>
      <c r="H79" t="s">
        <v>40</v>
      </c>
      <c r="I79">
        <v>90274</v>
      </c>
    </row>
    <row r="80" spans="1:9" x14ac:dyDescent="0.3">
      <c r="A80">
        <v>79</v>
      </c>
      <c r="B80" t="s">
        <v>413</v>
      </c>
      <c r="C80" t="s">
        <v>414</v>
      </c>
      <c r="D80" t="s">
        <v>5611</v>
      </c>
      <c r="E80" t="s">
        <v>415</v>
      </c>
      <c r="F80" t="s">
        <v>416</v>
      </c>
      <c r="G80" t="s">
        <v>74</v>
      </c>
      <c r="H80" t="s">
        <v>34</v>
      </c>
      <c r="I80">
        <v>11510</v>
      </c>
    </row>
    <row r="81" spans="1:9" x14ac:dyDescent="0.3">
      <c r="A81">
        <v>80</v>
      </c>
      <c r="B81" t="s">
        <v>417</v>
      </c>
      <c r="C81" t="s">
        <v>418</v>
      </c>
      <c r="D81" t="s">
        <v>419</v>
      </c>
      <c r="E81" t="s">
        <v>420</v>
      </c>
      <c r="F81" t="s">
        <v>421</v>
      </c>
      <c r="G81" t="s">
        <v>67</v>
      </c>
      <c r="H81" t="s">
        <v>34</v>
      </c>
      <c r="I81">
        <v>14215</v>
      </c>
    </row>
    <row r="82" spans="1:9" x14ac:dyDescent="0.3">
      <c r="A82">
        <v>81</v>
      </c>
      <c r="B82" t="s">
        <v>422</v>
      </c>
      <c r="C82" t="s">
        <v>423</v>
      </c>
      <c r="D82" t="s">
        <v>5611</v>
      </c>
      <c r="E82" t="s">
        <v>424</v>
      </c>
      <c r="F82" t="s">
        <v>425</v>
      </c>
      <c r="G82" t="s">
        <v>270</v>
      </c>
      <c r="H82" t="s">
        <v>40</v>
      </c>
      <c r="I82">
        <v>94580</v>
      </c>
    </row>
    <row r="83" spans="1:9" x14ac:dyDescent="0.3">
      <c r="A83">
        <v>82</v>
      </c>
      <c r="B83" t="s">
        <v>426</v>
      </c>
      <c r="C83" t="s">
        <v>427</v>
      </c>
      <c r="D83" t="s">
        <v>5611</v>
      </c>
      <c r="E83" t="s">
        <v>428</v>
      </c>
      <c r="F83" t="s">
        <v>429</v>
      </c>
      <c r="G83" t="s">
        <v>430</v>
      </c>
      <c r="H83" t="s">
        <v>40</v>
      </c>
      <c r="I83">
        <v>92236</v>
      </c>
    </row>
    <row r="84" spans="1:9" x14ac:dyDescent="0.3">
      <c r="A84">
        <v>83</v>
      </c>
      <c r="B84" t="s">
        <v>431</v>
      </c>
      <c r="C84" t="s">
        <v>432</v>
      </c>
      <c r="D84" t="s">
        <v>5611</v>
      </c>
      <c r="E84" t="s">
        <v>433</v>
      </c>
      <c r="F84" t="s">
        <v>434</v>
      </c>
      <c r="G84" t="s">
        <v>120</v>
      </c>
      <c r="H84" t="s">
        <v>34</v>
      </c>
      <c r="I84">
        <v>10583</v>
      </c>
    </row>
    <row r="85" spans="1:9" x14ac:dyDescent="0.3">
      <c r="A85">
        <v>84</v>
      </c>
      <c r="B85" t="s">
        <v>435</v>
      </c>
      <c r="C85" t="s">
        <v>436</v>
      </c>
      <c r="D85" t="s">
        <v>5611</v>
      </c>
      <c r="E85" t="s">
        <v>437</v>
      </c>
      <c r="F85" t="s">
        <v>438</v>
      </c>
      <c r="G85" t="s">
        <v>439</v>
      </c>
      <c r="H85" t="s">
        <v>34</v>
      </c>
      <c r="I85">
        <v>11757</v>
      </c>
    </row>
    <row r="86" spans="1:9" x14ac:dyDescent="0.3">
      <c r="A86">
        <v>85</v>
      </c>
      <c r="B86" t="s">
        <v>440</v>
      </c>
      <c r="C86" t="s">
        <v>441</v>
      </c>
      <c r="D86" t="s">
        <v>5611</v>
      </c>
      <c r="E86" t="s">
        <v>442</v>
      </c>
      <c r="F86" t="s">
        <v>443</v>
      </c>
      <c r="G86" t="s">
        <v>444</v>
      </c>
      <c r="H86" t="s">
        <v>34</v>
      </c>
      <c r="I86">
        <v>11746</v>
      </c>
    </row>
    <row r="87" spans="1:9" x14ac:dyDescent="0.3">
      <c r="A87">
        <v>86</v>
      </c>
      <c r="B87" t="s">
        <v>445</v>
      </c>
      <c r="C87" t="s">
        <v>446</v>
      </c>
      <c r="D87" t="s">
        <v>5611</v>
      </c>
      <c r="E87" t="s">
        <v>447</v>
      </c>
      <c r="F87" t="s">
        <v>448</v>
      </c>
      <c r="G87" t="s">
        <v>449</v>
      </c>
      <c r="H87" t="s">
        <v>34</v>
      </c>
      <c r="I87">
        <v>13126</v>
      </c>
    </row>
    <row r="88" spans="1:9" x14ac:dyDescent="0.3">
      <c r="A88">
        <v>87</v>
      </c>
      <c r="B88" t="s">
        <v>450</v>
      </c>
      <c r="C88" t="s">
        <v>451</v>
      </c>
      <c r="D88" t="s">
        <v>5611</v>
      </c>
      <c r="E88" t="s">
        <v>452</v>
      </c>
      <c r="F88" t="s">
        <v>453</v>
      </c>
      <c r="G88" t="s">
        <v>454</v>
      </c>
      <c r="H88" t="s">
        <v>40</v>
      </c>
      <c r="I88">
        <v>91010</v>
      </c>
    </row>
    <row r="89" spans="1:9" x14ac:dyDescent="0.3">
      <c r="A89">
        <v>88</v>
      </c>
      <c r="B89" t="s">
        <v>455</v>
      </c>
      <c r="C89" t="s">
        <v>456</v>
      </c>
      <c r="D89" t="s">
        <v>5611</v>
      </c>
      <c r="E89" t="s">
        <v>457</v>
      </c>
      <c r="F89" t="s">
        <v>458</v>
      </c>
      <c r="G89" t="s">
        <v>149</v>
      </c>
      <c r="H89" t="s">
        <v>34</v>
      </c>
      <c r="I89">
        <v>11423</v>
      </c>
    </row>
    <row r="90" spans="1:9" x14ac:dyDescent="0.3">
      <c r="A90">
        <v>89</v>
      </c>
      <c r="B90" t="s">
        <v>459</v>
      </c>
      <c r="C90" t="s">
        <v>460</v>
      </c>
      <c r="D90" t="s">
        <v>5611</v>
      </c>
      <c r="E90" t="s">
        <v>461</v>
      </c>
      <c r="F90" t="s">
        <v>462</v>
      </c>
      <c r="G90" t="s">
        <v>463</v>
      </c>
      <c r="H90" t="s">
        <v>40</v>
      </c>
      <c r="I90">
        <v>91784</v>
      </c>
    </row>
    <row r="91" spans="1:9" x14ac:dyDescent="0.3">
      <c r="A91">
        <v>90</v>
      </c>
      <c r="B91" t="s">
        <v>464</v>
      </c>
      <c r="C91" t="s">
        <v>465</v>
      </c>
      <c r="D91" t="s">
        <v>5611</v>
      </c>
      <c r="E91" t="s">
        <v>466</v>
      </c>
      <c r="F91" t="s">
        <v>467</v>
      </c>
      <c r="G91" t="s">
        <v>468</v>
      </c>
      <c r="H91" t="s">
        <v>34</v>
      </c>
      <c r="I91">
        <v>11010</v>
      </c>
    </row>
    <row r="92" spans="1:9" x14ac:dyDescent="0.3">
      <c r="A92">
        <v>91</v>
      </c>
      <c r="B92" t="s">
        <v>469</v>
      </c>
      <c r="C92" t="s">
        <v>470</v>
      </c>
      <c r="D92" t="s">
        <v>471</v>
      </c>
      <c r="E92" t="s">
        <v>472</v>
      </c>
      <c r="F92" t="s">
        <v>473</v>
      </c>
      <c r="G92" t="s">
        <v>474</v>
      </c>
      <c r="H92" t="s">
        <v>40</v>
      </c>
      <c r="I92">
        <v>92111</v>
      </c>
    </row>
    <row r="93" spans="1:9" x14ac:dyDescent="0.3">
      <c r="A93">
        <v>92</v>
      </c>
      <c r="B93" t="s">
        <v>475</v>
      </c>
      <c r="C93" t="s">
        <v>476</v>
      </c>
      <c r="D93" t="s">
        <v>5611</v>
      </c>
      <c r="E93" t="s">
        <v>477</v>
      </c>
      <c r="F93" t="s">
        <v>478</v>
      </c>
      <c r="G93" t="s">
        <v>479</v>
      </c>
      <c r="H93" t="s">
        <v>34</v>
      </c>
      <c r="I93">
        <v>11735</v>
      </c>
    </row>
    <row r="94" spans="1:9" x14ac:dyDescent="0.3">
      <c r="A94">
        <v>93</v>
      </c>
      <c r="B94" t="s">
        <v>480</v>
      </c>
      <c r="C94" t="s">
        <v>481</v>
      </c>
      <c r="D94" t="s">
        <v>482</v>
      </c>
      <c r="E94" t="s">
        <v>483</v>
      </c>
      <c r="F94" t="s">
        <v>484</v>
      </c>
      <c r="G94" t="s">
        <v>485</v>
      </c>
      <c r="H94" t="s">
        <v>34</v>
      </c>
      <c r="I94">
        <v>12180</v>
      </c>
    </row>
    <row r="95" spans="1:9" x14ac:dyDescent="0.3">
      <c r="A95">
        <v>94</v>
      </c>
      <c r="B95" t="s">
        <v>486</v>
      </c>
      <c r="C95" t="s">
        <v>487</v>
      </c>
      <c r="D95" t="s">
        <v>5611</v>
      </c>
      <c r="E95" t="s">
        <v>488</v>
      </c>
      <c r="F95" t="s">
        <v>489</v>
      </c>
      <c r="G95" t="s">
        <v>209</v>
      </c>
      <c r="H95" t="s">
        <v>34</v>
      </c>
      <c r="I95">
        <v>13027</v>
      </c>
    </row>
    <row r="96" spans="1:9" x14ac:dyDescent="0.3">
      <c r="A96">
        <v>95</v>
      </c>
      <c r="B96" t="s">
        <v>490</v>
      </c>
      <c r="C96" t="s">
        <v>491</v>
      </c>
      <c r="D96" t="s">
        <v>5611</v>
      </c>
      <c r="E96" t="s">
        <v>492</v>
      </c>
      <c r="F96" t="s">
        <v>493</v>
      </c>
      <c r="G96" t="s">
        <v>494</v>
      </c>
      <c r="H96" t="s">
        <v>34</v>
      </c>
      <c r="I96">
        <v>12866</v>
      </c>
    </row>
    <row r="97" spans="1:9" x14ac:dyDescent="0.3">
      <c r="A97">
        <v>96</v>
      </c>
      <c r="B97" t="s">
        <v>495</v>
      </c>
      <c r="C97" t="s">
        <v>496</v>
      </c>
      <c r="D97" t="s">
        <v>5611</v>
      </c>
      <c r="E97" t="s">
        <v>497</v>
      </c>
      <c r="F97" t="s">
        <v>498</v>
      </c>
      <c r="G97" t="s">
        <v>499</v>
      </c>
      <c r="H97" t="s">
        <v>34</v>
      </c>
      <c r="I97">
        <v>11361</v>
      </c>
    </row>
    <row r="98" spans="1:9" x14ac:dyDescent="0.3">
      <c r="A98">
        <v>97</v>
      </c>
      <c r="B98" t="s">
        <v>500</v>
      </c>
      <c r="C98" t="s">
        <v>501</v>
      </c>
      <c r="D98" t="s">
        <v>5611</v>
      </c>
      <c r="E98" t="s">
        <v>502</v>
      </c>
      <c r="F98" t="s">
        <v>503</v>
      </c>
      <c r="G98" t="s">
        <v>504</v>
      </c>
      <c r="H98" t="s">
        <v>40</v>
      </c>
      <c r="I98">
        <v>95993</v>
      </c>
    </row>
    <row r="99" spans="1:9" x14ac:dyDescent="0.3">
      <c r="A99">
        <v>98</v>
      </c>
      <c r="B99" t="s">
        <v>505</v>
      </c>
      <c r="C99" t="s">
        <v>506</v>
      </c>
      <c r="D99" t="s">
        <v>5611</v>
      </c>
      <c r="E99" t="s">
        <v>507</v>
      </c>
      <c r="F99" t="s">
        <v>508</v>
      </c>
      <c r="G99" t="s">
        <v>109</v>
      </c>
      <c r="H99" t="s">
        <v>34</v>
      </c>
      <c r="I99">
        <v>12901</v>
      </c>
    </row>
    <row r="100" spans="1:9" x14ac:dyDescent="0.3">
      <c r="A100">
        <v>99</v>
      </c>
      <c r="B100" t="s">
        <v>509</v>
      </c>
      <c r="C100" t="s">
        <v>510</v>
      </c>
      <c r="D100" t="s">
        <v>5611</v>
      </c>
      <c r="E100" t="s">
        <v>511</v>
      </c>
      <c r="F100" t="s">
        <v>512</v>
      </c>
      <c r="G100" t="s">
        <v>82</v>
      </c>
      <c r="H100" t="s">
        <v>34</v>
      </c>
      <c r="I100">
        <v>10950</v>
      </c>
    </row>
    <row r="101" spans="1:9" x14ac:dyDescent="0.3">
      <c r="A101">
        <v>100</v>
      </c>
      <c r="B101" t="s">
        <v>513</v>
      </c>
      <c r="C101" t="s">
        <v>491</v>
      </c>
      <c r="D101" t="s">
        <v>5611</v>
      </c>
      <c r="E101" t="s">
        <v>514</v>
      </c>
      <c r="F101" t="s">
        <v>515</v>
      </c>
      <c r="G101" t="s">
        <v>516</v>
      </c>
      <c r="H101" t="s">
        <v>34</v>
      </c>
      <c r="I101">
        <v>11725</v>
      </c>
    </row>
    <row r="102" spans="1:9" x14ac:dyDescent="0.3">
      <c r="A102">
        <v>101</v>
      </c>
      <c r="B102" t="s">
        <v>517</v>
      </c>
      <c r="C102" t="s">
        <v>518</v>
      </c>
      <c r="D102" t="s">
        <v>5611</v>
      </c>
      <c r="E102" t="s">
        <v>519</v>
      </c>
      <c r="F102" t="s">
        <v>520</v>
      </c>
      <c r="G102" t="s">
        <v>120</v>
      </c>
      <c r="H102" t="s">
        <v>34</v>
      </c>
      <c r="I102">
        <v>10583</v>
      </c>
    </row>
    <row r="103" spans="1:9" x14ac:dyDescent="0.3">
      <c r="A103">
        <v>102</v>
      </c>
      <c r="B103" t="s">
        <v>521</v>
      </c>
      <c r="C103" t="s">
        <v>522</v>
      </c>
      <c r="D103" t="s">
        <v>5611</v>
      </c>
      <c r="E103" t="s">
        <v>523</v>
      </c>
      <c r="F103" t="s">
        <v>524</v>
      </c>
      <c r="G103" t="s">
        <v>125</v>
      </c>
      <c r="H103" t="s">
        <v>34</v>
      </c>
      <c r="I103">
        <v>14424</v>
      </c>
    </row>
    <row r="104" spans="1:9" x14ac:dyDescent="0.3">
      <c r="A104">
        <v>103</v>
      </c>
      <c r="B104" t="s">
        <v>525</v>
      </c>
      <c r="C104" t="s">
        <v>526</v>
      </c>
      <c r="D104" t="s">
        <v>5611</v>
      </c>
      <c r="E104" t="s">
        <v>527</v>
      </c>
      <c r="F104" t="s">
        <v>528</v>
      </c>
      <c r="G104" t="s">
        <v>529</v>
      </c>
      <c r="H104" t="s">
        <v>34</v>
      </c>
      <c r="I104">
        <v>11791</v>
      </c>
    </row>
    <row r="105" spans="1:9" x14ac:dyDescent="0.3">
      <c r="A105">
        <v>104</v>
      </c>
      <c r="B105" t="s">
        <v>530</v>
      </c>
      <c r="C105" t="s">
        <v>531</v>
      </c>
      <c r="D105" t="s">
        <v>5611</v>
      </c>
      <c r="E105" t="s">
        <v>532</v>
      </c>
      <c r="F105" t="s">
        <v>533</v>
      </c>
      <c r="G105" t="s">
        <v>39</v>
      </c>
      <c r="H105" t="s">
        <v>40</v>
      </c>
      <c r="I105">
        <v>95008</v>
      </c>
    </row>
    <row r="106" spans="1:9" x14ac:dyDescent="0.3">
      <c r="A106">
        <v>105</v>
      </c>
      <c r="B106" t="s">
        <v>534</v>
      </c>
      <c r="C106" t="s">
        <v>535</v>
      </c>
      <c r="D106" t="s">
        <v>5611</v>
      </c>
      <c r="E106" t="s">
        <v>536</v>
      </c>
      <c r="F106" t="s">
        <v>537</v>
      </c>
      <c r="G106" t="s">
        <v>538</v>
      </c>
      <c r="H106" t="s">
        <v>34</v>
      </c>
      <c r="I106">
        <v>11421</v>
      </c>
    </row>
    <row r="107" spans="1:9" x14ac:dyDescent="0.3">
      <c r="A107">
        <v>106</v>
      </c>
      <c r="B107" t="s">
        <v>539</v>
      </c>
      <c r="C107" t="s">
        <v>540</v>
      </c>
      <c r="D107" t="s">
        <v>5611</v>
      </c>
      <c r="E107" t="s">
        <v>541</v>
      </c>
      <c r="F107" t="s">
        <v>542</v>
      </c>
      <c r="G107" t="s">
        <v>543</v>
      </c>
      <c r="H107" t="s">
        <v>34</v>
      </c>
      <c r="I107">
        <v>11373</v>
      </c>
    </row>
    <row r="108" spans="1:9" x14ac:dyDescent="0.3">
      <c r="A108">
        <v>107</v>
      </c>
      <c r="B108" t="s">
        <v>544</v>
      </c>
      <c r="C108" t="s">
        <v>545</v>
      </c>
      <c r="D108" t="s">
        <v>5611</v>
      </c>
      <c r="E108" t="s">
        <v>546</v>
      </c>
      <c r="F108" t="s">
        <v>547</v>
      </c>
      <c r="G108" t="s">
        <v>319</v>
      </c>
      <c r="H108" t="s">
        <v>34</v>
      </c>
      <c r="I108">
        <v>11722</v>
      </c>
    </row>
    <row r="109" spans="1:9" x14ac:dyDescent="0.3">
      <c r="A109">
        <v>108</v>
      </c>
      <c r="B109" t="s">
        <v>548</v>
      </c>
      <c r="C109" t="s">
        <v>549</v>
      </c>
      <c r="D109" t="s">
        <v>5611</v>
      </c>
      <c r="E109" t="s">
        <v>550</v>
      </c>
      <c r="F109" t="s">
        <v>551</v>
      </c>
      <c r="G109" t="s">
        <v>552</v>
      </c>
      <c r="H109" t="s">
        <v>34</v>
      </c>
      <c r="I109">
        <v>11001</v>
      </c>
    </row>
    <row r="110" spans="1:9" x14ac:dyDescent="0.3">
      <c r="A110">
        <v>109</v>
      </c>
      <c r="B110" t="s">
        <v>553</v>
      </c>
      <c r="C110" t="s">
        <v>554</v>
      </c>
      <c r="D110" t="s">
        <v>555</v>
      </c>
      <c r="E110" t="s">
        <v>556</v>
      </c>
      <c r="F110" t="s">
        <v>557</v>
      </c>
      <c r="G110" t="s">
        <v>558</v>
      </c>
      <c r="H110" t="s">
        <v>40</v>
      </c>
      <c r="I110">
        <v>95127</v>
      </c>
    </row>
    <row r="111" spans="1:9" x14ac:dyDescent="0.3">
      <c r="A111">
        <v>110</v>
      </c>
      <c r="B111" t="s">
        <v>559</v>
      </c>
      <c r="C111" t="s">
        <v>560</v>
      </c>
      <c r="D111" t="s">
        <v>561</v>
      </c>
      <c r="E111" t="s">
        <v>562</v>
      </c>
      <c r="F111" t="s">
        <v>563</v>
      </c>
      <c r="G111" t="s">
        <v>564</v>
      </c>
      <c r="H111" t="s">
        <v>40</v>
      </c>
      <c r="I111">
        <v>92806</v>
      </c>
    </row>
    <row r="112" spans="1:9" x14ac:dyDescent="0.3">
      <c r="A112">
        <v>111</v>
      </c>
      <c r="B112" t="s">
        <v>565</v>
      </c>
      <c r="C112" t="s">
        <v>566</v>
      </c>
      <c r="D112" t="s">
        <v>5611</v>
      </c>
      <c r="E112" t="s">
        <v>567</v>
      </c>
      <c r="F112" t="s">
        <v>568</v>
      </c>
      <c r="G112" t="s">
        <v>33</v>
      </c>
      <c r="H112" t="s">
        <v>34</v>
      </c>
      <c r="I112">
        <v>14127</v>
      </c>
    </row>
    <row r="113" spans="1:9" x14ac:dyDescent="0.3">
      <c r="A113">
        <v>112</v>
      </c>
      <c r="B113" t="s">
        <v>569</v>
      </c>
      <c r="C113" t="s">
        <v>349</v>
      </c>
      <c r="D113" t="s">
        <v>5611</v>
      </c>
      <c r="E113" t="s">
        <v>570</v>
      </c>
      <c r="F113" t="s">
        <v>571</v>
      </c>
      <c r="G113" t="s">
        <v>572</v>
      </c>
      <c r="H113" t="s">
        <v>34</v>
      </c>
      <c r="I113">
        <v>11552</v>
      </c>
    </row>
    <row r="114" spans="1:9" x14ac:dyDescent="0.3">
      <c r="A114">
        <v>113</v>
      </c>
      <c r="B114" t="s">
        <v>573</v>
      </c>
      <c r="C114" t="s">
        <v>574</v>
      </c>
      <c r="D114" t="s">
        <v>5611</v>
      </c>
      <c r="E114" t="s">
        <v>575</v>
      </c>
      <c r="F114" t="s">
        <v>576</v>
      </c>
      <c r="G114" t="s">
        <v>479</v>
      </c>
      <c r="H114" t="s">
        <v>34</v>
      </c>
      <c r="I114">
        <v>11735</v>
      </c>
    </row>
    <row r="115" spans="1:9" x14ac:dyDescent="0.3">
      <c r="A115">
        <v>114</v>
      </c>
      <c r="B115" t="s">
        <v>577</v>
      </c>
      <c r="C115" t="s">
        <v>578</v>
      </c>
      <c r="D115" t="s">
        <v>5611</v>
      </c>
      <c r="E115" t="s">
        <v>579</v>
      </c>
      <c r="F115" t="s">
        <v>580</v>
      </c>
      <c r="G115" t="s">
        <v>342</v>
      </c>
      <c r="H115" t="s">
        <v>34</v>
      </c>
      <c r="I115">
        <v>11701</v>
      </c>
    </row>
    <row r="116" spans="1:9" x14ac:dyDescent="0.3">
      <c r="A116">
        <v>115</v>
      </c>
      <c r="B116" t="s">
        <v>581</v>
      </c>
      <c r="C116" t="s">
        <v>582</v>
      </c>
      <c r="D116" t="s">
        <v>5611</v>
      </c>
      <c r="E116" t="s">
        <v>583</v>
      </c>
      <c r="F116" t="s">
        <v>584</v>
      </c>
      <c r="G116" t="s">
        <v>82</v>
      </c>
      <c r="H116" t="s">
        <v>34</v>
      </c>
      <c r="I116">
        <v>10950</v>
      </c>
    </row>
    <row r="117" spans="1:9" x14ac:dyDescent="0.3">
      <c r="A117">
        <v>116</v>
      </c>
      <c r="B117" t="s">
        <v>585</v>
      </c>
      <c r="C117" t="s">
        <v>586</v>
      </c>
      <c r="D117" t="s">
        <v>5611</v>
      </c>
      <c r="E117" t="s">
        <v>587</v>
      </c>
      <c r="F117" t="s">
        <v>588</v>
      </c>
      <c r="G117" t="s">
        <v>589</v>
      </c>
      <c r="H117" t="s">
        <v>99</v>
      </c>
      <c r="I117">
        <v>76039</v>
      </c>
    </row>
    <row r="118" spans="1:9" x14ac:dyDescent="0.3">
      <c r="A118">
        <v>117</v>
      </c>
      <c r="B118" t="s">
        <v>590</v>
      </c>
      <c r="C118" t="s">
        <v>591</v>
      </c>
      <c r="D118" t="s">
        <v>5611</v>
      </c>
      <c r="E118" t="s">
        <v>592</v>
      </c>
      <c r="F118" t="s">
        <v>593</v>
      </c>
      <c r="G118" t="s">
        <v>134</v>
      </c>
      <c r="H118" t="s">
        <v>99</v>
      </c>
      <c r="I118">
        <v>77478</v>
      </c>
    </row>
    <row r="119" spans="1:9" x14ac:dyDescent="0.3">
      <c r="A119">
        <v>118</v>
      </c>
      <c r="B119" t="s">
        <v>594</v>
      </c>
      <c r="C119" t="s">
        <v>595</v>
      </c>
      <c r="D119" t="s">
        <v>5611</v>
      </c>
      <c r="E119" t="s">
        <v>596</v>
      </c>
      <c r="F119" t="s">
        <v>597</v>
      </c>
      <c r="G119" t="s">
        <v>598</v>
      </c>
      <c r="H119" t="s">
        <v>34</v>
      </c>
      <c r="I119">
        <v>14534</v>
      </c>
    </row>
    <row r="120" spans="1:9" x14ac:dyDescent="0.3">
      <c r="A120">
        <v>119</v>
      </c>
      <c r="B120" t="s">
        <v>577</v>
      </c>
      <c r="C120" t="s">
        <v>599</v>
      </c>
      <c r="D120" t="s">
        <v>5611</v>
      </c>
      <c r="E120" t="s">
        <v>600</v>
      </c>
      <c r="F120" t="s">
        <v>601</v>
      </c>
      <c r="G120" t="s">
        <v>333</v>
      </c>
      <c r="H120" t="s">
        <v>99</v>
      </c>
      <c r="I120">
        <v>76901</v>
      </c>
    </row>
    <row r="121" spans="1:9" x14ac:dyDescent="0.3">
      <c r="A121">
        <v>120</v>
      </c>
      <c r="B121" t="s">
        <v>602</v>
      </c>
      <c r="C121" t="s">
        <v>603</v>
      </c>
      <c r="D121" t="s">
        <v>604</v>
      </c>
      <c r="E121" t="s">
        <v>605</v>
      </c>
      <c r="F121" t="s">
        <v>606</v>
      </c>
      <c r="G121" t="s">
        <v>607</v>
      </c>
      <c r="H121" t="s">
        <v>40</v>
      </c>
      <c r="I121">
        <v>93706</v>
      </c>
    </row>
    <row r="122" spans="1:9" x14ac:dyDescent="0.3">
      <c r="A122">
        <v>121</v>
      </c>
      <c r="B122" t="s">
        <v>608</v>
      </c>
      <c r="C122" t="s">
        <v>609</v>
      </c>
      <c r="D122" t="s">
        <v>5611</v>
      </c>
      <c r="E122" t="s">
        <v>610</v>
      </c>
      <c r="F122" t="s">
        <v>611</v>
      </c>
      <c r="G122" t="s">
        <v>200</v>
      </c>
      <c r="H122" t="s">
        <v>40</v>
      </c>
      <c r="I122">
        <v>90274</v>
      </c>
    </row>
    <row r="123" spans="1:9" x14ac:dyDescent="0.3">
      <c r="A123">
        <v>122</v>
      </c>
      <c r="B123" t="s">
        <v>612</v>
      </c>
      <c r="C123" t="s">
        <v>247</v>
      </c>
      <c r="D123" t="s">
        <v>5611</v>
      </c>
      <c r="E123" t="s">
        <v>613</v>
      </c>
      <c r="F123" t="s">
        <v>614</v>
      </c>
      <c r="G123" t="s">
        <v>615</v>
      </c>
      <c r="H123" t="s">
        <v>34</v>
      </c>
      <c r="I123">
        <v>11414</v>
      </c>
    </row>
    <row r="124" spans="1:9" x14ac:dyDescent="0.3">
      <c r="A124">
        <v>123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  <c r="H124" t="s">
        <v>99</v>
      </c>
      <c r="I124">
        <v>78418</v>
      </c>
    </row>
    <row r="125" spans="1:9" x14ac:dyDescent="0.3">
      <c r="A125">
        <v>124</v>
      </c>
      <c r="B125" t="s">
        <v>622</v>
      </c>
      <c r="C125" t="s">
        <v>623</v>
      </c>
      <c r="D125" t="s">
        <v>5611</v>
      </c>
      <c r="E125" t="s">
        <v>624</v>
      </c>
      <c r="F125" t="s">
        <v>625</v>
      </c>
      <c r="G125" t="s">
        <v>385</v>
      </c>
      <c r="H125" t="s">
        <v>40</v>
      </c>
      <c r="I125">
        <v>91733</v>
      </c>
    </row>
    <row r="126" spans="1:9" x14ac:dyDescent="0.3">
      <c r="A126">
        <v>125</v>
      </c>
      <c r="B126" t="s">
        <v>626</v>
      </c>
      <c r="C126" t="s">
        <v>627</v>
      </c>
      <c r="D126" t="s">
        <v>5611</v>
      </c>
      <c r="E126" t="s">
        <v>628</v>
      </c>
      <c r="F126" t="s">
        <v>629</v>
      </c>
      <c r="G126" t="s">
        <v>125</v>
      </c>
      <c r="H126" t="s">
        <v>34</v>
      </c>
      <c r="I126">
        <v>14424</v>
      </c>
    </row>
    <row r="127" spans="1:9" x14ac:dyDescent="0.3">
      <c r="A127">
        <v>126</v>
      </c>
      <c r="B127" t="s">
        <v>630</v>
      </c>
      <c r="C127" t="s">
        <v>631</v>
      </c>
      <c r="D127" t="s">
        <v>5611</v>
      </c>
      <c r="E127" t="s">
        <v>632</v>
      </c>
      <c r="F127" t="s">
        <v>633</v>
      </c>
      <c r="G127" t="s">
        <v>634</v>
      </c>
      <c r="H127" t="s">
        <v>34</v>
      </c>
      <c r="I127">
        <v>12550</v>
      </c>
    </row>
    <row r="128" spans="1:9" x14ac:dyDescent="0.3">
      <c r="A128">
        <v>127</v>
      </c>
      <c r="B128" t="s">
        <v>635</v>
      </c>
      <c r="C128" t="s">
        <v>636</v>
      </c>
      <c r="D128" t="s">
        <v>5611</v>
      </c>
      <c r="E128" t="s">
        <v>637</v>
      </c>
      <c r="F128" t="s">
        <v>638</v>
      </c>
      <c r="G128" t="s">
        <v>219</v>
      </c>
      <c r="H128" t="s">
        <v>34</v>
      </c>
      <c r="I128">
        <v>11378</v>
      </c>
    </row>
    <row r="129" spans="1:9" x14ac:dyDescent="0.3">
      <c r="A129">
        <v>128</v>
      </c>
      <c r="B129" t="s">
        <v>639</v>
      </c>
      <c r="C129" t="s">
        <v>640</v>
      </c>
      <c r="D129" t="s">
        <v>5611</v>
      </c>
      <c r="E129" t="s">
        <v>641</v>
      </c>
      <c r="F129" t="s">
        <v>642</v>
      </c>
      <c r="G129" t="s">
        <v>109</v>
      </c>
      <c r="H129" t="s">
        <v>34</v>
      </c>
      <c r="I129">
        <v>12901</v>
      </c>
    </row>
    <row r="130" spans="1:9" x14ac:dyDescent="0.3">
      <c r="A130">
        <v>129</v>
      </c>
      <c r="B130" t="s">
        <v>643</v>
      </c>
      <c r="C130" t="s">
        <v>631</v>
      </c>
      <c r="D130" t="s">
        <v>5611</v>
      </c>
      <c r="E130" t="s">
        <v>644</v>
      </c>
      <c r="F130" t="s">
        <v>645</v>
      </c>
      <c r="G130" t="s">
        <v>646</v>
      </c>
      <c r="H130" t="s">
        <v>34</v>
      </c>
      <c r="I130">
        <v>14094</v>
      </c>
    </row>
    <row r="131" spans="1:9" x14ac:dyDescent="0.3">
      <c r="A131">
        <v>130</v>
      </c>
      <c r="B131" t="s">
        <v>647</v>
      </c>
      <c r="C131" t="s">
        <v>648</v>
      </c>
      <c r="D131" t="s">
        <v>649</v>
      </c>
      <c r="E131" t="s">
        <v>650</v>
      </c>
      <c r="F131" t="s">
        <v>651</v>
      </c>
      <c r="G131" t="s">
        <v>485</v>
      </c>
      <c r="H131" t="s">
        <v>34</v>
      </c>
      <c r="I131">
        <v>12180</v>
      </c>
    </row>
    <row r="132" spans="1:9" x14ac:dyDescent="0.3">
      <c r="A132">
        <v>131</v>
      </c>
      <c r="B132" t="s">
        <v>652</v>
      </c>
      <c r="C132" t="s">
        <v>653</v>
      </c>
      <c r="D132" t="s">
        <v>5611</v>
      </c>
      <c r="E132" t="s">
        <v>654</v>
      </c>
      <c r="F132" t="s">
        <v>655</v>
      </c>
      <c r="G132" t="s">
        <v>529</v>
      </c>
      <c r="H132" t="s">
        <v>34</v>
      </c>
      <c r="I132">
        <v>11791</v>
      </c>
    </row>
    <row r="133" spans="1:9" x14ac:dyDescent="0.3">
      <c r="A133">
        <v>132</v>
      </c>
      <c r="B133" t="s">
        <v>656</v>
      </c>
      <c r="C133" t="s">
        <v>657</v>
      </c>
      <c r="D133" t="s">
        <v>5611</v>
      </c>
      <c r="E133" t="s">
        <v>658</v>
      </c>
      <c r="F133" t="s">
        <v>659</v>
      </c>
      <c r="G133" t="s">
        <v>660</v>
      </c>
      <c r="H133" t="s">
        <v>34</v>
      </c>
      <c r="I133">
        <v>14075</v>
      </c>
    </row>
    <row r="134" spans="1:9" x14ac:dyDescent="0.3">
      <c r="A134">
        <v>133</v>
      </c>
      <c r="B134" t="s">
        <v>661</v>
      </c>
      <c r="C134" t="s">
        <v>662</v>
      </c>
      <c r="D134" t="s">
        <v>5611</v>
      </c>
      <c r="E134" t="s">
        <v>663</v>
      </c>
      <c r="F134" t="s">
        <v>664</v>
      </c>
      <c r="G134" t="s">
        <v>665</v>
      </c>
      <c r="H134" t="s">
        <v>34</v>
      </c>
      <c r="I134">
        <v>11727</v>
      </c>
    </row>
    <row r="135" spans="1:9" x14ac:dyDescent="0.3">
      <c r="A135">
        <v>134</v>
      </c>
      <c r="B135" t="s">
        <v>666</v>
      </c>
      <c r="C135" t="s">
        <v>667</v>
      </c>
      <c r="D135" t="s">
        <v>668</v>
      </c>
      <c r="E135" t="s">
        <v>669</v>
      </c>
      <c r="F135" t="s">
        <v>670</v>
      </c>
      <c r="G135" t="s">
        <v>93</v>
      </c>
      <c r="H135" t="s">
        <v>34</v>
      </c>
      <c r="I135">
        <v>11550</v>
      </c>
    </row>
    <row r="136" spans="1:9" x14ac:dyDescent="0.3">
      <c r="A136">
        <v>135</v>
      </c>
      <c r="B136" t="s">
        <v>671</v>
      </c>
      <c r="C136" t="s">
        <v>272</v>
      </c>
      <c r="D136" t="s">
        <v>672</v>
      </c>
      <c r="E136" t="s">
        <v>673</v>
      </c>
      <c r="F136" t="s">
        <v>674</v>
      </c>
      <c r="G136" t="s">
        <v>251</v>
      </c>
      <c r="H136" t="s">
        <v>99</v>
      </c>
      <c r="I136">
        <v>77016</v>
      </c>
    </row>
    <row r="137" spans="1:9" x14ac:dyDescent="0.3">
      <c r="A137">
        <v>136</v>
      </c>
      <c r="B137" t="s">
        <v>675</v>
      </c>
      <c r="C137" t="s">
        <v>414</v>
      </c>
      <c r="D137" t="s">
        <v>5611</v>
      </c>
      <c r="E137" t="s">
        <v>676</v>
      </c>
      <c r="F137" t="s">
        <v>677</v>
      </c>
      <c r="G137" t="s">
        <v>104</v>
      </c>
      <c r="H137" t="s">
        <v>99</v>
      </c>
      <c r="I137">
        <v>75126</v>
      </c>
    </row>
    <row r="138" spans="1:9" x14ac:dyDescent="0.3">
      <c r="A138">
        <v>137</v>
      </c>
      <c r="B138" t="s">
        <v>678</v>
      </c>
      <c r="C138" t="s">
        <v>679</v>
      </c>
      <c r="D138" t="s">
        <v>5611</v>
      </c>
      <c r="E138" t="s">
        <v>680</v>
      </c>
      <c r="F138" t="s">
        <v>681</v>
      </c>
      <c r="G138" t="s">
        <v>682</v>
      </c>
      <c r="H138" t="s">
        <v>34</v>
      </c>
      <c r="I138">
        <v>11758</v>
      </c>
    </row>
    <row r="139" spans="1:9" x14ac:dyDescent="0.3">
      <c r="A139">
        <v>138</v>
      </c>
      <c r="B139" t="s">
        <v>683</v>
      </c>
      <c r="C139" t="s">
        <v>684</v>
      </c>
      <c r="D139" t="s">
        <v>685</v>
      </c>
      <c r="E139" t="s">
        <v>686</v>
      </c>
      <c r="F139" t="s">
        <v>687</v>
      </c>
      <c r="G139" t="s">
        <v>564</v>
      </c>
      <c r="H139" t="s">
        <v>40</v>
      </c>
      <c r="I139">
        <v>92806</v>
      </c>
    </row>
    <row r="140" spans="1:9" x14ac:dyDescent="0.3">
      <c r="A140">
        <v>139</v>
      </c>
      <c r="B140" t="s">
        <v>688</v>
      </c>
      <c r="C140" t="s">
        <v>689</v>
      </c>
      <c r="D140" t="s">
        <v>5611</v>
      </c>
      <c r="E140" t="s">
        <v>690</v>
      </c>
      <c r="F140" t="s">
        <v>691</v>
      </c>
      <c r="G140" t="s">
        <v>692</v>
      </c>
      <c r="H140" t="s">
        <v>34</v>
      </c>
      <c r="I140">
        <v>10977</v>
      </c>
    </row>
    <row r="141" spans="1:9" x14ac:dyDescent="0.3">
      <c r="A141">
        <v>140</v>
      </c>
      <c r="B141" t="s">
        <v>693</v>
      </c>
      <c r="C141" t="s">
        <v>694</v>
      </c>
      <c r="D141" t="s">
        <v>5611</v>
      </c>
      <c r="E141" t="s">
        <v>695</v>
      </c>
      <c r="F141" t="s">
        <v>696</v>
      </c>
      <c r="G141" t="s">
        <v>291</v>
      </c>
      <c r="H141" t="s">
        <v>34</v>
      </c>
      <c r="I141">
        <v>11369</v>
      </c>
    </row>
    <row r="142" spans="1:9" x14ac:dyDescent="0.3">
      <c r="A142">
        <v>141</v>
      </c>
      <c r="B142" t="s">
        <v>697</v>
      </c>
      <c r="C142" t="s">
        <v>698</v>
      </c>
      <c r="D142" t="s">
        <v>5611</v>
      </c>
      <c r="E142" t="s">
        <v>699</v>
      </c>
      <c r="F142" t="s">
        <v>700</v>
      </c>
      <c r="G142" t="s">
        <v>701</v>
      </c>
      <c r="H142" t="s">
        <v>34</v>
      </c>
      <c r="I142">
        <v>11412</v>
      </c>
    </row>
    <row r="143" spans="1:9" x14ac:dyDescent="0.3">
      <c r="A143">
        <v>142</v>
      </c>
      <c r="B143" t="s">
        <v>702</v>
      </c>
      <c r="C143" t="s">
        <v>703</v>
      </c>
      <c r="D143" t="s">
        <v>5611</v>
      </c>
      <c r="E143" t="s">
        <v>704</v>
      </c>
      <c r="F143" t="s">
        <v>705</v>
      </c>
      <c r="G143" t="s">
        <v>572</v>
      </c>
      <c r="H143" t="s">
        <v>34</v>
      </c>
      <c r="I143">
        <v>11552</v>
      </c>
    </row>
    <row r="144" spans="1:9" x14ac:dyDescent="0.3">
      <c r="A144">
        <v>143</v>
      </c>
      <c r="B144" t="s">
        <v>706</v>
      </c>
      <c r="C144" t="s">
        <v>707</v>
      </c>
      <c r="D144" t="s">
        <v>5611</v>
      </c>
      <c r="E144" t="s">
        <v>708</v>
      </c>
      <c r="F144" t="s">
        <v>709</v>
      </c>
      <c r="G144" t="s">
        <v>72</v>
      </c>
      <c r="H144" t="s">
        <v>34</v>
      </c>
      <c r="I144">
        <v>11372</v>
      </c>
    </row>
    <row r="145" spans="1:9" x14ac:dyDescent="0.3">
      <c r="A145">
        <v>144</v>
      </c>
      <c r="B145" t="s">
        <v>710</v>
      </c>
      <c r="C145" t="s">
        <v>711</v>
      </c>
      <c r="D145" t="s">
        <v>5611</v>
      </c>
      <c r="E145" t="s">
        <v>712</v>
      </c>
      <c r="F145" t="s">
        <v>713</v>
      </c>
      <c r="G145" t="s">
        <v>714</v>
      </c>
      <c r="H145" t="s">
        <v>34</v>
      </c>
      <c r="I145">
        <v>10573</v>
      </c>
    </row>
    <row r="146" spans="1:9" x14ac:dyDescent="0.3">
      <c r="A146">
        <v>145</v>
      </c>
      <c r="B146" t="s">
        <v>715</v>
      </c>
      <c r="C146" t="s">
        <v>716</v>
      </c>
      <c r="D146" t="s">
        <v>5611</v>
      </c>
      <c r="E146" t="s">
        <v>717</v>
      </c>
      <c r="F146" t="s">
        <v>718</v>
      </c>
      <c r="G146" t="s">
        <v>719</v>
      </c>
      <c r="H146" t="s">
        <v>34</v>
      </c>
      <c r="I146">
        <v>10301</v>
      </c>
    </row>
    <row r="147" spans="1:9" x14ac:dyDescent="0.3">
      <c r="A147">
        <v>146</v>
      </c>
      <c r="B147" t="s">
        <v>720</v>
      </c>
      <c r="C147" t="s">
        <v>721</v>
      </c>
      <c r="D147" t="s">
        <v>5611</v>
      </c>
      <c r="E147" t="s">
        <v>722</v>
      </c>
      <c r="F147" t="s">
        <v>723</v>
      </c>
      <c r="G147" t="s">
        <v>494</v>
      </c>
      <c r="H147" t="s">
        <v>34</v>
      </c>
      <c r="I147">
        <v>12866</v>
      </c>
    </row>
    <row r="148" spans="1:9" x14ac:dyDescent="0.3">
      <c r="A148">
        <v>147</v>
      </c>
      <c r="B148" t="s">
        <v>724</v>
      </c>
      <c r="C148" t="s">
        <v>725</v>
      </c>
      <c r="D148" t="s">
        <v>5611</v>
      </c>
      <c r="E148" t="s">
        <v>726</v>
      </c>
      <c r="F148" t="s">
        <v>727</v>
      </c>
      <c r="G148" t="s">
        <v>728</v>
      </c>
      <c r="H148" t="s">
        <v>34</v>
      </c>
      <c r="I148">
        <v>11787</v>
      </c>
    </row>
    <row r="149" spans="1:9" x14ac:dyDescent="0.3">
      <c r="A149">
        <v>148</v>
      </c>
      <c r="B149" t="s">
        <v>729</v>
      </c>
      <c r="C149" t="s">
        <v>730</v>
      </c>
      <c r="D149" t="s">
        <v>5611</v>
      </c>
      <c r="E149" t="s">
        <v>731</v>
      </c>
      <c r="F149" t="s">
        <v>732</v>
      </c>
      <c r="G149" t="s">
        <v>245</v>
      </c>
      <c r="H149" t="s">
        <v>34</v>
      </c>
      <c r="I149">
        <v>11418</v>
      </c>
    </row>
    <row r="150" spans="1:9" x14ac:dyDescent="0.3">
      <c r="A150">
        <v>149</v>
      </c>
      <c r="B150" t="s">
        <v>733</v>
      </c>
      <c r="C150" t="s">
        <v>734</v>
      </c>
      <c r="D150" t="s">
        <v>5611</v>
      </c>
      <c r="E150" t="s">
        <v>735</v>
      </c>
      <c r="F150" t="s">
        <v>736</v>
      </c>
      <c r="G150" t="s">
        <v>692</v>
      </c>
      <c r="H150" t="s">
        <v>34</v>
      </c>
      <c r="I150">
        <v>10977</v>
      </c>
    </row>
    <row r="151" spans="1:9" x14ac:dyDescent="0.3">
      <c r="A151">
        <v>150</v>
      </c>
      <c r="B151" t="s">
        <v>737</v>
      </c>
      <c r="C151" t="s">
        <v>738</v>
      </c>
      <c r="D151" t="s">
        <v>5611</v>
      </c>
      <c r="E151" t="s">
        <v>739</v>
      </c>
      <c r="F151" t="s">
        <v>740</v>
      </c>
      <c r="G151" t="s">
        <v>741</v>
      </c>
      <c r="H151" t="s">
        <v>34</v>
      </c>
      <c r="I151">
        <v>11743</v>
      </c>
    </row>
    <row r="152" spans="1:9" x14ac:dyDescent="0.3">
      <c r="A152">
        <v>151</v>
      </c>
      <c r="B152" t="s">
        <v>742</v>
      </c>
      <c r="C152" t="s">
        <v>743</v>
      </c>
      <c r="D152" t="s">
        <v>5611</v>
      </c>
      <c r="E152" t="s">
        <v>744</v>
      </c>
      <c r="F152" t="s">
        <v>745</v>
      </c>
      <c r="G152" t="s">
        <v>154</v>
      </c>
      <c r="H152" t="s">
        <v>40</v>
      </c>
      <c r="I152">
        <v>95301</v>
      </c>
    </row>
    <row r="153" spans="1:9" x14ac:dyDescent="0.3">
      <c r="A153">
        <v>152</v>
      </c>
      <c r="B153" t="s">
        <v>746</v>
      </c>
      <c r="C153" t="s">
        <v>747</v>
      </c>
      <c r="D153" t="s">
        <v>5611</v>
      </c>
      <c r="E153" t="s">
        <v>748</v>
      </c>
      <c r="F153" t="s">
        <v>749</v>
      </c>
      <c r="G153" t="s">
        <v>750</v>
      </c>
      <c r="H153" t="s">
        <v>34</v>
      </c>
      <c r="I153">
        <v>11803</v>
      </c>
    </row>
    <row r="154" spans="1:9" x14ac:dyDescent="0.3">
      <c r="A154">
        <v>153</v>
      </c>
      <c r="B154" t="s">
        <v>751</v>
      </c>
      <c r="C154" t="s">
        <v>752</v>
      </c>
      <c r="D154" t="s">
        <v>5611</v>
      </c>
      <c r="E154" t="s">
        <v>753</v>
      </c>
      <c r="F154" t="s">
        <v>754</v>
      </c>
      <c r="G154" t="s">
        <v>333</v>
      </c>
      <c r="H154" t="s">
        <v>99</v>
      </c>
      <c r="I154">
        <v>76901</v>
      </c>
    </row>
    <row r="155" spans="1:9" x14ac:dyDescent="0.3">
      <c r="A155">
        <v>154</v>
      </c>
      <c r="B155" t="s">
        <v>755</v>
      </c>
      <c r="C155" t="s">
        <v>756</v>
      </c>
      <c r="D155" t="s">
        <v>5611</v>
      </c>
      <c r="E155" t="s">
        <v>757</v>
      </c>
      <c r="F155" t="s">
        <v>758</v>
      </c>
      <c r="G155" t="s">
        <v>759</v>
      </c>
      <c r="H155" t="s">
        <v>99</v>
      </c>
      <c r="I155">
        <v>78023</v>
      </c>
    </row>
    <row r="156" spans="1:9" x14ac:dyDescent="0.3">
      <c r="A156">
        <v>155</v>
      </c>
      <c r="B156" t="s">
        <v>760</v>
      </c>
      <c r="C156" t="s">
        <v>761</v>
      </c>
      <c r="D156" t="s">
        <v>5611</v>
      </c>
      <c r="E156" t="s">
        <v>762</v>
      </c>
      <c r="F156" t="s">
        <v>763</v>
      </c>
      <c r="G156" t="s">
        <v>764</v>
      </c>
      <c r="H156" t="s">
        <v>34</v>
      </c>
      <c r="I156">
        <v>11706</v>
      </c>
    </row>
    <row r="157" spans="1:9" x14ac:dyDescent="0.3">
      <c r="A157">
        <v>156</v>
      </c>
      <c r="B157" t="s">
        <v>765</v>
      </c>
      <c r="C157" t="s">
        <v>766</v>
      </c>
      <c r="D157" t="s">
        <v>5611</v>
      </c>
      <c r="E157" t="s">
        <v>767</v>
      </c>
      <c r="F157" t="s">
        <v>768</v>
      </c>
      <c r="G157" t="s">
        <v>769</v>
      </c>
      <c r="H157" t="s">
        <v>34</v>
      </c>
      <c r="I157">
        <v>11795</v>
      </c>
    </row>
    <row r="158" spans="1:9" x14ac:dyDescent="0.3">
      <c r="A158">
        <v>157</v>
      </c>
      <c r="B158" t="s">
        <v>770</v>
      </c>
      <c r="C158" t="s">
        <v>771</v>
      </c>
      <c r="D158" t="s">
        <v>5611</v>
      </c>
      <c r="E158" t="s">
        <v>772</v>
      </c>
      <c r="F158" t="s">
        <v>773</v>
      </c>
      <c r="G158" t="s">
        <v>774</v>
      </c>
      <c r="H158" t="s">
        <v>40</v>
      </c>
      <c r="I158">
        <v>92220</v>
      </c>
    </row>
    <row r="159" spans="1:9" x14ac:dyDescent="0.3">
      <c r="A159">
        <v>158</v>
      </c>
      <c r="B159" t="s">
        <v>775</v>
      </c>
      <c r="C159" t="s">
        <v>369</v>
      </c>
      <c r="D159" t="s">
        <v>5611</v>
      </c>
      <c r="E159" t="s">
        <v>776</v>
      </c>
      <c r="F159" t="s">
        <v>777</v>
      </c>
      <c r="G159" t="s">
        <v>692</v>
      </c>
      <c r="H159" t="s">
        <v>34</v>
      </c>
      <c r="I159">
        <v>10977</v>
      </c>
    </row>
    <row r="160" spans="1:9" x14ac:dyDescent="0.3">
      <c r="A160">
        <v>159</v>
      </c>
      <c r="B160" t="s">
        <v>778</v>
      </c>
      <c r="C160" t="s">
        <v>779</v>
      </c>
      <c r="D160" t="s">
        <v>5611</v>
      </c>
      <c r="E160" t="s">
        <v>780</v>
      </c>
      <c r="F160" t="s">
        <v>781</v>
      </c>
      <c r="G160" t="s">
        <v>357</v>
      </c>
      <c r="H160" t="s">
        <v>99</v>
      </c>
      <c r="I160">
        <v>75043</v>
      </c>
    </row>
    <row r="161" spans="1:9" x14ac:dyDescent="0.3">
      <c r="A161">
        <v>160</v>
      </c>
      <c r="B161" t="s">
        <v>782</v>
      </c>
      <c r="C161" t="s">
        <v>783</v>
      </c>
      <c r="D161" t="s">
        <v>5611</v>
      </c>
      <c r="E161" t="s">
        <v>784</v>
      </c>
      <c r="F161" t="s">
        <v>785</v>
      </c>
      <c r="G161" t="s">
        <v>367</v>
      </c>
      <c r="H161" t="s">
        <v>99</v>
      </c>
      <c r="I161">
        <v>75088</v>
      </c>
    </row>
    <row r="162" spans="1:9" x14ac:dyDescent="0.3">
      <c r="A162">
        <v>161</v>
      </c>
      <c r="B162" t="s">
        <v>786</v>
      </c>
      <c r="C162" t="s">
        <v>787</v>
      </c>
      <c r="D162" t="s">
        <v>5611</v>
      </c>
      <c r="E162" t="s">
        <v>788</v>
      </c>
      <c r="F162" t="s">
        <v>789</v>
      </c>
      <c r="G162" t="s">
        <v>728</v>
      </c>
      <c r="H162" t="s">
        <v>34</v>
      </c>
      <c r="I162">
        <v>11787</v>
      </c>
    </row>
    <row r="163" spans="1:9" x14ac:dyDescent="0.3">
      <c r="A163">
        <v>162</v>
      </c>
      <c r="B163" t="s">
        <v>790</v>
      </c>
      <c r="C163" t="s">
        <v>791</v>
      </c>
      <c r="D163" t="s">
        <v>5611</v>
      </c>
      <c r="E163" t="s">
        <v>792</v>
      </c>
      <c r="F163" t="s">
        <v>793</v>
      </c>
      <c r="G163" t="s">
        <v>634</v>
      </c>
      <c r="H163" t="s">
        <v>34</v>
      </c>
      <c r="I163">
        <v>12550</v>
      </c>
    </row>
    <row r="164" spans="1:9" x14ac:dyDescent="0.3">
      <c r="A164">
        <v>163</v>
      </c>
      <c r="B164" t="s">
        <v>794</v>
      </c>
      <c r="C164" t="s">
        <v>795</v>
      </c>
      <c r="D164" t="s">
        <v>5611</v>
      </c>
      <c r="E164" t="s">
        <v>796</v>
      </c>
      <c r="F164" t="s">
        <v>797</v>
      </c>
      <c r="G164" t="s">
        <v>352</v>
      </c>
      <c r="H164" t="s">
        <v>34</v>
      </c>
      <c r="I164">
        <v>13440</v>
      </c>
    </row>
    <row r="165" spans="1:9" x14ac:dyDescent="0.3">
      <c r="A165">
        <v>164</v>
      </c>
      <c r="B165" t="s">
        <v>798</v>
      </c>
      <c r="C165" t="s">
        <v>799</v>
      </c>
      <c r="D165" t="s">
        <v>5611</v>
      </c>
      <c r="E165" t="s">
        <v>800</v>
      </c>
      <c r="F165" t="s">
        <v>801</v>
      </c>
      <c r="G165" t="s">
        <v>802</v>
      </c>
      <c r="H165" t="s">
        <v>34</v>
      </c>
      <c r="I165">
        <v>11377</v>
      </c>
    </row>
    <row r="166" spans="1:9" x14ac:dyDescent="0.3">
      <c r="A166">
        <v>165</v>
      </c>
      <c r="B166" t="s">
        <v>803</v>
      </c>
      <c r="C166" t="s">
        <v>804</v>
      </c>
      <c r="D166" t="s">
        <v>805</v>
      </c>
      <c r="E166" t="s">
        <v>806</v>
      </c>
      <c r="F166" t="s">
        <v>807</v>
      </c>
      <c r="G166" t="s">
        <v>558</v>
      </c>
      <c r="H166" t="s">
        <v>40</v>
      </c>
      <c r="I166">
        <v>95127</v>
      </c>
    </row>
    <row r="167" spans="1:9" x14ac:dyDescent="0.3">
      <c r="A167">
        <v>166</v>
      </c>
      <c r="B167" t="s">
        <v>808</v>
      </c>
      <c r="C167" t="s">
        <v>809</v>
      </c>
      <c r="D167" t="s">
        <v>5611</v>
      </c>
      <c r="E167" t="s">
        <v>810</v>
      </c>
      <c r="F167" t="s">
        <v>811</v>
      </c>
      <c r="G167" t="s">
        <v>538</v>
      </c>
      <c r="H167" t="s">
        <v>34</v>
      </c>
      <c r="I167">
        <v>11421</v>
      </c>
    </row>
    <row r="168" spans="1:9" x14ac:dyDescent="0.3">
      <c r="A168">
        <v>167</v>
      </c>
      <c r="B168" t="s">
        <v>812</v>
      </c>
      <c r="C168" t="s">
        <v>813</v>
      </c>
      <c r="D168" t="s">
        <v>5611</v>
      </c>
      <c r="E168" t="s">
        <v>814</v>
      </c>
      <c r="F168" t="s">
        <v>815</v>
      </c>
      <c r="G168" t="s">
        <v>692</v>
      </c>
      <c r="H168" t="s">
        <v>34</v>
      </c>
      <c r="I168">
        <v>10977</v>
      </c>
    </row>
    <row r="169" spans="1:9" x14ac:dyDescent="0.3">
      <c r="A169">
        <v>168</v>
      </c>
      <c r="B169" t="s">
        <v>816</v>
      </c>
      <c r="C169" t="s">
        <v>211</v>
      </c>
      <c r="D169" t="s">
        <v>5611</v>
      </c>
      <c r="E169" t="s">
        <v>817</v>
      </c>
      <c r="F169" t="s">
        <v>818</v>
      </c>
      <c r="G169" t="s">
        <v>819</v>
      </c>
      <c r="H169" t="s">
        <v>34</v>
      </c>
      <c r="I169">
        <v>11420</v>
      </c>
    </row>
    <row r="170" spans="1:9" x14ac:dyDescent="0.3">
      <c r="A170">
        <v>169</v>
      </c>
      <c r="B170" t="s">
        <v>820</v>
      </c>
      <c r="C170" t="s">
        <v>821</v>
      </c>
      <c r="D170" t="s">
        <v>5611</v>
      </c>
      <c r="E170" t="s">
        <v>822</v>
      </c>
      <c r="F170" t="s">
        <v>823</v>
      </c>
      <c r="G170" t="s">
        <v>200</v>
      </c>
      <c r="H170" t="s">
        <v>40</v>
      </c>
      <c r="I170">
        <v>90274</v>
      </c>
    </row>
    <row r="171" spans="1:9" x14ac:dyDescent="0.3">
      <c r="A171">
        <v>170</v>
      </c>
      <c r="B171" t="s">
        <v>824</v>
      </c>
      <c r="C171" t="s">
        <v>825</v>
      </c>
      <c r="D171" t="s">
        <v>826</v>
      </c>
      <c r="E171" t="s">
        <v>827</v>
      </c>
      <c r="F171" t="s">
        <v>828</v>
      </c>
      <c r="G171" t="s">
        <v>829</v>
      </c>
      <c r="H171" t="s">
        <v>40</v>
      </c>
      <c r="I171">
        <v>93035</v>
      </c>
    </row>
    <row r="172" spans="1:9" x14ac:dyDescent="0.3">
      <c r="A172">
        <v>171</v>
      </c>
      <c r="B172" t="s">
        <v>830</v>
      </c>
      <c r="C172" t="s">
        <v>831</v>
      </c>
      <c r="D172" t="s">
        <v>5611</v>
      </c>
      <c r="E172" t="s">
        <v>832</v>
      </c>
      <c r="F172" t="s">
        <v>833</v>
      </c>
      <c r="G172" t="s">
        <v>50</v>
      </c>
      <c r="H172" t="s">
        <v>34</v>
      </c>
      <c r="I172">
        <v>11553</v>
      </c>
    </row>
    <row r="173" spans="1:9" x14ac:dyDescent="0.3">
      <c r="A173">
        <v>172</v>
      </c>
      <c r="B173" t="s">
        <v>834</v>
      </c>
      <c r="C173" t="s">
        <v>364</v>
      </c>
      <c r="D173" t="s">
        <v>5611</v>
      </c>
      <c r="E173" t="s">
        <v>835</v>
      </c>
      <c r="F173" t="s">
        <v>836</v>
      </c>
      <c r="G173" t="s">
        <v>837</v>
      </c>
      <c r="H173" t="s">
        <v>40</v>
      </c>
      <c r="I173">
        <v>95050</v>
      </c>
    </row>
    <row r="174" spans="1:9" x14ac:dyDescent="0.3">
      <c r="A174">
        <v>173</v>
      </c>
      <c r="B174" t="s">
        <v>838</v>
      </c>
      <c r="C174" t="s">
        <v>839</v>
      </c>
      <c r="D174" t="s">
        <v>5611</v>
      </c>
      <c r="E174" t="s">
        <v>840</v>
      </c>
      <c r="F174" t="s">
        <v>841</v>
      </c>
      <c r="G174" t="s">
        <v>357</v>
      </c>
      <c r="H174" t="s">
        <v>99</v>
      </c>
      <c r="I174">
        <v>75043</v>
      </c>
    </row>
    <row r="175" spans="1:9" x14ac:dyDescent="0.3">
      <c r="A175">
        <v>174</v>
      </c>
      <c r="B175" t="s">
        <v>842</v>
      </c>
      <c r="C175" t="s">
        <v>843</v>
      </c>
      <c r="D175" t="s">
        <v>5611</v>
      </c>
      <c r="E175" t="s">
        <v>844</v>
      </c>
      <c r="F175" t="s">
        <v>845</v>
      </c>
      <c r="G175" t="s">
        <v>120</v>
      </c>
      <c r="H175" t="s">
        <v>34</v>
      </c>
      <c r="I175">
        <v>10583</v>
      </c>
    </row>
    <row r="176" spans="1:9" x14ac:dyDescent="0.3">
      <c r="A176">
        <v>175</v>
      </c>
      <c r="B176" t="s">
        <v>846</v>
      </c>
      <c r="C176" t="s">
        <v>847</v>
      </c>
      <c r="D176" t="s">
        <v>5611</v>
      </c>
      <c r="E176" t="s">
        <v>848</v>
      </c>
      <c r="F176" t="s">
        <v>849</v>
      </c>
      <c r="G176" t="s">
        <v>454</v>
      </c>
      <c r="H176" t="s">
        <v>40</v>
      </c>
      <c r="I176">
        <v>91010</v>
      </c>
    </row>
    <row r="177" spans="1:9" x14ac:dyDescent="0.3">
      <c r="A177">
        <v>176</v>
      </c>
      <c r="B177" t="s">
        <v>850</v>
      </c>
      <c r="C177" t="s">
        <v>851</v>
      </c>
      <c r="D177" t="s">
        <v>5611</v>
      </c>
      <c r="E177" t="s">
        <v>852</v>
      </c>
      <c r="F177" t="s">
        <v>853</v>
      </c>
      <c r="G177" t="s">
        <v>385</v>
      </c>
      <c r="H177" t="s">
        <v>40</v>
      </c>
      <c r="I177">
        <v>91733</v>
      </c>
    </row>
    <row r="178" spans="1:9" x14ac:dyDescent="0.3">
      <c r="A178">
        <v>177</v>
      </c>
      <c r="B178" t="s">
        <v>854</v>
      </c>
      <c r="C178" t="s">
        <v>855</v>
      </c>
      <c r="D178" t="s">
        <v>5611</v>
      </c>
      <c r="E178" t="s">
        <v>856</v>
      </c>
      <c r="F178" t="s">
        <v>857</v>
      </c>
      <c r="G178" t="s">
        <v>219</v>
      </c>
      <c r="H178" t="s">
        <v>34</v>
      </c>
      <c r="I178">
        <v>11378</v>
      </c>
    </row>
    <row r="179" spans="1:9" x14ac:dyDescent="0.3">
      <c r="A179">
        <v>178</v>
      </c>
      <c r="B179" t="s">
        <v>73</v>
      </c>
      <c r="C179" t="s">
        <v>858</v>
      </c>
      <c r="D179" t="s">
        <v>859</v>
      </c>
      <c r="E179" t="s">
        <v>860</v>
      </c>
      <c r="F179" t="s">
        <v>861</v>
      </c>
      <c r="G179" t="s">
        <v>115</v>
      </c>
      <c r="H179" t="s">
        <v>34</v>
      </c>
      <c r="I179">
        <v>10002</v>
      </c>
    </row>
    <row r="180" spans="1:9" x14ac:dyDescent="0.3">
      <c r="A180">
        <v>179</v>
      </c>
      <c r="B180" t="s">
        <v>862</v>
      </c>
      <c r="C180" t="s">
        <v>554</v>
      </c>
      <c r="D180" t="s">
        <v>5611</v>
      </c>
      <c r="E180" t="s">
        <v>863</v>
      </c>
      <c r="F180" t="s">
        <v>864</v>
      </c>
      <c r="G180" t="s">
        <v>598</v>
      </c>
      <c r="H180" t="s">
        <v>34</v>
      </c>
      <c r="I180">
        <v>14534</v>
      </c>
    </row>
    <row r="181" spans="1:9" x14ac:dyDescent="0.3">
      <c r="A181">
        <v>180</v>
      </c>
      <c r="B181" t="s">
        <v>865</v>
      </c>
      <c r="C181" t="s">
        <v>866</v>
      </c>
      <c r="D181" t="s">
        <v>5611</v>
      </c>
      <c r="E181" t="s">
        <v>867</v>
      </c>
      <c r="F181" t="s">
        <v>868</v>
      </c>
      <c r="G181" t="s">
        <v>479</v>
      </c>
      <c r="H181" t="s">
        <v>34</v>
      </c>
      <c r="I181">
        <v>11735</v>
      </c>
    </row>
    <row r="182" spans="1:9" x14ac:dyDescent="0.3">
      <c r="A182">
        <v>181</v>
      </c>
      <c r="B182" t="s">
        <v>869</v>
      </c>
      <c r="C182" t="s">
        <v>870</v>
      </c>
      <c r="D182" t="s">
        <v>5611</v>
      </c>
      <c r="E182" t="s">
        <v>871</v>
      </c>
      <c r="F182" t="s">
        <v>872</v>
      </c>
      <c r="G182" t="s">
        <v>45</v>
      </c>
      <c r="H182" t="s">
        <v>40</v>
      </c>
      <c r="I182">
        <v>90278</v>
      </c>
    </row>
    <row r="183" spans="1:9" x14ac:dyDescent="0.3">
      <c r="A183">
        <v>182</v>
      </c>
      <c r="B183" t="s">
        <v>873</v>
      </c>
      <c r="C183" t="s">
        <v>456</v>
      </c>
      <c r="D183" t="s">
        <v>5611</v>
      </c>
      <c r="E183" t="s">
        <v>874</v>
      </c>
      <c r="F183" t="s">
        <v>875</v>
      </c>
      <c r="G183" t="s">
        <v>764</v>
      </c>
      <c r="H183" t="s">
        <v>34</v>
      </c>
      <c r="I183">
        <v>11706</v>
      </c>
    </row>
    <row r="184" spans="1:9" x14ac:dyDescent="0.3">
      <c r="A184">
        <v>183</v>
      </c>
      <c r="B184" t="s">
        <v>876</v>
      </c>
      <c r="C184" t="s">
        <v>877</v>
      </c>
      <c r="D184" t="s">
        <v>5611</v>
      </c>
      <c r="E184" t="s">
        <v>878</v>
      </c>
      <c r="F184" t="s">
        <v>879</v>
      </c>
      <c r="G184" t="s">
        <v>552</v>
      </c>
      <c r="H184" t="s">
        <v>34</v>
      </c>
      <c r="I184">
        <v>11001</v>
      </c>
    </row>
    <row r="185" spans="1:9" x14ac:dyDescent="0.3">
      <c r="A185">
        <v>184</v>
      </c>
      <c r="B185" t="s">
        <v>880</v>
      </c>
      <c r="C185" t="s">
        <v>320</v>
      </c>
      <c r="D185" t="s">
        <v>5611</v>
      </c>
      <c r="E185" t="s">
        <v>881</v>
      </c>
      <c r="F185" t="s">
        <v>882</v>
      </c>
      <c r="G185" t="s">
        <v>883</v>
      </c>
      <c r="H185" t="s">
        <v>34</v>
      </c>
      <c r="I185">
        <v>14580</v>
      </c>
    </row>
    <row r="186" spans="1:9" x14ac:dyDescent="0.3">
      <c r="A186">
        <v>185</v>
      </c>
      <c r="B186" t="s">
        <v>884</v>
      </c>
      <c r="C186" t="s">
        <v>885</v>
      </c>
      <c r="D186" t="s">
        <v>5611</v>
      </c>
      <c r="E186" t="s">
        <v>886</v>
      </c>
      <c r="F186" t="s">
        <v>887</v>
      </c>
      <c r="G186" t="s">
        <v>333</v>
      </c>
      <c r="H186" t="s">
        <v>99</v>
      </c>
      <c r="I186">
        <v>76901</v>
      </c>
    </row>
    <row r="187" spans="1:9" x14ac:dyDescent="0.3">
      <c r="A187">
        <v>186</v>
      </c>
      <c r="B187" t="s">
        <v>888</v>
      </c>
      <c r="C187" t="s">
        <v>889</v>
      </c>
      <c r="D187" t="s">
        <v>5611</v>
      </c>
      <c r="E187" t="s">
        <v>890</v>
      </c>
      <c r="F187" t="s">
        <v>891</v>
      </c>
      <c r="G187" t="s">
        <v>87</v>
      </c>
      <c r="H187" t="s">
        <v>34</v>
      </c>
      <c r="I187">
        <v>10952</v>
      </c>
    </row>
    <row r="188" spans="1:9" x14ac:dyDescent="0.3">
      <c r="A188">
        <v>187</v>
      </c>
      <c r="B188" t="s">
        <v>892</v>
      </c>
      <c r="C188" t="s">
        <v>893</v>
      </c>
      <c r="D188" t="s">
        <v>5611</v>
      </c>
      <c r="E188" t="s">
        <v>894</v>
      </c>
      <c r="F188" t="s">
        <v>895</v>
      </c>
      <c r="G188" t="s">
        <v>896</v>
      </c>
      <c r="H188" t="s">
        <v>40</v>
      </c>
      <c r="I188">
        <v>92307</v>
      </c>
    </row>
    <row r="189" spans="1:9" x14ac:dyDescent="0.3">
      <c r="A189">
        <v>188</v>
      </c>
      <c r="B189" t="s">
        <v>897</v>
      </c>
      <c r="C189" t="s">
        <v>898</v>
      </c>
      <c r="D189" t="s">
        <v>899</v>
      </c>
      <c r="E189" t="s">
        <v>900</v>
      </c>
      <c r="F189" t="s">
        <v>901</v>
      </c>
      <c r="G189" t="s">
        <v>829</v>
      </c>
      <c r="H189" t="s">
        <v>40</v>
      </c>
      <c r="I189">
        <v>93035</v>
      </c>
    </row>
    <row r="190" spans="1:9" x14ac:dyDescent="0.3">
      <c r="A190">
        <v>189</v>
      </c>
      <c r="B190" t="s">
        <v>902</v>
      </c>
      <c r="C190" t="s">
        <v>839</v>
      </c>
      <c r="D190" t="s">
        <v>5611</v>
      </c>
      <c r="E190" t="s">
        <v>903</v>
      </c>
      <c r="F190" t="s">
        <v>904</v>
      </c>
      <c r="G190" t="s">
        <v>214</v>
      </c>
      <c r="H190" t="s">
        <v>34</v>
      </c>
      <c r="I190">
        <v>13090</v>
      </c>
    </row>
    <row r="191" spans="1:9" x14ac:dyDescent="0.3">
      <c r="A191">
        <v>190</v>
      </c>
      <c r="B191" t="s">
        <v>905</v>
      </c>
      <c r="C191" t="s">
        <v>906</v>
      </c>
      <c r="D191" t="s">
        <v>907</v>
      </c>
      <c r="E191" t="s">
        <v>908</v>
      </c>
      <c r="F191" t="s">
        <v>909</v>
      </c>
      <c r="G191" t="s">
        <v>165</v>
      </c>
      <c r="H191" t="s">
        <v>34</v>
      </c>
      <c r="I191">
        <v>11561</v>
      </c>
    </row>
    <row r="192" spans="1:9" x14ac:dyDescent="0.3">
      <c r="A192">
        <v>191</v>
      </c>
      <c r="B192" t="s">
        <v>910</v>
      </c>
      <c r="C192" t="s">
        <v>911</v>
      </c>
      <c r="D192" t="s">
        <v>912</v>
      </c>
      <c r="E192" t="s">
        <v>913</v>
      </c>
      <c r="F192" t="s">
        <v>914</v>
      </c>
      <c r="G192" t="s">
        <v>829</v>
      </c>
      <c r="H192" t="s">
        <v>40</v>
      </c>
      <c r="I192">
        <v>93035</v>
      </c>
    </row>
    <row r="193" spans="1:9" x14ac:dyDescent="0.3">
      <c r="A193">
        <v>192</v>
      </c>
      <c r="B193" t="s">
        <v>915</v>
      </c>
      <c r="C193" t="s">
        <v>916</v>
      </c>
      <c r="D193" t="s">
        <v>5611</v>
      </c>
      <c r="E193" t="s">
        <v>917</v>
      </c>
      <c r="F193" t="s">
        <v>918</v>
      </c>
      <c r="G193" t="s">
        <v>184</v>
      </c>
      <c r="H193" t="s">
        <v>40</v>
      </c>
      <c r="I193">
        <v>90505</v>
      </c>
    </row>
    <row r="194" spans="1:9" x14ac:dyDescent="0.3">
      <c r="A194">
        <v>193</v>
      </c>
      <c r="B194" t="s">
        <v>919</v>
      </c>
      <c r="C194" t="s">
        <v>283</v>
      </c>
      <c r="D194" t="s">
        <v>5611</v>
      </c>
      <c r="E194" t="s">
        <v>920</v>
      </c>
      <c r="F194" t="s">
        <v>921</v>
      </c>
      <c r="G194" t="s">
        <v>922</v>
      </c>
      <c r="H194" t="s">
        <v>34</v>
      </c>
      <c r="I194">
        <v>11801</v>
      </c>
    </row>
    <row r="195" spans="1:9" x14ac:dyDescent="0.3">
      <c r="A195">
        <v>194</v>
      </c>
      <c r="B195" t="s">
        <v>923</v>
      </c>
      <c r="C195" t="s">
        <v>924</v>
      </c>
      <c r="D195" t="s">
        <v>5611</v>
      </c>
      <c r="E195" t="s">
        <v>925</v>
      </c>
      <c r="F195" t="s">
        <v>926</v>
      </c>
      <c r="G195" t="s">
        <v>927</v>
      </c>
      <c r="H195" t="s">
        <v>40</v>
      </c>
      <c r="I195">
        <v>95060</v>
      </c>
    </row>
    <row r="196" spans="1:9" x14ac:dyDescent="0.3">
      <c r="A196">
        <v>195</v>
      </c>
      <c r="B196" t="s">
        <v>928</v>
      </c>
      <c r="C196" t="s">
        <v>929</v>
      </c>
      <c r="D196" t="s">
        <v>5611</v>
      </c>
      <c r="E196" t="s">
        <v>930</v>
      </c>
      <c r="F196" t="s">
        <v>931</v>
      </c>
      <c r="G196" t="s">
        <v>468</v>
      </c>
      <c r="H196" t="s">
        <v>34</v>
      </c>
      <c r="I196">
        <v>11010</v>
      </c>
    </row>
    <row r="197" spans="1:9" x14ac:dyDescent="0.3">
      <c r="A197">
        <v>196</v>
      </c>
      <c r="B197" t="s">
        <v>932</v>
      </c>
      <c r="C197" t="s">
        <v>167</v>
      </c>
      <c r="D197" t="s">
        <v>5611</v>
      </c>
      <c r="E197" t="s">
        <v>933</v>
      </c>
      <c r="F197" t="s">
        <v>934</v>
      </c>
      <c r="G197" t="s">
        <v>394</v>
      </c>
      <c r="H197" t="s">
        <v>34</v>
      </c>
      <c r="I197">
        <v>14120</v>
      </c>
    </row>
    <row r="198" spans="1:9" x14ac:dyDescent="0.3">
      <c r="A198">
        <v>197</v>
      </c>
      <c r="B198" t="s">
        <v>935</v>
      </c>
      <c r="C198" t="s">
        <v>936</v>
      </c>
      <c r="D198" t="s">
        <v>5611</v>
      </c>
      <c r="E198" t="s">
        <v>937</v>
      </c>
      <c r="F198" t="s">
        <v>938</v>
      </c>
      <c r="G198" t="s">
        <v>939</v>
      </c>
      <c r="H198" t="s">
        <v>34</v>
      </c>
      <c r="I198">
        <v>11374</v>
      </c>
    </row>
    <row r="199" spans="1:9" x14ac:dyDescent="0.3">
      <c r="A199">
        <v>198</v>
      </c>
      <c r="B199" t="s">
        <v>940</v>
      </c>
      <c r="C199" t="s">
        <v>858</v>
      </c>
      <c r="D199" t="s">
        <v>5611</v>
      </c>
      <c r="E199" t="s">
        <v>941</v>
      </c>
      <c r="F199" t="s">
        <v>942</v>
      </c>
      <c r="G199" t="s">
        <v>943</v>
      </c>
      <c r="H199" t="s">
        <v>99</v>
      </c>
      <c r="I199">
        <v>79106</v>
      </c>
    </row>
    <row r="200" spans="1:9" x14ac:dyDescent="0.3">
      <c r="A200">
        <v>199</v>
      </c>
      <c r="B200" t="s">
        <v>944</v>
      </c>
      <c r="C200" t="s">
        <v>945</v>
      </c>
      <c r="D200" t="s">
        <v>5611</v>
      </c>
      <c r="E200" t="s">
        <v>946</v>
      </c>
      <c r="F200" t="s">
        <v>947</v>
      </c>
      <c r="G200" t="s">
        <v>948</v>
      </c>
      <c r="H200" t="s">
        <v>34</v>
      </c>
      <c r="I200">
        <v>12553</v>
      </c>
    </row>
    <row r="201" spans="1:9" x14ac:dyDescent="0.3">
      <c r="A201">
        <v>200</v>
      </c>
      <c r="B201" t="s">
        <v>949</v>
      </c>
      <c r="C201" t="s">
        <v>950</v>
      </c>
      <c r="D201" t="s">
        <v>5611</v>
      </c>
      <c r="E201" t="s">
        <v>951</v>
      </c>
      <c r="F201" t="s">
        <v>952</v>
      </c>
      <c r="G201" t="s">
        <v>479</v>
      </c>
      <c r="H201" t="s">
        <v>34</v>
      </c>
      <c r="I201">
        <v>11735</v>
      </c>
    </row>
    <row r="202" spans="1:9" x14ac:dyDescent="0.3">
      <c r="A202">
        <v>201</v>
      </c>
      <c r="B202" t="s">
        <v>953</v>
      </c>
      <c r="C202" t="s">
        <v>954</v>
      </c>
      <c r="D202" t="s">
        <v>5611</v>
      </c>
      <c r="E202" t="s">
        <v>955</v>
      </c>
      <c r="F202" t="s">
        <v>956</v>
      </c>
      <c r="G202" t="s">
        <v>957</v>
      </c>
      <c r="H202" t="s">
        <v>34</v>
      </c>
      <c r="I202">
        <v>12020</v>
      </c>
    </row>
    <row r="203" spans="1:9" x14ac:dyDescent="0.3">
      <c r="A203">
        <v>202</v>
      </c>
      <c r="B203" t="s">
        <v>958</v>
      </c>
      <c r="C203" t="s">
        <v>959</v>
      </c>
      <c r="D203" t="s">
        <v>960</v>
      </c>
      <c r="E203" t="s">
        <v>961</v>
      </c>
      <c r="F203" t="s">
        <v>962</v>
      </c>
      <c r="G203" t="s">
        <v>230</v>
      </c>
      <c r="H203" t="s">
        <v>34</v>
      </c>
      <c r="I203">
        <v>14086</v>
      </c>
    </row>
    <row r="204" spans="1:9" x14ac:dyDescent="0.3">
      <c r="A204">
        <v>203</v>
      </c>
      <c r="B204" t="s">
        <v>963</v>
      </c>
      <c r="C204" t="s">
        <v>964</v>
      </c>
      <c r="D204" t="s">
        <v>965</v>
      </c>
      <c r="E204" t="s">
        <v>966</v>
      </c>
      <c r="F204" t="s">
        <v>967</v>
      </c>
      <c r="G204" t="s">
        <v>251</v>
      </c>
      <c r="H204" t="s">
        <v>99</v>
      </c>
      <c r="I204">
        <v>77016</v>
      </c>
    </row>
    <row r="205" spans="1:9" x14ac:dyDescent="0.3">
      <c r="A205">
        <v>204</v>
      </c>
      <c r="B205" t="s">
        <v>968</v>
      </c>
      <c r="C205" t="s">
        <v>969</v>
      </c>
      <c r="D205" t="s">
        <v>5611</v>
      </c>
      <c r="E205" t="s">
        <v>970</v>
      </c>
      <c r="F205" t="s">
        <v>971</v>
      </c>
      <c r="G205" t="s">
        <v>323</v>
      </c>
      <c r="H205" t="s">
        <v>34</v>
      </c>
      <c r="I205">
        <v>11570</v>
      </c>
    </row>
    <row r="206" spans="1:9" x14ac:dyDescent="0.3">
      <c r="A206">
        <v>205</v>
      </c>
      <c r="B206" t="s">
        <v>972</v>
      </c>
      <c r="C206" t="s">
        <v>973</v>
      </c>
      <c r="D206" t="s">
        <v>5611</v>
      </c>
      <c r="E206" t="s">
        <v>974</v>
      </c>
      <c r="F206" t="s">
        <v>975</v>
      </c>
      <c r="G206" t="s">
        <v>976</v>
      </c>
      <c r="H206" t="s">
        <v>34</v>
      </c>
      <c r="I206">
        <v>11432</v>
      </c>
    </row>
    <row r="207" spans="1:9" x14ac:dyDescent="0.3">
      <c r="A207">
        <v>206</v>
      </c>
      <c r="B207" t="s">
        <v>977</v>
      </c>
      <c r="C207" t="s">
        <v>978</v>
      </c>
      <c r="D207" t="s">
        <v>5611</v>
      </c>
      <c r="E207" t="s">
        <v>979</v>
      </c>
      <c r="F207" t="s">
        <v>980</v>
      </c>
      <c r="G207" t="s">
        <v>981</v>
      </c>
      <c r="H207" t="s">
        <v>34</v>
      </c>
      <c r="I207">
        <v>11201</v>
      </c>
    </row>
    <row r="208" spans="1:9" x14ac:dyDescent="0.3">
      <c r="A208">
        <v>207</v>
      </c>
      <c r="B208" t="s">
        <v>982</v>
      </c>
      <c r="C208" t="s">
        <v>983</v>
      </c>
      <c r="D208" t="s">
        <v>5611</v>
      </c>
      <c r="E208" t="s">
        <v>984</v>
      </c>
      <c r="F208" t="s">
        <v>985</v>
      </c>
      <c r="G208" t="s">
        <v>104</v>
      </c>
      <c r="H208" t="s">
        <v>99</v>
      </c>
      <c r="I208">
        <v>75126</v>
      </c>
    </row>
    <row r="209" spans="1:9" x14ac:dyDescent="0.3">
      <c r="A209">
        <v>208</v>
      </c>
      <c r="B209" t="s">
        <v>986</v>
      </c>
      <c r="C209" t="s">
        <v>465</v>
      </c>
      <c r="D209" t="s">
        <v>5611</v>
      </c>
      <c r="E209" t="s">
        <v>987</v>
      </c>
      <c r="F209" t="s">
        <v>988</v>
      </c>
      <c r="G209" t="s">
        <v>989</v>
      </c>
      <c r="H209" t="s">
        <v>40</v>
      </c>
      <c r="I209">
        <v>93555</v>
      </c>
    </row>
    <row r="210" spans="1:9" x14ac:dyDescent="0.3">
      <c r="A210">
        <v>209</v>
      </c>
      <c r="B210" t="s">
        <v>990</v>
      </c>
      <c r="C210" t="s">
        <v>991</v>
      </c>
      <c r="D210" t="s">
        <v>5611</v>
      </c>
      <c r="E210" t="s">
        <v>992</v>
      </c>
      <c r="F210" t="s">
        <v>993</v>
      </c>
      <c r="G210" t="s">
        <v>994</v>
      </c>
      <c r="H210" t="s">
        <v>34</v>
      </c>
      <c r="I210">
        <v>11784</v>
      </c>
    </row>
    <row r="211" spans="1:9" x14ac:dyDescent="0.3">
      <c r="A211">
        <v>210</v>
      </c>
      <c r="B211" t="s">
        <v>995</v>
      </c>
      <c r="C211" t="s">
        <v>662</v>
      </c>
      <c r="D211" t="s">
        <v>996</v>
      </c>
      <c r="E211" t="s">
        <v>997</v>
      </c>
      <c r="F211" t="s">
        <v>998</v>
      </c>
      <c r="G211" t="s">
        <v>999</v>
      </c>
      <c r="H211" t="s">
        <v>34</v>
      </c>
      <c r="I211">
        <v>12203</v>
      </c>
    </row>
    <row r="212" spans="1:9" x14ac:dyDescent="0.3">
      <c r="A212">
        <v>211</v>
      </c>
      <c r="B212" t="s">
        <v>1000</v>
      </c>
      <c r="C212" t="s">
        <v>631</v>
      </c>
      <c r="D212" t="s">
        <v>5611</v>
      </c>
      <c r="E212" t="s">
        <v>1001</v>
      </c>
      <c r="F212" t="s">
        <v>1002</v>
      </c>
      <c r="G212" t="s">
        <v>120</v>
      </c>
      <c r="H212" t="s">
        <v>34</v>
      </c>
      <c r="I212">
        <v>10583</v>
      </c>
    </row>
    <row r="213" spans="1:9" x14ac:dyDescent="0.3">
      <c r="A213">
        <v>212</v>
      </c>
      <c r="B213" t="s">
        <v>1003</v>
      </c>
      <c r="C213" t="s">
        <v>405</v>
      </c>
      <c r="D213" t="s">
        <v>1004</v>
      </c>
      <c r="E213" t="s">
        <v>1005</v>
      </c>
      <c r="F213" t="s">
        <v>1006</v>
      </c>
      <c r="G213" t="s">
        <v>485</v>
      </c>
      <c r="H213" t="s">
        <v>34</v>
      </c>
      <c r="I213">
        <v>12180</v>
      </c>
    </row>
    <row r="214" spans="1:9" x14ac:dyDescent="0.3">
      <c r="A214">
        <v>213</v>
      </c>
      <c r="B214" t="s">
        <v>1007</v>
      </c>
      <c r="C214" t="s">
        <v>1008</v>
      </c>
      <c r="D214" t="s">
        <v>5611</v>
      </c>
      <c r="E214" t="s">
        <v>1009</v>
      </c>
      <c r="F214" t="s">
        <v>1010</v>
      </c>
      <c r="G214" t="s">
        <v>660</v>
      </c>
      <c r="H214" t="s">
        <v>34</v>
      </c>
      <c r="I214">
        <v>14075</v>
      </c>
    </row>
    <row r="215" spans="1:9" x14ac:dyDescent="0.3">
      <c r="A215">
        <v>214</v>
      </c>
      <c r="B215" t="s">
        <v>1011</v>
      </c>
      <c r="C215" t="s">
        <v>1012</v>
      </c>
      <c r="D215" t="s">
        <v>5611</v>
      </c>
      <c r="E215" t="s">
        <v>1013</v>
      </c>
      <c r="F215" t="s">
        <v>1014</v>
      </c>
      <c r="G215" t="s">
        <v>394</v>
      </c>
      <c r="H215" t="s">
        <v>34</v>
      </c>
      <c r="I215">
        <v>14120</v>
      </c>
    </row>
    <row r="216" spans="1:9" x14ac:dyDescent="0.3">
      <c r="A216">
        <v>215</v>
      </c>
      <c r="B216" t="s">
        <v>1015</v>
      </c>
      <c r="C216" t="s">
        <v>1016</v>
      </c>
      <c r="D216" t="s">
        <v>5611</v>
      </c>
      <c r="E216" t="s">
        <v>1017</v>
      </c>
      <c r="F216" t="s">
        <v>1018</v>
      </c>
      <c r="G216" t="s">
        <v>1019</v>
      </c>
      <c r="H216" t="s">
        <v>34</v>
      </c>
      <c r="I216">
        <v>11357</v>
      </c>
    </row>
    <row r="217" spans="1:9" x14ac:dyDescent="0.3">
      <c r="A217">
        <v>216</v>
      </c>
      <c r="B217" t="s">
        <v>1020</v>
      </c>
      <c r="C217" t="s">
        <v>1021</v>
      </c>
      <c r="D217" t="s">
        <v>5611</v>
      </c>
      <c r="E217" t="s">
        <v>1022</v>
      </c>
      <c r="F217" t="s">
        <v>1023</v>
      </c>
      <c r="G217" t="s">
        <v>261</v>
      </c>
      <c r="H217" t="s">
        <v>34</v>
      </c>
      <c r="I217">
        <v>11714</v>
      </c>
    </row>
    <row r="218" spans="1:9" x14ac:dyDescent="0.3">
      <c r="A218">
        <v>217</v>
      </c>
      <c r="B218" t="s">
        <v>1024</v>
      </c>
      <c r="C218" t="s">
        <v>1025</v>
      </c>
      <c r="D218" t="s">
        <v>1026</v>
      </c>
      <c r="E218" t="s">
        <v>1027</v>
      </c>
      <c r="F218" t="s">
        <v>1028</v>
      </c>
      <c r="G218" t="s">
        <v>607</v>
      </c>
      <c r="H218" t="s">
        <v>40</v>
      </c>
      <c r="I218">
        <v>93706</v>
      </c>
    </row>
    <row r="219" spans="1:9" x14ac:dyDescent="0.3">
      <c r="A219">
        <v>218</v>
      </c>
      <c r="B219" t="s">
        <v>378</v>
      </c>
      <c r="C219" t="s">
        <v>1029</v>
      </c>
      <c r="D219" t="s">
        <v>5611</v>
      </c>
      <c r="E219" t="s">
        <v>1030</v>
      </c>
      <c r="F219" t="s">
        <v>1031</v>
      </c>
      <c r="G219" t="s">
        <v>77</v>
      </c>
      <c r="H219" t="s">
        <v>34</v>
      </c>
      <c r="I219">
        <v>11050</v>
      </c>
    </row>
    <row r="220" spans="1:9" x14ac:dyDescent="0.3">
      <c r="A220">
        <v>219</v>
      </c>
      <c r="B220" t="s">
        <v>1032</v>
      </c>
      <c r="C220" t="s">
        <v>1033</v>
      </c>
      <c r="D220" t="s">
        <v>1034</v>
      </c>
      <c r="E220" t="s">
        <v>1035</v>
      </c>
      <c r="F220" t="s">
        <v>1036</v>
      </c>
      <c r="G220" t="s">
        <v>1037</v>
      </c>
      <c r="H220" t="s">
        <v>34</v>
      </c>
      <c r="I220">
        <v>11572</v>
      </c>
    </row>
    <row r="221" spans="1:9" x14ac:dyDescent="0.3">
      <c r="A221">
        <v>220</v>
      </c>
      <c r="B221" t="s">
        <v>1038</v>
      </c>
      <c r="C221" t="s">
        <v>1039</v>
      </c>
      <c r="D221" t="s">
        <v>5611</v>
      </c>
      <c r="E221" t="s">
        <v>1040</v>
      </c>
      <c r="F221" t="s">
        <v>1041</v>
      </c>
      <c r="G221" t="s">
        <v>728</v>
      </c>
      <c r="H221" t="s">
        <v>34</v>
      </c>
      <c r="I221">
        <v>11787</v>
      </c>
    </row>
    <row r="222" spans="1:9" x14ac:dyDescent="0.3">
      <c r="A222">
        <v>221</v>
      </c>
      <c r="B222" t="s">
        <v>1042</v>
      </c>
      <c r="C222" t="s">
        <v>1043</v>
      </c>
      <c r="D222" t="s">
        <v>5611</v>
      </c>
      <c r="E222" t="s">
        <v>1044</v>
      </c>
      <c r="F222" t="s">
        <v>1045</v>
      </c>
      <c r="G222" t="s">
        <v>1046</v>
      </c>
      <c r="H222" t="s">
        <v>99</v>
      </c>
      <c r="I222">
        <v>78501</v>
      </c>
    </row>
    <row r="223" spans="1:9" x14ac:dyDescent="0.3">
      <c r="A223">
        <v>222</v>
      </c>
      <c r="B223" t="s">
        <v>1047</v>
      </c>
      <c r="C223" t="s">
        <v>1048</v>
      </c>
      <c r="D223" t="s">
        <v>5611</v>
      </c>
      <c r="E223" t="s">
        <v>1049</v>
      </c>
      <c r="F223" t="s">
        <v>1050</v>
      </c>
      <c r="G223" t="s">
        <v>144</v>
      </c>
      <c r="H223" t="s">
        <v>34</v>
      </c>
      <c r="I223">
        <v>11731</v>
      </c>
    </row>
    <row r="224" spans="1:9" x14ac:dyDescent="0.3">
      <c r="A224">
        <v>223</v>
      </c>
      <c r="B224" t="s">
        <v>1051</v>
      </c>
      <c r="C224" t="s">
        <v>1052</v>
      </c>
      <c r="D224" t="s">
        <v>5611</v>
      </c>
      <c r="E224" t="s">
        <v>1053</v>
      </c>
      <c r="F224" t="s">
        <v>1054</v>
      </c>
      <c r="G224" t="s">
        <v>1055</v>
      </c>
      <c r="H224" t="s">
        <v>34</v>
      </c>
      <c r="I224">
        <v>11772</v>
      </c>
    </row>
    <row r="225" spans="1:9" x14ac:dyDescent="0.3">
      <c r="A225">
        <v>224</v>
      </c>
      <c r="B225" t="s">
        <v>1056</v>
      </c>
      <c r="C225" t="s">
        <v>1057</v>
      </c>
      <c r="D225" t="s">
        <v>5611</v>
      </c>
      <c r="E225" t="s">
        <v>1058</v>
      </c>
      <c r="F225" t="s">
        <v>1059</v>
      </c>
      <c r="G225" t="s">
        <v>1060</v>
      </c>
      <c r="H225" t="s">
        <v>40</v>
      </c>
      <c r="I225">
        <v>90260</v>
      </c>
    </row>
    <row r="226" spans="1:9" x14ac:dyDescent="0.3">
      <c r="A226">
        <v>225</v>
      </c>
      <c r="B226" t="s">
        <v>1061</v>
      </c>
      <c r="C226" t="s">
        <v>1062</v>
      </c>
      <c r="D226" t="s">
        <v>5611</v>
      </c>
      <c r="E226" t="s">
        <v>1063</v>
      </c>
      <c r="F226" t="s">
        <v>1064</v>
      </c>
      <c r="G226" t="s">
        <v>750</v>
      </c>
      <c r="H226" t="s">
        <v>34</v>
      </c>
      <c r="I226">
        <v>11803</v>
      </c>
    </row>
    <row r="227" spans="1:9" x14ac:dyDescent="0.3">
      <c r="A227">
        <v>226</v>
      </c>
      <c r="B227" t="s">
        <v>1065</v>
      </c>
      <c r="C227" t="s">
        <v>1066</v>
      </c>
      <c r="D227" t="s">
        <v>5611</v>
      </c>
      <c r="E227" t="s">
        <v>1067</v>
      </c>
      <c r="F227" t="s">
        <v>1068</v>
      </c>
      <c r="G227" t="s">
        <v>245</v>
      </c>
      <c r="H227" t="s">
        <v>34</v>
      </c>
      <c r="I227">
        <v>11418</v>
      </c>
    </row>
    <row r="228" spans="1:9" x14ac:dyDescent="0.3">
      <c r="A228">
        <v>227</v>
      </c>
      <c r="B228" t="s">
        <v>1069</v>
      </c>
      <c r="C228" t="s">
        <v>1070</v>
      </c>
      <c r="D228" t="s">
        <v>5611</v>
      </c>
      <c r="E228" t="s">
        <v>1071</v>
      </c>
      <c r="F228" t="s">
        <v>1072</v>
      </c>
      <c r="G228" t="s">
        <v>1055</v>
      </c>
      <c r="H228" t="s">
        <v>34</v>
      </c>
      <c r="I228">
        <v>11772</v>
      </c>
    </row>
    <row r="229" spans="1:9" x14ac:dyDescent="0.3">
      <c r="A229">
        <v>228</v>
      </c>
      <c r="B229" t="s">
        <v>1073</v>
      </c>
      <c r="C229" t="s">
        <v>1074</v>
      </c>
      <c r="D229" t="s">
        <v>1075</v>
      </c>
      <c r="E229" t="s">
        <v>1076</v>
      </c>
      <c r="F229" t="s">
        <v>1077</v>
      </c>
      <c r="G229" t="s">
        <v>1078</v>
      </c>
      <c r="H229" t="s">
        <v>34</v>
      </c>
      <c r="I229">
        <v>11717</v>
      </c>
    </row>
    <row r="230" spans="1:9" x14ac:dyDescent="0.3">
      <c r="A230">
        <v>229</v>
      </c>
      <c r="B230" t="s">
        <v>1079</v>
      </c>
      <c r="C230" t="s">
        <v>1080</v>
      </c>
      <c r="D230" t="s">
        <v>5611</v>
      </c>
      <c r="E230" t="s">
        <v>1081</v>
      </c>
      <c r="F230" t="s">
        <v>1082</v>
      </c>
      <c r="G230" t="s">
        <v>1083</v>
      </c>
      <c r="H230" t="s">
        <v>34</v>
      </c>
      <c r="I230">
        <v>11741</v>
      </c>
    </row>
    <row r="231" spans="1:9" x14ac:dyDescent="0.3">
      <c r="A231">
        <v>230</v>
      </c>
      <c r="B231" t="s">
        <v>1084</v>
      </c>
      <c r="C231" t="s">
        <v>122</v>
      </c>
      <c r="D231" t="s">
        <v>5611</v>
      </c>
      <c r="E231" t="s">
        <v>1085</v>
      </c>
      <c r="F231" t="s">
        <v>1086</v>
      </c>
      <c r="G231" t="s">
        <v>1087</v>
      </c>
      <c r="H231" t="s">
        <v>34</v>
      </c>
      <c r="I231">
        <v>11729</v>
      </c>
    </row>
    <row r="232" spans="1:9" x14ac:dyDescent="0.3">
      <c r="A232">
        <v>231</v>
      </c>
      <c r="B232" t="s">
        <v>1088</v>
      </c>
      <c r="C232" t="s">
        <v>1089</v>
      </c>
      <c r="D232" t="s">
        <v>1090</v>
      </c>
      <c r="E232" t="s">
        <v>1091</v>
      </c>
      <c r="F232" t="s">
        <v>1092</v>
      </c>
      <c r="G232" t="s">
        <v>56</v>
      </c>
      <c r="H232" t="s">
        <v>40</v>
      </c>
      <c r="I232">
        <v>95820</v>
      </c>
    </row>
    <row r="233" spans="1:9" x14ac:dyDescent="0.3">
      <c r="A233">
        <v>232</v>
      </c>
      <c r="B233" t="s">
        <v>1093</v>
      </c>
      <c r="C233" t="s">
        <v>1094</v>
      </c>
      <c r="D233" t="s">
        <v>5611</v>
      </c>
      <c r="E233" t="s">
        <v>1095</v>
      </c>
      <c r="F233" t="s">
        <v>1096</v>
      </c>
      <c r="G233" t="s">
        <v>589</v>
      </c>
      <c r="H233" t="s">
        <v>99</v>
      </c>
      <c r="I233">
        <v>76039</v>
      </c>
    </row>
    <row r="234" spans="1:9" x14ac:dyDescent="0.3">
      <c r="A234">
        <v>233</v>
      </c>
      <c r="B234" t="s">
        <v>1097</v>
      </c>
      <c r="C234" t="s">
        <v>1098</v>
      </c>
      <c r="D234" t="s">
        <v>5611</v>
      </c>
      <c r="E234" t="s">
        <v>1099</v>
      </c>
      <c r="F234" t="s">
        <v>1100</v>
      </c>
      <c r="G234" t="s">
        <v>837</v>
      </c>
      <c r="H234" t="s">
        <v>40</v>
      </c>
      <c r="I234">
        <v>95050</v>
      </c>
    </row>
    <row r="235" spans="1:9" x14ac:dyDescent="0.3">
      <c r="A235">
        <v>234</v>
      </c>
      <c r="B235" t="s">
        <v>1101</v>
      </c>
      <c r="C235" t="s">
        <v>972</v>
      </c>
      <c r="D235" t="s">
        <v>5611</v>
      </c>
      <c r="E235" t="s">
        <v>1102</v>
      </c>
      <c r="F235" t="s">
        <v>1103</v>
      </c>
      <c r="G235" t="s">
        <v>1104</v>
      </c>
      <c r="H235" t="s">
        <v>34</v>
      </c>
      <c r="I235">
        <v>11554</v>
      </c>
    </row>
    <row r="236" spans="1:9" x14ac:dyDescent="0.3">
      <c r="A236">
        <v>235</v>
      </c>
      <c r="B236" t="s">
        <v>803</v>
      </c>
      <c r="C236" t="s">
        <v>1105</v>
      </c>
      <c r="D236" t="s">
        <v>5611</v>
      </c>
      <c r="E236" t="s">
        <v>1106</v>
      </c>
      <c r="F236" t="s">
        <v>1107</v>
      </c>
      <c r="G236" t="s">
        <v>764</v>
      </c>
      <c r="H236" t="s">
        <v>34</v>
      </c>
      <c r="I236">
        <v>11706</v>
      </c>
    </row>
    <row r="237" spans="1:9" x14ac:dyDescent="0.3">
      <c r="A237">
        <v>236</v>
      </c>
      <c r="B237" t="s">
        <v>1108</v>
      </c>
      <c r="C237" t="s">
        <v>936</v>
      </c>
      <c r="D237" t="s">
        <v>5611</v>
      </c>
      <c r="E237" t="s">
        <v>1109</v>
      </c>
      <c r="F237" t="s">
        <v>1110</v>
      </c>
      <c r="G237" t="s">
        <v>994</v>
      </c>
      <c r="H237" t="s">
        <v>34</v>
      </c>
      <c r="I237">
        <v>11784</v>
      </c>
    </row>
    <row r="238" spans="1:9" x14ac:dyDescent="0.3">
      <c r="A238">
        <v>237</v>
      </c>
      <c r="B238" t="s">
        <v>1111</v>
      </c>
      <c r="C238" t="s">
        <v>1112</v>
      </c>
      <c r="D238" t="s">
        <v>5611</v>
      </c>
      <c r="E238" t="s">
        <v>1113</v>
      </c>
      <c r="F238" t="s">
        <v>1114</v>
      </c>
      <c r="G238" t="s">
        <v>774</v>
      </c>
      <c r="H238" t="s">
        <v>40</v>
      </c>
      <c r="I238">
        <v>92220</v>
      </c>
    </row>
    <row r="239" spans="1:9" x14ac:dyDescent="0.3">
      <c r="A239">
        <v>238</v>
      </c>
      <c r="B239" t="s">
        <v>1115</v>
      </c>
      <c r="C239" t="s">
        <v>799</v>
      </c>
      <c r="D239" t="s">
        <v>5611</v>
      </c>
      <c r="E239" t="s">
        <v>1116</v>
      </c>
      <c r="F239" t="s">
        <v>1117</v>
      </c>
      <c r="G239" t="s">
        <v>615</v>
      </c>
      <c r="H239" t="s">
        <v>34</v>
      </c>
      <c r="I239">
        <v>11414</v>
      </c>
    </row>
    <row r="240" spans="1:9" x14ac:dyDescent="0.3">
      <c r="A240">
        <v>239</v>
      </c>
      <c r="B240" t="s">
        <v>1118</v>
      </c>
      <c r="C240" t="s">
        <v>1119</v>
      </c>
      <c r="D240" t="s">
        <v>5611</v>
      </c>
      <c r="E240" t="s">
        <v>1120</v>
      </c>
      <c r="F240" t="s">
        <v>1121</v>
      </c>
      <c r="G240" t="s">
        <v>1122</v>
      </c>
      <c r="H240" t="s">
        <v>40</v>
      </c>
      <c r="I240">
        <v>91387</v>
      </c>
    </row>
    <row r="241" spans="1:9" x14ac:dyDescent="0.3">
      <c r="A241">
        <v>240</v>
      </c>
      <c r="B241" t="s">
        <v>594</v>
      </c>
      <c r="C241" t="s">
        <v>1123</v>
      </c>
      <c r="D241" t="s">
        <v>5611</v>
      </c>
      <c r="E241" t="s">
        <v>1124</v>
      </c>
      <c r="F241" t="s">
        <v>1125</v>
      </c>
      <c r="G241" t="s">
        <v>774</v>
      </c>
      <c r="H241" t="s">
        <v>40</v>
      </c>
      <c r="I241">
        <v>92220</v>
      </c>
    </row>
    <row r="242" spans="1:9" x14ac:dyDescent="0.3">
      <c r="A242">
        <v>241</v>
      </c>
      <c r="B242" t="s">
        <v>1126</v>
      </c>
      <c r="C242" t="s">
        <v>111</v>
      </c>
      <c r="D242" t="s">
        <v>5611</v>
      </c>
      <c r="E242" t="s">
        <v>1127</v>
      </c>
      <c r="F242" t="s">
        <v>1128</v>
      </c>
      <c r="G242" t="s">
        <v>240</v>
      </c>
      <c r="H242" t="s">
        <v>34</v>
      </c>
      <c r="I242">
        <v>12804</v>
      </c>
    </row>
    <row r="243" spans="1:9" x14ac:dyDescent="0.3">
      <c r="A243">
        <v>242</v>
      </c>
      <c r="B243" t="s">
        <v>1129</v>
      </c>
      <c r="C243" t="s">
        <v>518</v>
      </c>
      <c r="D243" t="s">
        <v>5611</v>
      </c>
      <c r="E243" t="s">
        <v>1130</v>
      </c>
      <c r="F243" t="s">
        <v>1131</v>
      </c>
      <c r="G243" t="s">
        <v>1122</v>
      </c>
      <c r="H243" t="s">
        <v>40</v>
      </c>
      <c r="I243">
        <v>91387</v>
      </c>
    </row>
    <row r="244" spans="1:9" x14ac:dyDescent="0.3">
      <c r="A244">
        <v>243</v>
      </c>
      <c r="B244" t="s">
        <v>1132</v>
      </c>
      <c r="C244" t="s">
        <v>1133</v>
      </c>
      <c r="D244" t="s">
        <v>5611</v>
      </c>
      <c r="E244" t="s">
        <v>1134</v>
      </c>
      <c r="F244" t="s">
        <v>1135</v>
      </c>
      <c r="G244" t="s">
        <v>957</v>
      </c>
      <c r="H244" t="s">
        <v>34</v>
      </c>
      <c r="I244">
        <v>12020</v>
      </c>
    </row>
    <row r="245" spans="1:9" x14ac:dyDescent="0.3">
      <c r="A245">
        <v>244</v>
      </c>
      <c r="B245" t="s">
        <v>1136</v>
      </c>
      <c r="C245" t="s">
        <v>1137</v>
      </c>
      <c r="D245" t="s">
        <v>5611</v>
      </c>
      <c r="E245" t="s">
        <v>1138</v>
      </c>
      <c r="F245" t="s">
        <v>1139</v>
      </c>
      <c r="G245" t="s">
        <v>1140</v>
      </c>
      <c r="H245" t="s">
        <v>40</v>
      </c>
      <c r="I245">
        <v>94806</v>
      </c>
    </row>
    <row r="246" spans="1:9" x14ac:dyDescent="0.3">
      <c r="A246">
        <v>245</v>
      </c>
      <c r="B246" t="s">
        <v>1141</v>
      </c>
      <c r="C246" t="s">
        <v>1142</v>
      </c>
      <c r="D246" t="s">
        <v>5611</v>
      </c>
      <c r="E246" t="s">
        <v>1143</v>
      </c>
      <c r="F246" t="s">
        <v>1144</v>
      </c>
      <c r="G246" t="s">
        <v>200</v>
      </c>
      <c r="H246" t="s">
        <v>40</v>
      </c>
      <c r="I246">
        <v>90274</v>
      </c>
    </row>
    <row r="247" spans="1:9" x14ac:dyDescent="0.3">
      <c r="A247">
        <v>246</v>
      </c>
      <c r="B247" t="s">
        <v>1145</v>
      </c>
      <c r="C247" t="s">
        <v>382</v>
      </c>
      <c r="D247" t="s">
        <v>5611</v>
      </c>
      <c r="E247" t="s">
        <v>1146</v>
      </c>
      <c r="F247" t="s">
        <v>1147</v>
      </c>
      <c r="G247" t="s">
        <v>1148</v>
      </c>
      <c r="H247" t="s">
        <v>34</v>
      </c>
      <c r="I247">
        <v>14304</v>
      </c>
    </row>
    <row r="248" spans="1:9" x14ac:dyDescent="0.3">
      <c r="A248">
        <v>247</v>
      </c>
      <c r="B248" t="s">
        <v>1149</v>
      </c>
      <c r="C248" t="s">
        <v>1150</v>
      </c>
      <c r="D248" t="s">
        <v>5611</v>
      </c>
      <c r="E248" t="s">
        <v>1151</v>
      </c>
      <c r="F248" t="s">
        <v>1152</v>
      </c>
      <c r="G248" t="s">
        <v>200</v>
      </c>
      <c r="H248" t="s">
        <v>40</v>
      </c>
      <c r="I248">
        <v>90274</v>
      </c>
    </row>
    <row r="249" spans="1:9" x14ac:dyDescent="0.3">
      <c r="A249">
        <v>248</v>
      </c>
      <c r="B249" t="s">
        <v>1153</v>
      </c>
      <c r="C249" t="s">
        <v>1029</v>
      </c>
      <c r="D249" t="s">
        <v>5611</v>
      </c>
      <c r="E249" t="s">
        <v>1154</v>
      </c>
      <c r="F249" t="s">
        <v>1155</v>
      </c>
      <c r="G249" t="s">
        <v>1046</v>
      </c>
      <c r="H249" t="s">
        <v>99</v>
      </c>
      <c r="I249">
        <v>78501</v>
      </c>
    </row>
    <row r="250" spans="1:9" x14ac:dyDescent="0.3">
      <c r="A250">
        <v>249</v>
      </c>
      <c r="B250" t="s">
        <v>1156</v>
      </c>
      <c r="C250" t="s">
        <v>1157</v>
      </c>
      <c r="D250" t="s">
        <v>5611</v>
      </c>
      <c r="E250" t="s">
        <v>1158</v>
      </c>
      <c r="F250" t="s">
        <v>1159</v>
      </c>
      <c r="G250" t="s">
        <v>175</v>
      </c>
      <c r="H250" t="s">
        <v>34</v>
      </c>
      <c r="I250">
        <v>10562</v>
      </c>
    </row>
    <row r="251" spans="1:9" x14ac:dyDescent="0.3">
      <c r="A251">
        <v>250</v>
      </c>
      <c r="B251" t="s">
        <v>1160</v>
      </c>
      <c r="C251" t="s">
        <v>298</v>
      </c>
      <c r="D251" t="s">
        <v>1161</v>
      </c>
      <c r="E251" t="s">
        <v>1162</v>
      </c>
      <c r="F251" t="s">
        <v>1163</v>
      </c>
      <c r="G251" t="s">
        <v>1164</v>
      </c>
      <c r="H251" t="s">
        <v>99</v>
      </c>
      <c r="I251">
        <v>79930</v>
      </c>
    </row>
    <row r="252" spans="1:9" x14ac:dyDescent="0.3">
      <c r="A252">
        <v>251</v>
      </c>
      <c r="B252" t="s">
        <v>1165</v>
      </c>
      <c r="C252" t="s">
        <v>771</v>
      </c>
      <c r="D252" t="s">
        <v>5611</v>
      </c>
      <c r="E252" t="s">
        <v>1166</v>
      </c>
      <c r="F252" t="s">
        <v>1167</v>
      </c>
      <c r="G252" t="s">
        <v>957</v>
      </c>
      <c r="H252" t="s">
        <v>34</v>
      </c>
      <c r="I252">
        <v>12020</v>
      </c>
    </row>
    <row r="253" spans="1:9" x14ac:dyDescent="0.3">
      <c r="A253">
        <v>252</v>
      </c>
      <c r="B253" t="s">
        <v>1168</v>
      </c>
      <c r="C253" t="s">
        <v>1169</v>
      </c>
      <c r="D253" t="s">
        <v>5611</v>
      </c>
      <c r="E253" t="s">
        <v>1170</v>
      </c>
      <c r="F253" t="s">
        <v>1171</v>
      </c>
      <c r="G253" t="s">
        <v>245</v>
      </c>
      <c r="H253" t="s">
        <v>34</v>
      </c>
      <c r="I253">
        <v>11418</v>
      </c>
    </row>
    <row r="254" spans="1:9" x14ac:dyDescent="0.3">
      <c r="A254">
        <v>253</v>
      </c>
      <c r="B254" t="s">
        <v>1172</v>
      </c>
      <c r="C254" t="s">
        <v>1173</v>
      </c>
      <c r="D254" t="s">
        <v>5611</v>
      </c>
      <c r="E254" t="s">
        <v>1174</v>
      </c>
      <c r="F254" t="s">
        <v>1175</v>
      </c>
      <c r="G254" t="s">
        <v>154</v>
      </c>
      <c r="H254" t="s">
        <v>40</v>
      </c>
      <c r="I254">
        <v>95301</v>
      </c>
    </row>
    <row r="255" spans="1:9" x14ac:dyDescent="0.3">
      <c r="A255">
        <v>254</v>
      </c>
      <c r="B255" t="s">
        <v>1176</v>
      </c>
      <c r="C255" t="s">
        <v>1177</v>
      </c>
      <c r="D255" t="s">
        <v>5611</v>
      </c>
      <c r="E255" t="s">
        <v>1178</v>
      </c>
      <c r="F255" t="s">
        <v>1179</v>
      </c>
      <c r="G255" t="s">
        <v>1060</v>
      </c>
      <c r="H255" t="s">
        <v>40</v>
      </c>
      <c r="I255">
        <v>90260</v>
      </c>
    </row>
    <row r="256" spans="1:9" x14ac:dyDescent="0.3">
      <c r="A256">
        <v>255</v>
      </c>
      <c r="B256" t="s">
        <v>1180</v>
      </c>
      <c r="C256" t="s">
        <v>1181</v>
      </c>
      <c r="D256" t="s">
        <v>5611</v>
      </c>
      <c r="E256" t="s">
        <v>1182</v>
      </c>
      <c r="F256" t="s">
        <v>1183</v>
      </c>
      <c r="G256" t="s">
        <v>1184</v>
      </c>
      <c r="H256" t="s">
        <v>34</v>
      </c>
      <c r="I256">
        <v>11762</v>
      </c>
    </row>
    <row r="257" spans="1:9" x14ac:dyDescent="0.3">
      <c r="A257">
        <v>256</v>
      </c>
      <c r="B257" t="s">
        <v>1185</v>
      </c>
      <c r="C257" t="s">
        <v>1186</v>
      </c>
      <c r="D257" t="s">
        <v>5611</v>
      </c>
      <c r="E257" t="s">
        <v>1187</v>
      </c>
      <c r="F257" t="s">
        <v>1188</v>
      </c>
      <c r="G257" t="s">
        <v>286</v>
      </c>
      <c r="H257" t="s">
        <v>34</v>
      </c>
      <c r="I257">
        <v>11566</v>
      </c>
    </row>
    <row r="258" spans="1:9" x14ac:dyDescent="0.3">
      <c r="A258">
        <v>257</v>
      </c>
      <c r="B258" t="s">
        <v>1189</v>
      </c>
      <c r="C258" t="s">
        <v>320</v>
      </c>
      <c r="D258" t="s">
        <v>5611</v>
      </c>
      <c r="E258" t="s">
        <v>1190</v>
      </c>
      <c r="F258" t="s">
        <v>1191</v>
      </c>
      <c r="G258" t="s">
        <v>543</v>
      </c>
      <c r="H258" t="s">
        <v>34</v>
      </c>
      <c r="I258">
        <v>11373</v>
      </c>
    </row>
    <row r="259" spans="1:9" x14ac:dyDescent="0.3">
      <c r="A259">
        <v>258</v>
      </c>
      <c r="B259" t="s">
        <v>1192</v>
      </c>
      <c r="C259" t="s">
        <v>591</v>
      </c>
      <c r="D259" t="s">
        <v>5611</v>
      </c>
      <c r="E259" t="s">
        <v>1193</v>
      </c>
      <c r="F259" t="s">
        <v>1194</v>
      </c>
      <c r="G259" t="s">
        <v>184</v>
      </c>
      <c r="H259" t="s">
        <v>40</v>
      </c>
      <c r="I259">
        <v>90505</v>
      </c>
    </row>
    <row r="260" spans="1:9" x14ac:dyDescent="0.3">
      <c r="A260">
        <v>259</v>
      </c>
      <c r="B260" t="s">
        <v>1195</v>
      </c>
      <c r="C260" t="s">
        <v>1196</v>
      </c>
      <c r="D260" t="s">
        <v>5611</v>
      </c>
      <c r="E260" t="s">
        <v>1197</v>
      </c>
      <c r="F260" t="s">
        <v>1198</v>
      </c>
      <c r="G260" t="s">
        <v>1199</v>
      </c>
      <c r="H260" t="s">
        <v>40</v>
      </c>
      <c r="I260">
        <v>94566</v>
      </c>
    </row>
    <row r="261" spans="1:9" x14ac:dyDescent="0.3">
      <c r="A261">
        <v>260</v>
      </c>
      <c r="B261" t="s">
        <v>1200</v>
      </c>
      <c r="C261" t="s">
        <v>1201</v>
      </c>
      <c r="D261" t="s">
        <v>5611</v>
      </c>
      <c r="E261" t="s">
        <v>1202</v>
      </c>
      <c r="F261" t="s">
        <v>1203</v>
      </c>
      <c r="G261" t="s">
        <v>1122</v>
      </c>
      <c r="H261" t="s">
        <v>40</v>
      </c>
      <c r="I261">
        <v>91387</v>
      </c>
    </row>
    <row r="262" spans="1:9" x14ac:dyDescent="0.3">
      <c r="A262">
        <v>261</v>
      </c>
      <c r="B262" t="s">
        <v>1204</v>
      </c>
      <c r="C262" t="s">
        <v>1205</v>
      </c>
      <c r="D262" t="s">
        <v>5611</v>
      </c>
      <c r="E262" t="s">
        <v>1206</v>
      </c>
      <c r="F262" t="s">
        <v>1207</v>
      </c>
      <c r="G262" t="s">
        <v>195</v>
      </c>
      <c r="H262" t="s">
        <v>40</v>
      </c>
      <c r="I262">
        <v>92831</v>
      </c>
    </row>
    <row r="263" spans="1:9" x14ac:dyDescent="0.3">
      <c r="A263">
        <v>262</v>
      </c>
      <c r="B263" t="s">
        <v>1208</v>
      </c>
      <c r="C263" t="s">
        <v>964</v>
      </c>
      <c r="D263" t="s">
        <v>1209</v>
      </c>
      <c r="E263" t="s">
        <v>1210</v>
      </c>
      <c r="F263" t="s">
        <v>1211</v>
      </c>
      <c r="G263" t="s">
        <v>67</v>
      </c>
      <c r="H263" t="s">
        <v>34</v>
      </c>
      <c r="I263">
        <v>14215</v>
      </c>
    </row>
    <row r="264" spans="1:9" x14ac:dyDescent="0.3">
      <c r="A264">
        <v>263</v>
      </c>
      <c r="B264" t="s">
        <v>1212</v>
      </c>
      <c r="C264" t="s">
        <v>1213</v>
      </c>
      <c r="D264" t="s">
        <v>1214</v>
      </c>
      <c r="E264" t="s">
        <v>1215</v>
      </c>
      <c r="F264" t="s">
        <v>1216</v>
      </c>
      <c r="G264" t="s">
        <v>1037</v>
      </c>
      <c r="H264" t="s">
        <v>34</v>
      </c>
      <c r="I264">
        <v>11572</v>
      </c>
    </row>
    <row r="265" spans="1:9" x14ac:dyDescent="0.3">
      <c r="A265">
        <v>264</v>
      </c>
      <c r="B265" t="s">
        <v>1217</v>
      </c>
      <c r="C265" t="s">
        <v>1218</v>
      </c>
      <c r="D265" t="s">
        <v>5611</v>
      </c>
      <c r="E265" t="s">
        <v>1219</v>
      </c>
      <c r="F265" t="s">
        <v>1220</v>
      </c>
      <c r="G265" t="s">
        <v>1221</v>
      </c>
      <c r="H265" t="s">
        <v>34</v>
      </c>
      <c r="I265">
        <v>11530</v>
      </c>
    </row>
    <row r="266" spans="1:9" x14ac:dyDescent="0.3">
      <c r="A266">
        <v>265</v>
      </c>
      <c r="B266" t="s">
        <v>1222</v>
      </c>
      <c r="C266" t="s">
        <v>1223</v>
      </c>
      <c r="D266" t="s">
        <v>5611</v>
      </c>
      <c r="E266" t="s">
        <v>1224</v>
      </c>
      <c r="F266" t="s">
        <v>1225</v>
      </c>
      <c r="G266" t="s">
        <v>319</v>
      </c>
      <c r="H266" t="s">
        <v>34</v>
      </c>
      <c r="I266">
        <v>11722</v>
      </c>
    </row>
    <row r="267" spans="1:9" x14ac:dyDescent="0.3">
      <c r="A267">
        <v>266</v>
      </c>
      <c r="B267" t="s">
        <v>1226</v>
      </c>
      <c r="C267" t="s">
        <v>1227</v>
      </c>
      <c r="D267" t="s">
        <v>5611</v>
      </c>
      <c r="E267" t="s">
        <v>1228</v>
      </c>
      <c r="F267" t="s">
        <v>1229</v>
      </c>
      <c r="G267" t="s">
        <v>256</v>
      </c>
      <c r="H267" t="s">
        <v>34</v>
      </c>
      <c r="I267">
        <v>11003</v>
      </c>
    </row>
    <row r="268" spans="1:9" x14ac:dyDescent="0.3">
      <c r="A268">
        <v>267</v>
      </c>
      <c r="B268" t="s">
        <v>1230</v>
      </c>
      <c r="C268" t="s">
        <v>1231</v>
      </c>
      <c r="D268" t="s">
        <v>5611</v>
      </c>
      <c r="E268" t="s">
        <v>1232</v>
      </c>
      <c r="F268" t="s">
        <v>1233</v>
      </c>
      <c r="G268" t="s">
        <v>896</v>
      </c>
      <c r="H268" t="s">
        <v>40</v>
      </c>
      <c r="I268">
        <v>92307</v>
      </c>
    </row>
    <row r="269" spans="1:9" x14ac:dyDescent="0.3">
      <c r="A269">
        <v>268</v>
      </c>
      <c r="B269" t="s">
        <v>1234</v>
      </c>
      <c r="C269" t="s">
        <v>978</v>
      </c>
      <c r="D269" t="s">
        <v>5611</v>
      </c>
      <c r="E269" t="s">
        <v>1235</v>
      </c>
      <c r="F269" t="s">
        <v>1236</v>
      </c>
      <c r="G269" t="s">
        <v>957</v>
      </c>
      <c r="H269" t="s">
        <v>34</v>
      </c>
      <c r="I269">
        <v>12020</v>
      </c>
    </row>
    <row r="270" spans="1:9" x14ac:dyDescent="0.3">
      <c r="A270">
        <v>269</v>
      </c>
      <c r="B270" t="s">
        <v>1237</v>
      </c>
      <c r="C270" t="s">
        <v>1238</v>
      </c>
      <c r="D270" t="s">
        <v>5611</v>
      </c>
      <c r="E270" t="s">
        <v>1239</v>
      </c>
      <c r="F270" t="s">
        <v>1240</v>
      </c>
      <c r="G270" t="s">
        <v>1241</v>
      </c>
      <c r="H270" t="s">
        <v>34</v>
      </c>
      <c r="I270">
        <v>11710</v>
      </c>
    </row>
    <row r="271" spans="1:9" x14ac:dyDescent="0.3">
      <c r="A271">
        <v>270</v>
      </c>
      <c r="B271" t="s">
        <v>1242</v>
      </c>
      <c r="C271" t="s">
        <v>1243</v>
      </c>
      <c r="D271" t="s">
        <v>5611</v>
      </c>
      <c r="E271" t="s">
        <v>1244</v>
      </c>
      <c r="F271" t="s">
        <v>1245</v>
      </c>
      <c r="G271" t="s">
        <v>1246</v>
      </c>
      <c r="H271" t="s">
        <v>34</v>
      </c>
      <c r="I271">
        <v>12401</v>
      </c>
    </row>
    <row r="272" spans="1:9" x14ac:dyDescent="0.3">
      <c r="A272">
        <v>271</v>
      </c>
      <c r="B272" t="s">
        <v>1247</v>
      </c>
      <c r="C272" t="s">
        <v>1248</v>
      </c>
      <c r="D272" t="s">
        <v>5611</v>
      </c>
      <c r="E272" t="s">
        <v>1249</v>
      </c>
      <c r="F272" t="s">
        <v>1250</v>
      </c>
      <c r="G272" t="s">
        <v>98</v>
      </c>
      <c r="H272" t="s">
        <v>99</v>
      </c>
      <c r="I272">
        <v>75604</v>
      </c>
    </row>
    <row r="273" spans="1:9" x14ac:dyDescent="0.3">
      <c r="A273">
        <v>272</v>
      </c>
      <c r="B273" t="s">
        <v>1251</v>
      </c>
      <c r="C273" t="s">
        <v>1252</v>
      </c>
      <c r="D273" t="s">
        <v>5611</v>
      </c>
      <c r="E273" t="s">
        <v>1253</v>
      </c>
      <c r="F273" t="s">
        <v>1254</v>
      </c>
      <c r="G273" t="s">
        <v>976</v>
      </c>
      <c r="H273" t="s">
        <v>34</v>
      </c>
      <c r="I273">
        <v>11432</v>
      </c>
    </row>
    <row r="274" spans="1:9" x14ac:dyDescent="0.3">
      <c r="A274">
        <v>273</v>
      </c>
      <c r="B274" t="s">
        <v>1255</v>
      </c>
      <c r="C274" t="s">
        <v>1256</v>
      </c>
      <c r="D274" t="s">
        <v>5611</v>
      </c>
      <c r="E274" t="s">
        <v>1257</v>
      </c>
      <c r="F274" t="s">
        <v>1258</v>
      </c>
      <c r="G274" t="s">
        <v>1259</v>
      </c>
      <c r="H274" t="s">
        <v>34</v>
      </c>
      <c r="I274">
        <v>11417</v>
      </c>
    </row>
    <row r="275" spans="1:9" x14ac:dyDescent="0.3">
      <c r="A275">
        <v>274</v>
      </c>
      <c r="B275" t="s">
        <v>1260</v>
      </c>
      <c r="C275" t="s">
        <v>1261</v>
      </c>
      <c r="D275" t="s">
        <v>5611</v>
      </c>
      <c r="E275" t="s">
        <v>1262</v>
      </c>
      <c r="F275" t="s">
        <v>1263</v>
      </c>
      <c r="G275" t="s">
        <v>1264</v>
      </c>
      <c r="H275" t="s">
        <v>34</v>
      </c>
      <c r="I275">
        <v>12533</v>
      </c>
    </row>
    <row r="276" spans="1:9" x14ac:dyDescent="0.3">
      <c r="A276">
        <v>275</v>
      </c>
      <c r="B276" t="s">
        <v>1265</v>
      </c>
      <c r="C276" t="s">
        <v>364</v>
      </c>
      <c r="D276" t="s">
        <v>5611</v>
      </c>
      <c r="E276" t="s">
        <v>1266</v>
      </c>
      <c r="F276" t="s">
        <v>1267</v>
      </c>
      <c r="G276" t="s">
        <v>333</v>
      </c>
      <c r="H276" t="s">
        <v>99</v>
      </c>
      <c r="I276">
        <v>76901</v>
      </c>
    </row>
    <row r="277" spans="1:9" x14ac:dyDescent="0.3">
      <c r="A277">
        <v>276</v>
      </c>
      <c r="B277" t="s">
        <v>1268</v>
      </c>
      <c r="C277" t="s">
        <v>1269</v>
      </c>
      <c r="D277" t="s">
        <v>5611</v>
      </c>
      <c r="E277" t="s">
        <v>1270</v>
      </c>
      <c r="F277" t="s">
        <v>1271</v>
      </c>
      <c r="G277" t="s">
        <v>1272</v>
      </c>
      <c r="H277" t="s">
        <v>34</v>
      </c>
      <c r="I277">
        <v>11779</v>
      </c>
    </row>
    <row r="278" spans="1:9" x14ac:dyDescent="0.3">
      <c r="A278">
        <v>277</v>
      </c>
      <c r="B278" t="s">
        <v>1273</v>
      </c>
      <c r="C278" t="s">
        <v>1274</v>
      </c>
      <c r="D278" t="s">
        <v>5611</v>
      </c>
      <c r="E278" t="s">
        <v>1275</v>
      </c>
      <c r="F278" t="s">
        <v>1276</v>
      </c>
      <c r="G278" t="s">
        <v>82</v>
      </c>
      <c r="H278" t="s">
        <v>34</v>
      </c>
      <c r="I278">
        <v>10950</v>
      </c>
    </row>
    <row r="279" spans="1:9" x14ac:dyDescent="0.3">
      <c r="A279">
        <v>278</v>
      </c>
      <c r="B279" t="s">
        <v>1277</v>
      </c>
      <c r="C279" t="s">
        <v>1278</v>
      </c>
      <c r="D279" t="s">
        <v>5611</v>
      </c>
      <c r="E279" t="s">
        <v>1279</v>
      </c>
      <c r="F279" t="s">
        <v>1280</v>
      </c>
      <c r="G279" t="s">
        <v>39</v>
      </c>
      <c r="H279" t="s">
        <v>40</v>
      </c>
      <c r="I279">
        <v>95008</v>
      </c>
    </row>
    <row r="280" spans="1:9" x14ac:dyDescent="0.3">
      <c r="A280">
        <v>279</v>
      </c>
      <c r="B280" t="s">
        <v>1281</v>
      </c>
      <c r="C280" t="s">
        <v>1282</v>
      </c>
      <c r="D280" t="s">
        <v>5611</v>
      </c>
      <c r="E280" t="s">
        <v>1283</v>
      </c>
      <c r="F280" t="s">
        <v>1284</v>
      </c>
      <c r="G280" t="s">
        <v>385</v>
      </c>
      <c r="H280" t="s">
        <v>40</v>
      </c>
      <c r="I280">
        <v>91733</v>
      </c>
    </row>
    <row r="281" spans="1:9" x14ac:dyDescent="0.3">
      <c r="A281">
        <v>280</v>
      </c>
      <c r="B281" t="s">
        <v>1285</v>
      </c>
      <c r="C281" t="s">
        <v>694</v>
      </c>
      <c r="D281" t="s">
        <v>5611</v>
      </c>
      <c r="E281" t="s">
        <v>1286</v>
      </c>
      <c r="F281" t="s">
        <v>1287</v>
      </c>
      <c r="G281" t="s">
        <v>333</v>
      </c>
      <c r="H281" t="s">
        <v>99</v>
      </c>
      <c r="I281">
        <v>76901</v>
      </c>
    </row>
    <row r="282" spans="1:9" x14ac:dyDescent="0.3">
      <c r="A282">
        <v>281</v>
      </c>
      <c r="B282" t="s">
        <v>1288</v>
      </c>
      <c r="C282" t="s">
        <v>1289</v>
      </c>
      <c r="D282" t="s">
        <v>5611</v>
      </c>
      <c r="E282" t="s">
        <v>1290</v>
      </c>
      <c r="F282" t="s">
        <v>1291</v>
      </c>
      <c r="G282" t="s">
        <v>1259</v>
      </c>
      <c r="H282" t="s">
        <v>34</v>
      </c>
      <c r="I282">
        <v>11417</v>
      </c>
    </row>
    <row r="283" spans="1:9" x14ac:dyDescent="0.3">
      <c r="A283">
        <v>282</v>
      </c>
      <c r="B283" t="s">
        <v>1292</v>
      </c>
      <c r="C283" t="s">
        <v>1293</v>
      </c>
      <c r="D283" t="s">
        <v>5611</v>
      </c>
      <c r="E283" t="s">
        <v>1294</v>
      </c>
      <c r="F283" t="s">
        <v>1295</v>
      </c>
      <c r="G283" t="s">
        <v>270</v>
      </c>
      <c r="H283" t="s">
        <v>40</v>
      </c>
      <c r="I283">
        <v>94580</v>
      </c>
    </row>
    <row r="284" spans="1:9" x14ac:dyDescent="0.3">
      <c r="A284">
        <v>283</v>
      </c>
      <c r="B284" t="s">
        <v>1296</v>
      </c>
      <c r="C284" t="s">
        <v>1297</v>
      </c>
      <c r="D284" t="s">
        <v>5611</v>
      </c>
      <c r="E284" t="s">
        <v>1298</v>
      </c>
      <c r="F284" t="s">
        <v>1299</v>
      </c>
      <c r="G284" t="s">
        <v>1300</v>
      </c>
      <c r="H284" t="s">
        <v>34</v>
      </c>
      <c r="I284">
        <v>12601</v>
      </c>
    </row>
    <row r="285" spans="1:9" x14ac:dyDescent="0.3">
      <c r="A285">
        <v>284</v>
      </c>
      <c r="B285" t="s">
        <v>1301</v>
      </c>
      <c r="C285" t="s">
        <v>1302</v>
      </c>
      <c r="D285" t="s">
        <v>5611</v>
      </c>
      <c r="E285" t="s">
        <v>1303</v>
      </c>
      <c r="F285" t="s">
        <v>1304</v>
      </c>
      <c r="G285" t="s">
        <v>516</v>
      </c>
      <c r="H285" t="s">
        <v>34</v>
      </c>
      <c r="I285">
        <v>11725</v>
      </c>
    </row>
    <row r="286" spans="1:9" x14ac:dyDescent="0.3">
      <c r="A286">
        <v>285</v>
      </c>
      <c r="B286" t="s">
        <v>1305</v>
      </c>
      <c r="C286" t="s">
        <v>1306</v>
      </c>
      <c r="D286" t="s">
        <v>5611</v>
      </c>
      <c r="E286" t="s">
        <v>1307</v>
      </c>
      <c r="F286" t="s">
        <v>1308</v>
      </c>
      <c r="G286" t="s">
        <v>224</v>
      </c>
      <c r="H286" t="s">
        <v>34</v>
      </c>
      <c r="I286">
        <v>11102</v>
      </c>
    </row>
    <row r="287" spans="1:9" x14ac:dyDescent="0.3">
      <c r="A287">
        <v>286</v>
      </c>
      <c r="B287" t="s">
        <v>1309</v>
      </c>
      <c r="C287" t="s">
        <v>172</v>
      </c>
      <c r="D287" t="s">
        <v>5611</v>
      </c>
      <c r="E287" t="s">
        <v>1310</v>
      </c>
      <c r="F287" t="s">
        <v>1311</v>
      </c>
      <c r="G287" t="s">
        <v>1312</v>
      </c>
      <c r="H287" t="s">
        <v>34</v>
      </c>
      <c r="I287">
        <v>11756</v>
      </c>
    </row>
    <row r="288" spans="1:9" x14ac:dyDescent="0.3">
      <c r="A288">
        <v>287</v>
      </c>
      <c r="B288" t="s">
        <v>1313</v>
      </c>
      <c r="C288" t="s">
        <v>1314</v>
      </c>
      <c r="D288" t="s">
        <v>1315</v>
      </c>
      <c r="E288" t="s">
        <v>1316</v>
      </c>
      <c r="F288" t="s">
        <v>1317</v>
      </c>
      <c r="G288" t="s">
        <v>829</v>
      </c>
      <c r="H288" t="s">
        <v>40</v>
      </c>
      <c r="I288">
        <v>93035</v>
      </c>
    </row>
    <row r="289" spans="1:9" x14ac:dyDescent="0.3">
      <c r="A289">
        <v>288</v>
      </c>
      <c r="B289" t="s">
        <v>1318</v>
      </c>
      <c r="C289" t="s">
        <v>1319</v>
      </c>
      <c r="D289" t="s">
        <v>5611</v>
      </c>
      <c r="E289" t="s">
        <v>1320</v>
      </c>
      <c r="F289" t="s">
        <v>1321</v>
      </c>
      <c r="G289" t="s">
        <v>774</v>
      </c>
      <c r="H289" t="s">
        <v>40</v>
      </c>
      <c r="I289">
        <v>92220</v>
      </c>
    </row>
    <row r="290" spans="1:9" x14ac:dyDescent="0.3">
      <c r="A290">
        <v>289</v>
      </c>
      <c r="B290" t="s">
        <v>1322</v>
      </c>
      <c r="C290" t="s">
        <v>883</v>
      </c>
      <c r="D290" t="s">
        <v>5611</v>
      </c>
      <c r="E290" t="s">
        <v>1323</v>
      </c>
      <c r="F290" t="s">
        <v>1324</v>
      </c>
      <c r="G290" t="s">
        <v>408</v>
      </c>
      <c r="H290" t="s">
        <v>99</v>
      </c>
      <c r="I290">
        <v>75080</v>
      </c>
    </row>
    <row r="291" spans="1:9" x14ac:dyDescent="0.3">
      <c r="A291">
        <v>290</v>
      </c>
      <c r="B291" t="s">
        <v>1325</v>
      </c>
      <c r="C291" t="s">
        <v>1326</v>
      </c>
      <c r="D291" t="s">
        <v>5611</v>
      </c>
      <c r="E291" t="s">
        <v>1327</v>
      </c>
      <c r="F291" t="s">
        <v>1328</v>
      </c>
      <c r="G291" t="s">
        <v>1329</v>
      </c>
      <c r="H291" t="s">
        <v>34</v>
      </c>
      <c r="I291">
        <v>11720</v>
      </c>
    </row>
    <row r="292" spans="1:9" x14ac:dyDescent="0.3">
      <c r="A292">
        <v>291</v>
      </c>
      <c r="B292" t="s">
        <v>1330</v>
      </c>
      <c r="C292" t="s">
        <v>30</v>
      </c>
      <c r="D292" t="s">
        <v>5611</v>
      </c>
      <c r="E292" t="s">
        <v>1331</v>
      </c>
      <c r="F292" t="s">
        <v>1332</v>
      </c>
      <c r="G292" t="s">
        <v>170</v>
      </c>
      <c r="H292" t="s">
        <v>34</v>
      </c>
      <c r="I292">
        <v>11104</v>
      </c>
    </row>
    <row r="293" spans="1:9" x14ac:dyDescent="0.3">
      <c r="A293">
        <v>292</v>
      </c>
      <c r="B293" t="s">
        <v>1333</v>
      </c>
      <c r="C293" t="s">
        <v>172</v>
      </c>
      <c r="D293" t="s">
        <v>1334</v>
      </c>
      <c r="E293" t="s">
        <v>1335</v>
      </c>
      <c r="F293" t="s">
        <v>1336</v>
      </c>
      <c r="G293" t="s">
        <v>93</v>
      </c>
      <c r="H293" t="s">
        <v>34</v>
      </c>
      <c r="I293">
        <v>11550</v>
      </c>
    </row>
    <row r="294" spans="1:9" x14ac:dyDescent="0.3">
      <c r="A294">
        <v>293</v>
      </c>
      <c r="B294" t="s">
        <v>1337</v>
      </c>
      <c r="C294" t="s">
        <v>1338</v>
      </c>
      <c r="D294" t="s">
        <v>5611</v>
      </c>
      <c r="E294" t="s">
        <v>1339</v>
      </c>
      <c r="F294" t="s">
        <v>1340</v>
      </c>
      <c r="G294" t="s">
        <v>750</v>
      </c>
      <c r="H294" t="s">
        <v>34</v>
      </c>
      <c r="I294">
        <v>11803</v>
      </c>
    </row>
    <row r="295" spans="1:9" x14ac:dyDescent="0.3">
      <c r="A295">
        <v>294</v>
      </c>
      <c r="B295" t="s">
        <v>1341</v>
      </c>
      <c r="C295" t="s">
        <v>1342</v>
      </c>
      <c r="D295" t="s">
        <v>5611</v>
      </c>
      <c r="E295" t="s">
        <v>1343</v>
      </c>
      <c r="F295" t="s">
        <v>1344</v>
      </c>
      <c r="G295" t="s">
        <v>352</v>
      </c>
      <c r="H295" t="s">
        <v>34</v>
      </c>
      <c r="I295">
        <v>13440</v>
      </c>
    </row>
    <row r="296" spans="1:9" x14ac:dyDescent="0.3">
      <c r="A296">
        <v>295</v>
      </c>
      <c r="B296" t="s">
        <v>1345</v>
      </c>
      <c r="C296" t="s">
        <v>1346</v>
      </c>
      <c r="D296" t="s">
        <v>5611</v>
      </c>
      <c r="E296" t="s">
        <v>1347</v>
      </c>
      <c r="F296" t="s">
        <v>1348</v>
      </c>
      <c r="G296" t="s">
        <v>819</v>
      </c>
      <c r="H296" t="s">
        <v>34</v>
      </c>
      <c r="I296">
        <v>11420</v>
      </c>
    </row>
    <row r="297" spans="1:9" x14ac:dyDescent="0.3">
      <c r="A297">
        <v>296</v>
      </c>
      <c r="B297" t="s">
        <v>1349</v>
      </c>
      <c r="C297" t="s">
        <v>1350</v>
      </c>
      <c r="D297" t="s">
        <v>5611</v>
      </c>
      <c r="E297" t="s">
        <v>1351</v>
      </c>
      <c r="F297" t="s">
        <v>1352</v>
      </c>
      <c r="G297" t="s">
        <v>50</v>
      </c>
      <c r="H297" t="s">
        <v>34</v>
      </c>
      <c r="I297">
        <v>11553</v>
      </c>
    </row>
    <row r="298" spans="1:9" x14ac:dyDescent="0.3">
      <c r="A298">
        <v>297</v>
      </c>
      <c r="B298" t="s">
        <v>1353</v>
      </c>
      <c r="C298" t="s">
        <v>374</v>
      </c>
      <c r="D298" t="s">
        <v>5611</v>
      </c>
      <c r="E298" t="s">
        <v>1354</v>
      </c>
      <c r="F298" t="s">
        <v>1355</v>
      </c>
      <c r="G298" t="s">
        <v>759</v>
      </c>
      <c r="H298" t="s">
        <v>99</v>
      </c>
      <c r="I298">
        <v>78023</v>
      </c>
    </row>
    <row r="299" spans="1:9" x14ac:dyDescent="0.3">
      <c r="A299">
        <v>298</v>
      </c>
      <c r="B299" t="s">
        <v>1356</v>
      </c>
      <c r="C299" t="s">
        <v>1357</v>
      </c>
      <c r="D299" t="s">
        <v>5611</v>
      </c>
      <c r="E299" t="s">
        <v>1358</v>
      </c>
      <c r="F299" t="s">
        <v>1359</v>
      </c>
      <c r="G299" t="s">
        <v>463</v>
      </c>
      <c r="H299" t="s">
        <v>40</v>
      </c>
      <c r="I299">
        <v>91784</v>
      </c>
    </row>
    <row r="300" spans="1:9" x14ac:dyDescent="0.3">
      <c r="A300">
        <v>299</v>
      </c>
      <c r="B300" t="s">
        <v>1360</v>
      </c>
      <c r="C300" t="s">
        <v>1062</v>
      </c>
      <c r="D300" t="s">
        <v>5611</v>
      </c>
      <c r="E300" t="s">
        <v>1361</v>
      </c>
      <c r="F300" t="s">
        <v>1362</v>
      </c>
      <c r="G300" t="s">
        <v>764</v>
      </c>
      <c r="H300" t="s">
        <v>34</v>
      </c>
      <c r="I300">
        <v>11706</v>
      </c>
    </row>
    <row r="301" spans="1:9" x14ac:dyDescent="0.3">
      <c r="A301">
        <v>300</v>
      </c>
      <c r="B301" t="s">
        <v>1363</v>
      </c>
      <c r="C301" t="s">
        <v>1364</v>
      </c>
      <c r="D301" t="s">
        <v>5611</v>
      </c>
      <c r="E301" t="s">
        <v>1365</v>
      </c>
      <c r="F301" t="s">
        <v>1366</v>
      </c>
      <c r="G301" t="s">
        <v>1367</v>
      </c>
      <c r="H301" t="s">
        <v>40</v>
      </c>
      <c r="I301">
        <v>94043</v>
      </c>
    </row>
    <row r="302" spans="1:9" x14ac:dyDescent="0.3">
      <c r="A302">
        <v>301</v>
      </c>
      <c r="B302" t="s">
        <v>1368</v>
      </c>
      <c r="C302" t="s">
        <v>1274</v>
      </c>
      <c r="D302" t="s">
        <v>5611</v>
      </c>
      <c r="E302" t="s">
        <v>1369</v>
      </c>
      <c r="F302" t="s">
        <v>1370</v>
      </c>
      <c r="G302" t="s">
        <v>120</v>
      </c>
      <c r="H302" t="s">
        <v>34</v>
      </c>
      <c r="I302">
        <v>10583</v>
      </c>
    </row>
    <row r="303" spans="1:9" x14ac:dyDescent="0.3">
      <c r="A303">
        <v>302</v>
      </c>
      <c r="B303" t="s">
        <v>1371</v>
      </c>
      <c r="C303" t="s">
        <v>1372</v>
      </c>
      <c r="D303" t="s">
        <v>5611</v>
      </c>
      <c r="E303" t="s">
        <v>1373</v>
      </c>
      <c r="F303" t="s">
        <v>1374</v>
      </c>
      <c r="G303" t="s">
        <v>896</v>
      </c>
      <c r="H303" t="s">
        <v>40</v>
      </c>
      <c r="I303">
        <v>92307</v>
      </c>
    </row>
    <row r="304" spans="1:9" x14ac:dyDescent="0.3">
      <c r="A304">
        <v>303</v>
      </c>
      <c r="B304" t="s">
        <v>1375</v>
      </c>
      <c r="C304" t="s">
        <v>141</v>
      </c>
      <c r="D304" t="s">
        <v>5611</v>
      </c>
      <c r="E304" t="s">
        <v>1376</v>
      </c>
      <c r="F304" t="s">
        <v>1377</v>
      </c>
      <c r="G304" t="s">
        <v>538</v>
      </c>
      <c r="H304" t="s">
        <v>34</v>
      </c>
      <c r="I304">
        <v>11421</v>
      </c>
    </row>
    <row r="305" spans="1:9" x14ac:dyDescent="0.3">
      <c r="A305">
        <v>304</v>
      </c>
      <c r="B305" t="s">
        <v>1378</v>
      </c>
      <c r="C305" t="s">
        <v>1379</v>
      </c>
      <c r="D305" t="s">
        <v>5611</v>
      </c>
      <c r="E305" t="s">
        <v>1380</v>
      </c>
      <c r="F305" t="s">
        <v>1381</v>
      </c>
      <c r="G305" t="s">
        <v>1382</v>
      </c>
      <c r="H305" t="s">
        <v>34</v>
      </c>
      <c r="I305">
        <v>11413</v>
      </c>
    </row>
    <row r="306" spans="1:9" x14ac:dyDescent="0.3">
      <c r="A306">
        <v>305</v>
      </c>
      <c r="B306" t="s">
        <v>1383</v>
      </c>
      <c r="C306" t="s">
        <v>1384</v>
      </c>
      <c r="D306" t="s">
        <v>5611</v>
      </c>
      <c r="E306" t="s">
        <v>1385</v>
      </c>
      <c r="F306" t="s">
        <v>1386</v>
      </c>
      <c r="G306" t="s">
        <v>45</v>
      </c>
      <c r="H306" t="s">
        <v>40</v>
      </c>
      <c r="I306">
        <v>90278</v>
      </c>
    </row>
    <row r="307" spans="1:9" x14ac:dyDescent="0.3">
      <c r="A307">
        <v>306</v>
      </c>
      <c r="B307" t="s">
        <v>1387</v>
      </c>
      <c r="C307" t="s">
        <v>1388</v>
      </c>
      <c r="D307" t="s">
        <v>5611</v>
      </c>
      <c r="E307" t="s">
        <v>1389</v>
      </c>
      <c r="F307" t="s">
        <v>1390</v>
      </c>
      <c r="G307" t="s">
        <v>1246</v>
      </c>
      <c r="H307" t="s">
        <v>34</v>
      </c>
      <c r="I307">
        <v>12401</v>
      </c>
    </row>
    <row r="308" spans="1:9" x14ac:dyDescent="0.3">
      <c r="A308">
        <v>307</v>
      </c>
      <c r="B308" t="s">
        <v>1391</v>
      </c>
      <c r="C308" t="s">
        <v>1392</v>
      </c>
      <c r="D308" t="s">
        <v>5611</v>
      </c>
      <c r="E308" t="s">
        <v>1393</v>
      </c>
      <c r="F308" t="s">
        <v>1394</v>
      </c>
      <c r="G308" t="s">
        <v>296</v>
      </c>
      <c r="H308" t="s">
        <v>40</v>
      </c>
      <c r="I308">
        <v>91740</v>
      </c>
    </row>
    <row r="309" spans="1:9" x14ac:dyDescent="0.3">
      <c r="A309">
        <v>308</v>
      </c>
      <c r="B309" t="s">
        <v>1395</v>
      </c>
      <c r="C309" t="s">
        <v>1396</v>
      </c>
      <c r="D309" t="s">
        <v>5611</v>
      </c>
      <c r="E309" t="s">
        <v>1397</v>
      </c>
      <c r="F309" t="s">
        <v>1398</v>
      </c>
      <c r="G309" t="s">
        <v>883</v>
      </c>
      <c r="H309" t="s">
        <v>34</v>
      </c>
      <c r="I309">
        <v>14580</v>
      </c>
    </row>
    <row r="310" spans="1:9" x14ac:dyDescent="0.3">
      <c r="A310">
        <v>309</v>
      </c>
      <c r="B310" t="s">
        <v>1399</v>
      </c>
      <c r="C310" t="s">
        <v>501</v>
      </c>
      <c r="D310" t="s">
        <v>5611</v>
      </c>
      <c r="E310" t="s">
        <v>1400</v>
      </c>
      <c r="F310" t="s">
        <v>1401</v>
      </c>
      <c r="G310" t="s">
        <v>125</v>
      </c>
      <c r="H310" t="s">
        <v>34</v>
      </c>
      <c r="I310">
        <v>14424</v>
      </c>
    </row>
    <row r="311" spans="1:9" x14ac:dyDescent="0.3">
      <c r="A311">
        <v>310</v>
      </c>
      <c r="B311" t="s">
        <v>1402</v>
      </c>
      <c r="C311" t="s">
        <v>1403</v>
      </c>
      <c r="D311" t="s">
        <v>5611</v>
      </c>
      <c r="E311" t="s">
        <v>1404</v>
      </c>
      <c r="F311" t="s">
        <v>1405</v>
      </c>
      <c r="G311" t="s">
        <v>1406</v>
      </c>
      <c r="H311" t="s">
        <v>34</v>
      </c>
      <c r="I311">
        <v>11379</v>
      </c>
    </row>
    <row r="312" spans="1:9" x14ac:dyDescent="0.3">
      <c r="A312">
        <v>311</v>
      </c>
      <c r="B312" t="s">
        <v>1407</v>
      </c>
      <c r="C312" t="s">
        <v>1408</v>
      </c>
      <c r="D312" t="s">
        <v>1409</v>
      </c>
      <c r="E312" t="s">
        <v>1410</v>
      </c>
      <c r="F312" t="s">
        <v>1411</v>
      </c>
      <c r="G312" t="s">
        <v>607</v>
      </c>
      <c r="H312" t="s">
        <v>40</v>
      </c>
      <c r="I312">
        <v>93706</v>
      </c>
    </row>
    <row r="313" spans="1:9" x14ac:dyDescent="0.3">
      <c r="A313">
        <v>312</v>
      </c>
      <c r="B313" t="s">
        <v>1412</v>
      </c>
      <c r="C313" t="s">
        <v>1413</v>
      </c>
      <c r="D313" t="s">
        <v>5611</v>
      </c>
      <c r="E313" t="s">
        <v>1414</v>
      </c>
      <c r="F313" t="s">
        <v>1415</v>
      </c>
      <c r="G313" t="s">
        <v>98</v>
      </c>
      <c r="H313" t="s">
        <v>99</v>
      </c>
      <c r="I313">
        <v>75604</v>
      </c>
    </row>
    <row r="314" spans="1:9" x14ac:dyDescent="0.3">
      <c r="A314">
        <v>313</v>
      </c>
      <c r="B314" t="s">
        <v>1416</v>
      </c>
      <c r="C314" t="s">
        <v>1213</v>
      </c>
      <c r="D314" t="s">
        <v>5611</v>
      </c>
      <c r="E314" t="s">
        <v>1417</v>
      </c>
      <c r="F314" t="s">
        <v>1418</v>
      </c>
      <c r="G314" t="s">
        <v>219</v>
      </c>
      <c r="H314" t="s">
        <v>34</v>
      </c>
      <c r="I314">
        <v>11378</v>
      </c>
    </row>
    <row r="315" spans="1:9" x14ac:dyDescent="0.3">
      <c r="A315">
        <v>314</v>
      </c>
      <c r="B315" t="s">
        <v>1419</v>
      </c>
      <c r="C315" t="s">
        <v>1420</v>
      </c>
      <c r="D315" t="s">
        <v>5611</v>
      </c>
      <c r="E315" t="s">
        <v>1421</v>
      </c>
      <c r="F315" t="s">
        <v>1422</v>
      </c>
      <c r="G315" t="s">
        <v>367</v>
      </c>
      <c r="H315" t="s">
        <v>99</v>
      </c>
      <c r="I315">
        <v>75088</v>
      </c>
    </row>
    <row r="316" spans="1:9" x14ac:dyDescent="0.3">
      <c r="A316">
        <v>315</v>
      </c>
      <c r="B316" t="s">
        <v>1281</v>
      </c>
      <c r="C316" t="s">
        <v>1423</v>
      </c>
      <c r="D316" t="s">
        <v>5611</v>
      </c>
      <c r="E316" t="s">
        <v>1424</v>
      </c>
      <c r="F316" t="s">
        <v>1425</v>
      </c>
      <c r="G316" t="s">
        <v>74</v>
      </c>
      <c r="H316" t="s">
        <v>34</v>
      </c>
      <c r="I316">
        <v>11510</v>
      </c>
    </row>
    <row r="317" spans="1:9" x14ac:dyDescent="0.3">
      <c r="A317">
        <v>316</v>
      </c>
      <c r="B317" t="s">
        <v>1426</v>
      </c>
      <c r="C317" t="s">
        <v>1427</v>
      </c>
      <c r="D317" t="s">
        <v>5611</v>
      </c>
      <c r="E317" t="s">
        <v>1428</v>
      </c>
      <c r="F317" t="s">
        <v>1429</v>
      </c>
      <c r="G317" t="s">
        <v>589</v>
      </c>
      <c r="H317" t="s">
        <v>99</v>
      </c>
      <c r="I317">
        <v>76039</v>
      </c>
    </row>
    <row r="318" spans="1:9" x14ac:dyDescent="0.3">
      <c r="A318">
        <v>317</v>
      </c>
      <c r="B318" t="s">
        <v>1353</v>
      </c>
      <c r="C318" t="s">
        <v>662</v>
      </c>
      <c r="D318" t="s">
        <v>5611</v>
      </c>
      <c r="E318" t="s">
        <v>1430</v>
      </c>
      <c r="F318" t="s">
        <v>1431</v>
      </c>
      <c r="G318" t="s">
        <v>802</v>
      </c>
      <c r="H318" t="s">
        <v>34</v>
      </c>
      <c r="I318">
        <v>11377</v>
      </c>
    </row>
    <row r="319" spans="1:9" x14ac:dyDescent="0.3">
      <c r="A319">
        <v>318</v>
      </c>
      <c r="B319" t="s">
        <v>1432</v>
      </c>
      <c r="C319" t="s">
        <v>1073</v>
      </c>
      <c r="D319" t="s">
        <v>5611</v>
      </c>
      <c r="E319" t="s">
        <v>1433</v>
      </c>
      <c r="F319" t="s">
        <v>1434</v>
      </c>
      <c r="G319" t="s">
        <v>195</v>
      </c>
      <c r="H319" t="s">
        <v>40</v>
      </c>
      <c r="I319">
        <v>92831</v>
      </c>
    </row>
    <row r="320" spans="1:9" x14ac:dyDescent="0.3">
      <c r="A320">
        <v>319</v>
      </c>
      <c r="B320" t="s">
        <v>1435</v>
      </c>
      <c r="C320" t="s">
        <v>1436</v>
      </c>
      <c r="D320" t="s">
        <v>5611</v>
      </c>
      <c r="E320" t="s">
        <v>1437</v>
      </c>
      <c r="F320" t="s">
        <v>1438</v>
      </c>
      <c r="G320" t="s">
        <v>896</v>
      </c>
      <c r="H320" t="s">
        <v>40</v>
      </c>
      <c r="I320">
        <v>92307</v>
      </c>
    </row>
    <row r="321" spans="1:9" x14ac:dyDescent="0.3">
      <c r="A321">
        <v>320</v>
      </c>
      <c r="B321" t="s">
        <v>1439</v>
      </c>
      <c r="C321" t="s">
        <v>1440</v>
      </c>
      <c r="D321" t="s">
        <v>1441</v>
      </c>
      <c r="E321" t="s">
        <v>1442</v>
      </c>
      <c r="F321" t="s">
        <v>1443</v>
      </c>
      <c r="G321" t="s">
        <v>1037</v>
      </c>
      <c r="H321" t="s">
        <v>34</v>
      </c>
      <c r="I321">
        <v>11572</v>
      </c>
    </row>
    <row r="322" spans="1:9" x14ac:dyDescent="0.3">
      <c r="A322">
        <v>321</v>
      </c>
      <c r="B322" t="s">
        <v>1444</v>
      </c>
      <c r="C322" t="s">
        <v>122</v>
      </c>
      <c r="D322" t="s">
        <v>5611</v>
      </c>
      <c r="E322" t="s">
        <v>1445</v>
      </c>
      <c r="F322" t="s">
        <v>1446</v>
      </c>
      <c r="G322" t="s">
        <v>981</v>
      </c>
      <c r="H322" t="s">
        <v>34</v>
      </c>
      <c r="I322">
        <v>11201</v>
      </c>
    </row>
    <row r="323" spans="1:9" x14ac:dyDescent="0.3">
      <c r="A323">
        <v>322</v>
      </c>
      <c r="B323" t="s">
        <v>1447</v>
      </c>
      <c r="C323" t="s">
        <v>756</v>
      </c>
      <c r="D323" t="s">
        <v>5611</v>
      </c>
      <c r="E323" t="s">
        <v>1448</v>
      </c>
      <c r="F323" t="s">
        <v>1449</v>
      </c>
      <c r="G323" t="s">
        <v>1300</v>
      </c>
      <c r="H323" t="s">
        <v>34</v>
      </c>
      <c r="I323">
        <v>12601</v>
      </c>
    </row>
    <row r="324" spans="1:9" x14ac:dyDescent="0.3">
      <c r="A324">
        <v>323</v>
      </c>
      <c r="B324" t="s">
        <v>876</v>
      </c>
      <c r="C324" t="s">
        <v>1450</v>
      </c>
      <c r="D324" t="s">
        <v>5611</v>
      </c>
      <c r="E324" t="s">
        <v>1451</v>
      </c>
      <c r="F324" t="s">
        <v>1452</v>
      </c>
      <c r="G324" t="s">
        <v>1453</v>
      </c>
      <c r="H324" t="s">
        <v>34</v>
      </c>
      <c r="I324">
        <v>12302</v>
      </c>
    </row>
    <row r="325" spans="1:9" x14ac:dyDescent="0.3">
      <c r="A325">
        <v>324</v>
      </c>
      <c r="B325" t="s">
        <v>1454</v>
      </c>
      <c r="C325" t="s">
        <v>893</v>
      </c>
      <c r="D325" t="s">
        <v>5611</v>
      </c>
      <c r="E325" t="s">
        <v>1455</v>
      </c>
      <c r="F325" t="s">
        <v>1456</v>
      </c>
      <c r="G325" t="s">
        <v>1241</v>
      </c>
      <c r="H325" t="s">
        <v>34</v>
      </c>
      <c r="I325">
        <v>11710</v>
      </c>
    </row>
    <row r="326" spans="1:9" x14ac:dyDescent="0.3">
      <c r="A326">
        <v>325</v>
      </c>
      <c r="B326" t="s">
        <v>1457</v>
      </c>
      <c r="C326" t="s">
        <v>1458</v>
      </c>
      <c r="D326" t="s">
        <v>5611</v>
      </c>
      <c r="E326" t="s">
        <v>1459</v>
      </c>
      <c r="F326" t="s">
        <v>1460</v>
      </c>
      <c r="G326" t="s">
        <v>314</v>
      </c>
      <c r="H326" t="s">
        <v>34</v>
      </c>
      <c r="I326">
        <v>10451</v>
      </c>
    </row>
    <row r="327" spans="1:9" x14ac:dyDescent="0.3">
      <c r="A327">
        <v>326</v>
      </c>
      <c r="B327" t="s">
        <v>1461</v>
      </c>
      <c r="C327" t="s">
        <v>1462</v>
      </c>
      <c r="D327" t="s">
        <v>5611</v>
      </c>
      <c r="E327" t="s">
        <v>1463</v>
      </c>
      <c r="F327" t="s">
        <v>1464</v>
      </c>
      <c r="G327" t="s">
        <v>372</v>
      </c>
      <c r="H327" t="s">
        <v>40</v>
      </c>
      <c r="I327">
        <v>95677</v>
      </c>
    </row>
    <row r="328" spans="1:9" x14ac:dyDescent="0.3">
      <c r="A328">
        <v>327</v>
      </c>
      <c r="B328" t="s">
        <v>1465</v>
      </c>
      <c r="C328" t="s">
        <v>1466</v>
      </c>
      <c r="D328" t="s">
        <v>1467</v>
      </c>
      <c r="E328" t="s">
        <v>1468</v>
      </c>
      <c r="F328" t="s">
        <v>1469</v>
      </c>
      <c r="G328" t="s">
        <v>115</v>
      </c>
      <c r="H328" t="s">
        <v>34</v>
      </c>
      <c r="I328">
        <v>10002</v>
      </c>
    </row>
    <row r="329" spans="1:9" x14ac:dyDescent="0.3">
      <c r="A329">
        <v>328</v>
      </c>
      <c r="B329" t="s">
        <v>1470</v>
      </c>
      <c r="C329" t="s">
        <v>1471</v>
      </c>
      <c r="D329" t="s">
        <v>5611</v>
      </c>
      <c r="E329" t="s">
        <v>1472</v>
      </c>
      <c r="F329" t="s">
        <v>1473</v>
      </c>
      <c r="G329" t="s">
        <v>589</v>
      </c>
      <c r="H329" t="s">
        <v>99</v>
      </c>
      <c r="I329">
        <v>76039</v>
      </c>
    </row>
    <row r="330" spans="1:9" x14ac:dyDescent="0.3">
      <c r="A330">
        <v>329</v>
      </c>
      <c r="B330" t="s">
        <v>1474</v>
      </c>
      <c r="C330" t="s">
        <v>1475</v>
      </c>
      <c r="D330" t="s">
        <v>5611</v>
      </c>
      <c r="E330" t="s">
        <v>1476</v>
      </c>
      <c r="F330" t="s">
        <v>1477</v>
      </c>
      <c r="G330" t="s">
        <v>714</v>
      </c>
      <c r="H330" t="s">
        <v>34</v>
      </c>
      <c r="I330">
        <v>10573</v>
      </c>
    </row>
    <row r="331" spans="1:9" x14ac:dyDescent="0.3">
      <c r="A331">
        <v>330</v>
      </c>
      <c r="B331" t="s">
        <v>1478</v>
      </c>
      <c r="C331" t="s">
        <v>1479</v>
      </c>
      <c r="D331" t="s">
        <v>5611</v>
      </c>
      <c r="E331" t="s">
        <v>1480</v>
      </c>
      <c r="F331" t="s">
        <v>1481</v>
      </c>
      <c r="G331" t="s">
        <v>802</v>
      </c>
      <c r="H331" t="s">
        <v>34</v>
      </c>
      <c r="I331">
        <v>11377</v>
      </c>
    </row>
    <row r="332" spans="1:9" x14ac:dyDescent="0.3">
      <c r="A332">
        <v>331</v>
      </c>
      <c r="B332" t="s">
        <v>130</v>
      </c>
      <c r="C332" t="s">
        <v>1482</v>
      </c>
      <c r="D332" t="s">
        <v>5611</v>
      </c>
      <c r="E332" t="s">
        <v>1483</v>
      </c>
      <c r="F332" t="s">
        <v>1484</v>
      </c>
      <c r="G332" t="s">
        <v>764</v>
      </c>
      <c r="H332" t="s">
        <v>34</v>
      </c>
      <c r="I332">
        <v>11706</v>
      </c>
    </row>
    <row r="333" spans="1:9" x14ac:dyDescent="0.3">
      <c r="A333">
        <v>332</v>
      </c>
      <c r="B333" t="s">
        <v>1485</v>
      </c>
      <c r="C333" t="s">
        <v>496</v>
      </c>
      <c r="D333" t="s">
        <v>5611</v>
      </c>
      <c r="E333" t="s">
        <v>1486</v>
      </c>
      <c r="F333" t="s">
        <v>1487</v>
      </c>
      <c r="G333" t="s">
        <v>1122</v>
      </c>
      <c r="H333" t="s">
        <v>40</v>
      </c>
      <c r="I333">
        <v>91387</v>
      </c>
    </row>
    <row r="334" spans="1:9" x14ac:dyDescent="0.3">
      <c r="A334">
        <v>333</v>
      </c>
      <c r="B334" t="s">
        <v>1488</v>
      </c>
      <c r="C334" t="s">
        <v>1489</v>
      </c>
      <c r="D334" t="s">
        <v>5611</v>
      </c>
      <c r="E334" t="s">
        <v>1490</v>
      </c>
      <c r="F334" t="s">
        <v>1491</v>
      </c>
      <c r="G334" t="s">
        <v>170</v>
      </c>
      <c r="H334" t="s">
        <v>34</v>
      </c>
      <c r="I334">
        <v>11104</v>
      </c>
    </row>
    <row r="335" spans="1:9" x14ac:dyDescent="0.3">
      <c r="A335">
        <v>334</v>
      </c>
      <c r="B335" t="s">
        <v>1492</v>
      </c>
      <c r="C335" t="s">
        <v>1493</v>
      </c>
      <c r="D335" t="s">
        <v>5611</v>
      </c>
      <c r="E335" t="s">
        <v>1494</v>
      </c>
      <c r="F335" t="s">
        <v>1495</v>
      </c>
      <c r="G335" t="s">
        <v>444</v>
      </c>
      <c r="H335" t="s">
        <v>34</v>
      </c>
      <c r="I335">
        <v>11746</v>
      </c>
    </row>
    <row r="336" spans="1:9" x14ac:dyDescent="0.3">
      <c r="A336">
        <v>335</v>
      </c>
      <c r="B336" t="s">
        <v>1051</v>
      </c>
      <c r="C336" t="s">
        <v>1496</v>
      </c>
      <c r="D336" t="s">
        <v>5611</v>
      </c>
      <c r="E336" t="s">
        <v>1497</v>
      </c>
      <c r="F336" t="s">
        <v>1498</v>
      </c>
      <c r="G336" t="s">
        <v>314</v>
      </c>
      <c r="H336" t="s">
        <v>34</v>
      </c>
      <c r="I336">
        <v>10451</v>
      </c>
    </row>
    <row r="337" spans="1:9" x14ac:dyDescent="0.3">
      <c r="A337">
        <v>336</v>
      </c>
      <c r="B337" t="s">
        <v>1499</v>
      </c>
      <c r="C337" t="s">
        <v>1500</v>
      </c>
      <c r="D337" t="s">
        <v>1501</v>
      </c>
      <c r="E337" t="s">
        <v>1502</v>
      </c>
      <c r="F337" t="s">
        <v>1503</v>
      </c>
      <c r="G337" t="s">
        <v>230</v>
      </c>
      <c r="H337" t="s">
        <v>34</v>
      </c>
      <c r="I337">
        <v>14086</v>
      </c>
    </row>
    <row r="338" spans="1:9" x14ac:dyDescent="0.3">
      <c r="A338">
        <v>337</v>
      </c>
      <c r="B338" t="s">
        <v>1504</v>
      </c>
      <c r="C338" t="s">
        <v>1505</v>
      </c>
      <c r="D338" t="s">
        <v>5611</v>
      </c>
      <c r="E338" t="s">
        <v>1506</v>
      </c>
      <c r="F338" t="s">
        <v>1507</v>
      </c>
      <c r="G338" t="s">
        <v>819</v>
      </c>
      <c r="H338" t="s">
        <v>34</v>
      </c>
      <c r="I338">
        <v>11420</v>
      </c>
    </row>
    <row r="339" spans="1:9" x14ac:dyDescent="0.3">
      <c r="A339">
        <v>338</v>
      </c>
      <c r="B339" t="s">
        <v>1508</v>
      </c>
      <c r="C339" t="s">
        <v>1012</v>
      </c>
      <c r="D339" t="s">
        <v>5611</v>
      </c>
      <c r="E339" t="s">
        <v>1509</v>
      </c>
      <c r="F339" t="s">
        <v>1510</v>
      </c>
      <c r="G339" t="s">
        <v>1511</v>
      </c>
      <c r="H339" t="s">
        <v>34</v>
      </c>
      <c r="I339">
        <v>11375</v>
      </c>
    </row>
    <row r="340" spans="1:9" x14ac:dyDescent="0.3">
      <c r="A340">
        <v>339</v>
      </c>
      <c r="B340" t="s">
        <v>1512</v>
      </c>
      <c r="C340" t="s">
        <v>1513</v>
      </c>
      <c r="D340" t="s">
        <v>5611</v>
      </c>
      <c r="E340" t="s">
        <v>1514</v>
      </c>
      <c r="F340" t="s">
        <v>1515</v>
      </c>
      <c r="G340" t="s">
        <v>319</v>
      </c>
      <c r="H340" t="s">
        <v>34</v>
      </c>
      <c r="I340">
        <v>11722</v>
      </c>
    </row>
    <row r="341" spans="1:9" x14ac:dyDescent="0.3">
      <c r="A341">
        <v>340</v>
      </c>
      <c r="B341" t="s">
        <v>1516</v>
      </c>
      <c r="C341" t="s">
        <v>1517</v>
      </c>
      <c r="D341" t="s">
        <v>5611</v>
      </c>
      <c r="E341" t="s">
        <v>1518</v>
      </c>
      <c r="F341" t="s">
        <v>1519</v>
      </c>
      <c r="G341" t="s">
        <v>728</v>
      </c>
      <c r="H341" t="s">
        <v>34</v>
      </c>
      <c r="I341">
        <v>11787</v>
      </c>
    </row>
    <row r="342" spans="1:9" x14ac:dyDescent="0.3">
      <c r="A342">
        <v>341</v>
      </c>
      <c r="B342" t="s">
        <v>1520</v>
      </c>
      <c r="C342" t="s">
        <v>1521</v>
      </c>
      <c r="D342" t="s">
        <v>5611</v>
      </c>
      <c r="E342" t="s">
        <v>1522</v>
      </c>
      <c r="F342" t="s">
        <v>1523</v>
      </c>
      <c r="G342" t="s">
        <v>1524</v>
      </c>
      <c r="H342" t="s">
        <v>34</v>
      </c>
      <c r="I342">
        <v>10550</v>
      </c>
    </row>
    <row r="343" spans="1:9" x14ac:dyDescent="0.3">
      <c r="A343">
        <v>342</v>
      </c>
      <c r="B343" t="s">
        <v>1525</v>
      </c>
      <c r="C343" t="s">
        <v>1526</v>
      </c>
      <c r="D343" t="s">
        <v>5611</v>
      </c>
      <c r="E343" t="s">
        <v>1527</v>
      </c>
      <c r="F343" t="s">
        <v>1528</v>
      </c>
      <c r="G343" t="s">
        <v>286</v>
      </c>
      <c r="H343" t="s">
        <v>34</v>
      </c>
      <c r="I343">
        <v>11566</v>
      </c>
    </row>
    <row r="344" spans="1:9" x14ac:dyDescent="0.3">
      <c r="A344">
        <v>343</v>
      </c>
      <c r="B344" t="s">
        <v>1529</v>
      </c>
      <c r="C344" t="s">
        <v>1530</v>
      </c>
      <c r="D344" t="s">
        <v>5611</v>
      </c>
      <c r="E344" t="s">
        <v>1531</v>
      </c>
      <c r="F344" t="s">
        <v>1532</v>
      </c>
      <c r="G344" t="s">
        <v>516</v>
      </c>
      <c r="H344" t="s">
        <v>34</v>
      </c>
      <c r="I344">
        <v>11725</v>
      </c>
    </row>
    <row r="345" spans="1:9" x14ac:dyDescent="0.3">
      <c r="A345">
        <v>344</v>
      </c>
      <c r="B345" t="s">
        <v>1533</v>
      </c>
      <c r="C345" t="s">
        <v>1534</v>
      </c>
      <c r="D345" t="s">
        <v>5611</v>
      </c>
      <c r="E345" t="s">
        <v>1535</v>
      </c>
      <c r="F345" t="s">
        <v>1536</v>
      </c>
      <c r="G345" t="s">
        <v>1367</v>
      </c>
      <c r="H345" t="s">
        <v>40</v>
      </c>
      <c r="I345">
        <v>94043</v>
      </c>
    </row>
    <row r="346" spans="1:9" x14ac:dyDescent="0.3">
      <c r="A346">
        <v>345</v>
      </c>
      <c r="B346" t="s">
        <v>1537</v>
      </c>
      <c r="C346" t="s">
        <v>1538</v>
      </c>
      <c r="D346" t="s">
        <v>1539</v>
      </c>
      <c r="E346" t="s">
        <v>1540</v>
      </c>
      <c r="F346" t="s">
        <v>1541</v>
      </c>
      <c r="G346" t="s">
        <v>999</v>
      </c>
      <c r="H346" t="s">
        <v>34</v>
      </c>
      <c r="I346">
        <v>12203</v>
      </c>
    </row>
    <row r="347" spans="1:9" x14ac:dyDescent="0.3">
      <c r="A347">
        <v>346</v>
      </c>
      <c r="B347" t="s">
        <v>1542</v>
      </c>
      <c r="C347" t="s">
        <v>1543</v>
      </c>
      <c r="D347" t="s">
        <v>5611</v>
      </c>
      <c r="E347" t="s">
        <v>1544</v>
      </c>
      <c r="F347" t="s">
        <v>1545</v>
      </c>
      <c r="G347" t="s">
        <v>219</v>
      </c>
      <c r="H347" t="s">
        <v>34</v>
      </c>
      <c r="I347">
        <v>11378</v>
      </c>
    </row>
    <row r="348" spans="1:9" x14ac:dyDescent="0.3">
      <c r="A348">
        <v>347</v>
      </c>
      <c r="B348" t="s">
        <v>348</v>
      </c>
      <c r="C348" t="s">
        <v>1546</v>
      </c>
      <c r="D348" t="s">
        <v>1547</v>
      </c>
      <c r="E348" t="s">
        <v>1548</v>
      </c>
      <c r="F348" t="s">
        <v>1549</v>
      </c>
      <c r="G348" t="s">
        <v>190</v>
      </c>
      <c r="H348" t="s">
        <v>40</v>
      </c>
      <c r="I348">
        <v>94603</v>
      </c>
    </row>
    <row r="349" spans="1:9" x14ac:dyDescent="0.3">
      <c r="A349">
        <v>348</v>
      </c>
      <c r="B349" t="s">
        <v>1550</v>
      </c>
      <c r="C349" t="s">
        <v>1551</v>
      </c>
      <c r="D349" t="s">
        <v>5611</v>
      </c>
      <c r="E349" t="s">
        <v>1552</v>
      </c>
      <c r="F349" t="s">
        <v>1553</v>
      </c>
      <c r="G349" t="s">
        <v>430</v>
      </c>
      <c r="H349" t="s">
        <v>40</v>
      </c>
      <c r="I349">
        <v>92236</v>
      </c>
    </row>
    <row r="350" spans="1:9" x14ac:dyDescent="0.3">
      <c r="A350">
        <v>349</v>
      </c>
      <c r="B350" t="s">
        <v>1554</v>
      </c>
      <c r="C350" t="s">
        <v>906</v>
      </c>
      <c r="D350" t="s">
        <v>5611</v>
      </c>
      <c r="E350" t="s">
        <v>1555</v>
      </c>
      <c r="F350" t="s">
        <v>1556</v>
      </c>
      <c r="G350" t="s">
        <v>430</v>
      </c>
      <c r="H350" t="s">
        <v>40</v>
      </c>
      <c r="I350">
        <v>92236</v>
      </c>
    </row>
    <row r="351" spans="1:9" x14ac:dyDescent="0.3">
      <c r="A351">
        <v>350</v>
      </c>
      <c r="B351" t="s">
        <v>1557</v>
      </c>
      <c r="C351" t="s">
        <v>325</v>
      </c>
      <c r="D351" t="s">
        <v>5611</v>
      </c>
      <c r="E351" t="s">
        <v>1558</v>
      </c>
      <c r="F351" t="s">
        <v>1559</v>
      </c>
      <c r="G351" t="s">
        <v>764</v>
      </c>
      <c r="H351" t="s">
        <v>34</v>
      </c>
      <c r="I351">
        <v>11706</v>
      </c>
    </row>
    <row r="352" spans="1:9" x14ac:dyDescent="0.3">
      <c r="A352">
        <v>351</v>
      </c>
      <c r="B352" t="s">
        <v>1560</v>
      </c>
      <c r="C352" t="s">
        <v>1561</v>
      </c>
      <c r="D352" t="s">
        <v>5611</v>
      </c>
      <c r="E352" t="s">
        <v>1562</v>
      </c>
      <c r="F352" t="s">
        <v>1563</v>
      </c>
      <c r="G352" t="s">
        <v>87</v>
      </c>
      <c r="H352" t="s">
        <v>34</v>
      </c>
      <c r="I352">
        <v>10952</v>
      </c>
    </row>
    <row r="353" spans="1:9" x14ac:dyDescent="0.3">
      <c r="A353">
        <v>352</v>
      </c>
      <c r="B353" t="s">
        <v>1564</v>
      </c>
      <c r="C353" t="s">
        <v>1565</v>
      </c>
      <c r="D353" t="s">
        <v>5611</v>
      </c>
      <c r="E353" t="s">
        <v>1566</v>
      </c>
      <c r="F353" t="s">
        <v>1567</v>
      </c>
      <c r="G353" t="s">
        <v>976</v>
      </c>
      <c r="H353" t="s">
        <v>34</v>
      </c>
      <c r="I353">
        <v>11432</v>
      </c>
    </row>
    <row r="354" spans="1:9" x14ac:dyDescent="0.3">
      <c r="A354">
        <v>353</v>
      </c>
      <c r="B354" t="s">
        <v>1568</v>
      </c>
      <c r="C354" t="s">
        <v>1073</v>
      </c>
      <c r="D354" t="s">
        <v>5611</v>
      </c>
      <c r="E354" t="s">
        <v>1569</v>
      </c>
      <c r="F354" t="s">
        <v>1570</v>
      </c>
      <c r="G354" t="s">
        <v>87</v>
      </c>
      <c r="H354" t="s">
        <v>34</v>
      </c>
      <c r="I354">
        <v>10952</v>
      </c>
    </row>
    <row r="355" spans="1:9" x14ac:dyDescent="0.3">
      <c r="A355">
        <v>354</v>
      </c>
      <c r="B355" t="s">
        <v>1571</v>
      </c>
      <c r="C355" t="s">
        <v>258</v>
      </c>
      <c r="D355" t="s">
        <v>5611</v>
      </c>
      <c r="E355" t="s">
        <v>1572</v>
      </c>
      <c r="F355" t="s">
        <v>1573</v>
      </c>
      <c r="G355" t="s">
        <v>170</v>
      </c>
      <c r="H355" t="s">
        <v>34</v>
      </c>
      <c r="I355">
        <v>11104</v>
      </c>
    </row>
    <row r="356" spans="1:9" x14ac:dyDescent="0.3">
      <c r="A356">
        <v>355</v>
      </c>
      <c r="B356" t="s">
        <v>459</v>
      </c>
      <c r="C356" t="s">
        <v>1574</v>
      </c>
      <c r="D356" t="s">
        <v>5611</v>
      </c>
      <c r="E356" t="s">
        <v>1575</v>
      </c>
      <c r="F356" t="s">
        <v>1576</v>
      </c>
      <c r="G356" t="s">
        <v>764</v>
      </c>
      <c r="H356" t="s">
        <v>34</v>
      </c>
      <c r="I356">
        <v>11706</v>
      </c>
    </row>
    <row r="357" spans="1:9" x14ac:dyDescent="0.3">
      <c r="A357">
        <v>356</v>
      </c>
      <c r="B357" t="s">
        <v>1577</v>
      </c>
      <c r="C357" t="s">
        <v>1578</v>
      </c>
      <c r="D357" t="s">
        <v>5611</v>
      </c>
      <c r="E357" t="s">
        <v>1579</v>
      </c>
      <c r="F357" t="s">
        <v>1580</v>
      </c>
      <c r="G357" t="s">
        <v>314</v>
      </c>
      <c r="H357" t="s">
        <v>34</v>
      </c>
      <c r="I357">
        <v>10451</v>
      </c>
    </row>
    <row r="358" spans="1:9" x14ac:dyDescent="0.3">
      <c r="A358">
        <v>357</v>
      </c>
      <c r="B358" t="s">
        <v>1581</v>
      </c>
      <c r="C358" t="s">
        <v>1582</v>
      </c>
      <c r="D358" t="s">
        <v>1583</v>
      </c>
      <c r="E358" t="s">
        <v>1584</v>
      </c>
      <c r="F358" t="s">
        <v>1585</v>
      </c>
      <c r="G358" t="s">
        <v>558</v>
      </c>
      <c r="H358" t="s">
        <v>40</v>
      </c>
      <c r="I358">
        <v>95127</v>
      </c>
    </row>
    <row r="359" spans="1:9" x14ac:dyDescent="0.3">
      <c r="A359">
        <v>358</v>
      </c>
      <c r="B359" t="s">
        <v>1586</v>
      </c>
      <c r="C359" t="s">
        <v>1587</v>
      </c>
      <c r="D359" t="s">
        <v>5611</v>
      </c>
      <c r="E359" t="s">
        <v>1588</v>
      </c>
      <c r="F359" t="s">
        <v>1589</v>
      </c>
      <c r="G359" t="s">
        <v>1590</v>
      </c>
      <c r="H359" t="s">
        <v>34</v>
      </c>
      <c r="I359">
        <v>11793</v>
      </c>
    </row>
    <row r="360" spans="1:9" x14ac:dyDescent="0.3">
      <c r="A360">
        <v>359</v>
      </c>
      <c r="B360" t="s">
        <v>1591</v>
      </c>
      <c r="C360" t="s">
        <v>1592</v>
      </c>
      <c r="D360" t="s">
        <v>5611</v>
      </c>
      <c r="E360" t="s">
        <v>1593</v>
      </c>
      <c r="F360" t="s">
        <v>1594</v>
      </c>
      <c r="G360" t="s">
        <v>1595</v>
      </c>
      <c r="H360" t="s">
        <v>40</v>
      </c>
      <c r="I360">
        <v>91768</v>
      </c>
    </row>
    <row r="361" spans="1:9" x14ac:dyDescent="0.3">
      <c r="A361">
        <v>360</v>
      </c>
      <c r="B361" t="s">
        <v>1596</v>
      </c>
      <c r="C361" t="s">
        <v>1597</v>
      </c>
      <c r="D361" t="s">
        <v>1598</v>
      </c>
      <c r="E361" t="s">
        <v>1599</v>
      </c>
      <c r="F361" t="s">
        <v>1600</v>
      </c>
      <c r="G361" t="s">
        <v>251</v>
      </c>
      <c r="H361" t="s">
        <v>99</v>
      </c>
      <c r="I361">
        <v>77016</v>
      </c>
    </row>
    <row r="362" spans="1:9" x14ac:dyDescent="0.3">
      <c r="A362">
        <v>361</v>
      </c>
      <c r="B362" t="s">
        <v>1601</v>
      </c>
      <c r="C362" t="s">
        <v>263</v>
      </c>
      <c r="D362" t="s">
        <v>5611</v>
      </c>
      <c r="E362" t="s">
        <v>1602</v>
      </c>
      <c r="F362" t="s">
        <v>1603</v>
      </c>
      <c r="G362" t="s">
        <v>1604</v>
      </c>
      <c r="H362" t="s">
        <v>34</v>
      </c>
      <c r="I362">
        <v>11580</v>
      </c>
    </row>
    <row r="363" spans="1:9" x14ac:dyDescent="0.3">
      <c r="A363">
        <v>362</v>
      </c>
      <c r="B363" t="s">
        <v>869</v>
      </c>
      <c r="C363" t="s">
        <v>1605</v>
      </c>
      <c r="D363" t="s">
        <v>5611</v>
      </c>
      <c r="E363" t="s">
        <v>1606</v>
      </c>
      <c r="F363" t="s">
        <v>1607</v>
      </c>
      <c r="G363" t="s">
        <v>1246</v>
      </c>
      <c r="H363" t="s">
        <v>34</v>
      </c>
      <c r="I363">
        <v>12401</v>
      </c>
    </row>
    <row r="364" spans="1:9" x14ac:dyDescent="0.3">
      <c r="A364">
        <v>363</v>
      </c>
      <c r="B364" t="s">
        <v>1608</v>
      </c>
      <c r="C364" t="s">
        <v>1609</v>
      </c>
      <c r="D364" t="s">
        <v>5611</v>
      </c>
      <c r="E364" t="s">
        <v>1610</v>
      </c>
      <c r="F364" t="s">
        <v>1611</v>
      </c>
      <c r="G364" t="s">
        <v>957</v>
      </c>
      <c r="H364" t="s">
        <v>34</v>
      </c>
      <c r="I364">
        <v>12020</v>
      </c>
    </row>
    <row r="365" spans="1:9" x14ac:dyDescent="0.3">
      <c r="A365">
        <v>364</v>
      </c>
      <c r="B365" t="s">
        <v>1612</v>
      </c>
      <c r="C365" t="s">
        <v>1613</v>
      </c>
      <c r="D365" t="s">
        <v>5611</v>
      </c>
      <c r="E365" t="s">
        <v>1614</v>
      </c>
      <c r="F365" t="s">
        <v>1615</v>
      </c>
      <c r="G365" t="s">
        <v>1616</v>
      </c>
      <c r="H365" t="s">
        <v>34</v>
      </c>
      <c r="I365">
        <v>14850</v>
      </c>
    </row>
    <row r="366" spans="1:9" x14ac:dyDescent="0.3">
      <c r="A366">
        <v>365</v>
      </c>
      <c r="B366" t="s">
        <v>1617</v>
      </c>
      <c r="C366" t="s">
        <v>1618</v>
      </c>
      <c r="D366" t="s">
        <v>5611</v>
      </c>
      <c r="E366" t="s">
        <v>1619</v>
      </c>
      <c r="F366" t="s">
        <v>1620</v>
      </c>
      <c r="G366" t="s">
        <v>499</v>
      </c>
      <c r="H366" t="s">
        <v>34</v>
      </c>
      <c r="I366">
        <v>11361</v>
      </c>
    </row>
    <row r="367" spans="1:9" x14ac:dyDescent="0.3">
      <c r="A367">
        <v>366</v>
      </c>
      <c r="B367" t="s">
        <v>1621</v>
      </c>
      <c r="C367" t="s">
        <v>1399</v>
      </c>
      <c r="D367" t="s">
        <v>5611</v>
      </c>
      <c r="E367" t="s">
        <v>1622</v>
      </c>
      <c r="F367" t="s">
        <v>1623</v>
      </c>
      <c r="G367" t="s">
        <v>552</v>
      </c>
      <c r="H367" t="s">
        <v>34</v>
      </c>
      <c r="I367">
        <v>11001</v>
      </c>
    </row>
    <row r="368" spans="1:9" x14ac:dyDescent="0.3">
      <c r="A368">
        <v>367</v>
      </c>
      <c r="B368" t="s">
        <v>1624</v>
      </c>
      <c r="C368" t="s">
        <v>1227</v>
      </c>
      <c r="D368" t="s">
        <v>5611</v>
      </c>
      <c r="E368" t="s">
        <v>1625</v>
      </c>
      <c r="F368" t="s">
        <v>1626</v>
      </c>
      <c r="G368" t="s">
        <v>1259</v>
      </c>
      <c r="H368" t="s">
        <v>34</v>
      </c>
      <c r="I368">
        <v>11417</v>
      </c>
    </row>
    <row r="369" spans="1:9" x14ac:dyDescent="0.3">
      <c r="A369">
        <v>368</v>
      </c>
      <c r="B369" t="s">
        <v>1627</v>
      </c>
      <c r="C369" t="s">
        <v>1592</v>
      </c>
      <c r="D369" t="s">
        <v>5611</v>
      </c>
      <c r="E369" t="s">
        <v>1628</v>
      </c>
      <c r="F369" t="s">
        <v>1629</v>
      </c>
      <c r="G369" t="s">
        <v>1511</v>
      </c>
      <c r="H369" t="s">
        <v>34</v>
      </c>
      <c r="I369">
        <v>11375</v>
      </c>
    </row>
    <row r="370" spans="1:9" x14ac:dyDescent="0.3">
      <c r="A370">
        <v>369</v>
      </c>
      <c r="B370" t="s">
        <v>1630</v>
      </c>
      <c r="C370" t="s">
        <v>1631</v>
      </c>
      <c r="D370" t="s">
        <v>5611</v>
      </c>
      <c r="E370" t="s">
        <v>1632</v>
      </c>
      <c r="F370" t="s">
        <v>1633</v>
      </c>
      <c r="G370" t="s">
        <v>802</v>
      </c>
      <c r="H370" t="s">
        <v>34</v>
      </c>
      <c r="I370">
        <v>11377</v>
      </c>
    </row>
    <row r="371" spans="1:9" x14ac:dyDescent="0.3">
      <c r="A371">
        <v>370</v>
      </c>
      <c r="B371" t="s">
        <v>1634</v>
      </c>
      <c r="C371" t="s">
        <v>1635</v>
      </c>
      <c r="D371" t="s">
        <v>5611</v>
      </c>
      <c r="E371" t="s">
        <v>1636</v>
      </c>
      <c r="F371" t="s">
        <v>1637</v>
      </c>
      <c r="G371" t="s">
        <v>615</v>
      </c>
      <c r="H371" t="s">
        <v>34</v>
      </c>
      <c r="I371">
        <v>11414</v>
      </c>
    </row>
    <row r="372" spans="1:9" x14ac:dyDescent="0.3">
      <c r="A372">
        <v>371</v>
      </c>
      <c r="B372" t="s">
        <v>1638</v>
      </c>
      <c r="C372" t="s">
        <v>69</v>
      </c>
      <c r="D372" t="s">
        <v>5611</v>
      </c>
      <c r="E372" t="s">
        <v>1639</v>
      </c>
      <c r="F372" t="s">
        <v>1640</v>
      </c>
      <c r="G372" t="s">
        <v>1641</v>
      </c>
      <c r="H372" t="s">
        <v>34</v>
      </c>
      <c r="I372">
        <v>11422</v>
      </c>
    </row>
    <row r="373" spans="1:9" x14ac:dyDescent="0.3">
      <c r="A373">
        <v>372</v>
      </c>
      <c r="B373" t="s">
        <v>1642</v>
      </c>
      <c r="C373" t="s">
        <v>1643</v>
      </c>
      <c r="D373" t="s">
        <v>5611</v>
      </c>
      <c r="E373" t="s">
        <v>1644</v>
      </c>
      <c r="F373" t="s">
        <v>1645</v>
      </c>
      <c r="G373" t="s">
        <v>1646</v>
      </c>
      <c r="H373" t="s">
        <v>34</v>
      </c>
      <c r="I373">
        <v>12590</v>
      </c>
    </row>
    <row r="374" spans="1:9" x14ac:dyDescent="0.3">
      <c r="A374">
        <v>373</v>
      </c>
      <c r="B374" t="s">
        <v>1647</v>
      </c>
      <c r="C374" t="s">
        <v>1648</v>
      </c>
      <c r="D374" t="s">
        <v>5611</v>
      </c>
      <c r="E374" t="s">
        <v>1649</v>
      </c>
      <c r="F374" t="s">
        <v>1650</v>
      </c>
      <c r="G374" t="s">
        <v>301</v>
      </c>
      <c r="H374" t="s">
        <v>34</v>
      </c>
      <c r="I374">
        <v>13501</v>
      </c>
    </row>
    <row r="375" spans="1:9" x14ac:dyDescent="0.3">
      <c r="A375">
        <v>374</v>
      </c>
      <c r="B375" t="s">
        <v>1651</v>
      </c>
      <c r="C375" t="s">
        <v>1652</v>
      </c>
      <c r="D375" t="s">
        <v>5611</v>
      </c>
      <c r="E375" t="s">
        <v>1653</v>
      </c>
      <c r="F375" t="s">
        <v>1654</v>
      </c>
      <c r="G375" t="s">
        <v>286</v>
      </c>
      <c r="H375" t="s">
        <v>34</v>
      </c>
      <c r="I375">
        <v>11566</v>
      </c>
    </row>
    <row r="376" spans="1:9" x14ac:dyDescent="0.3">
      <c r="A376">
        <v>375</v>
      </c>
      <c r="B376" t="s">
        <v>450</v>
      </c>
      <c r="C376" t="s">
        <v>1648</v>
      </c>
      <c r="D376" t="s">
        <v>5611</v>
      </c>
      <c r="E376" t="s">
        <v>1655</v>
      </c>
      <c r="F376" t="s">
        <v>1656</v>
      </c>
      <c r="G376" t="s">
        <v>50</v>
      </c>
      <c r="H376" t="s">
        <v>34</v>
      </c>
      <c r="I376">
        <v>11553</v>
      </c>
    </row>
    <row r="377" spans="1:9" x14ac:dyDescent="0.3">
      <c r="A377">
        <v>376</v>
      </c>
      <c r="B377" t="s">
        <v>1657</v>
      </c>
      <c r="C377" t="s">
        <v>1658</v>
      </c>
      <c r="D377" t="s">
        <v>5611</v>
      </c>
      <c r="E377" t="s">
        <v>1659</v>
      </c>
      <c r="F377" t="s">
        <v>1660</v>
      </c>
      <c r="G377" t="s">
        <v>139</v>
      </c>
      <c r="H377" t="s">
        <v>99</v>
      </c>
      <c r="I377">
        <v>77904</v>
      </c>
    </row>
    <row r="378" spans="1:9" x14ac:dyDescent="0.3">
      <c r="A378">
        <v>377</v>
      </c>
      <c r="B378" t="s">
        <v>880</v>
      </c>
      <c r="C378" t="s">
        <v>306</v>
      </c>
      <c r="D378" t="s">
        <v>5611</v>
      </c>
      <c r="E378" t="s">
        <v>1661</v>
      </c>
      <c r="F378" t="s">
        <v>1662</v>
      </c>
      <c r="G378" t="s">
        <v>714</v>
      </c>
      <c r="H378" t="s">
        <v>34</v>
      </c>
      <c r="I378">
        <v>10573</v>
      </c>
    </row>
    <row r="379" spans="1:9" x14ac:dyDescent="0.3">
      <c r="A379">
        <v>378</v>
      </c>
      <c r="B379" t="s">
        <v>1663</v>
      </c>
      <c r="C379" t="s">
        <v>1664</v>
      </c>
      <c r="D379" t="s">
        <v>5611</v>
      </c>
      <c r="E379" t="s">
        <v>1665</v>
      </c>
      <c r="F379" t="s">
        <v>1666</v>
      </c>
      <c r="G379" t="s">
        <v>1524</v>
      </c>
      <c r="H379" t="s">
        <v>34</v>
      </c>
      <c r="I379">
        <v>10550</v>
      </c>
    </row>
    <row r="380" spans="1:9" x14ac:dyDescent="0.3">
      <c r="A380">
        <v>379</v>
      </c>
      <c r="B380" t="s">
        <v>1667</v>
      </c>
      <c r="C380" t="s">
        <v>1668</v>
      </c>
      <c r="D380" t="s">
        <v>5611</v>
      </c>
      <c r="E380" t="s">
        <v>1669</v>
      </c>
      <c r="F380" t="s">
        <v>1670</v>
      </c>
      <c r="G380" t="s">
        <v>50</v>
      </c>
      <c r="H380" t="s">
        <v>34</v>
      </c>
      <c r="I380">
        <v>11553</v>
      </c>
    </row>
    <row r="381" spans="1:9" x14ac:dyDescent="0.3">
      <c r="A381">
        <v>380</v>
      </c>
      <c r="B381" t="s">
        <v>1671</v>
      </c>
      <c r="C381" t="s">
        <v>578</v>
      </c>
      <c r="D381" t="s">
        <v>5611</v>
      </c>
      <c r="E381" t="s">
        <v>1672</v>
      </c>
      <c r="F381" t="s">
        <v>1673</v>
      </c>
      <c r="G381" t="s">
        <v>994</v>
      </c>
      <c r="H381" t="s">
        <v>34</v>
      </c>
      <c r="I381">
        <v>11784</v>
      </c>
    </row>
    <row r="382" spans="1:9" x14ac:dyDescent="0.3">
      <c r="A382">
        <v>381</v>
      </c>
      <c r="B382" t="s">
        <v>1674</v>
      </c>
      <c r="C382" t="s">
        <v>1466</v>
      </c>
      <c r="D382" t="s">
        <v>5611</v>
      </c>
      <c r="E382" t="s">
        <v>1675</v>
      </c>
      <c r="F382" t="s">
        <v>1676</v>
      </c>
      <c r="G382" t="s">
        <v>314</v>
      </c>
      <c r="H382" t="s">
        <v>34</v>
      </c>
      <c r="I382">
        <v>10451</v>
      </c>
    </row>
    <row r="383" spans="1:9" x14ac:dyDescent="0.3">
      <c r="A383">
        <v>382</v>
      </c>
      <c r="B383" t="s">
        <v>1677</v>
      </c>
      <c r="C383" t="s">
        <v>883</v>
      </c>
      <c r="D383" t="s">
        <v>5611</v>
      </c>
      <c r="E383" t="s">
        <v>1678</v>
      </c>
      <c r="F383" t="s">
        <v>1679</v>
      </c>
      <c r="G383" t="s">
        <v>615</v>
      </c>
      <c r="H383" t="s">
        <v>34</v>
      </c>
      <c r="I383">
        <v>11414</v>
      </c>
    </row>
    <row r="384" spans="1:9" x14ac:dyDescent="0.3">
      <c r="A384">
        <v>383</v>
      </c>
      <c r="B384" t="s">
        <v>1680</v>
      </c>
      <c r="C384" t="s">
        <v>1681</v>
      </c>
      <c r="D384" t="s">
        <v>5611</v>
      </c>
      <c r="E384" t="s">
        <v>1682</v>
      </c>
      <c r="F384" t="s">
        <v>1683</v>
      </c>
      <c r="G384" t="s">
        <v>1019</v>
      </c>
      <c r="H384" t="s">
        <v>34</v>
      </c>
      <c r="I384">
        <v>11357</v>
      </c>
    </row>
    <row r="385" spans="1:9" x14ac:dyDescent="0.3">
      <c r="A385">
        <v>384</v>
      </c>
      <c r="B385" t="s">
        <v>1684</v>
      </c>
      <c r="C385" t="s">
        <v>1685</v>
      </c>
      <c r="D385" t="s">
        <v>5611</v>
      </c>
      <c r="E385" t="s">
        <v>1686</v>
      </c>
      <c r="F385" t="s">
        <v>1687</v>
      </c>
      <c r="G385" t="s">
        <v>1688</v>
      </c>
      <c r="H385" t="s">
        <v>34</v>
      </c>
      <c r="I385">
        <v>11354</v>
      </c>
    </row>
    <row r="386" spans="1:9" x14ac:dyDescent="0.3">
      <c r="A386">
        <v>385</v>
      </c>
      <c r="B386" t="s">
        <v>1689</v>
      </c>
      <c r="C386" t="s">
        <v>1690</v>
      </c>
      <c r="D386" t="s">
        <v>5611</v>
      </c>
      <c r="E386" t="s">
        <v>1691</v>
      </c>
      <c r="F386" t="s">
        <v>1692</v>
      </c>
      <c r="G386" t="s">
        <v>296</v>
      </c>
      <c r="H386" t="s">
        <v>40</v>
      </c>
      <c r="I386">
        <v>91740</v>
      </c>
    </row>
    <row r="387" spans="1:9" x14ac:dyDescent="0.3">
      <c r="A387">
        <v>386</v>
      </c>
      <c r="B387" t="s">
        <v>1693</v>
      </c>
      <c r="C387" t="s">
        <v>1694</v>
      </c>
      <c r="D387" t="s">
        <v>5611</v>
      </c>
      <c r="E387" t="s">
        <v>1695</v>
      </c>
      <c r="F387" t="s">
        <v>1696</v>
      </c>
      <c r="G387" t="s">
        <v>463</v>
      </c>
      <c r="H387" t="s">
        <v>40</v>
      </c>
      <c r="I387">
        <v>91784</v>
      </c>
    </row>
    <row r="388" spans="1:9" x14ac:dyDescent="0.3">
      <c r="A388">
        <v>387</v>
      </c>
      <c r="B388" t="s">
        <v>1697</v>
      </c>
      <c r="C388" t="s">
        <v>1698</v>
      </c>
      <c r="D388" t="s">
        <v>5611</v>
      </c>
      <c r="E388" t="s">
        <v>1699</v>
      </c>
      <c r="F388" t="s">
        <v>1700</v>
      </c>
      <c r="G388" t="s">
        <v>543</v>
      </c>
      <c r="H388" t="s">
        <v>34</v>
      </c>
      <c r="I388">
        <v>11373</v>
      </c>
    </row>
    <row r="389" spans="1:9" x14ac:dyDescent="0.3">
      <c r="A389">
        <v>388</v>
      </c>
      <c r="B389" t="s">
        <v>130</v>
      </c>
      <c r="C389" t="s">
        <v>627</v>
      </c>
      <c r="D389" t="s">
        <v>5611</v>
      </c>
      <c r="E389" t="s">
        <v>1701</v>
      </c>
      <c r="F389" t="s">
        <v>1702</v>
      </c>
      <c r="G389" t="s">
        <v>1019</v>
      </c>
      <c r="H389" t="s">
        <v>34</v>
      </c>
      <c r="I389">
        <v>11357</v>
      </c>
    </row>
    <row r="390" spans="1:9" x14ac:dyDescent="0.3">
      <c r="A390">
        <v>389</v>
      </c>
      <c r="B390" t="s">
        <v>1703</v>
      </c>
      <c r="C390" t="s">
        <v>1704</v>
      </c>
      <c r="D390" t="s">
        <v>5611</v>
      </c>
      <c r="E390" t="s">
        <v>1705</v>
      </c>
      <c r="F390" t="s">
        <v>1706</v>
      </c>
      <c r="G390" t="s">
        <v>333</v>
      </c>
      <c r="H390" t="s">
        <v>99</v>
      </c>
      <c r="I390">
        <v>76901</v>
      </c>
    </row>
    <row r="391" spans="1:9" x14ac:dyDescent="0.3">
      <c r="A391">
        <v>390</v>
      </c>
      <c r="B391" t="s">
        <v>353</v>
      </c>
      <c r="C391" t="s">
        <v>1707</v>
      </c>
      <c r="D391" t="s">
        <v>5611</v>
      </c>
      <c r="E391" t="s">
        <v>1708</v>
      </c>
      <c r="F391" t="s">
        <v>1709</v>
      </c>
      <c r="G391" t="s">
        <v>1272</v>
      </c>
      <c r="H391" t="s">
        <v>34</v>
      </c>
      <c r="I391">
        <v>11779</v>
      </c>
    </row>
    <row r="392" spans="1:9" x14ac:dyDescent="0.3">
      <c r="A392">
        <v>391</v>
      </c>
      <c r="B392" t="s">
        <v>1710</v>
      </c>
      <c r="C392" t="s">
        <v>1711</v>
      </c>
      <c r="D392" t="s">
        <v>5611</v>
      </c>
      <c r="E392" t="s">
        <v>1712</v>
      </c>
      <c r="F392" t="s">
        <v>1713</v>
      </c>
      <c r="G392" t="s">
        <v>1714</v>
      </c>
      <c r="H392" t="s">
        <v>40</v>
      </c>
      <c r="I392">
        <v>93635</v>
      </c>
    </row>
    <row r="393" spans="1:9" x14ac:dyDescent="0.3">
      <c r="A393">
        <v>392</v>
      </c>
      <c r="B393" t="s">
        <v>1715</v>
      </c>
      <c r="C393" t="s">
        <v>1716</v>
      </c>
      <c r="D393" t="s">
        <v>5611</v>
      </c>
      <c r="E393" t="s">
        <v>1717</v>
      </c>
      <c r="F393" t="s">
        <v>1718</v>
      </c>
      <c r="G393" t="s">
        <v>543</v>
      </c>
      <c r="H393" t="s">
        <v>34</v>
      </c>
      <c r="I393">
        <v>11373</v>
      </c>
    </row>
    <row r="394" spans="1:9" x14ac:dyDescent="0.3">
      <c r="A394">
        <v>393</v>
      </c>
      <c r="B394" t="s">
        <v>1719</v>
      </c>
      <c r="C394" t="s">
        <v>1720</v>
      </c>
      <c r="D394" t="s">
        <v>5611</v>
      </c>
      <c r="E394" t="s">
        <v>1721</v>
      </c>
      <c r="F394" t="s">
        <v>1722</v>
      </c>
      <c r="G394" t="s">
        <v>463</v>
      </c>
      <c r="H394" t="s">
        <v>40</v>
      </c>
      <c r="I394">
        <v>91784</v>
      </c>
    </row>
    <row r="395" spans="1:9" x14ac:dyDescent="0.3">
      <c r="A395">
        <v>394</v>
      </c>
      <c r="B395" t="s">
        <v>1723</v>
      </c>
      <c r="C395" t="s">
        <v>1724</v>
      </c>
      <c r="D395" t="s">
        <v>5611</v>
      </c>
      <c r="E395" t="s">
        <v>1725</v>
      </c>
      <c r="F395" t="s">
        <v>1726</v>
      </c>
      <c r="G395" t="s">
        <v>385</v>
      </c>
      <c r="H395" t="s">
        <v>40</v>
      </c>
      <c r="I395">
        <v>91733</v>
      </c>
    </row>
    <row r="396" spans="1:9" x14ac:dyDescent="0.3">
      <c r="A396">
        <v>395</v>
      </c>
      <c r="B396" t="s">
        <v>1727</v>
      </c>
      <c r="C396" t="s">
        <v>1728</v>
      </c>
      <c r="D396" t="s">
        <v>5611</v>
      </c>
      <c r="E396" t="s">
        <v>1729</v>
      </c>
      <c r="F396" t="s">
        <v>1730</v>
      </c>
      <c r="G396" t="s">
        <v>214</v>
      </c>
      <c r="H396" t="s">
        <v>34</v>
      </c>
      <c r="I396">
        <v>13090</v>
      </c>
    </row>
    <row r="397" spans="1:9" x14ac:dyDescent="0.3">
      <c r="A397">
        <v>396</v>
      </c>
      <c r="B397" t="s">
        <v>1731</v>
      </c>
      <c r="C397" t="s">
        <v>1732</v>
      </c>
      <c r="D397" t="s">
        <v>5611</v>
      </c>
      <c r="E397" t="s">
        <v>1733</v>
      </c>
      <c r="F397" t="s">
        <v>1734</v>
      </c>
      <c r="G397" t="s">
        <v>1148</v>
      </c>
      <c r="H397" t="s">
        <v>34</v>
      </c>
      <c r="I397">
        <v>14304</v>
      </c>
    </row>
    <row r="398" spans="1:9" x14ac:dyDescent="0.3">
      <c r="A398">
        <v>397</v>
      </c>
      <c r="B398" t="s">
        <v>1735</v>
      </c>
      <c r="C398" t="s">
        <v>1736</v>
      </c>
      <c r="D398" t="s">
        <v>5611</v>
      </c>
      <c r="E398" t="s">
        <v>1737</v>
      </c>
      <c r="F398" t="s">
        <v>1738</v>
      </c>
      <c r="G398" t="s">
        <v>468</v>
      </c>
      <c r="H398" t="s">
        <v>34</v>
      </c>
      <c r="I398">
        <v>11010</v>
      </c>
    </row>
    <row r="399" spans="1:9" x14ac:dyDescent="0.3">
      <c r="A399">
        <v>398</v>
      </c>
      <c r="B399" t="s">
        <v>1739</v>
      </c>
      <c r="C399" t="s">
        <v>1740</v>
      </c>
      <c r="D399" t="s">
        <v>5611</v>
      </c>
      <c r="E399" t="s">
        <v>1741</v>
      </c>
      <c r="F399" t="s">
        <v>1742</v>
      </c>
      <c r="G399" t="s">
        <v>170</v>
      </c>
      <c r="H399" t="s">
        <v>34</v>
      </c>
      <c r="I399">
        <v>11104</v>
      </c>
    </row>
    <row r="400" spans="1:9" x14ac:dyDescent="0.3">
      <c r="A400">
        <v>399</v>
      </c>
      <c r="B400" t="s">
        <v>1743</v>
      </c>
      <c r="C400" t="s">
        <v>847</v>
      </c>
      <c r="D400" t="s">
        <v>5611</v>
      </c>
      <c r="E400" t="s">
        <v>1744</v>
      </c>
      <c r="F400" t="s">
        <v>1745</v>
      </c>
      <c r="G400" t="s">
        <v>1246</v>
      </c>
      <c r="H400" t="s">
        <v>34</v>
      </c>
      <c r="I400">
        <v>12401</v>
      </c>
    </row>
    <row r="401" spans="1:9" x14ac:dyDescent="0.3">
      <c r="A401">
        <v>400</v>
      </c>
      <c r="B401" t="s">
        <v>1746</v>
      </c>
      <c r="C401" t="s">
        <v>1747</v>
      </c>
      <c r="D401" t="s">
        <v>5611</v>
      </c>
      <c r="E401" t="s">
        <v>1748</v>
      </c>
      <c r="F401" t="s">
        <v>1749</v>
      </c>
      <c r="G401" t="s">
        <v>1750</v>
      </c>
      <c r="H401" t="s">
        <v>34</v>
      </c>
      <c r="I401">
        <v>14043</v>
      </c>
    </row>
    <row r="402" spans="1:9" x14ac:dyDescent="0.3">
      <c r="A402">
        <v>401</v>
      </c>
      <c r="B402" t="s">
        <v>1751</v>
      </c>
      <c r="C402" t="s">
        <v>1543</v>
      </c>
      <c r="D402" t="s">
        <v>5611</v>
      </c>
      <c r="E402" t="s">
        <v>1752</v>
      </c>
      <c r="F402" t="s">
        <v>1753</v>
      </c>
      <c r="G402" t="s">
        <v>98</v>
      </c>
      <c r="H402" t="s">
        <v>99</v>
      </c>
      <c r="I402">
        <v>75604</v>
      </c>
    </row>
    <row r="403" spans="1:9" x14ac:dyDescent="0.3">
      <c r="A403">
        <v>402</v>
      </c>
      <c r="B403" t="s">
        <v>1754</v>
      </c>
      <c r="C403" t="s">
        <v>884</v>
      </c>
      <c r="D403" t="s">
        <v>5611</v>
      </c>
      <c r="E403" t="s">
        <v>1755</v>
      </c>
      <c r="F403" t="s">
        <v>1756</v>
      </c>
      <c r="G403" t="s">
        <v>598</v>
      </c>
      <c r="H403" t="s">
        <v>34</v>
      </c>
      <c r="I403">
        <v>14534</v>
      </c>
    </row>
    <row r="404" spans="1:9" x14ac:dyDescent="0.3">
      <c r="A404">
        <v>403</v>
      </c>
      <c r="B404" t="s">
        <v>1757</v>
      </c>
      <c r="C404" t="s">
        <v>1758</v>
      </c>
      <c r="D404" t="s">
        <v>5611</v>
      </c>
      <c r="E404" t="s">
        <v>1759</v>
      </c>
      <c r="F404" t="s">
        <v>1760</v>
      </c>
      <c r="G404" t="s">
        <v>1122</v>
      </c>
      <c r="H404" t="s">
        <v>40</v>
      </c>
      <c r="I404">
        <v>91387</v>
      </c>
    </row>
    <row r="405" spans="1:9" x14ac:dyDescent="0.3">
      <c r="A405">
        <v>404</v>
      </c>
      <c r="B405" t="s">
        <v>1761</v>
      </c>
      <c r="C405" t="s">
        <v>866</v>
      </c>
      <c r="D405" t="s">
        <v>5611</v>
      </c>
      <c r="E405" t="s">
        <v>1762</v>
      </c>
      <c r="F405" t="s">
        <v>1763</v>
      </c>
      <c r="G405" t="s">
        <v>957</v>
      </c>
      <c r="H405" t="s">
        <v>34</v>
      </c>
      <c r="I405">
        <v>12020</v>
      </c>
    </row>
    <row r="406" spans="1:9" x14ac:dyDescent="0.3">
      <c r="A406">
        <v>405</v>
      </c>
      <c r="B406" t="s">
        <v>1764</v>
      </c>
      <c r="C406" t="s">
        <v>761</v>
      </c>
      <c r="D406" t="s">
        <v>5611</v>
      </c>
      <c r="E406" t="s">
        <v>1765</v>
      </c>
      <c r="F406" t="s">
        <v>1766</v>
      </c>
      <c r="G406" t="s">
        <v>516</v>
      </c>
      <c r="H406" t="s">
        <v>34</v>
      </c>
      <c r="I406">
        <v>11725</v>
      </c>
    </row>
    <row r="407" spans="1:9" x14ac:dyDescent="0.3">
      <c r="A407">
        <v>406</v>
      </c>
      <c r="B407" t="s">
        <v>1754</v>
      </c>
      <c r="C407" t="s">
        <v>936</v>
      </c>
      <c r="D407" t="s">
        <v>5611</v>
      </c>
      <c r="E407" t="s">
        <v>1767</v>
      </c>
      <c r="F407" t="s">
        <v>1768</v>
      </c>
      <c r="G407" t="s">
        <v>1769</v>
      </c>
      <c r="H407" t="s">
        <v>34</v>
      </c>
      <c r="I407">
        <v>11967</v>
      </c>
    </row>
    <row r="408" spans="1:9" x14ac:dyDescent="0.3">
      <c r="A408">
        <v>407</v>
      </c>
      <c r="B408" t="s">
        <v>1770</v>
      </c>
      <c r="C408" t="s">
        <v>1771</v>
      </c>
      <c r="D408" t="s">
        <v>5611</v>
      </c>
      <c r="E408" t="s">
        <v>1772</v>
      </c>
      <c r="F408" t="s">
        <v>1773</v>
      </c>
      <c r="G408" t="s">
        <v>1140</v>
      </c>
      <c r="H408" t="s">
        <v>40</v>
      </c>
      <c r="I408">
        <v>94806</v>
      </c>
    </row>
    <row r="409" spans="1:9" x14ac:dyDescent="0.3">
      <c r="A409">
        <v>408</v>
      </c>
      <c r="B409" t="s">
        <v>1774</v>
      </c>
      <c r="C409" t="s">
        <v>1775</v>
      </c>
      <c r="D409" t="s">
        <v>5611</v>
      </c>
      <c r="E409" t="s">
        <v>1776</v>
      </c>
      <c r="F409" t="s">
        <v>1777</v>
      </c>
      <c r="G409" t="s">
        <v>319</v>
      </c>
      <c r="H409" t="s">
        <v>34</v>
      </c>
      <c r="I409">
        <v>11722</v>
      </c>
    </row>
    <row r="410" spans="1:9" x14ac:dyDescent="0.3">
      <c r="A410">
        <v>409</v>
      </c>
      <c r="B410" t="s">
        <v>1778</v>
      </c>
      <c r="C410" t="s">
        <v>959</v>
      </c>
      <c r="D410" t="s">
        <v>5611</v>
      </c>
      <c r="E410" t="s">
        <v>1779</v>
      </c>
      <c r="F410" t="s">
        <v>1780</v>
      </c>
      <c r="G410" t="s">
        <v>1781</v>
      </c>
      <c r="H410" t="s">
        <v>34</v>
      </c>
      <c r="I410">
        <v>10512</v>
      </c>
    </row>
    <row r="411" spans="1:9" x14ac:dyDescent="0.3">
      <c r="A411">
        <v>410</v>
      </c>
      <c r="B411" t="s">
        <v>1782</v>
      </c>
      <c r="C411" t="s">
        <v>1450</v>
      </c>
      <c r="D411" t="s">
        <v>5611</v>
      </c>
      <c r="E411" t="s">
        <v>1783</v>
      </c>
      <c r="F411" t="s">
        <v>1784</v>
      </c>
      <c r="G411" t="s">
        <v>1241</v>
      </c>
      <c r="H411" t="s">
        <v>34</v>
      </c>
      <c r="I411">
        <v>11710</v>
      </c>
    </row>
    <row r="412" spans="1:9" x14ac:dyDescent="0.3">
      <c r="A412">
        <v>411</v>
      </c>
      <c r="B412" t="s">
        <v>1785</v>
      </c>
      <c r="C412" t="s">
        <v>1786</v>
      </c>
      <c r="D412" t="s">
        <v>1787</v>
      </c>
      <c r="E412" t="s">
        <v>1788</v>
      </c>
      <c r="F412" t="s">
        <v>1789</v>
      </c>
      <c r="G412" t="s">
        <v>115</v>
      </c>
      <c r="H412" t="s">
        <v>34</v>
      </c>
      <c r="I412">
        <v>10002</v>
      </c>
    </row>
    <row r="413" spans="1:9" x14ac:dyDescent="0.3">
      <c r="A413">
        <v>412</v>
      </c>
      <c r="B413" t="s">
        <v>1790</v>
      </c>
      <c r="C413" t="s">
        <v>1791</v>
      </c>
      <c r="D413" t="s">
        <v>5611</v>
      </c>
      <c r="E413" t="s">
        <v>1792</v>
      </c>
      <c r="F413" t="s">
        <v>1793</v>
      </c>
      <c r="G413" t="s">
        <v>170</v>
      </c>
      <c r="H413" t="s">
        <v>34</v>
      </c>
      <c r="I413">
        <v>11104</v>
      </c>
    </row>
    <row r="414" spans="1:9" x14ac:dyDescent="0.3">
      <c r="A414">
        <v>413</v>
      </c>
      <c r="B414" t="s">
        <v>1794</v>
      </c>
      <c r="C414" t="s">
        <v>1795</v>
      </c>
      <c r="D414" t="s">
        <v>5611</v>
      </c>
      <c r="E414" t="s">
        <v>1796</v>
      </c>
      <c r="F414" t="s">
        <v>1797</v>
      </c>
      <c r="G414" t="s">
        <v>74</v>
      </c>
      <c r="H414" t="s">
        <v>34</v>
      </c>
      <c r="I414">
        <v>11510</v>
      </c>
    </row>
    <row r="415" spans="1:9" x14ac:dyDescent="0.3">
      <c r="A415">
        <v>414</v>
      </c>
      <c r="B415" t="s">
        <v>1798</v>
      </c>
      <c r="C415" t="s">
        <v>1799</v>
      </c>
      <c r="D415" t="s">
        <v>5611</v>
      </c>
      <c r="E415" t="s">
        <v>1800</v>
      </c>
      <c r="F415" t="s">
        <v>1801</v>
      </c>
      <c r="G415" t="s">
        <v>1616</v>
      </c>
      <c r="H415" t="s">
        <v>34</v>
      </c>
      <c r="I415">
        <v>14850</v>
      </c>
    </row>
    <row r="416" spans="1:9" x14ac:dyDescent="0.3">
      <c r="A416">
        <v>415</v>
      </c>
      <c r="B416" t="s">
        <v>1802</v>
      </c>
      <c r="C416" t="s">
        <v>1803</v>
      </c>
      <c r="D416" t="s">
        <v>5611</v>
      </c>
      <c r="E416" t="s">
        <v>1804</v>
      </c>
      <c r="F416" t="s">
        <v>1805</v>
      </c>
      <c r="G416" t="s">
        <v>1806</v>
      </c>
      <c r="H416" t="s">
        <v>99</v>
      </c>
      <c r="I416">
        <v>78552</v>
      </c>
    </row>
    <row r="417" spans="1:9" x14ac:dyDescent="0.3">
      <c r="A417">
        <v>416</v>
      </c>
      <c r="B417" t="s">
        <v>1807</v>
      </c>
      <c r="C417" t="s">
        <v>1808</v>
      </c>
      <c r="D417" t="s">
        <v>1809</v>
      </c>
      <c r="E417" t="s">
        <v>1810</v>
      </c>
      <c r="F417" t="s">
        <v>1811</v>
      </c>
      <c r="G417" t="s">
        <v>93</v>
      </c>
      <c r="H417" t="s">
        <v>34</v>
      </c>
      <c r="I417">
        <v>11550</v>
      </c>
    </row>
    <row r="418" spans="1:9" x14ac:dyDescent="0.3">
      <c r="A418">
        <v>417</v>
      </c>
      <c r="B418" t="s">
        <v>1812</v>
      </c>
      <c r="C418" t="s">
        <v>1813</v>
      </c>
      <c r="D418" t="s">
        <v>5611</v>
      </c>
      <c r="E418" t="s">
        <v>1814</v>
      </c>
      <c r="F418" t="s">
        <v>1815</v>
      </c>
      <c r="G418" t="s">
        <v>444</v>
      </c>
      <c r="H418" t="s">
        <v>34</v>
      </c>
      <c r="I418">
        <v>11746</v>
      </c>
    </row>
    <row r="419" spans="1:9" x14ac:dyDescent="0.3">
      <c r="A419">
        <v>418</v>
      </c>
      <c r="B419" t="s">
        <v>1816</v>
      </c>
      <c r="C419" t="s">
        <v>883</v>
      </c>
      <c r="D419" t="s">
        <v>1817</v>
      </c>
      <c r="E419" t="s">
        <v>1818</v>
      </c>
      <c r="F419" t="s">
        <v>1819</v>
      </c>
      <c r="G419" t="s">
        <v>829</v>
      </c>
      <c r="H419" t="s">
        <v>40</v>
      </c>
      <c r="I419">
        <v>93035</v>
      </c>
    </row>
    <row r="420" spans="1:9" x14ac:dyDescent="0.3">
      <c r="A420">
        <v>419</v>
      </c>
      <c r="B420" t="s">
        <v>1820</v>
      </c>
      <c r="C420" t="s">
        <v>1821</v>
      </c>
      <c r="D420" t="s">
        <v>5611</v>
      </c>
      <c r="E420" t="s">
        <v>1822</v>
      </c>
      <c r="F420" t="s">
        <v>1823</v>
      </c>
      <c r="G420" t="s">
        <v>1300</v>
      </c>
      <c r="H420" t="s">
        <v>34</v>
      </c>
      <c r="I420">
        <v>12601</v>
      </c>
    </row>
    <row r="421" spans="1:9" x14ac:dyDescent="0.3">
      <c r="A421">
        <v>420</v>
      </c>
      <c r="B421" t="s">
        <v>1824</v>
      </c>
      <c r="C421" t="s">
        <v>1825</v>
      </c>
      <c r="D421" t="s">
        <v>5611</v>
      </c>
      <c r="E421" t="s">
        <v>1826</v>
      </c>
      <c r="F421" t="s">
        <v>1827</v>
      </c>
      <c r="G421" t="s">
        <v>286</v>
      </c>
      <c r="H421" t="s">
        <v>34</v>
      </c>
      <c r="I421">
        <v>11566</v>
      </c>
    </row>
    <row r="422" spans="1:9" x14ac:dyDescent="0.3">
      <c r="A422">
        <v>421</v>
      </c>
      <c r="B422" t="s">
        <v>1828</v>
      </c>
      <c r="C422" t="s">
        <v>1089</v>
      </c>
      <c r="D422" t="s">
        <v>5611</v>
      </c>
      <c r="E422" t="s">
        <v>1829</v>
      </c>
      <c r="F422" t="s">
        <v>1830</v>
      </c>
      <c r="G422" t="s">
        <v>82</v>
      </c>
      <c r="H422" t="s">
        <v>34</v>
      </c>
      <c r="I422">
        <v>10950</v>
      </c>
    </row>
    <row r="423" spans="1:9" x14ac:dyDescent="0.3">
      <c r="A423">
        <v>422</v>
      </c>
      <c r="B423" t="s">
        <v>1831</v>
      </c>
      <c r="C423" t="s">
        <v>1832</v>
      </c>
      <c r="D423" t="s">
        <v>5611</v>
      </c>
      <c r="E423" t="s">
        <v>1833</v>
      </c>
      <c r="F423" t="s">
        <v>1834</v>
      </c>
      <c r="G423" t="s">
        <v>139</v>
      </c>
      <c r="H423" t="s">
        <v>99</v>
      </c>
      <c r="I423">
        <v>77904</v>
      </c>
    </row>
    <row r="424" spans="1:9" x14ac:dyDescent="0.3">
      <c r="A424">
        <v>423</v>
      </c>
      <c r="B424" t="s">
        <v>1835</v>
      </c>
      <c r="C424" t="s">
        <v>1592</v>
      </c>
      <c r="D424" t="s">
        <v>5611</v>
      </c>
      <c r="E424" t="s">
        <v>1836</v>
      </c>
      <c r="F424" t="s">
        <v>1837</v>
      </c>
      <c r="G424" t="s">
        <v>1087</v>
      </c>
      <c r="H424" t="s">
        <v>34</v>
      </c>
      <c r="I424">
        <v>11729</v>
      </c>
    </row>
    <row r="425" spans="1:9" x14ac:dyDescent="0.3">
      <c r="A425">
        <v>424</v>
      </c>
      <c r="B425" t="s">
        <v>1838</v>
      </c>
      <c r="C425" t="s">
        <v>1839</v>
      </c>
      <c r="D425" t="s">
        <v>5611</v>
      </c>
      <c r="E425" t="s">
        <v>1840</v>
      </c>
      <c r="F425" t="s">
        <v>1841</v>
      </c>
      <c r="G425" t="s">
        <v>301</v>
      </c>
      <c r="H425" t="s">
        <v>34</v>
      </c>
      <c r="I425">
        <v>13501</v>
      </c>
    </row>
    <row r="426" spans="1:9" x14ac:dyDescent="0.3">
      <c r="A426">
        <v>425</v>
      </c>
      <c r="B426" t="s">
        <v>1842</v>
      </c>
      <c r="C426" t="s">
        <v>427</v>
      </c>
      <c r="D426" t="s">
        <v>5611</v>
      </c>
      <c r="E426" t="s">
        <v>1843</v>
      </c>
      <c r="F426" t="s">
        <v>1844</v>
      </c>
      <c r="G426" t="s">
        <v>1524</v>
      </c>
      <c r="H426" t="s">
        <v>34</v>
      </c>
      <c r="I426">
        <v>10550</v>
      </c>
    </row>
    <row r="427" spans="1:9" x14ac:dyDescent="0.3">
      <c r="A427">
        <v>426</v>
      </c>
      <c r="B427" t="s">
        <v>1845</v>
      </c>
      <c r="C427" t="s">
        <v>1690</v>
      </c>
      <c r="D427" t="s">
        <v>5611</v>
      </c>
      <c r="E427" t="s">
        <v>1846</v>
      </c>
      <c r="F427" t="s">
        <v>1847</v>
      </c>
      <c r="G427" t="s">
        <v>1595</v>
      </c>
      <c r="H427" t="s">
        <v>40</v>
      </c>
      <c r="I427">
        <v>91768</v>
      </c>
    </row>
    <row r="428" spans="1:9" x14ac:dyDescent="0.3">
      <c r="A428">
        <v>427</v>
      </c>
      <c r="B428" t="s">
        <v>1848</v>
      </c>
      <c r="C428" t="s">
        <v>1849</v>
      </c>
      <c r="D428" t="s">
        <v>5611</v>
      </c>
      <c r="E428" t="s">
        <v>1850</v>
      </c>
      <c r="F428" t="s">
        <v>1851</v>
      </c>
      <c r="G428" t="s">
        <v>357</v>
      </c>
      <c r="H428" t="s">
        <v>99</v>
      </c>
      <c r="I428">
        <v>75043</v>
      </c>
    </row>
    <row r="429" spans="1:9" x14ac:dyDescent="0.3">
      <c r="A429">
        <v>428</v>
      </c>
      <c r="B429" t="s">
        <v>1852</v>
      </c>
      <c r="C429" t="s">
        <v>1853</v>
      </c>
      <c r="D429" t="s">
        <v>5611</v>
      </c>
      <c r="E429" t="s">
        <v>1854</v>
      </c>
      <c r="F429" t="s">
        <v>1855</v>
      </c>
      <c r="G429" t="s">
        <v>1856</v>
      </c>
      <c r="H429" t="s">
        <v>34</v>
      </c>
      <c r="I429">
        <v>10801</v>
      </c>
    </row>
    <row r="430" spans="1:9" x14ac:dyDescent="0.3">
      <c r="A430">
        <v>429</v>
      </c>
      <c r="B430" t="s">
        <v>1857</v>
      </c>
      <c r="C430" t="s">
        <v>378</v>
      </c>
      <c r="D430" t="s">
        <v>5611</v>
      </c>
      <c r="E430" t="s">
        <v>1858</v>
      </c>
      <c r="F430" t="s">
        <v>1859</v>
      </c>
      <c r="G430" t="s">
        <v>1604</v>
      </c>
      <c r="H430" t="s">
        <v>34</v>
      </c>
      <c r="I430">
        <v>11580</v>
      </c>
    </row>
    <row r="431" spans="1:9" x14ac:dyDescent="0.3">
      <c r="A431">
        <v>430</v>
      </c>
      <c r="B431" t="s">
        <v>1860</v>
      </c>
      <c r="C431" t="s">
        <v>1861</v>
      </c>
      <c r="D431" t="s">
        <v>5611</v>
      </c>
      <c r="E431" t="s">
        <v>1862</v>
      </c>
      <c r="F431" t="s">
        <v>1863</v>
      </c>
      <c r="G431" t="s">
        <v>1184</v>
      </c>
      <c r="H431" t="s">
        <v>34</v>
      </c>
      <c r="I431">
        <v>11762</v>
      </c>
    </row>
    <row r="432" spans="1:9" x14ac:dyDescent="0.3">
      <c r="A432">
        <v>431</v>
      </c>
      <c r="B432" t="s">
        <v>1864</v>
      </c>
      <c r="C432" t="s">
        <v>1865</v>
      </c>
      <c r="D432" t="s">
        <v>5611</v>
      </c>
      <c r="E432" t="s">
        <v>1866</v>
      </c>
      <c r="F432" t="s">
        <v>1867</v>
      </c>
      <c r="G432" t="s">
        <v>1241</v>
      </c>
      <c r="H432" t="s">
        <v>34</v>
      </c>
      <c r="I432">
        <v>11710</v>
      </c>
    </row>
    <row r="433" spans="1:9" x14ac:dyDescent="0.3">
      <c r="A433">
        <v>432</v>
      </c>
      <c r="B433" t="s">
        <v>1868</v>
      </c>
      <c r="C433" t="s">
        <v>1869</v>
      </c>
      <c r="D433" t="s">
        <v>5611</v>
      </c>
      <c r="E433" t="s">
        <v>1870</v>
      </c>
      <c r="F433" t="s">
        <v>1871</v>
      </c>
      <c r="G433" t="s">
        <v>1104</v>
      </c>
      <c r="H433" t="s">
        <v>34</v>
      </c>
      <c r="I433">
        <v>11554</v>
      </c>
    </row>
    <row r="434" spans="1:9" x14ac:dyDescent="0.3">
      <c r="A434">
        <v>433</v>
      </c>
      <c r="B434" t="s">
        <v>1872</v>
      </c>
      <c r="C434" t="s">
        <v>1873</v>
      </c>
      <c r="D434" t="s">
        <v>5611</v>
      </c>
      <c r="E434" t="s">
        <v>1874</v>
      </c>
      <c r="F434" t="s">
        <v>1875</v>
      </c>
      <c r="G434" t="s">
        <v>98</v>
      </c>
      <c r="H434" t="s">
        <v>99</v>
      </c>
      <c r="I434">
        <v>75604</v>
      </c>
    </row>
    <row r="435" spans="1:9" x14ac:dyDescent="0.3">
      <c r="A435">
        <v>434</v>
      </c>
      <c r="B435" t="s">
        <v>1876</v>
      </c>
      <c r="C435" t="s">
        <v>136</v>
      </c>
      <c r="D435" t="s">
        <v>5611</v>
      </c>
      <c r="E435" t="s">
        <v>1877</v>
      </c>
      <c r="F435" t="s">
        <v>1878</v>
      </c>
      <c r="G435" t="s">
        <v>454</v>
      </c>
      <c r="H435" t="s">
        <v>40</v>
      </c>
      <c r="I435">
        <v>91010</v>
      </c>
    </row>
    <row r="436" spans="1:9" x14ac:dyDescent="0.3">
      <c r="A436">
        <v>435</v>
      </c>
      <c r="B436" t="s">
        <v>1879</v>
      </c>
      <c r="C436" t="s">
        <v>1880</v>
      </c>
      <c r="D436" t="s">
        <v>5611</v>
      </c>
      <c r="E436" t="s">
        <v>1881</v>
      </c>
      <c r="F436" t="s">
        <v>1882</v>
      </c>
      <c r="G436" t="s">
        <v>538</v>
      </c>
      <c r="H436" t="s">
        <v>34</v>
      </c>
      <c r="I436">
        <v>11421</v>
      </c>
    </row>
    <row r="437" spans="1:9" x14ac:dyDescent="0.3">
      <c r="A437">
        <v>436</v>
      </c>
      <c r="B437" t="s">
        <v>1883</v>
      </c>
      <c r="C437" t="s">
        <v>1884</v>
      </c>
      <c r="D437" t="s">
        <v>5611</v>
      </c>
      <c r="E437" t="s">
        <v>1885</v>
      </c>
      <c r="F437" t="s">
        <v>1886</v>
      </c>
      <c r="G437" t="s">
        <v>499</v>
      </c>
      <c r="H437" t="s">
        <v>34</v>
      </c>
      <c r="I437">
        <v>11361</v>
      </c>
    </row>
    <row r="438" spans="1:9" x14ac:dyDescent="0.3">
      <c r="A438">
        <v>437</v>
      </c>
      <c r="B438" t="s">
        <v>1454</v>
      </c>
      <c r="C438" t="s">
        <v>1325</v>
      </c>
      <c r="D438" t="s">
        <v>5611</v>
      </c>
      <c r="E438" t="s">
        <v>1887</v>
      </c>
      <c r="F438" t="s">
        <v>1888</v>
      </c>
      <c r="G438" t="s">
        <v>33</v>
      </c>
      <c r="H438" t="s">
        <v>34</v>
      </c>
      <c r="I438">
        <v>14127</v>
      </c>
    </row>
    <row r="439" spans="1:9" x14ac:dyDescent="0.3">
      <c r="A439">
        <v>438</v>
      </c>
      <c r="B439" t="s">
        <v>1889</v>
      </c>
      <c r="C439" t="s">
        <v>1890</v>
      </c>
      <c r="D439" t="s">
        <v>5611</v>
      </c>
      <c r="E439" t="s">
        <v>1891</v>
      </c>
      <c r="F439" t="s">
        <v>1892</v>
      </c>
      <c r="G439" t="s">
        <v>240</v>
      </c>
      <c r="H439" t="s">
        <v>34</v>
      </c>
      <c r="I439">
        <v>12804</v>
      </c>
    </row>
    <row r="440" spans="1:9" x14ac:dyDescent="0.3">
      <c r="A440">
        <v>439</v>
      </c>
      <c r="B440" t="s">
        <v>1893</v>
      </c>
      <c r="C440" t="s">
        <v>1578</v>
      </c>
      <c r="D440" t="s">
        <v>5611</v>
      </c>
      <c r="E440" t="s">
        <v>1894</v>
      </c>
      <c r="F440" t="s">
        <v>1895</v>
      </c>
      <c r="G440" t="s">
        <v>976</v>
      </c>
      <c r="H440" t="s">
        <v>34</v>
      </c>
      <c r="I440">
        <v>11432</v>
      </c>
    </row>
    <row r="441" spans="1:9" x14ac:dyDescent="0.3">
      <c r="A441">
        <v>440</v>
      </c>
      <c r="B441" t="s">
        <v>1896</v>
      </c>
      <c r="C441" t="s">
        <v>36</v>
      </c>
      <c r="D441" t="s">
        <v>5611</v>
      </c>
      <c r="E441" t="s">
        <v>1897</v>
      </c>
      <c r="F441" t="s">
        <v>1898</v>
      </c>
      <c r="G441" t="s">
        <v>957</v>
      </c>
      <c r="H441" t="s">
        <v>34</v>
      </c>
      <c r="I441">
        <v>12020</v>
      </c>
    </row>
    <row r="442" spans="1:9" x14ac:dyDescent="0.3">
      <c r="A442">
        <v>441</v>
      </c>
      <c r="B442" t="s">
        <v>1899</v>
      </c>
      <c r="C442" t="s">
        <v>1900</v>
      </c>
      <c r="D442" t="s">
        <v>5611</v>
      </c>
      <c r="E442" t="s">
        <v>1901</v>
      </c>
      <c r="F442" t="s">
        <v>1902</v>
      </c>
      <c r="G442" t="s">
        <v>77</v>
      </c>
      <c r="H442" t="s">
        <v>34</v>
      </c>
      <c r="I442">
        <v>11050</v>
      </c>
    </row>
    <row r="443" spans="1:9" x14ac:dyDescent="0.3">
      <c r="A443">
        <v>442</v>
      </c>
      <c r="B443" t="s">
        <v>775</v>
      </c>
      <c r="C443" t="s">
        <v>1903</v>
      </c>
      <c r="D443" t="s">
        <v>1904</v>
      </c>
      <c r="E443" t="s">
        <v>1905</v>
      </c>
      <c r="F443" t="s">
        <v>1906</v>
      </c>
      <c r="G443" t="s">
        <v>1907</v>
      </c>
      <c r="H443" t="s">
        <v>34</v>
      </c>
      <c r="I443">
        <v>10701</v>
      </c>
    </row>
    <row r="444" spans="1:9" x14ac:dyDescent="0.3">
      <c r="A444">
        <v>443</v>
      </c>
      <c r="B444" t="s">
        <v>1908</v>
      </c>
      <c r="C444" t="s">
        <v>1909</v>
      </c>
      <c r="D444" t="s">
        <v>1910</v>
      </c>
      <c r="E444" t="s">
        <v>1911</v>
      </c>
      <c r="F444" t="s">
        <v>1912</v>
      </c>
      <c r="G444" t="s">
        <v>829</v>
      </c>
      <c r="H444" t="s">
        <v>40</v>
      </c>
      <c r="I444">
        <v>93035</v>
      </c>
    </row>
    <row r="445" spans="1:9" x14ac:dyDescent="0.3">
      <c r="A445">
        <v>444</v>
      </c>
      <c r="B445" t="s">
        <v>1913</v>
      </c>
      <c r="C445" t="s">
        <v>1914</v>
      </c>
      <c r="D445" t="s">
        <v>5611</v>
      </c>
      <c r="E445" t="s">
        <v>1915</v>
      </c>
      <c r="F445" t="s">
        <v>1916</v>
      </c>
      <c r="G445" t="s">
        <v>270</v>
      </c>
      <c r="H445" t="s">
        <v>40</v>
      </c>
      <c r="I445">
        <v>94580</v>
      </c>
    </row>
    <row r="446" spans="1:9" x14ac:dyDescent="0.3">
      <c r="A446">
        <v>445</v>
      </c>
      <c r="B446" t="s">
        <v>1917</v>
      </c>
      <c r="C446" t="s">
        <v>1918</v>
      </c>
      <c r="D446" t="s">
        <v>5611</v>
      </c>
      <c r="E446" t="s">
        <v>1919</v>
      </c>
      <c r="F446" t="s">
        <v>1920</v>
      </c>
      <c r="G446" t="s">
        <v>1524</v>
      </c>
      <c r="H446" t="s">
        <v>34</v>
      </c>
      <c r="I446">
        <v>10550</v>
      </c>
    </row>
    <row r="447" spans="1:9" x14ac:dyDescent="0.3">
      <c r="A447">
        <v>446</v>
      </c>
      <c r="B447" t="s">
        <v>1921</v>
      </c>
      <c r="C447" t="s">
        <v>1922</v>
      </c>
      <c r="D447" t="s">
        <v>5611</v>
      </c>
      <c r="E447" t="s">
        <v>1923</v>
      </c>
      <c r="F447" t="s">
        <v>1924</v>
      </c>
      <c r="G447" t="s">
        <v>1925</v>
      </c>
      <c r="H447" t="s">
        <v>34</v>
      </c>
      <c r="I447">
        <v>12010</v>
      </c>
    </row>
    <row r="448" spans="1:9" x14ac:dyDescent="0.3">
      <c r="A448">
        <v>447</v>
      </c>
      <c r="B448" t="s">
        <v>1926</v>
      </c>
      <c r="C448" t="s">
        <v>1927</v>
      </c>
      <c r="D448" t="s">
        <v>5611</v>
      </c>
      <c r="E448" t="s">
        <v>1928</v>
      </c>
      <c r="F448" t="s">
        <v>1929</v>
      </c>
      <c r="G448" t="s">
        <v>1930</v>
      </c>
      <c r="H448" t="s">
        <v>40</v>
      </c>
      <c r="I448">
        <v>92083</v>
      </c>
    </row>
    <row r="449" spans="1:9" x14ac:dyDescent="0.3">
      <c r="A449">
        <v>448</v>
      </c>
      <c r="B449" t="s">
        <v>1931</v>
      </c>
      <c r="C449" t="s">
        <v>1932</v>
      </c>
      <c r="D449" t="s">
        <v>1933</v>
      </c>
      <c r="E449" t="s">
        <v>1934</v>
      </c>
      <c r="F449" t="s">
        <v>1935</v>
      </c>
      <c r="G449" t="s">
        <v>1936</v>
      </c>
      <c r="H449" t="s">
        <v>34</v>
      </c>
      <c r="I449">
        <v>14606</v>
      </c>
    </row>
    <row r="450" spans="1:9" x14ac:dyDescent="0.3">
      <c r="A450">
        <v>449</v>
      </c>
      <c r="B450" t="s">
        <v>1937</v>
      </c>
      <c r="C450" t="s">
        <v>1938</v>
      </c>
      <c r="D450" t="s">
        <v>5611</v>
      </c>
      <c r="E450" t="s">
        <v>1939</v>
      </c>
      <c r="F450" t="s">
        <v>1940</v>
      </c>
      <c r="G450" t="s">
        <v>1122</v>
      </c>
      <c r="H450" t="s">
        <v>40</v>
      </c>
      <c r="I450">
        <v>91387</v>
      </c>
    </row>
    <row r="451" spans="1:9" x14ac:dyDescent="0.3">
      <c r="A451">
        <v>450</v>
      </c>
      <c r="B451" t="s">
        <v>1941</v>
      </c>
      <c r="C451" t="s">
        <v>738</v>
      </c>
      <c r="D451" t="s">
        <v>5611</v>
      </c>
      <c r="E451" t="s">
        <v>1942</v>
      </c>
      <c r="F451" t="s">
        <v>1943</v>
      </c>
      <c r="G451" t="s">
        <v>1781</v>
      </c>
      <c r="H451" t="s">
        <v>34</v>
      </c>
      <c r="I451">
        <v>10512</v>
      </c>
    </row>
    <row r="452" spans="1:9" x14ac:dyDescent="0.3">
      <c r="A452">
        <v>451</v>
      </c>
      <c r="B452" t="s">
        <v>1944</v>
      </c>
      <c r="C452" t="s">
        <v>1945</v>
      </c>
      <c r="D452" t="s">
        <v>5611</v>
      </c>
      <c r="E452" t="s">
        <v>1946</v>
      </c>
      <c r="F452" t="s">
        <v>1947</v>
      </c>
      <c r="G452" t="s">
        <v>367</v>
      </c>
      <c r="H452" t="s">
        <v>99</v>
      </c>
      <c r="I452">
        <v>75088</v>
      </c>
    </row>
    <row r="453" spans="1:9" x14ac:dyDescent="0.3">
      <c r="A453">
        <v>452</v>
      </c>
      <c r="B453" t="s">
        <v>1948</v>
      </c>
      <c r="C453" t="s">
        <v>1420</v>
      </c>
      <c r="D453" t="s">
        <v>5611</v>
      </c>
      <c r="E453" t="s">
        <v>1949</v>
      </c>
      <c r="F453" t="s">
        <v>1950</v>
      </c>
      <c r="G453" t="s">
        <v>922</v>
      </c>
      <c r="H453" t="s">
        <v>34</v>
      </c>
      <c r="I453">
        <v>11801</v>
      </c>
    </row>
    <row r="454" spans="1:9" x14ac:dyDescent="0.3">
      <c r="A454">
        <v>453</v>
      </c>
      <c r="B454" t="s">
        <v>1951</v>
      </c>
      <c r="C454" t="s">
        <v>1505</v>
      </c>
      <c r="D454" t="s">
        <v>5611</v>
      </c>
      <c r="E454" t="s">
        <v>1952</v>
      </c>
      <c r="F454" t="s">
        <v>1953</v>
      </c>
      <c r="G454" t="s">
        <v>1221</v>
      </c>
      <c r="H454" t="s">
        <v>34</v>
      </c>
      <c r="I454">
        <v>11530</v>
      </c>
    </row>
    <row r="455" spans="1:9" x14ac:dyDescent="0.3">
      <c r="A455">
        <v>454</v>
      </c>
      <c r="B455" t="s">
        <v>1954</v>
      </c>
      <c r="C455" t="s">
        <v>1955</v>
      </c>
      <c r="D455" t="s">
        <v>5611</v>
      </c>
      <c r="E455" t="s">
        <v>1956</v>
      </c>
      <c r="F455" t="s">
        <v>1957</v>
      </c>
      <c r="G455" t="s">
        <v>764</v>
      </c>
      <c r="H455" t="s">
        <v>34</v>
      </c>
      <c r="I455">
        <v>11706</v>
      </c>
    </row>
    <row r="456" spans="1:9" x14ac:dyDescent="0.3">
      <c r="A456">
        <v>455</v>
      </c>
      <c r="B456" t="s">
        <v>1958</v>
      </c>
      <c r="C456" t="s">
        <v>1959</v>
      </c>
      <c r="D456" t="s">
        <v>5611</v>
      </c>
      <c r="E456" t="s">
        <v>1960</v>
      </c>
      <c r="F456" t="s">
        <v>1961</v>
      </c>
      <c r="G456" t="s">
        <v>214</v>
      </c>
      <c r="H456" t="s">
        <v>34</v>
      </c>
      <c r="I456">
        <v>13090</v>
      </c>
    </row>
    <row r="457" spans="1:9" x14ac:dyDescent="0.3">
      <c r="A457">
        <v>456</v>
      </c>
      <c r="B457" t="s">
        <v>1962</v>
      </c>
      <c r="C457" t="s">
        <v>1008</v>
      </c>
      <c r="D457" t="s">
        <v>5611</v>
      </c>
      <c r="E457" t="s">
        <v>1963</v>
      </c>
      <c r="F457" t="s">
        <v>1964</v>
      </c>
      <c r="G457" t="s">
        <v>976</v>
      </c>
      <c r="H457" t="s">
        <v>34</v>
      </c>
      <c r="I457">
        <v>11432</v>
      </c>
    </row>
    <row r="458" spans="1:9" x14ac:dyDescent="0.3">
      <c r="A458">
        <v>457</v>
      </c>
      <c r="B458" t="s">
        <v>622</v>
      </c>
      <c r="C458" t="s">
        <v>1223</v>
      </c>
      <c r="D458" t="s">
        <v>5611</v>
      </c>
      <c r="E458" t="s">
        <v>1965</v>
      </c>
      <c r="F458" t="s">
        <v>1966</v>
      </c>
      <c r="G458" t="s">
        <v>245</v>
      </c>
      <c r="H458" t="s">
        <v>34</v>
      </c>
      <c r="I458">
        <v>11418</v>
      </c>
    </row>
    <row r="459" spans="1:9" x14ac:dyDescent="0.3">
      <c r="A459">
        <v>458</v>
      </c>
      <c r="B459" t="s">
        <v>991</v>
      </c>
      <c r="C459" t="s">
        <v>349</v>
      </c>
      <c r="D459" t="s">
        <v>5611</v>
      </c>
      <c r="E459" t="s">
        <v>1967</v>
      </c>
      <c r="F459" t="s">
        <v>1968</v>
      </c>
      <c r="G459" t="s">
        <v>1083</v>
      </c>
      <c r="H459" t="s">
        <v>34</v>
      </c>
      <c r="I459">
        <v>11741</v>
      </c>
    </row>
    <row r="460" spans="1:9" x14ac:dyDescent="0.3">
      <c r="A460">
        <v>459</v>
      </c>
      <c r="B460" t="s">
        <v>1969</v>
      </c>
      <c r="C460" t="s">
        <v>1970</v>
      </c>
      <c r="D460" t="s">
        <v>1971</v>
      </c>
      <c r="E460" t="s">
        <v>1972</v>
      </c>
      <c r="F460" t="s">
        <v>1973</v>
      </c>
      <c r="G460" t="s">
        <v>1974</v>
      </c>
      <c r="H460" t="s">
        <v>40</v>
      </c>
      <c r="I460">
        <v>93306</v>
      </c>
    </row>
    <row r="461" spans="1:9" x14ac:dyDescent="0.3">
      <c r="A461">
        <v>460</v>
      </c>
      <c r="B461" t="s">
        <v>1975</v>
      </c>
      <c r="C461" t="s">
        <v>1976</v>
      </c>
      <c r="D461" t="s">
        <v>5611</v>
      </c>
      <c r="E461" t="s">
        <v>1977</v>
      </c>
      <c r="F461" t="s">
        <v>1978</v>
      </c>
      <c r="G461" t="s">
        <v>1221</v>
      </c>
      <c r="H461" t="s">
        <v>34</v>
      </c>
      <c r="I461">
        <v>11530</v>
      </c>
    </row>
    <row r="462" spans="1:9" x14ac:dyDescent="0.3">
      <c r="A462">
        <v>461</v>
      </c>
      <c r="B462" t="s">
        <v>1979</v>
      </c>
      <c r="C462" t="s">
        <v>1423</v>
      </c>
      <c r="D462" t="s">
        <v>1980</v>
      </c>
      <c r="E462" t="s">
        <v>1981</v>
      </c>
      <c r="F462" t="s">
        <v>1982</v>
      </c>
      <c r="G462" t="s">
        <v>1078</v>
      </c>
      <c r="H462" t="s">
        <v>34</v>
      </c>
      <c r="I462">
        <v>11717</v>
      </c>
    </row>
    <row r="463" spans="1:9" x14ac:dyDescent="0.3">
      <c r="A463">
        <v>462</v>
      </c>
      <c r="B463" t="s">
        <v>1983</v>
      </c>
      <c r="C463" t="s">
        <v>1984</v>
      </c>
      <c r="D463" t="s">
        <v>5611</v>
      </c>
      <c r="E463" t="s">
        <v>1985</v>
      </c>
      <c r="F463" t="s">
        <v>1986</v>
      </c>
      <c r="G463" t="s">
        <v>1987</v>
      </c>
      <c r="H463" t="s">
        <v>34</v>
      </c>
      <c r="I463">
        <v>10954</v>
      </c>
    </row>
    <row r="464" spans="1:9" x14ac:dyDescent="0.3">
      <c r="A464">
        <v>463</v>
      </c>
      <c r="B464" t="s">
        <v>1988</v>
      </c>
      <c r="C464" t="s">
        <v>1989</v>
      </c>
      <c r="D464" t="s">
        <v>5611</v>
      </c>
      <c r="E464" t="s">
        <v>1990</v>
      </c>
      <c r="F464" t="s">
        <v>1991</v>
      </c>
      <c r="G464" t="s">
        <v>750</v>
      </c>
      <c r="H464" t="s">
        <v>34</v>
      </c>
      <c r="I464">
        <v>11803</v>
      </c>
    </row>
    <row r="465" spans="1:9" x14ac:dyDescent="0.3">
      <c r="A465">
        <v>464</v>
      </c>
      <c r="B465" t="s">
        <v>1992</v>
      </c>
      <c r="C465" t="s">
        <v>1993</v>
      </c>
      <c r="D465" t="s">
        <v>5611</v>
      </c>
      <c r="E465" t="s">
        <v>1994</v>
      </c>
      <c r="F465" t="s">
        <v>1995</v>
      </c>
      <c r="G465" t="s">
        <v>1221</v>
      </c>
      <c r="H465" t="s">
        <v>34</v>
      </c>
      <c r="I465">
        <v>11530</v>
      </c>
    </row>
    <row r="466" spans="1:9" x14ac:dyDescent="0.3">
      <c r="A466">
        <v>465</v>
      </c>
      <c r="B466" t="s">
        <v>1996</v>
      </c>
      <c r="C466" t="s">
        <v>1997</v>
      </c>
      <c r="D466" t="s">
        <v>1998</v>
      </c>
      <c r="E466" t="s">
        <v>1999</v>
      </c>
      <c r="F466" t="s">
        <v>2000</v>
      </c>
      <c r="G466" t="s">
        <v>485</v>
      </c>
      <c r="H466" t="s">
        <v>34</v>
      </c>
      <c r="I466">
        <v>12180</v>
      </c>
    </row>
    <row r="467" spans="1:9" x14ac:dyDescent="0.3">
      <c r="A467">
        <v>466</v>
      </c>
      <c r="B467" t="s">
        <v>2001</v>
      </c>
      <c r="C467" t="s">
        <v>387</v>
      </c>
      <c r="D467" t="s">
        <v>5611</v>
      </c>
      <c r="E467" t="s">
        <v>2002</v>
      </c>
      <c r="F467" t="s">
        <v>2003</v>
      </c>
      <c r="G467" t="s">
        <v>728</v>
      </c>
      <c r="H467" t="s">
        <v>34</v>
      </c>
      <c r="I467">
        <v>11787</v>
      </c>
    </row>
    <row r="468" spans="1:9" x14ac:dyDescent="0.3">
      <c r="A468">
        <v>467</v>
      </c>
      <c r="B468" t="s">
        <v>2004</v>
      </c>
      <c r="C468" t="s">
        <v>716</v>
      </c>
      <c r="D468" t="s">
        <v>5611</v>
      </c>
      <c r="E468" t="s">
        <v>2005</v>
      </c>
      <c r="F468" t="s">
        <v>2006</v>
      </c>
      <c r="G468" t="s">
        <v>159</v>
      </c>
      <c r="H468" t="s">
        <v>34</v>
      </c>
      <c r="I468">
        <v>10541</v>
      </c>
    </row>
    <row r="469" spans="1:9" x14ac:dyDescent="0.3">
      <c r="A469">
        <v>468</v>
      </c>
      <c r="B469" t="s">
        <v>2007</v>
      </c>
      <c r="C469" t="s">
        <v>2008</v>
      </c>
      <c r="D469" t="s">
        <v>5611</v>
      </c>
      <c r="E469" t="s">
        <v>2009</v>
      </c>
      <c r="F469" t="s">
        <v>2010</v>
      </c>
      <c r="G469" t="s">
        <v>439</v>
      </c>
      <c r="H469" t="s">
        <v>34</v>
      </c>
      <c r="I469">
        <v>11757</v>
      </c>
    </row>
    <row r="470" spans="1:9" x14ac:dyDescent="0.3">
      <c r="A470">
        <v>469</v>
      </c>
      <c r="B470" t="s">
        <v>2011</v>
      </c>
      <c r="C470" t="s">
        <v>2012</v>
      </c>
      <c r="D470" t="s">
        <v>5611</v>
      </c>
      <c r="E470" t="s">
        <v>2013</v>
      </c>
      <c r="F470" t="s">
        <v>2014</v>
      </c>
      <c r="G470" t="s">
        <v>245</v>
      </c>
      <c r="H470" t="s">
        <v>34</v>
      </c>
      <c r="I470">
        <v>11418</v>
      </c>
    </row>
    <row r="471" spans="1:9" x14ac:dyDescent="0.3">
      <c r="A471">
        <v>470</v>
      </c>
      <c r="B471" t="s">
        <v>2015</v>
      </c>
      <c r="C471" t="s">
        <v>1900</v>
      </c>
      <c r="D471" t="s">
        <v>5611</v>
      </c>
      <c r="E471" t="s">
        <v>2016</v>
      </c>
      <c r="F471" t="s">
        <v>2017</v>
      </c>
      <c r="G471" t="s">
        <v>1769</v>
      </c>
      <c r="H471" t="s">
        <v>34</v>
      </c>
      <c r="I471">
        <v>11967</v>
      </c>
    </row>
    <row r="472" spans="1:9" x14ac:dyDescent="0.3">
      <c r="A472">
        <v>471</v>
      </c>
      <c r="B472" t="s">
        <v>2018</v>
      </c>
      <c r="C472" t="s">
        <v>2019</v>
      </c>
      <c r="D472" t="s">
        <v>5611</v>
      </c>
      <c r="E472" t="s">
        <v>2020</v>
      </c>
      <c r="F472" t="s">
        <v>2021</v>
      </c>
      <c r="G472" t="s">
        <v>2022</v>
      </c>
      <c r="H472" t="s">
        <v>34</v>
      </c>
      <c r="I472">
        <v>11520</v>
      </c>
    </row>
    <row r="473" spans="1:9" x14ac:dyDescent="0.3">
      <c r="A473">
        <v>472</v>
      </c>
      <c r="B473" t="s">
        <v>2023</v>
      </c>
      <c r="C473" t="s">
        <v>2024</v>
      </c>
      <c r="D473" t="s">
        <v>5611</v>
      </c>
      <c r="E473" t="s">
        <v>2025</v>
      </c>
      <c r="F473" t="s">
        <v>2026</v>
      </c>
      <c r="G473" t="s">
        <v>342</v>
      </c>
      <c r="H473" t="s">
        <v>34</v>
      </c>
      <c r="I473">
        <v>11701</v>
      </c>
    </row>
    <row r="474" spans="1:9" x14ac:dyDescent="0.3">
      <c r="A474">
        <v>473</v>
      </c>
      <c r="B474" t="s">
        <v>2027</v>
      </c>
      <c r="C474" t="s">
        <v>408</v>
      </c>
      <c r="D474" t="s">
        <v>5611</v>
      </c>
      <c r="E474" t="s">
        <v>2028</v>
      </c>
      <c r="F474" t="s">
        <v>2029</v>
      </c>
      <c r="G474" t="s">
        <v>74</v>
      </c>
      <c r="H474" t="s">
        <v>34</v>
      </c>
      <c r="I474">
        <v>11510</v>
      </c>
    </row>
    <row r="475" spans="1:9" x14ac:dyDescent="0.3">
      <c r="A475">
        <v>474</v>
      </c>
      <c r="B475" t="s">
        <v>2030</v>
      </c>
      <c r="C475" t="s">
        <v>2031</v>
      </c>
      <c r="D475" t="s">
        <v>5611</v>
      </c>
      <c r="E475" t="s">
        <v>2032</v>
      </c>
      <c r="F475" t="s">
        <v>2033</v>
      </c>
      <c r="G475" t="s">
        <v>883</v>
      </c>
      <c r="H475" t="s">
        <v>34</v>
      </c>
      <c r="I475">
        <v>14580</v>
      </c>
    </row>
    <row r="476" spans="1:9" x14ac:dyDescent="0.3">
      <c r="A476">
        <v>475</v>
      </c>
      <c r="B476" t="s">
        <v>2034</v>
      </c>
      <c r="C476" t="s">
        <v>1112</v>
      </c>
      <c r="D476" t="s">
        <v>5611</v>
      </c>
      <c r="E476" t="s">
        <v>2035</v>
      </c>
      <c r="F476" t="s">
        <v>2036</v>
      </c>
      <c r="G476" t="s">
        <v>139</v>
      </c>
      <c r="H476" t="s">
        <v>99</v>
      </c>
      <c r="I476">
        <v>77904</v>
      </c>
    </row>
    <row r="477" spans="1:9" x14ac:dyDescent="0.3">
      <c r="A477">
        <v>476</v>
      </c>
      <c r="B477" t="s">
        <v>2037</v>
      </c>
      <c r="C477" t="s">
        <v>408</v>
      </c>
      <c r="D477" t="s">
        <v>5611</v>
      </c>
      <c r="E477" t="s">
        <v>2038</v>
      </c>
      <c r="F477" t="s">
        <v>2039</v>
      </c>
      <c r="G477" t="s">
        <v>927</v>
      </c>
      <c r="H477" t="s">
        <v>40</v>
      </c>
      <c r="I477">
        <v>95060</v>
      </c>
    </row>
    <row r="478" spans="1:9" x14ac:dyDescent="0.3">
      <c r="A478">
        <v>477</v>
      </c>
      <c r="B478" t="s">
        <v>2040</v>
      </c>
      <c r="C478" t="s">
        <v>2041</v>
      </c>
      <c r="D478" t="s">
        <v>5611</v>
      </c>
      <c r="E478" t="s">
        <v>2042</v>
      </c>
      <c r="F478" t="s">
        <v>2043</v>
      </c>
      <c r="G478" t="s">
        <v>1241</v>
      </c>
      <c r="H478" t="s">
        <v>34</v>
      </c>
      <c r="I478">
        <v>11710</v>
      </c>
    </row>
    <row r="479" spans="1:9" x14ac:dyDescent="0.3">
      <c r="A479">
        <v>478</v>
      </c>
      <c r="B479" t="s">
        <v>1857</v>
      </c>
      <c r="C479" t="s">
        <v>929</v>
      </c>
      <c r="D479" t="s">
        <v>5611</v>
      </c>
      <c r="E479" t="s">
        <v>2044</v>
      </c>
      <c r="F479" t="s">
        <v>2045</v>
      </c>
      <c r="G479" t="s">
        <v>2022</v>
      </c>
      <c r="H479" t="s">
        <v>34</v>
      </c>
      <c r="I479">
        <v>11520</v>
      </c>
    </row>
    <row r="480" spans="1:9" x14ac:dyDescent="0.3">
      <c r="A480">
        <v>479</v>
      </c>
      <c r="B480" t="s">
        <v>2046</v>
      </c>
      <c r="C480" t="s">
        <v>2047</v>
      </c>
      <c r="D480" t="s">
        <v>5611</v>
      </c>
      <c r="E480" t="s">
        <v>2048</v>
      </c>
      <c r="F480" t="s">
        <v>2049</v>
      </c>
      <c r="G480" t="s">
        <v>1688</v>
      </c>
      <c r="H480" t="s">
        <v>34</v>
      </c>
      <c r="I480">
        <v>11354</v>
      </c>
    </row>
    <row r="481" spans="1:9" x14ac:dyDescent="0.3">
      <c r="A481">
        <v>480</v>
      </c>
      <c r="B481" t="s">
        <v>357</v>
      </c>
      <c r="C481" t="s">
        <v>2050</v>
      </c>
      <c r="D481" t="s">
        <v>5611</v>
      </c>
      <c r="E481" t="s">
        <v>2051</v>
      </c>
      <c r="F481" t="s">
        <v>2052</v>
      </c>
      <c r="G481" t="s">
        <v>1925</v>
      </c>
      <c r="H481" t="s">
        <v>34</v>
      </c>
      <c r="I481">
        <v>12010</v>
      </c>
    </row>
    <row r="482" spans="1:9" x14ac:dyDescent="0.3">
      <c r="A482">
        <v>481</v>
      </c>
      <c r="B482" t="s">
        <v>2053</v>
      </c>
      <c r="C482" t="s">
        <v>2012</v>
      </c>
      <c r="D482" t="s">
        <v>5611</v>
      </c>
      <c r="E482" t="s">
        <v>2054</v>
      </c>
      <c r="F482" t="s">
        <v>2055</v>
      </c>
      <c r="G482" t="s">
        <v>2056</v>
      </c>
      <c r="H482" t="s">
        <v>99</v>
      </c>
      <c r="I482">
        <v>77566</v>
      </c>
    </row>
    <row r="483" spans="1:9" x14ac:dyDescent="0.3">
      <c r="A483">
        <v>482</v>
      </c>
      <c r="B483" t="s">
        <v>2057</v>
      </c>
      <c r="C483" t="s">
        <v>1479</v>
      </c>
      <c r="D483" t="s">
        <v>5611</v>
      </c>
      <c r="E483" t="s">
        <v>2058</v>
      </c>
      <c r="F483" t="s">
        <v>2059</v>
      </c>
      <c r="G483" t="s">
        <v>943</v>
      </c>
      <c r="H483" t="s">
        <v>99</v>
      </c>
      <c r="I483">
        <v>79106</v>
      </c>
    </row>
    <row r="484" spans="1:9" x14ac:dyDescent="0.3">
      <c r="A484">
        <v>483</v>
      </c>
      <c r="B484" t="s">
        <v>2060</v>
      </c>
      <c r="C484" t="s">
        <v>2061</v>
      </c>
      <c r="D484" t="s">
        <v>5611</v>
      </c>
      <c r="E484" t="s">
        <v>2062</v>
      </c>
      <c r="F484" t="s">
        <v>2063</v>
      </c>
      <c r="G484" t="s">
        <v>439</v>
      </c>
      <c r="H484" t="s">
        <v>34</v>
      </c>
      <c r="I484">
        <v>11757</v>
      </c>
    </row>
    <row r="485" spans="1:9" x14ac:dyDescent="0.3">
      <c r="A485">
        <v>484</v>
      </c>
      <c r="B485" t="s">
        <v>1084</v>
      </c>
      <c r="C485" t="s">
        <v>656</v>
      </c>
      <c r="D485" t="s">
        <v>5611</v>
      </c>
      <c r="E485" t="s">
        <v>2064</v>
      </c>
      <c r="F485" t="s">
        <v>2065</v>
      </c>
      <c r="G485" t="s">
        <v>589</v>
      </c>
      <c r="H485" t="s">
        <v>99</v>
      </c>
      <c r="I485">
        <v>76039</v>
      </c>
    </row>
    <row r="486" spans="1:9" x14ac:dyDescent="0.3">
      <c r="A486">
        <v>485</v>
      </c>
      <c r="B486" t="s">
        <v>2066</v>
      </c>
      <c r="C486" t="s">
        <v>2067</v>
      </c>
      <c r="D486" t="s">
        <v>5611</v>
      </c>
      <c r="E486" t="s">
        <v>2068</v>
      </c>
      <c r="F486" t="s">
        <v>2069</v>
      </c>
      <c r="G486" t="s">
        <v>291</v>
      </c>
      <c r="H486" t="s">
        <v>34</v>
      </c>
      <c r="I486">
        <v>11369</v>
      </c>
    </row>
    <row r="487" spans="1:9" x14ac:dyDescent="0.3">
      <c r="A487">
        <v>486</v>
      </c>
      <c r="B487" t="s">
        <v>2070</v>
      </c>
      <c r="C487" t="s">
        <v>1821</v>
      </c>
      <c r="D487" t="s">
        <v>5611</v>
      </c>
      <c r="E487" t="s">
        <v>2071</v>
      </c>
      <c r="F487" t="s">
        <v>2072</v>
      </c>
      <c r="G487" t="s">
        <v>1104</v>
      </c>
      <c r="H487" t="s">
        <v>34</v>
      </c>
      <c r="I487">
        <v>11554</v>
      </c>
    </row>
    <row r="488" spans="1:9" x14ac:dyDescent="0.3">
      <c r="A488">
        <v>487</v>
      </c>
      <c r="B488" t="s">
        <v>2073</v>
      </c>
      <c r="C488" t="s">
        <v>2074</v>
      </c>
      <c r="D488" t="s">
        <v>5611</v>
      </c>
      <c r="E488" t="s">
        <v>2075</v>
      </c>
      <c r="F488" t="s">
        <v>2076</v>
      </c>
      <c r="G488" t="s">
        <v>1140</v>
      </c>
      <c r="H488" t="s">
        <v>40</v>
      </c>
      <c r="I488">
        <v>94806</v>
      </c>
    </row>
    <row r="489" spans="1:9" x14ac:dyDescent="0.3">
      <c r="A489">
        <v>488</v>
      </c>
      <c r="B489" t="s">
        <v>2077</v>
      </c>
      <c r="C489" t="s">
        <v>2078</v>
      </c>
      <c r="D489" t="s">
        <v>2079</v>
      </c>
      <c r="E489" t="s">
        <v>2080</v>
      </c>
      <c r="F489" t="s">
        <v>2081</v>
      </c>
      <c r="G489" t="s">
        <v>564</v>
      </c>
      <c r="H489" t="s">
        <v>40</v>
      </c>
      <c r="I489">
        <v>92806</v>
      </c>
    </row>
    <row r="490" spans="1:9" x14ac:dyDescent="0.3">
      <c r="A490">
        <v>489</v>
      </c>
      <c r="B490" t="s">
        <v>2082</v>
      </c>
      <c r="C490" t="s">
        <v>703</v>
      </c>
      <c r="D490" t="s">
        <v>5611</v>
      </c>
      <c r="E490" t="s">
        <v>2083</v>
      </c>
      <c r="F490" t="s">
        <v>2084</v>
      </c>
      <c r="G490" t="s">
        <v>494</v>
      </c>
      <c r="H490" t="s">
        <v>34</v>
      </c>
      <c r="I490">
        <v>12866</v>
      </c>
    </row>
    <row r="491" spans="1:9" x14ac:dyDescent="0.3">
      <c r="A491">
        <v>490</v>
      </c>
      <c r="B491" t="s">
        <v>2085</v>
      </c>
      <c r="C491" t="s">
        <v>2086</v>
      </c>
      <c r="D491" t="s">
        <v>5611</v>
      </c>
      <c r="E491" t="s">
        <v>2087</v>
      </c>
      <c r="F491" t="s">
        <v>2088</v>
      </c>
      <c r="G491" t="s">
        <v>175</v>
      </c>
      <c r="H491" t="s">
        <v>34</v>
      </c>
      <c r="I491">
        <v>10562</v>
      </c>
    </row>
    <row r="492" spans="1:9" x14ac:dyDescent="0.3">
      <c r="A492">
        <v>491</v>
      </c>
      <c r="B492" t="s">
        <v>2089</v>
      </c>
      <c r="C492" t="s">
        <v>2090</v>
      </c>
      <c r="D492" t="s">
        <v>5611</v>
      </c>
      <c r="E492" t="s">
        <v>2091</v>
      </c>
      <c r="F492" t="s">
        <v>2092</v>
      </c>
      <c r="G492" t="s">
        <v>682</v>
      </c>
      <c r="H492" t="s">
        <v>34</v>
      </c>
      <c r="I492">
        <v>11758</v>
      </c>
    </row>
    <row r="493" spans="1:9" x14ac:dyDescent="0.3">
      <c r="A493">
        <v>492</v>
      </c>
      <c r="B493" t="s">
        <v>2093</v>
      </c>
      <c r="C493" t="s">
        <v>2094</v>
      </c>
      <c r="D493" t="s">
        <v>5611</v>
      </c>
      <c r="E493" t="s">
        <v>2095</v>
      </c>
      <c r="F493" t="s">
        <v>2096</v>
      </c>
      <c r="G493" t="s">
        <v>2097</v>
      </c>
      <c r="H493" t="s">
        <v>34</v>
      </c>
      <c r="I493">
        <v>11368</v>
      </c>
    </row>
    <row r="494" spans="1:9" x14ac:dyDescent="0.3">
      <c r="A494">
        <v>493</v>
      </c>
      <c r="B494" t="s">
        <v>2098</v>
      </c>
      <c r="C494" t="s">
        <v>2099</v>
      </c>
      <c r="D494" t="s">
        <v>5611</v>
      </c>
      <c r="E494" t="s">
        <v>2100</v>
      </c>
      <c r="F494" t="s">
        <v>2101</v>
      </c>
      <c r="G494" t="s">
        <v>660</v>
      </c>
      <c r="H494" t="s">
        <v>34</v>
      </c>
      <c r="I494">
        <v>14075</v>
      </c>
    </row>
    <row r="495" spans="1:9" x14ac:dyDescent="0.3">
      <c r="A495">
        <v>494</v>
      </c>
      <c r="B495" t="s">
        <v>2102</v>
      </c>
      <c r="C495" t="s">
        <v>2103</v>
      </c>
      <c r="D495" t="s">
        <v>5611</v>
      </c>
      <c r="E495" t="s">
        <v>2104</v>
      </c>
      <c r="F495" t="s">
        <v>2105</v>
      </c>
      <c r="G495" t="s">
        <v>50</v>
      </c>
      <c r="H495" t="s">
        <v>34</v>
      </c>
      <c r="I495">
        <v>11553</v>
      </c>
    </row>
    <row r="496" spans="1:9" x14ac:dyDescent="0.3">
      <c r="A496">
        <v>495</v>
      </c>
      <c r="B496" t="s">
        <v>2106</v>
      </c>
      <c r="C496" t="s">
        <v>522</v>
      </c>
      <c r="D496" t="s">
        <v>5611</v>
      </c>
      <c r="E496" t="s">
        <v>2107</v>
      </c>
      <c r="F496" t="s">
        <v>2108</v>
      </c>
      <c r="G496" t="s">
        <v>1714</v>
      </c>
      <c r="H496" t="s">
        <v>40</v>
      </c>
      <c r="I496">
        <v>93635</v>
      </c>
    </row>
    <row r="497" spans="1:9" x14ac:dyDescent="0.3">
      <c r="A497">
        <v>496</v>
      </c>
      <c r="B497" t="s">
        <v>2109</v>
      </c>
      <c r="C497" t="s">
        <v>2110</v>
      </c>
      <c r="D497" t="s">
        <v>5611</v>
      </c>
      <c r="E497" t="s">
        <v>2111</v>
      </c>
      <c r="F497" t="s">
        <v>2112</v>
      </c>
      <c r="G497" t="s">
        <v>224</v>
      </c>
      <c r="H497" t="s">
        <v>34</v>
      </c>
      <c r="I497">
        <v>11102</v>
      </c>
    </row>
    <row r="498" spans="1:9" x14ac:dyDescent="0.3">
      <c r="A498">
        <v>497</v>
      </c>
      <c r="B498" t="s">
        <v>2113</v>
      </c>
      <c r="C498" t="s">
        <v>2114</v>
      </c>
      <c r="D498" t="s">
        <v>5611</v>
      </c>
      <c r="E498" t="s">
        <v>2115</v>
      </c>
      <c r="F498" t="s">
        <v>2116</v>
      </c>
      <c r="G498" t="s">
        <v>1987</v>
      </c>
      <c r="H498" t="s">
        <v>34</v>
      </c>
      <c r="I498">
        <v>10954</v>
      </c>
    </row>
    <row r="499" spans="1:9" x14ac:dyDescent="0.3">
      <c r="A499">
        <v>498</v>
      </c>
      <c r="B499" t="s">
        <v>2117</v>
      </c>
      <c r="C499" t="s">
        <v>2118</v>
      </c>
      <c r="D499" t="s">
        <v>5611</v>
      </c>
      <c r="E499" t="s">
        <v>2119</v>
      </c>
      <c r="F499" t="s">
        <v>2120</v>
      </c>
      <c r="G499" t="s">
        <v>394</v>
      </c>
      <c r="H499" t="s">
        <v>34</v>
      </c>
      <c r="I499">
        <v>14120</v>
      </c>
    </row>
    <row r="500" spans="1:9" x14ac:dyDescent="0.3">
      <c r="A500">
        <v>499</v>
      </c>
      <c r="B500" t="s">
        <v>2121</v>
      </c>
      <c r="C500" t="s">
        <v>2122</v>
      </c>
      <c r="D500" t="s">
        <v>5611</v>
      </c>
      <c r="E500" t="s">
        <v>2123</v>
      </c>
      <c r="F500" t="s">
        <v>2124</v>
      </c>
      <c r="G500" t="s">
        <v>209</v>
      </c>
      <c r="H500" t="s">
        <v>34</v>
      </c>
      <c r="I500">
        <v>13027</v>
      </c>
    </row>
    <row r="501" spans="1:9" x14ac:dyDescent="0.3">
      <c r="A501">
        <v>500</v>
      </c>
      <c r="B501" t="s">
        <v>2125</v>
      </c>
      <c r="C501" t="s">
        <v>2126</v>
      </c>
      <c r="D501" t="s">
        <v>5611</v>
      </c>
      <c r="E501" t="s">
        <v>2127</v>
      </c>
      <c r="F501" t="s">
        <v>2128</v>
      </c>
      <c r="G501" t="s">
        <v>72</v>
      </c>
      <c r="H501" t="s">
        <v>34</v>
      </c>
      <c r="I501">
        <v>11372</v>
      </c>
    </row>
    <row r="502" spans="1:9" x14ac:dyDescent="0.3">
      <c r="A502">
        <v>501</v>
      </c>
      <c r="B502" t="s">
        <v>2129</v>
      </c>
      <c r="C502" t="s">
        <v>2130</v>
      </c>
      <c r="D502" t="s">
        <v>2131</v>
      </c>
      <c r="E502" t="s">
        <v>2132</v>
      </c>
      <c r="F502" t="s">
        <v>2133</v>
      </c>
      <c r="G502" t="s">
        <v>564</v>
      </c>
      <c r="H502" t="s">
        <v>40</v>
      </c>
      <c r="I502">
        <v>92806</v>
      </c>
    </row>
    <row r="503" spans="1:9" x14ac:dyDescent="0.3">
      <c r="A503">
        <v>502</v>
      </c>
      <c r="B503" t="s">
        <v>2134</v>
      </c>
      <c r="C503" t="s">
        <v>2135</v>
      </c>
      <c r="D503" t="s">
        <v>5611</v>
      </c>
      <c r="E503" t="s">
        <v>2136</v>
      </c>
      <c r="F503" t="s">
        <v>2137</v>
      </c>
      <c r="G503" t="s">
        <v>1019</v>
      </c>
      <c r="H503" t="s">
        <v>34</v>
      </c>
      <c r="I503">
        <v>11357</v>
      </c>
    </row>
    <row r="504" spans="1:9" x14ac:dyDescent="0.3">
      <c r="A504">
        <v>503</v>
      </c>
      <c r="B504" t="s">
        <v>2138</v>
      </c>
      <c r="C504" t="s">
        <v>2139</v>
      </c>
      <c r="D504" t="s">
        <v>5611</v>
      </c>
      <c r="E504" t="s">
        <v>2140</v>
      </c>
      <c r="F504" t="s">
        <v>2141</v>
      </c>
      <c r="G504" t="s">
        <v>1148</v>
      </c>
      <c r="H504" t="s">
        <v>34</v>
      </c>
      <c r="I504">
        <v>14304</v>
      </c>
    </row>
    <row r="505" spans="1:9" x14ac:dyDescent="0.3">
      <c r="A505">
        <v>504</v>
      </c>
      <c r="B505" t="s">
        <v>2142</v>
      </c>
      <c r="C505" t="s">
        <v>2143</v>
      </c>
      <c r="D505" t="s">
        <v>5611</v>
      </c>
      <c r="E505" t="s">
        <v>2144</v>
      </c>
      <c r="F505" t="s">
        <v>2145</v>
      </c>
      <c r="G505" t="s">
        <v>468</v>
      </c>
      <c r="H505" t="s">
        <v>34</v>
      </c>
      <c r="I505">
        <v>11010</v>
      </c>
    </row>
    <row r="506" spans="1:9" x14ac:dyDescent="0.3">
      <c r="A506">
        <v>505</v>
      </c>
      <c r="B506" t="s">
        <v>2146</v>
      </c>
      <c r="C506" t="s">
        <v>2147</v>
      </c>
      <c r="D506" t="s">
        <v>5611</v>
      </c>
      <c r="E506" t="s">
        <v>2148</v>
      </c>
      <c r="F506" t="s">
        <v>2149</v>
      </c>
      <c r="G506" t="s">
        <v>976</v>
      </c>
      <c r="H506" t="s">
        <v>34</v>
      </c>
      <c r="I506">
        <v>11432</v>
      </c>
    </row>
    <row r="507" spans="1:9" x14ac:dyDescent="0.3">
      <c r="A507">
        <v>506</v>
      </c>
      <c r="B507" t="s">
        <v>2150</v>
      </c>
      <c r="C507" t="s">
        <v>870</v>
      </c>
      <c r="D507" t="s">
        <v>5611</v>
      </c>
      <c r="E507" t="s">
        <v>2151</v>
      </c>
      <c r="F507" t="s">
        <v>2152</v>
      </c>
      <c r="G507" t="s">
        <v>184</v>
      </c>
      <c r="H507" t="s">
        <v>40</v>
      </c>
      <c r="I507">
        <v>90505</v>
      </c>
    </row>
    <row r="508" spans="1:9" x14ac:dyDescent="0.3">
      <c r="A508">
        <v>507</v>
      </c>
      <c r="B508" t="s">
        <v>2153</v>
      </c>
      <c r="C508" t="s">
        <v>1681</v>
      </c>
      <c r="D508" t="s">
        <v>5611</v>
      </c>
      <c r="E508" t="s">
        <v>2154</v>
      </c>
      <c r="F508" t="s">
        <v>2155</v>
      </c>
      <c r="G508" t="s">
        <v>719</v>
      </c>
      <c r="H508" t="s">
        <v>34</v>
      </c>
      <c r="I508">
        <v>10301</v>
      </c>
    </row>
    <row r="509" spans="1:9" x14ac:dyDescent="0.3">
      <c r="A509">
        <v>508</v>
      </c>
      <c r="B509" t="s">
        <v>1256</v>
      </c>
      <c r="C509" t="s">
        <v>2156</v>
      </c>
      <c r="D509" t="s">
        <v>2157</v>
      </c>
      <c r="E509" t="s">
        <v>2158</v>
      </c>
      <c r="F509" t="s">
        <v>2159</v>
      </c>
      <c r="G509" t="s">
        <v>230</v>
      </c>
      <c r="H509" t="s">
        <v>34</v>
      </c>
      <c r="I509">
        <v>14086</v>
      </c>
    </row>
    <row r="510" spans="1:9" x14ac:dyDescent="0.3">
      <c r="A510">
        <v>509</v>
      </c>
      <c r="B510" t="s">
        <v>2160</v>
      </c>
      <c r="C510" t="s">
        <v>2161</v>
      </c>
      <c r="D510" t="s">
        <v>5611</v>
      </c>
      <c r="E510" t="s">
        <v>2162</v>
      </c>
      <c r="F510" t="s">
        <v>2163</v>
      </c>
      <c r="G510" t="s">
        <v>1925</v>
      </c>
      <c r="H510" t="s">
        <v>34</v>
      </c>
      <c r="I510">
        <v>12010</v>
      </c>
    </row>
    <row r="511" spans="1:9" x14ac:dyDescent="0.3">
      <c r="A511">
        <v>510</v>
      </c>
      <c r="B511" t="s">
        <v>2164</v>
      </c>
      <c r="C511" t="s">
        <v>743</v>
      </c>
      <c r="D511" t="s">
        <v>5611</v>
      </c>
      <c r="E511" t="s">
        <v>2165</v>
      </c>
      <c r="F511" t="s">
        <v>2166</v>
      </c>
      <c r="G511" t="s">
        <v>2167</v>
      </c>
      <c r="H511" t="s">
        <v>34</v>
      </c>
      <c r="I511">
        <v>11419</v>
      </c>
    </row>
    <row r="512" spans="1:9" x14ac:dyDescent="0.3">
      <c r="A512">
        <v>511</v>
      </c>
      <c r="B512" t="s">
        <v>2168</v>
      </c>
      <c r="C512" t="s">
        <v>2169</v>
      </c>
      <c r="D512" t="s">
        <v>2170</v>
      </c>
      <c r="E512" t="s">
        <v>2171</v>
      </c>
      <c r="F512" t="s">
        <v>2172</v>
      </c>
      <c r="G512" t="s">
        <v>2173</v>
      </c>
      <c r="H512" t="s">
        <v>99</v>
      </c>
      <c r="I512">
        <v>76110</v>
      </c>
    </row>
    <row r="513" spans="1:9" x14ac:dyDescent="0.3">
      <c r="A513">
        <v>512</v>
      </c>
      <c r="B513" t="s">
        <v>2174</v>
      </c>
      <c r="C513" t="s">
        <v>1565</v>
      </c>
      <c r="D513" t="s">
        <v>5611</v>
      </c>
      <c r="E513" t="s">
        <v>2175</v>
      </c>
      <c r="F513" t="s">
        <v>2176</v>
      </c>
      <c r="G513" t="s">
        <v>994</v>
      </c>
      <c r="H513" t="s">
        <v>34</v>
      </c>
      <c r="I513">
        <v>11784</v>
      </c>
    </row>
    <row r="514" spans="1:9" x14ac:dyDescent="0.3">
      <c r="A514">
        <v>513</v>
      </c>
      <c r="B514" t="s">
        <v>1073</v>
      </c>
      <c r="C514" t="s">
        <v>2177</v>
      </c>
      <c r="D514" t="s">
        <v>5611</v>
      </c>
      <c r="E514" t="s">
        <v>2178</v>
      </c>
      <c r="F514" t="s">
        <v>2179</v>
      </c>
      <c r="G514" t="s">
        <v>660</v>
      </c>
      <c r="H514" t="s">
        <v>34</v>
      </c>
      <c r="I514">
        <v>14075</v>
      </c>
    </row>
    <row r="515" spans="1:9" x14ac:dyDescent="0.3">
      <c r="A515">
        <v>514</v>
      </c>
      <c r="B515" t="s">
        <v>2180</v>
      </c>
      <c r="C515" t="s">
        <v>2181</v>
      </c>
      <c r="D515" t="s">
        <v>5611</v>
      </c>
      <c r="E515" t="s">
        <v>2182</v>
      </c>
      <c r="F515" t="s">
        <v>2183</v>
      </c>
      <c r="G515" t="s">
        <v>149</v>
      </c>
      <c r="H515" t="s">
        <v>34</v>
      </c>
      <c r="I515">
        <v>11423</v>
      </c>
    </row>
    <row r="516" spans="1:9" x14ac:dyDescent="0.3">
      <c r="A516">
        <v>515</v>
      </c>
      <c r="B516" t="s">
        <v>2184</v>
      </c>
      <c r="C516" t="s">
        <v>2185</v>
      </c>
      <c r="D516" t="s">
        <v>5611</v>
      </c>
      <c r="E516" t="s">
        <v>2186</v>
      </c>
      <c r="F516" t="s">
        <v>2187</v>
      </c>
      <c r="G516" t="s">
        <v>120</v>
      </c>
      <c r="H516" t="s">
        <v>34</v>
      </c>
      <c r="I516">
        <v>10583</v>
      </c>
    </row>
    <row r="517" spans="1:9" x14ac:dyDescent="0.3">
      <c r="A517">
        <v>516</v>
      </c>
      <c r="B517" t="s">
        <v>2188</v>
      </c>
      <c r="C517" t="s">
        <v>2189</v>
      </c>
      <c r="D517" t="s">
        <v>5611</v>
      </c>
      <c r="E517" t="s">
        <v>2190</v>
      </c>
      <c r="F517" t="s">
        <v>2191</v>
      </c>
      <c r="G517" t="s">
        <v>981</v>
      </c>
      <c r="H517" t="s">
        <v>34</v>
      </c>
      <c r="I517">
        <v>11201</v>
      </c>
    </row>
    <row r="518" spans="1:9" x14ac:dyDescent="0.3">
      <c r="A518">
        <v>517</v>
      </c>
      <c r="B518" t="s">
        <v>1003</v>
      </c>
      <c r="C518" t="s">
        <v>2192</v>
      </c>
      <c r="D518" t="s">
        <v>5611</v>
      </c>
      <c r="E518" t="s">
        <v>2193</v>
      </c>
      <c r="F518" t="s">
        <v>2194</v>
      </c>
      <c r="G518" t="s">
        <v>1241</v>
      </c>
      <c r="H518" t="s">
        <v>34</v>
      </c>
      <c r="I518">
        <v>11710</v>
      </c>
    </row>
    <row r="519" spans="1:9" x14ac:dyDescent="0.3">
      <c r="A519">
        <v>518</v>
      </c>
      <c r="B519" t="s">
        <v>2195</v>
      </c>
      <c r="C519" t="s">
        <v>1592</v>
      </c>
      <c r="D519" t="s">
        <v>5611</v>
      </c>
      <c r="E519" t="s">
        <v>2196</v>
      </c>
      <c r="F519" t="s">
        <v>2197</v>
      </c>
      <c r="G519" t="s">
        <v>200</v>
      </c>
      <c r="H519" t="s">
        <v>40</v>
      </c>
      <c r="I519">
        <v>90274</v>
      </c>
    </row>
    <row r="520" spans="1:9" x14ac:dyDescent="0.3">
      <c r="A520">
        <v>519</v>
      </c>
      <c r="B520" t="s">
        <v>2198</v>
      </c>
      <c r="C520" t="s">
        <v>787</v>
      </c>
      <c r="D520" t="s">
        <v>5611</v>
      </c>
      <c r="E520" t="s">
        <v>2199</v>
      </c>
      <c r="F520" t="s">
        <v>2200</v>
      </c>
      <c r="G520" t="s">
        <v>200</v>
      </c>
      <c r="H520" t="s">
        <v>40</v>
      </c>
      <c r="I520">
        <v>90274</v>
      </c>
    </row>
    <row r="521" spans="1:9" x14ac:dyDescent="0.3">
      <c r="A521">
        <v>520</v>
      </c>
      <c r="B521" t="s">
        <v>2201</v>
      </c>
      <c r="C521" t="s">
        <v>2008</v>
      </c>
      <c r="D521" t="s">
        <v>5611</v>
      </c>
      <c r="E521" t="s">
        <v>2202</v>
      </c>
      <c r="F521" t="s">
        <v>2203</v>
      </c>
      <c r="G521" t="s">
        <v>1524</v>
      </c>
      <c r="H521" t="s">
        <v>34</v>
      </c>
      <c r="I521">
        <v>10550</v>
      </c>
    </row>
    <row r="522" spans="1:9" x14ac:dyDescent="0.3">
      <c r="A522">
        <v>521</v>
      </c>
      <c r="B522" t="s">
        <v>2204</v>
      </c>
      <c r="C522" t="s">
        <v>889</v>
      </c>
      <c r="D522" t="s">
        <v>5611</v>
      </c>
      <c r="E522" t="s">
        <v>2205</v>
      </c>
      <c r="F522" t="s">
        <v>2206</v>
      </c>
      <c r="G522" t="s">
        <v>2207</v>
      </c>
      <c r="H522" t="s">
        <v>34</v>
      </c>
      <c r="I522">
        <v>11542</v>
      </c>
    </row>
    <row r="523" spans="1:9" x14ac:dyDescent="0.3">
      <c r="A523">
        <v>522</v>
      </c>
      <c r="B523" t="s">
        <v>2208</v>
      </c>
      <c r="C523" t="s">
        <v>441</v>
      </c>
      <c r="D523" t="s">
        <v>2209</v>
      </c>
      <c r="E523" t="s">
        <v>2210</v>
      </c>
      <c r="F523" t="s">
        <v>2211</v>
      </c>
      <c r="G523" t="s">
        <v>190</v>
      </c>
      <c r="H523" t="s">
        <v>40</v>
      </c>
      <c r="I523">
        <v>94603</v>
      </c>
    </row>
    <row r="524" spans="1:9" x14ac:dyDescent="0.3">
      <c r="A524">
        <v>523</v>
      </c>
      <c r="B524" t="s">
        <v>2212</v>
      </c>
      <c r="C524" t="s">
        <v>2213</v>
      </c>
      <c r="D524" t="s">
        <v>5611</v>
      </c>
      <c r="E524" t="s">
        <v>2214</v>
      </c>
      <c r="F524" t="s">
        <v>2215</v>
      </c>
      <c r="G524" t="s">
        <v>1055</v>
      </c>
      <c r="H524" t="s">
        <v>34</v>
      </c>
      <c r="I524">
        <v>11772</v>
      </c>
    </row>
    <row r="525" spans="1:9" x14ac:dyDescent="0.3">
      <c r="A525">
        <v>524</v>
      </c>
      <c r="B525" t="s">
        <v>2216</v>
      </c>
      <c r="C525" t="s">
        <v>2217</v>
      </c>
      <c r="D525" t="s">
        <v>5611</v>
      </c>
      <c r="E525" t="s">
        <v>2218</v>
      </c>
      <c r="F525" t="s">
        <v>2219</v>
      </c>
      <c r="G525" t="s">
        <v>301</v>
      </c>
      <c r="H525" t="s">
        <v>34</v>
      </c>
      <c r="I525">
        <v>13501</v>
      </c>
    </row>
    <row r="526" spans="1:9" x14ac:dyDescent="0.3">
      <c r="A526">
        <v>525</v>
      </c>
      <c r="B526" t="s">
        <v>2201</v>
      </c>
      <c r="C526" t="s">
        <v>2220</v>
      </c>
      <c r="D526" t="s">
        <v>5611</v>
      </c>
      <c r="E526" t="s">
        <v>2221</v>
      </c>
      <c r="F526" t="s">
        <v>2222</v>
      </c>
      <c r="G526" t="s">
        <v>1856</v>
      </c>
      <c r="H526" t="s">
        <v>34</v>
      </c>
      <c r="I526">
        <v>10801</v>
      </c>
    </row>
    <row r="527" spans="1:9" x14ac:dyDescent="0.3">
      <c r="A527">
        <v>526</v>
      </c>
      <c r="B527" t="s">
        <v>2223</v>
      </c>
      <c r="C527" t="s">
        <v>2224</v>
      </c>
      <c r="D527" t="s">
        <v>5611</v>
      </c>
      <c r="E527" t="s">
        <v>2225</v>
      </c>
      <c r="F527" t="s">
        <v>2226</v>
      </c>
      <c r="G527" t="s">
        <v>134</v>
      </c>
      <c r="H527" t="s">
        <v>99</v>
      </c>
      <c r="I527">
        <v>77478</v>
      </c>
    </row>
    <row r="528" spans="1:9" x14ac:dyDescent="0.3">
      <c r="A528">
        <v>527</v>
      </c>
      <c r="B528" t="s">
        <v>2227</v>
      </c>
      <c r="C528" t="s">
        <v>1150</v>
      </c>
      <c r="D528" t="s">
        <v>5611</v>
      </c>
      <c r="E528" t="s">
        <v>2228</v>
      </c>
      <c r="F528" t="s">
        <v>2229</v>
      </c>
      <c r="G528" t="s">
        <v>665</v>
      </c>
      <c r="H528" t="s">
        <v>34</v>
      </c>
      <c r="I528">
        <v>11727</v>
      </c>
    </row>
    <row r="529" spans="1:9" x14ac:dyDescent="0.3">
      <c r="A529">
        <v>528</v>
      </c>
      <c r="B529" t="s">
        <v>2230</v>
      </c>
      <c r="C529" t="s">
        <v>2231</v>
      </c>
      <c r="D529" t="s">
        <v>2232</v>
      </c>
      <c r="E529" t="s">
        <v>2233</v>
      </c>
      <c r="F529" t="s">
        <v>2234</v>
      </c>
      <c r="G529" t="s">
        <v>2235</v>
      </c>
      <c r="H529" t="s">
        <v>34</v>
      </c>
      <c r="I529">
        <v>10956</v>
      </c>
    </row>
    <row r="530" spans="1:9" x14ac:dyDescent="0.3">
      <c r="A530">
        <v>529</v>
      </c>
      <c r="B530" t="s">
        <v>2236</v>
      </c>
      <c r="C530" t="s">
        <v>2237</v>
      </c>
      <c r="D530" t="s">
        <v>5611</v>
      </c>
      <c r="E530" t="s">
        <v>2238</v>
      </c>
      <c r="F530" t="s">
        <v>2239</v>
      </c>
      <c r="G530" t="s">
        <v>2240</v>
      </c>
      <c r="H530" t="s">
        <v>40</v>
      </c>
      <c r="I530">
        <v>90403</v>
      </c>
    </row>
    <row r="531" spans="1:9" x14ac:dyDescent="0.3">
      <c r="A531">
        <v>530</v>
      </c>
      <c r="B531" t="s">
        <v>2241</v>
      </c>
      <c r="C531" t="s">
        <v>2242</v>
      </c>
      <c r="D531" t="s">
        <v>5611</v>
      </c>
      <c r="E531" t="s">
        <v>2243</v>
      </c>
      <c r="F531" t="s">
        <v>2244</v>
      </c>
      <c r="G531" t="s">
        <v>454</v>
      </c>
      <c r="H531" t="s">
        <v>40</v>
      </c>
      <c r="I531">
        <v>91010</v>
      </c>
    </row>
    <row r="532" spans="1:9" x14ac:dyDescent="0.3">
      <c r="A532">
        <v>531</v>
      </c>
      <c r="B532" t="s">
        <v>2245</v>
      </c>
      <c r="C532" t="s">
        <v>2246</v>
      </c>
      <c r="D532" t="s">
        <v>2247</v>
      </c>
      <c r="E532" t="s">
        <v>2248</v>
      </c>
      <c r="F532" t="s">
        <v>2249</v>
      </c>
      <c r="G532" t="s">
        <v>485</v>
      </c>
      <c r="H532" t="s">
        <v>34</v>
      </c>
      <c r="I532">
        <v>12180</v>
      </c>
    </row>
    <row r="533" spans="1:9" x14ac:dyDescent="0.3">
      <c r="A533">
        <v>532</v>
      </c>
      <c r="B533" t="s">
        <v>2250</v>
      </c>
      <c r="C533" t="s">
        <v>2251</v>
      </c>
      <c r="D533" t="s">
        <v>5611</v>
      </c>
      <c r="E533" t="s">
        <v>2252</v>
      </c>
      <c r="F533" t="s">
        <v>2253</v>
      </c>
      <c r="G533" t="s">
        <v>430</v>
      </c>
      <c r="H533" t="s">
        <v>40</v>
      </c>
      <c r="I533">
        <v>92236</v>
      </c>
    </row>
    <row r="534" spans="1:9" x14ac:dyDescent="0.3">
      <c r="A534">
        <v>533</v>
      </c>
      <c r="B534" t="s">
        <v>2254</v>
      </c>
      <c r="C534" t="s">
        <v>2255</v>
      </c>
      <c r="D534" t="s">
        <v>2256</v>
      </c>
      <c r="E534" t="s">
        <v>2257</v>
      </c>
      <c r="F534" t="s">
        <v>2258</v>
      </c>
      <c r="G534" t="s">
        <v>621</v>
      </c>
      <c r="H534" t="s">
        <v>99</v>
      </c>
      <c r="I534">
        <v>78418</v>
      </c>
    </row>
    <row r="535" spans="1:9" x14ac:dyDescent="0.3">
      <c r="A535">
        <v>534</v>
      </c>
      <c r="B535" t="s">
        <v>2259</v>
      </c>
      <c r="C535" t="s">
        <v>2260</v>
      </c>
      <c r="D535" t="s">
        <v>5611</v>
      </c>
      <c r="E535" t="s">
        <v>2261</v>
      </c>
      <c r="F535" t="s">
        <v>2262</v>
      </c>
      <c r="G535" t="s">
        <v>1590</v>
      </c>
      <c r="H535" t="s">
        <v>34</v>
      </c>
      <c r="I535">
        <v>11793</v>
      </c>
    </row>
    <row r="536" spans="1:9" x14ac:dyDescent="0.3">
      <c r="A536">
        <v>535</v>
      </c>
      <c r="B536" t="s">
        <v>2263</v>
      </c>
      <c r="C536" t="s">
        <v>2264</v>
      </c>
      <c r="D536" t="s">
        <v>2265</v>
      </c>
      <c r="E536" t="s">
        <v>2266</v>
      </c>
      <c r="F536" t="s">
        <v>2267</v>
      </c>
      <c r="G536" t="s">
        <v>165</v>
      </c>
      <c r="H536" t="s">
        <v>34</v>
      </c>
      <c r="I536">
        <v>11561</v>
      </c>
    </row>
    <row r="537" spans="1:9" x14ac:dyDescent="0.3">
      <c r="A537">
        <v>536</v>
      </c>
      <c r="B537" t="s">
        <v>2268</v>
      </c>
      <c r="C537" t="s">
        <v>2269</v>
      </c>
      <c r="D537" t="s">
        <v>5611</v>
      </c>
      <c r="E537" t="s">
        <v>2270</v>
      </c>
      <c r="F537" t="s">
        <v>2271</v>
      </c>
      <c r="G537" t="s">
        <v>33</v>
      </c>
      <c r="H537" t="s">
        <v>34</v>
      </c>
      <c r="I537">
        <v>14127</v>
      </c>
    </row>
    <row r="538" spans="1:9" x14ac:dyDescent="0.3">
      <c r="A538">
        <v>537</v>
      </c>
      <c r="B538" t="s">
        <v>247</v>
      </c>
      <c r="C538" t="s">
        <v>2272</v>
      </c>
      <c r="D538" t="s">
        <v>5611</v>
      </c>
      <c r="E538" t="s">
        <v>2273</v>
      </c>
      <c r="F538" t="s">
        <v>2274</v>
      </c>
      <c r="G538" t="s">
        <v>1781</v>
      </c>
      <c r="H538" t="s">
        <v>34</v>
      </c>
      <c r="I538">
        <v>10512</v>
      </c>
    </row>
    <row r="539" spans="1:9" x14ac:dyDescent="0.3">
      <c r="A539">
        <v>538</v>
      </c>
      <c r="B539" t="s">
        <v>2275</v>
      </c>
      <c r="C539" t="s">
        <v>2276</v>
      </c>
      <c r="D539" t="s">
        <v>5611</v>
      </c>
      <c r="E539" t="s">
        <v>2277</v>
      </c>
      <c r="F539" t="s">
        <v>2278</v>
      </c>
      <c r="G539" t="s">
        <v>385</v>
      </c>
      <c r="H539" t="s">
        <v>40</v>
      </c>
      <c r="I539">
        <v>91733</v>
      </c>
    </row>
    <row r="540" spans="1:9" x14ac:dyDescent="0.3">
      <c r="A540">
        <v>539</v>
      </c>
      <c r="B540" t="s">
        <v>2279</v>
      </c>
      <c r="C540" t="s">
        <v>2280</v>
      </c>
      <c r="D540" t="s">
        <v>5611</v>
      </c>
      <c r="E540" t="s">
        <v>2281</v>
      </c>
      <c r="F540" t="s">
        <v>2282</v>
      </c>
      <c r="G540" t="s">
        <v>1259</v>
      </c>
      <c r="H540" t="s">
        <v>34</v>
      </c>
      <c r="I540">
        <v>11417</v>
      </c>
    </row>
    <row r="541" spans="1:9" x14ac:dyDescent="0.3">
      <c r="A541">
        <v>540</v>
      </c>
      <c r="B541" t="s">
        <v>2283</v>
      </c>
      <c r="C541" t="s">
        <v>1292</v>
      </c>
      <c r="D541" t="s">
        <v>5611</v>
      </c>
      <c r="E541" t="s">
        <v>2284</v>
      </c>
      <c r="F541" t="s">
        <v>2285</v>
      </c>
      <c r="G541" t="s">
        <v>2286</v>
      </c>
      <c r="H541" t="s">
        <v>40</v>
      </c>
      <c r="I541">
        <v>91762</v>
      </c>
    </row>
    <row r="542" spans="1:9" x14ac:dyDescent="0.3">
      <c r="A542">
        <v>541</v>
      </c>
      <c r="B542" t="s">
        <v>2287</v>
      </c>
      <c r="C542" t="s">
        <v>2288</v>
      </c>
      <c r="D542" t="s">
        <v>5611</v>
      </c>
      <c r="E542" t="s">
        <v>2289</v>
      </c>
      <c r="F542" t="s">
        <v>2290</v>
      </c>
      <c r="G542" t="s">
        <v>430</v>
      </c>
      <c r="H542" t="s">
        <v>40</v>
      </c>
      <c r="I542">
        <v>92236</v>
      </c>
    </row>
    <row r="543" spans="1:9" x14ac:dyDescent="0.3">
      <c r="A543">
        <v>542</v>
      </c>
      <c r="B543" t="s">
        <v>2291</v>
      </c>
      <c r="C543" t="s">
        <v>698</v>
      </c>
      <c r="D543" t="s">
        <v>5611</v>
      </c>
      <c r="E543" t="s">
        <v>2292</v>
      </c>
      <c r="F543" t="s">
        <v>2293</v>
      </c>
      <c r="G543" t="s">
        <v>1272</v>
      </c>
      <c r="H543" t="s">
        <v>34</v>
      </c>
      <c r="I543">
        <v>11779</v>
      </c>
    </row>
    <row r="544" spans="1:9" x14ac:dyDescent="0.3">
      <c r="A544">
        <v>543</v>
      </c>
      <c r="B544" t="s">
        <v>2294</v>
      </c>
      <c r="C544" t="s">
        <v>2118</v>
      </c>
      <c r="D544" t="s">
        <v>5611</v>
      </c>
      <c r="E544" t="s">
        <v>2295</v>
      </c>
      <c r="F544" t="s">
        <v>2296</v>
      </c>
      <c r="G544" t="s">
        <v>759</v>
      </c>
      <c r="H544" t="s">
        <v>99</v>
      </c>
      <c r="I544">
        <v>78023</v>
      </c>
    </row>
    <row r="545" spans="1:9" x14ac:dyDescent="0.3">
      <c r="A545">
        <v>544</v>
      </c>
      <c r="B545" t="s">
        <v>2297</v>
      </c>
      <c r="C545" t="s">
        <v>2298</v>
      </c>
      <c r="D545" t="s">
        <v>5611</v>
      </c>
      <c r="E545" t="s">
        <v>2299</v>
      </c>
      <c r="F545" t="s">
        <v>2300</v>
      </c>
      <c r="G545" t="s">
        <v>769</v>
      </c>
      <c r="H545" t="s">
        <v>34</v>
      </c>
      <c r="I545">
        <v>11795</v>
      </c>
    </row>
    <row r="546" spans="1:9" x14ac:dyDescent="0.3">
      <c r="A546">
        <v>545</v>
      </c>
      <c r="B546" t="s">
        <v>2301</v>
      </c>
      <c r="C546" t="s">
        <v>1534</v>
      </c>
      <c r="D546" t="s">
        <v>5611</v>
      </c>
      <c r="E546" t="s">
        <v>2302</v>
      </c>
      <c r="F546" t="s">
        <v>2303</v>
      </c>
      <c r="G546" t="s">
        <v>449</v>
      </c>
      <c r="H546" t="s">
        <v>34</v>
      </c>
      <c r="I546">
        <v>13126</v>
      </c>
    </row>
    <row r="547" spans="1:9" x14ac:dyDescent="0.3">
      <c r="A547">
        <v>546</v>
      </c>
      <c r="B547" t="s">
        <v>2304</v>
      </c>
      <c r="C547" t="s">
        <v>2305</v>
      </c>
      <c r="D547" t="s">
        <v>2306</v>
      </c>
      <c r="E547" t="s">
        <v>2307</v>
      </c>
      <c r="F547" t="s">
        <v>2308</v>
      </c>
      <c r="G547" t="s">
        <v>1078</v>
      </c>
      <c r="H547" t="s">
        <v>34</v>
      </c>
      <c r="I547">
        <v>11717</v>
      </c>
    </row>
    <row r="548" spans="1:9" x14ac:dyDescent="0.3">
      <c r="A548">
        <v>547</v>
      </c>
      <c r="B548" t="s">
        <v>475</v>
      </c>
      <c r="C548" t="s">
        <v>2309</v>
      </c>
      <c r="D548" t="s">
        <v>5611</v>
      </c>
      <c r="E548" t="s">
        <v>2310</v>
      </c>
      <c r="F548" t="s">
        <v>2311</v>
      </c>
      <c r="G548" t="s">
        <v>634</v>
      </c>
      <c r="H548" t="s">
        <v>34</v>
      </c>
      <c r="I548">
        <v>12550</v>
      </c>
    </row>
    <row r="549" spans="1:9" x14ac:dyDescent="0.3">
      <c r="A549">
        <v>548</v>
      </c>
      <c r="B549" t="s">
        <v>2312</v>
      </c>
      <c r="C549" t="s">
        <v>1466</v>
      </c>
      <c r="D549" t="s">
        <v>5611</v>
      </c>
      <c r="E549" t="s">
        <v>2313</v>
      </c>
      <c r="F549" t="s">
        <v>2314</v>
      </c>
      <c r="G549" t="s">
        <v>1246</v>
      </c>
      <c r="H549" t="s">
        <v>34</v>
      </c>
      <c r="I549">
        <v>12401</v>
      </c>
    </row>
    <row r="550" spans="1:9" x14ac:dyDescent="0.3">
      <c r="A550">
        <v>549</v>
      </c>
      <c r="B550" t="s">
        <v>2315</v>
      </c>
      <c r="C550" t="s">
        <v>2316</v>
      </c>
      <c r="D550" t="s">
        <v>2317</v>
      </c>
      <c r="E550" t="s">
        <v>2318</v>
      </c>
      <c r="F550" t="s">
        <v>2319</v>
      </c>
      <c r="G550" t="s">
        <v>165</v>
      </c>
      <c r="H550" t="s">
        <v>34</v>
      </c>
      <c r="I550">
        <v>11561</v>
      </c>
    </row>
    <row r="551" spans="1:9" x14ac:dyDescent="0.3">
      <c r="A551">
        <v>550</v>
      </c>
      <c r="B551" t="s">
        <v>2320</v>
      </c>
      <c r="C551" t="s">
        <v>192</v>
      </c>
      <c r="D551" t="s">
        <v>5611</v>
      </c>
      <c r="E551" t="s">
        <v>2321</v>
      </c>
      <c r="F551" t="s">
        <v>2322</v>
      </c>
      <c r="G551" t="s">
        <v>646</v>
      </c>
      <c r="H551" t="s">
        <v>34</v>
      </c>
      <c r="I551">
        <v>14094</v>
      </c>
    </row>
    <row r="552" spans="1:9" x14ac:dyDescent="0.3">
      <c r="A552">
        <v>551</v>
      </c>
      <c r="B552" t="s">
        <v>2323</v>
      </c>
      <c r="C552" t="s">
        <v>2324</v>
      </c>
      <c r="D552" t="s">
        <v>2325</v>
      </c>
      <c r="E552" t="s">
        <v>2326</v>
      </c>
      <c r="F552" t="s">
        <v>2327</v>
      </c>
      <c r="G552" t="s">
        <v>2173</v>
      </c>
      <c r="H552" t="s">
        <v>99</v>
      </c>
      <c r="I552">
        <v>76110</v>
      </c>
    </row>
    <row r="553" spans="1:9" x14ac:dyDescent="0.3">
      <c r="A553">
        <v>552</v>
      </c>
      <c r="B553" t="s">
        <v>2328</v>
      </c>
      <c r="C553" t="s">
        <v>2329</v>
      </c>
      <c r="D553" t="s">
        <v>5611</v>
      </c>
      <c r="E553" t="s">
        <v>2330</v>
      </c>
      <c r="F553" t="s">
        <v>2331</v>
      </c>
      <c r="G553" t="s">
        <v>774</v>
      </c>
      <c r="H553" t="s">
        <v>40</v>
      </c>
      <c r="I553">
        <v>92220</v>
      </c>
    </row>
    <row r="554" spans="1:9" x14ac:dyDescent="0.3">
      <c r="A554">
        <v>553</v>
      </c>
      <c r="B554" t="s">
        <v>2332</v>
      </c>
      <c r="C554" t="s">
        <v>1635</v>
      </c>
      <c r="D554" t="s">
        <v>5611</v>
      </c>
      <c r="E554" t="s">
        <v>2333</v>
      </c>
      <c r="F554" t="s">
        <v>2334</v>
      </c>
      <c r="G554" t="s">
        <v>372</v>
      </c>
      <c r="H554" t="s">
        <v>40</v>
      </c>
      <c r="I554">
        <v>95677</v>
      </c>
    </row>
    <row r="555" spans="1:9" x14ac:dyDescent="0.3">
      <c r="A555">
        <v>554</v>
      </c>
      <c r="B555" t="s">
        <v>2335</v>
      </c>
      <c r="C555" t="s">
        <v>1873</v>
      </c>
      <c r="D555" t="s">
        <v>5611</v>
      </c>
      <c r="E555" t="s">
        <v>2336</v>
      </c>
      <c r="F555" t="s">
        <v>2337</v>
      </c>
      <c r="G555" t="s">
        <v>39</v>
      </c>
      <c r="H555" t="s">
        <v>40</v>
      </c>
      <c r="I555">
        <v>95008</v>
      </c>
    </row>
    <row r="556" spans="1:9" x14ac:dyDescent="0.3">
      <c r="A556">
        <v>555</v>
      </c>
      <c r="B556" t="s">
        <v>2338</v>
      </c>
      <c r="C556" t="s">
        <v>2339</v>
      </c>
      <c r="D556" t="s">
        <v>5611</v>
      </c>
      <c r="E556" t="s">
        <v>2340</v>
      </c>
      <c r="F556" t="s">
        <v>2341</v>
      </c>
      <c r="G556" t="s">
        <v>104</v>
      </c>
      <c r="H556" t="s">
        <v>99</v>
      </c>
      <c r="I556">
        <v>75126</v>
      </c>
    </row>
    <row r="557" spans="1:9" x14ac:dyDescent="0.3">
      <c r="A557">
        <v>556</v>
      </c>
      <c r="B557" t="s">
        <v>2342</v>
      </c>
      <c r="C557" t="s">
        <v>410</v>
      </c>
      <c r="D557" t="s">
        <v>5611</v>
      </c>
      <c r="E557" t="s">
        <v>2343</v>
      </c>
      <c r="F557" t="s">
        <v>2344</v>
      </c>
      <c r="G557" t="s">
        <v>82</v>
      </c>
      <c r="H557" t="s">
        <v>34</v>
      </c>
      <c r="I557">
        <v>10950</v>
      </c>
    </row>
    <row r="558" spans="1:9" x14ac:dyDescent="0.3">
      <c r="A558">
        <v>557</v>
      </c>
      <c r="B558" t="s">
        <v>2345</v>
      </c>
      <c r="C558" t="s">
        <v>2346</v>
      </c>
      <c r="D558" t="s">
        <v>5611</v>
      </c>
      <c r="E558" t="s">
        <v>2347</v>
      </c>
      <c r="F558" t="s">
        <v>2348</v>
      </c>
      <c r="G558" t="s">
        <v>1524</v>
      </c>
      <c r="H558" t="s">
        <v>34</v>
      </c>
      <c r="I558">
        <v>10550</v>
      </c>
    </row>
    <row r="559" spans="1:9" x14ac:dyDescent="0.3">
      <c r="A559">
        <v>558</v>
      </c>
      <c r="B559" t="s">
        <v>1413</v>
      </c>
      <c r="C559" t="s">
        <v>2349</v>
      </c>
      <c r="D559" t="s">
        <v>5611</v>
      </c>
      <c r="E559" t="s">
        <v>2350</v>
      </c>
      <c r="F559" t="s">
        <v>2351</v>
      </c>
      <c r="G559" t="s">
        <v>82</v>
      </c>
      <c r="H559" t="s">
        <v>34</v>
      </c>
      <c r="I559">
        <v>10950</v>
      </c>
    </row>
    <row r="560" spans="1:9" x14ac:dyDescent="0.3">
      <c r="A560">
        <v>559</v>
      </c>
      <c r="B560" t="s">
        <v>2352</v>
      </c>
      <c r="C560" t="s">
        <v>2353</v>
      </c>
      <c r="D560" t="s">
        <v>2354</v>
      </c>
      <c r="E560" t="s">
        <v>2355</v>
      </c>
      <c r="F560" t="s">
        <v>2356</v>
      </c>
      <c r="G560" t="s">
        <v>1078</v>
      </c>
      <c r="H560" t="s">
        <v>34</v>
      </c>
      <c r="I560">
        <v>11717</v>
      </c>
    </row>
    <row r="561" spans="1:9" x14ac:dyDescent="0.3">
      <c r="A561">
        <v>560</v>
      </c>
      <c r="B561" t="s">
        <v>2357</v>
      </c>
      <c r="C561" t="s">
        <v>2358</v>
      </c>
      <c r="D561" t="s">
        <v>5611</v>
      </c>
      <c r="E561" t="s">
        <v>2359</v>
      </c>
      <c r="F561" t="s">
        <v>2360</v>
      </c>
      <c r="G561" t="s">
        <v>104</v>
      </c>
      <c r="H561" t="s">
        <v>99</v>
      </c>
      <c r="I561">
        <v>75126</v>
      </c>
    </row>
    <row r="562" spans="1:9" x14ac:dyDescent="0.3">
      <c r="A562">
        <v>561</v>
      </c>
      <c r="B562" t="s">
        <v>1586</v>
      </c>
      <c r="C562" t="s">
        <v>2361</v>
      </c>
      <c r="D562" t="s">
        <v>5611</v>
      </c>
      <c r="E562" t="s">
        <v>2362</v>
      </c>
      <c r="F562" t="s">
        <v>2363</v>
      </c>
      <c r="G562" t="s">
        <v>270</v>
      </c>
      <c r="H562" t="s">
        <v>40</v>
      </c>
      <c r="I562">
        <v>94580</v>
      </c>
    </row>
    <row r="563" spans="1:9" x14ac:dyDescent="0.3">
      <c r="A563">
        <v>562</v>
      </c>
      <c r="B563" t="s">
        <v>2259</v>
      </c>
      <c r="C563" t="s">
        <v>2364</v>
      </c>
      <c r="D563" t="s">
        <v>5611</v>
      </c>
      <c r="E563" t="s">
        <v>2365</v>
      </c>
      <c r="F563" t="s">
        <v>2366</v>
      </c>
      <c r="G563" t="s">
        <v>463</v>
      </c>
      <c r="H563" t="s">
        <v>40</v>
      </c>
      <c r="I563">
        <v>91784</v>
      </c>
    </row>
    <row r="564" spans="1:9" x14ac:dyDescent="0.3">
      <c r="A564">
        <v>563</v>
      </c>
      <c r="B564" t="s">
        <v>2367</v>
      </c>
      <c r="C564" t="s">
        <v>747</v>
      </c>
      <c r="D564" t="s">
        <v>5611</v>
      </c>
      <c r="E564" t="s">
        <v>2368</v>
      </c>
      <c r="F564" t="s">
        <v>2369</v>
      </c>
      <c r="G564" t="s">
        <v>245</v>
      </c>
      <c r="H564" t="s">
        <v>34</v>
      </c>
      <c r="I564">
        <v>11418</v>
      </c>
    </row>
    <row r="565" spans="1:9" x14ac:dyDescent="0.3">
      <c r="A565">
        <v>564</v>
      </c>
      <c r="B565" t="s">
        <v>1470</v>
      </c>
      <c r="C565" t="s">
        <v>2370</v>
      </c>
      <c r="D565" t="s">
        <v>5611</v>
      </c>
      <c r="E565" t="s">
        <v>2371</v>
      </c>
      <c r="F565" t="s">
        <v>2372</v>
      </c>
      <c r="G565" t="s">
        <v>479</v>
      </c>
      <c r="H565" t="s">
        <v>34</v>
      </c>
      <c r="I565">
        <v>11735</v>
      </c>
    </row>
    <row r="566" spans="1:9" x14ac:dyDescent="0.3">
      <c r="A566">
        <v>565</v>
      </c>
      <c r="B566" t="s">
        <v>2373</v>
      </c>
      <c r="C566" t="s">
        <v>2374</v>
      </c>
      <c r="D566" t="s">
        <v>5611</v>
      </c>
      <c r="E566" t="s">
        <v>2375</v>
      </c>
      <c r="F566" t="s">
        <v>2376</v>
      </c>
      <c r="G566" t="s">
        <v>333</v>
      </c>
      <c r="H566" t="s">
        <v>99</v>
      </c>
      <c r="I566">
        <v>76901</v>
      </c>
    </row>
    <row r="567" spans="1:9" x14ac:dyDescent="0.3">
      <c r="A567">
        <v>566</v>
      </c>
      <c r="B567" t="s">
        <v>2377</v>
      </c>
      <c r="C567" t="s">
        <v>2378</v>
      </c>
      <c r="D567" t="s">
        <v>5611</v>
      </c>
      <c r="E567" t="s">
        <v>2379</v>
      </c>
      <c r="F567" t="s">
        <v>2380</v>
      </c>
      <c r="G567" t="s">
        <v>2056</v>
      </c>
      <c r="H567" t="s">
        <v>99</v>
      </c>
      <c r="I567">
        <v>77566</v>
      </c>
    </row>
    <row r="568" spans="1:9" x14ac:dyDescent="0.3">
      <c r="A568">
        <v>567</v>
      </c>
      <c r="B568" t="s">
        <v>2381</v>
      </c>
      <c r="C568" t="s">
        <v>2106</v>
      </c>
      <c r="D568" t="s">
        <v>5611</v>
      </c>
      <c r="E568" t="s">
        <v>2382</v>
      </c>
      <c r="F568" t="s">
        <v>2383</v>
      </c>
      <c r="G568" t="s">
        <v>98</v>
      </c>
      <c r="H568" t="s">
        <v>99</v>
      </c>
      <c r="I568">
        <v>75604</v>
      </c>
    </row>
    <row r="569" spans="1:9" x14ac:dyDescent="0.3">
      <c r="A569">
        <v>568</v>
      </c>
      <c r="B569" t="s">
        <v>2384</v>
      </c>
      <c r="C569" t="s">
        <v>586</v>
      </c>
      <c r="D569" t="s">
        <v>5611</v>
      </c>
      <c r="E569" t="s">
        <v>2385</v>
      </c>
      <c r="F569" t="s">
        <v>2386</v>
      </c>
      <c r="G569" t="s">
        <v>769</v>
      </c>
      <c r="H569" t="s">
        <v>34</v>
      </c>
      <c r="I569">
        <v>11795</v>
      </c>
    </row>
    <row r="570" spans="1:9" x14ac:dyDescent="0.3">
      <c r="A570">
        <v>569</v>
      </c>
      <c r="B570" t="s">
        <v>2387</v>
      </c>
      <c r="C570" t="s">
        <v>1074</v>
      </c>
      <c r="D570" t="s">
        <v>5611</v>
      </c>
      <c r="E570" t="s">
        <v>2388</v>
      </c>
      <c r="F570" t="s">
        <v>2389</v>
      </c>
      <c r="G570" t="s">
        <v>2240</v>
      </c>
      <c r="H570" t="s">
        <v>40</v>
      </c>
      <c r="I570">
        <v>90403</v>
      </c>
    </row>
    <row r="571" spans="1:9" x14ac:dyDescent="0.3">
      <c r="A571">
        <v>570</v>
      </c>
      <c r="B571" t="s">
        <v>2390</v>
      </c>
      <c r="C571" t="s">
        <v>2019</v>
      </c>
      <c r="D571" t="s">
        <v>5611</v>
      </c>
      <c r="E571" t="s">
        <v>2391</v>
      </c>
      <c r="F571" t="s">
        <v>2392</v>
      </c>
      <c r="G571" t="s">
        <v>701</v>
      </c>
      <c r="H571" t="s">
        <v>34</v>
      </c>
      <c r="I571">
        <v>11412</v>
      </c>
    </row>
    <row r="572" spans="1:9" x14ac:dyDescent="0.3">
      <c r="A572">
        <v>571</v>
      </c>
      <c r="B572" t="s">
        <v>2393</v>
      </c>
      <c r="C572" t="s">
        <v>2394</v>
      </c>
      <c r="D572" t="s">
        <v>5611</v>
      </c>
      <c r="E572" t="s">
        <v>2395</v>
      </c>
      <c r="F572" t="s">
        <v>2396</v>
      </c>
      <c r="G572" t="s">
        <v>200</v>
      </c>
      <c r="H572" t="s">
        <v>40</v>
      </c>
      <c r="I572">
        <v>90274</v>
      </c>
    </row>
    <row r="573" spans="1:9" x14ac:dyDescent="0.3">
      <c r="A573">
        <v>572</v>
      </c>
      <c r="B573" t="s">
        <v>2397</v>
      </c>
      <c r="C573" t="s">
        <v>1057</v>
      </c>
      <c r="D573" t="s">
        <v>5611</v>
      </c>
      <c r="E573" t="s">
        <v>2398</v>
      </c>
      <c r="F573" t="s">
        <v>2399</v>
      </c>
      <c r="G573" t="s">
        <v>2400</v>
      </c>
      <c r="H573" t="s">
        <v>34</v>
      </c>
      <c r="I573">
        <v>13021</v>
      </c>
    </row>
    <row r="574" spans="1:9" x14ac:dyDescent="0.3">
      <c r="A574">
        <v>573</v>
      </c>
      <c r="B574" t="s">
        <v>2401</v>
      </c>
      <c r="C574" t="s">
        <v>325</v>
      </c>
      <c r="D574" t="s">
        <v>2402</v>
      </c>
      <c r="E574" t="s">
        <v>2403</v>
      </c>
      <c r="F574" t="s">
        <v>2404</v>
      </c>
      <c r="G574" t="s">
        <v>485</v>
      </c>
      <c r="H574" t="s">
        <v>34</v>
      </c>
      <c r="I574">
        <v>12180</v>
      </c>
    </row>
    <row r="575" spans="1:9" x14ac:dyDescent="0.3">
      <c r="A575">
        <v>574</v>
      </c>
      <c r="B575" t="s">
        <v>2405</v>
      </c>
      <c r="C575" t="s">
        <v>1066</v>
      </c>
      <c r="D575" t="s">
        <v>5611</v>
      </c>
      <c r="E575" t="s">
        <v>2406</v>
      </c>
      <c r="F575" t="s">
        <v>2407</v>
      </c>
      <c r="G575" t="s">
        <v>235</v>
      </c>
      <c r="H575" t="s">
        <v>40</v>
      </c>
      <c r="I575">
        <v>91316</v>
      </c>
    </row>
    <row r="576" spans="1:9" x14ac:dyDescent="0.3">
      <c r="A576">
        <v>575</v>
      </c>
      <c r="B576" t="s">
        <v>2408</v>
      </c>
      <c r="C576" t="s">
        <v>2409</v>
      </c>
      <c r="D576" t="s">
        <v>5611</v>
      </c>
      <c r="E576" t="s">
        <v>2410</v>
      </c>
      <c r="F576" t="s">
        <v>2411</v>
      </c>
      <c r="G576" t="s">
        <v>976</v>
      </c>
      <c r="H576" t="s">
        <v>34</v>
      </c>
      <c r="I576">
        <v>11432</v>
      </c>
    </row>
    <row r="577" spans="1:9" x14ac:dyDescent="0.3">
      <c r="A577">
        <v>576</v>
      </c>
      <c r="B577" t="s">
        <v>2412</v>
      </c>
      <c r="C577" t="s">
        <v>320</v>
      </c>
      <c r="D577" t="s">
        <v>2413</v>
      </c>
      <c r="E577" t="s">
        <v>2414</v>
      </c>
      <c r="F577" t="s">
        <v>2415</v>
      </c>
      <c r="G577" t="s">
        <v>1164</v>
      </c>
      <c r="H577" t="s">
        <v>99</v>
      </c>
      <c r="I577">
        <v>79930</v>
      </c>
    </row>
    <row r="578" spans="1:9" x14ac:dyDescent="0.3">
      <c r="A578">
        <v>577</v>
      </c>
      <c r="B578" t="s">
        <v>2416</v>
      </c>
      <c r="C578" t="s">
        <v>2417</v>
      </c>
      <c r="D578" t="s">
        <v>5611</v>
      </c>
      <c r="E578" t="s">
        <v>2418</v>
      </c>
      <c r="F578" t="s">
        <v>2419</v>
      </c>
      <c r="G578" t="s">
        <v>372</v>
      </c>
      <c r="H578" t="s">
        <v>40</v>
      </c>
      <c r="I578">
        <v>95677</v>
      </c>
    </row>
    <row r="579" spans="1:9" x14ac:dyDescent="0.3">
      <c r="A579">
        <v>578</v>
      </c>
      <c r="B579" t="s">
        <v>2420</v>
      </c>
      <c r="C579" t="s">
        <v>1297</v>
      </c>
      <c r="D579" t="s">
        <v>5611</v>
      </c>
      <c r="E579" t="s">
        <v>2421</v>
      </c>
      <c r="F579" t="s">
        <v>2422</v>
      </c>
      <c r="G579" t="s">
        <v>270</v>
      </c>
      <c r="H579" t="s">
        <v>40</v>
      </c>
      <c r="I579">
        <v>94580</v>
      </c>
    </row>
    <row r="580" spans="1:9" x14ac:dyDescent="0.3">
      <c r="A580">
        <v>579</v>
      </c>
      <c r="B580" t="s">
        <v>2423</v>
      </c>
      <c r="C580" t="s">
        <v>799</v>
      </c>
      <c r="D580" t="s">
        <v>5611</v>
      </c>
      <c r="E580" t="s">
        <v>2424</v>
      </c>
      <c r="F580" t="s">
        <v>2425</v>
      </c>
      <c r="G580" t="s">
        <v>1806</v>
      </c>
      <c r="H580" t="s">
        <v>99</v>
      </c>
      <c r="I580">
        <v>78552</v>
      </c>
    </row>
    <row r="581" spans="1:9" x14ac:dyDescent="0.3">
      <c r="A581">
        <v>580</v>
      </c>
      <c r="B581" t="s">
        <v>1222</v>
      </c>
      <c r="C581" t="s">
        <v>1346</v>
      </c>
      <c r="D581" t="s">
        <v>2426</v>
      </c>
      <c r="E581" t="s">
        <v>2427</v>
      </c>
      <c r="F581" t="s">
        <v>2428</v>
      </c>
      <c r="G581" t="s">
        <v>2429</v>
      </c>
      <c r="H581" t="s">
        <v>40</v>
      </c>
      <c r="I581">
        <v>90008</v>
      </c>
    </row>
    <row r="582" spans="1:9" x14ac:dyDescent="0.3">
      <c r="A582">
        <v>581</v>
      </c>
      <c r="B582" t="s">
        <v>2430</v>
      </c>
      <c r="C582" t="s">
        <v>2431</v>
      </c>
      <c r="D582" t="s">
        <v>5611</v>
      </c>
      <c r="E582" t="s">
        <v>2432</v>
      </c>
      <c r="F582" t="s">
        <v>2433</v>
      </c>
      <c r="G582" t="s">
        <v>837</v>
      </c>
      <c r="H582" t="s">
        <v>40</v>
      </c>
      <c r="I582">
        <v>95050</v>
      </c>
    </row>
    <row r="583" spans="1:9" x14ac:dyDescent="0.3">
      <c r="A583">
        <v>582</v>
      </c>
      <c r="B583" t="s">
        <v>2434</v>
      </c>
      <c r="C583" t="s">
        <v>1056</v>
      </c>
      <c r="D583" t="s">
        <v>5611</v>
      </c>
      <c r="E583" t="s">
        <v>2435</v>
      </c>
      <c r="F583" t="s">
        <v>2436</v>
      </c>
      <c r="G583" t="s">
        <v>72</v>
      </c>
      <c r="H583" t="s">
        <v>34</v>
      </c>
      <c r="I583">
        <v>11372</v>
      </c>
    </row>
    <row r="584" spans="1:9" x14ac:dyDescent="0.3">
      <c r="A584">
        <v>583</v>
      </c>
      <c r="B584" t="s">
        <v>2437</v>
      </c>
      <c r="C584" t="s">
        <v>2438</v>
      </c>
      <c r="D584" t="s">
        <v>2439</v>
      </c>
      <c r="E584" t="s">
        <v>2440</v>
      </c>
      <c r="F584" t="s">
        <v>2441</v>
      </c>
      <c r="G584" t="s">
        <v>165</v>
      </c>
      <c r="H584" t="s">
        <v>34</v>
      </c>
      <c r="I584">
        <v>11561</v>
      </c>
    </row>
    <row r="585" spans="1:9" x14ac:dyDescent="0.3">
      <c r="A585">
        <v>584</v>
      </c>
      <c r="B585" t="s">
        <v>2442</v>
      </c>
      <c r="C585" t="s">
        <v>1399</v>
      </c>
      <c r="D585" t="s">
        <v>2443</v>
      </c>
      <c r="E585" t="s">
        <v>2444</v>
      </c>
      <c r="F585" t="s">
        <v>2445</v>
      </c>
      <c r="G585" t="s">
        <v>1164</v>
      </c>
      <c r="H585" t="s">
        <v>99</v>
      </c>
      <c r="I585">
        <v>79930</v>
      </c>
    </row>
    <row r="586" spans="1:9" x14ac:dyDescent="0.3">
      <c r="A586">
        <v>585</v>
      </c>
      <c r="B586" t="s">
        <v>1926</v>
      </c>
      <c r="C586" t="s">
        <v>883</v>
      </c>
      <c r="D586" t="s">
        <v>5611</v>
      </c>
      <c r="E586" t="s">
        <v>2446</v>
      </c>
      <c r="F586" t="s">
        <v>2447</v>
      </c>
      <c r="G586" t="s">
        <v>372</v>
      </c>
      <c r="H586" t="s">
        <v>40</v>
      </c>
      <c r="I586">
        <v>95677</v>
      </c>
    </row>
    <row r="587" spans="1:9" x14ac:dyDescent="0.3">
      <c r="A587">
        <v>586</v>
      </c>
      <c r="B587" t="s">
        <v>2448</v>
      </c>
      <c r="C587" t="s">
        <v>2449</v>
      </c>
      <c r="D587" t="s">
        <v>5611</v>
      </c>
      <c r="E587" t="s">
        <v>2450</v>
      </c>
      <c r="F587" t="s">
        <v>2451</v>
      </c>
      <c r="G587" t="s">
        <v>87</v>
      </c>
      <c r="H587" t="s">
        <v>34</v>
      </c>
      <c r="I587">
        <v>10952</v>
      </c>
    </row>
    <row r="588" spans="1:9" x14ac:dyDescent="0.3">
      <c r="A588">
        <v>587</v>
      </c>
      <c r="B588" t="s">
        <v>2452</v>
      </c>
      <c r="C588" t="s">
        <v>2453</v>
      </c>
      <c r="D588" t="s">
        <v>5611</v>
      </c>
      <c r="E588" t="s">
        <v>2454</v>
      </c>
      <c r="F588" t="s">
        <v>2455</v>
      </c>
      <c r="G588" t="s">
        <v>1781</v>
      </c>
      <c r="H588" t="s">
        <v>34</v>
      </c>
      <c r="I588">
        <v>10512</v>
      </c>
    </row>
    <row r="589" spans="1:9" x14ac:dyDescent="0.3">
      <c r="A589">
        <v>588</v>
      </c>
      <c r="B589" t="s">
        <v>2456</v>
      </c>
      <c r="C589" t="s">
        <v>2329</v>
      </c>
      <c r="D589" t="s">
        <v>5611</v>
      </c>
      <c r="E589" t="s">
        <v>2457</v>
      </c>
      <c r="F589" t="s">
        <v>2458</v>
      </c>
      <c r="G589" t="s">
        <v>1604</v>
      </c>
      <c r="H589" t="s">
        <v>34</v>
      </c>
      <c r="I589">
        <v>11580</v>
      </c>
    </row>
    <row r="590" spans="1:9" x14ac:dyDescent="0.3">
      <c r="A590">
        <v>589</v>
      </c>
      <c r="B590" t="s">
        <v>2459</v>
      </c>
      <c r="C590" t="s">
        <v>2460</v>
      </c>
      <c r="D590" t="s">
        <v>5611</v>
      </c>
      <c r="E590" t="s">
        <v>2461</v>
      </c>
      <c r="F590" t="s">
        <v>2462</v>
      </c>
      <c r="G590" t="s">
        <v>1199</v>
      </c>
      <c r="H590" t="s">
        <v>40</v>
      </c>
      <c r="I590">
        <v>94566</v>
      </c>
    </row>
    <row r="591" spans="1:9" x14ac:dyDescent="0.3">
      <c r="A591">
        <v>590</v>
      </c>
      <c r="B591" t="s">
        <v>1715</v>
      </c>
      <c r="C591" t="s">
        <v>2463</v>
      </c>
      <c r="D591" t="s">
        <v>5611</v>
      </c>
      <c r="E591" t="s">
        <v>2464</v>
      </c>
      <c r="F591" t="s">
        <v>2465</v>
      </c>
      <c r="G591" t="s">
        <v>74</v>
      </c>
      <c r="H591" t="s">
        <v>34</v>
      </c>
      <c r="I591">
        <v>11510</v>
      </c>
    </row>
    <row r="592" spans="1:9" x14ac:dyDescent="0.3">
      <c r="A592">
        <v>591</v>
      </c>
      <c r="B592" t="s">
        <v>2466</v>
      </c>
      <c r="C592" t="s">
        <v>950</v>
      </c>
      <c r="D592" t="s">
        <v>5611</v>
      </c>
      <c r="E592" t="s">
        <v>2467</v>
      </c>
      <c r="F592" t="s">
        <v>2468</v>
      </c>
      <c r="G592" t="s">
        <v>922</v>
      </c>
      <c r="H592" t="s">
        <v>34</v>
      </c>
      <c r="I592">
        <v>11801</v>
      </c>
    </row>
    <row r="593" spans="1:9" x14ac:dyDescent="0.3">
      <c r="A593">
        <v>592</v>
      </c>
      <c r="B593" t="s">
        <v>2469</v>
      </c>
      <c r="C593" t="s">
        <v>885</v>
      </c>
      <c r="D593" t="s">
        <v>5611</v>
      </c>
      <c r="E593" t="s">
        <v>2470</v>
      </c>
      <c r="F593" t="s">
        <v>2471</v>
      </c>
      <c r="G593" t="s">
        <v>1329</v>
      </c>
      <c r="H593" t="s">
        <v>34</v>
      </c>
      <c r="I593">
        <v>11720</v>
      </c>
    </row>
    <row r="594" spans="1:9" x14ac:dyDescent="0.3">
      <c r="A594">
        <v>593</v>
      </c>
      <c r="B594" t="s">
        <v>2472</v>
      </c>
      <c r="C594" t="s">
        <v>2473</v>
      </c>
      <c r="D594" t="s">
        <v>5611</v>
      </c>
      <c r="E594" t="s">
        <v>2474</v>
      </c>
      <c r="F594" t="s">
        <v>2475</v>
      </c>
      <c r="G594" t="s">
        <v>728</v>
      </c>
      <c r="H594" t="s">
        <v>34</v>
      </c>
      <c r="I594">
        <v>11787</v>
      </c>
    </row>
    <row r="595" spans="1:9" x14ac:dyDescent="0.3">
      <c r="A595">
        <v>594</v>
      </c>
      <c r="B595" t="s">
        <v>2476</v>
      </c>
      <c r="C595" t="s">
        <v>1403</v>
      </c>
      <c r="D595" t="s">
        <v>5611</v>
      </c>
      <c r="E595" t="s">
        <v>2477</v>
      </c>
      <c r="F595" t="s">
        <v>2478</v>
      </c>
      <c r="G595" t="s">
        <v>439</v>
      </c>
      <c r="H595" t="s">
        <v>34</v>
      </c>
      <c r="I595">
        <v>11757</v>
      </c>
    </row>
    <row r="596" spans="1:9" x14ac:dyDescent="0.3">
      <c r="A596">
        <v>595</v>
      </c>
      <c r="B596" t="s">
        <v>2479</v>
      </c>
      <c r="C596" t="s">
        <v>1618</v>
      </c>
      <c r="D596" t="s">
        <v>5611</v>
      </c>
      <c r="E596" t="s">
        <v>2480</v>
      </c>
      <c r="F596" t="s">
        <v>2481</v>
      </c>
      <c r="G596" t="s">
        <v>1616</v>
      </c>
      <c r="H596" t="s">
        <v>34</v>
      </c>
      <c r="I596">
        <v>14850</v>
      </c>
    </row>
    <row r="597" spans="1:9" x14ac:dyDescent="0.3">
      <c r="A597">
        <v>596</v>
      </c>
      <c r="B597" t="s">
        <v>2482</v>
      </c>
      <c r="C597" t="s">
        <v>2483</v>
      </c>
      <c r="D597" t="s">
        <v>5611</v>
      </c>
      <c r="E597" t="s">
        <v>2484</v>
      </c>
      <c r="F597" t="s">
        <v>2485</v>
      </c>
      <c r="G597" t="s">
        <v>660</v>
      </c>
      <c r="H597" t="s">
        <v>34</v>
      </c>
      <c r="I597">
        <v>14075</v>
      </c>
    </row>
    <row r="598" spans="1:9" x14ac:dyDescent="0.3">
      <c r="A598">
        <v>597</v>
      </c>
      <c r="B598" t="s">
        <v>2198</v>
      </c>
      <c r="C598" t="s">
        <v>2224</v>
      </c>
      <c r="D598" t="s">
        <v>5611</v>
      </c>
      <c r="E598" t="s">
        <v>2486</v>
      </c>
      <c r="F598" t="s">
        <v>2487</v>
      </c>
      <c r="G598" t="s">
        <v>219</v>
      </c>
      <c r="H598" t="s">
        <v>34</v>
      </c>
      <c r="I598">
        <v>11378</v>
      </c>
    </row>
    <row r="599" spans="1:9" x14ac:dyDescent="0.3">
      <c r="A599">
        <v>598</v>
      </c>
      <c r="B599" t="s">
        <v>2488</v>
      </c>
      <c r="C599" t="s">
        <v>2489</v>
      </c>
      <c r="D599" t="s">
        <v>5611</v>
      </c>
      <c r="E599" t="s">
        <v>2490</v>
      </c>
      <c r="F599" t="s">
        <v>2491</v>
      </c>
      <c r="G599" t="s">
        <v>1750</v>
      </c>
      <c r="H599" t="s">
        <v>34</v>
      </c>
      <c r="I599">
        <v>14043</v>
      </c>
    </row>
    <row r="600" spans="1:9" x14ac:dyDescent="0.3">
      <c r="A600">
        <v>599</v>
      </c>
      <c r="B600" t="s">
        <v>2492</v>
      </c>
      <c r="C600" t="s">
        <v>2493</v>
      </c>
      <c r="D600" t="s">
        <v>5611</v>
      </c>
      <c r="E600" t="s">
        <v>2494</v>
      </c>
      <c r="F600" t="s">
        <v>2495</v>
      </c>
      <c r="G600" t="s">
        <v>943</v>
      </c>
      <c r="H600" t="s">
        <v>99</v>
      </c>
      <c r="I600">
        <v>79106</v>
      </c>
    </row>
    <row r="601" spans="1:9" x14ac:dyDescent="0.3">
      <c r="A601">
        <v>600</v>
      </c>
      <c r="B601" t="s">
        <v>2496</v>
      </c>
      <c r="C601" t="s">
        <v>2497</v>
      </c>
      <c r="D601" t="s">
        <v>2498</v>
      </c>
      <c r="E601" t="s">
        <v>2499</v>
      </c>
      <c r="F601" t="s">
        <v>2500</v>
      </c>
      <c r="G601" t="s">
        <v>474</v>
      </c>
      <c r="H601" t="s">
        <v>40</v>
      </c>
      <c r="I601">
        <v>92111</v>
      </c>
    </row>
    <row r="602" spans="1:9" x14ac:dyDescent="0.3">
      <c r="A602">
        <v>601</v>
      </c>
      <c r="B602" t="s">
        <v>2501</v>
      </c>
      <c r="C602" t="s">
        <v>2502</v>
      </c>
      <c r="D602" t="s">
        <v>5611</v>
      </c>
      <c r="E602" t="s">
        <v>2503</v>
      </c>
      <c r="F602" t="s">
        <v>2504</v>
      </c>
      <c r="G602" t="s">
        <v>235</v>
      </c>
      <c r="H602" t="s">
        <v>40</v>
      </c>
      <c r="I602">
        <v>91316</v>
      </c>
    </row>
    <row r="603" spans="1:9" x14ac:dyDescent="0.3">
      <c r="A603">
        <v>602</v>
      </c>
      <c r="B603" t="s">
        <v>2505</v>
      </c>
      <c r="C603" t="s">
        <v>1074</v>
      </c>
      <c r="D603" t="s">
        <v>5611</v>
      </c>
      <c r="E603" t="s">
        <v>2506</v>
      </c>
      <c r="F603" t="s">
        <v>2507</v>
      </c>
      <c r="G603" t="s">
        <v>943</v>
      </c>
      <c r="H603" t="s">
        <v>99</v>
      </c>
      <c r="I603">
        <v>79106</v>
      </c>
    </row>
    <row r="604" spans="1:9" x14ac:dyDescent="0.3">
      <c r="A604">
        <v>603</v>
      </c>
      <c r="B604" t="s">
        <v>2508</v>
      </c>
      <c r="C604" t="s">
        <v>1150</v>
      </c>
      <c r="D604" t="s">
        <v>5611</v>
      </c>
      <c r="E604" t="s">
        <v>2509</v>
      </c>
      <c r="F604" t="s">
        <v>2510</v>
      </c>
      <c r="G604" t="s">
        <v>2511</v>
      </c>
      <c r="H604" t="s">
        <v>34</v>
      </c>
      <c r="I604">
        <v>11040</v>
      </c>
    </row>
    <row r="605" spans="1:9" x14ac:dyDescent="0.3">
      <c r="A605">
        <v>604</v>
      </c>
      <c r="B605" t="s">
        <v>2512</v>
      </c>
      <c r="C605" t="s">
        <v>2185</v>
      </c>
      <c r="D605" t="s">
        <v>5611</v>
      </c>
      <c r="E605" t="s">
        <v>2513</v>
      </c>
      <c r="F605" t="s">
        <v>2514</v>
      </c>
      <c r="G605" t="s">
        <v>342</v>
      </c>
      <c r="H605" t="s">
        <v>34</v>
      </c>
      <c r="I605">
        <v>11701</v>
      </c>
    </row>
    <row r="606" spans="1:9" x14ac:dyDescent="0.3">
      <c r="A606">
        <v>605</v>
      </c>
      <c r="B606" t="s">
        <v>2515</v>
      </c>
      <c r="C606" t="s">
        <v>311</v>
      </c>
      <c r="D606" t="s">
        <v>5611</v>
      </c>
      <c r="E606" t="s">
        <v>2516</v>
      </c>
      <c r="F606" t="s">
        <v>2517</v>
      </c>
      <c r="G606" t="s">
        <v>1856</v>
      </c>
      <c r="H606" t="s">
        <v>34</v>
      </c>
      <c r="I606">
        <v>10801</v>
      </c>
    </row>
    <row r="607" spans="1:9" x14ac:dyDescent="0.3">
      <c r="A607">
        <v>606</v>
      </c>
      <c r="B607" t="s">
        <v>2518</v>
      </c>
      <c r="C607" t="s">
        <v>364</v>
      </c>
      <c r="D607" t="s">
        <v>5611</v>
      </c>
      <c r="E607" t="s">
        <v>2519</v>
      </c>
      <c r="F607" t="s">
        <v>2520</v>
      </c>
      <c r="G607" t="s">
        <v>1646</v>
      </c>
      <c r="H607" t="s">
        <v>34</v>
      </c>
      <c r="I607">
        <v>12590</v>
      </c>
    </row>
    <row r="608" spans="1:9" x14ac:dyDescent="0.3">
      <c r="A608">
        <v>607</v>
      </c>
      <c r="B608" t="s">
        <v>893</v>
      </c>
      <c r="C608" t="s">
        <v>2126</v>
      </c>
      <c r="D608" t="s">
        <v>5611</v>
      </c>
      <c r="E608" t="s">
        <v>2521</v>
      </c>
      <c r="F608" t="s">
        <v>2522</v>
      </c>
      <c r="G608" t="s">
        <v>1930</v>
      </c>
      <c r="H608" t="s">
        <v>40</v>
      </c>
      <c r="I608">
        <v>92083</v>
      </c>
    </row>
    <row r="609" spans="1:9" x14ac:dyDescent="0.3">
      <c r="A609">
        <v>608</v>
      </c>
      <c r="B609" t="s">
        <v>2523</v>
      </c>
      <c r="C609" t="s">
        <v>2524</v>
      </c>
      <c r="D609" t="s">
        <v>5611</v>
      </c>
      <c r="E609" t="s">
        <v>2525</v>
      </c>
      <c r="F609" t="s">
        <v>2526</v>
      </c>
      <c r="G609" t="s">
        <v>1769</v>
      </c>
      <c r="H609" t="s">
        <v>34</v>
      </c>
      <c r="I609">
        <v>11967</v>
      </c>
    </row>
    <row r="610" spans="1:9" x14ac:dyDescent="0.3">
      <c r="A610">
        <v>609</v>
      </c>
      <c r="B610" t="s">
        <v>573</v>
      </c>
      <c r="C610" t="s">
        <v>161</v>
      </c>
      <c r="D610" t="s">
        <v>5611</v>
      </c>
      <c r="E610" t="s">
        <v>2527</v>
      </c>
      <c r="F610" t="s">
        <v>2528</v>
      </c>
      <c r="G610" t="s">
        <v>538</v>
      </c>
      <c r="H610" t="s">
        <v>34</v>
      </c>
      <c r="I610">
        <v>11421</v>
      </c>
    </row>
    <row r="611" spans="1:9" x14ac:dyDescent="0.3">
      <c r="A611">
        <v>610</v>
      </c>
      <c r="B611" t="s">
        <v>2529</v>
      </c>
      <c r="C611" t="s">
        <v>316</v>
      </c>
      <c r="D611" t="s">
        <v>5611</v>
      </c>
      <c r="E611" t="s">
        <v>2530</v>
      </c>
      <c r="F611" t="s">
        <v>2531</v>
      </c>
      <c r="G611" t="s">
        <v>72</v>
      </c>
      <c r="H611" t="s">
        <v>34</v>
      </c>
      <c r="I611">
        <v>11372</v>
      </c>
    </row>
    <row r="612" spans="1:9" x14ac:dyDescent="0.3">
      <c r="A612">
        <v>611</v>
      </c>
      <c r="B612" t="s">
        <v>2532</v>
      </c>
      <c r="C612" t="s">
        <v>1475</v>
      </c>
      <c r="D612" t="s">
        <v>5611</v>
      </c>
      <c r="E612" t="s">
        <v>2533</v>
      </c>
      <c r="F612" t="s">
        <v>2534</v>
      </c>
      <c r="G612" t="s">
        <v>1312</v>
      </c>
      <c r="H612" t="s">
        <v>34</v>
      </c>
      <c r="I612">
        <v>11756</v>
      </c>
    </row>
    <row r="613" spans="1:9" x14ac:dyDescent="0.3">
      <c r="A613">
        <v>612</v>
      </c>
      <c r="B613" t="s">
        <v>2535</v>
      </c>
      <c r="C613" t="s">
        <v>2536</v>
      </c>
      <c r="D613" t="s">
        <v>5611</v>
      </c>
      <c r="E613" t="s">
        <v>2537</v>
      </c>
      <c r="F613" t="s">
        <v>2538</v>
      </c>
      <c r="G613" t="s">
        <v>957</v>
      </c>
      <c r="H613" t="s">
        <v>34</v>
      </c>
      <c r="I613">
        <v>12020</v>
      </c>
    </row>
    <row r="614" spans="1:9" x14ac:dyDescent="0.3">
      <c r="A614">
        <v>613</v>
      </c>
      <c r="B614" t="s">
        <v>2539</v>
      </c>
      <c r="C614" t="s">
        <v>1157</v>
      </c>
      <c r="D614" t="s">
        <v>5611</v>
      </c>
      <c r="E614" t="s">
        <v>2540</v>
      </c>
      <c r="F614" t="s">
        <v>2541</v>
      </c>
      <c r="G614" t="s">
        <v>1590</v>
      </c>
      <c r="H614" t="s">
        <v>34</v>
      </c>
      <c r="I614">
        <v>11793</v>
      </c>
    </row>
    <row r="615" spans="1:9" x14ac:dyDescent="0.3">
      <c r="A615">
        <v>614</v>
      </c>
      <c r="B615" t="s">
        <v>2542</v>
      </c>
      <c r="C615" t="s">
        <v>2543</v>
      </c>
      <c r="D615" t="s">
        <v>5611</v>
      </c>
      <c r="E615" t="s">
        <v>2544</v>
      </c>
      <c r="F615" t="s">
        <v>2545</v>
      </c>
      <c r="G615" t="s">
        <v>1925</v>
      </c>
      <c r="H615" t="s">
        <v>34</v>
      </c>
      <c r="I615">
        <v>12010</v>
      </c>
    </row>
    <row r="616" spans="1:9" x14ac:dyDescent="0.3">
      <c r="A616">
        <v>615</v>
      </c>
      <c r="B616" t="s">
        <v>2279</v>
      </c>
      <c r="C616" t="s">
        <v>2394</v>
      </c>
      <c r="D616" t="s">
        <v>5611</v>
      </c>
      <c r="E616" t="s">
        <v>2546</v>
      </c>
      <c r="F616" t="s">
        <v>2547</v>
      </c>
      <c r="G616" t="s">
        <v>2548</v>
      </c>
      <c r="H616" t="s">
        <v>34</v>
      </c>
      <c r="I616">
        <v>11365</v>
      </c>
    </row>
    <row r="617" spans="1:9" x14ac:dyDescent="0.3">
      <c r="A617">
        <v>616</v>
      </c>
      <c r="B617" t="s">
        <v>2283</v>
      </c>
      <c r="C617" t="s">
        <v>2549</v>
      </c>
      <c r="D617" t="s">
        <v>5611</v>
      </c>
      <c r="E617" t="s">
        <v>2550</v>
      </c>
      <c r="F617" t="s">
        <v>2551</v>
      </c>
      <c r="G617" t="s">
        <v>494</v>
      </c>
      <c r="H617" t="s">
        <v>34</v>
      </c>
      <c r="I617">
        <v>12866</v>
      </c>
    </row>
    <row r="618" spans="1:9" x14ac:dyDescent="0.3">
      <c r="A618">
        <v>617</v>
      </c>
      <c r="B618" t="s">
        <v>2552</v>
      </c>
      <c r="C618" t="s">
        <v>1832</v>
      </c>
      <c r="D618" t="s">
        <v>5611</v>
      </c>
      <c r="E618" t="s">
        <v>2553</v>
      </c>
      <c r="F618" t="s">
        <v>2554</v>
      </c>
      <c r="G618" t="s">
        <v>2555</v>
      </c>
      <c r="H618" t="s">
        <v>34</v>
      </c>
      <c r="I618">
        <v>10598</v>
      </c>
    </row>
    <row r="619" spans="1:9" x14ac:dyDescent="0.3">
      <c r="A619">
        <v>618</v>
      </c>
      <c r="B619" t="s">
        <v>2556</v>
      </c>
      <c r="C619" t="s">
        <v>1057</v>
      </c>
      <c r="D619" t="s">
        <v>5611</v>
      </c>
      <c r="E619" t="s">
        <v>2557</v>
      </c>
      <c r="F619" t="s">
        <v>2558</v>
      </c>
      <c r="G619" t="s">
        <v>245</v>
      </c>
      <c r="H619" t="s">
        <v>34</v>
      </c>
      <c r="I619">
        <v>11418</v>
      </c>
    </row>
    <row r="620" spans="1:9" x14ac:dyDescent="0.3">
      <c r="A620">
        <v>619</v>
      </c>
      <c r="B620" t="s">
        <v>2559</v>
      </c>
      <c r="C620" t="s">
        <v>1955</v>
      </c>
      <c r="D620" t="s">
        <v>2560</v>
      </c>
      <c r="E620" t="s">
        <v>2561</v>
      </c>
      <c r="F620" t="s">
        <v>2562</v>
      </c>
      <c r="G620" t="s">
        <v>564</v>
      </c>
      <c r="H620" t="s">
        <v>40</v>
      </c>
      <c r="I620">
        <v>92806</v>
      </c>
    </row>
    <row r="621" spans="1:9" x14ac:dyDescent="0.3">
      <c r="A621">
        <v>620</v>
      </c>
      <c r="B621" t="s">
        <v>2563</v>
      </c>
      <c r="C621" t="s">
        <v>122</v>
      </c>
      <c r="D621" t="s">
        <v>5611</v>
      </c>
      <c r="E621" t="s">
        <v>2564</v>
      </c>
      <c r="F621" t="s">
        <v>2565</v>
      </c>
      <c r="G621" t="s">
        <v>976</v>
      </c>
      <c r="H621" t="s">
        <v>34</v>
      </c>
      <c r="I621">
        <v>11432</v>
      </c>
    </row>
    <row r="622" spans="1:9" x14ac:dyDescent="0.3">
      <c r="A622">
        <v>621</v>
      </c>
      <c r="B622" t="s">
        <v>2566</v>
      </c>
      <c r="C622" t="s">
        <v>1918</v>
      </c>
      <c r="D622" t="s">
        <v>5611</v>
      </c>
      <c r="E622" t="s">
        <v>2567</v>
      </c>
      <c r="F622" t="s">
        <v>2568</v>
      </c>
      <c r="G622" t="s">
        <v>270</v>
      </c>
      <c r="H622" t="s">
        <v>40</v>
      </c>
      <c r="I622">
        <v>94580</v>
      </c>
    </row>
    <row r="623" spans="1:9" x14ac:dyDescent="0.3">
      <c r="A623">
        <v>622</v>
      </c>
      <c r="B623" t="s">
        <v>2535</v>
      </c>
      <c r="C623" t="s">
        <v>870</v>
      </c>
      <c r="D623" t="s">
        <v>5611</v>
      </c>
      <c r="E623" t="s">
        <v>2569</v>
      </c>
      <c r="F623" t="s">
        <v>2570</v>
      </c>
      <c r="G623" t="s">
        <v>2571</v>
      </c>
      <c r="H623" t="s">
        <v>34</v>
      </c>
      <c r="I623">
        <v>12065</v>
      </c>
    </row>
    <row r="624" spans="1:9" x14ac:dyDescent="0.3">
      <c r="A624">
        <v>623</v>
      </c>
      <c r="B624" t="s">
        <v>2572</v>
      </c>
      <c r="C624" t="s">
        <v>1500</v>
      </c>
      <c r="D624" t="s">
        <v>5611</v>
      </c>
      <c r="E624" t="s">
        <v>2573</v>
      </c>
      <c r="F624" t="s">
        <v>2574</v>
      </c>
      <c r="G624" t="s">
        <v>665</v>
      </c>
      <c r="H624" t="s">
        <v>34</v>
      </c>
      <c r="I624">
        <v>11727</v>
      </c>
    </row>
    <row r="625" spans="1:9" x14ac:dyDescent="0.3">
      <c r="A625">
        <v>624</v>
      </c>
      <c r="B625" t="s">
        <v>2575</v>
      </c>
      <c r="C625" t="s">
        <v>2576</v>
      </c>
      <c r="D625" t="s">
        <v>2577</v>
      </c>
      <c r="E625" t="s">
        <v>2578</v>
      </c>
      <c r="F625" t="s">
        <v>2579</v>
      </c>
      <c r="G625" t="s">
        <v>165</v>
      </c>
      <c r="H625" t="s">
        <v>34</v>
      </c>
      <c r="I625">
        <v>11561</v>
      </c>
    </row>
    <row r="626" spans="1:9" x14ac:dyDescent="0.3">
      <c r="A626">
        <v>625</v>
      </c>
      <c r="B626" t="s">
        <v>2580</v>
      </c>
      <c r="C626" t="s">
        <v>2581</v>
      </c>
      <c r="D626" t="s">
        <v>5611</v>
      </c>
      <c r="E626" t="s">
        <v>2582</v>
      </c>
      <c r="F626" t="s">
        <v>2583</v>
      </c>
      <c r="G626" t="s">
        <v>883</v>
      </c>
      <c r="H626" t="s">
        <v>34</v>
      </c>
      <c r="I626">
        <v>14580</v>
      </c>
    </row>
    <row r="627" spans="1:9" x14ac:dyDescent="0.3">
      <c r="A627">
        <v>626</v>
      </c>
      <c r="B627" t="s">
        <v>2584</v>
      </c>
      <c r="C627" t="s">
        <v>197</v>
      </c>
      <c r="D627" t="s">
        <v>5611</v>
      </c>
      <c r="E627" t="s">
        <v>2585</v>
      </c>
      <c r="F627" t="s">
        <v>2586</v>
      </c>
      <c r="G627" t="s">
        <v>1453</v>
      </c>
      <c r="H627" t="s">
        <v>34</v>
      </c>
      <c r="I627">
        <v>12302</v>
      </c>
    </row>
    <row r="628" spans="1:9" x14ac:dyDescent="0.3">
      <c r="A628">
        <v>627</v>
      </c>
      <c r="B628" t="s">
        <v>196</v>
      </c>
      <c r="C628" t="s">
        <v>799</v>
      </c>
      <c r="D628" t="s">
        <v>5611</v>
      </c>
      <c r="E628" t="s">
        <v>2587</v>
      </c>
      <c r="F628" t="s">
        <v>2588</v>
      </c>
      <c r="G628" t="s">
        <v>454</v>
      </c>
      <c r="H628" t="s">
        <v>40</v>
      </c>
      <c r="I628">
        <v>91010</v>
      </c>
    </row>
    <row r="629" spans="1:9" x14ac:dyDescent="0.3">
      <c r="A629">
        <v>628</v>
      </c>
      <c r="B629" t="s">
        <v>2589</v>
      </c>
      <c r="C629" t="s">
        <v>2590</v>
      </c>
      <c r="D629" t="s">
        <v>5611</v>
      </c>
      <c r="E629" t="s">
        <v>2591</v>
      </c>
      <c r="F629" t="s">
        <v>2592</v>
      </c>
      <c r="G629" t="s">
        <v>646</v>
      </c>
      <c r="H629" t="s">
        <v>34</v>
      </c>
      <c r="I629">
        <v>14094</v>
      </c>
    </row>
    <row r="630" spans="1:9" x14ac:dyDescent="0.3">
      <c r="A630">
        <v>629</v>
      </c>
      <c r="B630" t="s">
        <v>2593</v>
      </c>
      <c r="C630" t="s">
        <v>2594</v>
      </c>
      <c r="D630" t="s">
        <v>2595</v>
      </c>
      <c r="E630" t="s">
        <v>2596</v>
      </c>
      <c r="F630" t="s">
        <v>2597</v>
      </c>
      <c r="G630" t="s">
        <v>67</v>
      </c>
      <c r="H630" t="s">
        <v>34</v>
      </c>
      <c r="I630">
        <v>14215</v>
      </c>
    </row>
    <row r="631" spans="1:9" x14ac:dyDescent="0.3">
      <c r="A631">
        <v>630</v>
      </c>
      <c r="B631" t="s">
        <v>2598</v>
      </c>
      <c r="C631" t="s">
        <v>221</v>
      </c>
      <c r="D631" t="s">
        <v>5611</v>
      </c>
      <c r="E631" t="s">
        <v>2599</v>
      </c>
      <c r="F631" t="s">
        <v>2600</v>
      </c>
      <c r="G631" t="s">
        <v>1925</v>
      </c>
      <c r="H631" t="s">
        <v>34</v>
      </c>
      <c r="I631">
        <v>12010</v>
      </c>
    </row>
    <row r="632" spans="1:9" x14ac:dyDescent="0.3">
      <c r="A632">
        <v>631</v>
      </c>
      <c r="B632" t="s">
        <v>2601</v>
      </c>
      <c r="C632" t="s">
        <v>1574</v>
      </c>
      <c r="D632" t="s">
        <v>5611</v>
      </c>
      <c r="E632" t="s">
        <v>2602</v>
      </c>
      <c r="F632" t="s">
        <v>2603</v>
      </c>
      <c r="G632" t="s">
        <v>175</v>
      </c>
      <c r="H632" t="s">
        <v>34</v>
      </c>
      <c r="I632">
        <v>10562</v>
      </c>
    </row>
    <row r="633" spans="1:9" x14ac:dyDescent="0.3">
      <c r="A633">
        <v>632</v>
      </c>
      <c r="B633" t="s">
        <v>2604</v>
      </c>
      <c r="C633" t="s">
        <v>2605</v>
      </c>
      <c r="D633" t="s">
        <v>5611</v>
      </c>
      <c r="E633" t="s">
        <v>2606</v>
      </c>
      <c r="F633" t="s">
        <v>2607</v>
      </c>
      <c r="G633" t="s">
        <v>468</v>
      </c>
      <c r="H633" t="s">
        <v>34</v>
      </c>
      <c r="I633">
        <v>11010</v>
      </c>
    </row>
    <row r="634" spans="1:9" x14ac:dyDescent="0.3">
      <c r="A634">
        <v>633</v>
      </c>
      <c r="B634" t="s">
        <v>2608</v>
      </c>
      <c r="C634" t="s">
        <v>1123</v>
      </c>
      <c r="D634" t="s">
        <v>2609</v>
      </c>
      <c r="E634" t="s">
        <v>2610</v>
      </c>
      <c r="F634" t="s">
        <v>2611</v>
      </c>
      <c r="G634" t="s">
        <v>564</v>
      </c>
      <c r="H634" t="s">
        <v>40</v>
      </c>
      <c r="I634">
        <v>92806</v>
      </c>
    </row>
    <row r="635" spans="1:9" x14ac:dyDescent="0.3">
      <c r="A635">
        <v>634</v>
      </c>
      <c r="B635" t="s">
        <v>2156</v>
      </c>
      <c r="C635" t="s">
        <v>1582</v>
      </c>
      <c r="D635" t="s">
        <v>5611</v>
      </c>
      <c r="E635" t="s">
        <v>2612</v>
      </c>
      <c r="F635" t="s">
        <v>2613</v>
      </c>
      <c r="G635" t="s">
        <v>1781</v>
      </c>
      <c r="H635" t="s">
        <v>34</v>
      </c>
      <c r="I635">
        <v>10512</v>
      </c>
    </row>
    <row r="636" spans="1:9" x14ac:dyDescent="0.3">
      <c r="A636">
        <v>635</v>
      </c>
      <c r="B636" t="s">
        <v>2614</v>
      </c>
      <c r="C636" t="s">
        <v>2615</v>
      </c>
      <c r="D636" t="s">
        <v>5611</v>
      </c>
      <c r="E636" t="s">
        <v>2616</v>
      </c>
      <c r="F636" t="s">
        <v>2617</v>
      </c>
      <c r="G636" t="s">
        <v>286</v>
      </c>
      <c r="H636" t="s">
        <v>34</v>
      </c>
      <c r="I636">
        <v>11566</v>
      </c>
    </row>
    <row r="637" spans="1:9" x14ac:dyDescent="0.3">
      <c r="A637">
        <v>636</v>
      </c>
      <c r="B637" t="s">
        <v>2618</v>
      </c>
      <c r="C637" t="s">
        <v>2619</v>
      </c>
      <c r="D637" t="s">
        <v>5611</v>
      </c>
      <c r="E637" t="s">
        <v>2620</v>
      </c>
      <c r="F637" t="s">
        <v>2621</v>
      </c>
      <c r="G637" t="s">
        <v>552</v>
      </c>
      <c r="H637" t="s">
        <v>34</v>
      </c>
      <c r="I637">
        <v>11001</v>
      </c>
    </row>
    <row r="638" spans="1:9" x14ac:dyDescent="0.3">
      <c r="A638">
        <v>637</v>
      </c>
      <c r="B638" t="s">
        <v>2622</v>
      </c>
      <c r="C638" t="s">
        <v>496</v>
      </c>
      <c r="D638" t="s">
        <v>5611</v>
      </c>
      <c r="E638" t="s">
        <v>2623</v>
      </c>
      <c r="F638" t="s">
        <v>2624</v>
      </c>
      <c r="G638" t="s">
        <v>175</v>
      </c>
      <c r="H638" t="s">
        <v>34</v>
      </c>
      <c r="I638">
        <v>10562</v>
      </c>
    </row>
    <row r="639" spans="1:9" x14ac:dyDescent="0.3">
      <c r="A639">
        <v>638</v>
      </c>
      <c r="B639" t="s">
        <v>2625</v>
      </c>
      <c r="C639" t="s">
        <v>496</v>
      </c>
      <c r="D639" t="s">
        <v>5611</v>
      </c>
      <c r="E639" t="s">
        <v>2626</v>
      </c>
      <c r="F639" t="s">
        <v>2627</v>
      </c>
      <c r="G639" t="s">
        <v>1300</v>
      </c>
      <c r="H639" t="s">
        <v>34</v>
      </c>
      <c r="I639">
        <v>12601</v>
      </c>
    </row>
    <row r="640" spans="1:9" x14ac:dyDescent="0.3">
      <c r="A640">
        <v>639</v>
      </c>
      <c r="B640" t="s">
        <v>2628</v>
      </c>
      <c r="C640" t="s">
        <v>1403</v>
      </c>
      <c r="D640" t="s">
        <v>5611</v>
      </c>
      <c r="E640" t="s">
        <v>2629</v>
      </c>
      <c r="F640" t="s">
        <v>2630</v>
      </c>
      <c r="G640" t="s">
        <v>219</v>
      </c>
      <c r="H640" t="s">
        <v>34</v>
      </c>
      <c r="I640">
        <v>11378</v>
      </c>
    </row>
    <row r="641" spans="1:9" x14ac:dyDescent="0.3">
      <c r="A641">
        <v>640</v>
      </c>
      <c r="B641" t="s">
        <v>2631</v>
      </c>
      <c r="C641" t="s">
        <v>2632</v>
      </c>
      <c r="D641" t="s">
        <v>2633</v>
      </c>
      <c r="E641" t="s">
        <v>2634</v>
      </c>
      <c r="F641" t="s">
        <v>2635</v>
      </c>
      <c r="G641" t="s">
        <v>2235</v>
      </c>
      <c r="H641" t="s">
        <v>34</v>
      </c>
      <c r="I641">
        <v>10956</v>
      </c>
    </row>
    <row r="642" spans="1:9" x14ac:dyDescent="0.3">
      <c r="A642">
        <v>641</v>
      </c>
      <c r="B642" t="s">
        <v>2636</v>
      </c>
      <c r="C642" t="s">
        <v>1248</v>
      </c>
      <c r="D642" t="s">
        <v>5611</v>
      </c>
      <c r="E642" t="s">
        <v>2637</v>
      </c>
      <c r="F642" t="s">
        <v>2638</v>
      </c>
      <c r="G642" t="s">
        <v>296</v>
      </c>
      <c r="H642" t="s">
        <v>40</v>
      </c>
      <c r="I642">
        <v>91740</v>
      </c>
    </row>
    <row r="643" spans="1:9" x14ac:dyDescent="0.3">
      <c r="A643">
        <v>642</v>
      </c>
      <c r="B643" t="s">
        <v>298</v>
      </c>
      <c r="C643" t="s">
        <v>2639</v>
      </c>
      <c r="D643" t="s">
        <v>5611</v>
      </c>
      <c r="E643" t="s">
        <v>2640</v>
      </c>
      <c r="F643" t="s">
        <v>2641</v>
      </c>
      <c r="G643" t="s">
        <v>883</v>
      </c>
      <c r="H643" t="s">
        <v>34</v>
      </c>
      <c r="I643">
        <v>14580</v>
      </c>
    </row>
    <row r="644" spans="1:9" x14ac:dyDescent="0.3">
      <c r="A644">
        <v>643</v>
      </c>
      <c r="B644" t="s">
        <v>2642</v>
      </c>
      <c r="C644" t="s">
        <v>2643</v>
      </c>
      <c r="D644" t="s">
        <v>5611</v>
      </c>
      <c r="E644" t="s">
        <v>2644</v>
      </c>
      <c r="F644" t="s">
        <v>2645</v>
      </c>
      <c r="G644" t="s">
        <v>552</v>
      </c>
      <c r="H644" t="s">
        <v>34</v>
      </c>
      <c r="I644">
        <v>11001</v>
      </c>
    </row>
    <row r="645" spans="1:9" x14ac:dyDescent="0.3">
      <c r="A645">
        <v>644</v>
      </c>
      <c r="B645" t="s">
        <v>2646</v>
      </c>
      <c r="C645" t="s">
        <v>2647</v>
      </c>
      <c r="D645" t="s">
        <v>5611</v>
      </c>
      <c r="E645" t="s">
        <v>2648</v>
      </c>
      <c r="F645" t="s">
        <v>2649</v>
      </c>
      <c r="G645" t="s">
        <v>439</v>
      </c>
      <c r="H645" t="s">
        <v>34</v>
      </c>
      <c r="I645">
        <v>11757</v>
      </c>
    </row>
    <row r="646" spans="1:9" x14ac:dyDescent="0.3">
      <c r="A646">
        <v>645</v>
      </c>
      <c r="B646" t="s">
        <v>2650</v>
      </c>
      <c r="C646" t="s">
        <v>293</v>
      </c>
      <c r="D646" t="s">
        <v>2651</v>
      </c>
      <c r="E646" t="s">
        <v>2652</v>
      </c>
      <c r="F646" t="s">
        <v>2653</v>
      </c>
      <c r="G646" t="s">
        <v>1078</v>
      </c>
      <c r="H646" t="s">
        <v>34</v>
      </c>
      <c r="I646">
        <v>11717</v>
      </c>
    </row>
    <row r="647" spans="1:9" x14ac:dyDescent="0.3">
      <c r="A647">
        <v>646</v>
      </c>
      <c r="B647" t="s">
        <v>2654</v>
      </c>
      <c r="C647" t="s">
        <v>2655</v>
      </c>
      <c r="D647" t="s">
        <v>5611</v>
      </c>
      <c r="E647" t="s">
        <v>2656</v>
      </c>
      <c r="F647" t="s">
        <v>2657</v>
      </c>
      <c r="G647" t="s">
        <v>385</v>
      </c>
      <c r="H647" t="s">
        <v>40</v>
      </c>
      <c r="I647">
        <v>91733</v>
      </c>
    </row>
    <row r="648" spans="1:9" x14ac:dyDescent="0.3">
      <c r="A648">
        <v>647</v>
      </c>
      <c r="B648" t="s">
        <v>2658</v>
      </c>
      <c r="C648" t="s">
        <v>2659</v>
      </c>
      <c r="D648" t="s">
        <v>5611</v>
      </c>
      <c r="E648" t="s">
        <v>2660</v>
      </c>
      <c r="F648" t="s">
        <v>2661</v>
      </c>
      <c r="G648" t="s">
        <v>245</v>
      </c>
      <c r="H648" t="s">
        <v>34</v>
      </c>
      <c r="I648">
        <v>11418</v>
      </c>
    </row>
    <row r="649" spans="1:9" x14ac:dyDescent="0.3">
      <c r="A649">
        <v>648</v>
      </c>
      <c r="B649" t="s">
        <v>2662</v>
      </c>
      <c r="C649" t="s">
        <v>2130</v>
      </c>
      <c r="D649" t="s">
        <v>5611</v>
      </c>
      <c r="E649" t="s">
        <v>2663</v>
      </c>
      <c r="F649" t="s">
        <v>2664</v>
      </c>
      <c r="G649" t="s">
        <v>1140</v>
      </c>
      <c r="H649" t="s">
        <v>40</v>
      </c>
      <c r="I649">
        <v>94806</v>
      </c>
    </row>
    <row r="650" spans="1:9" x14ac:dyDescent="0.3">
      <c r="A650">
        <v>649</v>
      </c>
      <c r="B650" t="s">
        <v>2665</v>
      </c>
      <c r="C650" t="s">
        <v>1048</v>
      </c>
      <c r="D650" t="s">
        <v>5611</v>
      </c>
      <c r="E650" t="s">
        <v>2666</v>
      </c>
      <c r="F650" t="s">
        <v>2667</v>
      </c>
      <c r="G650" t="s">
        <v>1272</v>
      </c>
      <c r="H650" t="s">
        <v>34</v>
      </c>
      <c r="I650">
        <v>11779</v>
      </c>
    </row>
    <row r="651" spans="1:9" x14ac:dyDescent="0.3">
      <c r="A651">
        <v>650</v>
      </c>
      <c r="B651" t="s">
        <v>2668</v>
      </c>
      <c r="C651" t="s">
        <v>2669</v>
      </c>
      <c r="D651" t="s">
        <v>5611</v>
      </c>
      <c r="E651" t="s">
        <v>2670</v>
      </c>
      <c r="F651" t="s">
        <v>2671</v>
      </c>
      <c r="G651" t="s">
        <v>175</v>
      </c>
      <c r="H651" t="s">
        <v>34</v>
      </c>
      <c r="I651">
        <v>10562</v>
      </c>
    </row>
    <row r="652" spans="1:9" x14ac:dyDescent="0.3">
      <c r="A652">
        <v>651</v>
      </c>
      <c r="B652" t="s">
        <v>2672</v>
      </c>
      <c r="C652" t="s">
        <v>1681</v>
      </c>
      <c r="D652" t="s">
        <v>5611</v>
      </c>
      <c r="E652" t="s">
        <v>2673</v>
      </c>
      <c r="F652" t="s">
        <v>2674</v>
      </c>
      <c r="G652" t="s">
        <v>1646</v>
      </c>
      <c r="H652" t="s">
        <v>34</v>
      </c>
      <c r="I652">
        <v>12590</v>
      </c>
    </row>
    <row r="653" spans="1:9" x14ac:dyDescent="0.3">
      <c r="A653">
        <v>652</v>
      </c>
      <c r="B653" t="s">
        <v>2675</v>
      </c>
      <c r="C653" t="s">
        <v>359</v>
      </c>
      <c r="D653" t="s">
        <v>2676</v>
      </c>
      <c r="E653" t="s">
        <v>2677</v>
      </c>
      <c r="F653" t="s">
        <v>2678</v>
      </c>
      <c r="G653" t="s">
        <v>485</v>
      </c>
      <c r="H653" t="s">
        <v>34</v>
      </c>
      <c r="I653">
        <v>12180</v>
      </c>
    </row>
    <row r="654" spans="1:9" x14ac:dyDescent="0.3">
      <c r="A654">
        <v>653</v>
      </c>
      <c r="B654" t="s">
        <v>2679</v>
      </c>
      <c r="C654" t="s">
        <v>689</v>
      </c>
      <c r="D654" t="s">
        <v>5611</v>
      </c>
      <c r="E654" t="s">
        <v>2680</v>
      </c>
      <c r="F654" t="s">
        <v>2681</v>
      </c>
      <c r="G654" t="s">
        <v>2682</v>
      </c>
      <c r="H654" t="s">
        <v>34</v>
      </c>
      <c r="I654">
        <v>14701</v>
      </c>
    </row>
    <row r="655" spans="1:9" x14ac:dyDescent="0.3">
      <c r="A655">
        <v>654</v>
      </c>
      <c r="B655" t="s">
        <v>2683</v>
      </c>
      <c r="C655" t="s">
        <v>972</v>
      </c>
      <c r="D655" t="s">
        <v>2684</v>
      </c>
      <c r="E655" t="s">
        <v>2685</v>
      </c>
      <c r="F655" t="s">
        <v>2686</v>
      </c>
      <c r="G655" t="s">
        <v>474</v>
      </c>
      <c r="H655" t="s">
        <v>40</v>
      </c>
      <c r="I655">
        <v>92111</v>
      </c>
    </row>
    <row r="656" spans="1:9" x14ac:dyDescent="0.3">
      <c r="A656">
        <v>655</v>
      </c>
      <c r="B656" t="s">
        <v>2687</v>
      </c>
      <c r="C656" t="s">
        <v>221</v>
      </c>
      <c r="D656" t="s">
        <v>5611</v>
      </c>
      <c r="E656" t="s">
        <v>2688</v>
      </c>
      <c r="F656" t="s">
        <v>2689</v>
      </c>
      <c r="G656" t="s">
        <v>120</v>
      </c>
      <c r="H656" t="s">
        <v>34</v>
      </c>
      <c r="I656">
        <v>10583</v>
      </c>
    </row>
    <row r="657" spans="1:9" x14ac:dyDescent="0.3">
      <c r="A657">
        <v>656</v>
      </c>
      <c r="B657" t="s">
        <v>2690</v>
      </c>
      <c r="C657" t="s">
        <v>2691</v>
      </c>
      <c r="D657" t="s">
        <v>5611</v>
      </c>
      <c r="E657" t="s">
        <v>2692</v>
      </c>
      <c r="F657" t="s">
        <v>2693</v>
      </c>
      <c r="G657" t="s">
        <v>552</v>
      </c>
      <c r="H657" t="s">
        <v>34</v>
      </c>
      <c r="I657">
        <v>11001</v>
      </c>
    </row>
    <row r="658" spans="1:9" x14ac:dyDescent="0.3">
      <c r="A658">
        <v>657</v>
      </c>
      <c r="B658" t="s">
        <v>2694</v>
      </c>
      <c r="C658" t="s">
        <v>2126</v>
      </c>
      <c r="D658" t="s">
        <v>5611</v>
      </c>
      <c r="E658" t="s">
        <v>2695</v>
      </c>
      <c r="F658" t="s">
        <v>2696</v>
      </c>
      <c r="G658" t="s">
        <v>74</v>
      </c>
      <c r="H658" t="s">
        <v>34</v>
      </c>
      <c r="I658">
        <v>11510</v>
      </c>
    </row>
    <row r="659" spans="1:9" x14ac:dyDescent="0.3">
      <c r="A659">
        <v>658</v>
      </c>
      <c r="B659" t="s">
        <v>2697</v>
      </c>
      <c r="C659" t="s">
        <v>799</v>
      </c>
      <c r="D659" t="s">
        <v>5611</v>
      </c>
      <c r="E659" t="s">
        <v>2698</v>
      </c>
      <c r="F659" t="s">
        <v>2699</v>
      </c>
      <c r="G659" t="s">
        <v>87</v>
      </c>
      <c r="H659" t="s">
        <v>34</v>
      </c>
      <c r="I659">
        <v>10952</v>
      </c>
    </row>
    <row r="660" spans="1:9" x14ac:dyDescent="0.3">
      <c r="A660">
        <v>659</v>
      </c>
      <c r="B660" t="s">
        <v>2700</v>
      </c>
      <c r="C660" t="s">
        <v>2701</v>
      </c>
      <c r="D660" t="s">
        <v>5611</v>
      </c>
      <c r="E660" t="s">
        <v>2702</v>
      </c>
      <c r="F660" t="s">
        <v>2703</v>
      </c>
      <c r="G660" t="s">
        <v>714</v>
      </c>
      <c r="H660" t="s">
        <v>34</v>
      </c>
      <c r="I660">
        <v>10573</v>
      </c>
    </row>
    <row r="661" spans="1:9" x14ac:dyDescent="0.3">
      <c r="A661">
        <v>660</v>
      </c>
      <c r="B661" t="s">
        <v>2704</v>
      </c>
      <c r="C661" t="s">
        <v>1057</v>
      </c>
      <c r="D661" t="s">
        <v>5611</v>
      </c>
      <c r="E661" t="s">
        <v>2705</v>
      </c>
      <c r="F661" t="s">
        <v>2706</v>
      </c>
      <c r="G661" t="s">
        <v>989</v>
      </c>
      <c r="H661" t="s">
        <v>40</v>
      </c>
      <c r="I661">
        <v>93555</v>
      </c>
    </row>
    <row r="662" spans="1:9" x14ac:dyDescent="0.3">
      <c r="A662">
        <v>661</v>
      </c>
      <c r="B662" t="s">
        <v>2707</v>
      </c>
      <c r="C662" t="s">
        <v>1546</v>
      </c>
      <c r="D662" t="s">
        <v>5611</v>
      </c>
      <c r="E662" t="s">
        <v>2708</v>
      </c>
      <c r="F662" t="s">
        <v>2709</v>
      </c>
      <c r="G662" t="s">
        <v>82</v>
      </c>
      <c r="H662" t="s">
        <v>34</v>
      </c>
      <c r="I662">
        <v>10950</v>
      </c>
    </row>
    <row r="663" spans="1:9" x14ac:dyDescent="0.3">
      <c r="A663">
        <v>662</v>
      </c>
      <c r="B663" t="s">
        <v>2710</v>
      </c>
      <c r="C663" t="s">
        <v>89</v>
      </c>
      <c r="D663" t="s">
        <v>5611</v>
      </c>
      <c r="E663" t="s">
        <v>2711</v>
      </c>
      <c r="F663" t="s">
        <v>2712</v>
      </c>
      <c r="G663" t="s">
        <v>120</v>
      </c>
      <c r="H663" t="s">
        <v>34</v>
      </c>
      <c r="I663">
        <v>10583</v>
      </c>
    </row>
    <row r="664" spans="1:9" x14ac:dyDescent="0.3">
      <c r="A664">
        <v>663</v>
      </c>
      <c r="B664" t="s">
        <v>2713</v>
      </c>
      <c r="C664" t="s">
        <v>2714</v>
      </c>
      <c r="D664" t="s">
        <v>5611</v>
      </c>
      <c r="E664" t="s">
        <v>2715</v>
      </c>
      <c r="F664" t="s">
        <v>2716</v>
      </c>
      <c r="G664" t="s">
        <v>948</v>
      </c>
      <c r="H664" t="s">
        <v>34</v>
      </c>
      <c r="I664">
        <v>12553</v>
      </c>
    </row>
    <row r="665" spans="1:9" x14ac:dyDescent="0.3">
      <c r="A665">
        <v>664</v>
      </c>
      <c r="B665" t="s">
        <v>1761</v>
      </c>
      <c r="C665" t="s">
        <v>2717</v>
      </c>
      <c r="D665" t="s">
        <v>5611</v>
      </c>
      <c r="E665" t="s">
        <v>2718</v>
      </c>
      <c r="F665" t="s">
        <v>2719</v>
      </c>
      <c r="G665" t="s">
        <v>2097</v>
      </c>
      <c r="H665" t="s">
        <v>34</v>
      </c>
      <c r="I665">
        <v>11368</v>
      </c>
    </row>
    <row r="666" spans="1:9" x14ac:dyDescent="0.3">
      <c r="A666">
        <v>665</v>
      </c>
      <c r="B666" t="s">
        <v>2720</v>
      </c>
      <c r="C666" t="s">
        <v>2061</v>
      </c>
      <c r="D666" t="s">
        <v>2721</v>
      </c>
      <c r="E666" t="s">
        <v>2722</v>
      </c>
      <c r="F666" t="s">
        <v>2723</v>
      </c>
      <c r="G666" t="s">
        <v>190</v>
      </c>
      <c r="H666" t="s">
        <v>40</v>
      </c>
      <c r="I666">
        <v>94603</v>
      </c>
    </row>
    <row r="667" spans="1:9" x14ac:dyDescent="0.3">
      <c r="A667">
        <v>666</v>
      </c>
      <c r="B667" t="s">
        <v>2724</v>
      </c>
      <c r="C667" t="s">
        <v>2725</v>
      </c>
      <c r="D667" t="s">
        <v>5611</v>
      </c>
      <c r="E667" t="s">
        <v>2726</v>
      </c>
      <c r="F667" t="s">
        <v>2727</v>
      </c>
      <c r="G667" t="s">
        <v>552</v>
      </c>
      <c r="H667" t="s">
        <v>34</v>
      </c>
      <c r="I667">
        <v>11001</v>
      </c>
    </row>
    <row r="668" spans="1:9" x14ac:dyDescent="0.3">
      <c r="A668">
        <v>667</v>
      </c>
      <c r="B668" t="s">
        <v>2728</v>
      </c>
      <c r="C668" t="s">
        <v>2729</v>
      </c>
      <c r="D668" t="s">
        <v>5611</v>
      </c>
      <c r="E668" t="s">
        <v>2730</v>
      </c>
      <c r="F668" t="s">
        <v>2731</v>
      </c>
      <c r="G668" t="s">
        <v>245</v>
      </c>
      <c r="H668" t="s">
        <v>34</v>
      </c>
      <c r="I668">
        <v>11418</v>
      </c>
    </row>
    <row r="669" spans="1:9" x14ac:dyDescent="0.3">
      <c r="A669">
        <v>668</v>
      </c>
      <c r="B669" t="s">
        <v>2732</v>
      </c>
      <c r="C669" t="s">
        <v>648</v>
      </c>
      <c r="D669" t="s">
        <v>5611</v>
      </c>
      <c r="E669" t="s">
        <v>2733</v>
      </c>
      <c r="F669" t="s">
        <v>2734</v>
      </c>
      <c r="G669" t="s">
        <v>2056</v>
      </c>
      <c r="H669" t="s">
        <v>99</v>
      </c>
      <c r="I669">
        <v>77566</v>
      </c>
    </row>
    <row r="670" spans="1:9" x14ac:dyDescent="0.3">
      <c r="A670">
        <v>669</v>
      </c>
      <c r="B670" t="s">
        <v>2735</v>
      </c>
      <c r="C670" t="s">
        <v>1292</v>
      </c>
      <c r="D670" t="s">
        <v>5611</v>
      </c>
      <c r="E670" t="s">
        <v>2736</v>
      </c>
      <c r="F670" t="s">
        <v>2737</v>
      </c>
      <c r="G670" t="s">
        <v>1806</v>
      </c>
      <c r="H670" t="s">
        <v>99</v>
      </c>
      <c r="I670">
        <v>78552</v>
      </c>
    </row>
    <row r="671" spans="1:9" x14ac:dyDescent="0.3">
      <c r="A671">
        <v>670</v>
      </c>
      <c r="B671" t="s">
        <v>2738</v>
      </c>
      <c r="C671" t="s">
        <v>1471</v>
      </c>
      <c r="D671" t="s">
        <v>5611</v>
      </c>
      <c r="E671" t="s">
        <v>2739</v>
      </c>
      <c r="F671" t="s">
        <v>2740</v>
      </c>
      <c r="G671" t="s">
        <v>214</v>
      </c>
      <c r="H671" t="s">
        <v>34</v>
      </c>
      <c r="I671">
        <v>13090</v>
      </c>
    </row>
    <row r="672" spans="1:9" x14ac:dyDescent="0.3">
      <c r="A672">
        <v>671</v>
      </c>
      <c r="B672" t="s">
        <v>1944</v>
      </c>
      <c r="C672" t="s">
        <v>831</v>
      </c>
      <c r="D672" t="s">
        <v>5611</v>
      </c>
      <c r="E672" t="s">
        <v>2741</v>
      </c>
      <c r="F672" t="s">
        <v>2742</v>
      </c>
      <c r="G672" t="s">
        <v>774</v>
      </c>
      <c r="H672" t="s">
        <v>40</v>
      </c>
      <c r="I672">
        <v>92220</v>
      </c>
    </row>
    <row r="673" spans="1:9" x14ac:dyDescent="0.3">
      <c r="A673">
        <v>672</v>
      </c>
      <c r="B673" t="s">
        <v>2743</v>
      </c>
      <c r="C673" t="s">
        <v>2744</v>
      </c>
      <c r="D673" t="s">
        <v>5611</v>
      </c>
      <c r="E673" t="s">
        <v>2745</v>
      </c>
      <c r="F673" t="s">
        <v>2746</v>
      </c>
      <c r="G673" t="s">
        <v>1856</v>
      </c>
      <c r="H673" t="s">
        <v>34</v>
      </c>
      <c r="I673">
        <v>10801</v>
      </c>
    </row>
    <row r="674" spans="1:9" x14ac:dyDescent="0.3">
      <c r="A674">
        <v>673</v>
      </c>
      <c r="B674" t="s">
        <v>2747</v>
      </c>
      <c r="C674" t="s">
        <v>2143</v>
      </c>
      <c r="D674" t="s">
        <v>5611</v>
      </c>
      <c r="E674" t="s">
        <v>2748</v>
      </c>
      <c r="F674" t="s">
        <v>2749</v>
      </c>
      <c r="G674" t="s">
        <v>1714</v>
      </c>
      <c r="H674" t="s">
        <v>40</v>
      </c>
      <c r="I674">
        <v>93635</v>
      </c>
    </row>
    <row r="675" spans="1:9" x14ac:dyDescent="0.3">
      <c r="A675">
        <v>674</v>
      </c>
      <c r="B675" t="s">
        <v>2750</v>
      </c>
      <c r="C675" t="s">
        <v>1458</v>
      </c>
      <c r="D675" t="s">
        <v>5611</v>
      </c>
      <c r="E675" t="s">
        <v>2751</v>
      </c>
      <c r="F675" t="s">
        <v>2752</v>
      </c>
      <c r="G675" t="s">
        <v>494</v>
      </c>
      <c r="H675" t="s">
        <v>34</v>
      </c>
      <c r="I675">
        <v>12866</v>
      </c>
    </row>
    <row r="676" spans="1:9" x14ac:dyDescent="0.3">
      <c r="A676">
        <v>675</v>
      </c>
      <c r="B676" t="s">
        <v>2753</v>
      </c>
      <c r="C676" t="s">
        <v>2754</v>
      </c>
      <c r="D676" t="s">
        <v>2755</v>
      </c>
      <c r="E676" t="s">
        <v>2756</v>
      </c>
      <c r="F676" t="s">
        <v>2757</v>
      </c>
      <c r="G676" t="s">
        <v>1164</v>
      </c>
      <c r="H676" t="s">
        <v>99</v>
      </c>
      <c r="I676">
        <v>79930</v>
      </c>
    </row>
    <row r="677" spans="1:9" x14ac:dyDescent="0.3">
      <c r="A677">
        <v>676</v>
      </c>
      <c r="B677" t="s">
        <v>2758</v>
      </c>
      <c r="C677" t="s">
        <v>2643</v>
      </c>
      <c r="D677" t="s">
        <v>5611</v>
      </c>
      <c r="E677" t="s">
        <v>2759</v>
      </c>
      <c r="F677" t="s">
        <v>2760</v>
      </c>
      <c r="G677" t="s">
        <v>439</v>
      </c>
      <c r="H677" t="s">
        <v>34</v>
      </c>
      <c r="I677">
        <v>11757</v>
      </c>
    </row>
    <row r="678" spans="1:9" x14ac:dyDescent="0.3">
      <c r="A678">
        <v>677</v>
      </c>
      <c r="B678" t="s">
        <v>2761</v>
      </c>
      <c r="C678" t="s">
        <v>2762</v>
      </c>
      <c r="D678" t="s">
        <v>5611</v>
      </c>
      <c r="E678" t="s">
        <v>2763</v>
      </c>
      <c r="F678" t="s">
        <v>2764</v>
      </c>
      <c r="G678" t="s">
        <v>759</v>
      </c>
      <c r="H678" t="s">
        <v>99</v>
      </c>
      <c r="I678">
        <v>78023</v>
      </c>
    </row>
    <row r="679" spans="1:9" x14ac:dyDescent="0.3">
      <c r="A679">
        <v>678</v>
      </c>
      <c r="B679" t="s">
        <v>2023</v>
      </c>
      <c r="C679" t="s">
        <v>253</v>
      </c>
      <c r="D679" t="s">
        <v>5611</v>
      </c>
      <c r="E679" t="s">
        <v>2765</v>
      </c>
      <c r="F679" t="s">
        <v>2766</v>
      </c>
      <c r="G679" t="s">
        <v>1019</v>
      </c>
      <c r="H679" t="s">
        <v>34</v>
      </c>
      <c r="I679">
        <v>11357</v>
      </c>
    </row>
    <row r="680" spans="1:9" x14ac:dyDescent="0.3">
      <c r="A680">
        <v>679</v>
      </c>
      <c r="B680" t="s">
        <v>2767</v>
      </c>
      <c r="C680" t="s">
        <v>2768</v>
      </c>
      <c r="D680" t="s">
        <v>5611</v>
      </c>
      <c r="E680" t="s">
        <v>2769</v>
      </c>
      <c r="F680" t="s">
        <v>2770</v>
      </c>
      <c r="G680" t="s">
        <v>2771</v>
      </c>
      <c r="H680" t="s">
        <v>34</v>
      </c>
      <c r="I680">
        <v>11704</v>
      </c>
    </row>
    <row r="681" spans="1:9" x14ac:dyDescent="0.3">
      <c r="A681">
        <v>680</v>
      </c>
      <c r="B681" t="s">
        <v>2772</v>
      </c>
      <c r="C681" t="s">
        <v>2773</v>
      </c>
      <c r="D681" t="s">
        <v>2774</v>
      </c>
      <c r="E681" t="s">
        <v>2775</v>
      </c>
      <c r="F681" t="s">
        <v>2776</v>
      </c>
      <c r="G681" t="s">
        <v>2235</v>
      </c>
      <c r="H681" t="s">
        <v>34</v>
      </c>
      <c r="I681">
        <v>10956</v>
      </c>
    </row>
    <row r="682" spans="1:9" x14ac:dyDescent="0.3">
      <c r="A682">
        <v>681</v>
      </c>
      <c r="B682" t="s">
        <v>2777</v>
      </c>
      <c r="C682" t="s">
        <v>2778</v>
      </c>
      <c r="D682" t="s">
        <v>5611</v>
      </c>
      <c r="E682" t="s">
        <v>2779</v>
      </c>
      <c r="F682" t="s">
        <v>2780</v>
      </c>
      <c r="G682" t="s">
        <v>1083</v>
      </c>
      <c r="H682" t="s">
        <v>34</v>
      </c>
      <c r="I682">
        <v>11741</v>
      </c>
    </row>
    <row r="683" spans="1:9" x14ac:dyDescent="0.3">
      <c r="A683">
        <v>682</v>
      </c>
      <c r="B683" t="s">
        <v>2781</v>
      </c>
      <c r="C683" t="s">
        <v>2782</v>
      </c>
      <c r="D683" t="s">
        <v>5611</v>
      </c>
      <c r="E683" t="s">
        <v>2783</v>
      </c>
      <c r="F683" t="s">
        <v>2784</v>
      </c>
      <c r="G683" t="s">
        <v>33</v>
      </c>
      <c r="H683" t="s">
        <v>34</v>
      </c>
      <c r="I683">
        <v>14127</v>
      </c>
    </row>
    <row r="684" spans="1:9" x14ac:dyDescent="0.3">
      <c r="A684">
        <v>683</v>
      </c>
      <c r="B684" t="s">
        <v>2785</v>
      </c>
      <c r="C684" t="s">
        <v>30</v>
      </c>
      <c r="D684" t="s">
        <v>5611</v>
      </c>
      <c r="E684" t="s">
        <v>2786</v>
      </c>
      <c r="F684" t="s">
        <v>2787</v>
      </c>
      <c r="G684" t="s">
        <v>286</v>
      </c>
      <c r="H684" t="s">
        <v>34</v>
      </c>
      <c r="I684">
        <v>11566</v>
      </c>
    </row>
    <row r="685" spans="1:9" x14ac:dyDescent="0.3">
      <c r="A685">
        <v>684</v>
      </c>
      <c r="B685" t="s">
        <v>2788</v>
      </c>
      <c r="C685" t="s">
        <v>2789</v>
      </c>
      <c r="D685" t="s">
        <v>5611</v>
      </c>
      <c r="E685" t="s">
        <v>2790</v>
      </c>
      <c r="F685" t="s">
        <v>2791</v>
      </c>
      <c r="G685" t="s">
        <v>1148</v>
      </c>
      <c r="H685" t="s">
        <v>34</v>
      </c>
      <c r="I685">
        <v>14304</v>
      </c>
    </row>
    <row r="686" spans="1:9" x14ac:dyDescent="0.3">
      <c r="A686">
        <v>685</v>
      </c>
      <c r="B686" t="s">
        <v>2792</v>
      </c>
      <c r="C686" t="s">
        <v>2793</v>
      </c>
      <c r="D686" t="s">
        <v>5611</v>
      </c>
      <c r="E686" t="s">
        <v>2794</v>
      </c>
      <c r="F686" t="s">
        <v>2795</v>
      </c>
      <c r="G686" t="s">
        <v>1511</v>
      </c>
      <c r="H686" t="s">
        <v>34</v>
      </c>
      <c r="I686">
        <v>11375</v>
      </c>
    </row>
    <row r="687" spans="1:9" x14ac:dyDescent="0.3">
      <c r="A687">
        <v>686</v>
      </c>
      <c r="B687" t="s">
        <v>2796</v>
      </c>
      <c r="C687" t="s">
        <v>2797</v>
      </c>
      <c r="D687" t="s">
        <v>5611</v>
      </c>
      <c r="E687" t="s">
        <v>2798</v>
      </c>
      <c r="F687" t="s">
        <v>2799</v>
      </c>
      <c r="G687" t="s">
        <v>837</v>
      </c>
      <c r="H687" t="s">
        <v>40</v>
      </c>
      <c r="I687">
        <v>95050</v>
      </c>
    </row>
    <row r="688" spans="1:9" x14ac:dyDescent="0.3">
      <c r="A688">
        <v>687</v>
      </c>
      <c r="B688" t="s">
        <v>2800</v>
      </c>
      <c r="C688" t="s">
        <v>1884</v>
      </c>
      <c r="D688" t="s">
        <v>5611</v>
      </c>
      <c r="E688" t="s">
        <v>2801</v>
      </c>
      <c r="F688" t="s">
        <v>2802</v>
      </c>
      <c r="G688" t="s">
        <v>347</v>
      </c>
      <c r="H688" t="s">
        <v>99</v>
      </c>
      <c r="I688">
        <v>75115</v>
      </c>
    </row>
    <row r="689" spans="1:9" x14ac:dyDescent="0.3">
      <c r="A689">
        <v>688</v>
      </c>
      <c r="B689" t="s">
        <v>2803</v>
      </c>
      <c r="C689" t="s">
        <v>2804</v>
      </c>
      <c r="D689" t="s">
        <v>5611</v>
      </c>
      <c r="E689" t="s">
        <v>2805</v>
      </c>
      <c r="F689" t="s">
        <v>2806</v>
      </c>
      <c r="G689" t="s">
        <v>39</v>
      </c>
      <c r="H689" t="s">
        <v>40</v>
      </c>
      <c r="I689">
        <v>95008</v>
      </c>
    </row>
    <row r="690" spans="1:9" x14ac:dyDescent="0.3">
      <c r="A690">
        <v>689</v>
      </c>
      <c r="B690" t="s">
        <v>2807</v>
      </c>
      <c r="C690" t="s">
        <v>2808</v>
      </c>
      <c r="D690" t="s">
        <v>5611</v>
      </c>
      <c r="E690" t="s">
        <v>2809</v>
      </c>
      <c r="F690" t="s">
        <v>2810</v>
      </c>
      <c r="G690" t="s">
        <v>301</v>
      </c>
      <c r="H690" t="s">
        <v>34</v>
      </c>
      <c r="I690">
        <v>13501</v>
      </c>
    </row>
    <row r="691" spans="1:9" x14ac:dyDescent="0.3">
      <c r="A691">
        <v>690</v>
      </c>
      <c r="B691" t="s">
        <v>1896</v>
      </c>
      <c r="C691" t="s">
        <v>1105</v>
      </c>
      <c r="D691" t="s">
        <v>5611</v>
      </c>
      <c r="E691" t="s">
        <v>2811</v>
      </c>
      <c r="F691" t="s">
        <v>2812</v>
      </c>
      <c r="G691" t="s">
        <v>72</v>
      </c>
      <c r="H691" t="s">
        <v>34</v>
      </c>
      <c r="I691">
        <v>11372</v>
      </c>
    </row>
    <row r="692" spans="1:9" x14ac:dyDescent="0.3">
      <c r="A692">
        <v>691</v>
      </c>
      <c r="B692" t="s">
        <v>2813</v>
      </c>
      <c r="C692" t="s">
        <v>2814</v>
      </c>
      <c r="D692" t="s">
        <v>2815</v>
      </c>
      <c r="E692" t="s">
        <v>2816</v>
      </c>
      <c r="F692" t="s">
        <v>2817</v>
      </c>
      <c r="G692" t="s">
        <v>251</v>
      </c>
      <c r="H692" t="s">
        <v>99</v>
      </c>
      <c r="I692">
        <v>77016</v>
      </c>
    </row>
    <row r="693" spans="1:9" x14ac:dyDescent="0.3">
      <c r="A693">
        <v>692</v>
      </c>
      <c r="B693" t="s">
        <v>2818</v>
      </c>
      <c r="C693" t="s">
        <v>1613</v>
      </c>
      <c r="D693" t="s">
        <v>5611</v>
      </c>
      <c r="E693" t="s">
        <v>2819</v>
      </c>
      <c r="F693" t="s">
        <v>2820</v>
      </c>
      <c r="G693" t="s">
        <v>224</v>
      </c>
      <c r="H693" t="s">
        <v>34</v>
      </c>
      <c r="I693">
        <v>11102</v>
      </c>
    </row>
    <row r="694" spans="1:9" x14ac:dyDescent="0.3">
      <c r="A694">
        <v>693</v>
      </c>
      <c r="B694" t="s">
        <v>2821</v>
      </c>
      <c r="C694" t="s">
        <v>855</v>
      </c>
      <c r="D694" t="s">
        <v>2822</v>
      </c>
      <c r="E694" t="s">
        <v>2823</v>
      </c>
      <c r="F694" t="s">
        <v>2824</v>
      </c>
      <c r="G694" t="s">
        <v>93</v>
      </c>
      <c r="H694" t="s">
        <v>34</v>
      </c>
      <c r="I694">
        <v>11550</v>
      </c>
    </row>
    <row r="695" spans="1:9" x14ac:dyDescent="0.3">
      <c r="A695">
        <v>694</v>
      </c>
      <c r="B695" t="s">
        <v>2825</v>
      </c>
      <c r="C695" t="s">
        <v>2826</v>
      </c>
      <c r="D695" t="s">
        <v>5611</v>
      </c>
      <c r="E695" t="s">
        <v>2827</v>
      </c>
      <c r="F695" t="s">
        <v>2828</v>
      </c>
      <c r="G695" t="s">
        <v>394</v>
      </c>
      <c r="H695" t="s">
        <v>34</v>
      </c>
      <c r="I695">
        <v>14120</v>
      </c>
    </row>
    <row r="696" spans="1:9" x14ac:dyDescent="0.3">
      <c r="A696">
        <v>695</v>
      </c>
      <c r="B696" t="s">
        <v>1557</v>
      </c>
      <c r="C696" t="s">
        <v>1306</v>
      </c>
      <c r="D696" t="s">
        <v>5611</v>
      </c>
      <c r="E696" t="s">
        <v>2829</v>
      </c>
      <c r="F696" t="s">
        <v>2830</v>
      </c>
      <c r="G696" t="s">
        <v>1769</v>
      </c>
      <c r="H696" t="s">
        <v>34</v>
      </c>
      <c r="I696">
        <v>11967</v>
      </c>
    </row>
    <row r="697" spans="1:9" x14ac:dyDescent="0.3">
      <c r="A697">
        <v>696</v>
      </c>
      <c r="B697" t="s">
        <v>2831</v>
      </c>
      <c r="C697" t="s">
        <v>1218</v>
      </c>
      <c r="D697" t="s">
        <v>5611</v>
      </c>
      <c r="E697" t="s">
        <v>2832</v>
      </c>
      <c r="F697" t="s">
        <v>2833</v>
      </c>
      <c r="G697" t="s">
        <v>235</v>
      </c>
      <c r="H697" t="s">
        <v>40</v>
      </c>
      <c r="I697">
        <v>91316</v>
      </c>
    </row>
    <row r="698" spans="1:9" x14ac:dyDescent="0.3">
      <c r="A698">
        <v>697</v>
      </c>
      <c r="B698" t="s">
        <v>775</v>
      </c>
      <c r="C698" t="s">
        <v>2834</v>
      </c>
      <c r="D698" t="s">
        <v>2835</v>
      </c>
      <c r="E698" t="s">
        <v>2836</v>
      </c>
      <c r="F698" t="s">
        <v>2837</v>
      </c>
      <c r="G698" t="s">
        <v>474</v>
      </c>
      <c r="H698" t="s">
        <v>40</v>
      </c>
      <c r="I698">
        <v>92111</v>
      </c>
    </row>
    <row r="699" spans="1:9" x14ac:dyDescent="0.3">
      <c r="A699">
        <v>698</v>
      </c>
      <c r="B699" t="s">
        <v>1838</v>
      </c>
      <c r="C699" t="s">
        <v>427</v>
      </c>
      <c r="D699" t="s">
        <v>5611</v>
      </c>
      <c r="E699" t="s">
        <v>2838</v>
      </c>
      <c r="F699" t="s">
        <v>2839</v>
      </c>
      <c r="G699" t="s">
        <v>2097</v>
      </c>
      <c r="H699" t="s">
        <v>34</v>
      </c>
      <c r="I699">
        <v>11368</v>
      </c>
    </row>
    <row r="700" spans="1:9" x14ac:dyDescent="0.3">
      <c r="A700">
        <v>699</v>
      </c>
      <c r="B700" t="s">
        <v>2840</v>
      </c>
      <c r="C700" t="s">
        <v>1396</v>
      </c>
      <c r="D700" t="s">
        <v>5611</v>
      </c>
      <c r="E700" t="s">
        <v>2841</v>
      </c>
      <c r="F700" t="s">
        <v>2842</v>
      </c>
      <c r="G700" t="s">
        <v>323</v>
      </c>
      <c r="H700" t="s">
        <v>34</v>
      </c>
      <c r="I700">
        <v>11570</v>
      </c>
    </row>
    <row r="701" spans="1:9" x14ac:dyDescent="0.3">
      <c r="A701">
        <v>700</v>
      </c>
      <c r="B701" t="s">
        <v>1642</v>
      </c>
      <c r="C701" t="s">
        <v>2843</v>
      </c>
      <c r="D701" t="s">
        <v>2844</v>
      </c>
      <c r="E701" t="s">
        <v>2845</v>
      </c>
      <c r="F701" t="s">
        <v>2846</v>
      </c>
      <c r="G701" t="s">
        <v>621</v>
      </c>
      <c r="H701" t="s">
        <v>99</v>
      </c>
      <c r="I701">
        <v>78418</v>
      </c>
    </row>
    <row r="702" spans="1:9" x14ac:dyDescent="0.3">
      <c r="A702">
        <v>701</v>
      </c>
      <c r="B702" t="s">
        <v>2847</v>
      </c>
      <c r="C702" t="s">
        <v>1392</v>
      </c>
      <c r="D702" t="s">
        <v>2848</v>
      </c>
      <c r="E702" t="s">
        <v>2849</v>
      </c>
      <c r="F702" t="s">
        <v>2850</v>
      </c>
      <c r="G702" t="s">
        <v>829</v>
      </c>
      <c r="H702" t="s">
        <v>40</v>
      </c>
      <c r="I702">
        <v>93035</v>
      </c>
    </row>
    <row r="703" spans="1:9" x14ac:dyDescent="0.3">
      <c r="A703">
        <v>702</v>
      </c>
      <c r="B703" t="s">
        <v>1465</v>
      </c>
      <c r="C703" t="s">
        <v>2851</v>
      </c>
      <c r="D703" t="s">
        <v>5611</v>
      </c>
      <c r="E703" t="s">
        <v>2852</v>
      </c>
      <c r="F703" t="s">
        <v>2853</v>
      </c>
      <c r="G703" t="s">
        <v>286</v>
      </c>
      <c r="H703" t="s">
        <v>34</v>
      </c>
      <c r="I703">
        <v>11566</v>
      </c>
    </row>
    <row r="704" spans="1:9" x14ac:dyDescent="0.3">
      <c r="A704">
        <v>703</v>
      </c>
      <c r="B704" t="s">
        <v>302</v>
      </c>
      <c r="C704" t="s">
        <v>2590</v>
      </c>
      <c r="D704" t="s">
        <v>5611</v>
      </c>
      <c r="E704" t="s">
        <v>2854</v>
      </c>
      <c r="F704" t="s">
        <v>2855</v>
      </c>
      <c r="G704" t="s">
        <v>195</v>
      </c>
      <c r="H704" t="s">
        <v>40</v>
      </c>
      <c r="I704">
        <v>92831</v>
      </c>
    </row>
    <row r="705" spans="1:9" x14ac:dyDescent="0.3">
      <c r="A705">
        <v>704</v>
      </c>
      <c r="B705" t="s">
        <v>884</v>
      </c>
      <c r="C705" t="s">
        <v>2856</v>
      </c>
      <c r="D705" t="s">
        <v>2857</v>
      </c>
      <c r="E705" t="s">
        <v>2858</v>
      </c>
      <c r="F705" t="s">
        <v>2859</v>
      </c>
      <c r="G705" t="s">
        <v>1974</v>
      </c>
      <c r="H705" t="s">
        <v>40</v>
      </c>
      <c r="I705">
        <v>93306</v>
      </c>
    </row>
    <row r="706" spans="1:9" x14ac:dyDescent="0.3">
      <c r="A706">
        <v>705</v>
      </c>
      <c r="B706" t="s">
        <v>2860</v>
      </c>
      <c r="C706" t="s">
        <v>2861</v>
      </c>
      <c r="D706" t="s">
        <v>5611</v>
      </c>
      <c r="E706" t="s">
        <v>2862</v>
      </c>
      <c r="F706" t="s">
        <v>2863</v>
      </c>
      <c r="G706" t="s">
        <v>741</v>
      </c>
      <c r="H706" t="s">
        <v>34</v>
      </c>
      <c r="I706">
        <v>11743</v>
      </c>
    </row>
    <row r="707" spans="1:9" x14ac:dyDescent="0.3">
      <c r="A707">
        <v>706</v>
      </c>
      <c r="B707" t="s">
        <v>305</v>
      </c>
      <c r="C707" t="s">
        <v>936</v>
      </c>
      <c r="D707" t="s">
        <v>5611</v>
      </c>
      <c r="E707" t="s">
        <v>2864</v>
      </c>
      <c r="F707" t="s">
        <v>2865</v>
      </c>
      <c r="G707" t="s">
        <v>1184</v>
      </c>
      <c r="H707" t="s">
        <v>34</v>
      </c>
      <c r="I707">
        <v>11762</v>
      </c>
    </row>
    <row r="708" spans="1:9" x14ac:dyDescent="0.3">
      <c r="A708">
        <v>707</v>
      </c>
      <c r="B708" t="s">
        <v>1954</v>
      </c>
      <c r="C708" t="s">
        <v>2866</v>
      </c>
      <c r="D708" t="s">
        <v>5611</v>
      </c>
      <c r="E708" t="s">
        <v>2867</v>
      </c>
      <c r="F708" t="s">
        <v>2868</v>
      </c>
      <c r="G708" t="s">
        <v>802</v>
      </c>
      <c r="H708" t="s">
        <v>34</v>
      </c>
      <c r="I708">
        <v>11377</v>
      </c>
    </row>
    <row r="709" spans="1:9" x14ac:dyDescent="0.3">
      <c r="A709">
        <v>708</v>
      </c>
      <c r="B709" t="s">
        <v>1504</v>
      </c>
      <c r="C709" t="s">
        <v>1471</v>
      </c>
      <c r="D709" t="s">
        <v>5611</v>
      </c>
      <c r="E709" t="s">
        <v>2869</v>
      </c>
      <c r="F709" t="s">
        <v>2870</v>
      </c>
      <c r="G709" t="s">
        <v>896</v>
      </c>
      <c r="H709" t="s">
        <v>40</v>
      </c>
      <c r="I709">
        <v>92307</v>
      </c>
    </row>
    <row r="710" spans="1:9" x14ac:dyDescent="0.3">
      <c r="A710">
        <v>709</v>
      </c>
      <c r="B710" t="s">
        <v>2871</v>
      </c>
      <c r="C710" t="s">
        <v>2872</v>
      </c>
      <c r="D710" t="s">
        <v>5611</v>
      </c>
      <c r="E710" t="s">
        <v>2873</v>
      </c>
      <c r="F710" t="s">
        <v>2874</v>
      </c>
      <c r="G710" t="s">
        <v>1511</v>
      </c>
      <c r="H710" t="s">
        <v>34</v>
      </c>
      <c r="I710">
        <v>11375</v>
      </c>
    </row>
    <row r="711" spans="1:9" x14ac:dyDescent="0.3">
      <c r="A711">
        <v>710</v>
      </c>
      <c r="B711" t="s">
        <v>2113</v>
      </c>
      <c r="C711" t="s">
        <v>574</v>
      </c>
      <c r="D711" t="s">
        <v>5611</v>
      </c>
      <c r="E711" t="s">
        <v>2875</v>
      </c>
      <c r="F711" t="s">
        <v>2876</v>
      </c>
      <c r="G711" t="s">
        <v>948</v>
      </c>
      <c r="H711" t="s">
        <v>34</v>
      </c>
      <c r="I711">
        <v>12553</v>
      </c>
    </row>
    <row r="712" spans="1:9" x14ac:dyDescent="0.3">
      <c r="A712">
        <v>711</v>
      </c>
      <c r="B712" t="s">
        <v>2877</v>
      </c>
      <c r="C712" t="s">
        <v>2878</v>
      </c>
      <c r="D712" t="s">
        <v>5611</v>
      </c>
      <c r="E712" t="s">
        <v>2879</v>
      </c>
      <c r="F712" t="s">
        <v>2880</v>
      </c>
      <c r="G712" t="s">
        <v>719</v>
      </c>
      <c r="H712" t="s">
        <v>34</v>
      </c>
      <c r="I712">
        <v>10301</v>
      </c>
    </row>
    <row r="713" spans="1:9" x14ac:dyDescent="0.3">
      <c r="A713">
        <v>712</v>
      </c>
      <c r="B713" t="s">
        <v>2881</v>
      </c>
      <c r="C713" t="s">
        <v>2264</v>
      </c>
      <c r="D713" t="s">
        <v>5611</v>
      </c>
      <c r="E713" t="s">
        <v>2882</v>
      </c>
      <c r="F713" t="s">
        <v>2883</v>
      </c>
      <c r="G713" t="s">
        <v>927</v>
      </c>
      <c r="H713" t="s">
        <v>40</v>
      </c>
      <c r="I713">
        <v>95060</v>
      </c>
    </row>
    <row r="714" spans="1:9" x14ac:dyDescent="0.3">
      <c r="A714">
        <v>713</v>
      </c>
      <c r="B714" t="s">
        <v>2884</v>
      </c>
      <c r="C714" t="s">
        <v>2885</v>
      </c>
      <c r="D714" t="s">
        <v>5611</v>
      </c>
      <c r="E714" t="s">
        <v>2886</v>
      </c>
      <c r="F714" t="s">
        <v>2887</v>
      </c>
      <c r="G714" t="s">
        <v>403</v>
      </c>
      <c r="H714" t="s">
        <v>34</v>
      </c>
      <c r="I714">
        <v>11776</v>
      </c>
    </row>
    <row r="715" spans="1:9" x14ac:dyDescent="0.3">
      <c r="A715">
        <v>714</v>
      </c>
      <c r="B715" t="s">
        <v>2888</v>
      </c>
      <c r="C715" t="s">
        <v>2094</v>
      </c>
      <c r="D715" t="s">
        <v>5611</v>
      </c>
      <c r="E715" t="s">
        <v>2889</v>
      </c>
      <c r="F715" t="s">
        <v>2890</v>
      </c>
      <c r="G715" t="s">
        <v>314</v>
      </c>
      <c r="H715" t="s">
        <v>34</v>
      </c>
      <c r="I715">
        <v>10451</v>
      </c>
    </row>
    <row r="716" spans="1:9" x14ac:dyDescent="0.3">
      <c r="A716">
        <v>715</v>
      </c>
      <c r="B716" t="s">
        <v>2891</v>
      </c>
      <c r="C716" t="s">
        <v>2892</v>
      </c>
      <c r="D716" t="s">
        <v>5611</v>
      </c>
      <c r="E716" t="s">
        <v>2893</v>
      </c>
      <c r="F716" t="s">
        <v>2894</v>
      </c>
      <c r="G716" t="s">
        <v>170</v>
      </c>
      <c r="H716" t="s">
        <v>34</v>
      </c>
      <c r="I716">
        <v>11104</v>
      </c>
    </row>
    <row r="717" spans="1:9" x14ac:dyDescent="0.3">
      <c r="A717">
        <v>716</v>
      </c>
      <c r="B717" t="s">
        <v>2895</v>
      </c>
      <c r="C717" t="s">
        <v>2896</v>
      </c>
      <c r="D717" t="s">
        <v>5611</v>
      </c>
      <c r="E717" t="s">
        <v>2897</v>
      </c>
      <c r="F717" t="s">
        <v>2898</v>
      </c>
      <c r="G717" t="s">
        <v>665</v>
      </c>
      <c r="H717" t="s">
        <v>34</v>
      </c>
      <c r="I717">
        <v>11727</v>
      </c>
    </row>
    <row r="718" spans="1:9" x14ac:dyDescent="0.3">
      <c r="A718">
        <v>717</v>
      </c>
      <c r="B718" t="s">
        <v>2899</v>
      </c>
      <c r="C718" t="s">
        <v>2900</v>
      </c>
      <c r="D718" t="s">
        <v>5611</v>
      </c>
      <c r="E718" t="s">
        <v>2901</v>
      </c>
      <c r="F718" t="s">
        <v>2902</v>
      </c>
      <c r="G718" t="s">
        <v>750</v>
      </c>
      <c r="H718" t="s">
        <v>34</v>
      </c>
      <c r="I718">
        <v>11803</v>
      </c>
    </row>
    <row r="719" spans="1:9" x14ac:dyDescent="0.3">
      <c r="A719">
        <v>718</v>
      </c>
      <c r="B719" t="s">
        <v>2903</v>
      </c>
      <c r="C719" t="s">
        <v>2904</v>
      </c>
      <c r="D719" t="s">
        <v>5611</v>
      </c>
      <c r="E719" t="s">
        <v>2905</v>
      </c>
      <c r="F719" t="s">
        <v>2906</v>
      </c>
      <c r="G719" t="s">
        <v>994</v>
      </c>
      <c r="H719" t="s">
        <v>34</v>
      </c>
      <c r="I719">
        <v>11784</v>
      </c>
    </row>
    <row r="720" spans="1:9" x14ac:dyDescent="0.3">
      <c r="A720">
        <v>719</v>
      </c>
      <c r="B720" t="s">
        <v>2697</v>
      </c>
      <c r="C720" t="s">
        <v>1758</v>
      </c>
      <c r="D720" t="s">
        <v>5611</v>
      </c>
      <c r="E720" t="s">
        <v>2907</v>
      </c>
      <c r="F720" t="s">
        <v>2908</v>
      </c>
      <c r="G720" t="s">
        <v>2909</v>
      </c>
      <c r="H720" t="s">
        <v>34</v>
      </c>
      <c r="I720">
        <v>13760</v>
      </c>
    </row>
    <row r="721" spans="1:9" x14ac:dyDescent="0.3">
      <c r="A721">
        <v>720</v>
      </c>
      <c r="B721" t="s">
        <v>2910</v>
      </c>
      <c r="C721" t="s">
        <v>2911</v>
      </c>
      <c r="D721" t="s">
        <v>2912</v>
      </c>
      <c r="E721" t="s">
        <v>2913</v>
      </c>
      <c r="F721" t="s">
        <v>2914</v>
      </c>
      <c r="G721" t="s">
        <v>1936</v>
      </c>
      <c r="H721" t="s">
        <v>34</v>
      </c>
      <c r="I721">
        <v>14606</v>
      </c>
    </row>
    <row r="722" spans="1:9" x14ac:dyDescent="0.3">
      <c r="A722">
        <v>721</v>
      </c>
      <c r="B722" t="s">
        <v>635</v>
      </c>
      <c r="C722" t="s">
        <v>2915</v>
      </c>
      <c r="D722" t="s">
        <v>5611</v>
      </c>
      <c r="E722" t="s">
        <v>2916</v>
      </c>
      <c r="F722" t="s">
        <v>2917</v>
      </c>
      <c r="G722" t="s">
        <v>769</v>
      </c>
      <c r="H722" t="s">
        <v>34</v>
      </c>
      <c r="I722">
        <v>11795</v>
      </c>
    </row>
    <row r="723" spans="1:9" x14ac:dyDescent="0.3">
      <c r="A723">
        <v>722</v>
      </c>
      <c r="B723" t="s">
        <v>2918</v>
      </c>
      <c r="C723" t="s">
        <v>1413</v>
      </c>
      <c r="D723" t="s">
        <v>2919</v>
      </c>
      <c r="E723" t="s">
        <v>2920</v>
      </c>
      <c r="F723" t="s">
        <v>2921</v>
      </c>
      <c r="G723" t="s">
        <v>2922</v>
      </c>
      <c r="H723" t="s">
        <v>99</v>
      </c>
      <c r="I723">
        <v>78213</v>
      </c>
    </row>
    <row r="724" spans="1:9" x14ac:dyDescent="0.3">
      <c r="A724">
        <v>723</v>
      </c>
      <c r="B724" t="s">
        <v>2923</v>
      </c>
      <c r="C724" t="s">
        <v>1440</v>
      </c>
      <c r="D724" t="s">
        <v>5611</v>
      </c>
      <c r="E724" t="s">
        <v>2924</v>
      </c>
      <c r="F724" t="s">
        <v>2925</v>
      </c>
      <c r="G724" t="s">
        <v>1646</v>
      </c>
      <c r="H724" t="s">
        <v>34</v>
      </c>
      <c r="I724">
        <v>12590</v>
      </c>
    </row>
    <row r="725" spans="1:9" x14ac:dyDescent="0.3">
      <c r="A725">
        <v>724</v>
      </c>
      <c r="B725" t="s">
        <v>2926</v>
      </c>
      <c r="C725" t="s">
        <v>866</v>
      </c>
      <c r="D725" t="s">
        <v>5611</v>
      </c>
      <c r="E725" t="s">
        <v>2927</v>
      </c>
      <c r="F725" t="s">
        <v>2928</v>
      </c>
      <c r="G725" t="s">
        <v>175</v>
      </c>
      <c r="H725" t="s">
        <v>34</v>
      </c>
      <c r="I725">
        <v>10562</v>
      </c>
    </row>
    <row r="726" spans="1:9" x14ac:dyDescent="0.3">
      <c r="A726">
        <v>725</v>
      </c>
      <c r="B726" t="s">
        <v>770</v>
      </c>
      <c r="C726" t="s">
        <v>2929</v>
      </c>
      <c r="D726" t="s">
        <v>5611</v>
      </c>
      <c r="E726" t="s">
        <v>2930</v>
      </c>
      <c r="F726" t="s">
        <v>2931</v>
      </c>
      <c r="G726" t="s">
        <v>939</v>
      </c>
      <c r="H726" t="s">
        <v>34</v>
      </c>
      <c r="I726">
        <v>11374</v>
      </c>
    </row>
    <row r="727" spans="1:9" x14ac:dyDescent="0.3">
      <c r="A727">
        <v>726</v>
      </c>
      <c r="B727" t="s">
        <v>2932</v>
      </c>
      <c r="C727" t="s">
        <v>766</v>
      </c>
      <c r="D727" t="s">
        <v>5611</v>
      </c>
      <c r="E727" t="s">
        <v>2933</v>
      </c>
      <c r="F727" t="s">
        <v>2934</v>
      </c>
      <c r="G727" t="s">
        <v>403</v>
      </c>
      <c r="H727" t="s">
        <v>34</v>
      </c>
      <c r="I727">
        <v>11776</v>
      </c>
    </row>
    <row r="728" spans="1:9" x14ac:dyDescent="0.3">
      <c r="A728">
        <v>727</v>
      </c>
      <c r="B728" t="s">
        <v>35</v>
      </c>
      <c r="C728" t="s">
        <v>2935</v>
      </c>
      <c r="D728" t="s">
        <v>5611</v>
      </c>
      <c r="E728" t="s">
        <v>2936</v>
      </c>
      <c r="F728" t="s">
        <v>2937</v>
      </c>
      <c r="G728" t="s">
        <v>120</v>
      </c>
      <c r="H728" t="s">
        <v>34</v>
      </c>
      <c r="I728">
        <v>10583</v>
      </c>
    </row>
    <row r="729" spans="1:9" x14ac:dyDescent="0.3">
      <c r="A729">
        <v>728</v>
      </c>
      <c r="B729" t="s">
        <v>2938</v>
      </c>
      <c r="C729" t="s">
        <v>839</v>
      </c>
      <c r="D729" t="s">
        <v>5611</v>
      </c>
      <c r="E729" t="s">
        <v>2939</v>
      </c>
      <c r="F729" t="s">
        <v>2940</v>
      </c>
      <c r="G729" t="s">
        <v>33</v>
      </c>
      <c r="H729" t="s">
        <v>34</v>
      </c>
      <c r="I729">
        <v>14127</v>
      </c>
    </row>
    <row r="730" spans="1:9" x14ac:dyDescent="0.3">
      <c r="A730">
        <v>729</v>
      </c>
      <c r="B730" t="s">
        <v>2941</v>
      </c>
      <c r="C730" t="s">
        <v>1970</v>
      </c>
      <c r="D730" t="s">
        <v>5611</v>
      </c>
      <c r="E730" t="s">
        <v>2942</v>
      </c>
      <c r="F730" t="s">
        <v>2943</v>
      </c>
      <c r="G730" t="s">
        <v>896</v>
      </c>
      <c r="H730" t="s">
        <v>40</v>
      </c>
      <c r="I730">
        <v>92307</v>
      </c>
    </row>
    <row r="731" spans="1:9" x14ac:dyDescent="0.3">
      <c r="A731">
        <v>730</v>
      </c>
      <c r="B731" t="s">
        <v>2944</v>
      </c>
      <c r="C731" t="s">
        <v>2945</v>
      </c>
      <c r="D731" t="s">
        <v>5611</v>
      </c>
      <c r="E731" t="s">
        <v>2946</v>
      </c>
      <c r="F731" t="s">
        <v>2947</v>
      </c>
      <c r="G731" t="s">
        <v>943</v>
      </c>
      <c r="H731" t="s">
        <v>99</v>
      </c>
      <c r="I731">
        <v>79106</v>
      </c>
    </row>
    <row r="732" spans="1:9" x14ac:dyDescent="0.3">
      <c r="A732">
        <v>731</v>
      </c>
      <c r="B732" t="s">
        <v>2948</v>
      </c>
      <c r="C732" t="s">
        <v>2949</v>
      </c>
      <c r="D732" t="s">
        <v>2950</v>
      </c>
      <c r="E732" t="s">
        <v>2951</v>
      </c>
      <c r="F732" t="s">
        <v>2952</v>
      </c>
      <c r="G732" t="s">
        <v>829</v>
      </c>
      <c r="H732" t="s">
        <v>40</v>
      </c>
      <c r="I732">
        <v>93035</v>
      </c>
    </row>
    <row r="733" spans="1:9" x14ac:dyDescent="0.3">
      <c r="A733">
        <v>732</v>
      </c>
      <c r="B733" t="s">
        <v>2953</v>
      </c>
      <c r="C733" t="s">
        <v>2242</v>
      </c>
      <c r="D733" t="s">
        <v>5611</v>
      </c>
      <c r="E733" t="s">
        <v>2954</v>
      </c>
      <c r="F733" t="s">
        <v>2955</v>
      </c>
      <c r="G733" t="s">
        <v>301</v>
      </c>
      <c r="H733" t="s">
        <v>34</v>
      </c>
      <c r="I733">
        <v>13501</v>
      </c>
    </row>
    <row r="734" spans="1:9" x14ac:dyDescent="0.3">
      <c r="A734">
        <v>733</v>
      </c>
      <c r="B734" t="s">
        <v>2956</v>
      </c>
      <c r="C734" t="s">
        <v>2957</v>
      </c>
      <c r="D734" t="s">
        <v>5611</v>
      </c>
      <c r="E734" t="s">
        <v>2958</v>
      </c>
      <c r="F734" t="s">
        <v>2959</v>
      </c>
      <c r="G734" t="s">
        <v>741</v>
      </c>
      <c r="H734" t="s">
        <v>34</v>
      </c>
      <c r="I734">
        <v>11743</v>
      </c>
    </row>
    <row r="735" spans="1:9" x14ac:dyDescent="0.3">
      <c r="A735">
        <v>734</v>
      </c>
      <c r="B735" t="s">
        <v>2960</v>
      </c>
      <c r="C735" t="s">
        <v>2961</v>
      </c>
      <c r="D735" t="s">
        <v>5611</v>
      </c>
      <c r="E735" t="s">
        <v>2962</v>
      </c>
      <c r="F735" t="s">
        <v>2963</v>
      </c>
      <c r="G735" t="s">
        <v>1055</v>
      </c>
      <c r="H735" t="s">
        <v>34</v>
      </c>
      <c r="I735">
        <v>11772</v>
      </c>
    </row>
    <row r="736" spans="1:9" x14ac:dyDescent="0.3">
      <c r="A736">
        <v>735</v>
      </c>
      <c r="B736" t="s">
        <v>2964</v>
      </c>
      <c r="C736" t="s">
        <v>491</v>
      </c>
      <c r="D736" t="s">
        <v>5611</v>
      </c>
      <c r="E736" t="s">
        <v>2965</v>
      </c>
      <c r="F736" t="s">
        <v>2966</v>
      </c>
      <c r="G736" t="s">
        <v>154</v>
      </c>
      <c r="H736" t="s">
        <v>40</v>
      </c>
      <c r="I736">
        <v>95301</v>
      </c>
    </row>
    <row r="737" spans="1:9" x14ac:dyDescent="0.3">
      <c r="A737">
        <v>736</v>
      </c>
      <c r="B737" t="s">
        <v>2967</v>
      </c>
      <c r="C737" t="s">
        <v>1008</v>
      </c>
      <c r="D737" t="s">
        <v>5611</v>
      </c>
      <c r="E737" t="s">
        <v>2968</v>
      </c>
      <c r="F737" t="s">
        <v>2969</v>
      </c>
      <c r="G737" t="s">
        <v>45</v>
      </c>
      <c r="H737" t="s">
        <v>40</v>
      </c>
      <c r="I737">
        <v>90278</v>
      </c>
    </row>
    <row r="738" spans="1:9" x14ac:dyDescent="0.3">
      <c r="A738">
        <v>737</v>
      </c>
      <c r="B738" t="s">
        <v>2970</v>
      </c>
      <c r="C738" t="s">
        <v>2971</v>
      </c>
      <c r="D738" t="s">
        <v>5611</v>
      </c>
      <c r="E738" t="s">
        <v>2972</v>
      </c>
      <c r="F738" t="s">
        <v>2973</v>
      </c>
      <c r="G738" t="s">
        <v>2400</v>
      </c>
      <c r="H738" t="s">
        <v>34</v>
      </c>
      <c r="I738">
        <v>13021</v>
      </c>
    </row>
    <row r="739" spans="1:9" x14ac:dyDescent="0.3">
      <c r="A739">
        <v>738</v>
      </c>
      <c r="B739" t="s">
        <v>2974</v>
      </c>
      <c r="C739" t="s">
        <v>1423</v>
      </c>
      <c r="D739" t="s">
        <v>2975</v>
      </c>
      <c r="E739" t="s">
        <v>2976</v>
      </c>
      <c r="F739" t="s">
        <v>2977</v>
      </c>
      <c r="G739" t="s">
        <v>829</v>
      </c>
      <c r="H739" t="s">
        <v>40</v>
      </c>
      <c r="I739">
        <v>93035</v>
      </c>
    </row>
    <row r="740" spans="1:9" x14ac:dyDescent="0.3">
      <c r="A740">
        <v>739</v>
      </c>
      <c r="B740" t="s">
        <v>2978</v>
      </c>
      <c r="C740" t="s">
        <v>2979</v>
      </c>
      <c r="D740" t="s">
        <v>5611</v>
      </c>
      <c r="E740" t="s">
        <v>2980</v>
      </c>
      <c r="F740" t="s">
        <v>2981</v>
      </c>
      <c r="G740" t="s">
        <v>499</v>
      </c>
      <c r="H740" t="s">
        <v>34</v>
      </c>
      <c r="I740">
        <v>11361</v>
      </c>
    </row>
    <row r="741" spans="1:9" x14ac:dyDescent="0.3">
      <c r="A741">
        <v>740</v>
      </c>
      <c r="B741" t="s">
        <v>2982</v>
      </c>
      <c r="C741" t="s">
        <v>359</v>
      </c>
      <c r="D741" t="s">
        <v>5611</v>
      </c>
      <c r="E741" t="s">
        <v>2983</v>
      </c>
      <c r="F741" t="s">
        <v>2984</v>
      </c>
      <c r="G741" t="s">
        <v>1329</v>
      </c>
      <c r="H741" t="s">
        <v>34</v>
      </c>
      <c r="I741">
        <v>11720</v>
      </c>
    </row>
    <row r="742" spans="1:9" x14ac:dyDescent="0.3">
      <c r="A742">
        <v>741</v>
      </c>
      <c r="B742" t="s">
        <v>2985</v>
      </c>
      <c r="C742" t="s">
        <v>2305</v>
      </c>
      <c r="D742" t="s">
        <v>5611</v>
      </c>
      <c r="E742" t="s">
        <v>2986</v>
      </c>
      <c r="F742" t="s">
        <v>2987</v>
      </c>
      <c r="G742" t="s">
        <v>701</v>
      </c>
      <c r="H742" t="s">
        <v>34</v>
      </c>
      <c r="I742">
        <v>11412</v>
      </c>
    </row>
    <row r="743" spans="1:9" x14ac:dyDescent="0.3">
      <c r="A743">
        <v>742</v>
      </c>
      <c r="B743" t="s">
        <v>2593</v>
      </c>
      <c r="C743" t="s">
        <v>2988</v>
      </c>
      <c r="D743" t="s">
        <v>5611</v>
      </c>
      <c r="E743" t="s">
        <v>2989</v>
      </c>
      <c r="F743" t="s">
        <v>2990</v>
      </c>
      <c r="G743" t="s">
        <v>1524</v>
      </c>
      <c r="H743" t="s">
        <v>34</v>
      </c>
      <c r="I743">
        <v>10550</v>
      </c>
    </row>
    <row r="744" spans="1:9" x14ac:dyDescent="0.3">
      <c r="A744">
        <v>743</v>
      </c>
      <c r="B744" t="s">
        <v>2991</v>
      </c>
      <c r="C744" t="s">
        <v>2992</v>
      </c>
      <c r="D744" t="s">
        <v>5611</v>
      </c>
      <c r="E744" t="s">
        <v>2993</v>
      </c>
      <c r="F744" t="s">
        <v>2994</v>
      </c>
      <c r="G744" t="s">
        <v>98</v>
      </c>
      <c r="H744" t="s">
        <v>99</v>
      </c>
      <c r="I744">
        <v>75604</v>
      </c>
    </row>
    <row r="745" spans="1:9" x14ac:dyDescent="0.3">
      <c r="A745">
        <v>744</v>
      </c>
      <c r="B745" t="s">
        <v>2995</v>
      </c>
      <c r="C745" t="s">
        <v>1938</v>
      </c>
      <c r="D745" t="s">
        <v>5611</v>
      </c>
      <c r="E745" t="s">
        <v>2996</v>
      </c>
      <c r="F745" t="s">
        <v>2997</v>
      </c>
      <c r="G745" t="s">
        <v>1524</v>
      </c>
      <c r="H745" t="s">
        <v>34</v>
      </c>
      <c r="I745">
        <v>10550</v>
      </c>
    </row>
    <row r="746" spans="1:9" x14ac:dyDescent="0.3">
      <c r="A746">
        <v>745</v>
      </c>
      <c r="B746" t="s">
        <v>2998</v>
      </c>
      <c r="C746" t="s">
        <v>2999</v>
      </c>
      <c r="D746" t="s">
        <v>5611</v>
      </c>
      <c r="E746" t="s">
        <v>3000</v>
      </c>
      <c r="F746" t="s">
        <v>3001</v>
      </c>
      <c r="G746" t="s">
        <v>552</v>
      </c>
      <c r="H746" t="s">
        <v>34</v>
      </c>
      <c r="I746">
        <v>11001</v>
      </c>
    </row>
    <row r="747" spans="1:9" x14ac:dyDescent="0.3">
      <c r="A747">
        <v>746</v>
      </c>
      <c r="B747" t="s">
        <v>3002</v>
      </c>
      <c r="C747" t="s">
        <v>1565</v>
      </c>
      <c r="D747" t="s">
        <v>5611</v>
      </c>
      <c r="E747" t="s">
        <v>3003</v>
      </c>
      <c r="F747" t="s">
        <v>3004</v>
      </c>
      <c r="G747" t="s">
        <v>319</v>
      </c>
      <c r="H747" t="s">
        <v>34</v>
      </c>
      <c r="I747">
        <v>11722</v>
      </c>
    </row>
    <row r="748" spans="1:9" x14ac:dyDescent="0.3">
      <c r="A748">
        <v>747</v>
      </c>
      <c r="B748" t="s">
        <v>3005</v>
      </c>
      <c r="C748" t="s">
        <v>1543</v>
      </c>
      <c r="D748" t="s">
        <v>5611</v>
      </c>
      <c r="E748" t="s">
        <v>3006</v>
      </c>
      <c r="F748" t="s">
        <v>3007</v>
      </c>
      <c r="G748" t="s">
        <v>104</v>
      </c>
      <c r="H748" t="s">
        <v>99</v>
      </c>
      <c r="I748">
        <v>75126</v>
      </c>
    </row>
    <row r="749" spans="1:9" x14ac:dyDescent="0.3">
      <c r="A749">
        <v>748</v>
      </c>
      <c r="B749" t="s">
        <v>3008</v>
      </c>
      <c r="C749" t="s">
        <v>3009</v>
      </c>
      <c r="D749" t="s">
        <v>5611</v>
      </c>
      <c r="E749" t="s">
        <v>3010</v>
      </c>
      <c r="F749" t="s">
        <v>3011</v>
      </c>
      <c r="G749" t="s">
        <v>543</v>
      </c>
      <c r="H749" t="s">
        <v>34</v>
      </c>
      <c r="I749">
        <v>11373</v>
      </c>
    </row>
    <row r="750" spans="1:9" x14ac:dyDescent="0.3">
      <c r="A750">
        <v>749</v>
      </c>
      <c r="B750" t="s">
        <v>3012</v>
      </c>
      <c r="C750" t="s">
        <v>1223</v>
      </c>
      <c r="D750" t="s">
        <v>5611</v>
      </c>
      <c r="E750" t="s">
        <v>3013</v>
      </c>
      <c r="F750" t="s">
        <v>3014</v>
      </c>
      <c r="G750" t="s">
        <v>463</v>
      </c>
      <c r="H750" t="s">
        <v>40</v>
      </c>
      <c r="I750">
        <v>91784</v>
      </c>
    </row>
    <row r="751" spans="1:9" x14ac:dyDescent="0.3">
      <c r="A751">
        <v>750</v>
      </c>
      <c r="B751" t="s">
        <v>1798</v>
      </c>
      <c r="C751" t="s">
        <v>3015</v>
      </c>
      <c r="D751" t="s">
        <v>5611</v>
      </c>
      <c r="E751" t="s">
        <v>3016</v>
      </c>
      <c r="F751" t="s">
        <v>3017</v>
      </c>
      <c r="G751" t="s">
        <v>87</v>
      </c>
      <c r="H751" t="s">
        <v>34</v>
      </c>
      <c r="I751">
        <v>10952</v>
      </c>
    </row>
    <row r="752" spans="1:9" x14ac:dyDescent="0.3">
      <c r="A752">
        <v>751</v>
      </c>
      <c r="B752" t="s">
        <v>3018</v>
      </c>
      <c r="C752" t="s">
        <v>3019</v>
      </c>
      <c r="D752" t="s">
        <v>5611</v>
      </c>
      <c r="E752" t="s">
        <v>3020</v>
      </c>
      <c r="F752" t="s">
        <v>3021</v>
      </c>
      <c r="G752" t="s">
        <v>430</v>
      </c>
      <c r="H752" t="s">
        <v>40</v>
      </c>
      <c r="I752">
        <v>92236</v>
      </c>
    </row>
    <row r="753" spans="1:9" x14ac:dyDescent="0.3">
      <c r="A753">
        <v>752</v>
      </c>
      <c r="B753" t="s">
        <v>1231</v>
      </c>
      <c r="C753" t="s">
        <v>3022</v>
      </c>
      <c r="D753" t="s">
        <v>5611</v>
      </c>
      <c r="E753" t="s">
        <v>3023</v>
      </c>
      <c r="F753" t="s">
        <v>3024</v>
      </c>
      <c r="G753" t="s">
        <v>235</v>
      </c>
      <c r="H753" t="s">
        <v>40</v>
      </c>
      <c r="I753">
        <v>91316</v>
      </c>
    </row>
    <row r="754" spans="1:9" x14ac:dyDescent="0.3">
      <c r="A754">
        <v>753</v>
      </c>
      <c r="B754" t="s">
        <v>3025</v>
      </c>
      <c r="C754" t="s">
        <v>3026</v>
      </c>
      <c r="D754" t="s">
        <v>5611</v>
      </c>
      <c r="E754" t="s">
        <v>3027</v>
      </c>
      <c r="F754" t="s">
        <v>3028</v>
      </c>
      <c r="G754" t="s">
        <v>291</v>
      </c>
      <c r="H754" t="s">
        <v>34</v>
      </c>
      <c r="I754">
        <v>11369</v>
      </c>
    </row>
    <row r="755" spans="1:9" x14ac:dyDescent="0.3">
      <c r="A755">
        <v>754</v>
      </c>
      <c r="B755" t="s">
        <v>2941</v>
      </c>
      <c r="C755" t="s">
        <v>3029</v>
      </c>
      <c r="D755" t="s">
        <v>5611</v>
      </c>
      <c r="E755" t="s">
        <v>3030</v>
      </c>
      <c r="F755" t="s">
        <v>3031</v>
      </c>
      <c r="G755" t="s">
        <v>1604</v>
      </c>
      <c r="H755" t="s">
        <v>34</v>
      </c>
      <c r="I755">
        <v>11580</v>
      </c>
    </row>
    <row r="756" spans="1:9" x14ac:dyDescent="0.3">
      <c r="A756">
        <v>755</v>
      </c>
      <c r="B756" t="s">
        <v>798</v>
      </c>
      <c r="C756" t="s">
        <v>791</v>
      </c>
      <c r="D756" t="s">
        <v>5611</v>
      </c>
      <c r="E756" t="s">
        <v>3032</v>
      </c>
      <c r="F756" t="s">
        <v>3033</v>
      </c>
      <c r="G756" t="s">
        <v>2511</v>
      </c>
      <c r="H756" t="s">
        <v>34</v>
      </c>
      <c r="I756">
        <v>11040</v>
      </c>
    </row>
    <row r="757" spans="1:9" x14ac:dyDescent="0.3">
      <c r="A757">
        <v>756</v>
      </c>
      <c r="B757" t="s">
        <v>3034</v>
      </c>
      <c r="C757" t="s">
        <v>2639</v>
      </c>
      <c r="D757" t="s">
        <v>5611</v>
      </c>
      <c r="E757" t="s">
        <v>3035</v>
      </c>
      <c r="F757" t="s">
        <v>3036</v>
      </c>
      <c r="G757" t="s">
        <v>2771</v>
      </c>
      <c r="H757" t="s">
        <v>34</v>
      </c>
      <c r="I757">
        <v>11704</v>
      </c>
    </row>
    <row r="758" spans="1:9" x14ac:dyDescent="0.3">
      <c r="A758">
        <v>757</v>
      </c>
      <c r="B758" t="s">
        <v>3037</v>
      </c>
      <c r="C758" t="s">
        <v>1565</v>
      </c>
      <c r="D758" t="s">
        <v>5611</v>
      </c>
      <c r="E758" t="s">
        <v>3038</v>
      </c>
      <c r="F758" t="s">
        <v>3039</v>
      </c>
      <c r="G758" t="s">
        <v>1312</v>
      </c>
      <c r="H758" t="s">
        <v>34</v>
      </c>
      <c r="I758">
        <v>11756</v>
      </c>
    </row>
    <row r="759" spans="1:9" x14ac:dyDescent="0.3">
      <c r="A759">
        <v>758</v>
      </c>
      <c r="B759" t="s">
        <v>3040</v>
      </c>
      <c r="C759" t="s">
        <v>3041</v>
      </c>
      <c r="D759" t="s">
        <v>5611</v>
      </c>
      <c r="E759" t="s">
        <v>3042</v>
      </c>
      <c r="F759" t="s">
        <v>3043</v>
      </c>
      <c r="G759" t="s">
        <v>240</v>
      </c>
      <c r="H759" t="s">
        <v>34</v>
      </c>
      <c r="I759">
        <v>12804</v>
      </c>
    </row>
    <row r="760" spans="1:9" x14ac:dyDescent="0.3">
      <c r="A760">
        <v>759</v>
      </c>
      <c r="B760" t="s">
        <v>3044</v>
      </c>
      <c r="C760" t="s">
        <v>2814</v>
      </c>
      <c r="D760" t="s">
        <v>3045</v>
      </c>
      <c r="E760" t="s">
        <v>3046</v>
      </c>
      <c r="F760" t="s">
        <v>3047</v>
      </c>
      <c r="G760" t="s">
        <v>190</v>
      </c>
      <c r="H760" t="s">
        <v>40</v>
      </c>
      <c r="I760">
        <v>94603</v>
      </c>
    </row>
    <row r="761" spans="1:9" x14ac:dyDescent="0.3">
      <c r="A761">
        <v>760</v>
      </c>
      <c r="B761" t="s">
        <v>3048</v>
      </c>
      <c r="C761" t="s">
        <v>3049</v>
      </c>
      <c r="D761" t="s">
        <v>5611</v>
      </c>
      <c r="E761" t="s">
        <v>3050</v>
      </c>
      <c r="F761" t="s">
        <v>3051</v>
      </c>
      <c r="G761" t="s">
        <v>342</v>
      </c>
      <c r="H761" t="s">
        <v>34</v>
      </c>
      <c r="I761">
        <v>11701</v>
      </c>
    </row>
    <row r="762" spans="1:9" x14ac:dyDescent="0.3">
      <c r="A762">
        <v>761</v>
      </c>
      <c r="B762" t="s">
        <v>3052</v>
      </c>
      <c r="C762" t="s">
        <v>3053</v>
      </c>
      <c r="D762" t="s">
        <v>5611</v>
      </c>
      <c r="E762" t="s">
        <v>3054</v>
      </c>
      <c r="F762" t="s">
        <v>3055</v>
      </c>
      <c r="G762" t="s">
        <v>1272</v>
      </c>
      <c r="H762" t="s">
        <v>34</v>
      </c>
      <c r="I762">
        <v>11779</v>
      </c>
    </row>
    <row r="763" spans="1:9" x14ac:dyDescent="0.3">
      <c r="A763">
        <v>762</v>
      </c>
      <c r="B763" t="s">
        <v>3056</v>
      </c>
      <c r="C763" t="s">
        <v>251</v>
      </c>
      <c r="D763" t="s">
        <v>5611</v>
      </c>
      <c r="E763" t="s">
        <v>3057</v>
      </c>
      <c r="F763" t="s">
        <v>3058</v>
      </c>
      <c r="G763" t="s">
        <v>319</v>
      </c>
      <c r="H763" t="s">
        <v>34</v>
      </c>
      <c r="I763">
        <v>11722</v>
      </c>
    </row>
    <row r="764" spans="1:9" x14ac:dyDescent="0.3">
      <c r="A764">
        <v>763</v>
      </c>
      <c r="B764" t="s">
        <v>3059</v>
      </c>
      <c r="C764" t="s">
        <v>1825</v>
      </c>
      <c r="D764" t="s">
        <v>5611</v>
      </c>
      <c r="E764" t="s">
        <v>3060</v>
      </c>
      <c r="F764" t="s">
        <v>3061</v>
      </c>
      <c r="G764" t="s">
        <v>543</v>
      </c>
      <c r="H764" t="s">
        <v>34</v>
      </c>
      <c r="I764">
        <v>11373</v>
      </c>
    </row>
    <row r="765" spans="1:9" x14ac:dyDescent="0.3">
      <c r="A765">
        <v>764</v>
      </c>
      <c r="B765" t="s">
        <v>3062</v>
      </c>
      <c r="C765" t="s">
        <v>1094</v>
      </c>
      <c r="D765" t="s">
        <v>5611</v>
      </c>
      <c r="E765" t="s">
        <v>3063</v>
      </c>
      <c r="F765" t="s">
        <v>3064</v>
      </c>
      <c r="G765" t="s">
        <v>994</v>
      </c>
      <c r="H765" t="s">
        <v>34</v>
      </c>
      <c r="I765">
        <v>11784</v>
      </c>
    </row>
    <row r="766" spans="1:9" x14ac:dyDescent="0.3">
      <c r="A766">
        <v>765</v>
      </c>
      <c r="B766" t="s">
        <v>3065</v>
      </c>
      <c r="C766" t="s">
        <v>387</v>
      </c>
      <c r="D766" t="s">
        <v>5611</v>
      </c>
      <c r="E766" t="s">
        <v>3066</v>
      </c>
      <c r="F766" t="s">
        <v>3067</v>
      </c>
      <c r="G766" t="s">
        <v>175</v>
      </c>
      <c r="H766" t="s">
        <v>34</v>
      </c>
      <c r="I766">
        <v>10562</v>
      </c>
    </row>
    <row r="767" spans="1:9" x14ac:dyDescent="0.3">
      <c r="A767">
        <v>766</v>
      </c>
      <c r="B767" t="s">
        <v>3068</v>
      </c>
      <c r="C767" t="s">
        <v>3069</v>
      </c>
      <c r="D767" t="s">
        <v>5611</v>
      </c>
      <c r="E767" t="s">
        <v>3070</v>
      </c>
      <c r="F767" t="s">
        <v>3071</v>
      </c>
      <c r="G767" t="s">
        <v>1453</v>
      </c>
      <c r="H767" t="s">
        <v>34</v>
      </c>
      <c r="I767">
        <v>12302</v>
      </c>
    </row>
    <row r="768" spans="1:9" x14ac:dyDescent="0.3">
      <c r="A768">
        <v>767</v>
      </c>
      <c r="B768" t="s">
        <v>3072</v>
      </c>
      <c r="C768" t="s">
        <v>2316</v>
      </c>
      <c r="D768" t="s">
        <v>3073</v>
      </c>
      <c r="E768" t="s">
        <v>3074</v>
      </c>
      <c r="F768" t="s">
        <v>3075</v>
      </c>
      <c r="G768" t="s">
        <v>564</v>
      </c>
      <c r="H768" t="s">
        <v>40</v>
      </c>
      <c r="I768">
        <v>92806</v>
      </c>
    </row>
    <row r="769" spans="1:9" x14ac:dyDescent="0.3">
      <c r="A769">
        <v>768</v>
      </c>
      <c r="B769" t="s">
        <v>3076</v>
      </c>
      <c r="C769" t="s">
        <v>1052</v>
      </c>
      <c r="D769" t="s">
        <v>5611</v>
      </c>
      <c r="E769" t="s">
        <v>3077</v>
      </c>
      <c r="F769" t="s">
        <v>3078</v>
      </c>
      <c r="G769" t="s">
        <v>1140</v>
      </c>
      <c r="H769" t="s">
        <v>40</v>
      </c>
      <c r="I769">
        <v>94806</v>
      </c>
    </row>
    <row r="770" spans="1:9" x14ac:dyDescent="0.3">
      <c r="A770">
        <v>769</v>
      </c>
      <c r="B770" t="s">
        <v>3079</v>
      </c>
      <c r="C770" t="s">
        <v>359</v>
      </c>
      <c r="D770" t="s">
        <v>5611</v>
      </c>
      <c r="E770" t="s">
        <v>3080</v>
      </c>
      <c r="F770" t="s">
        <v>3081</v>
      </c>
      <c r="G770" t="s">
        <v>1382</v>
      </c>
      <c r="H770" t="s">
        <v>34</v>
      </c>
      <c r="I770">
        <v>11413</v>
      </c>
    </row>
    <row r="771" spans="1:9" x14ac:dyDescent="0.3">
      <c r="A771">
        <v>770</v>
      </c>
      <c r="B771" t="s">
        <v>3082</v>
      </c>
      <c r="C771" t="s">
        <v>3083</v>
      </c>
      <c r="D771" t="s">
        <v>5611</v>
      </c>
      <c r="E771" t="s">
        <v>3084</v>
      </c>
      <c r="F771" t="s">
        <v>3085</v>
      </c>
      <c r="G771" t="s">
        <v>764</v>
      </c>
      <c r="H771" t="s">
        <v>34</v>
      </c>
      <c r="I771">
        <v>11706</v>
      </c>
    </row>
    <row r="772" spans="1:9" x14ac:dyDescent="0.3">
      <c r="A772">
        <v>771</v>
      </c>
      <c r="B772" t="s">
        <v>3086</v>
      </c>
      <c r="C772" t="s">
        <v>2061</v>
      </c>
      <c r="D772" t="s">
        <v>3087</v>
      </c>
      <c r="E772" t="s">
        <v>3088</v>
      </c>
      <c r="F772" t="s">
        <v>3089</v>
      </c>
      <c r="G772" t="s">
        <v>67</v>
      </c>
      <c r="H772" t="s">
        <v>34</v>
      </c>
      <c r="I772">
        <v>14215</v>
      </c>
    </row>
    <row r="773" spans="1:9" x14ac:dyDescent="0.3">
      <c r="A773">
        <v>772</v>
      </c>
      <c r="B773" t="s">
        <v>3090</v>
      </c>
      <c r="C773" t="s">
        <v>3091</v>
      </c>
      <c r="D773" t="s">
        <v>5611</v>
      </c>
      <c r="E773" t="s">
        <v>3092</v>
      </c>
      <c r="F773" t="s">
        <v>3093</v>
      </c>
      <c r="G773" t="s">
        <v>2555</v>
      </c>
      <c r="H773" t="s">
        <v>34</v>
      </c>
      <c r="I773">
        <v>10598</v>
      </c>
    </row>
    <row r="774" spans="1:9" x14ac:dyDescent="0.3">
      <c r="A774">
        <v>773</v>
      </c>
      <c r="B774" t="s">
        <v>3094</v>
      </c>
      <c r="C774" t="s">
        <v>3095</v>
      </c>
      <c r="D774" t="s">
        <v>5611</v>
      </c>
      <c r="E774" t="s">
        <v>3096</v>
      </c>
      <c r="F774" t="s">
        <v>3097</v>
      </c>
      <c r="G774" t="s">
        <v>682</v>
      </c>
      <c r="H774" t="s">
        <v>34</v>
      </c>
      <c r="I774">
        <v>11758</v>
      </c>
    </row>
    <row r="775" spans="1:9" x14ac:dyDescent="0.3">
      <c r="A775">
        <v>774</v>
      </c>
      <c r="B775" t="s">
        <v>3098</v>
      </c>
      <c r="C775" t="s">
        <v>1043</v>
      </c>
      <c r="D775" t="s">
        <v>5611</v>
      </c>
      <c r="E775" t="s">
        <v>3099</v>
      </c>
      <c r="F775" t="s">
        <v>3100</v>
      </c>
      <c r="G775" t="s">
        <v>1060</v>
      </c>
      <c r="H775" t="s">
        <v>40</v>
      </c>
      <c r="I775">
        <v>90260</v>
      </c>
    </row>
    <row r="776" spans="1:9" x14ac:dyDescent="0.3">
      <c r="A776">
        <v>775</v>
      </c>
      <c r="B776" t="s">
        <v>2753</v>
      </c>
      <c r="C776" t="s">
        <v>3101</v>
      </c>
      <c r="D776" t="s">
        <v>5611</v>
      </c>
      <c r="E776" t="s">
        <v>3102</v>
      </c>
      <c r="F776" t="s">
        <v>3103</v>
      </c>
      <c r="G776" t="s">
        <v>1055</v>
      </c>
      <c r="H776" t="s">
        <v>34</v>
      </c>
      <c r="I776">
        <v>11772</v>
      </c>
    </row>
    <row r="777" spans="1:9" x14ac:dyDescent="0.3">
      <c r="A777">
        <v>776</v>
      </c>
      <c r="B777" t="s">
        <v>3104</v>
      </c>
      <c r="C777" t="s">
        <v>3105</v>
      </c>
      <c r="D777" t="s">
        <v>5611</v>
      </c>
      <c r="E777" t="s">
        <v>3106</v>
      </c>
      <c r="F777" t="s">
        <v>3107</v>
      </c>
      <c r="G777" t="s">
        <v>385</v>
      </c>
      <c r="H777" t="s">
        <v>40</v>
      </c>
      <c r="I777">
        <v>91733</v>
      </c>
    </row>
    <row r="778" spans="1:9" x14ac:dyDescent="0.3">
      <c r="A778">
        <v>777</v>
      </c>
      <c r="B778" t="s">
        <v>3108</v>
      </c>
      <c r="C778" t="s">
        <v>924</v>
      </c>
      <c r="D778" t="s">
        <v>5611</v>
      </c>
      <c r="E778" t="s">
        <v>3109</v>
      </c>
      <c r="F778" t="s">
        <v>3110</v>
      </c>
      <c r="G778" t="s">
        <v>1246</v>
      </c>
      <c r="H778" t="s">
        <v>34</v>
      </c>
      <c r="I778">
        <v>12401</v>
      </c>
    </row>
    <row r="779" spans="1:9" x14ac:dyDescent="0.3">
      <c r="A779">
        <v>778</v>
      </c>
      <c r="B779" t="s">
        <v>3111</v>
      </c>
      <c r="C779" t="s">
        <v>2729</v>
      </c>
      <c r="D779" t="s">
        <v>5611</v>
      </c>
      <c r="E779" t="s">
        <v>3112</v>
      </c>
      <c r="F779" t="s">
        <v>3113</v>
      </c>
      <c r="G779" t="s">
        <v>139</v>
      </c>
      <c r="H779" t="s">
        <v>99</v>
      </c>
      <c r="I779">
        <v>77904</v>
      </c>
    </row>
    <row r="780" spans="1:9" x14ac:dyDescent="0.3">
      <c r="A780">
        <v>779</v>
      </c>
      <c r="B780" t="s">
        <v>3114</v>
      </c>
      <c r="C780" t="s">
        <v>3105</v>
      </c>
      <c r="D780" t="s">
        <v>5611</v>
      </c>
      <c r="E780" t="s">
        <v>3115</v>
      </c>
      <c r="F780" t="s">
        <v>3116</v>
      </c>
      <c r="G780" t="s">
        <v>224</v>
      </c>
      <c r="H780" t="s">
        <v>34</v>
      </c>
      <c r="I780">
        <v>11102</v>
      </c>
    </row>
    <row r="781" spans="1:9" x14ac:dyDescent="0.3">
      <c r="A781">
        <v>780</v>
      </c>
      <c r="B781" t="s">
        <v>3117</v>
      </c>
      <c r="C781" t="s">
        <v>3118</v>
      </c>
      <c r="D781" t="s">
        <v>5611</v>
      </c>
      <c r="E781" t="s">
        <v>3119</v>
      </c>
      <c r="F781" t="s">
        <v>3120</v>
      </c>
      <c r="G781" t="s">
        <v>286</v>
      </c>
      <c r="H781" t="s">
        <v>34</v>
      </c>
      <c r="I781">
        <v>11566</v>
      </c>
    </row>
    <row r="782" spans="1:9" x14ac:dyDescent="0.3">
      <c r="A782">
        <v>781</v>
      </c>
      <c r="B782" t="s">
        <v>2301</v>
      </c>
      <c r="C782" t="s">
        <v>978</v>
      </c>
      <c r="D782" t="s">
        <v>5611</v>
      </c>
      <c r="E782" t="s">
        <v>3121</v>
      </c>
      <c r="F782" t="s">
        <v>3122</v>
      </c>
      <c r="G782" t="s">
        <v>499</v>
      </c>
      <c r="H782" t="s">
        <v>34</v>
      </c>
      <c r="I782">
        <v>11361</v>
      </c>
    </row>
    <row r="783" spans="1:9" x14ac:dyDescent="0.3">
      <c r="A783">
        <v>782</v>
      </c>
      <c r="B783" t="s">
        <v>3123</v>
      </c>
      <c r="C783" t="s">
        <v>456</v>
      </c>
      <c r="D783" t="s">
        <v>5611</v>
      </c>
      <c r="E783" t="s">
        <v>3124</v>
      </c>
      <c r="F783" t="s">
        <v>3125</v>
      </c>
      <c r="G783" t="s">
        <v>802</v>
      </c>
      <c r="H783" t="s">
        <v>34</v>
      </c>
      <c r="I783">
        <v>11377</v>
      </c>
    </row>
    <row r="784" spans="1:9" x14ac:dyDescent="0.3">
      <c r="A784">
        <v>783</v>
      </c>
      <c r="B784" t="s">
        <v>2089</v>
      </c>
      <c r="C784" t="s">
        <v>3126</v>
      </c>
      <c r="D784" t="s">
        <v>3127</v>
      </c>
      <c r="E784" t="s">
        <v>3128</v>
      </c>
      <c r="F784" t="s">
        <v>3129</v>
      </c>
      <c r="G784" t="s">
        <v>230</v>
      </c>
      <c r="H784" t="s">
        <v>34</v>
      </c>
      <c r="I784">
        <v>14086</v>
      </c>
    </row>
    <row r="785" spans="1:9" x14ac:dyDescent="0.3">
      <c r="A785">
        <v>784</v>
      </c>
      <c r="B785" t="s">
        <v>3130</v>
      </c>
      <c r="C785" t="s">
        <v>3131</v>
      </c>
      <c r="D785" t="s">
        <v>5611</v>
      </c>
      <c r="E785" t="s">
        <v>3132</v>
      </c>
      <c r="F785" t="s">
        <v>3133</v>
      </c>
      <c r="G785" t="s">
        <v>957</v>
      </c>
      <c r="H785" t="s">
        <v>34</v>
      </c>
      <c r="I785">
        <v>12020</v>
      </c>
    </row>
    <row r="786" spans="1:9" x14ac:dyDescent="0.3">
      <c r="A786">
        <v>785</v>
      </c>
      <c r="B786" t="s">
        <v>3134</v>
      </c>
      <c r="C786" t="s">
        <v>809</v>
      </c>
      <c r="D786" t="s">
        <v>5611</v>
      </c>
      <c r="E786" t="s">
        <v>3135</v>
      </c>
      <c r="F786" t="s">
        <v>3136</v>
      </c>
      <c r="G786" t="s">
        <v>660</v>
      </c>
      <c r="H786" t="s">
        <v>34</v>
      </c>
      <c r="I786">
        <v>14075</v>
      </c>
    </row>
    <row r="787" spans="1:9" x14ac:dyDescent="0.3">
      <c r="A787">
        <v>786</v>
      </c>
      <c r="B787" t="s">
        <v>3137</v>
      </c>
      <c r="C787" t="s">
        <v>3138</v>
      </c>
      <c r="D787" t="s">
        <v>5611</v>
      </c>
      <c r="E787" t="s">
        <v>3139</v>
      </c>
      <c r="F787" t="s">
        <v>3140</v>
      </c>
      <c r="G787" t="s">
        <v>2167</v>
      </c>
      <c r="H787" t="s">
        <v>34</v>
      </c>
      <c r="I787">
        <v>11419</v>
      </c>
    </row>
    <row r="788" spans="1:9" x14ac:dyDescent="0.3">
      <c r="A788">
        <v>787</v>
      </c>
      <c r="B788" t="s">
        <v>3141</v>
      </c>
      <c r="C788" t="s">
        <v>3142</v>
      </c>
      <c r="D788" t="s">
        <v>5611</v>
      </c>
      <c r="E788" t="s">
        <v>3143</v>
      </c>
      <c r="F788" t="s">
        <v>3144</v>
      </c>
      <c r="G788" t="s">
        <v>1524</v>
      </c>
      <c r="H788" t="s">
        <v>34</v>
      </c>
      <c r="I788">
        <v>10550</v>
      </c>
    </row>
    <row r="789" spans="1:9" x14ac:dyDescent="0.3">
      <c r="A789">
        <v>788</v>
      </c>
      <c r="B789" t="s">
        <v>3145</v>
      </c>
      <c r="C789" t="s">
        <v>2632</v>
      </c>
      <c r="D789" t="s">
        <v>5611</v>
      </c>
      <c r="E789" t="s">
        <v>3146</v>
      </c>
      <c r="F789" t="s">
        <v>3147</v>
      </c>
      <c r="G789" t="s">
        <v>3148</v>
      </c>
      <c r="H789" t="s">
        <v>99</v>
      </c>
      <c r="I789">
        <v>76522</v>
      </c>
    </row>
    <row r="790" spans="1:9" x14ac:dyDescent="0.3">
      <c r="A790">
        <v>789</v>
      </c>
      <c r="B790" t="s">
        <v>3149</v>
      </c>
      <c r="C790" t="s">
        <v>3150</v>
      </c>
      <c r="D790" t="s">
        <v>5611</v>
      </c>
      <c r="E790" t="s">
        <v>3151</v>
      </c>
      <c r="F790" t="s">
        <v>3152</v>
      </c>
      <c r="G790" t="s">
        <v>1148</v>
      </c>
      <c r="H790" t="s">
        <v>34</v>
      </c>
      <c r="I790">
        <v>14304</v>
      </c>
    </row>
    <row r="791" spans="1:9" x14ac:dyDescent="0.3">
      <c r="A791">
        <v>790</v>
      </c>
      <c r="B791" t="s">
        <v>381</v>
      </c>
      <c r="C791" t="s">
        <v>1609</v>
      </c>
      <c r="D791" t="s">
        <v>5611</v>
      </c>
      <c r="E791" t="s">
        <v>3153</v>
      </c>
      <c r="F791" t="s">
        <v>3154</v>
      </c>
      <c r="G791" t="s">
        <v>615</v>
      </c>
      <c r="H791" t="s">
        <v>34</v>
      </c>
      <c r="I791">
        <v>11414</v>
      </c>
    </row>
    <row r="792" spans="1:9" x14ac:dyDescent="0.3">
      <c r="A792">
        <v>791</v>
      </c>
      <c r="B792" t="s">
        <v>3155</v>
      </c>
      <c r="C792" t="s">
        <v>3156</v>
      </c>
      <c r="D792" t="s">
        <v>5611</v>
      </c>
      <c r="E792" t="s">
        <v>3157</v>
      </c>
      <c r="F792" t="s">
        <v>3158</v>
      </c>
      <c r="G792" t="s">
        <v>957</v>
      </c>
      <c r="H792" t="s">
        <v>34</v>
      </c>
      <c r="I792">
        <v>12020</v>
      </c>
    </row>
    <row r="793" spans="1:9" x14ac:dyDescent="0.3">
      <c r="A793">
        <v>792</v>
      </c>
      <c r="B793" t="s">
        <v>3159</v>
      </c>
      <c r="C793" t="s">
        <v>2217</v>
      </c>
      <c r="D793" t="s">
        <v>5611</v>
      </c>
      <c r="E793" t="s">
        <v>3160</v>
      </c>
      <c r="F793" t="s">
        <v>3161</v>
      </c>
      <c r="G793" t="s">
        <v>2771</v>
      </c>
      <c r="H793" t="s">
        <v>34</v>
      </c>
      <c r="I793">
        <v>11704</v>
      </c>
    </row>
    <row r="794" spans="1:9" x14ac:dyDescent="0.3">
      <c r="A794">
        <v>793</v>
      </c>
      <c r="B794" t="s">
        <v>3162</v>
      </c>
      <c r="C794" t="s">
        <v>3163</v>
      </c>
      <c r="D794" t="s">
        <v>5611</v>
      </c>
      <c r="E794" t="s">
        <v>3164</v>
      </c>
      <c r="F794" t="s">
        <v>3165</v>
      </c>
      <c r="G794" t="s">
        <v>543</v>
      </c>
      <c r="H794" t="s">
        <v>34</v>
      </c>
      <c r="I794">
        <v>11373</v>
      </c>
    </row>
    <row r="795" spans="1:9" x14ac:dyDescent="0.3">
      <c r="A795">
        <v>794</v>
      </c>
      <c r="B795" t="s">
        <v>3166</v>
      </c>
      <c r="C795" t="s">
        <v>3167</v>
      </c>
      <c r="D795" t="s">
        <v>5611</v>
      </c>
      <c r="E795" t="s">
        <v>3168</v>
      </c>
      <c r="F795" t="s">
        <v>3169</v>
      </c>
      <c r="G795" t="s">
        <v>45</v>
      </c>
      <c r="H795" t="s">
        <v>40</v>
      </c>
      <c r="I795">
        <v>90278</v>
      </c>
    </row>
    <row r="796" spans="1:9" x14ac:dyDescent="0.3">
      <c r="A796">
        <v>795</v>
      </c>
      <c r="B796" t="s">
        <v>3170</v>
      </c>
      <c r="C796" t="s">
        <v>3022</v>
      </c>
      <c r="D796" t="s">
        <v>5611</v>
      </c>
      <c r="E796" t="s">
        <v>3171</v>
      </c>
      <c r="F796" t="s">
        <v>3172</v>
      </c>
      <c r="G796" t="s">
        <v>468</v>
      </c>
      <c r="H796" t="s">
        <v>34</v>
      </c>
      <c r="I796">
        <v>11010</v>
      </c>
    </row>
    <row r="797" spans="1:9" x14ac:dyDescent="0.3">
      <c r="A797">
        <v>796</v>
      </c>
      <c r="B797" t="s">
        <v>3173</v>
      </c>
      <c r="C797" t="s">
        <v>1652</v>
      </c>
      <c r="D797" t="s">
        <v>5611</v>
      </c>
      <c r="E797" t="s">
        <v>3174</v>
      </c>
      <c r="F797" t="s">
        <v>3175</v>
      </c>
      <c r="G797" t="s">
        <v>463</v>
      </c>
      <c r="H797" t="s">
        <v>40</v>
      </c>
      <c r="I797">
        <v>91784</v>
      </c>
    </row>
    <row r="798" spans="1:9" x14ac:dyDescent="0.3">
      <c r="A798">
        <v>797</v>
      </c>
      <c r="B798" t="s">
        <v>3176</v>
      </c>
      <c r="C798" t="s">
        <v>3177</v>
      </c>
      <c r="D798" t="s">
        <v>5611</v>
      </c>
      <c r="E798" t="s">
        <v>3178</v>
      </c>
      <c r="F798" t="s">
        <v>3179</v>
      </c>
      <c r="G798" t="s">
        <v>499</v>
      </c>
      <c r="H798" t="s">
        <v>34</v>
      </c>
      <c r="I798">
        <v>11361</v>
      </c>
    </row>
    <row r="799" spans="1:9" x14ac:dyDescent="0.3">
      <c r="A799">
        <v>798</v>
      </c>
      <c r="B799" t="s">
        <v>3180</v>
      </c>
      <c r="C799" t="s">
        <v>3131</v>
      </c>
      <c r="D799" t="s">
        <v>5611</v>
      </c>
      <c r="E799" t="s">
        <v>3181</v>
      </c>
      <c r="F799" t="s">
        <v>3182</v>
      </c>
      <c r="G799" t="s">
        <v>1184</v>
      </c>
      <c r="H799" t="s">
        <v>34</v>
      </c>
      <c r="I799">
        <v>11762</v>
      </c>
    </row>
    <row r="800" spans="1:9" x14ac:dyDescent="0.3">
      <c r="A800">
        <v>799</v>
      </c>
      <c r="B800" t="s">
        <v>3183</v>
      </c>
      <c r="C800" t="s">
        <v>2856</v>
      </c>
      <c r="D800" t="s">
        <v>5611</v>
      </c>
      <c r="E800" t="s">
        <v>3184</v>
      </c>
      <c r="F800" t="s">
        <v>3185</v>
      </c>
      <c r="G800" t="s">
        <v>741</v>
      </c>
      <c r="H800" t="s">
        <v>34</v>
      </c>
      <c r="I800">
        <v>11743</v>
      </c>
    </row>
    <row r="801" spans="1:9" x14ac:dyDescent="0.3">
      <c r="A801">
        <v>800</v>
      </c>
      <c r="B801" t="s">
        <v>3186</v>
      </c>
      <c r="C801" t="s">
        <v>2826</v>
      </c>
      <c r="D801" t="s">
        <v>5611</v>
      </c>
      <c r="E801" t="s">
        <v>3187</v>
      </c>
      <c r="F801" t="s">
        <v>3188</v>
      </c>
      <c r="G801" t="s">
        <v>598</v>
      </c>
      <c r="H801" t="s">
        <v>34</v>
      </c>
      <c r="I801">
        <v>14534</v>
      </c>
    </row>
    <row r="802" spans="1:9" x14ac:dyDescent="0.3">
      <c r="A802">
        <v>801</v>
      </c>
      <c r="B802" t="s">
        <v>3189</v>
      </c>
      <c r="C802" t="s">
        <v>3190</v>
      </c>
      <c r="D802" t="s">
        <v>5611</v>
      </c>
      <c r="E802" t="s">
        <v>3191</v>
      </c>
      <c r="F802" t="s">
        <v>3192</v>
      </c>
      <c r="G802" t="s">
        <v>1264</v>
      </c>
      <c r="H802" t="s">
        <v>34</v>
      </c>
      <c r="I802">
        <v>12533</v>
      </c>
    </row>
    <row r="803" spans="1:9" x14ac:dyDescent="0.3">
      <c r="A803">
        <v>802</v>
      </c>
      <c r="B803" t="s">
        <v>3193</v>
      </c>
      <c r="C803" t="s">
        <v>3194</v>
      </c>
      <c r="D803" t="s">
        <v>5611</v>
      </c>
      <c r="E803" t="s">
        <v>3195</v>
      </c>
      <c r="F803" t="s">
        <v>3196</v>
      </c>
      <c r="G803" t="s">
        <v>98</v>
      </c>
      <c r="H803" t="s">
        <v>99</v>
      </c>
      <c r="I803">
        <v>75604</v>
      </c>
    </row>
    <row r="804" spans="1:9" x14ac:dyDescent="0.3">
      <c r="A804">
        <v>803</v>
      </c>
      <c r="B804" t="s">
        <v>3197</v>
      </c>
      <c r="C804" t="s">
        <v>1635</v>
      </c>
      <c r="D804" t="s">
        <v>5611</v>
      </c>
      <c r="E804" t="s">
        <v>3198</v>
      </c>
      <c r="F804" t="s">
        <v>3199</v>
      </c>
      <c r="G804" t="s">
        <v>1019</v>
      </c>
      <c r="H804" t="s">
        <v>34</v>
      </c>
      <c r="I804">
        <v>11357</v>
      </c>
    </row>
    <row r="805" spans="1:9" x14ac:dyDescent="0.3">
      <c r="A805">
        <v>804</v>
      </c>
      <c r="B805" t="s">
        <v>3200</v>
      </c>
      <c r="C805" t="s">
        <v>3201</v>
      </c>
      <c r="D805" t="s">
        <v>5611</v>
      </c>
      <c r="E805" t="s">
        <v>3202</v>
      </c>
      <c r="F805" t="s">
        <v>3203</v>
      </c>
      <c r="G805" t="s">
        <v>1604</v>
      </c>
      <c r="H805" t="s">
        <v>34</v>
      </c>
      <c r="I805">
        <v>11580</v>
      </c>
    </row>
    <row r="806" spans="1:9" x14ac:dyDescent="0.3">
      <c r="A806">
        <v>805</v>
      </c>
      <c r="B806" t="s">
        <v>3204</v>
      </c>
      <c r="C806" t="s">
        <v>2114</v>
      </c>
      <c r="D806" t="s">
        <v>5611</v>
      </c>
      <c r="E806" t="s">
        <v>3205</v>
      </c>
      <c r="F806" t="s">
        <v>3206</v>
      </c>
      <c r="G806" t="s">
        <v>2571</v>
      </c>
      <c r="H806" t="s">
        <v>34</v>
      </c>
      <c r="I806">
        <v>12065</v>
      </c>
    </row>
    <row r="807" spans="1:9" x14ac:dyDescent="0.3">
      <c r="A807">
        <v>806</v>
      </c>
      <c r="B807" t="s">
        <v>3207</v>
      </c>
      <c r="C807" t="s">
        <v>1685</v>
      </c>
      <c r="D807" t="s">
        <v>5611</v>
      </c>
      <c r="E807" t="s">
        <v>3208</v>
      </c>
      <c r="F807" t="s">
        <v>3209</v>
      </c>
      <c r="G807" t="s">
        <v>719</v>
      </c>
      <c r="H807" t="s">
        <v>34</v>
      </c>
      <c r="I807">
        <v>10301</v>
      </c>
    </row>
    <row r="808" spans="1:9" x14ac:dyDescent="0.3">
      <c r="A808">
        <v>807</v>
      </c>
      <c r="B808" t="s">
        <v>3210</v>
      </c>
      <c r="C808" t="s">
        <v>3211</v>
      </c>
      <c r="D808" t="s">
        <v>5611</v>
      </c>
      <c r="E808" t="s">
        <v>3212</v>
      </c>
      <c r="F808" t="s">
        <v>3213</v>
      </c>
      <c r="G808" t="s">
        <v>769</v>
      </c>
      <c r="H808" t="s">
        <v>34</v>
      </c>
      <c r="I808">
        <v>11795</v>
      </c>
    </row>
    <row r="809" spans="1:9" x14ac:dyDescent="0.3">
      <c r="A809">
        <v>808</v>
      </c>
      <c r="B809" t="s">
        <v>3214</v>
      </c>
      <c r="C809" t="s">
        <v>1849</v>
      </c>
      <c r="D809" t="s">
        <v>5611</v>
      </c>
      <c r="E809" t="s">
        <v>3215</v>
      </c>
      <c r="F809" t="s">
        <v>3216</v>
      </c>
      <c r="G809" t="s">
        <v>367</v>
      </c>
      <c r="H809" t="s">
        <v>99</v>
      </c>
      <c r="I809">
        <v>75088</v>
      </c>
    </row>
    <row r="810" spans="1:9" x14ac:dyDescent="0.3">
      <c r="A810">
        <v>809</v>
      </c>
      <c r="B810" t="s">
        <v>3217</v>
      </c>
      <c r="C810" t="s">
        <v>3218</v>
      </c>
      <c r="D810" t="s">
        <v>5611</v>
      </c>
      <c r="E810" t="s">
        <v>3219</v>
      </c>
      <c r="F810" t="s">
        <v>3220</v>
      </c>
      <c r="G810" t="s">
        <v>1241</v>
      </c>
      <c r="H810" t="s">
        <v>34</v>
      </c>
      <c r="I810">
        <v>11710</v>
      </c>
    </row>
    <row r="811" spans="1:9" x14ac:dyDescent="0.3">
      <c r="A811">
        <v>810</v>
      </c>
      <c r="B811" t="s">
        <v>3221</v>
      </c>
      <c r="C811" t="s">
        <v>3222</v>
      </c>
      <c r="D811" t="s">
        <v>3223</v>
      </c>
      <c r="E811" t="s">
        <v>3224</v>
      </c>
      <c r="F811" t="s">
        <v>3225</v>
      </c>
      <c r="G811" t="s">
        <v>251</v>
      </c>
      <c r="H811" t="s">
        <v>99</v>
      </c>
      <c r="I811">
        <v>77016</v>
      </c>
    </row>
    <row r="812" spans="1:9" x14ac:dyDescent="0.3">
      <c r="A812">
        <v>811</v>
      </c>
      <c r="B812" t="s">
        <v>3226</v>
      </c>
      <c r="C812" t="s">
        <v>813</v>
      </c>
      <c r="D812" t="s">
        <v>5611</v>
      </c>
      <c r="E812" t="s">
        <v>3227</v>
      </c>
      <c r="F812" t="s">
        <v>3228</v>
      </c>
      <c r="G812" t="s">
        <v>719</v>
      </c>
      <c r="H812" t="s">
        <v>34</v>
      </c>
      <c r="I812">
        <v>10301</v>
      </c>
    </row>
    <row r="813" spans="1:9" x14ac:dyDescent="0.3">
      <c r="A813">
        <v>812</v>
      </c>
      <c r="B813" t="s">
        <v>3229</v>
      </c>
      <c r="C813" t="s">
        <v>1278</v>
      </c>
      <c r="D813" t="s">
        <v>5611</v>
      </c>
      <c r="E813" t="s">
        <v>3230</v>
      </c>
      <c r="F813" t="s">
        <v>3231</v>
      </c>
      <c r="G813" t="s">
        <v>538</v>
      </c>
      <c r="H813" t="s">
        <v>34</v>
      </c>
      <c r="I813">
        <v>11421</v>
      </c>
    </row>
    <row r="814" spans="1:9" x14ac:dyDescent="0.3">
      <c r="A814">
        <v>813</v>
      </c>
      <c r="B814" t="s">
        <v>3232</v>
      </c>
      <c r="C814" t="s">
        <v>3233</v>
      </c>
      <c r="D814" t="s">
        <v>5611</v>
      </c>
      <c r="E814" t="s">
        <v>3234</v>
      </c>
      <c r="F814" t="s">
        <v>3235</v>
      </c>
      <c r="G814" t="s">
        <v>572</v>
      </c>
      <c r="H814" t="s">
        <v>34</v>
      </c>
      <c r="I814">
        <v>11552</v>
      </c>
    </row>
    <row r="815" spans="1:9" x14ac:dyDescent="0.3">
      <c r="A815">
        <v>814</v>
      </c>
      <c r="B815" t="s">
        <v>3236</v>
      </c>
      <c r="C815" t="s">
        <v>1914</v>
      </c>
      <c r="D815" t="s">
        <v>5611</v>
      </c>
      <c r="E815" t="s">
        <v>3237</v>
      </c>
      <c r="F815" t="s">
        <v>3238</v>
      </c>
      <c r="G815" t="s">
        <v>439</v>
      </c>
      <c r="H815" t="s">
        <v>34</v>
      </c>
      <c r="I815">
        <v>11757</v>
      </c>
    </row>
    <row r="816" spans="1:9" x14ac:dyDescent="0.3">
      <c r="A816">
        <v>815</v>
      </c>
      <c r="B816" t="s">
        <v>3239</v>
      </c>
      <c r="C816" t="s">
        <v>2988</v>
      </c>
      <c r="D816" t="s">
        <v>5611</v>
      </c>
      <c r="E816" t="s">
        <v>3240</v>
      </c>
      <c r="F816" t="s">
        <v>3241</v>
      </c>
      <c r="G816" t="s">
        <v>922</v>
      </c>
      <c r="H816" t="s">
        <v>34</v>
      </c>
      <c r="I816">
        <v>11801</v>
      </c>
    </row>
    <row r="817" spans="1:9" x14ac:dyDescent="0.3">
      <c r="A817">
        <v>816</v>
      </c>
      <c r="B817" t="s">
        <v>1821</v>
      </c>
      <c r="C817" t="s">
        <v>1500</v>
      </c>
      <c r="D817" t="s">
        <v>5611</v>
      </c>
      <c r="E817" t="s">
        <v>3242</v>
      </c>
      <c r="F817" t="s">
        <v>3243</v>
      </c>
      <c r="G817" t="s">
        <v>1930</v>
      </c>
      <c r="H817" t="s">
        <v>40</v>
      </c>
      <c r="I817">
        <v>92083</v>
      </c>
    </row>
    <row r="818" spans="1:9" x14ac:dyDescent="0.3">
      <c r="A818">
        <v>817</v>
      </c>
      <c r="B818" t="s">
        <v>3244</v>
      </c>
      <c r="C818" t="s">
        <v>906</v>
      </c>
      <c r="D818" t="s">
        <v>3245</v>
      </c>
      <c r="E818" t="s">
        <v>3246</v>
      </c>
      <c r="F818" t="s">
        <v>3247</v>
      </c>
      <c r="G818" t="s">
        <v>230</v>
      </c>
      <c r="H818" t="s">
        <v>34</v>
      </c>
      <c r="I818">
        <v>14086</v>
      </c>
    </row>
    <row r="819" spans="1:9" x14ac:dyDescent="0.3">
      <c r="A819">
        <v>818</v>
      </c>
      <c r="B819" t="s">
        <v>3248</v>
      </c>
      <c r="C819" t="s">
        <v>1561</v>
      </c>
      <c r="D819" t="s">
        <v>3249</v>
      </c>
      <c r="E819" t="s">
        <v>3250</v>
      </c>
      <c r="F819" t="s">
        <v>3251</v>
      </c>
      <c r="G819" t="s">
        <v>474</v>
      </c>
      <c r="H819" t="s">
        <v>40</v>
      </c>
      <c r="I819">
        <v>92111</v>
      </c>
    </row>
    <row r="820" spans="1:9" x14ac:dyDescent="0.3">
      <c r="A820">
        <v>819</v>
      </c>
      <c r="B820" t="s">
        <v>3252</v>
      </c>
      <c r="C820" t="s">
        <v>2213</v>
      </c>
      <c r="D820" t="s">
        <v>5611</v>
      </c>
      <c r="E820" t="s">
        <v>3253</v>
      </c>
      <c r="F820" t="s">
        <v>3254</v>
      </c>
      <c r="G820" t="s">
        <v>2909</v>
      </c>
      <c r="H820" t="s">
        <v>34</v>
      </c>
      <c r="I820">
        <v>13760</v>
      </c>
    </row>
    <row r="821" spans="1:9" x14ac:dyDescent="0.3">
      <c r="A821">
        <v>820</v>
      </c>
      <c r="B821" t="s">
        <v>3255</v>
      </c>
      <c r="C821" t="s">
        <v>809</v>
      </c>
      <c r="D821" t="s">
        <v>5611</v>
      </c>
      <c r="E821" t="s">
        <v>3256</v>
      </c>
      <c r="F821" t="s">
        <v>3257</v>
      </c>
      <c r="G821" t="s">
        <v>1453</v>
      </c>
      <c r="H821" t="s">
        <v>34</v>
      </c>
      <c r="I821">
        <v>12302</v>
      </c>
    </row>
    <row r="822" spans="1:9" x14ac:dyDescent="0.3">
      <c r="A822">
        <v>821</v>
      </c>
      <c r="B822" t="s">
        <v>3258</v>
      </c>
      <c r="C822" t="s">
        <v>3259</v>
      </c>
      <c r="D822" t="s">
        <v>5611</v>
      </c>
      <c r="E822" t="s">
        <v>3260</v>
      </c>
      <c r="F822" t="s">
        <v>3261</v>
      </c>
      <c r="G822" t="s">
        <v>224</v>
      </c>
      <c r="H822" t="s">
        <v>34</v>
      </c>
      <c r="I822">
        <v>11102</v>
      </c>
    </row>
    <row r="823" spans="1:9" x14ac:dyDescent="0.3">
      <c r="A823">
        <v>822</v>
      </c>
      <c r="B823" t="s">
        <v>3262</v>
      </c>
      <c r="C823" t="s">
        <v>3263</v>
      </c>
      <c r="D823" t="s">
        <v>5611</v>
      </c>
      <c r="E823" t="s">
        <v>3264</v>
      </c>
      <c r="F823" t="s">
        <v>3265</v>
      </c>
      <c r="G823" t="s">
        <v>615</v>
      </c>
      <c r="H823" t="s">
        <v>34</v>
      </c>
      <c r="I823">
        <v>11414</v>
      </c>
    </row>
    <row r="824" spans="1:9" x14ac:dyDescent="0.3">
      <c r="A824">
        <v>823</v>
      </c>
      <c r="B824" t="s">
        <v>3266</v>
      </c>
      <c r="C824" t="s">
        <v>1716</v>
      </c>
      <c r="D824" t="s">
        <v>5611</v>
      </c>
      <c r="E824" t="s">
        <v>3267</v>
      </c>
      <c r="F824" t="s">
        <v>3268</v>
      </c>
      <c r="G824" t="s">
        <v>219</v>
      </c>
      <c r="H824" t="s">
        <v>34</v>
      </c>
      <c r="I824">
        <v>11378</v>
      </c>
    </row>
    <row r="825" spans="1:9" x14ac:dyDescent="0.3">
      <c r="A825">
        <v>824</v>
      </c>
      <c r="B825" t="s">
        <v>3269</v>
      </c>
      <c r="C825" t="s">
        <v>1534</v>
      </c>
      <c r="D825" t="s">
        <v>5611</v>
      </c>
      <c r="E825" t="s">
        <v>3270</v>
      </c>
      <c r="F825" t="s">
        <v>3271</v>
      </c>
      <c r="G825" t="s">
        <v>883</v>
      </c>
      <c r="H825" t="s">
        <v>34</v>
      </c>
      <c r="I825">
        <v>14580</v>
      </c>
    </row>
    <row r="826" spans="1:9" x14ac:dyDescent="0.3">
      <c r="A826">
        <v>825</v>
      </c>
      <c r="B826" t="s">
        <v>3272</v>
      </c>
      <c r="C826" t="s">
        <v>2594</v>
      </c>
      <c r="D826" t="s">
        <v>5611</v>
      </c>
      <c r="E826" t="s">
        <v>3273</v>
      </c>
      <c r="F826" t="s">
        <v>3274</v>
      </c>
      <c r="G826" t="s">
        <v>922</v>
      </c>
      <c r="H826" t="s">
        <v>34</v>
      </c>
      <c r="I826">
        <v>11801</v>
      </c>
    </row>
    <row r="827" spans="1:9" x14ac:dyDescent="0.3">
      <c r="A827">
        <v>826</v>
      </c>
      <c r="B827" t="s">
        <v>3275</v>
      </c>
      <c r="C827" t="s">
        <v>3083</v>
      </c>
      <c r="D827" t="s">
        <v>5611</v>
      </c>
      <c r="E827" t="s">
        <v>3276</v>
      </c>
      <c r="F827" t="s">
        <v>3277</v>
      </c>
      <c r="G827" t="s">
        <v>728</v>
      </c>
      <c r="H827" t="s">
        <v>34</v>
      </c>
      <c r="I827">
        <v>11787</v>
      </c>
    </row>
    <row r="828" spans="1:9" x14ac:dyDescent="0.3">
      <c r="A828">
        <v>827</v>
      </c>
      <c r="B828" t="s">
        <v>3278</v>
      </c>
      <c r="C828" t="s">
        <v>2161</v>
      </c>
      <c r="D828" t="s">
        <v>5611</v>
      </c>
      <c r="E828" t="s">
        <v>3279</v>
      </c>
      <c r="F828" t="s">
        <v>3280</v>
      </c>
      <c r="G828" t="s">
        <v>170</v>
      </c>
      <c r="H828" t="s">
        <v>34</v>
      </c>
      <c r="I828">
        <v>11104</v>
      </c>
    </row>
    <row r="829" spans="1:9" x14ac:dyDescent="0.3">
      <c r="A829">
        <v>828</v>
      </c>
      <c r="B829" t="s">
        <v>3281</v>
      </c>
      <c r="C829" t="s">
        <v>884</v>
      </c>
      <c r="D829" t="s">
        <v>5611</v>
      </c>
      <c r="E829" t="s">
        <v>3282</v>
      </c>
      <c r="F829" t="s">
        <v>3283</v>
      </c>
      <c r="G829" t="s">
        <v>1524</v>
      </c>
      <c r="H829" t="s">
        <v>34</v>
      </c>
      <c r="I829">
        <v>10550</v>
      </c>
    </row>
    <row r="830" spans="1:9" x14ac:dyDescent="0.3">
      <c r="A830">
        <v>829</v>
      </c>
      <c r="B830" t="s">
        <v>3284</v>
      </c>
      <c r="C830" t="s">
        <v>3285</v>
      </c>
      <c r="D830" t="s">
        <v>5611</v>
      </c>
      <c r="E830" t="s">
        <v>3286</v>
      </c>
      <c r="F830" t="s">
        <v>3287</v>
      </c>
      <c r="G830" t="s">
        <v>646</v>
      </c>
      <c r="H830" t="s">
        <v>34</v>
      </c>
      <c r="I830">
        <v>14094</v>
      </c>
    </row>
    <row r="831" spans="1:9" x14ac:dyDescent="0.3">
      <c r="A831">
        <v>830</v>
      </c>
      <c r="B831" t="s">
        <v>3288</v>
      </c>
      <c r="C831" t="s">
        <v>2449</v>
      </c>
      <c r="D831" t="s">
        <v>5611</v>
      </c>
      <c r="E831" t="s">
        <v>3289</v>
      </c>
      <c r="F831" t="s">
        <v>3290</v>
      </c>
      <c r="G831" t="s">
        <v>3148</v>
      </c>
      <c r="H831" t="s">
        <v>99</v>
      </c>
      <c r="I831">
        <v>76522</v>
      </c>
    </row>
    <row r="832" spans="1:9" x14ac:dyDescent="0.3">
      <c r="A832">
        <v>831</v>
      </c>
      <c r="B832" t="s">
        <v>760</v>
      </c>
      <c r="C832" t="s">
        <v>263</v>
      </c>
      <c r="D832" t="s">
        <v>5611</v>
      </c>
      <c r="E832" t="s">
        <v>3291</v>
      </c>
      <c r="F832" t="s">
        <v>3292</v>
      </c>
      <c r="G832" t="s">
        <v>449</v>
      </c>
      <c r="H832" t="s">
        <v>34</v>
      </c>
      <c r="I832">
        <v>13126</v>
      </c>
    </row>
    <row r="833" spans="1:9" x14ac:dyDescent="0.3">
      <c r="A833">
        <v>832</v>
      </c>
      <c r="B833" t="s">
        <v>310</v>
      </c>
      <c r="C833" t="s">
        <v>2114</v>
      </c>
      <c r="D833" t="s">
        <v>5611</v>
      </c>
      <c r="E833" t="s">
        <v>3293</v>
      </c>
      <c r="F833" t="s">
        <v>3294</v>
      </c>
      <c r="G833" t="s">
        <v>957</v>
      </c>
      <c r="H833" t="s">
        <v>34</v>
      </c>
      <c r="I833">
        <v>12020</v>
      </c>
    </row>
    <row r="834" spans="1:9" x14ac:dyDescent="0.3">
      <c r="A834">
        <v>833</v>
      </c>
      <c r="B834" t="s">
        <v>3295</v>
      </c>
      <c r="C834" t="s">
        <v>3296</v>
      </c>
      <c r="D834" t="s">
        <v>5611</v>
      </c>
      <c r="E834" t="s">
        <v>3297</v>
      </c>
      <c r="F834" t="s">
        <v>3298</v>
      </c>
      <c r="G834" t="s">
        <v>1019</v>
      </c>
      <c r="H834" t="s">
        <v>34</v>
      </c>
      <c r="I834">
        <v>11357</v>
      </c>
    </row>
    <row r="835" spans="1:9" x14ac:dyDescent="0.3">
      <c r="A835">
        <v>834</v>
      </c>
      <c r="B835" t="s">
        <v>3299</v>
      </c>
      <c r="C835" t="s">
        <v>3300</v>
      </c>
      <c r="D835" t="s">
        <v>5611</v>
      </c>
      <c r="E835" t="s">
        <v>3301</v>
      </c>
      <c r="F835" t="s">
        <v>3302</v>
      </c>
      <c r="G835" t="s">
        <v>589</v>
      </c>
      <c r="H835" t="s">
        <v>99</v>
      </c>
      <c r="I835">
        <v>76039</v>
      </c>
    </row>
    <row r="836" spans="1:9" x14ac:dyDescent="0.3">
      <c r="A836">
        <v>835</v>
      </c>
      <c r="B836" t="s">
        <v>3303</v>
      </c>
      <c r="C836" t="s">
        <v>3163</v>
      </c>
      <c r="D836" t="s">
        <v>5611</v>
      </c>
      <c r="E836" t="s">
        <v>3304</v>
      </c>
      <c r="F836" t="s">
        <v>3305</v>
      </c>
      <c r="G836" t="s">
        <v>589</v>
      </c>
      <c r="H836" t="s">
        <v>99</v>
      </c>
      <c r="I836">
        <v>76039</v>
      </c>
    </row>
    <row r="837" spans="1:9" x14ac:dyDescent="0.3">
      <c r="A837">
        <v>836</v>
      </c>
      <c r="B837" t="s">
        <v>3306</v>
      </c>
      <c r="C837" t="s">
        <v>3307</v>
      </c>
      <c r="D837" t="s">
        <v>5611</v>
      </c>
      <c r="E837" t="s">
        <v>3308</v>
      </c>
      <c r="F837" t="s">
        <v>3309</v>
      </c>
      <c r="G837" t="s">
        <v>1641</v>
      </c>
      <c r="H837" t="s">
        <v>34</v>
      </c>
      <c r="I837">
        <v>11422</v>
      </c>
    </row>
    <row r="838" spans="1:9" x14ac:dyDescent="0.3">
      <c r="A838">
        <v>837</v>
      </c>
      <c r="B838" t="s">
        <v>3310</v>
      </c>
      <c r="C838" t="s">
        <v>39</v>
      </c>
      <c r="D838" t="s">
        <v>5611</v>
      </c>
      <c r="E838" t="s">
        <v>3311</v>
      </c>
      <c r="F838" t="s">
        <v>3312</v>
      </c>
      <c r="G838" t="s">
        <v>209</v>
      </c>
      <c r="H838" t="s">
        <v>34</v>
      </c>
      <c r="I838">
        <v>13027</v>
      </c>
    </row>
    <row r="839" spans="1:9" x14ac:dyDescent="0.3">
      <c r="A839">
        <v>838</v>
      </c>
      <c r="B839" t="s">
        <v>3313</v>
      </c>
      <c r="C839" t="s">
        <v>3314</v>
      </c>
      <c r="D839" t="s">
        <v>5611</v>
      </c>
      <c r="E839" t="s">
        <v>3315</v>
      </c>
      <c r="F839" t="s">
        <v>3316</v>
      </c>
      <c r="G839" t="s">
        <v>615</v>
      </c>
      <c r="H839" t="s">
        <v>34</v>
      </c>
      <c r="I839">
        <v>11414</v>
      </c>
    </row>
    <row r="840" spans="1:9" x14ac:dyDescent="0.3">
      <c r="A840">
        <v>839</v>
      </c>
      <c r="B840" t="s">
        <v>3317</v>
      </c>
      <c r="C840" t="s">
        <v>3318</v>
      </c>
      <c r="D840" t="s">
        <v>5611</v>
      </c>
      <c r="E840" t="s">
        <v>3319</v>
      </c>
      <c r="F840" t="s">
        <v>3320</v>
      </c>
      <c r="G840" t="s">
        <v>2207</v>
      </c>
      <c r="H840" t="s">
        <v>34</v>
      </c>
      <c r="I840">
        <v>11542</v>
      </c>
    </row>
    <row r="841" spans="1:9" x14ac:dyDescent="0.3">
      <c r="A841">
        <v>840</v>
      </c>
      <c r="B841" t="s">
        <v>2192</v>
      </c>
      <c r="C841" t="s">
        <v>3321</v>
      </c>
      <c r="D841" t="s">
        <v>5611</v>
      </c>
      <c r="E841" t="s">
        <v>3322</v>
      </c>
      <c r="F841" t="s">
        <v>3323</v>
      </c>
      <c r="G841" t="s">
        <v>291</v>
      </c>
      <c r="H841" t="s">
        <v>34</v>
      </c>
      <c r="I841">
        <v>11369</v>
      </c>
    </row>
    <row r="842" spans="1:9" x14ac:dyDescent="0.3">
      <c r="A842">
        <v>841</v>
      </c>
      <c r="B842" t="s">
        <v>1126</v>
      </c>
      <c r="C842" t="s">
        <v>3324</v>
      </c>
      <c r="D842" t="s">
        <v>5611</v>
      </c>
      <c r="E842" t="s">
        <v>3325</v>
      </c>
      <c r="F842" t="s">
        <v>3326</v>
      </c>
      <c r="G842" t="s">
        <v>1272</v>
      </c>
      <c r="H842" t="s">
        <v>34</v>
      </c>
      <c r="I842">
        <v>11779</v>
      </c>
    </row>
    <row r="843" spans="1:9" x14ac:dyDescent="0.3">
      <c r="A843">
        <v>842</v>
      </c>
      <c r="B843" t="s">
        <v>3327</v>
      </c>
      <c r="C843" t="s">
        <v>3328</v>
      </c>
      <c r="D843" t="s">
        <v>5611</v>
      </c>
      <c r="E843" t="s">
        <v>3329</v>
      </c>
      <c r="F843" t="s">
        <v>3330</v>
      </c>
      <c r="G843" t="s">
        <v>333</v>
      </c>
      <c r="H843" t="s">
        <v>99</v>
      </c>
      <c r="I843">
        <v>76901</v>
      </c>
    </row>
    <row r="844" spans="1:9" x14ac:dyDescent="0.3">
      <c r="A844">
        <v>843</v>
      </c>
      <c r="B844" t="s">
        <v>3331</v>
      </c>
      <c r="C844" t="s">
        <v>3332</v>
      </c>
      <c r="D844" t="s">
        <v>5611</v>
      </c>
      <c r="E844" t="s">
        <v>3333</v>
      </c>
      <c r="F844" t="s">
        <v>3334</v>
      </c>
      <c r="G844" t="s">
        <v>109</v>
      </c>
      <c r="H844" t="s">
        <v>34</v>
      </c>
      <c r="I844">
        <v>12901</v>
      </c>
    </row>
    <row r="845" spans="1:9" x14ac:dyDescent="0.3">
      <c r="A845">
        <v>844</v>
      </c>
      <c r="B845" t="s">
        <v>3335</v>
      </c>
      <c r="C845" t="s">
        <v>1903</v>
      </c>
      <c r="D845" t="s">
        <v>5611</v>
      </c>
      <c r="E845" t="s">
        <v>3336</v>
      </c>
      <c r="F845" t="s">
        <v>3337</v>
      </c>
      <c r="G845" t="s">
        <v>819</v>
      </c>
      <c r="H845" t="s">
        <v>34</v>
      </c>
      <c r="I845">
        <v>11420</v>
      </c>
    </row>
    <row r="846" spans="1:9" x14ac:dyDescent="0.3">
      <c r="A846">
        <v>845</v>
      </c>
      <c r="B846" t="s">
        <v>3338</v>
      </c>
      <c r="C846" t="s">
        <v>1716</v>
      </c>
      <c r="D846" t="s">
        <v>5611</v>
      </c>
      <c r="E846" t="s">
        <v>3339</v>
      </c>
      <c r="F846" t="s">
        <v>3340</v>
      </c>
      <c r="G846" t="s">
        <v>314</v>
      </c>
      <c r="H846" t="s">
        <v>34</v>
      </c>
      <c r="I846">
        <v>10451</v>
      </c>
    </row>
    <row r="847" spans="1:9" x14ac:dyDescent="0.3">
      <c r="A847">
        <v>846</v>
      </c>
      <c r="B847" t="s">
        <v>3341</v>
      </c>
      <c r="C847" t="s">
        <v>2872</v>
      </c>
      <c r="D847" t="s">
        <v>5611</v>
      </c>
      <c r="E847" t="s">
        <v>3342</v>
      </c>
      <c r="F847" t="s">
        <v>3343</v>
      </c>
      <c r="G847" t="s">
        <v>372</v>
      </c>
      <c r="H847" t="s">
        <v>40</v>
      </c>
      <c r="I847">
        <v>95677</v>
      </c>
    </row>
    <row r="848" spans="1:9" x14ac:dyDescent="0.3">
      <c r="A848">
        <v>847</v>
      </c>
      <c r="B848" t="s">
        <v>3344</v>
      </c>
      <c r="C848" t="s">
        <v>3345</v>
      </c>
      <c r="D848" t="s">
        <v>5611</v>
      </c>
      <c r="E848" t="s">
        <v>3346</v>
      </c>
      <c r="F848" t="s">
        <v>3347</v>
      </c>
      <c r="G848" t="s">
        <v>77</v>
      </c>
      <c r="H848" t="s">
        <v>34</v>
      </c>
      <c r="I848">
        <v>11050</v>
      </c>
    </row>
    <row r="849" spans="1:9" x14ac:dyDescent="0.3">
      <c r="A849">
        <v>848</v>
      </c>
      <c r="B849" t="s">
        <v>3348</v>
      </c>
      <c r="C849" t="s">
        <v>3300</v>
      </c>
      <c r="D849" t="s">
        <v>5611</v>
      </c>
      <c r="E849" t="s">
        <v>3349</v>
      </c>
      <c r="F849" t="s">
        <v>3350</v>
      </c>
      <c r="G849" t="s">
        <v>543</v>
      </c>
      <c r="H849" t="s">
        <v>34</v>
      </c>
      <c r="I849">
        <v>11373</v>
      </c>
    </row>
    <row r="850" spans="1:9" x14ac:dyDescent="0.3">
      <c r="A850">
        <v>849</v>
      </c>
      <c r="B850" t="s">
        <v>3351</v>
      </c>
      <c r="C850" t="s">
        <v>617</v>
      </c>
      <c r="D850" t="s">
        <v>5611</v>
      </c>
      <c r="E850" t="s">
        <v>3352</v>
      </c>
      <c r="F850" t="s">
        <v>3353</v>
      </c>
      <c r="G850" t="s">
        <v>529</v>
      </c>
      <c r="H850" t="s">
        <v>34</v>
      </c>
      <c r="I850">
        <v>11791</v>
      </c>
    </row>
    <row r="851" spans="1:9" x14ac:dyDescent="0.3">
      <c r="A851">
        <v>850</v>
      </c>
      <c r="B851" t="s">
        <v>3354</v>
      </c>
      <c r="C851" t="s">
        <v>221</v>
      </c>
      <c r="D851" t="s">
        <v>5611</v>
      </c>
      <c r="E851" t="s">
        <v>3355</v>
      </c>
      <c r="F851" t="s">
        <v>3356</v>
      </c>
      <c r="G851" t="s">
        <v>367</v>
      </c>
      <c r="H851" t="s">
        <v>99</v>
      </c>
      <c r="I851">
        <v>75088</v>
      </c>
    </row>
    <row r="852" spans="1:9" x14ac:dyDescent="0.3">
      <c r="A852">
        <v>851</v>
      </c>
      <c r="B852" t="s">
        <v>3357</v>
      </c>
      <c r="C852" t="s">
        <v>1326</v>
      </c>
      <c r="D852" t="s">
        <v>5611</v>
      </c>
      <c r="E852" t="s">
        <v>3358</v>
      </c>
      <c r="F852" t="s">
        <v>3359</v>
      </c>
      <c r="G852" t="s">
        <v>2511</v>
      </c>
      <c r="H852" t="s">
        <v>34</v>
      </c>
      <c r="I852">
        <v>11040</v>
      </c>
    </row>
    <row r="853" spans="1:9" x14ac:dyDescent="0.3">
      <c r="A853">
        <v>852</v>
      </c>
      <c r="B853" t="s">
        <v>3360</v>
      </c>
      <c r="C853" t="s">
        <v>2094</v>
      </c>
      <c r="D853" t="s">
        <v>5611</v>
      </c>
      <c r="E853" t="s">
        <v>3361</v>
      </c>
      <c r="F853" t="s">
        <v>3362</v>
      </c>
      <c r="G853" t="s">
        <v>2022</v>
      </c>
      <c r="H853" t="s">
        <v>34</v>
      </c>
      <c r="I853">
        <v>11520</v>
      </c>
    </row>
    <row r="854" spans="1:9" x14ac:dyDescent="0.3">
      <c r="A854">
        <v>853</v>
      </c>
      <c r="B854" t="s">
        <v>201</v>
      </c>
      <c r="C854" t="s">
        <v>1618</v>
      </c>
      <c r="D854" t="s">
        <v>5611</v>
      </c>
      <c r="E854" t="s">
        <v>3363</v>
      </c>
      <c r="F854" t="s">
        <v>3364</v>
      </c>
      <c r="G854" t="s">
        <v>1246</v>
      </c>
      <c r="H854" t="s">
        <v>34</v>
      </c>
      <c r="I854">
        <v>12401</v>
      </c>
    </row>
    <row r="855" spans="1:9" x14ac:dyDescent="0.3">
      <c r="A855">
        <v>854</v>
      </c>
      <c r="B855" t="s">
        <v>3365</v>
      </c>
      <c r="C855" t="s">
        <v>3366</v>
      </c>
      <c r="D855" t="s">
        <v>3367</v>
      </c>
      <c r="E855" t="s">
        <v>3368</v>
      </c>
      <c r="F855" t="s">
        <v>3369</v>
      </c>
      <c r="G855" t="s">
        <v>115</v>
      </c>
      <c r="H855" t="s">
        <v>34</v>
      </c>
      <c r="I855">
        <v>10002</v>
      </c>
    </row>
    <row r="856" spans="1:9" x14ac:dyDescent="0.3">
      <c r="A856">
        <v>855</v>
      </c>
      <c r="B856" t="s">
        <v>3370</v>
      </c>
      <c r="C856" t="s">
        <v>3371</v>
      </c>
      <c r="D856" t="s">
        <v>5611</v>
      </c>
      <c r="E856" t="s">
        <v>3372</v>
      </c>
      <c r="F856" t="s">
        <v>3373</v>
      </c>
      <c r="G856" t="s">
        <v>463</v>
      </c>
      <c r="H856" t="s">
        <v>40</v>
      </c>
      <c r="I856">
        <v>91784</v>
      </c>
    </row>
    <row r="857" spans="1:9" x14ac:dyDescent="0.3">
      <c r="A857">
        <v>856</v>
      </c>
      <c r="B857" t="s">
        <v>3374</v>
      </c>
      <c r="C857" t="s">
        <v>3375</v>
      </c>
      <c r="D857" t="s">
        <v>5611</v>
      </c>
      <c r="E857" t="s">
        <v>3376</v>
      </c>
      <c r="F857" t="s">
        <v>3377</v>
      </c>
      <c r="G857" t="s">
        <v>1272</v>
      </c>
      <c r="H857" t="s">
        <v>34</v>
      </c>
      <c r="I857">
        <v>11779</v>
      </c>
    </row>
    <row r="858" spans="1:9" x14ac:dyDescent="0.3">
      <c r="A858">
        <v>857</v>
      </c>
      <c r="B858" t="s">
        <v>3378</v>
      </c>
      <c r="C858" t="s">
        <v>3379</v>
      </c>
      <c r="D858" t="s">
        <v>5611</v>
      </c>
      <c r="E858" t="s">
        <v>3380</v>
      </c>
      <c r="F858" t="s">
        <v>3381</v>
      </c>
      <c r="G858" t="s">
        <v>948</v>
      </c>
      <c r="H858" t="s">
        <v>34</v>
      </c>
      <c r="I858">
        <v>12553</v>
      </c>
    </row>
    <row r="859" spans="1:9" x14ac:dyDescent="0.3">
      <c r="A859">
        <v>858</v>
      </c>
      <c r="B859" t="s">
        <v>880</v>
      </c>
      <c r="C859" t="s">
        <v>1346</v>
      </c>
      <c r="D859" t="s">
        <v>5611</v>
      </c>
      <c r="E859" t="s">
        <v>3382</v>
      </c>
      <c r="F859" t="s">
        <v>3383</v>
      </c>
      <c r="G859" t="s">
        <v>352</v>
      </c>
      <c r="H859" t="s">
        <v>34</v>
      </c>
      <c r="I859">
        <v>13440</v>
      </c>
    </row>
    <row r="860" spans="1:9" x14ac:dyDescent="0.3">
      <c r="A860">
        <v>859</v>
      </c>
      <c r="B860" t="s">
        <v>3384</v>
      </c>
      <c r="C860" t="s">
        <v>3385</v>
      </c>
      <c r="D860" t="s">
        <v>5611</v>
      </c>
      <c r="E860" t="s">
        <v>3386</v>
      </c>
      <c r="F860" t="s">
        <v>3387</v>
      </c>
      <c r="G860" t="s">
        <v>134</v>
      </c>
      <c r="H860" t="s">
        <v>99</v>
      </c>
      <c r="I860">
        <v>77478</v>
      </c>
    </row>
    <row r="861" spans="1:9" x14ac:dyDescent="0.3">
      <c r="A861">
        <v>860</v>
      </c>
      <c r="B861" t="s">
        <v>1638</v>
      </c>
      <c r="C861" t="s">
        <v>3388</v>
      </c>
      <c r="D861" t="s">
        <v>5611</v>
      </c>
      <c r="E861" t="s">
        <v>3389</v>
      </c>
      <c r="F861" t="s">
        <v>3390</v>
      </c>
      <c r="G861" t="s">
        <v>819</v>
      </c>
      <c r="H861" t="s">
        <v>34</v>
      </c>
      <c r="I861">
        <v>11420</v>
      </c>
    </row>
    <row r="862" spans="1:9" x14ac:dyDescent="0.3">
      <c r="A862">
        <v>861</v>
      </c>
      <c r="B862" t="s">
        <v>3391</v>
      </c>
      <c r="C862" t="s">
        <v>3392</v>
      </c>
      <c r="D862" t="s">
        <v>5611</v>
      </c>
      <c r="E862" t="s">
        <v>3393</v>
      </c>
      <c r="F862" t="s">
        <v>3394</v>
      </c>
      <c r="G862" t="s">
        <v>1264</v>
      </c>
      <c r="H862" t="s">
        <v>34</v>
      </c>
      <c r="I862">
        <v>12533</v>
      </c>
    </row>
    <row r="863" spans="1:9" x14ac:dyDescent="0.3">
      <c r="A863">
        <v>862</v>
      </c>
      <c r="B863" t="s">
        <v>3395</v>
      </c>
      <c r="C863" t="s">
        <v>1314</v>
      </c>
      <c r="D863" t="s">
        <v>5611</v>
      </c>
      <c r="E863" t="s">
        <v>3396</v>
      </c>
      <c r="F863" t="s">
        <v>3397</v>
      </c>
      <c r="G863" t="s">
        <v>2548</v>
      </c>
      <c r="H863" t="s">
        <v>34</v>
      </c>
      <c r="I863">
        <v>11365</v>
      </c>
    </row>
    <row r="864" spans="1:9" x14ac:dyDescent="0.3">
      <c r="A864">
        <v>863</v>
      </c>
      <c r="B864" t="s">
        <v>678</v>
      </c>
      <c r="C864" t="s">
        <v>756</v>
      </c>
      <c r="D864" t="s">
        <v>5611</v>
      </c>
      <c r="E864" t="s">
        <v>3398</v>
      </c>
      <c r="F864" t="s">
        <v>3399</v>
      </c>
      <c r="G864" t="s">
        <v>301</v>
      </c>
      <c r="H864" t="s">
        <v>34</v>
      </c>
      <c r="I864">
        <v>13501</v>
      </c>
    </row>
    <row r="865" spans="1:9" x14ac:dyDescent="0.3">
      <c r="A865">
        <v>864</v>
      </c>
      <c r="B865" t="s">
        <v>3400</v>
      </c>
      <c r="C865" t="s">
        <v>89</v>
      </c>
      <c r="D865" t="s">
        <v>3401</v>
      </c>
      <c r="E865" t="s">
        <v>3402</v>
      </c>
      <c r="F865" t="s">
        <v>3403</v>
      </c>
      <c r="G865" t="s">
        <v>67</v>
      </c>
      <c r="H865" t="s">
        <v>34</v>
      </c>
      <c r="I865">
        <v>14215</v>
      </c>
    </row>
    <row r="866" spans="1:9" x14ac:dyDescent="0.3">
      <c r="A866">
        <v>865</v>
      </c>
      <c r="B866" t="s">
        <v>3404</v>
      </c>
      <c r="C866" t="s">
        <v>427</v>
      </c>
      <c r="D866" t="s">
        <v>5611</v>
      </c>
      <c r="E866" t="s">
        <v>3405</v>
      </c>
      <c r="F866" t="s">
        <v>3406</v>
      </c>
      <c r="G866" t="s">
        <v>224</v>
      </c>
      <c r="H866" t="s">
        <v>34</v>
      </c>
      <c r="I866">
        <v>11102</v>
      </c>
    </row>
    <row r="867" spans="1:9" x14ac:dyDescent="0.3">
      <c r="A867">
        <v>866</v>
      </c>
      <c r="B867" t="s">
        <v>3407</v>
      </c>
      <c r="C867" t="s">
        <v>272</v>
      </c>
      <c r="D867" t="s">
        <v>5611</v>
      </c>
      <c r="E867" t="s">
        <v>3408</v>
      </c>
      <c r="F867" t="s">
        <v>3409</v>
      </c>
      <c r="G867" t="s">
        <v>98</v>
      </c>
      <c r="H867" t="s">
        <v>99</v>
      </c>
      <c r="I867">
        <v>75604</v>
      </c>
    </row>
    <row r="868" spans="1:9" x14ac:dyDescent="0.3">
      <c r="A868">
        <v>867</v>
      </c>
      <c r="B868" t="s">
        <v>3410</v>
      </c>
      <c r="C868" t="s">
        <v>1142</v>
      </c>
      <c r="D868" t="s">
        <v>5611</v>
      </c>
      <c r="E868" t="s">
        <v>3411</v>
      </c>
      <c r="F868" t="s">
        <v>3412</v>
      </c>
      <c r="G868" t="s">
        <v>39</v>
      </c>
      <c r="H868" t="s">
        <v>40</v>
      </c>
      <c r="I868">
        <v>95008</v>
      </c>
    </row>
    <row r="869" spans="1:9" x14ac:dyDescent="0.3">
      <c r="A869">
        <v>868</v>
      </c>
      <c r="B869" t="s">
        <v>3413</v>
      </c>
      <c r="C869" t="s">
        <v>378</v>
      </c>
      <c r="D869" t="s">
        <v>3414</v>
      </c>
      <c r="E869" t="s">
        <v>3415</v>
      </c>
      <c r="F869" t="s">
        <v>3416</v>
      </c>
      <c r="G869" t="s">
        <v>558</v>
      </c>
      <c r="H869" t="s">
        <v>40</v>
      </c>
      <c r="I869">
        <v>95127</v>
      </c>
    </row>
    <row r="870" spans="1:9" x14ac:dyDescent="0.3">
      <c r="A870">
        <v>869</v>
      </c>
      <c r="B870" t="s">
        <v>3417</v>
      </c>
      <c r="C870" t="s">
        <v>3418</v>
      </c>
      <c r="D870" t="s">
        <v>5611</v>
      </c>
      <c r="E870" t="s">
        <v>3419</v>
      </c>
      <c r="F870" t="s">
        <v>3420</v>
      </c>
      <c r="G870" t="s">
        <v>245</v>
      </c>
      <c r="H870" t="s">
        <v>34</v>
      </c>
      <c r="I870">
        <v>11418</v>
      </c>
    </row>
    <row r="871" spans="1:9" x14ac:dyDescent="0.3">
      <c r="A871">
        <v>870</v>
      </c>
      <c r="B871" t="s">
        <v>3421</v>
      </c>
      <c r="C871" t="s">
        <v>3422</v>
      </c>
      <c r="D871" t="s">
        <v>5611</v>
      </c>
      <c r="E871" t="s">
        <v>3423</v>
      </c>
      <c r="F871" t="s">
        <v>3424</v>
      </c>
      <c r="G871" t="s">
        <v>728</v>
      </c>
      <c r="H871" t="s">
        <v>34</v>
      </c>
      <c r="I871">
        <v>11787</v>
      </c>
    </row>
    <row r="872" spans="1:9" x14ac:dyDescent="0.3">
      <c r="A872">
        <v>871</v>
      </c>
      <c r="B872" t="s">
        <v>635</v>
      </c>
      <c r="C872" t="s">
        <v>3425</v>
      </c>
      <c r="D872" t="s">
        <v>5611</v>
      </c>
      <c r="E872" t="s">
        <v>3426</v>
      </c>
      <c r="F872" t="s">
        <v>3427</v>
      </c>
      <c r="G872" t="s">
        <v>948</v>
      </c>
      <c r="H872" t="s">
        <v>34</v>
      </c>
      <c r="I872">
        <v>12553</v>
      </c>
    </row>
    <row r="873" spans="1:9" x14ac:dyDescent="0.3">
      <c r="A873">
        <v>872</v>
      </c>
      <c r="B873" t="s">
        <v>3428</v>
      </c>
      <c r="C873" t="s">
        <v>694</v>
      </c>
      <c r="D873" t="s">
        <v>3429</v>
      </c>
      <c r="E873" t="s">
        <v>3430</v>
      </c>
      <c r="F873" t="s">
        <v>3431</v>
      </c>
      <c r="G873" t="s">
        <v>621</v>
      </c>
      <c r="H873" t="s">
        <v>99</v>
      </c>
      <c r="I873">
        <v>78418</v>
      </c>
    </row>
    <row r="874" spans="1:9" x14ac:dyDescent="0.3">
      <c r="A874">
        <v>873</v>
      </c>
      <c r="B874" t="s">
        <v>3432</v>
      </c>
      <c r="C874" t="s">
        <v>3433</v>
      </c>
      <c r="D874" t="s">
        <v>5611</v>
      </c>
      <c r="E874" t="s">
        <v>3434</v>
      </c>
      <c r="F874" t="s">
        <v>3435</v>
      </c>
      <c r="G874" t="s">
        <v>1148</v>
      </c>
      <c r="H874" t="s">
        <v>34</v>
      </c>
      <c r="I874">
        <v>14304</v>
      </c>
    </row>
    <row r="875" spans="1:9" x14ac:dyDescent="0.3">
      <c r="A875">
        <v>874</v>
      </c>
      <c r="B875" t="s">
        <v>3436</v>
      </c>
      <c r="C875" t="s">
        <v>3437</v>
      </c>
      <c r="D875" t="s">
        <v>5611</v>
      </c>
      <c r="E875" t="s">
        <v>3438</v>
      </c>
      <c r="F875" t="s">
        <v>3439</v>
      </c>
      <c r="G875" t="s">
        <v>109</v>
      </c>
      <c r="H875" t="s">
        <v>34</v>
      </c>
      <c r="I875">
        <v>12901</v>
      </c>
    </row>
    <row r="876" spans="1:9" x14ac:dyDescent="0.3">
      <c r="A876">
        <v>875</v>
      </c>
      <c r="B876" t="s">
        <v>652</v>
      </c>
      <c r="C876" t="s">
        <v>481</v>
      </c>
      <c r="D876" t="s">
        <v>5611</v>
      </c>
      <c r="E876" t="s">
        <v>3440</v>
      </c>
      <c r="F876" t="s">
        <v>3441</v>
      </c>
      <c r="G876" t="s">
        <v>1641</v>
      </c>
      <c r="H876" t="s">
        <v>34</v>
      </c>
      <c r="I876">
        <v>11422</v>
      </c>
    </row>
    <row r="877" spans="1:9" x14ac:dyDescent="0.3">
      <c r="A877">
        <v>876</v>
      </c>
      <c r="B877" t="s">
        <v>252</v>
      </c>
      <c r="C877" t="s">
        <v>3442</v>
      </c>
      <c r="D877" t="s">
        <v>5611</v>
      </c>
      <c r="E877" t="s">
        <v>3443</v>
      </c>
      <c r="F877" t="s">
        <v>3444</v>
      </c>
      <c r="G877" t="s">
        <v>2207</v>
      </c>
      <c r="H877" t="s">
        <v>34</v>
      </c>
      <c r="I877">
        <v>11542</v>
      </c>
    </row>
    <row r="878" spans="1:9" x14ac:dyDescent="0.3">
      <c r="A878">
        <v>877</v>
      </c>
      <c r="B878" t="s">
        <v>3445</v>
      </c>
      <c r="C878" t="s">
        <v>2988</v>
      </c>
      <c r="D878" t="s">
        <v>5611</v>
      </c>
      <c r="E878" t="s">
        <v>3446</v>
      </c>
      <c r="F878" t="s">
        <v>3447</v>
      </c>
      <c r="G878" t="s">
        <v>615</v>
      </c>
      <c r="H878" t="s">
        <v>34</v>
      </c>
      <c r="I878">
        <v>11414</v>
      </c>
    </row>
    <row r="879" spans="1:9" x14ac:dyDescent="0.3">
      <c r="A879">
        <v>878</v>
      </c>
      <c r="B879" t="s">
        <v>3448</v>
      </c>
      <c r="C879" t="s">
        <v>359</v>
      </c>
      <c r="D879" t="s">
        <v>5611</v>
      </c>
      <c r="E879" t="s">
        <v>3449</v>
      </c>
      <c r="F879" t="s">
        <v>3450</v>
      </c>
      <c r="G879" t="s">
        <v>728</v>
      </c>
      <c r="H879" t="s">
        <v>34</v>
      </c>
      <c r="I879">
        <v>11787</v>
      </c>
    </row>
    <row r="880" spans="1:9" x14ac:dyDescent="0.3">
      <c r="A880">
        <v>879</v>
      </c>
      <c r="B880" t="s">
        <v>3451</v>
      </c>
      <c r="C880" t="s">
        <v>3452</v>
      </c>
      <c r="D880" t="s">
        <v>5611</v>
      </c>
      <c r="E880" t="s">
        <v>3453</v>
      </c>
      <c r="F880" t="s">
        <v>3454</v>
      </c>
      <c r="G880" t="s">
        <v>1221</v>
      </c>
      <c r="H880" t="s">
        <v>34</v>
      </c>
      <c r="I880">
        <v>11530</v>
      </c>
    </row>
    <row r="881" spans="1:9" x14ac:dyDescent="0.3">
      <c r="A881">
        <v>880</v>
      </c>
      <c r="B881" t="s">
        <v>3455</v>
      </c>
      <c r="C881" t="s">
        <v>2438</v>
      </c>
      <c r="D881" t="s">
        <v>5611</v>
      </c>
      <c r="E881" t="s">
        <v>3456</v>
      </c>
      <c r="F881" t="s">
        <v>3457</v>
      </c>
      <c r="G881" t="s">
        <v>170</v>
      </c>
      <c r="H881" t="s">
        <v>34</v>
      </c>
      <c r="I881">
        <v>11104</v>
      </c>
    </row>
    <row r="882" spans="1:9" x14ac:dyDescent="0.3">
      <c r="A882">
        <v>881</v>
      </c>
      <c r="B882" t="s">
        <v>3458</v>
      </c>
      <c r="C882" t="s">
        <v>3459</v>
      </c>
      <c r="D882" t="s">
        <v>5611</v>
      </c>
      <c r="E882" t="s">
        <v>3460</v>
      </c>
      <c r="F882" t="s">
        <v>3461</v>
      </c>
      <c r="G882" t="s">
        <v>2240</v>
      </c>
      <c r="H882" t="s">
        <v>40</v>
      </c>
      <c r="I882">
        <v>90403</v>
      </c>
    </row>
    <row r="883" spans="1:9" x14ac:dyDescent="0.3">
      <c r="A883">
        <v>882</v>
      </c>
      <c r="B883" t="s">
        <v>3462</v>
      </c>
      <c r="C883" t="s">
        <v>2861</v>
      </c>
      <c r="D883" t="s">
        <v>5611</v>
      </c>
      <c r="E883" t="s">
        <v>3463</v>
      </c>
      <c r="F883" t="s">
        <v>3464</v>
      </c>
      <c r="G883" t="s">
        <v>957</v>
      </c>
      <c r="H883" t="s">
        <v>34</v>
      </c>
      <c r="I883">
        <v>12020</v>
      </c>
    </row>
    <row r="884" spans="1:9" x14ac:dyDescent="0.3">
      <c r="A884">
        <v>883</v>
      </c>
      <c r="B884" t="s">
        <v>3465</v>
      </c>
      <c r="C884" t="s">
        <v>3466</v>
      </c>
      <c r="D884" t="s">
        <v>3467</v>
      </c>
      <c r="E884" t="s">
        <v>3468</v>
      </c>
      <c r="F884" t="s">
        <v>3469</v>
      </c>
      <c r="G884" t="s">
        <v>1164</v>
      </c>
      <c r="H884" t="s">
        <v>99</v>
      </c>
      <c r="I884">
        <v>79930</v>
      </c>
    </row>
    <row r="885" spans="1:9" x14ac:dyDescent="0.3">
      <c r="A885">
        <v>884</v>
      </c>
      <c r="B885" t="s">
        <v>3470</v>
      </c>
      <c r="C885" t="s">
        <v>122</v>
      </c>
      <c r="D885" t="s">
        <v>5611</v>
      </c>
      <c r="E885" t="s">
        <v>3471</v>
      </c>
      <c r="F885" t="s">
        <v>3472</v>
      </c>
      <c r="G885" t="s">
        <v>449</v>
      </c>
      <c r="H885" t="s">
        <v>34</v>
      </c>
      <c r="I885">
        <v>13126</v>
      </c>
    </row>
    <row r="886" spans="1:9" x14ac:dyDescent="0.3">
      <c r="A886">
        <v>885</v>
      </c>
      <c r="B886" t="s">
        <v>3473</v>
      </c>
      <c r="C886" t="s">
        <v>1371</v>
      </c>
      <c r="D886" t="s">
        <v>5611</v>
      </c>
      <c r="E886" t="s">
        <v>3474</v>
      </c>
      <c r="F886" t="s">
        <v>3475</v>
      </c>
      <c r="G886" t="s">
        <v>98</v>
      </c>
      <c r="H886" t="s">
        <v>99</v>
      </c>
      <c r="I886">
        <v>75604</v>
      </c>
    </row>
    <row r="887" spans="1:9" x14ac:dyDescent="0.3">
      <c r="A887">
        <v>886</v>
      </c>
      <c r="B887" t="s">
        <v>3476</v>
      </c>
      <c r="C887" t="s">
        <v>3029</v>
      </c>
      <c r="D887" t="s">
        <v>5611</v>
      </c>
      <c r="E887" t="s">
        <v>3477</v>
      </c>
      <c r="F887" t="s">
        <v>3478</v>
      </c>
      <c r="G887" t="s">
        <v>394</v>
      </c>
      <c r="H887" t="s">
        <v>34</v>
      </c>
      <c r="I887">
        <v>14120</v>
      </c>
    </row>
    <row r="888" spans="1:9" x14ac:dyDescent="0.3">
      <c r="A888">
        <v>887</v>
      </c>
      <c r="B888" t="s">
        <v>3034</v>
      </c>
      <c r="C888" t="s">
        <v>3479</v>
      </c>
      <c r="D888" t="s">
        <v>5611</v>
      </c>
      <c r="E888" t="s">
        <v>3480</v>
      </c>
      <c r="F888" t="s">
        <v>3481</v>
      </c>
      <c r="G888" t="s">
        <v>529</v>
      </c>
      <c r="H888" t="s">
        <v>34</v>
      </c>
      <c r="I888">
        <v>11791</v>
      </c>
    </row>
    <row r="889" spans="1:9" x14ac:dyDescent="0.3">
      <c r="A889">
        <v>888</v>
      </c>
      <c r="B889" t="s">
        <v>3482</v>
      </c>
      <c r="C889" t="s">
        <v>3483</v>
      </c>
      <c r="D889" t="s">
        <v>5611</v>
      </c>
      <c r="E889" t="s">
        <v>3484</v>
      </c>
      <c r="F889" t="s">
        <v>3485</v>
      </c>
      <c r="G889" t="s">
        <v>883</v>
      </c>
      <c r="H889" t="s">
        <v>34</v>
      </c>
      <c r="I889">
        <v>14580</v>
      </c>
    </row>
    <row r="890" spans="1:9" x14ac:dyDescent="0.3">
      <c r="A890">
        <v>889</v>
      </c>
      <c r="B890" t="s">
        <v>3486</v>
      </c>
      <c r="C890" t="s">
        <v>3487</v>
      </c>
      <c r="D890" t="s">
        <v>5611</v>
      </c>
      <c r="E890" t="s">
        <v>3488</v>
      </c>
      <c r="F890" t="s">
        <v>3489</v>
      </c>
      <c r="G890" t="s">
        <v>328</v>
      </c>
      <c r="H890" t="s">
        <v>40</v>
      </c>
      <c r="I890">
        <v>94070</v>
      </c>
    </row>
    <row r="891" spans="1:9" x14ac:dyDescent="0.3">
      <c r="A891">
        <v>890</v>
      </c>
      <c r="B891" t="s">
        <v>3490</v>
      </c>
      <c r="C891" t="s">
        <v>3278</v>
      </c>
      <c r="D891" t="s">
        <v>5611</v>
      </c>
      <c r="E891" t="s">
        <v>3491</v>
      </c>
      <c r="F891" t="s">
        <v>3492</v>
      </c>
      <c r="G891" t="s">
        <v>175</v>
      </c>
      <c r="H891" t="s">
        <v>34</v>
      </c>
      <c r="I891">
        <v>10562</v>
      </c>
    </row>
    <row r="892" spans="1:9" x14ac:dyDescent="0.3">
      <c r="A892">
        <v>891</v>
      </c>
      <c r="B892" t="s">
        <v>3493</v>
      </c>
      <c r="C892" t="s">
        <v>3494</v>
      </c>
      <c r="D892" t="s">
        <v>5611</v>
      </c>
      <c r="E892" t="s">
        <v>3495</v>
      </c>
      <c r="F892" t="s">
        <v>3496</v>
      </c>
      <c r="G892" t="s">
        <v>87</v>
      </c>
      <c r="H892" t="s">
        <v>34</v>
      </c>
      <c r="I892">
        <v>10952</v>
      </c>
    </row>
    <row r="893" spans="1:9" x14ac:dyDescent="0.3">
      <c r="A893">
        <v>892</v>
      </c>
      <c r="B893" t="s">
        <v>2713</v>
      </c>
      <c r="C893" t="s">
        <v>2793</v>
      </c>
      <c r="D893" t="s">
        <v>5611</v>
      </c>
      <c r="E893" t="s">
        <v>3497</v>
      </c>
      <c r="F893" t="s">
        <v>3498</v>
      </c>
      <c r="G893" t="s">
        <v>175</v>
      </c>
      <c r="H893" t="s">
        <v>34</v>
      </c>
      <c r="I893">
        <v>10562</v>
      </c>
    </row>
    <row r="894" spans="1:9" x14ac:dyDescent="0.3">
      <c r="A894">
        <v>893</v>
      </c>
      <c r="B894" t="s">
        <v>3499</v>
      </c>
      <c r="C894" t="s">
        <v>2590</v>
      </c>
      <c r="D894" t="s">
        <v>5611</v>
      </c>
      <c r="E894" t="s">
        <v>3500</v>
      </c>
      <c r="F894" t="s">
        <v>3501</v>
      </c>
      <c r="G894" t="s">
        <v>1750</v>
      </c>
      <c r="H894" t="s">
        <v>34</v>
      </c>
      <c r="I894">
        <v>14043</v>
      </c>
    </row>
    <row r="895" spans="1:9" x14ac:dyDescent="0.3">
      <c r="A895">
        <v>894</v>
      </c>
      <c r="B895" t="s">
        <v>3502</v>
      </c>
      <c r="C895" t="s">
        <v>3503</v>
      </c>
      <c r="D895" t="s">
        <v>5611</v>
      </c>
      <c r="E895" t="s">
        <v>3504</v>
      </c>
      <c r="F895" t="s">
        <v>3505</v>
      </c>
      <c r="G895" t="s">
        <v>948</v>
      </c>
      <c r="H895" t="s">
        <v>34</v>
      </c>
      <c r="I895">
        <v>12553</v>
      </c>
    </row>
    <row r="896" spans="1:9" x14ac:dyDescent="0.3">
      <c r="A896">
        <v>895</v>
      </c>
      <c r="B896" t="s">
        <v>3506</v>
      </c>
      <c r="C896" t="s">
        <v>2329</v>
      </c>
      <c r="D896" t="s">
        <v>5611</v>
      </c>
      <c r="E896" t="s">
        <v>3507</v>
      </c>
      <c r="F896" t="s">
        <v>3508</v>
      </c>
      <c r="G896" t="s">
        <v>750</v>
      </c>
      <c r="H896" t="s">
        <v>34</v>
      </c>
      <c r="I896">
        <v>11803</v>
      </c>
    </row>
    <row r="897" spans="1:9" x14ac:dyDescent="0.3">
      <c r="A897">
        <v>896</v>
      </c>
      <c r="B897" t="s">
        <v>3509</v>
      </c>
      <c r="C897" t="s">
        <v>396</v>
      </c>
      <c r="D897" t="s">
        <v>3510</v>
      </c>
      <c r="E897" t="s">
        <v>3511</v>
      </c>
      <c r="F897" t="s">
        <v>3512</v>
      </c>
      <c r="G897" t="s">
        <v>2235</v>
      </c>
      <c r="H897" t="s">
        <v>34</v>
      </c>
      <c r="I897">
        <v>10956</v>
      </c>
    </row>
    <row r="898" spans="1:9" x14ac:dyDescent="0.3">
      <c r="A898">
        <v>897</v>
      </c>
      <c r="B898" t="s">
        <v>3513</v>
      </c>
      <c r="C898" t="s">
        <v>2549</v>
      </c>
      <c r="D898" t="s">
        <v>3514</v>
      </c>
      <c r="E898" t="s">
        <v>3515</v>
      </c>
      <c r="F898" t="s">
        <v>3516</v>
      </c>
      <c r="G898" t="s">
        <v>230</v>
      </c>
      <c r="H898" t="s">
        <v>34</v>
      </c>
      <c r="I898">
        <v>14086</v>
      </c>
    </row>
    <row r="899" spans="1:9" x14ac:dyDescent="0.3">
      <c r="A899">
        <v>898</v>
      </c>
      <c r="B899" t="s">
        <v>3517</v>
      </c>
      <c r="C899" t="s">
        <v>3518</v>
      </c>
      <c r="D899" t="s">
        <v>3519</v>
      </c>
      <c r="E899" t="s">
        <v>3520</v>
      </c>
      <c r="F899" t="s">
        <v>3521</v>
      </c>
      <c r="G899" t="s">
        <v>251</v>
      </c>
      <c r="H899" t="s">
        <v>99</v>
      </c>
      <c r="I899">
        <v>77016</v>
      </c>
    </row>
    <row r="900" spans="1:9" x14ac:dyDescent="0.3">
      <c r="A900">
        <v>899</v>
      </c>
      <c r="B900" t="s">
        <v>3522</v>
      </c>
      <c r="C900" t="s">
        <v>3523</v>
      </c>
      <c r="D900" t="s">
        <v>5611</v>
      </c>
      <c r="E900" t="s">
        <v>3524</v>
      </c>
      <c r="F900" t="s">
        <v>3525</v>
      </c>
      <c r="G900" t="s">
        <v>139</v>
      </c>
      <c r="H900" t="s">
        <v>99</v>
      </c>
      <c r="I900">
        <v>77904</v>
      </c>
    </row>
    <row r="901" spans="1:9" x14ac:dyDescent="0.3">
      <c r="A901">
        <v>900</v>
      </c>
      <c r="B901" t="s">
        <v>3526</v>
      </c>
      <c r="C901" t="s">
        <v>689</v>
      </c>
      <c r="D901" t="s">
        <v>5611</v>
      </c>
      <c r="E901" t="s">
        <v>3527</v>
      </c>
      <c r="F901" t="s">
        <v>3528</v>
      </c>
      <c r="G901" t="s">
        <v>328</v>
      </c>
      <c r="H901" t="s">
        <v>40</v>
      </c>
      <c r="I901">
        <v>94070</v>
      </c>
    </row>
    <row r="902" spans="1:9" x14ac:dyDescent="0.3">
      <c r="A902">
        <v>901</v>
      </c>
      <c r="B902" t="s">
        <v>3529</v>
      </c>
      <c r="C902" t="s">
        <v>3530</v>
      </c>
      <c r="D902" t="s">
        <v>5611</v>
      </c>
      <c r="E902" t="s">
        <v>3531</v>
      </c>
      <c r="F902" t="s">
        <v>3532</v>
      </c>
      <c r="G902" t="s">
        <v>2286</v>
      </c>
      <c r="H902" t="s">
        <v>40</v>
      </c>
      <c r="I902">
        <v>91762</v>
      </c>
    </row>
    <row r="903" spans="1:9" x14ac:dyDescent="0.3">
      <c r="A903">
        <v>902</v>
      </c>
      <c r="B903" t="s">
        <v>3533</v>
      </c>
      <c r="C903" t="s">
        <v>631</v>
      </c>
      <c r="D903" t="s">
        <v>5611</v>
      </c>
      <c r="E903" t="s">
        <v>3534</v>
      </c>
      <c r="F903" t="s">
        <v>3535</v>
      </c>
      <c r="G903" t="s">
        <v>449</v>
      </c>
      <c r="H903" t="s">
        <v>34</v>
      </c>
      <c r="I903">
        <v>13126</v>
      </c>
    </row>
    <row r="904" spans="1:9" x14ac:dyDescent="0.3">
      <c r="A904">
        <v>903</v>
      </c>
      <c r="B904" t="s">
        <v>3536</v>
      </c>
      <c r="C904" t="s">
        <v>1282</v>
      </c>
      <c r="D904" t="s">
        <v>5611</v>
      </c>
      <c r="E904" t="s">
        <v>3537</v>
      </c>
      <c r="F904" t="s">
        <v>3538</v>
      </c>
      <c r="G904" t="s">
        <v>922</v>
      </c>
      <c r="H904" t="s">
        <v>34</v>
      </c>
      <c r="I904">
        <v>11801</v>
      </c>
    </row>
    <row r="905" spans="1:9" x14ac:dyDescent="0.3">
      <c r="A905">
        <v>904</v>
      </c>
      <c r="B905" t="s">
        <v>3539</v>
      </c>
      <c r="C905" t="s">
        <v>2782</v>
      </c>
      <c r="D905" t="s">
        <v>3540</v>
      </c>
      <c r="E905" t="s">
        <v>3541</v>
      </c>
      <c r="F905" t="s">
        <v>3542</v>
      </c>
      <c r="G905" t="s">
        <v>558</v>
      </c>
      <c r="H905" t="s">
        <v>40</v>
      </c>
      <c r="I905">
        <v>95127</v>
      </c>
    </row>
    <row r="906" spans="1:9" x14ac:dyDescent="0.3">
      <c r="A906">
        <v>905</v>
      </c>
      <c r="B906" t="s">
        <v>3543</v>
      </c>
      <c r="C906" t="s">
        <v>288</v>
      </c>
      <c r="D906" t="s">
        <v>5611</v>
      </c>
      <c r="E906" t="s">
        <v>3544</v>
      </c>
      <c r="F906" t="s">
        <v>3545</v>
      </c>
      <c r="G906" t="s">
        <v>209</v>
      </c>
      <c r="H906" t="s">
        <v>34</v>
      </c>
      <c r="I906">
        <v>13027</v>
      </c>
    </row>
    <row r="907" spans="1:9" x14ac:dyDescent="0.3">
      <c r="A907">
        <v>906</v>
      </c>
      <c r="B907" t="s">
        <v>3546</v>
      </c>
      <c r="C907" t="s">
        <v>3547</v>
      </c>
      <c r="D907" t="s">
        <v>5611</v>
      </c>
      <c r="E907" t="s">
        <v>3548</v>
      </c>
      <c r="F907" t="s">
        <v>3549</v>
      </c>
      <c r="G907" t="s">
        <v>134</v>
      </c>
      <c r="H907" t="s">
        <v>99</v>
      </c>
      <c r="I907">
        <v>77478</v>
      </c>
    </row>
    <row r="908" spans="1:9" x14ac:dyDescent="0.3">
      <c r="A908">
        <v>907</v>
      </c>
      <c r="B908" t="s">
        <v>3550</v>
      </c>
      <c r="C908" t="s">
        <v>3551</v>
      </c>
      <c r="D908" t="s">
        <v>5611</v>
      </c>
      <c r="E908" t="s">
        <v>3552</v>
      </c>
      <c r="F908" t="s">
        <v>3553</v>
      </c>
      <c r="G908" t="s">
        <v>98</v>
      </c>
      <c r="H908" t="s">
        <v>99</v>
      </c>
      <c r="I908">
        <v>75604</v>
      </c>
    </row>
    <row r="909" spans="1:9" x14ac:dyDescent="0.3">
      <c r="A909">
        <v>908</v>
      </c>
      <c r="B909" t="s">
        <v>3554</v>
      </c>
      <c r="C909" t="s">
        <v>1243</v>
      </c>
      <c r="D909" t="s">
        <v>5611</v>
      </c>
      <c r="E909" t="s">
        <v>3555</v>
      </c>
      <c r="F909" t="s">
        <v>3556</v>
      </c>
      <c r="G909" t="s">
        <v>646</v>
      </c>
      <c r="H909" t="s">
        <v>34</v>
      </c>
      <c r="I909">
        <v>14094</v>
      </c>
    </row>
    <row r="910" spans="1:9" x14ac:dyDescent="0.3">
      <c r="A910">
        <v>909</v>
      </c>
      <c r="B910" t="s">
        <v>3557</v>
      </c>
      <c r="C910" t="s">
        <v>1186</v>
      </c>
      <c r="D910" t="s">
        <v>5611</v>
      </c>
      <c r="E910" t="s">
        <v>3558</v>
      </c>
      <c r="F910" t="s">
        <v>3559</v>
      </c>
      <c r="G910" t="s">
        <v>50</v>
      </c>
      <c r="H910" t="s">
        <v>34</v>
      </c>
      <c r="I910">
        <v>11553</v>
      </c>
    </row>
    <row r="911" spans="1:9" x14ac:dyDescent="0.3">
      <c r="A911">
        <v>910</v>
      </c>
      <c r="B911" t="s">
        <v>1007</v>
      </c>
      <c r="C911" t="s">
        <v>591</v>
      </c>
      <c r="D911" t="s">
        <v>5611</v>
      </c>
      <c r="E911" t="s">
        <v>3560</v>
      </c>
      <c r="F911" t="s">
        <v>3561</v>
      </c>
      <c r="G911" t="s">
        <v>1046</v>
      </c>
      <c r="H911" t="s">
        <v>99</v>
      </c>
      <c r="I911">
        <v>78501</v>
      </c>
    </row>
    <row r="912" spans="1:9" x14ac:dyDescent="0.3">
      <c r="A912">
        <v>911</v>
      </c>
      <c r="B912" t="s">
        <v>3562</v>
      </c>
      <c r="C912" t="s">
        <v>3563</v>
      </c>
      <c r="D912" t="s">
        <v>5611</v>
      </c>
      <c r="E912" t="s">
        <v>3564</v>
      </c>
      <c r="F912" t="s">
        <v>3565</v>
      </c>
      <c r="G912" t="s">
        <v>598</v>
      </c>
      <c r="H912" t="s">
        <v>34</v>
      </c>
      <c r="I912">
        <v>14534</v>
      </c>
    </row>
    <row r="913" spans="1:9" x14ac:dyDescent="0.3">
      <c r="A913">
        <v>912</v>
      </c>
      <c r="B913" t="s">
        <v>3566</v>
      </c>
      <c r="C913" t="s">
        <v>2329</v>
      </c>
      <c r="D913" t="s">
        <v>5611</v>
      </c>
      <c r="E913" t="s">
        <v>3567</v>
      </c>
      <c r="F913" t="s">
        <v>3568</v>
      </c>
      <c r="G913" t="s">
        <v>1184</v>
      </c>
      <c r="H913" t="s">
        <v>34</v>
      </c>
      <c r="I913">
        <v>11762</v>
      </c>
    </row>
    <row r="914" spans="1:9" x14ac:dyDescent="0.3">
      <c r="A914">
        <v>913</v>
      </c>
      <c r="B914" t="s">
        <v>3569</v>
      </c>
      <c r="C914" t="s">
        <v>3570</v>
      </c>
      <c r="D914" t="s">
        <v>5611</v>
      </c>
      <c r="E914" t="s">
        <v>3571</v>
      </c>
      <c r="F914" t="s">
        <v>3572</v>
      </c>
      <c r="G914" t="s">
        <v>347</v>
      </c>
      <c r="H914" t="s">
        <v>99</v>
      </c>
      <c r="I914">
        <v>75115</v>
      </c>
    </row>
    <row r="915" spans="1:9" x14ac:dyDescent="0.3">
      <c r="A915">
        <v>914</v>
      </c>
      <c r="B915" t="s">
        <v>1426</v>
      </c>
      <c r="C915" t="s">
        <v>3573</v>
      </c>
      <c r="D915" t="s">
        <v>5611</v>
      </c>
      <c r="E915" t="s">
        <v>3574</v>
      </c>
      <c r="F915" t="s">
        <v>3575</v>
      </c>
      <c r="G915" t="s">
        <v>323</v>
      </c>
      <c r="H915" t="s">
        <v>34</v>
      </c>
      <c r="I915">
        <v>11570</v>
      </c>
    </row>
    <row r="916" spans="1:9" x14ac:dyDescent="0.3">
      <c r="A916">
        <v>915</v>
      </c>
      <c r="B916" t="s">
        <v>3576</v>
      </c>
      <c r="C916" t="s">
        <v>257</v>
      </c>
      <c r="D916" t="s">
        <v>3577</v>
      </c>
      <c r="E916" t="s">
        <v>3578</v>
      </c>
      <c r="F916" t="s">
        <v>3579</v>
      </c>
      <c r="G916" t="s">
        <v>56</v>
      </c>
      <c r="H916" t="s">
        <v>40</v>
      </c>
      <c r="I916">
        <v>95820</v>
      </c>
    </row>
    <row r="917" spans="1:9" x14ac:dyDescent="0.3">
      <c r="A917">
        <v>916</v>
      </c>
      <c r="B917" t="s">
        <v>3580</v>
      </c>
      <c r="C917" t="s">
        <v>1105</v>
      </c>
      <c r="D917" t="s">
        <v>5611</v>
      </c>
      <c r="E917" t="s">
        <v>3581</v>
      </c>
      <c r="F917" t="s">
        <v>3582</v>
      </c>
      <c r="G917" t="s">
        <v>1524</v>
      </c>
      <c r="H917" t="s">
        <v>34</v>
      </c>
      <c r="I917">
        <v>10550</v>
      </c>
    </row>
    <row r="918" spans="1:9" x14ac:dyDescent="0.3">
      <c r="A918">
        <v>917</v>
      </c>
      <c r="B918" t="s">
        <v>3583</v>
      </c>
      <c r="C918" t="s">
        <v>2074</v>
      </c>
      <c r="D918" t="s">
        <v>3584</v>
      </c>
      <c r="E918" t="s">
        <v>3585</v>
      </c>
      <c r="F918" t="s">
        <v>3586</v>
      </c>
      <c r="G918" t="s">
        <v>485</v>
      </c>
      <c r="H918" t="s">
        <v>34</v>
      </c>
      <c r="I918">
        <v>12180</v>
      </c>
    </row>
    <row r="919" spans="1:9" x14ac:dyDescent="0.3">
      <c r="A919">
        <v>918</v>
      </c>
      <c r="B919" t="s">
        <v>3272</v>
      </c>
      <c r="C919" t="s">
        <v>456</v>
      </c>
      <c r="D919" t="s">
        <v>5611</v>
      </c>
      <c r="E919" t="s">
        <v>3587</v>
      </c>
      <c r="F919" t="s">
        <v>3588</v>
      </c>
      <c r="G919" t="s">
        <v>728</v>
      </c>
      <c r="H919" t="s">
        <v>34</v>
      </c>
      <c r="I919">
        <v>11787</v>
      </c>
    </row>
    <row r="920" spans="1:9" x14ac:dyDescent="0.3">
      <c r="A920">
        <v>919</v>
      </c>
      <c r="B920" t="s">
        <v>3589</v>
      </c>
      <c r="C920" t="s">
        <v>3590</v>
      </c>
      <c r="D920" t="s">
        <v>5611</v>
      </c>
      <c r="E920" t="s">
        <v>3591</v>
      </c>
      <c r="F920" t="s">
        <v>3592</v>
      </c>
      <c r="G920" t="s">
        <v>184</v>
      </c>
      <c r="H920" t="s">
        <v>40</v>
      </c>
      <c r="I920">
        <v>90505</v>
      </c>
    </row>
    <row r="921" spans="1:9" x14ac:dyDescent="0.3">
      <c r="A921">
        <v>920</v>
      </c>
      <c r="B921" t="s">
        <v>2615</v>
      </c>
      <c r="C921" t="s">
        <v>3328</v>
      </c>
      <c r="D921" t="s">
        <v>5611</v>
      </c>
      <c r="E921" t="s">
        <v>3593</v>
      </c>
      <c r="F921" t="s">
        <v>3594</v>
      </c>
      <c r="G921" t="s">
        <v>394</v>
      </c>
      <c r="H921" t="s">
        <v>34</v>
      </c>
      <c r="I921">
        <v>14120</v>
      </c>
    </row>
    <row r="922" spans="1:9" x14ac:dyDescent="0.3">
      <c r="A922">
        <v>921</v>
      </c>
      <c r="B922" t="s">
        <v>3595</v>
      </c>
      <c r="C922" t="s">
        <v>446</v>
      </c>
      <c r="D922" t="s">
        <v>5611</v>
      </c>
      <c r="E922" t="s">
        <v>3596</v>
      </c>
      <c r="F922" t="s">
        <v>3597</v>
      </c>
      <c r="G922" t="s">
        <v>883</v>
      </c>
      <c r="H922" t="s">
        <v>34</v>
      </c>
      <c r="I922">
        <v>14580</v>
      </c>
    </row>
    <row r="923" spans="1:9" x14ac:dyDescent="0.3">
      <c r="A923">
        <v>922</v>
      </c>
      <c r="B923" t="s">
        <v>3598</v>
      </c>
      <c r="C923" t="s">
        <v>2543</v>
      </c>
      <c r="D923" t="s">
        <v>5611</v>
      </c>
      <c r="E923" t="s">
        <v>3599</v>
      </c>
      <c r="F923" t="s">
        <v>3600</v>
      </c>
      <c r="G923" t="s">
        <v>682</v>
      </c>
      <c r="H923" t="s">
        <v>34</v>
      </c>
      <c r="I923">
        <v>11758</v>
      </c>
    </row>
    <row r="924" spans="1:9" x14ac:dyDescent="0.3">
      <c r="A924">
        <v>923</v>
      </c>
      <c r="B924" t="s">
        <v>3601</v>
      </c>
      <c r="C924" t="s">
        <v>870</v>
      </c>
      <c r="D924" t="s">
        <v>5611</v>
      </c>
      <c r="E924" t="s">
        <v>3602</v>
      </c>
      <c r="F924" t="s">
        <v>3603</v>
      </c>
      <c r="G924" t="s">
        <v>1122</v>
      </c>
      <c r="H924" t="s">
        <v>40</v>
      </c>
      <c r="I924">
        <v>91387</v>
      </c>
    </row>
    <row r="925" spans="1:9" x14ac:dyDescent="0.3">
      <c r="A925">
        <v>924</v>
      </c>
      <c r="B925" t="s">
        <v>2328</v>
      </c>
      <c r="C925" t="s">
        <v>657</v>
      </c>
      <c r="D925" t="s">
        <v>5611</v>
      </c>
      <c r="E925" t="s">
        <v>3604</v>
      </c>
      <c r="F925" t="s">
        <v>3605</v>
      </c>
      <c r="G925" t="s">
        <v>948</v>
      </c>
      <c r="H925" t="s">
        <v>34</v>
      </c>
      <c r="I925">
        <v>12553</v>
      </c>
    </row>
    <row r="926" spans="1:9" x14ac:dyDescent="0.3">
      <c r="A926">
        <v>925</v>
      </c>
      <c r="B926" t="s">
        <v>3606</v>
      </c>
      <c r="C926" t="s">
        <v>82</v>
      </c>
      <c r="D926" t="s">
        <v>5611</v>
      </c>
      <c r="E926" t="s">
        <v>3607</v>
      </c>
      <c r="F926" t="s">
        <v>3608</v>
      </c>
      <c r="G926" t="s">
        <v>1246</v>
      </c>
      <c r="H926" t="s">
        <v>34</v>
      </c>
      <c r="I926">
        <v>12401</v>
      </c>
    </row>
    <row r="927" spans="1:9" x14ac:dyDescent="0.3">
      <c r="A927">
        <v>926</v>
      </c>
      <c r="B927" t="s">
        <v>3609</v>
      </c>
      <c r="C927" t="s">
        <v>3610</v>
      </c>
      <c r="D927" t="s">
        <v>3611</v>
      </c>
      <c r="E927" t="s">
        <v>3612</v>
      </c>
      <c r="F927" t="s">
        <v>3613</v>
      </c>
      <c r="G927" t="s">
        <v>1974</v>
      </c>
      <c r="H927" t="s">
        <v>40</v>
      </c>
      <c r="I927">
        <v>93306</v>
      </c>
    </row>
    <row r="928" spans="1:9" x14ac:dyDescent="0.3">
      <c r="A928">
        <v>927</v>
      </c>
      <c r="B928" t="s">
        <v>3614</v>
      </c>
      <c r="C928" t="s">
        <v>2896</v>
      </c>
      <c r="D928" t="s">
        <v>3615</v>
      </c>
      <c r="E928" t="s">
        <v>3616</v>
      </c>
      <c r="F928" t="s">
        <v>3617</v>
      </c>
      <c r="G928" t="s">
        <v>115</v>
      </c>
      <c r="H928" t="s">
        <v>34</v>
      </c>
      <c r="I928">
        <v>10002</v>
      </c>
    </row>
    <row r="929" spans="1:9" x14ac:dyDescent="0.3">
      <c r="A929">
        <v>928</v>
      </c>
      <c r="B929" t="s">
        <v>3618</v>
      </c>
      <c r="C929" t="s">
        <v>911</v>
      </c>
      <c r="D929" t="s">
        <v>5611</v>
      </c>
      <c r="E929" t="s">
        <v>3619</v>
      </c>
      <c r="F929" t="s">
        <v>3620</v>
      </c>
      <c r="G929" t="s">
        <v>2240</v>
      </c>
      <c r="H929" t="s">
        <v>40</v>
      </c>
      <c r="I929">
        <v>90403</v>
      </c>
    </row>
    <row r="930" spans="1:9" x14ac:dyDescent="0.3">
      <c r="A930">
        <v>929</v>
      </c>
      <c r="B930" t="s">
        <v>3621</v>
      </c>
      <c r="C930" t="s">
        <v>3622</v>
      </c>
      <c r="D930" t="s">
        <v>5611</v>
      </c>
      <c r="E930" t="s">
        <v>3623</v>
      </c>
      <c r="F930" t="s">
        <v>3624</v>
      </c>
      <c r="G930" t="s">
        <v>1199</v>
      </c>
      <c r="H930" t="s">
        <v>40</v>
      </c>
      <c r="I930">
        <v>94566</v>
      </c>
    </row>
    <row r="931" spans="1:9" x14ac:dyDescent="0.3">
      <c r="A931">
        <v>930</v>
      </c>
      <c r="B931" t="s">
        <v>1520</v>
      </c>
      <c r="C931" t="s">
        <v>2536</v>
      </c>
      <c r="D931" t="s">
        <v>5611</v>
      </c>
      <c r="E931" t="s">
        <v>3625</v>
      </c>
      <c r="F931" t="s">
        <v>3626</v>
      </c>
      <c r="G931" t="s">
        <v>2571</v>
      </c>
      <c r="H931" t="s">
        <v>34</v>
      </c>
      <c r="I931">
        <v>12065</v>
      </c>
    </row>
    <row r="932" spans="1:9" x14ac:dyDescent="0.3">
      <c r="A932">
        <v>931</v>
      </c>
      <c r="B932" t="s">
        <v>3627</v>
      </c>
      <c r="C932" t="s">
        <v>1302</v>
      </c>
      <c r="D932" t="s">
        <v>5611</v>
      </c>
      <c r="E932" t="s">
        <v>3628</v>
      </c>
      <c r="F932" t="s">
        <v>3629</v>
      </c>
      <c r="G932" t="s">
        <v>333</v>
      </c>
      <c r="H932" t="s">
        <v>99</v>
      </c>
      <c r="I932">
        <v>76901</v>
      </c>
    </row>
    <row r="933" spans="1:9" x14ac:dyDescent="0.3">
      <c r="A933">
        <v>932</v>
      </c>
      <c r="B933" t="s">
        <v>3630</v>
      </c>
      <c r="C933" t="s">
        <v>58</v>
      </c>
      <c r="D933" t="s">
        <v>5611</v>
      </c>
      <c r="E933" t="s">
        <v>3631</v>
      </c>
      <c r="F933" t="s">
        <v>3632</v>
      </c>
      <c r="G933" t="s">
        <v>1646</v>
      </c>
      <c r="H933" t="s">
        <v>34</v>
      </c>
      <c r="I933">
        <v>12590</v>
      </c>
    </row>
    <row r="934" spans="1:9" x14ac:dyDescent="0.3">
      <c r="A934">
        <v>933</v>
      </c>
      <c r="B934" t="s">
        <v>3633</v>
      </c>
      <c r="C934" t="s">
        <v>2945</v>
      </c>
      <c r="D934" t="s">
        <v>5611</v>
      </c>
      <c r="E934" t="s">
        <v>3634</v>
      </c>
      <c r="F934" t="s">
        <v>3635</v>
      </c>
      <c r="G934" t="s">
        <v>615</v>
      </c>
      <c r="H934" t="s">
        <v>34</v>
      </c>
      <c r="I934">
        <v>11414</v>
      </c>
    </row>
    <row r="935" spans="1:9" x14ac:dyDescent="0.3">
      <c r="A935">
        <v>934</v>
      </c>
      <c r="B935" t="s">
        <v>3636</v>
      </c>
      <c r="C935" t="s">
        <v>1450</v>
      </c>
      <c r="D935" t="s">
        <v>5611</v>
      </c>
      <c r="E935" t="s">
        <v>3637</v>
      </c>
      <c r="F935" t="s">
        <v>3638</v>
      </c>
      <c r="G935" t="s">
        <v>660</v>
      </c>
      <c r="H935" t="s">
        <v>34</v>
      </c>
      <c r="I935">
        <v>14075</v>
      </c>
    </row>
    <row r="936" spans="1:9" x14ac:dyDescent="0.3">
      <c r="A936">
        <v>935</v>
      </c>
      <c r="B936" t="s">
        <v>3639</v>
      </c>
      <c r="C936" t="s">
        <v>2067</v>
      </c>
      <c r="D936" t="s">
        <v>5611</v>
      </c>
      <c r="E936" t="s">
        <v>3640</v>
      </c>
      <c r="F936" t="s">
        <v>3641</v>
      </c>
      <c r="G936" t="s">
        <v>82</v>
      </c>
      <c r="H936" t="s">
        <v>34</v>
      </c>
      <c r="I936">
        <v>10950</v>
      </c>
    </row>
    <row r="937" spans="1:9" x14ac:dyDescent="0.3">
      <c r="A937">
        <v>936</v>
      </c>
      <c r="B937" t="s">
        <v>3642</v>
      </c>
      <c r="C937" t="s">
        <v>1736</v>
      </c>
      <c r="D937" t="s">
        <v>5611</v>
      </c>
      <c r="E937" t="s">
        <v>3643</v>
      </c>
      <c r="F937" t="s">
        <v>3644</v>
      </c>
      <c r="G937" t="s">
        <v>175</v>
      </c>
      <c r="H937" t="s">
        <v>34</v>
      </c>
      <c r="I937">
        <v>10562</v>
      </c>
    </row>
    <row r="938" spans="1:9" x14ac:dyDescent="0.3">
      <c r="A938">
        <v>937</v>
      </c>
      <c r="B938" t="s">
        <v>3645</v>
      </c>
      <c r="C938" t="s">
        <v>3379</v>
      </c>
      <c r="D938" t="s">
        <v>5611</v>
      </c>
      <c r="E938" t="s">
        <v>3646</v>
      </c>
      <c r="F938" t="s">
        <v>3647</v>
      </c>
      <c r="G938" t="s">
        <v>572</v>
      </c>
      <c r="H938" t="s">
        <v>34</v>
      </c>
      <c r="I938">
        <v>11552</v>
      </c>
    </row>
    <row r="939" spans="1:9" x14ac:dyDescent="0.3">
      <c r="A939">
        <v>938</v>
      </c>
      <c r="B939" t="s">
        <v>3648</v>
      </c>
      <c r="C939" t="s">
        <v>3649</v>
      </c>
      <c r="D939" t="s">
        <v>3650</v>
      </c>
      <c r="E939" t="s">
        <v>3651</v>
      </c>
      <c r="F939" t="s">
        <v>3652</v>
      </c>
      <c r="G939" t="s">
        <v>1936</v>
      </c>
      <c r="H939" t="s">
        <v>34</v>
      </c>
      <c r="I939">
        <v>14606</v>
      </c>
    </row>
    <row r="940" spans="1:9" x14ac:dyDescent="0.3">
      <c r="A940">
        <v>939</v>
      </c>
      <c r="B940" t="s">
        <v>3653</v>
      </c>
      <c r="C940" t="s">
        <v>1177</v>
      </c>
      <c r="D940" t="s">
        <v>3654</v>
      </c>
      <c r="E940" t="s">
        <v>3655</v>
      </c>
      <c r="F940" t="s">
        <v>3656</v>
      </c>
      <c r="G940" t="s">
        <v>621</v>
      </c>
      <c r="H940" t="s">
        <v>99</v>
      </c>
      <c r="I940">
        <v>78418</v>
      </c>
    </row>
    <row r="941" spans="1:9" x14ac:dyDescent="0.3">
      <c r="A941">
        <v>940</v>
      </c>
      <c r="B941" t="s">
        <v>3657</v>
      </c>
      <c r="C941" t="s">
        <v>3658</v>
      </c>
      <c r="D941" t="s">
        <v>5611</v>
      </c>
      <c r="E941" t="s">
        <v>3659</v>
      </c>
      <c r="F941" t="s">
        <v>3660</v>
      </c>
      <c r="G941" t="s">
        <v>235</v>
      </c>
      <c r="H941" t="s">
        <v>40</v>
      </c>
      <c r="I941">
        <v>91316</v>
      </c>
    </row>
    <row r="942" spans="1:9" x14ac:dyDescent="0.3">
      <c r="A942">
        <v>941</v>
      </c>
      <c r="B942" t="s">
        <v>3661</v>
      </c>
      <c r="C942" t="s">
        <v>2483</v>
      </c>
      <c r="D942" t="s">
        <v>5611</v>
      </c>
      <c r="E942" t="s">
        <v>3662</v>
      </c>
      <c r="F942" t="s">
        <v>3663</v>
      </c>
      <c r="G942" t="s">
        <v>319</v>
      </c>
      <c r="H942" t="s">
        <v>34</v>
      </c>
      <c r="I942">
        <v>11722</v>
      </c>
    </row>
    <row r="943" spans="1:9" x14ac:dyDescent="0.3">
      <c r="A943">
        <v>942</v>
      </c>
      <c r="B943" t="s">
        <v>3664</v>
      </c>
      <c r="C943" t="s">
        <v>1282</v>
      </c>
      <c r="D943" t="s">
        <v>3665</v>
      </c>
      <c r="E943" t="s">
        <v>3666</v>
      </c>
      <c r="F943" t="s">
        <v>3667</v>
      </c>
      <c r="G943" t="s">
        <v>230</v>
      </c>
      <c r="H943" t="s">
        <v>34</v>
      </c>
      <c r="I943">
        <v>14086</v>
      </c>
    </row>
    <row r="944" spans="1:9" x14ac:dyDescent="0.3">
      <c r="A944">
        <v>943</v>
      </c>
      <c r="B944" t="s">
        <v>640</v>
      </c>
      <c r="C944" t="s">
        <v>1489</v>
      </c>
      <c r="D944" t="s">
        <v>5611</v>
      </c>
      <c r="E944" t="s">
        <v>3668</v>
      </c>
      <c r="F944" t="s">
        <v>3669</v>
      </c>
      <c r="G944" t="s">
        <v>120</v>
      </c>
      <c r="H944" t="s">
        <v>34</v>
      </c>
      <c r="I944">
        <v>10583</v>
      </c>
    </row>
    <row r="945" spans="1:9" x14ac:dyDescent="0.3">
      <c r="A945">
        <v>944</v>
      </c>
      <c r="B945" t="s">
        <v>3670</v>
      </c>
      <c r="C945" t="s">
        <v>2143</v>
      </c>
      <c r="D945" t="s">
        <v>5611</v>
      </c>
      <c r="E945" t="s">
        <v>3671</v>
      </c>
      <c r="F945" t="s">
        <v>3672</v>
      </c>
      <c r="G945" t="s">
        <v>120</v>
      </c>
      <c r="H945" t="s">
        <v>34</v>
      </c>
      <c r="I945">
        <v>10583</v>
      </c>
    </row>
    <row r="946" spans="1:9" x14ac:dyDescent="0.3">
      <c r="A946">
        <v>945</v>
      </c>
      <c r="B946" t="s">
        <v>3673</v>
      </c>
      <c r="C946" t="s">
        <v>843</v>
      </c>
      <c r="D946" t="s">
        <v>5611</v>
      </c>
      <c r="E946" t="s">
        <v>3674</v>
      </c>
      <c r="F946" t="s">
        <v>3675</v>
      </c>
      <c r="G946" t="s">
        <v>77</v>
      </c>
      <c r="H946" t="s">
        <v>34</v>
      </c>
      <c r="I946">
        <v>11050</v>
      </c>
    </row>
    <row r="947" spans="1:9" x14ac:dyDescent="0.3">
      <c r="A947">
        <v>946</v>
      </c>
      <c r="B947" t="s">
        <v>3676</v>
      </c>
      <c r="C947" t="s">
        <v>405</v>
      </c>
      <c r="D947" t="s">
        <v>5611</v>
      </c>
      <c r="E947" t="s">
        <v>3677</v>
      </c>
      <c r="F947" t="s">
        <v>3678</v>
      </c>
      <c r="G947" t="s">
        <v>598</v>
      </c>
      <c r="H947" t="s">
        <v>34</v>
      </c>
      <c r="I947">
        <v>14534</v>
      </c>
    </row>
    <row r="948" spans="1:9" x14ac:dyDescent="0.3">
      <c r="A948">
        <v>947</v>
      </c>
      <c r="B948" t="s">
        <v>2230</v>
      </c>
      <c r="C948" t="s">
        <v>2305</v>
      </c>
      <c r="D948" t="s">
        <v>5611</v>
      </c>
      <c r="E948" t="s">
        <v>3679</v>
      </c>
      <c r="F948" t="s">
        <v>3680</v>
      </c>
      <c r="G948" t="s">
        <v>200</v>
      </c>
      <c r="H948" t="s">
        <v>40</v>
      </c>
      <c r="I948">
        <v>90274</v>
      </c>
    </row>
    <row r="949" spans="1:9" x14ac:dyDescent="0.3">
      <c r="A949">
        <v>948</v>
      </c>
      <c r="B949" t="s">
        <v>3681</v>
      </c>
      <c r="C949" t="s">
        <v>3682</v>
      </c>
      <c r="D949" t="s">
        <v>5611</v>
      </c>
      <c r="E949" t="s">
        <v>3683</v>
      </c>
      <c r="F949" t="s">
        <v>3684</v>
      </c>
      <c r="G949" t="s">
        <v>1312</v>
      </c>
      <c r="H949" t="s">
        <v>34</v>
      </c>
      <c r="I949">
        <v>11756</v>
      </c>
    </row>
    <row r="950" spans="1:9" x14ac:dyDescent="0.3">
      <c r="A950">
        <v>949</v>
      </c>
      <c r="B950" t="s">
        <v>3685</v>
      </c>
      <c r="C950" t="s">
        <v>172</v>
      </c>
      <c r="D950" t="s">
        <v>5611</v>
      </c>
      <c r="E950" t="s">
        <v>3686</v>
      </c>
      <c r="F950" t="s">
        <v>3687</v>
      </c>
      <c r="G950" t="s">
        <v>120</v>
      </c>
      <c r="H950" t="s">
        <v>34</v>
      </c>
      <c r="I950">
        <v>10583</v>
      </c>
    </row>
    <row r="951" spans="1:9" x14ac:dyDescent="0.3">
      <c r="A951">
        <v>950</v>
      </c>
      <c r="B951" t="s">
        <v>3688</v>
      </c>
      <c r="C951" t="s">
        <v>3689</v>
      </c>
      <c r="D951" t="s">
        <v>3690</v>
      </c>
      <c r="E951" t="s">
        <v>3691</v>
      </c>
      <c r="F951" t="s">
        <v>3692</v>
      </c>
      <c r="G951" t="s">
        <v>1936</v>
      </c>
      <c r="H951" t="s">
        <v>34</v>
      </c>
      <c r="I951">
        <v>14606</v>
      </c>
    </row>
    <row r="952" spans="1:9" x14ac:dyDescent="0.3">
      <c r="A952">
        <v>951</v>
      </c>
      <c r="B952" t="s">
        <v>3693</v>
      </c>
      <c r="C952" t="s">
        <v>3694</v>
      </c>
      <c r="D952" t="s">
        <v>5611</v>
      </c>
      <c r="E952" t="s">
        <v>3695</v>
      </c>
      <c r="F952" t="s">
        <v>3696</v>
      </c>
      <c r="G952" t="s">
        <v>120</v>
      </c>
      <c r="H952" t="s">
        <v>34</v>
      </c>
      <c r="I952">
        <v>10583</v>
      </c>
    </row>
    <row r="953" spans="1:9" x14ac:dyDescent="0.3">
      <c r="A953">
        <v>952</v>
      </c>
      <c r="B953" t="s">
        <v>3697</v>
      </c>
      <c r="C953" t="s">
        <v>725</v>
      </c>
      <c r="D953" t="s">
        <v>5611</v>
      </c>
      <c r="E953" t="s">
        <v>3698</v>
      </c>
      <c r="F953" t="s">
        <v>3699</v>
      </c>
      <c r="G953" t="s">
        <v>184</v>
      </c>
      <c r="H953" t="s">
        <v>40</v>
      </c>
      <c r="I953">
        <v>90505</v>
      </c>
    </row>
    <row r="954" spans="1:9" x14ac:dyDescent="0.3">
      <c r="A954">
        <v>953</v>
      </c>
      <c r="B954" t="s">
        <v>3700</v>
      </c>
      <c r="C954" t="s">
        <v>3701</v>
      </c>
      <c r="D954" t="s">
        <v>5611</v>
      </c>
      <c r="E954" t="s">
        <v>3702</v>
      </c>
      <c r="F954" t="s">
        <v>3703</v>
      </c>
      <c r="G954" t="s">
        <v>759</v>
      </c>
      <c r="H954" t="s">
        <v>99</v>
      </c>
      <c r="I954">
        <v>78023</v>
      </c>
    </row>
    <row r="955" spans="1:9" x14ac:dyDescent="0.3">
      <c r="A955">
        <v>954</v>
      </c>
      <c r="B955" t="s">
        <v>3704</v>
      </c>
      <c r="C955" t="s">
        <v>3705</v>
      </c>
      <c r="D955" t="s">
        <v>5611</v>
      </c>
      <c r="E955" t="s">
        <v>3706</v>
      </c>
      <c r="F955" t="s">
        <v>3707</v>
      </c>
      <c r="G955" t="s">
        <v>922</v>
      </c>
      <c r="H955" t="s">
        <v>34</v>
      </c>
      <c r="I955">
        <v>11801</v>
      </c>
    </row>
    <row r="956" spans="1:9" x14ac:dyDescent="0.3">
      <c r="A956">
        <v>955</v>
      </c>
      <c r="B956" t="s">
        <v>3708</v>
      </c>
      <c r="C956" t="s">
        <v>787</v>
      </c>
      <c r="D956" t="s">
        <v>5611</v>
      </c>
      <c r="E956" t="s">
        <v>3709</v>
      </c>
      <c r="F956" t="s">
        <v>3710</v>
      </c>
      <c r="G956" t="s">
        <v>2771</v>
      </c>
      <c r="H956" t="s">
        <v>34</v>
      </c>
      <c r="I956">
        <v>11704</v>
      </c>
    </row>
    <row r="957" spans="1:9" x14ac:dyDescent="0.3">
      <c r="A957">
        <v>956</v>
      </c>
      <c r="B957" t="s">
        <v>3711</v>
      </c>
      <c r="C957" t="s">
        <v>3712</v>
      </c>
      <c r="D957" t="s">
        <v>5611</v>
      </c>
      <c r="E957" t="s">
        <v>3713</v>
      </c>
      <c r="F957" t="s">
        <v>3714</v>
      </c>
      <c r="G957" t="s">
        <v>479</v>
      </c>
      <c r="H957" t="s">
        <v>34</v>
      </c>
      <c r="I957">
        <v>11735</v>
      </c>
    </row>
    <row r="958" spans="1:9" x14ac:dyDescent="0.3">
      <c r="A958">
        <v>957</v>
      </c>
      <c r="B958" t="s">
        <v>3715</v>
      </c>
      <c r="C958" t="s">
        <v>349</v>
      </c>
      <c r="D958" t="s">
        <v>3716</v>
      </c>
      <c r="E958" t="s">
        <v>3717</v>
      </c>
      <c r="F958" t="s">
        <v>3718</v>
      </c>
      <c r="G958" t="s">
        <v>564</v>
      </c>
      <c r="H958" t="s">
        <v>40</v>
      </c>
      <c r="I958">
        <v>92806</v>
      </c>
    </row>
    <row r="959" spans="1:9" x14ac:dyDescent="0.3">
      <c r="A959">
        <v>958</v>
      </c>
      <c r="B959" t="s">
        <v>3719</v>
      </c>
      <c r="C959" t="s">
        <v>3379</v>
      </c>
      <c r="D959" t="s">
        <v>5611</v>
      </c>
      <c r="E959" t="s">
        <v>3720</v>
      </c>
      <c r="F959" t="s">
        <v>3721</v>
      </c>
      <c r="G959" t="s">
        <v>589</v>
      </c>
      <c r="H959" t="s">
        <v>99</v>
      </c>
      <c r="I959">
        <v>76039</v>
      </c>
    </row>
    <row r="960" spans="1:9" x14ac:dyDescent="0.3">
      <c r="A960">
        <v>959</v>
      </c>
      <c r="B960" t="s">
        <v>3722</v>
      </c>
      <c r="C960" t="s">
        <v>911</v>
      </c>
      <c r="D960" t="s">
        <v>3723</v>
      </c>
      <c r="E960" t="s">
        <v>3724</v>
      </c>
      <c r="F960" t="s">
        <v>3725</v>
      </c>
      <c r="G960" t="s">
        <v>56</v>
      </c>
      <c r="H960" t="s">
        <v>40</v>
      </c>
      <c r="I960">
        <v>95820</v>
      </c>
    </row>
    <row r="961" spans="1:9" x14ac:dyDescent="0.3">
      <c r="A961">
        <v>960</v>
      </c>
      <c r="B961" t="s">
        <v>3726</v>
      </c>
      <c r="C961" t="s">
        <v>3727</v>
      </c>
      <c r="D961" t="s">
        <v>3728</v>
      </c>
      <c r="E961" t="s">
        <v>3729</v>
      </c>
      <c r="F961" t="s">
        <v>3730</v>
      </c>
      <c r="G961" t="s">
        <v>93</v>
      </c>
      <c r="H961" t="s">
        <v>34</v>
      </c>
      <c r="I961">
        <v>11550</v>
      </c>
    </row>
    <row r="962" spans="1:9" x14ac:dyDescent="0.3">
      <c r="A962">
        <v>961</v>
      </c>
      <c r="B962" t="s">
        <v>3731</v>
      </c>
      <c r="C962" t="s">
        <v>1736</v>
      </c>
      <c r="D962" t="s">
        <v>5611</v>
      </c>
      <c r="E962" t="s">
        <v>3732</v>
      </c>
      <c r="F962" t="s">
        <v>3733</v>
      </c>
      <c r="G962" t="s">
        <v>1246</v>
      </c>
      <c r="H962" t="s">
        <v>34</v>
      </c>
      <c r="I962">
        <v>12401</v>
      </c>
    </row>
    <row r="963" spans="1:9" x14ac:dyDescent="0.3">
      <c r="A963">
        <v>962</v>
      </c>
      <c r="B963" t="s">
        <v>3734</v>
      </c>
      <c r="C963" t="s">
        <v>3735</v>
      </c>
      <c r="D963" t="s">
        <v>5611</v>
      </c>
      <c r="E963" t="s">
        <v>3736</v>
      </c>
      <c r="F963" t="s">
        <v>3737</v>
      </c>
      <c r="G963" t="s">
        <v>3148</v>
      </c>
      <c r="H963" t="s">
        <v>99</v>
      </c>
      <c r="I963">
        <v>76522</v>
      </c>
    </row>
    <row r="964" spans="1:9" x14ac:dyDescent="0.3">
      <c r="A964">
        <v>963</v>
      </c>
      <c r="B964" t="s">
        <v>3738</v>
      </c>
      <c r="C964" t="s">
        <v>3682</v>
      </c>
      <c r="D964" t="s">
        <v>5611</v>
      </c>
      <c r="E964" t="s">
        <v>3739</v>
      </c>
      <c r="F964" t="s">
        <v>3740</v>
      </c>
      <c r="G964" t="s">
        <v>352</v>
      </c>
      <c r="H964" t="s">
        <v>34</v>
      </c>
      <c r="I964">
        <v>13440</v>
      </c>
    </row>
    <row r="965" spans="1:9" x14ac:dyDescent="0.3">
      <c r="A965">
        <v>964</v>
      </c>
      <c r="B965" t="s">
        <v>3741</v>
      </c>
      <c r="C965" t="s">
        <v>1462</v>
      </c>
      <c r="D965" t="s">
        <v>3742</v>
      </c>
      <c r="E965" t="s">
        <v>3743</v>
      </c>
      <c r="F965" t="s">
        <v>3744</v>
      </c>
      <c r="G965" t="s">
        <v>621</v>
      </c>
      <c r="H965" t="s">
        <v>99</v>
      </c>
      <c r="I965">
        <v>78418</v>
      </c>
    </row>
    <row r="966" spans="1:9" x14ac:dyDescent="0.3">
      <c r="A966">
        <v>965</v>
      </c>
      <c r="B966" t="s">
        <v>3745</v>
      </c>
      <c r="C966" t="s">
        <v>460</v>
      </c>
      <c r="D966" t="s">
        <v>5611</v>
      </c>
      <c r="E966" t="s">
        <v>3746</v>
      </c>
      <c r="F966" t="s">
        <v>3747</v>
      </c>
      <c r="G966" t="s">
        <v>750</v>
      </c>
      <c r="H966" t="s">
        <v>34</v>
      </c>
      <c r="I966">
        <v>11803</v>
      </c>
    </row>
    <row r="967" spans="1:9" x14ac:dyDescent="0.3">
      <c r="A967">
        <v>966</v>
      </c>
      <c r="B967" t="s">
        <v>3748</v>
      </c>
      <c r="C967" t="s">
        <v>3459</v>
      </c>
      <c r="D967" t="s">
        <v>5611</v>
      </c>
      <c r="E967" t="s">
        <v>3749</v>
      </c>
      <c r="F967" t="s">
        <v>3750</v>
      </c>
      <c r="G967" t="s">
        <v>2207</v>
      </c>
      <c r="H967" t="s">
        <v>34</v>
      </c>
      <c r="I967">
        <v>11542</v>
      </c>
    </row>
    <row r="968" spans="1:9" x14ac:dyDescent="0.3">
      <c r="A968">
        <v>967</v>
      </c>
      <c r="B968" t="s">
        <v>3751</v>
      </c>
      <c r="C968" t="s">
        <v>916</v>
      </c>
      <c r="D968" t="s">
        <v>5611</v>
      </c>
      <c r="E968" t="s">
        <v>3752</v>
      </c>
      <c r="F968" t="s">
        <v>3753</v>
      </c>
      <c r="G968" t="s">
        <v>125</v>
      </c>
      <c r="H968" t="s">
        <v>34</v>
      </c>
      <c r="I968">
        <v>14424</v>
      </c>
    </row>
    <row r="969" spans="1:9" x14ac:dyDescent="0.3">
      <c r="A969">
        <v>968</v>
      </c>
      <c r="B969" t="s">
        <v>3754</v>
      </c>
      <c r="C969" t="s">
        <v>3755</v>
      </c>
      <c r="D969" t="s">
        <v>5611</v>
      </c>
      <c r="E969" t="s">
        <v>3756</v>
      </c>
      <c r="F969" t="s">
        <v>3757</v>
      </c>
      <c r="G969" t="s">
        <v>159</v>
      </c>
      <c r="H969" t="s">
        <v>34</v>
      </c>
      <c r="I969">
        <v>10541</v>
      </c>
    </row>
    <row r="970" spans="1:9" x14ac:dyDescent="0.3">
      <c r="A970">
        <v>969</v>
      </c>
      <c r="B970" t="s">
        <v>3758</v>
      </c>
      <c r="C970" t="s">
        <v>3689</v>
      </c>
      <c r="D970" t="s">
        <v>3759</v>
      </c>
      <c r="E970" t="s">
        <v>3760</v>
      </c>
      <c r="F970" t="s">
        <v>3761</v>
      </c>
      <c r="G970" t="s">
        <v>1936</v>
      </c>
      <c r="H970" t="s">
        <v>34</v>
      </c>
      <c r="I970">
        <v>14606</v>
      </c>
    </row>
    <row r="971" spans="1:9" x14ac:dyDescent="0.3">
      <c r="A971">
        <v>970</v>
      </c>
      <c r="B971" t="s">
        <v>3762</v>
      </c>
      <c r="C971" t="s">
        <v>3763</v>
      </c>
      <c r="D971" t="s">
        <v>5611</v>
      </c>
      <c r="E971" t="s">
        <v>3764</v>
      </c>
      <c r="F971" t="s">
        <v>3765</v>
      </c>
      <c r="G971" t="s">
        <v>149</v>
      </c>
      <c r="H971" t="s">
        <v>34</v>
      </c>
      <c r="I971">
        <v>11423</v>
      </c>
    </row>
    <row r="972" spans="1:9" x14ac:dyDescent="0.3">
      <c r="A972">
        <v>971</v>
      </c>
      <c r="B972" t="s">
        <v>3766</v>
      </c>
      <c r="C972" t="s">
        <v>3767</v>
      </c>
      <c r="D972" t="s">
        <v>3768</v>
      </c>
      <c r="E972" t="s">
        <v>3769</v>
      </c>
      <c r="F972" t="s">
        <v>3770</v>
      </c>
      <c r="G972" t="s">
        <v>1078</v>
      </c>
      <c r="H972" t="s">
        <v>34</v>
      </c>
      <c r="I972">
        <v>11717</v>
      </c>
    </row>
    <row r="973" spans="1:9" x14ac:dyDescent="0.3">
      <c r="A973">
        <v>972</v>
      </c>
      <c r="B973" t="s">
        <v>902</v>
      </c>
      <c r="C973" t="s">
        <v>809</v>
      </c>
      <c r="D973" t="s">
        <v>3771</v>
      </c>
      <c r="E973" t="s">
        <v>3772</v>
      </c>
      <c r="F973" t="s">
        <v>3773</v>
      </c>
      <c r="G973" t="s">
        <v>165</v>
      </c>
      <c r="H973" t="s">
        <v>34</v>
      </c>
      <c r="I973">
        <v>11561</v>
      </c>
    </row>
    <row r="974" spans="1:9" x14ac:dyDescent="0.3">
      <c r="A974">
        <v>973</v>
      </c>
      <c r="B974" t="s">
        <v>3774</v>
      </c>
      <c r="C974" t="s">
        <v>3433</v>
      </c>
      <c r="D974" t="s">
        <v>5611</v>
      </c>
      <c r="E974" t="s">
        <v>3775</v>
      </c>
      <c r="F974" t="s">
        <v>3776</v>
      </c>
      <c r="G974" t="s">
        <v>989</v>
      </c>
      <c r="H974" t="s">
        <v>40</v>
      </c>
      <c r="I974">
        <v>93555</v>
      </c>
    </row>
    <row r="975" spans="1:9" x14ac:dyDescent="0.3">
      <c r="A975">
        <v>974</v>
      </c>
      <c r="B975" t="s">
        <v>3777</v>
      </c>
      <c r="C975" t="s">
        <v>3193</v>
      </c>
      <c r="D975" t="s">
        <v>5611</v>
      </c>
      <c r="E975" t="s">
        <v>3778</v>
      </c>
      <c r="F975" t="s">
        <v>3779</v>
      </c>
      <c r="G975" t="s">
        <v>224</v>
      </c>
      <c r="H975" t="s">
        <v>34</v>
      </c>
      <c r="I975">
        <v>11102</v>
      </c>
    </row>
    <row r="976" spans="1:9" x14ac:dyDescent="0.3">
      <c r="A976">
        <v>975</v>
      </c>
      <c r="B976" t="s">
        <v>3780</v>
      </c>
      <c r="C976" t="s">
        <v>111</v>
      </c>
      <c r="D976" t="s">
        <v>3781</v>
      </c>
      <c r="E976" t="s">
        <v>3782</v>
      </c>
      <c r="F976" t="s">
        <v>3783</v>
      </c>
      <c r="G976" t="s">
        <v>2429</v>
      </c>
      <c r="H976" t="s">
        <v>40</v>
      </c>
      <c r="I976">
        <v>90008</v>
      </c>
    </row>
    <row r="977" spans="1:9" x14ac:dyDescent="0.3">
      <c r="A977">
        <v>976</v>
      </c>
      <c r="B977" t="s">
        <v>919</v>
      </c>
      <c r="C977" t="s">
        <v>1959</v>
      </c>
      <c r="D977" t="s">
        <v>5611</v>
      </c>
      <c r="E977" t="s">
        <v>3784</v>
      </c>
      <c r="F977" t="s">
        <v>3785</v>
      </c>
      <c r="G977" t="s">
        <v>728</v>
      </c>
      <c r="H977" t="s">
        <v>34</v>
      </c>
      <c r="I977">
        <v>11787</v>
      </c>
    </row>
    <row r="978" spans="1:9" x14ac:dyDescent="0.3">
      <c r="A978">
        <v>977</v>
      </c>
      <c r="B978" t="s">
        <v>1237</v>
      </c>
      <c r="C978" t="s">
        <v>3786</v>
      </c>
      <c r="D978" t="s">
        <v>5611</v>
      </c>
      <c r="E978" t="s">
        <v>3787</v>
      </c>
      <c r="F978" t="s">
        <v>3788</v>
      </c>
      <c r="G978" t="s">
        <v>342</v>
      </c>
      <c r="H978" t="s">
        <v>34</v>
      </c>
      <c r="I978">
        <v>11701</v>
      </c>
    </row>
    <row r="979" spans="1:9" x14ac:dyDescent="0.3">
      <c r="A979">
        <v>978</v>
      </c>
      <c r="B979" t="s">
        <v>302</v>
      </c>
      <c r="C979" t="s">
        <v>3207</v>
      </c>
      <c r="D979" t="s">
        <v>5611</v>
      </c>
      <c r="E979" t="s">
        <v>3789</v>
      </c>
      <c r="F979" t="s">
        <v>3790</v>
      </c>
      <c r="G979" t="s">
        <v>314</v>
      </c>
      <c r="H979" t="s">
        <v>34</v>
      </c>
      <c r="I979">
        <v>10451</v>
      </c>
    </row>
    <row r="980" spans="1:9" x14ac:dyDescent="0.3">
      <c r="A980">
        <v>979</v>
      </c>
      <c r="B980" t="s">
        <v>3791</v>
      </c>
      <c r="C980" t="s">
        <v>3345</v>
      </c>
      <c r="D980" t="s">
        <v>5611</v>
      </c>
      <c r="E980" t="s">
        <v>3792</v>
      </c>
      <c r="F980" t="s">
        <v>3793</v>
      </c>
      <c r="G980" t="s">
        <v>1616</v>
      </c>
      <c r="H980" t="s">
        <v>34</v>
      </c>
      <c r="I980">
        <v>14850</v>
      </c>
    </row>
    <row r="981" spans="1:9" x14ac:dyDescent="0.3">
      <c r="A981">
        <v>980</v>
      </c>
      <c r="B981" t="s">
        <v>247</v>
      </c>
      <c r="C981" t="s">
        <v>279</v>
      </c>
      <c r="D981" t="s">
        <v>5611</v>
      </c>
      <c r="E981" t="s">
        <v>3794</v>
      </c>
      <c r="F981" t="s">
        <v>3795</v>
      </c>
      <c r="G981" t="s">
        <v>714</v>
      </c>
      <c r="H981" t="s">
        <v>34</v>
      </c>
      <c r="I981">
        <v>10573</v>
      </c>
    </row>
    <row r="982" spans="1:9" x14ac:dyDescent="0.3">
      <c r="A982">
        <v>981</v>
      </c>
      <c r="B982" t="s">
        <v>3722</v>
      </c>
      <c r="C982" t="s">
        <v>2543</v>
      </c>
      <c r="D982" t="s">
        <v>3796</v>
      </c>
      <c r="E982" t="s">
        <v>3797</v>
      </c>
      <c r="F982" t="s">
        <v>3798</v>
      </c>
      <c r="G982" t="s">
        <v>165</v>
      </c>
      <c r="H982" t="s">
        <v>34</v>
      </c>
      <c r="I982">
        <v>11561</v>
      </c>
    </row>
    <row r="983" spans="1:9" x14ac:dyDescent="0.3">
      <c r="A983">
        <v>982</v>
      </c>
      <c r="B983" t="s">
        <v>3799</v>
      </c>
      <c r="C983" t="s">
        <v>335</v>
      </c>
      <c r="D983" t="s">
        <v>5611</v>
      </c>
      <c r="E983" t="s">
        <v>3800</v>
      </c>
      <c r="F983" t="s">
        <v>3801</v>
      </c>
      <c r="G983" t="s">
        <v>333</v>
      </c>
      <c r="H983" t="s">
        <v>99</v>
      </c>
      <c r="I983">
        <v>76901</v>
      </c>
    </row>
    <row r="984" spans="1:9" x14ac:dyDescent="0.3">
      <c r="A984">
        <v>983</v>
      </c>
      <c r="B984" t="s">
        <v>3802</v>
      </c>
      <c r="C984" t="s">
        <v>2431</v>
      </c>
      <c r="D984" t="s">
        <v>5611</v>
      </c>
      <c r="E984" t="s">
        <v>3803</v>
      </c>
      <c r="F984" t="s">
        <v>3804</v>
      </c>
      <c r="G984" t="s">
        <v>195</v>
      </c>
      <c r="H984" t="s">
        <v>40</v>
      </c>
      <c r="I984">
        <v>92831</v>
      </c>
    </row>
    <row r="985" spans="1:9" x14ac:dyDescent="0.3">
      <c r="A985">
        <v>984</v>
      </c>
      <c r="B985" t="s">
        <v>3805</v>
      </c>
      <c r="C985" t="s">
        <v>3806</v>
      </c>
      <c r="D985" t="s">
        <v>5611</v>
      </c>
      <c r="E985" t="s">
        <v>3807</v>
      </c>
      <c r="F985" t="s">
        <v>3808</v>
      </c>
      <c r="G985" t="s">
        <v>468</v>
      </c>
      <c r="H985" t="s">
        <v>34</v>
      </c>
      <c r="I985">
        <v>11010</v>
      </c>
    </row>
    <row r="986" spans="1:9" x14ac:dyDescent="0.3">
      <c r="A986">
        <v>985</v>
      </c>
      <c r="B986" t="s">
        <v>3809</v>
      </c>
      <c r="C986" t="s">
        <v>2041</v>
      </c>
      <c r="D986" t="s">
        <v>5611</v>
      </c>
      <c r="E986" t="s">
        <v>3810</v>
      </c>
      <c r="F986" t="s">
        <v>3811</v>
      </c>
      <c r="G986" t="s">
        <v>1806</v>
      </c>
      <c r="H986" t="s">
        <v>99</v>
      </c>
      <c r="I986">
        <v>78552</v>
      </c>
    </row>
    <row r="987" spans="1:9" x14ac:dyDescent="0.3">
      <c r="A987">
        <v>986</v>
      </c>
      <c r="B987" t="s">
        <v>3812</v>
      </c>
      <c r="C987" t="s">
        <v>582</v>
      </c>
      <c r="D987" t="s">
        <v>5611</v>
      </c>
      <c r="E987" t="s">
        <v>3813</v>
      </c>
      <c r="F987" t="s">
        <v>3814</v>
      </c>
      <c r="G987" t="s">
        <v>175</v>
      </c>
      <c r="H987" t="s">
        <v>34</v>
      </c>
      <c r="I987">
        <v>10562</v>
      </c>
    </row>
    <row r="988" spans="1:9" x14ac:dyDescent="0.3">
      <c r="A988">
        <v>987</v>
      </c>
      <c r="B988" t="s">
        <v>3815</v>
      </c>
      <c r="C988" t="s">
        <v>3816</v>
      </c>
      <c r="D988" t="s">
        <v>5611</v>
      </c>
      <c r="E988" t="s">
        <v>3817</v>
      </c>
      <c r="F988" t="s">
        <v>3818</v>
      </c>
      <c r="G988" t="s">
        <v>719</v>
      </c>
      <c r="H988" t="s">
        <v>34</v>
      </c>
      <c r="I988">
        <v>10301</v>
      </c>
    </row>
    <row r="989" spans="1:9" x14ac:dyDescent="0.3">
      <c r="A989">
        <v>988</v>
      </c>
      <c r="B989" t="s">
        <v>3819</v>
      </c>
      <c r="C989" t="s">
        <v>950</v>
      </c>
      <c r="D989" t="s">
        <v>5611</v>
      </c>
      <c r="E989" t="s">
        <v>3820</v>
      </c>
      <c r="F989" t="s">
        <v>3821</v>
      </c>
      <c r="G989" t="s">
        <v>529</v>
      </c>
      <c r="H989" t="s">
        <v>34</v>
      </c>
      <c r="I989">
        <v>11791</v>
      </c>
    </row>
    <row r="990" spans="1:9" x14ac:dyDescent="0.3">
      <c r="A990">
        <v>989</v>
      </c>
      <c r="B990" t="s">
        <v>3822</v>
      </c>
      <c r="C990" t="s">
        <v>698</v>
      </c>
      <c r="D990" t="s">
        <v>5611</v>
      </c>
      <c r="E990" t="s">
        <v>3823</v>
      </c>
      <c r="F990" t="s">
        <v>3824</v>
      </c>
      <c r="G990" t="s">
        <v>819</v>
      </c>
      <c r="H990" t="s">
        <v>34</v>
      </c>
      <c r="I990">
        <v>11420</v>
      </c>
    </row>
    <row r="991" spans="1:9" x14ac:dyDescent="0.3">
      <c r="A991">
        <v>990</v>
      </c>
      <c r="B991" t="s">
        <v>3825</v>
      </c>
      <c r="C991" t="s">
        <v>3826</v>
      </c>
      <c r="D991" t="s">
        <v>5611</v>
      </c>
      <c r="E991" t="s">
        <v>3827</v>
      </c>
      <c r="F991" t="s">
        <v>3828</v>
      </c>
      <c r="G991" t="s">
        <v>82</v>
      </c>
      <c r="H991" t="s">
        <v>34</v>
      </c>
      <c r="I991">
        <v>10950</v>
      </c>
    </row>
    <row r="992" spans="1:9" x14ac:dyDescent="0.3">
      <c r="A992">
        <v>991</v>
      </c>
      <c r="B992" t="s">
        <v>3829</v>
      </c>
      <c r="C992" t="s">
        <v>799</v>
      </c>
      <c r="D992" t="s">
        <v>5611</v>
      </c>
      <c r="E992" t="s">
        <v>3830</v>
      </c>
      <c r="F992" t="s">
        <v>3831</v>
      </c>
      <c r="G992" t="s">
        <v>1122</v>
      </c>
      <c r="H992" t="s">
        <v>40</v>
      </c>
      <c r="I992">
        <v>91387</v>
      </c>
    </row>
    <row r="993" spans="1:9" x14ac:dyDescent="0.3">
      <c r="A993">
        <v>992</v>
      </c>
      <c r="B993" t="s">
        <v>1444</v>
      </c>
      <c r="C993" t="s">
        <v>3832</v>
      </c>
      <c r="D993" t="s">
        <v>5611</v>
      </c>
      <c r="E993" t="s">
        <v>3833</v>
      </c>
      <c r="F993" t="s">
        <v>3834</v>
      </c>
      <c r="G993" t="s">
        <v>1055</v>
      </c>
      <c r="H993" t="s">
        <v>34</v>
      </c>
      <c r="I993">
        <v>11772</v>
      </c>
    </row>
    <row r="994" spans="1:9" x14ac:dyDescent="0.3">
      <c r="A994">
        <v>993</v>
      </c>
      <c r="B994" t="s">
        <v>3835</v>
      </c>
      <c r="C994" t="s">
        <v>2139</v>
      </c>
      <c r="D994" t="s">
        <v>5611</v>
      </c>
      <c r="E994" t="s">
        <v>3836</v>
      </c>
      <c r="F994" t="s">
        <v>3837</v>
      </c>
      <c r="G994" t="s">
        <v>989</v>
      </c>
      <c r="H994" t="s">
        <v>40</v>
      </c>
      <c r="I994">
        <v>93555</v>
      </c>
    </row>
    <row r="995" spans="1:9" x14ac:dyDescent="0.3">
      <c r="A995">
        <v>994</v>
      </c>
      <c r="B995" t="s">
        <v>3838</v>
      </c>
      <c r="C995" t="s">
        <v>161</v>
      </c>
      <c r="D995" t="s">
        <v>5611</v>
      </c>
      <c r="E995" t="s">
        <v>3839</v>
      </c>
      <c r="F995" t="s">
        <v>3840</v>
      </c>
      <c r="G995" t="s">
        <v>2555</v>
      </c>
      <c r="H995" t="s">
        <v>34</v>
      </c>
      <c r="I995">
        <v>10598</v>
      </c>
    </row>
    <row r="996" spans="1:9" x14ac:dyDescent="0.3">
      <c r="A996">
        <v>995</v>
      </c>
      <c r="B996" t="s">
        <v>3841</v>
      </c>
      <c r="C996" t="s">
        <v>3015</v>
      </c>
      <c r="D996" t="s">
        <v>5611</v>
      </c>
      <c r="E996" t="s">
        <v>3842</v>
      </c>
      <c r="F996" t="s">
        <v>3843</v>
      </c>
      <c r="G996" t="s">
        <v>125</v>
      </c>
      <c r="H996" t="s">
        <v>34</v>
      </c>
      <c r="I996">
        <v>14424</v>
      </c>
    </row>
    <row r="997" spans="1:9" x14ac:dyDescent="0.3">
      <c r="A997">
        <v>996</v>
      </c>
      <c r="B997" t="s">
        <v>3844</v>
      </c>
      <c r="C997" t="s">
        <v>1724</v>
      </c>
      <c r="D997" t="s">
        <v>5611</v>
      </c>
      <c r="E997" t="s">
        <v>3845</v>
      </c>
      <c r="F997" t="s">
        <v>3846</v>
      </c>
      <c r="G997" t="s">
        <v>1769</v>
      </c>
      <c r="H997" t="s">
        <v>34</v>
      </c>
      <c r="I997">
        <v>11967</v>
      </c>
    </row>
    <row r="998" spans="1:9" x14ac:dyDescent="0.3">
      <c r="A998">
        <v>997</v>
      </c>
      <c r="B998" t="s">
        <v>3847</v>
      </c>
      <c r="C998" t="s">
        <v>3233</v>
      </c>
      <c r="D998" t="s">
        <v>5611</v>
      </c>
      <c r="E998" t="s">
        <v>3848</v>
      </c>
      <c r="F998" t="s">
        <v>3849</v>
      </c>
      <c r="G998" t="s">
        <v>74</v>
      </c>
      <c r="H998" t="s">
        <v>34</v>
      </c>
      <c r="I998">
        <v>11510</v>
      </c>
    </row>
    <row r="999" spans="1:9" x14ac:dyDescent="0.3">
      <c r="A999">
        <v>998</v>
      </c>
      <c r="B999" t="s">
        <v>3850</v>
      </c>
      <c r="C999" t="s">
        <v>1252</v>
      </c>
      <c r="D999" t="s">
        <v>5611</v>
      </c>
      <c r="E999" t="s">
        <v>3851</v>
      </c>
      <c r="F999" t="s">
        <v>3852</v>
      </c>
      <c r="G999" t="s">
        <v>2682</v>
      </c>
      <c r="H999" t="s">
        <v>34</v>
      </c>
      <c r="I999">
        <v>14701</v>
      </c>
    </row>
    <row r="1000" spans="1:9" x14ac:dyDescent="0.3">
      <c r="A1000">
        <v>999</v>
      </c>
      <c r="B1000" t="s">
        <v>3853</v>
      </c>
      <c r="C1000" t="s">
        <v>253</v>
      </c>
      <c r="D1000" t="s">
        <v>5611</v>
      </c>
      <c r="E1000" t="s">
        <v>3854</v>
      </c>
      <c r="F1000" t="s">
        <v>3855</v>
      </c>
      <c r="G1000" t="s">
        <v>957</v>
      </c>
      <c r="H1000" t="s">
        <v>34</v>
      </c>
      <c r="I1000">
        <v>12020</v>
      </c>
    </row>
    <row r="1001" spans="1:9" x14ac:dyDescent="0.3">
      <c r="A1001">
        <v>1000</v>
      </c>
      <c r="B1001" t="s">
        <v>3856</v>
      </c>
      <c r="C1001" t="s">
        <v>2497</v>
      </c>
      <c r="D1001" t="s">
        <v>5611</v>
      </c>
      <c r="E1001" t="s">
        <v>3857</v>
      </c>
      <c r="F1001" t="s">
        <v>3858</v>
      </c>
      <c r="G1001" t="s">
        <v>2771</v>
      </c>
      <c r="H1001" t="s">
        <v>34</v>
      </c>
      <c r="I1001">
        <v>11704</v>
      </c>
    </row>
    <row r="1002" spans="1:9" x14ac:dyDescent="0.3">
      <c r="A1002">
        <v>1001</v>
      </c>
      <c r="B1002" t="s">
        <v>885</v>
      </c>
      <c r="C1002" t="s">
        <v>1643</v>
      </c>
      <c r="D1002" t="s">
        <v>3859</v>
      </c>
      <c r="E1002" t="s">
        <v>3860</v>
      </c>
      <c r="F1002" t="s">
        <v>3861</v>
      </c>
      <c r="G1002" t="s">
        <v>1078</v>
      </c>
      <c r="H1002" t="s">
        <v>34</v>
      </c>
      <c r="I1002">
        <v>11717</v>
      </c>
    </row>
    <row r="1003" spans="1:9" x14ac:dyDescent="0.3">
      <c r="A1003">
        <v>1002</v>
      </c>
      <c r="B1003" t="s">
        <v>3862</v>
      </c>
      <c r="C1003" t="s">
        <v>3863</v>
      </c>
      <c r="D1003" t="s">
        <v>5611</v>
      </c>
      <c r="E1003" t="s">
        <v>3864</v>
      </c>
      <c r="F1003" t="s">
        <v>3865</v>
      </c>
      <c r="G1003" t="s">
        <v>682</v>
      </c>
      <c r="H1003" t="s">
        <v>34</v>
      </c>
      <c r="I1003">
        <v>11758</v>
      </c>
    </row>
    <row r="1004" spans="1:9" x14ac:dyDescent="0.3">
      <c r="A1004">
        <v>1003</v>
      </c>
      <c r="B1004" t="s">
        <v>3866</v>
      </c>
      <c r="C1004" t="s">
        <v>1011</v>
      </c>
      <c r="D1004" t="s">
        <v>5611</v>
      </c>
      <c r="E1004" t="s">
        <v>3867</v>
      </c>
      <c r="F1004" t="s">
        <v>3868</v>
      </c>
      <c r="G1004" t="s">
        <v>1930</v>
      </c>
      <c r="H1004" t="s">
        <v>40</v>
      </c>
      <c r="I1004">
        <v>92083</v>
      </c>
    </row>
    <row r="1005" spans="1:9" x14ac:dyDescent="0.3">
      <c r="A1005">
        <v>1004</v>
      </c>
      <c r="B1005" t="s">
        <v>3869</v>
      </c>
      <c r="C1005" t="s">
        <v>3009</v>
      </c>
      <c r="D1005" t="s">
        <v>5611</v>
      </c>
      <c r="E1005" t="s">
        <v>3870</v>
      </c>
      <c r="F1005" t="s">
        <v>3871</v>
      </c>
      <c r="G1005" t="s">
        <v>291</v>
      </c>
      <c r="H1005" t="s">
        <v>34</v>
      </c>
      <c r="I1005">
        <v>11369</v>
      </c>
    </row>
    <row r="1006" spans="1:9" x14ac:dyDescent="0.3">
      <c r="A1006">
        <v>1005</v>
      </c>
      <c r="B1006" t="s">
        <v>3589</v>
      </c>
      <c r="C1006" t="s">
        <v>491</v>
      </c>
      <c r="D1006" t="s">
        <v>5611</v>
      </c>
      <c r="E1006" t="s">
        <v>3872</v>
      </c>
      <c r="F1006" t="s">
        <v>3873</v>
      </c>
      <c r="G1006" t="s">
        <v>224</v>
      </c>
      <c r="H1006" t="s">
        <v>34</v>
      </c>
      <c r="I1006">
        <v>11102</v>
      </c>
    </row>
    <row r="1007" spans="1:9" x14ac:dyDescent="0.3">
      <c r="A1007">
        <v>1006</v>
      </c>
      <c r="B1007" t="s">
        <v>3874</v>
      </c>
      <c r="C1007" t="s">
        <v>3875</v>
      </c>
      <c r="D1007" t="s">
        <v>5611</v>
      </c>
      <c r="E1007" t="s">
        <v>3876</v>
      </c>
      <c r="F1007" t="s">
        <v>3877</v>
      </c>
      <c r="G1007" t="s">
        <v>896</v>
      </c>
      <c r="H1007" t="s">
        <v>40</v>
      </c>
      <c r="I1007">
        <v>92307</v>
      </c>
    </row>
    <row r="1008" spans="1:9" x14ac:dyDescent="0.3">
      <c r="A1008">
        <v>1007</v>
      </c>
      <c r="B1008" t="s">
        <v>3878</v>
      </c>
      <c r="C1008" t="s">
        <v>3318</v>
      </c>
      <c r="D1008" t="s">
        <v>5611</v>
      </c>
      <c r="E1008" t="s">
        <v>3879</v>
      </c>
      <c r="F1008" t="s">
        <v>3880</v>
      </c>
      <c r="G1008" t="s">
        <v>615</v>
      </c>
      <c r="H1008" t="s">
        <v>34</v>
      </c>
      <c r="I1008">
        <v>11414</v>
      </c>
    </row>
    <row r="1009" spans="1:9" x14ac:dyDescent="0.3">
      <c r="A1009">
        <v>1008</v>
      </c>
      <c r="B1009" t="s">
        <v>3881</v>
      </c>
      <c r="C1009" t="s">
        <v>1707</v>
      </c>
      <c r="D1009" t="s">
        <v>5611</v>
      </c>
      <c r="E1009" t="s">
        <v>3882</v>
      </c>
      <c r="F1009" t="s">
        <v>3883</v>
      </c>
      <c r="G1009" t="s">
        <v>104</v>
      </c>
      <c r="H1009" t="s">
        <v>99</v>
      </c>
      <c r="I1009">
        <v>75126</v>
      </c>
    </row>
    <row r="1010" spans="1:9" x14ac:dyDescent="0.3">
      <c r="A1010">
        <v>1009</v>
      </c>
      <c r="B1010" t="s">
        <v>3884</v>
      </c>
      <c r="C1010" t="s">
        <v>3885</v>
      </c>
      <c r="D1010" t="s">
        <v>5611</v>
      </c>
      <c r="E1010" t="s">
        <v>3886</v>
      </c>
      <c r="F1010" t="s">
        <v>3887</v>
      </c>
      <c r="G1010" t="s">
        <v>1641</v>
      </c>
      <c r="H1010" t="s">
        <v>34</v>
      </c>
      <c r="I1010">
        <v>11422</v>
      </c>
    </row>
    <row r="1011" spans="1:9" x14ac:dyDescent="0.3">
      <c r="A1011">
        <v>1010</v>
      </c>
      <c r="B1011" t="s">
        <v>3888</v>
      </c>
      <c r="C1011" t="s">
        <v>311</v>
      </c>
      <c r="D1011" t="s">
        <v>5611</v>
      </c>
      <c r="E1011" t="s">
        <v>3889</v>
      </c>
      <c r="F1011" t="s">
        <v>3890</v>
      </c>
      <c r="G1011" t="s">
        <v>261</v>
      </c>
      <c r="H1011" t="s">
        <v>34</v>
      </c>
      <c r="I1011">
        <v>11714</v>
      </c>
    </row>
    <row r="1012" spans="1:9" x14ac:dyDescent="0.3">
      <c r="A1012">
        <v>1011</v>
      </c>
      <c r="B1012" t="s">
        <v>2895</v>
      </c>
      <c r="C1012" t="s">
        <v>3891</v>
      </c>
      <c r="D1012" t="s">
        <v>5611</v>
      </c>
      <c r="E1012" t="s">
        <v>3892</v>
      </c>
      <c r="F1012" t="s">
        <v>3893</v>
      </c>
      <c r="G1012" t="s">
        <v>357</v>
      </c>
      <c r="H1012" t="s">
        <v>99</v>
      </c>
      <c r="I1012">
        <v>75043</v>
      </c>
    </row>
    <row r="1013" spans="1:9" x14ac:dyDescent="0.3">
      <c r="A1013">
        <v>1012</v>
      </c>
      <c r="B1013" t="s">
        <v>3894</v>
      </c>
      <c r="C1013" t="s">
        <v>3895</v>
      </c>
      <c r="D1013" t="s">
        <v>5611</v>
      </c>
      <c r="E1013" t="s">
        <v>3896</v>
      </c>
      <c r="F1013" t="s">
        <v>3897</v>
      </c>
      <c r="G1013" t="s">
        <v>209</v>
      </c>
      <c r="H1013" t="s">
        <v>34</v>
      </c>
      <c r="I1013">
        <v>13027</v>
      </c>
    </row>
    <row r="1014" spans="1:9" x14ac:dyDescent="0.3">
      <c r="A1014">
        <v>1013</v>
      </c>
      <c r="B1014" t="s">
        <v>3898</v>
      </c>
      <c r="C1014" t="s">
        <v>1112</v>
      </c>
      <c r="D1014" t="s">
        <v>5611</v>
      </c>
      <c r="E1014" t="s">
        <v>3899</v>
      </c>
      <c r="F1014" t="s">
        <v>3900</v>
      </c>
      <c r="G1014" t="s">
        <v>2097</v>
      </c>
      <c r="H1014" t="s">
        <v>34</v>
      </c>
      <c r="I1014">
        <v>11368</v>
      </c>
    </row>
    <row r="1015" spans="1:9" x14ac:dyDescent="0.3">
      <c r="A1015">
        <v>1014</v>
      </c>
      <c r="B1015" t="s">
        <v>3901</v>
      </c>
      <c r="C1015" t="s">
        <v>79</v>
      </c>
      <c r="D1015" t="s">
        <v>5611</v>
      </c>
      <c r="E1015" t="s">
        <v>3902</v>
      </c>
      <c r="F1015" t="s">
        <v>3903</v>
      </c>
      <c r="G1015" t="s">
        <v>2167</v>
      </c>
      <c r="H1015" t="s">
        <v>34</v>
      </c>
      <c r="I1015">
        <v>11419</v>
      </c>
    </row>
    <row r="1016" spans="1:9" x14ac:dyDescent="0.3">
      <c r="A1016">
        <v>1015</v>
      </c>
      <c r="B1016" t="s">
        <v>517</v>
      </c>
      <c r="C1016" t="s">
        <v>1578</v>
      </c>
      <c r="D1016" t="s">
        <v>5611</v>
      </c>
      <c r="E1016" t="s">
        <v>3904</v>
      </c>
      <c r="F1016" t="s">
        <v>3905</v>
      </c>
      <c r="G1016" t="s">
        <v>1221</v>
      </c>
      <c r="H1016" t="s">
        <v>34</v>
      </c>
      <c r="I1016">
        <v>11530</v>
      </c>
    </row>
    <row r="1017" spans="1:9" x14ac:dyDescent="0.3">
      <c r="A1017">
        <v>1016</v>
      </c>
      <c r="B1017" t="s">
        <v>3906</v>
      </c>
      <c r="C1017" t="s">
        <v>3907</v>
      </c>
      <c r="D1017" t="s">
        <v>3908</v>
      </c>
      <c r="E1017" t="s">
        <v>3909</v>
      </c>
      <c r="F1017" t="s">
        <v>3910</v>
      </c>
      <c r="G1017" t="s">
        <v>115</v>
      </c>
      <c r="H1017" t="s">
        <v>34</v>
      </c>
      <c r="I1017">
        <v>10002</v>
      </c>
    </row>
    <row r="1018" spans="1:9" x14ac:dyDescent="0.3">
      <c r="A1018">
        <v>1017</v>
      </c>
      <c r="B1018" t="s">
        <v>3911</v>
      </c>
      <c r="C1018" t="s">
        <v>734</v>
      </c>
      <c r="D1018" t="s">
        <v>3912</v>
      </c>
      <c r="E1018" t="s">
        <v>3913</v>
      </c>
      <c r="F1018" t="s">
        <v>3914</v>
      </c>
      <c r="G1018" t="s">
        <v>190</v>
      </c>
      <c r="H1018" t="s">
        <v>40</v>
      </c>
      <c r="I1018">
        <v>94603</v>
      </c>
    </row>
    <row r="1019" spans="1:9" x14ac:dyDescent="0.3">
      <c r="A1019">
        <v>1018</v>
      </c>
      <c r="B1019" t="s">
        <v>3915</v>
      </c>
      <c r="C1019" t="s">
        <v>1186</v>
      </c>
      <c r="D1019" t="s">
        <v>5611</v>
      </c>
      <c r="E1019" t="s">
        <v>3916</v>
      </c>
      <c r="F1019" t="s">
        <v>3917</v>
      </c>
      <c r="G1019" t="s">
        <v>219</v>
      </c>
      <c r="H1019" t="s">
        <v>34</v>
      </c>
      <c r="I1019">
        <v>11378</v>
      </c>
    </row>
    <row r="1020" spans="1:9" x14ac:dyDescent="0.3">
      <c r="A1020">
        <v>1019</v>
      </c>
      <c r="B1020" t="s">
        <v>3918</v>
      </c>
      <c r="C1020" t="s">
        <v>1890</v>
      </c>
      <c r="D1020" t="s">
        <v>5611</v>
      </c>
      <c r="E1020" t="s">
        <v>3919</v>
      </c>
      <c r="F1020" t="s">
        <v>3920</v>
      </c>
      <c r="G1020" t="s">
        <v>543</v>
      </c>
      <c r="H1020" t="s">
        <v>34</v>
      </c>
      <c r="I1020">
        <v>11373</v>
      </c>
    </row>
    <row r="1021" spans="1:9" x14ac:dyDescent="0.3">
      <c r="A1021">
        <v>1020</v>
      </c>
      <c r="B1021" t="s">
        <v>3921</v>
      </c>
      <c r="C1021" t="s">
        <v>1248</v>
      </c>
      <c r="D1021" t="s">
        <v>5611</v>
      </c>
      <c r="E1021" t="s">
        <v>3922</v>
      </c>
      <c r="F1021" t="s">
        <v>3923</v>
      </c>
      <c r="G1021" t="s">
        <v>328</v>
      </c>
      <c r="H1021" t="s">
        <v>40</v>
      </c>
      <c r="I1021">
        <v>94070</v>
      </c>
    </row>
    <row r="1022" spans="1:9" x14ac:dyDescent="0.3">
      <c r="A1022">
        <v>1021</v>
      </c>
      <c r="B1022" t="s">
        <v>3924</v>
      </c>
      <c r="C1022" t="s">
        <v>3422</v>
      </c>
      <c r="D1022" t="s">
        <v>5611</v>
      </c>
      <c r="E1022" t="s">
        <v>3925</v>
      </c>
      <c r="F1022" t="s">
        <v>3926</v>
      </c>
      <c r="G1022" t="s">
        <v>701</v>
      </c>
      <c r="H1022" t="s">
        <v>34</v>
      </c>
      <c r="I1022">
        <v>11412</v>
      </c>
    </row>
    <row r="1023" spans="1:9" x14ac:dyDescent="0.3">
      <c r="A1023">
        <v>1022</v>
      </c>
      <c r="B1023" t="s">
        <v>3927</v>
      </c>
      <c r="C1023" t="s">
        <v>679</v>
      </c>
      <c r="D1023" t="s">
        <v>5611</v>
      </c>
      <c r="E1023" t="s">
        <v>3928</v>
      </c>
      <c r="F1023" t="s">
        <v>3929</v>
      </c>
      <c r="G1023" t="s">
        <v>159</v>
      </c>
      <c r="H1023" t="s">
        <v>34</v>
      </c>
      <c r="I1023">
        <v>10541</v>
      </c>
    </row>
    <row r="1024" spans="1:9" x14ac:dyDescent="0.3">
      <c r="A1024">
        <v>1023</v>
      </c>
      <c r="B1024" t="s">
        <v>3930</v>
      </c>
      <c r="C1024" t="s">
        <v>3931</v>
      </c>
      <c r="D1024" t="s">
        <v>5611</v>
      </c>
      <c r="E1024" t="s">
        <v>3932</v>
      </c>
      <c r="F1024" t="s">
        <v>3933</v>
      </c>
      <c r="G1024" t="s">
        <v>957</v>
      </c>
      <c r="H1024" t="s">
        <v>34</v>
      </c>
      <c r="I1024">
        <v>12020</v>
      </c>
    </row>
    <row r="1025" spans="1:9" x14ac:dyDescent="0.3">
      <c r="A1025">
        <v>1024</v>
      </c>
      <c r="B1025" t="s">
        <v>3934</v>
      </c>
      <c r="C1025" t="s">
        <v>656</v>
      </c>
      <c r="D1025" t="s">
        <v>3935</v>
      </c>
      <c r="E1025" t="s">
        <v>3936</v>
      </c>
      <c r="F1025" t="s">
        <v>3937</v>
      </c>
      <c r="G1025" t="s">
        <v>1164</v>
      </c>
      <c r="H1025" t="s">
        <v>99</v>
      </c>
      <c r="I1025">
        <v>79930</v>
      </c>
    </row>
    <row r="1026" spans="1:9" x14ac:dyDescent="0.3">
      <c r="A1026">
        <v>1025</v>
      </c>
      <c r="B1026" t="s">
        <v>3938</v>
      </c>
      <c r="C1026" t="s">
        <v>2735</v>
      </c>
      <c r="D1026" t="s">
        <v>5611</v>
      </c>
      <c r="E1026" t="s">
        <v>3939</v>
      </c>
      <c r="F1026" t="s">
        <v>3940</v>
      </c>
      <c r="G1026" t="s">
        <v>479</v>
      </c>
      <c r="H1026" t="s">
        <v>34</v>
      </c>
      <c r="I1026">
        <v>11735</v>
      </c>
    </row>
    <row r="1027" spans="1:9" x14ac:dyDescent="0.3">
      <c r="A1027">
        <v>1026</v>
      </c>
      <c r="B1027" t="s">
        <v>2323</v>
      </c>
      <c r="C1027" t="s">
        <v>839</v>
      </c>
      <c r="D1027" t="s">
        <v>5611</v>
      </c>
      <c r="E1027" t="s">
        <v>3941</v>
      </c>
      <c r="F1027" t="s">
        <v>3942</v>
      </c>
      <c r="G1027" t="s">
        <v>2909</v>
      </c>
      <c r="H1027" t="s">
        <v>34</v>
      </c>
      <c r="I1027">
        <v>13760</v>
      </c>
    </row>
    <row r="1028" spans="1:9" x14ac:dyDescent="0.3">
      <c r="A1028">
        <v>1027</v>
      </c>
      <c r="B1028" t="s">
        <v>3943</v>
      </c>
      <c r="C1028" t="s">
        <v>3944</v>
      </c>
      <c r="D1028" t="s">
        <v>5611</v>
      </c>
      <c r="E1028" t="s">
        <v>3945</v>
      </c>
      <c r="F1028" t="s">
        <v>3946</v>
      </c>
      <c r="G1028" t="s">
        <v>701</v>
      </c>
      <c r="H1028" t="s">
        <v>34</v>
      </c>
      <c r="I1028">
        <v>11412</v>
      </c>
    </row>
    <row r="1029" spans="1:9" x14ac:dyDescent="0.3">
      <c r="A1029">
        <v>1028</v>
      </c>
      <c r="B1029" t="s">
        <v>3947</v>
      </c>
      <c r="C1029" t="s">
        <v>423</v>
      </c>
      <c r="D1029" t="s">
        <v>5611</v>
      </c>
      <c r="E1029" t="s">
        <v>3948</v>
      </c>
      <c r="F1029" t="s">
        <v>3949</v>
      </c>
      <c r="G1029" t="s">
        <v>125</v>
      </c>
      <c r="H1029" t="s">
        <v>34</v>
      </c>
      <c r="I1029">
        <v>14424</v>
      </c>
    </row>
    <row r="1030" spans="1:9" x14ac:dyDescent="0.3">
      <c r="A1030">
        <v>1029</v>
      </c>
      <c r="B1030" t="s">
        <v>3950</v>
      </c>
      <c r="C1030" t="s">
        <v>242</v>
      </c>
      <c r="D1030" t="s">
        <v>5611</v>
      </c>
      <c r="E1030" t="s">
        <v>3951</v>
      </c>
      <c r="F1030" t="s">
        <v>3952</v>
      </c>
      <c r="G1030" t="s">
        <v>367</v>
      </c>
      <c r="H1030" t="s">
        <v>99</v>
      </c>
      <c r="I1030">
        <v>75088</v>
      </c>
    </row>
    <row r="1031" spans="1:9" x14ac:dyDescent="0.3">
      <c r="A1031">
        <v>1030</v>
      </c>
      <c r="B1031" t="s">
        <v>3953</v>
      </c>
      <c r="C1031" t="s">
        <v>1056</v>
      </c>
      <c r="D1031" t="s">
        <v>5611</v>
      </c>
      <c r="E1031" t="s">
        <v>3954</v>
      </c>
      <c r="F1031" t="s">
        <v>3955</v>
      </c>
      <c r="G1031" t="s">
        <v>981</v>
      </c>
      <c r="H1031" t="s">
        <v>34</v>
      </c>
      <c r="I1031">
        <v>11201</v>
      </c>
    </row>
    <row r="1032" spans="1:9" x14ac:dyDescent="0.3">
      <c r="A1032">
        <v>1031</v>
      </c>
      <c r="B1032" t="s">
        <v>3670</v>
      </c>
      <c r="C1032" t="s">
        <v>58</v>
      </c>
      <c r="D1032" t="s">
        <v>5611</v>
      </c>
      <c r="E1032" t="s">
        <v>3956</v>
      </c>
      <c r="F1032" t="s">
        <v>3957</v>
      </c>
      <c r="G1032" t="s">
        <v>61</v>
      </c>
      <c r="H1032" t="s">
        <v>34</v>
      </c>
      <c r="I1032">
        <v>14450</v>
      </c>
    </row>
    <row r="1033" spans="1:9" x14ac:dyDescent="0.3">
      <c r="A1033">
        <v>1032</v>
      </c>
      <c r="B1033" t="s">
        <v>3958</v>
      </c>
      <c r="C1033" t="s">
        <v>3211</v>
      </c>
      <c r="D1033" t="s">
        <v>5611</v>
      </c>
      <c r="E1033" t="s">
        <v>3959</v>
      </c>
      <c r="F1033" t="s">
        <v>3960</v>
      </c>
      <c r="G1033" t="s">
        <v>444</v>
      </c>
      <c r="H1033" t="s">
        <v>34</v>
      </c>
      <c r="I1033">
        <v>11746</v>
      </c>
    </row>
    <row r="1034" spans="1:9" x14ac:dyDescent="0.3">
      <c r="A1034">
        <v>1033</v>
      </c>
      <c r="B1034" t="s">
        <v>3961</v>
      </c>
      <c r="C1034" t="s">
        <v>3300</v>
      </c>
      <c r="D1034" t="s">
        <v>5611</v>
      </c>
      <c r="E1034" t="s">
        <v>3962</v>
      </c>
      <c r="F1034" t="s">
        <v>3963</v>
      </c>
      <c r="G1034" t="s">
        <v>1511</v>
      </c>
      <c r="H1034" t="s">
        <v>34</v>
      </c>
      <c r="I1034">
        <v>11375</v>
      </c>
    </row>
    <row r="1035" spans="1:9" x14ac:dyDescent="0.3">
      <c r="A1035">
        <v>1034</v>
      </c>
      <c r="B1035" t="s">
        <v>3964</v>
      </c>
      <c r="C1035" t="s">
        <v>3965</v>
      </c>
      <c r="D1035" t="s">
        <v>5611</v>
      </c>
      <c r="E1035" t="s">
        <v>3966</v>
      </c>
      <c r="F1035" t="s">
        <v>3967</v>
      </c>
      <c r="G1035" t="s">
        <v>1329</v>
      </c>
      <c r="H1035" t="s">
        <v>34</v>
      </c>
      <c r="I1035">
        <v>11720</v>
      </c>
    </row>
    <row r="1036" spans="1:9" x14ac:dyDescent="0.3">
      <c r="A1036">
        <v>1035</v>
      </c>
      <c r="B1036" t="s">
        <v>241</v>
      </c>
      <c r="C1036" t="s">
        <v>3968</v>
      </c>
      <c r="D1036" t="s">
        <v>5611</v>
      </c>
      <c r="E1036" t="s">
        <v>3969</v>
      </c>
      <c r="F1036" t="s">
        <v>3970</v>
      </c>
      <c r="G1036" t="s">
        <v>39</v>
      </c>
      <c r="H1036" t="s">
        <v>40</v>
      </c>
      <c r="I1036">
        <v>95008</v>
      </c>
    </row>
    <row r="1037" spans="1:9" x14ac:dyDescent="0.3">
      <c r="A1037">
        <v>1036</v>
      </c>
      <c r="B1037" t="s">
        <v>3601</v>
      </c>
      <c r="C1037" t="s">
        <v>2126</v>
      </c>
      <c r="D1037" t="s">
        <v>5611</v>
      </c>
      <c r="E1037" t="s">
        <v>3971</v>
      </c>
      <c r="F1037" t="s">
        <v>3972</v>
      </c>
      <c r="G1037" t="s">
        <v>1329</v>
      </c>
      <c r="H1037" t="s">
        <v>34</v>
      </c>
      <c r="I1037">
        <v>11720</v>
      </c>
    </row>
    <row r="1038" spans="1:9" x14ac:dyDescent="0.3">
      <c r="A1038">
        <v>1037</v>
      </c>
      <c r="B1038" t="s">
        <v>413</v>
      </c>
      <c r="C1038" t="s">
        <v>3973</v>
      </c>
      <c r="D1038" t="s">
        <v>5611</v>
      </c>
      <c r="E1038" t="s">
        <v>3974</v>
      </c>
      <c r="F1038" t="s">
        <v>3975</v>
      </c>
      <c r="G1038" t="s">
        <v>1987</v>
      </c>
      <c r="H1038" t="s">
        <v>34</v>
      </c>
      <c r="I1038">
        <v>10954</v>
      </c>
    </row>
    <row r="1039" spans="1:9" x14ac:dyDescent="0.3">
      <c r="A1039">
        <v>1038</v>
      </c>
      <c r="B1039" t="s">
        <v>100</v>
      </c>
      <c r="C1039" t="s">
        <v>1150</v>
      </c>
      <c r="D1039" t="s">
        <v>5611</v>
      </c>
      <c r="E1039" t="s">
        <v>3976</v>
      </c>
      <c r="F1039" t="s">
        <v>3977</v>
      </c>
      <c r="G1039" t="s">
        <v>1511</v>
      </c>
      <c r="H1039" t="s">
        <v>34</v>
      </c>
      <c r="I1039">
        <v>11375</v>
      </c>
    </row>
    <row r="1040" spans="1:9" x14ac:dyDescent="0.3">
      <c r="A1040">
        <v>1039</v>
      </c>
      <c r="B1040" t="s">
        <v>3978</v>
      </c>
      <c r="C1040" t="s">
        <v>831</v>
      </c>
      <c r="D1040" t="s">
        <v>5611</v>
      </c>
      <c r="E1040" t="s">
        <v>3979</v>
      </c>
      <c r="F1040" t="s">
        <v>3980</v>
      </c>
      <c r="G1040" t="s">
        <v>214</v>
      </c>
      <c r="H1040" t="s">
        <v>34</v>
      </c>
      <c r="I1040">
        <v>13090</v>
      </c>
    </row>
    <row r="1041" spans="1:9" x14ac:dyDescent="0.3">
      <c r="A1041">
        <v>1040</v>
      </c>
      <c r="B1041" t="s">
        <v>3981</v>
      </c>
      <c r="C1041" t="s">
        <v>3973</v>
      </c>
      <c r="D1041" t="s">
        <v>5611</v>
      </c>
      <c r="E1041" t="s">
        <v>3982</v>
      </c>
      <c r="F1041" t="s">
        <v>3983</v>
      </c>
      <c r="G1041" t="s">
        <v>139</v>
      </c>
      <c r="H1041" t="s">
        <v>99</v>
      </c>
      <c r="I1041">
        <v>77904</v>
      </c>
    </row>
    <row r="1042" spans="1:9" x14ac:dyDescent="0.3">
      <c r="A1042">
        <v>1041</v>
      </c>
      <c r="B1042" t="s">
        <v>3984</v>
      </c>
      <c r="C1042" t="s">
        <v>101</v>
      </c>
      <c r="D1042" t="s">
        <v>5611</v>
      </c>
      <c r="E1042" t="s">
        <v>3985</v>
      </c>
      <c r="F1042" t="s">
        <v>3986</v>
      </c>
      <c r="G1042" t="s">
        <v>449</v>
      </c>
      <c r="H1042" t="s">
        <v>34</v>
      </c>
      <c r="I1042">
        <v>13126</v>
      </c>
    </row>
    <row r="1043" spans="1:9" x14ac:dyDescent="0.3">
      <c r="A1043">
        <v>1042</v>
      </c>
      <c r="B1043" t="s">
        <v>3987</v>
      </c>
      <c r="C1043" t="s">
        <v>63</v>
      </c>
      <c r="D1043" t="s">
        <v>5611</v>
      </c>
      <c r="E1043" t="s">
        <v>3988</v>
      </c>
      <c r="F1043" t="s">
        <v>3989</v>
      </c>
      <c r="G1043" t="s">
        <v>256</v>
      </c>
      <c r="H1043" t="s">
        <v>34</v>
      </c>
      <c r="I1043">
        <v>11003</v>
      </c>
    </row>
    <row r="1044" spans="1:9" x14ac:dyDescent="0.3">
      <c r="A1044">
        <v>1043</v>
      </c>
      <c r="B1044" t="s">
        <v>3990</v>
      </c>
      <c r="C1044" t="s">
        <v>3991</v>
      </c>
      <c r="D1044" t="s">
        <v>5611</v>
      </c>
      <c r="E1044" t="s">
        <v>3992</v>
      </c>
      <c r="F1044" t="s">
        <v>3993</v>
      </c>
      <c r="G1044" t="s">
        <v>2548</v>
      </c>
      <c r="H1044" t="s">
        <v>34</v>
      </c>
      <c r="I1044">
        <v>11365</v>
      </c>
    </row>
    <row r="1045" spans="1:9" x14ac:dyDescent="0.3">
      <c r="A1045">
        <v>1044</v>
      </c>
      <c r="B1045" t="s">
        <v>3994</v>
      </c>
      <c r="C1045" t="s">
        <v>3995</v>
      </c>
      <c r="D1045" t="s">
        <v>5611</v>
      </c>
      <c r="E1045" t="s">
        <v>3996</v>
      </c>
      <c r="F1045" t="s">
        <v>3997</v>
      </c>
      <c r="G1045" t="s">
        <v>1641</v>
      </c>
      <c r="H1045" t="s">
        <v>34</v>
      </c>
      <c r="I1045">
        <v>11422</v>
      </c>
    </row>
    <row r="1046" spans="1:9" x14ac:dyDescent="0.3">
      <c r="A1046">
        <v>1045</v>
      </c>
      <c r="B1046" t="s">
        <v>3998</v>
      </c>
      <c r="C1046" t="s">
        <v>3999</v>
      </c>
      <c r="D1046" t="s">
        <v>5611</v>
      </c>
      <c r="E1046" t="s">
        <v>4000</v>
      </c>
      <c r="F1046" t="s">
        <v>4001</v>
      </c>
      <c r="G1046" t="s">
        <v>1930</v>
      </c>
      <c r="H1046" t="s">
        <v>40</v>
      </c>
      <c r="I1046">
        <v>92083</v>
      </c>
    </row>
    <row r="1047" spans="1:9" x14ac:dyDescent="0.3">
      <c r="A1047">
        <v>1046</v>
      </c>
      <c r="B1047" t="s">
        <v>4002</v>
      </c>
      <c r="C1047" t="s">
        <v>211</v>
      </c>
      <c r="D1047" t="s">
        <v>5611</v>
      </c>
      <c r="E1047" t="s">
        <v>4003</v>
      </c>
      <c r="F1047" t="s">
        <v>4004</v>
      </c>
      <c r="G1047" t="s">
        <v>125</v>
      </c>
      <c r="H1047" t="s">
        <v>34</v>
      </c>
      <c r="I1047">
        <v>14424</v>
      </c>
    </row>
    <row r="1048" spans="1:9" x14ac:dyDescent="0.3">
      <c r="A1048">
        <v>1047</v>
      </c>
      <c r="B1048" t="s">
        <v>180</v>
      </c>
      <c r="C1048" t="s">
        <v>831</v>
      </c>
      <c r="D1048" t="s">
        <v>5611</v>
      </c>
      <c r="E1048" t="s">
        <v>4005</v>
      </c>
      <c r="F1048" t="s">
        <v>4006</v>
      </c>
      <c r="G1048" t="s">
        <v>543</v>
      </c>
      <c r="H1048" t="s">
        <v>34</v>
      </c>
      <c r="I1048">
        <v>11373</v>
      </c>
    </row>
    <row r="1049" spans="1:9" x14ac:dyDescent="0.3">
      <c r="A1049">
        <v>1048</v>
      </c>
      <c r="B1049" t="s">
        <v>4007</v>
      </c>
      <c r="C1049" t="s">
        <v>1408</v>
      </c>
      <c r="D1049" t="s">
        <v>5611</v>
      </c>
      <c r="E1049" t="s">
        <v>4008</v>
      </c>
      <c r="F1049" t="s">
        <v>4009</v>
      </c>
      <c r="G1049" t="s">
        <v>896</v>
      </c>
      <c r="H1049" t="s">
        <v>40</v>
      </c>
      <c r="I1049">
        <v>92307</v>
      </c>
    </row>
    <row r="1050" spans="1:9" x14ac:dyDescent="0.3">
      <c r="A1050">
        <v>1049</v>
      </c>
      <c r="B1050" t="s">
        <v>4010</v>
      </c>
      <c r="C1050" t="s">
        <v>1993</v>
      </c>
      <c r="D1050" t="s">
        <v>5611</v>
      </c>
      <c r="E1050" t="s">
        <v>4011</v>
      </c>
      <c r="F1050" t="s">
        <v>4012</v>
      </c>
      <c r="G1050" t="s">
        <v>2571</v>
      </c>
      <c r="H1050" t="s">
        <v>34</v>
      </c>
      <c r="I1050">
        <v>12065</v>
      </c>
    </row>
    <row r="1051" spans="1:9" x14ac:dyDescent="0.3">
      <c r="A1051">
        <v>1050</v>
      </c>
      <c r="B1051" t="s">
        <v>4013</v>
      </c>
      <c r="C1051" t="s">
        <v>1775</v>
      </c>
      <c r="D1051" t="s">
        <v>5611</v>
      </c>
      <c r="E1051" t="s">
        <v>4014</v>
      </c>
      <c r="F1051" t="s">
        <v>4015</v>
      </c>
      <c r="G1051" t="s">
        <v>1769</v>
      </c>
      <c r="H1051" t="s">
        <v>34</v>
      </c>
      <c r="I1051">
        <v>11967</v>
      </c>
    </row>
    <row r="1052" spans="1:9" x14ac:dyDescent="0.3">
      <c r="A1052">
        <v>1051</v>
      </c>
      <c r="B1052" t="s">
        <v>4016</v>
      </c>
      <c r="C1052" t="s">
        <v>2114</v>
      </c>
      <c r="D1052" t="s">
        <v>5611</v>
      </c>
      <c r="E1052" t="s">
        <v>4017</v>
      </c>
      <c r="F1052" t="s">
        <v>4018</v>
      </c>
      <c r="G1052" t="s">
        <v>444</v>
      </c>
      <c r="H1052" t="s">
        <v>34</v>
      </c>
      <c r="I1052">
        <v>11746</v>
      </c>
    </row>
    <row r="1053" spans="1:9" x14ac:dyDescent="0.3">
      <c r="A1053">
        <v>1052</v>
      </c>
      <c r="B1053" t="s">
        <v>4019</v>
      </c>
      <c r="C1053" t="s">
        <v>2957</v>
      </c>
      <c r="D1053" t="s">
        <v>4020</v>
      </c>
      <c r="E1053" t="s">
        <v>4021</v>
      </c>
      <c r="F1053" t="s">
        <v>4022</v>
      </c>
      <c r="G1053" t="s">
        <v>56</v>
      </c>
      <c r="H1053" t="s">
        <v>40</v>
      </c>
      <c r="I1053">
        <v>95820</v>
      </c>
    </row>
    <row r="1054" spans="1:9" x14ac:dyDescent="0.3">
      <c r="A1054">
        <v>1053</v>
      </c>
      <c r="B1054" t="s">
        <v>4023</v>
      </c>
      <c r="C1054" t="s">
        <v>3392</v>
      </c>
      <c r="D1054" t="s">
        <v>5611</v>
      </c>
      <c r="E1054" t="s">
        <v>4024</v>
      </c>
      <c r="F1054" t="s">
        <v>4025</v>
      </c>
      <c r="G1054" t="s">
        <v>159</v>
      </c>
      <c r="H1054" t="s">
        <v>34</v>
      </c>
      <c r="I1054">
        <v>10541</v>
      </c>
    </row>
    <row r="1055" spans="1:9" x14ac:dyDescent="0.3">
      <c r="A1055">
        <v>1054</v>
      </c>
      <c r="B1055" t="s">
        <v>4026</v>
      </c>
      <c r="C1055" t="s">
        <v>4027</v>
      </c>
      <c r="D1055" t="s">
        <v>5611</v>
      </c>
      <c r="E1055" t="s">
        <v>4028</v>
      </c>
      <c r="F1055" t="s">
        <v>4029</v>
      </c>
      <c r="G1055" t="s">
        <v>357</v>
      </c>
      <c r="H1055" t="s">
        <v>99</v>
      </c>
      <c r="I1055">
        <v>75043</v>
      </c>
    </row>
    <row r="1056" spans="1:9" x14ac:dyDescent="0.3">
      <c r="A1056">
        <v>1055</v>
      </c>
      <c r="B1056" t="s">
        <v>4030</v>
      </c>
      <c r="C1056" t="s">
        <v>4031</v>
      </c>
      <c r="D1056" t="s">
        <v>5611</v>
      </c>
      <c r="E1056" t="s">
        <v>4032</v>
      </c>
      <c r="F1056" t="s">
        <v>4033</v>
      </c>
      <c r="G1056" t="s">
        <v>219</v>
      </c>
      <c r="H1056" t="s">
        <v>34</v>
      </c>
      <c r="I1056">
        <v>11378</v>
      </c>
    </row>
    <row r="1057" spans="1:9" x14ac:dyDescent="0.3">
      <c r="A1057">
        <v>1056</v>
      </c>
      <c r="B1057" t="s">
        <v>4034</v>
      </c>
      <c r="C1057" t="s">
        <v>101</v>
      </c>
      <c r="D1057" t="s">
        <v>5611</v>
      </c>
      <c r="E1057" t="s">
        <v>4035</v>
      </c>
      <c r="F1057" t="s">
        <v>4036</v>
      </c>
      <c r="G1057" t="s">
        <v>1524</v>
      </c>
      <c r="H1057" t="s">
        <v>34</v>
      </c>
      <c r="I1057">
        <v>10550</v>
      </c>
    </row>
    <row r="1058" spans="1:9" x14ac:dyDescent="0.3">
      <c r="A1058">
        <v>1057</v>
      </c>
      <c r="B1058" t="s">
        <v>4037</v>
      </c>
      <c r="C1058" t="s">
        <v>4038</v>
      </c>
      <c r="D1058" t="s">
        <v>5611</v>
      </c>
      <c r="E1058" t="s">
        <v>4039</v>
      </c>
      <c r="F1058" t="s">
        <v>4040</v>
      </c>
      <c r="G1058" t="s">
        <v>1524</v>
      </c>
      <c r="H1058" t="s">
        <v>34</v>
      </c>
      <c r="I1058">
        <v>10550</v>
      </c>
    </row>
    <row r="1059" spans="1:9" x14ac:dyDescent="0.3">
      <c r="A1059">
        <v>1058</v>
      </c>
      <c r="B1059" t="s">
        <v>4041</v>
      </c>
      <c r="C1059" t="s">
        <v>609</v>
      </c>
      <c r="D1059" t="s">
        <v>5611</v>
      </c>
      <c r="E1059" t="s">
        <v>4042</v>
      </c>
      <c r="F1059" t="s">
        <v>4043</v>
      </c>
      <c r="G1059" t="s">
        <v>883</v>
      </c>
      <c r="H1059" t="s">
        <v>34</v>
      </c>
      <c r="I1059">
        <v>14580</v>
      </c>
    </row>
    <row r="1060" spans="1:9" x14ac:dyDescent="0.3">
      <c r="A1060">
        <v>1059</v>
      </c>
      <c r="B1060" t="s">
        <v>4044</v>
      </c>
      <c r="C1060" t="s">
        <v>2861</v>
      </c>
      <c r="D1060" t="s">
        <v>5611</v>
      </c>
      <c r="E1060" t="s">
        <v>4045</v>
      </c>
      <c r="F1060" t="s">
        <v>4046</v>
      </c>
      <c r="G1060" t="s">
        <v>144</v>
      </c>
      <c r="H1060" t="s">
        <v>34</v>
      </c>
      <c r="I1060">
        <v>11731</v>
      </c>
    </row>
    <row r="1061" spans="1:9" x14ac:dyDescent="0.3">
      <c r="A1061">
        <v>1060</v>
      </c>
      <c r="B1061" t="s">
        <v>358</v>
      </c>
      <c r="C1061" t="s">
        <v>3885</v>
      </c>
      <c r="D1061" t="s">
        <v>4047</v>
      </c>
      <c r="E1061" t="s">
        <v>4048</v>
      </c>
      <c r="F1061" t="s">
        <v>4049</v>
      </c>
      <c r="G1061" t="s">
        <v>230</v>
      </c>
      <c r="H1061" t="s">
        <v>34</v>
      </c>
      <c r="I1061">
        <v>14086</v>
      </c>
    </row>
    <row r="1062" spans="1:9" x14ac:dyDescent="0.3">
      <c r="A1062">
        <v>1061</v>
      </c>
      <c r="B1062" t="s">
        <v>4050</v>
      </c>
      <c r="C1062" t="s">
        <v>1325</v>
      </c>
      <c r="D1062" t="s">
        <v>5611</v>
      </c>
      <c r="E1062" t="s">
        <v>4051</v>
      </c>
      <c r="F1062" t="s">
        <v>4052</v>
      </c>
      <c r="G1062" t="s">
        <v>589</v>
      </c>
      <c r="H1062" t="s">
        <v>99</v>
      </c>
      <c r="I1062">
        <v>76039</v>
      </c>
    </row>
    <row r="1063" spans="1:9" x14ac:dyDescent="0.3">
      <c r="A1063">
        <v>1062</v>
      </c>
      <c r="B1063" t="s">
        <v>4053</v>
      </c>
      <c r="C1063" t="s">
        <v>4054</v>
      </c>
      <c r="D1063" t="s">
        <v>5611</v>
      </c>
      <c r="E1063" t="s">
        <v>4055</v>
      </c>
      <c r="F1063" t="s">
        <v>4056</v>
      </c>
      <c r="G1063" t="s">
        <v>1781</v>
      </c>
      <c r="H1063" t="s">
        <v>34</v>
      </c>
      <c r="I1063">
        <v>10512</v>
      </c>
    </row>
    <row r="1064" spans="1:9" x14ac:dyDescent="0.3">
      <c r="A1064">
        <v>1063</v>
      </c>
      <c r="B1064" t="s">
        <v>4057</v>
      </c>
      <c r="C1064" t="s">
        <v>2242</v>
      </c>
      <c r="D1064" t="s">
        <v>5611</v>
      </c>
      <c r="E1064" t="s">
        <v>4058</v>
      </c>
      <c r="F1064" t="s">
        <v>4059</v>
      </c>
      <c r="G1064" t="s">
        <v>2056</v>
      </c>
      <c r="H1064" t="s">
        <v>99</v>
      </c>
      <c r="I1064">
        <v>77566</v>
      </c>
    </row>
    <row r="1065" spans="1:9" x14ac:dyDescent="0.3">
      <c r="A1065">
        <v>1064</v>
      </c>
      <c r="B1065" t="s">
        <v>4060</v>
      </c>
      <c r="C1065" t="s">
        <v>4061</v>
      </c>
      <c r="D1065" t="s">
        <v>5611</v>
      </c>
      <c r="E1065" t="s">
        <v>4062</v>
      </c>
      <c r="F1065" t="s">
        <v>4063</v>
      </c>
      <c r="G1065" t="s">
        <v>367</v>
      </c>
      <c r="H1065" t="s">
        <v>99</v>
      </c>
      <c r="I1065">
        <v>75088</v>
      </c>
    </row>
    <row r="1066" spans="1:9" x14ac:dyDescent="0.3">
      <c r="A1066">
        <v>1065</v>
      </c>
      <c r="B1066" t="s">
        <v>4064</v>
      </c>
      <c r="C1066" t="s">
        <v>106</v>
      </c>
      <c r="D1066" t="s">
        <v>5611</v>
      </c>
      <c r="E1066" t="s">
        <v>4065</v>
      </c>
      <c r="F1066" t="s">
        <v>4066</v>
      </c>
      <c r="G1066" t="s">
        <v>270</v>
      </c>
      <c r="H1066" t="s">
        <v>40</v>
      </c>
      <c r="I1066">
        <v>94580</v>
      </c>
    </row>
    <row r="1067" spans="1:9" x14ac:dyDescent="0.3">
      <c r="A1067">
        <v>1066</v>
      </c>
      <c r="B1067" t="s">
        <v>4067</v>
      </c>
      <c r="C1067" t="s">
        <v>69</v>
      </c>
      <c r="D1067" t="s">
        <v>4068</v>
      </c>
      <c r="E1067" t="s">
        <v>4069</v>
      </c>
      <c r="F1067" t="s">
        <v>4070</v>
      </c>
      <c r="G1067" t="s">
        <v>564</v>
      </c>
      <c r="H1067" t="s">
        <v>40</v>
      </c>
      <c r="I1067">
        <v>92806</v>
      </c>
    </row>
    <row r="1068" spans="1:9" x14ac:dyDescent="0.3">
      <c r="A1068">
        <v>1067</v>
      </c>
      <c r="B1068" t="s">
        <v>4071</v>
      </c>
      <c r="C1068" t="s">
        <v>4072</v>
      </c>
      <c r="D1068" t="s">
        <v>5611</v>
      </c>
      <c r="E1068" t="s">
        <v>4073</v>
      </c>
      <c r="F1068" t="s">
        <v>4074</v>
      </c>
      <c r="G1068" t="s">
        <v>939</v>
      </c>
      <c r="H1068" t="s">
        <v>34</v>
      </c>
      <c r="I1068">
        <v>11374</v>
      </c>
    </row>
    <row r="1069" spans="1:9" x14ac:dyDescent="0.3">
      <c r="A1069">
        <v>1068</v>
      </c>
      <c r="B1069" t="s">
        <v>4075</v>
      </c>
      <c r="C1069" t="s">
        <v>4076</v>
      </c>
      <c r="D1069" t="s">
        <v>5611</v>
      </c>
      <c r="E1069" t="s">
        <v>4077</v>
      </c>
      <c r="F1069" t="s">
        <v>4078</v>
      </c>
      <c r="G1069" t="s">
        <v>454</v>
      </c>
      <c r="H1069" t="s">
        <v>40</v>
      </c>
      <c r="I1069">
        <v>91010</v>
      </c>
    </row>
    <row r="1070" spans="1:9" x14ac:dyDescent="0.3">
      <c r="A1070">
        <v>1069</v>
      </c>
      <c r="B1070" t="s">
        <v>4079</v>
      </c>
      <c r="C1070" t="s">
        <v>4080</v>
      </c>
      <c r="D1070" t="s">
        <v>5611</v>
      </c>
      <c r="E1070" t="s">
        <v>4081</v>
      </c>
      <c r="F1070" t="s">
        <v>4082</v>
      </c>
      <c r="G1070" t="s">
        <v>1769</v>
      </c>
      <c r="H1070" t="s">
        <v>34</v>
      </c>
      <c r="I1070">
        <v>11967</v>
      </c>
    </row>
    <row r="1071" spans="1:9" x14ac:dyDescent="0.3">
      <c r="A1071">
        <v>1070</v>
      </c>
      <c r="B1071" t="s">
        <v>4083</v>
      </c>
      <c r="C1071" t="s">
        <v>2110</v>
      </c>
      <c r="D1071" t="s">
        <v>5611</v>
      </c>
      <c r="E1071" t="s">
        <v>4084</v>
      </c>
      <c r="F1071" t="s">
        <v>4085</v>
      </c>
      <c r="G1071" t="s">
        <v>4086</v>
      </c>
      <c r="H1071" t="s">
        <v>34</v>
      </c>
      <c r="I1071">
        <v>11364</v>
      </c>
    </row>
    <row r="1072" spans="1:9" x14ac:dyDescent="0.3">
      <c r="A1072">
        <v>1071</v>
      </c>
      <c r="B1072" t="s">
        <v>4087</v>
      </c>
      <c r="C1072" t="s">
        <v>339</v>
      </c>
      <c r="D1072" t="s">
        <v>5611</v>
      </c>
      <c r="E1072" t="s">
        <v>4088</v>
      </c>
      <c r="F1072" t="s">
        <v>4089</v>
      </c>
      <c r="G1072" t="s">
        <v>1595</v>
      </c>
      <c r="H1072" t="s">
        <v>40</v>
      </c>
      <c r="I1072">
        <v>91768</v>
      </c>
    </row>
    <row r="1073" spans="1:9" x14ac:dyDescent="0.3">
      <c r="A1073">
        <v>1072</v>
      </c>
      <c r="B1073" t="s">
        <v>4090</v>
      </c>
      <c r="C1073" t="s">
        <v>311</v>
      </c>
      <c r="D1073" t="s">
        <v>5611</v>
      </c>
      <c r="E1073" t="s">
        <v>4091</v>
      </c>
      <c r="F1073" t="s">
        <v>4092</v>
      </c>
      <c r="G1073" t="s">
        <v>408</v>
      </c>
      <c r="H1073" t="s">
        <v>99</v>
      </c>
      <c r="I1073">
        <v>75080</v>
      </c>
    </row>
    <row r="1074" spans="1:9" x14ac:dyDescent="0.3">
      <c r="A1074">
        <v>1073</v>
      </c>
      <c r="B1074" t="s">
        <v>4093</v>
      </c>
      <c r="C1074" t="s">
        <v>1372</v>
      </c>
      <c r="D1074" t="s">
        <v>5611</v>
      </c>
      <c r="E1074" t="s">
        <v>4094</v>
      </c>
      <c r="F1074" t="s">
        <v>4095</v>
      </c>
      <c r="G1074" t="s">
        <v>499</v>
      </c>
      <c r="H1074" t="s">
        <v>34</v>
      </c>
      <c r="I1074">
        <v>11361</v>
      </c>
    </row>
    <row r="1075" spans="1:9" x14ac:dyDescent="0.3">
      <c r="A1075">
        <v>1074</v>
      </c>
      <c r="B1075" t="s">
        <v>4096</v>
      </c>
      <c r="C1075" t="s">
        <v>267</v>
      </c>
      <c r="D1075" t="s">
        <v>5611</v>
      </c>
      <c r="E1075" t="s">
        <v>4097</v>
      </c>
      <c r="F1075" t="s">
        <v>4098</v>
      </c>
      <c r="G1075" t="s">
        <v>552</v>
      </c>
      <c r="H1075" t="s">
        <v>34</v>
      </c>
      <c r="I1075">
        <v>11001</v>
      </c>
    </row>
    <row r="1076" spans="1:9" x14ac:dyDescent="0.3">
      <c r="A1076">
        <v>1075</v>
      </c>
      <c r="B1076" t="s">
        <v>4099</v>
      </c>
      <c r="C1076" t="s">
        <v>4100</v>
      </c>
      <c r="D1076" t="s">
        <v>5611</v>
      </c>
      <c r="E1076" t="s">
        <v>4101</v>
      </c>
      <c r="F1076" t="s">
        <v>4102</v>
      </c>
      <c r="G1076" t="s">
        <v>444</v>
      </c>
      <c r="H1076" t="s">
        <v>34</v>
      </c>
      <c r="I1076">
        <v>11746</v>
      </c>
    </row>
    <row r="1077" spans="1:9" x14ac:dyDescent="0.3">
      <c r="A1077">
        <v>1076</v>
      </c>
      <c r="B1077" t="s">
        <v>4103</v>
      </c>
      <c r="C1077" t="s">
        <v>679</v>
      </c>
      <c r="D1077" t="s">
        <v>5611</v>
      </c>
      <c r="E1077" t="s">
        <v>4104</v>
      </c>
      <c r="F1077" t="s">
        <v>4105</v>
      </c>
      <c r="G1077" t="s">
        <v>1930</v>
      </c>
      <c r="H1077" t="s">
        <v>40</v>
      </c>
      <c r="I1077">
        <v>92083</v>
      </c>
    </row>
    <row r="1078" spans="1:9" x14ac:dyDescent="0.3">
      <c r="A1078">
        <v>1077</v>
      </c>
      <c r="B1078" t="s">
        <v>3850</v>
      </c>
      <c r="C1078" t="s">
        <v>1289</v>
      </c>
      <c r="D1078" t="s">
        <v>5611</v>
      </c>
      <c r="E1078" t="s">
        <v>4106</v>
      </c>
      <c r="F1078" t="s">
        <v>4107</v>
      </c>
      <c r="G1078" t="s">
        <v>170</v>
      </c>
      <c r="H1078" t="s">
        <v>34</v>
      </c>
      <c r="I1078">
        <v>11104</v>
      </c>
    </row>
    <row r="1079" spans="1:9" x14ac:dyDescent="0.3">
      <c r="A1079">
        <v>1078</v>
      </c>
      <c r="B1079" t="s">
        <v>4108</v>
      </c>
      <c r="C1079" t="s">
        <v>2856</v>
      </c>
      <c r="D1079" t="s">
        <v>5611</v>
      </c>
      <c r="E1079" t="s">
        <v>4109</v>
      </c>
      <c r="F1079" t="s">
        <v>4110</v>
      </c>
      <c r="G1079" t="s">
        <v>1511</v>
      </c>
      <c r="H1079" t="s">
        <v>34</v>
      </c>
      <c r="I1079">
        <v>11375</v>
      </c>
    </row>
    <row r="1080" spans="1:9" x14ac:dyDescent="0.3">
      <c r="A1080">
        <v>1079</v>
      </c>
      <c r="B1080" t="s">
        <v>1115</v>
      </c>
      <c r="C1080" t="s">
        <v>3622</v>
      </c>
      <c r="D1080" t="s">
        <v>5611</v>
      </c>
      <c r="E1080" t="s">
        <v>4111</v>
      </c>
      <c r="F1080" t="s">
        <v>4112</v>
      </c>
      <c r="G1080" t="s">
        <v>552</v>
      </c>
      <c r="H1080" t="s">
        <v>34</v>
      </c>
      <c r="I1080">
        <v>11001</v>
      </c>
    </row>
    <row r="1081" spans="1:9" x14ac:dyDescent="0.3">
      <c r="A1081">
        <v>1080</v>
      </c>
      <c r="B1081" t="s">
        <v>4113</v>
      </c>
      <c r="C1081" t="s">
        <v>4114</v>
      </c>
      <c r="D1081" t="s">
        <v>5611</v>
      </c>
      <c r="E1081" t="s">
        <v>4115</v>
      </c>
      <c r="F1081" t="s">
        <v>4116</v>
      </c>
      <c r="G1081" t="s">
        <v>98</v>
      </c>
      <c r="H1081" t="s">
        <v>99</v>
      </c>
      <c r="I1081">
        <v>75604</v>
      </c>
    </row>
    <row r="1082" spans="1:9" x14ac:dyDescent="0.3">
      <c r="A1082">
        <v>1081</v>
      </c>
      <c r="B1082" t="s">
        <v>374</v>
      </c>
      <c r="C1082" t="s">
        <v>4117</v>
      </c>
      <c r="D1082" t="s">
        <v>5611</v>
      </c>
      <c r="E1082" t="s">
        <v>4118</v>
      </c>
      <c r="F1082" t="s">
        <v>4119</v>
      </c>
      <c r="G1082" t="s">
        <v>1856</v>
      </c>
      <c r="H1082" t="s">
        <v>34</v>
      </c>
      <c r="I1082">
        <v>10801</v>
      </c>
    </row>
    <row r="1083" spans="1:9" x14ac:dyDescent="0.3">
      <c r="A1083">
        <v>1082</v>
      </c>
      <c r="B1083" t="s">
        <v>4120</v>
      </c>
      <c r="C1083" t="s">
        <v>2074</v>
      </c>
      <c r="D1083" t="s">
        <v>4121</v>
      </c>
      <c r="E1083" t="s">
        <v>4122</v>
      </c>
      <c r="F1083" t="s">
        <v>4123</v>
      </c>
      <c r="G1083" t="s">
        <v>165</v>
      </c>
      <c r="H1083" t="s">
        <v>34</v>
      </c>
      <c r="I1083">
        <v>11561</v>
      </c>
    </row>
    <row r="1084" spans="1:9" x14ac:dyDescent="0.3">
      <c r="A1084">
        <v>1083</v>
      </c>
      <c r="B1084" t="s">
        <v>4124</v>
      </c>
      <c r="C1084" t="s">
        <v>3832</v>
      </c>
      <c r="D1084" t="s">
        <v>5611</v>
      </c>
      <c r="E1084" t="s">
        <v>4125</v>
      </c>
      <c r="F1084" t="s">
        <v>4126</v>
      </c>
      <c r="G1084" t="s">
        <v>1590</v>
      </c>
      <c r="H1084" t="s">
        <v>34</v>
      </c>
      <c r="I1084">
        <v>11793</v>
      </c>
    </row>
    <row r="1085" spans="1:9" x14ac:dyDescent="0.3">
      <c r="A1085">
        <v>1084</v>
      </c>
      <c r="B1085" t="s">
        <v>824</v>
      </c>
      <c r="C1085" t="s">
        <v>747</v>
      </c>
      <c r="D1085" t="s">
        <v>5611</v>
      </c>
      <c r="E1085" t="s">
        <v>4127</v>
      </c>
      <c r="F1085" t="s">
        <v>4128</v>
      </c>
      <c r="G1085" t="s">
        <v>468</v>
      </c>
      <c r="H1085" t="s">
        <v>34</v>
      </c>
      <c r="I1085">
        <v>11010</v>
      </c>
    </row>
    <row r="1086" spans="1:9" x14ac:dyDescent="0.3">
      <c r="A1086">
        <v>1085</v>
      </c>
      <c r="B1086" t="s">
        <v>2747</v>
      </c>
      <c r="C1086" t="s">
        <v>2353</v>
      </c>
      <c r="D1086" t="s">
        <v>5611</v>
      </c>
      <c r="E1086" t="s">
        <v>4129</v>
      </c>
      <c r="F1086" t="s">
        <v>4130</v>
      </c>
      <c r="G1086" t="s">
        <v>319</v>
      </c>
      <c r="H1086" t="s">
        <v>34</v>
      </c>
      <c r="I1086">
        <v>11722</v>
      </c>
    </row>
    <row r="1087" spans="1:9" x14ac:dyDescent="0.3">
      <c r="A1087">
        <v>1086</v>
      </c>
      <c r="B1087" t="s">
        <v>4131</v>
      </c>
      <c r="C1087" t="s">
        <v>4132</v>
      </c>
      <c r="D1087" t="s">
        <v>5611</v>
      </c>
      <c r="E1087" t="s">
        <v>4133</v>
      </c>
      <c r="F1087" t="s">
        <v>4134</v>
      </c>
      <c r="G1087" t="s">
        <v>976</v>
      </c>
      <c r="H1087" t="s">
        <v>34</v>
      </c>
      <c r="I1087">
        <v>11432</v>
      </c>
    </row>
    <row r="1088" spans="1:9" x14ac:dyDescent="0.3">
      <c r="A1088">
        <v>1087</v>
      </c>
      <c r="B1088" t="s">
        <v>4135</v>
      </c>
      <c r="C1088" t="s">
        <v>3150</v>
      </c>
      <c r="D1088" t="s">
        <v>5611</v>
      </c>
      <c r="E1088" t="s">
        <v>4136</v>
      </c>
      <c r="F1088" t="s">
        <v>4137</v>
      </c>
      <c r="G1088" t="s">
        <v>1199</v>
      </c>
      <c r="H1088" t="s">
        <v>40</v>
      </c>
      <c r="I1088">
        <v>94566</v>
      </c>
    </row>
    <row r="1089" spans="1:9" x14ac:dyDescent="0.3">
      <c r="A1089">
        <v>1088</v>
      </c>
      <c r="B1089" t="s">
        <v>4138</v>
      </c>
      <c r="C1089" t="s">
        <v>2143</v>
      </c>
      <c r="D1089" t="s">
        <v>5611</v>
      </c>
      <c r="E1089" t="s">
        <v>4139</v>
      </c>
      <c r="F1089" t="s">
        <v>4140</v>
      </c>
      <c r="G1089" t="s">
        <v>896</v>
      </c>
      <c r="H1089" t="s">
        <v>40</v>
      </c>
      <c r="I1089">
        <v>92307</v>
      </c>
    </row>
    <row r="1090" spans="1:9" x14ac:dyDescent="0.3">
      <c r="A1090">
        <v>1089</v>
      </c>
      <c r="B1090" t="s">
        <v>1444</v>
      </c>
      <c r="C1090" t="s">
        <v>4141</v>
      </c>
      <c r="D1090" t="s">
        <v>5611</v>
      </c>
      <c r="E1090" t="s">
        <v>4142</v>
      </c>
      <c r="F1090" t="s">
        <v>4143</v>
      </c>
      <c r="G1090" t="s">
        <v>33</v>
      </c>
      <c r="H1090" t="s">
        <v>34</v>
      </c>
      <c r="I1090">
        <v>14127</v>
      </c>
    </row>
    <row r="1091" spans="1:9" x14ac:dyDescent="0.3">
      <c r="A1091">
        <v>1090</v>
      </c>
      <c r="B1091" t="s">
        <v>2750</v>
      </c>
      <c r="C1091" t="s">
        <v>1388</v>
      </c>
      <c r="D1091" t="s">
        <v>5611</v>
      </c>
      <c r="E1091" t="s">
        <v>4144</v>
      </c>
      <c r="F1091" t="s">
        <v>4145</v>
      </c>
      <c r="G1091" t="s">
        <v>403</v>
      </c>
      <c r="H1091" t="s">
        <v>34</v>
      </c>
      <c r="I1091">
        <v>11776</v>
      </c>
    </row>
    <row r="1092" spans="1:9" x14ac:dyDescent="0.3">
      <c r="A1092">
        <v>1091</v>
      </c>
      <c r="B1092" t="s">
        <v>4146</v>
      </c>
      <c r="C1092" t="s">
        <v>4147</v>
      </c>
      <c r="D1092" t="s">
        <v>5611</v>
      </c>
      <c r="E1092" t="s">
        <v>4148</v>
      </c>
      <c r="F1092" t="s">
        <v>4149</v>
      </c>
      <c r="G1092" t="s">
        <v>372</v>
      </c>
      <c r="H1092" t="s">
        <v>40</v>
      </c>
      <c r="I1092">
        <v>95677</v>
      </c>
    </row>
    <row r="1093" spans="1:9" x14ac:dyDescent="0.3">
      <c r="A1093">
        <v>1092</v>
      </c>
      <c r="B1093" t="s">
        <v>4150</v>
      </c>
      <c r="C1093" t="s">
        <v>1384</v>
      </c>
      <c r="D1093" t="s">
        <v>5611</v>
      </c>
      <c r="E1093" t="s">
        <v>4151</v>
      </c>
      <c r="F1093" t="s">
        <v>4152</v>
      </c>
      <c r="G1093" t="s">
        <v>144</v>
      </c>
      <c r="H1093" t="s">
        <v>34</v>
      </c>
      <c r="I1093">
        <v>11731</v>
      </c>
    </row>
    <row r="1094" spans="1:9" x14ac:dyDescent="0.3">
      <c r="A1094">
        <v>1093</v>
      </c>
      <c r="B1094" t="s">
        <v>4153</v>
      </c>
      <c r="C1094" t="s">
        <v>4154</v>
      </c>
      <c r="D1094" t="s">
        <v>5611</v>
      </c>
      <c r="E1094" t="s">
        <v>4155</v>
      </c>
      <c r="F1094" t="s">
        <v>4156</v>
      </c>
      <c r="G1094" t="s">
        <v>1087</v>
      </c>
      <c r="H1094" t="s">
        <v>34</v>
      </c>
      <c r="I1094">
        <v>11729</v>
      </c>
    </row>
    <row r="1095" spans="1:9" x14ac:dyDescent="0.3">
      <c r="A1095">
        <v>1094</v>
      </c>
      <c r="B1095" t="s">
        <v>4157</v>
      </c>
      <c r="C1095" t="s">
        <v>4158</v>
      </c>
      <c r="D1095" t="s">
        <v>5611</v>
      </c>
      <c r="E1095" t="s">
        <v>4159</v>
      </c>
      <c r="F1095" t="s">
        <v>4160</v>
      </c>
      <c r="G1095" t="s">
        <v>439</v>
      </c>
      <c r="H1095" t="s">
        <v>34</v>
      </c>
      <c r="I1095">
        <v>11757</v>
      </c>
    </row>
    <row r="1096" spans="1:9" x14ac:dyDescent="0.3">
      <c r="A1096">
        <v>1095</v>
      </c>
      <c r="B1096" t="s">
        <v>150</v>
      </c>
      <c r="C1096" t="s">
        <v>2992</v>
      </c>
      <c r="D1096" t="s">
        <v>5611</v>
      </c>
      <c r="E1096" t="s">
        <v>4161</v>
      </c>
      <c r="F1096" t="s">
        <v>4162</v>
      </c>
      <c r="G1096" t="s">
        <v>939</v>
      </c>
      <c r="H1096" t="s">
        <v>34</v>
      </c>
      <c r="I1096">
        <v>11374</v>
      </c>
    </row>
    <row r="1097" spans="1:9" x14ac:dyDescent="0.3">
      <c r="A1097">
        <v>1096</v>
      </c>
      <c r="B1097" t="s">
        <v>1571</v>
      </c>
      <c r="C1097" t="s">
        <v>4163</v>
      </c>
      <c r="D1097" t="s">
        <v>5611</v>
      </c>
      <c r="E1097" t="s">
        <v>4164</v>
      </c>
      <c r="F1097" t="s">
        <v>4165</v>
      </c>
      <c r="G1097" t="s">
        <v>209</v>
      </c>
      <c r="H1097" t="s">
        <v>34</v>
      </c>
      <c r="I1097">
        <v>13027</v>
      </c>
    </row>
    <row r="1098" spans="1:9" x14ac:dyDescent="0.3">
      <c r="A1098">
        <v>1097</v>
      </c>
      <c r="B1098" t="s">
        <v>2001</v>
      </c>
      <c r="C1098" t="s">
        <v>4166</v>
      </c>
      <c r="D1098" t="s">
        <v>5611</v>
      </c>
      <c r="E1098" t="s">
        <v>4167</v>
      </c>
      <c r="F1098" t="s">
        <v>4168</v>
      </c>
      <c r="G1098" t="s">
        <v>1140</v>
      </c>
      <c r="H1098" t="s">
        <v>40</v>
      </c>
      <c r="I1098">
        <v>94806</v>
      </c>
    </row>
    <row r="1099" spans="1:9" x14ac:dyDescent="0.3">
      <c r="A1099">
        <v>1098</v>
      </c>
      <c r="B1099" t="s">
        <v>4169</v>
      </c>
      <c r="C1099" t="s">
        <v>2483</v>
      </c>
      <c r="D1099" t="s">
        <v>5611</v>
      </c>
      <c r="E1099" t="s">
        <v>4170</v>
      </c>
      <c r="F1099" t="s">
        <v>4171</v>
      </c>
      <c r="G1099" t="s">
        <v>323</v>
      </c>
      <c r="H1099" t="s">
        <v>34</v>
      </c>
      <c r="I1099">
        <v>11570</v>
      </c>
    </row>
    <row r="1100" spans="1:9" x14ac:dyDescent="0.3">
      <c r="A1100">
        <v>1099</v>
      </c>
      <c r="B1100" t="s">
        <v>4172</v>
      </c>
      <c r="C1100" t="s">
        <v>3207</v>
      </c>
      <c r="D1100" t="s">
        <v>5611</v>
      </c>
      <c r="E1100" t="s">
        <v>4173</v>
      </c>
      <c r="F1100" t="s">
        <v>4174</v>
      </c>
      <c r="G1100" t="s">
        <v>72</v>
      </c>
      <c r="H1100" t="s">
        <v>34</v>
      </c>
      <c r="I1100">
        <v>11372</v>
      </c>
    </row>
    <row r="1101" spans="1:9" x14ac:dyDescent="0.3">
      <c r="A1101">
        <v>1100</v>
      </c>
      <c r="B1101" t="s">
        <v>4175</v>
      </c>
      <c r="C1101" t="s">
        <v>2280</v>
      </c>
      <c r="D1101" t="s">
        <v>5611</v>
      </c>
      <c r="E1101" t="s">
        <v>4176</v>
      </c>
      <c r="F1101" t="s">
        <v>4177</v>
      </c>
      <c r="G1101" t="s">
        <v>957</v>
      </c>
      <c r="H1101" t="s">
        <v>34</v>
      </c>
      <c r="I1101">
        <v>12020</v>
      </c>
    </row>
    <row r="1102" spans="1:9" x14ac:dyDescent="0.3">
      <c r="A1102">
        <v>1101</v>
      </c>
      <c r="B1102" t="s">
        <v>4178</v>
      </c>
      <c r="C1102" t="s">
        <v>4179</v>
      </c>
      <c r="D1102" t="s">
        <v>5611</v>
      </c>
      <c r="E1102" t="s">
        <v>4180</v>
      </c>
      <c r="F1102" t="s">
        <v>4181</v>
      </c>
      <c r="G1102" t="s">
        <v>1750</v>
      </c>
      <c r="H1102" t="s">
        <v>34</v>
      </c>
      <c r="I1102">
        <v>14043</v>
      </c>
    </row>
    <row r="1103" spans="1:9" x14ac:dyDescent="0.3">
      <c r="A1103">
        <v>1102</v>
      </c>
      <c r="B1103" t="s">
        <v>4182</v>
      </c>
      <c r="C1103" t="s">
        <v>2536</v>
      </c>
      <c r="D1103" t="s">
        <v>4183</v>
      </c>
      <c r="E1103" t="s">
        <v>4184</v>
      </c>
      <c r="F1103" t="s">
        <v>4185</v>
      </c>
      <c r="G1103" t="s">
        <v>2173</v>
      </c>
      <c r="H1103" t="s">
        <v>99</v>
      </c>
      <c r="I1103">
        <v>76110</v>
      </c>
    </row>
    <row r="1104" spans="1:9" x14ac:dyDescent="0.3">
      <c r="A1104">
        <v>1103</v>
      </c>
      <c r="B1104" t="s">
        <v>4186</v>
      </c>
      <c r="C1104" t="s">
        <v>3885</v>
      </c>
      <c r="D1104" t="s">
        <v>5611</v>
      </c>
      <c r="E1104" t="s">
        <v>4187</v>
      </c>
      <c r="F1104" t="s">
        <v>4188</v>
      </c>
      <c r="G1104" t="s">
        <v>1122</v>
      </c>
      <c r="H1104" t="s">
        <v>40</v>
      </c>
      <c r="I1104">
        <v>91387</v>
      </c>
    </row>
    <row r="1105" spans="1:9" x14ac:dyDescent="0.3">
      <c r="A1105">
        <v>1104</v>
      </c>
      <c r="B1105" t="s">
        <v>4189</v>
      </c>
      <c r="C1105" t="s">
        <v>2213</v>
      </c>
      <c r="D1105" t="s">
        <v>5611</v>
      </c>
      <c r="E1105" t="s">
        <v>4190</v>
      </c>
      <c r="F1105" t="s">
        <v>4191</v>
      </c>
      <c r="G1105" t="s">
        <v>692</v>
      </c>
      <c r="H1105" t="s">
        <v>34</v>
      </c>
      <c r="I1105">
        <v>10977</v>
      </c>
    </row>
    <row r="1106" spans="1:9" x14ac:dyDescent="0.3">
      <c r="A1106">
        <v>1105</v>
      </c>
      <c r="B1106" t="s">
        <v>4192</v>
      </c>
      <c r="C1106" t="s">
        <v>4158</v>
      </c>
      <c r="D1106" t="s">
        <v>5611</v>
      </c>
      <c r="E1106" t="s">
        <v>4193</v>
      </c>
      <c r="F1106" t="s">
        <v>4194</v>
      </c>
      <c r="G1106" t="s">
        <v>408</v>
      </c>
      <c r="H1106" t="s">
        <v>99</v>
      </c>
      <c r="I1106">
        <v>75080</v>
      </c>
    </row>
    <row r="1107" spans="1:9" x14ac:dyDescent="0.3">
      <c r="A1107">
        <v>1106</v>
      </c>
      <c r="B1107" t="s">
        <v>4053</v>
      </c>
      <c r="C1107" t="s">
        <v>311</v>
      </c>
      <c r="D1107" t="s">
        <v>5611</v>
      </c>
      <c r="E1107" t="s">
        <v>4195</v>
      </c>
      <c r="F1107" t="s">
        <v>4196</v>
      </c>
      <c r="G1107" t="s">
        <v>692</v>
      </c>
      <c r="H1107" t="s">
        <v>34</v>
      </c>
      <c r="I1107">
        <v>10977</v>
      </c>
    </row>
    <row r="1108" spans="1:9" x14ac:dyDescent="0.3">
      <c r="A1108">
        <v>1107</v>
      </c>
      <c r="B1108" t="s">
        <v>4197</v>
      </c>
      <c r="C1108" t="s">
        <v>79</v>
      </c>
      <c r="D1108" t="s">
        <v>5611</v>
      </c>
      <c r="E1108" t="s">
        <v>4198</v>
      </c>
      <c r="F1108" t="s">
        <v>4199</v>
      </c>
      <c r="G1108" t="s">
        <v>494</v>
      </c>
      <c r="H1108" t="s">
        <v>34</v>
      </c>
      <c r="I1108">
        <v>12866</v>
      </c>
    </row>
    <row r="1109" spans="1:9" x14ac:dyDescent="0.3">
      <c r="A1109">
        <v>1108</v>
      </c>
      <c r="B1109" t="s">
        <v>4200</v>
      </c>
      <c r="C1109" t="s">
        <v>3095</v>
      </c>
      <c r="D1109" t="s">
        <v>5611</v>
      </c>
      <c r="E1109" t="s">
        <v>4201</v>
      </c>
      <c r="F1109" t="s">
        <v>4202</v>
      </c>
      <c r="G1109" t="s">
        <v>347</v>
      </c>
      <c r="H1109" t="s">
        <v>99</v>
      </c>
      <c r="I1109">
        <v>75115</v>
      </c>
    </row>
    <row r="1110" spans="1:9" x14ac:dyDescent="0.3">
      <c r="A1110">
        <v>1109</v>
      </c>
      <c r="B1110" t="s">
        <v>4203</v>
      </c>
      <c r="C1110" t="s">
        <v>954</v>
      </c>
      <c r="D1110" t="s">
        <v>5611</v>
      </c>
      <c r="E1110" t="s">
        <v>4204</v>
      </c>
      <c r="F1110" t="s">
        <v>4205</v>
      </c>
      <c r="G1110" t="s">
        <v>1087</v>
      </c>
      <c r="H1110" t="s">
        <v>34</v>
      </c>
      <c r="I1110">
        <v>11729</v>
      </c>
    </row>
    <row r="1111" spans="1:9" x14ac:dyDescent="0.3">
      <c r="A1111">
        <v>1110</v>
      </c>
      <c r="B1111" t="s">
        <v>2412</v>
      </c>
      <c r="C1111" t="s">
        <v>766</v>
      </c>
      <c r="D1111" t="s">
        <v>5611</v>
      </c>
      <c r="E1111" t="s">
        <v>4206</v>
      </c>
      <c r="F1111" t="s">
        <v>4207</v>
      </c>
      <c r="G1111" t="s">
        <v>572</v>
      </c>
      <c r="H1111" t="s">
        <v>34</v>
      </c>
      <c r="I1111">
        <v>11552</v>
      </c>
    </row>
    <row r="1112" spans="1:9" x14ac:dyDescent="0.3">
      <c r="A1112">
        <v>1111</v>
      </c>
      <c r="B1112" t="s">
        <v>4208</v>
      </c>
      <c r="C1112" t="s">
        <v>1423</v>
      </c>
      <c r="D1112" t="s">
        <v>5611</v>
      </c>
      <c r="E1112" t="s">
        <v>4209</v>
      </c>
      <c r="F1112" t="s">
        <v>4210</v>
      </c>
      <c r="G1112" t="s">
        <v>408</v>
      </c>
      <c r="H1112" t="s">
        <v>99</v>
      </c>
      <c r="I1112">
        <v>75080</v>
      </c>
    </row>
    <row r="1113" spans="1:9" x14ac:dyDescent="0.3">
      <c r="A1113">
        <v>1112</v>
      </c>
      <c r="B1113" t="s">
        <v>149</v>
      </c>
      <c r="C1113" t="s">
        <v>1089</v>
      </c>
      <c r="D1113" t="s">
        <v>5611</v>
      </c>
      <c r="E1113" t="s">
        <v>4211</v>
      </c>
      <c r="F1113" t="s">
        <v>4212</v>
      </c>
      <c r="G1113" t="s">
        <v>682</v>
      </c>
      <c r="H1113" t="s">
        <v>34</v>
      </c>
      <c r="I1113">
        <v>11758</v>
      </c>
    </row>
    <row r="1114" spans="1:9" x14ac:dyDescent="0.3">
      <c r="A1114">
        <v>1113</v>
      </c>
      <c r="B1114" t="s">
        <v>4213</v>
      </c>
      <c r="C1114" t="s">
        <v>4214</v>
      </c>
      <c r="D1114" t="s">
        <v>5611</v>
      </c>
      <c r="E1114" t="s">
        <v>4215</v>
      </c>
      <c r="F1114" t="s">
        <v>4216</v>
      </c>
      <c r="G1114" t="s">
        <v>2682</v>
      </c>
      <c r="H1114" t="s">
        <v>34</v>
      </c>
      <c r="I1114">
        <v>14701</v>
      </c>
    </row>
    <row r="1115" spans="1:9" x14ac:dyDescent="0.3">
      <c r="A1115">
        <v>1114</v>
      </c>
      <c r="B1115" t="s">
        <v>1876</v>
      </c>
      <c r="C1115" t="s">
        <v>983</v>
      </c>
      <c r="D1115" t="s">
        <v>4217</v>
      </c>
      <c r="E1115" t="s">
        <v>4218</v>
      </c>
      <c r="F1115" t="s">
        <v>4219</v>
      </c>
      <c r="G1115" t="s">
        <v>999</v>
      </c>
      <c r="H1115" t="s">
        <v>34</v>
      </c>
      <c r="I1115">
        <v>12203</v>
      </c>
    </row>
    <row r="1116" spans="1:9" x14ac:dyDescent="0.3">
      <c r="A1116">
        <v>1115</v>
      </c>
      <c r="B1116" t="s">
        <v>4220</v>
      </c>
      <c r="C1116" t="s">
        <v>4221</v>
      </c>
      <c r="D1116" t="s">
        <v>5611</v>
      </c>
      <c r="E1116" t="s">
        <v>4222</v>
      </c>
      <c r="F1116" t="s">
        <v>4223</v>
      </c>
      <c r="G1116" t="s">
        <v>2207</v>
      </c>
      <c r="H1116" t="s">
        <v>34</v>
      </c>
      <c r="I1116">
        <v>11542</v>
      </c>
    </row>
    <row r="1117" spans="1:9" x14ac:dyDescent="0.3">
      <c r="A1117">
        <v>1116</v>
      </c>
      <c r="B1117" t="s">
        <v>4224</v>
      </c>
      <c r="C1117" t="s">
        <v>4225</v>
      </c>
      <c r="D1117" t="s">
        <v>5611</v>
      </c>
      <c r="E1117" t="s">
        <v>4226</v>
      </c>
      <c r="F1117" t="s">
        <v>4227</v>
      </c>
      <c r="G1117" t="s">
        <v>224</v>
      </c>
      <c r="H1117" t="s">
        <v>34</v>
      </c>
      <c r="I1117">
        <v>11102</v>
      </c>
    </row>
    <row r="1118" spans="1:9" x14ac:dyDescent="0.3">
      <c r="A1118">
        <v>1117</v>
      </c>
      <c r="B1118" t="s">
        <v>4228</v>
      </c>
      <c r="C1118" t="s">
        <v>617</v>
      </c>
      <c r="D1118" t="s">
        <v>5611</v>
      </c>
      <c r="E1118" t="s">
        <v>4229</v>
      </c>
      <c r="F1118" t="s">
        <v>4230</v>
      </c>
      <c r="G1118" t="s">
        <v>1641</v>
      </c>
      <c r="H1118" t="s">
        <v>34</v>
      </c>
      <c r="I1118">
        <v>11422</v>
      </c>
    </row>
    <row r="1119" spans="1:9" x14ac:dyDescent="0.3">
      <c r="A1119">
        <v>1118</v>
      </c>
      <c r="B1119" t="s">
        <v>4231</v>
      </c>
      <c r="C1119" t="s">
        <v>599</v>
      </c>
      <c r="D1119" t="s">
        <v>5611</v>
      </c>
      <c r="E1119" t="s">
        <v>4232</v>
      </c>
      <c r="F1119" t="s">
        <v>4233</v>
      </c>
      <c r="G1119" t="s">
        <v>1122</v>
      </c>
      <c r="H1119" t="s">
        <v>40</v>
      </c>
      <c r="I1119">
        <v>91387</v>
      </c>
    </row>
    <row r="1120" spans="1:9" x14ac:dyDescent="0.3">
      <c r="A1120">
        <v>1119</v>
      </c>
      <c r="B1120" t="s">
        <v>4234</v>
      </c>
      <c r="C1120" t="s">
        <v>4235</v>
      </c>
      <c r="D1120" t="s">
        <v>5611</v>
      </c>
      <c r="E1120" t="s">
        <v>4236</v>
      </c>
      <c r="F1120" t="s">
        <v>4237</v>
      </c>
      <c r="G1120" t="s">
        <v>87</v>
      </c>
      <c r="H1120" t="s">
        <v>34</v>
      </c>
      <c r="I1120">
        <v>10952</v>
      </c>
    </row>
    <row r="1121" spans="1:9" x14ac:dyDescent="0.3">
      <c r="A1121">
        <v>1120</v>
      </c>
      <c r="B1121" t="s">
        <v>4238</v>
      </c>
      <c r="C1121" t="s">
        <v>1466</v>
      </c>
      <c r="D1121" t="s">
        <v>5611</v>
      </c>
      <c r="E1121" t="s">
        <v>4239</v>
      </c>
      <c r="F1121" t="s">
        <v>4240</v>
      </c>
      <c r="G1121" t="s">
        <v>144</v>
      </c>
      <c r="H1121" t="s">
        <v>34</v>
      </c>
      <c r="I1121">
        <v>11731</v>
      </c>
    </row>
    <row r="1122" spans="1:9" x14ac:dyDescent="0.3">
      <c r="A1122">
        <v>1121</v>
      </c>
      <c r="B1122" t="s">
        <v>4241</v>
      </c>
      <c r="C1122" t="s">
        <v>4242</v>
      </c>
      <c r="D1122" t="s">
        <v>5611</v>
      </c>
      <c r="E1122" t="s">
        <v>4243</v>
      </c>
      <c r="F1122" t="s">
        <v>4244</v>
      </c>
      <c r="G1122" t="s">
        <v>2555</v>
      </c>
      <c r="H1122" t="s">
        <v>34</v>
      </c>
      <c r="I1122">
        <v>10598</v>
      </c>
    </row>
    <row r="1123" spans="1:9" x14ac:dyDescent="0.3">
      <c r="A1123">
        <v>1122</v>
      </c>
      <c r="B1123" t="s">
        <v>4245</v>
      </c>
      <c r="C1123" t="s">
        <v>1123</v>
      </c>
      <c r="D1123" t="s">
        <v>5611</v>
      </c>
      <c r="E1123" t="s">
        <v>4246</v>
      </c>
      <c r="F1123" t="s">
        <v>4247</v>
      </c>
      <c r="G1123" t="s">
        <v>1184</v>
      </c>
      <c r="H1123" t="s">
        <v>34</v>
      </c>
      <c r="I1123">
        <v>11762</v>
      </c>
    </row>
    <row r="1124" spans="1:9" x14ac:dyDescent="0.3">
      <c r="A1124">
        <v>1123</v>
      </c>
      <c r="B1124" t="s">
        <v>4248</v>
      </c>
      <c r="C1124" t="s">
        <v>3573</v>
      </c>
      <c r="D1124" t="s">
        <v>5611</v>
      </c>
      <c r="E1124" t="s">
        <v>4249</v>
      </c>
      <c r="F1124" t="s">
        <v>4250</v>
      </c>
      <c r="G1124" t="s">
        <v>61</v>
      </c>
      <c r="H1124" t="s">
        <v>34</v>
      </c>
      <c r="I1124">
        <v>14450</v>
      </c>
    </row>
    <row r="1125" spans="1:9" x14ac:dyDescent="0.3">
      <c r="A1125">
        <v>1124</v>
      </c>
      <c r="B1125" t="s">
        <v>4251</v>
      </c>
      <c r="C1125" t="s">
        <v>4252</v>
      </c>
      <c r="D1125" t="s">
        <v>5611</v>
      </c>
      <c r="E1125" t="s">
        <v>4253</v>
      </c>
      <c r="F1125" t="s">
        <v>4254</v>
      </c>
      <c r="G1125" t="s">
        <v>342</v>
      </c>
      <c r="H1125" t="s">
        <v>34</v>
      </c>
      <c r="I1125">
        <v>11701</v>
      </c>
    </row>
    <row r="1126" spans="1:9" x14ac:dyDescent="0.3">
      <c r="A1126">
        <v>1125</v>
      </c>
      <c r="B1126" t="s">
        <v>4255</v>
      </c>
      <c r="C1126" t="s">
        <v>4256</v>
      </c>
      <c r="D1126" t="s">
        <v>5611</v>
      </c>
      <c r="E1126" t="s">
        <v>4257</v>
      </c>
      <c r="F1126" t="s">
        <v>4258</v>
      </c>
      <c r="G1126" t="s">
        <v>1199</v>
      </c>
      <c r="H1126" t="s">
        <v>40</v>
      </c>
      <c r="I1126">
        <v>94566</v>
      </c>
    </row>
    <row r="1127" spans="1:9" x14ac:dyDescent="0.3">
      <c r="A1127">
        <v>1126</v>
      </c>
      <c r="B1127" t="s">
        <v>4259</v>
      </c>
      <c r="C1127" t="s">
        <v>4260</v>
      </c>
      <c r="D1127" t="s">
        <v>5611</v>
      </c>
      <c r="E1127" t="s">
        <v>4261</v>
      </c>
      <c r="F1127" t="s">
        <v>4262</v>
      </c>
      <c r="G1127" t="s">
        <v>692</v>
      </c>
      <c r="H1127" t="s">
        <v>34</v>
      </c>
      <c r="I1127">
        <v>10977</v>
      </c>
    </row>
    <row r="1128" spans="1:9" x14ac:dyDescent="0.3">
      <c r="A1128">
        <v>1127</v>
      </c>
      <c r="B1128" t="s">
        <v>4263</v>
      </c>
      <c r="C1128" t="s">
        <v>2896</v>
      </c>
      <c r="D1128" t="s">
        <v>5611</v>
      </c>
      <c r="E1128" t="s">
        <v>4264</v>
      </c>
      <c r="F1128" t="s">
        <v>4265</v>
      </c>
      <c r="G1128" t="s">
        <v>240</v>
      </c>
      <c r="H1128" t="s">
        <v>34</v>
      </c>
      <c r="I1128">
        <v>12804</v>
      </c>
    </row>
    <row r="1129" spans="1:9" x14ac:dyDescent="0.3">
      <c r="A1129">
        <v>1128</v>
      </c>
      <c r="B1129" t="s">
        <v>4266</v>
      </c>
      <c r="C1129" t="s">
        <v>4267</v>
      </c>
      <c r="D1129" t="s">
        <v>5611</v>
      </c>
      <c r="E1129" t="s">
        <v>4268</v>
      </c>
      <c r="F1129" t="s">
        <v>4269</v>
      </c>
      <c r="G1129" t="s">
        <v>159</v>
      </c>
      <c r="H1129" t="s">
        <v>34</v>
      </c>
      <c r="I1129">
        <v>10541</v>
      </c>
    </row>
    <row r="1130" spans="1:9" x14ac:dyDescent="0.3">
      <c r="A1130">
        <v>1129</v>
      </c>
      <c r="B1130" t="s">
        <v>1402</v>
      </c>
      <c r="C1130" t="s">
        <v>3194</v>
      </c>
      <c r="D1130" t="s">
        <v>5611</v>
      </c>
      <c r="E1130" t="s">
        <v>4270</v>
      </c>
      <c r="F1130" t="s">
        <v>4271</v>
      </c>
      <c r="G1130" t="s">
        <v>802</v>
      </c>
      <c r="H1130" t="s">
        <v>34</v>
      </c>
      <c r="I1130">
        <v>11377</v>
      </c>
    </row>
    <row r="1131" spans="1:9" x14ac:dyDescent="0.3">
      <c r="A1131">
        <v>1130</v>
      </c>
      <c r="B1131" t="s">
        <v>4272</v>
      </c>
      <c r="C1131" t="s">
        <v>3694</v>
      </c>
      <c r="D1131" t="s">
        <v>5611</v>
      </c>
      <c r="E1131" t="s">
        <v>4273</v>
      </c>
      <c r="F1131" t="s">
        <v>4274</v>
      </c>
      <c r="G1131" t="s">
        <v>256</v>
      </c>
      <c r="H1131" t="s">
        <v>34</v>
      </c>
      <c r="I1131">
        <v>11003</v>
      </c>
    </row>
    <row r="1132" spans="1:9" x14ac:dyDescent="0.3">
      <c r="A1132">
        <v>1131</v>
      </c>
      <c r="B1132" t="s">
        <v>4275</v>
      </c>
      <c r="C1132" t="s">
        <v>4276</v>
      </c>
      <c r="D1132" t="s">
        <v>5611</v>
      </c>
      <c r="E1132" t="s">
        <v>4277</v>
      </c>
      <c r="F1132" t="s">
        <v>4278</v>
      </c>
      <c r="G1132" t="s">
        <v>1524</v>
      </c>
      <c r="H1132" t="s">
        <v>34</v>
      </c>
      <c r="I1132">
        <v>10550</v>
      </c>
    </row>
    <row r="1133" spans="1:9" x14ac:dyDescent="0.3">
      <c r="A1133">
        <v>1132</v>
      </c>
      <c r="B1133" t="s">
        <v>4023</v>
      </c>
      <c r="C1133" t="s">
        <v>4279</v>
      </c>
      <c r="D1133" t="s">
        <v>5611</v>
      </c>
      <c r="E1133" t="s">
        <v>4280</v>
      </c>
      <c r="F1133" t="s">
        <v>4281</v>
      </c>
      <c r="G1133" t="s">
        <v>1616</v>
      </c>
      <c r="H1133" t="s">
        <v>34</v>
      </c>
      <c r="I1133">
        <v>14850</v>
      </c>
    </row>
    <row r="1134" spans="1:9" x14ac:dyDescent="0.3">
      <c r="A1134">
        <v>1133</v>
      </c>
      <c r="B1134" t="s">
        <v>4282</v>
      </c>
      <c r="C1134" t="s">
        <v>969</v>
      </c>
      <c r="D1134" t="s">
        <v>5611</v>
      </c>
      <c r="E1134" t="s">
        <v>4283</v>
      </c>
      <c r="F1134" t="s">
        <v>4284</v>
      </c>
      <c r="G1134" t="s">
        <v>769</v>
      </c>
      <c r="H1134" t="s">
        <v>34</v>
      </c>
      <c r="I1134">
        <v>11795</v>
      </c>
    </row>
    <row r="1135" spans="1:9" x14ac:dyDescent="0.3">
      <c r="A1135">
        <v>1134</v>
      </c>
      <c r="B1135" t="s">
        <v>4285</v>
      </c>
      <c r="C1135" t="s">
        <v>2099</v>
      </c>
      <c r="D1135" t="s">
        <v>5611</v>
      </c>
      <c r="E1135" t="s">
        <v>4286</v>
      </c>
      <c r="F1135" t="s">
        <v>4287</v>
      </c>
      <c r="G1135" t="s">
        <v>347</v>
      </c>
      <c r="H1135" t="s">
        <v>99</v>
      </c>
      <c r="I1135">
        <v>75115</v>
      </c>
    </row>
    <row r="1136" spans="1:9" x14ac:dyDescent="0.3">
      <c r="A1136">
        <v>1135</v>
      </c>
      <c r="B1136" t="s">
        <v>4288</v>
      </c>
      <c r="C1136" t="s">
        <v>181</v>
      </c>
      <c r="D1136" t="s">
        <v>5611</v>
      </c>
      <c r="E1136" t="s">
        <v>4289</v>
      </c>
      <c r="F1136" t="s">
        <v>4290</v>
      </c>
      <c r="G1136" t="s">
        <v>357</v>
      </c>
      <c r="H1136" t="s">
        <v>99</v>
      </c>
      <c r="I1136">
        <v>75043</v>
      </c>
    </row>
    <row r="1137" spans="1:9" x14ac:dyDescent="0.3">
      <c r="A1137">
        <v>1136</v>
      </c>
      <c r="B1137" t="s">
        <v>4291</v>
      </c>
      <c r="C1137" t="s">
        <v>4292</v>
      </c>
      <c r="D1137" t="s">
        <v>4293</v>
      </c>
      <c r="E1137" t="s">
        <v>4294</v>
      </c>
      <c r="F1137" t="s">
        <v>4295</v>
      </c>
      <c r="G1137" t="s">
        <v>1936</v>
      </c>
      <c r="H1137" t="s">
        <v>34</v>
      </c>
      <c r="I1137">
        <v>14606</v>
      </c>
    </row>
    <row r="1138" spans="1:9" x14ac:dyDescent="0.3">
      <c r="A1138">
        <v>1137</v>
      </c>
      <c r="B1138" t="s">
        <v>4296</v>
      </c>
      <c r="C1138" t="s">
        <v>1791</v>
      </c>
      <c r="D1138" t="s">
        <v>5611</v>
      </c>
      <c r="E1138" t="s">
        <v>4297</v>
      </c>
      <c r="F1138" t="s">
        <v>4298</v>
      </c>
      <c r="G1138" t="s">
        <v>77</v>
      </c>
      <c r="H1138" t="s">
        <v>34</v>
      </c>
      <c r="I1138">
        <v>11050</v>
      </c>
    </row>
    <row r="1139" spans="1:9" x14ac:dyDescent="0.3">
      <c r="A1139">
        <v>1138</v>
      </c>
      <c r="B1139" t="s">
        <v>4251</v>
      </c>
      <c r="C1139" t="s">
        <v>627</v>
      </c>
      <c r="D1139" t="s">
        <v>5611</v>
      </c>
      <c r="E1139" t="s">
        <v>4299</v>
      </c>
      <c r="F1139" t="s">
        <v>4300</v>
      </c>
      <c r="G1139" t="s">
        <v>989</v>
      </c>
      <c r="H1139" t="s">
        <v>40</v>
      </c>
      <c r="I1139">
        <v>93555</v>
      </c>
    </row>
    <row r="1140" spans="1:9" x14ac:dyDescent="0.3">
      <c r="A1140">
        <v>1139</v>
      </c>
      <c r="B1140" t="s">
        <v>4301</v>
      </c>
      <c r="C1140" t="s">
        <v>3991</v>
      </c>
      <c r="D1140" t="s">
        <v>5611</v>
      </c>
      <c r="E1140" t="s">
        <v>4302</v>
      </c>
      <c r="F1140" t="s">
        <v>4303</v>
      </c>
      <c r="G1140" t="s">
        <v>1524</v>
      </c>
      <c r="H1140" t="s">
        <v>34</v>
      </c>
      <c r="I1140">
        <v>10550</v>
      </c>
    </row>
    <row r="1141" spans="1:9" x14ac:dyDescent="0.3">
      <c r="A1141">
        <v>1140</v>
      </c>
      <c r="B1141" t="s">
        <v>4304</v>
      </c>
      <c r="C1141" t="s">
        <v>4305</v>
      </c>
      <c r="D1141" t="s">
        <v>5611</v>
      </c>
      <c r="E1141" t="s">
        <v>4306</v>
      </c>
      <c r="F1141" t="s">
        <v>4307</v>
      </c>
      <c r="G1141" t="s">
        <v>214</v>
      </c>
      <c r="H1141" t="s">
        <v>34</v>
      </c>
      <c r="I1141">
        <v>13090</v>
      </c>
    </row>
    <row r="1142" spans="1:9" x14ac:dyDescent="0.3">
      <c r="A1142">
        <v>1141</v>
      </c>
      <c r="B1142" t="s">
        <v>4308</v>
      </c>
      <c r="C1142" t="s">
        <v>460</v>
      </c>
      <c r="D1142" t="s">
        <v>5611</v>
      </c>
      <c r="E1142" t="s">
        <v>4309</v>
      </c>
      <c r="F1142" t="s">
        <v>4310</v>
      </c>
      <c r="G1142" t="s">
        <v>634</v>
      </c>
      <c r="H1142" t="s">
        <v>34</v>
      </c>
      <c r="I1142">
        <v>12550</v>
      </c>
    </row>
    <row r="1143" spans="1:9" x14ac:dyDescent="0.3">
      <c r="A1143">
        <v>1142</v>
      </c>
      <c r="B1143" t="s">
        <v>4311</v>
      </c>
      <c r="C1143" t="s">
        <v>2231</v>
      </c>
      <c r="D1143" t="s">
        <v>5611</v>
      </c>
      <c r="E1143" t="s">
        <v>4312</v>
      </c>
      <c r="F1143" t="s">
        <v>4313</v>
      </c>
      <c r="G1143" t="s">
        <v>598</v>
      </c>
      <c r="H1143" t="s">
        <v>34</v>
      </c>
      <c r="I1143">
        <v>14534</v>
      </c>
    </row>
    <row r="1144" spans="1:9" x14ac:dyDescent="0.3">
      <c r="A1144">
        <v>1143</v>
      </c>
      <c r="B1144" t="s">
        <v>4314</v>
      </c>
      <c r="C1144" t="s">
        <v>487</v>
      </c>
      <c r="D1144" t="s">
        <v>5611</v>
      </c>
      <c r="E1144" t="s">
        <v>4315</v>
      </c>
      <c r="F1144" t="s">
        <v>4316</v>
      </c>
      <c r="G1144" t="s">
        <v>4317</v>
      </c>
      <c r="H1144" t="s">
        <v>34</v>
      </c>
      <c r="I1144">
        <v>14150</v>
      </c>
    </row>
    <row r="1145" spans="1:9" x14ac:dyDescent="0.3">
      <c r="A1145">
        <v>1144</v>
      </c>
      <c r="B1145" t="s">
        <v>4318</v>
      </c>
      <c r="C1145" t="s">
        <v>4319</v>
      </c>
      <c r="D1145" t="s">
        <v>5611</v>
      </c>
      <c r="E1145" t="s">
        <v>4320</v>
      </c>
      <c r="F1145" t="s">
        <v>4321</v>
      </c>
      <c r="G1145" t="s">
        <v>4086</v>
      </c>
      <c r="H1145" t="s">
        <v>34</v>
      </c>
      <c r="I1145">
        <v>11364</v>
      </c>
    </row>
    <row r="1146" spans="1:9" x14ac:dyDescent="0.3">
      <c r="A1146">
        <v>1145</v>
      </c>
      <c r="B1146" t="s">
        <v>4322</v>
      </c>
      <c r="C1146" t="s">
        <v>349</v>
      </c>
      <c r="D1146" t="s">
        <v>4323</v>
      </c>
      <c r="E1146" t="s">
        <v>4324</v>
      </c>
      <c r="F1146" t="s">
        <v>4325</v>
      </c>
      <c r="G1146" t="s">
        <v>1907</v>
      </c>
      <c r="H1146" t="s">
        <v>34</v>
      </c>
      <c r="I1146">
        <v>10701</v>
      </c>
    </row>
    <row r="1147" spans="1:9" x14ac:dyDescent="0.3">
      <c r="A1147">
        <v>1146</v>
      </c>
      <c r="B1147" t="s">
        <v>4326</v>
      </c>
      <c r="C1147" t="s">
        <v>374</v>
      </c>
      <c r="D1147" t="s">
        <v>5611</v>
      </c>
      <c r="E1147" t="s">
        <v>4327</v>
      </c>
      <c r="F1147" t="s">
        <v>4328</v>
      </c>
      <c r="G1147" t="s">
        <v>701</v>
      </c>
      <c r="H1147" t="s">
        <v>34</v>
      </c>
      <c r="I1147">
        <v>11412</v>
      </c>
    </row>
    <row r="1148" spans="1:9" x14ac:dyDescent="0.3">
      <c r="A1148">
        <v>1147</v>
      </c>
      <c r="B1148" t="s">
        <v>1586</v>
      </c>
      <c r="C1148" t="s">
        <v>4329</v>
      </c>
      <c r="D1148" t="s">
        <v>5611</v>
      </c>
      <c r="E1148" t="s">
        <v>4330</v>
      </c>
      <c r="F1148" t="s">
        <v>4331</v>
      </c>
      <c r="G1148" t="s">
        <v>2240</v>
      </c>
      <c r="H1148" t="s">
        <v>40</v>
      </c>
      <c r="I1148">
        <v>90403</v>
      </c>
    </row>
    <row r="1149" spans="1:9" x14ac:dyDescent="0.3">
      <c r="A1149">
        <v>1148</v>
      </c>
      <c r="B1149" t="s">
        <v>4332</v>
      </c>
      <c r="C1149" t="s">
        <v>4333</v>
      </c>
      <c r="D1149" t="s">
        <v>5611</v>
      </c>
      <c r="E1149" t="s">
        <v>4334</v>
      </c>
      <c r="F1149" t="s">
        <v>4335</v>
      </c>
      <c r="G1149" t="s">
        <v>692</v>
      </c>
      <c r="H1149" t="s">
        <v>34</v>
      </c>
      <c r="I1149">
        <v>10977</v>
      </c>
    </row>
    <row r="1150" spans="1:9" x14ac:dyDescent="0.3">
      <c r="A1150">
        <v>1149</v>
      </c>
      <c r="B1150" t="s">
        <v>4336</v>
      </c>
      <c r="C1150" t="s">
        <v>787</v>
      </c>
      <c r="D1150" t="s">
        <v>5611</v>
      </c>
      <c r="E1150" t="s">
        <v>4337</v>
      </c>
      <c r="F1150" t="s">
        <v>4338</v>
      </c>
      <c r="G1150" t="s">
        <v>837</v>
      </c>
      <c r="H1150" t="s">
        <v>40</v>
      </c>
      <c r="I1150">
        <v>95050</v>
      </c>
    </row>
    <row r="1151" spans="1:9" x14ac:dyDescent="0.3">
      <c r="A1151">
        <v>1150</v>
      </c>
      <c r="B1151" t="s">
        <v>1318</v>
      </c>
      <c r="C1151" t="s">
        <v>4339</v>
      </c>
      <c r="D1151" t="s">
        <v>4340</v>
      </c>
      <c r="E1151" t="s">
        <v>4341</v>
      </c>
      <c r="F1151" t="s">
        <v>4342</v>
      </c>
      <c r="G1151" t="s">
        <v>621</v>
      </c>
      <c r="H1151" t="s">
        <v>99</v>
      </c>
      <c r="I1151">
        <v>78418</v>
      </c>
    </row>
    <row r="1152" spans="1:9" x14ac:dyDescent="0.3">
      <c r="A1152">
        <v>1151</v>
      </c>
      <c r="B1152" t="s">
        <v>4343</v>
      </c>
      <c r="C1152" t="s">
        <v>3207</v>
      </c>
      <c r="D1152" t="s">
        <v>5611</v>
      </c>
      <c r="E1152" t="s">
        <v>4344</v>
      </c>
      <c r="F1152" t="s">
        <v>4345</v>
      </c>
      <c r="G1152" t="s">
        <v>1329</v>
      </c>
      <c r="H1152" t="s">
        <v>34</v>
      </c>
      <c r="I1152">
        <v>11720</v>
      </c>
    </row>
    <row r="1153" spans="1:9" x14ac:dyDescent="0.3">
      <c r="A1153">
        <v>1152</v>
      </c>
      <c r="B1153" t="s">
        <v>4346</v>
      </c>
      <c r="C1153" t="s">
        <v>2188</v>
      </c>
      <c r="D1153" t="s">
        <v>5611</v>
      </c>
      <c r="E1153" t="s">
        <v>4347</v>
      </c>
      <c r="F1153" t="s">
        <v>4348</v>
      </c>
      <c r="G1153" t="s">
        <v>385</v>
      </c>
      <c r="H1153" t="s">
        <v>40</v>
      </c>
      <c r="I1153">
        <v>91733</v>
      </c>
    </row>
    <row r="1154" spans="1:9" x14ac:dyDescent="0.3">
      <c r="A1154">
        <v>1153</v>
      </c>
      <c r="B1154" t="s">
        <v>4349</v>
      </c>
      <c r="C1154" t="s">
        <v>703</v>
      </c>
      <c r="D1154" t="s">
        <v>5611</v>
      </c>
      <c r="E1154" t="s">
        <v>4350</v>
      </c>
      <c r="F1154" t="s">
        <v>4351</v>
      </c>
      <c r="G1154" t="s">
        <v>328</v>
      </c>
      <c r="H1154" t="s">
        <v>40</v>
      </c>
      <c r="I1154">
        <v>94070</v>
      </c>
    </row>
    <row r="1155" spans="1:9" x14ac:dyDescent="0.3">
      <c r="A1155">
        <v>1154</v>
      </c>
      <c r="B1155" t="s">
        <v>1325</v>
      </c>
      <c r="C1155" t="s">
        <v>181</v>
      </c>
      <c r="D1155" t="s">
        <v>5611</v>
      </c>
      <c r="E1155" t="s">
        <v>4352</v>
      </c>
      <c r="F1155" t="s">
        <v>4353</v>
      </c>
      <c r="G1155" t="s">
        <v>2400</v>
      </c>
      <c r="H1155" t="s">
        <v>34</v>
      </c>
      <c r="I1155">
        <v>13021</v>
      </c>
    </row>
    <row r="1156" spans="1:9" x14ac:dyDescent="0.3">
      <c r="A1156">
        <v>1155</v>
      </c>
      <c r="B1156" t="s">
        <v>4354</v>
      </c>
      <c r="C1156" t="s">
        <v>427</v>
      </c>
      <c r="D1156" t="s">
        <v>5611</v>
      </c>
      <c r="E1156" t="s">
        <v>4355</v>
      </c>
      <c r="F1156" t="s">
        <v>4356</v>
      </c>
      <c r="G1156" t="s">
        <v>4357</v>
      </c>
      <c r="H1156" t="s">
        <v>34</v>
      </c>
      <c r="I1156">
        <v>11691</v>
      </c>
    </row>
    <row r="1157" spans="1:9" x14ac:dyDescent="0.3">
      <c r="A1157">
        <v>1156</v>
      </c>
      <c r="B1157" t="s">
        <v>3059</v>
      </c>
      <c r="C1157" t="s">
        <v>3095</v>
      </c>
      <c r="D1157" t="s">
        <v>5611</v>
      </c>
      <c r="E1157" t="s">
        <v>4358</v>
      </c>
      <c r="F1157" t="s">
        <v>4359</v>
      </c>
      <c r="G1157" t="s">
        <v>615</v>
      </c>
      <c r="H1157" t="s">
        <v>34</v>
      </c>
      <c r="I1157">
        <v>11414</v>
      </c>
    </row>
    <row r="1158" spans="1:9" x14ac:dyDescent="0.3">
      <c r="A1158">
        <v>1157</v>
      </c>
      <c r="B1158" t="s">
        <v>4360</v>
      </c>
      <c r="C1158" t="s">
        <v>1237</v>
      </c>
      <c r="D1158" t="s">
        <v>4361</v>
      </c>
      <c r="E1158" t="s">
        <v>4362</v>
      </c>
      <c r="F1158" t="s">
        <v>4363</v>
      </c>
      <c r="G1158" t="s">
        <v>67</v>
      </c>
      <c r="H1158" t="s">
        <v>34</v>
      </c>
      <c r="I1158">
        <v>14215</v>
      </c>
    </row>
    <row r="1159" spans="1:9" x14ac:dyDescent="0.3">
      <c r="A1159">
        <v>1158</v>
      </c>
      <c r="B1159" t="s">
        <v>4364</v>
      </c>
      <c r="C1159" t="s">
        <v>2161</v>
      </c>
      <c r="D1159" t="s">
        <v>5611</v>
      </c>
      <c r="E1159" t="s">
        <v>4365</v>
      </c>
      <c r="F1159" t="s">
        <v>4366</v>
      </c>
      <c r="G1159" t="s">
        <v>125</v>
      </c>
      <c r="H1159" t="s">
        <v>34</v>
      </c>
      <c r="I1159">
        <v>14424</v>
      </c>
    </row>
    <row r="1160" spans="1:9" x14ac:dyDescent="0.3">
      <c r="A1160">
        <v>1159</v>
      </c>
      <c r="B1160" t="s">
        <v>4367</v>
      </c>
      <c r="C1160" t="s">
        <v>382</v>
      </c>
      <c r="D1160" t="s">
        <v>5611</v>
      </c>
      <c r="E1160" t="s">
        <v>4368</v>
      </c>
      <c r="F1160" t="s">
        <v>4369</v>
      </c>
      <c r="G1160" t="s">
        <v>529</v>
      </c>
      <c r="H1160" t="s">
        <v>34</v>
      </c>
      <c r="I1160">
        <v>11791</v>
      </c>
    </row>
    <row r="1161" spans="1:9" x14ac:dyDescent="0.3">
      <c r="A1161">
        <v>1160</v>
      </c>
      <c r="B1161" t="s">
        <v>1983</v>
      </c>
      <c r="C1161" t="s">
        <v>4370</v>
      </c>
      <c r="D1161" t="s">
        <v>5611</v>
      </c>
      <c r="E1161" t="s">
        <v>4371</v>
      </c>
      <c r="F1161" t="s">
        <v>4372</v>
      </c>
      <c r="G1161" t="s">
        <v>589</v>
      </c>
      <c r="H1161" t="s">
        <v>99</v>
      </c>
      <c r="I1161">
        <v>76039</v>
      </c>
    </row>
    <row r="1162" spans="1:9" x14ac:dyDescent="0.3">
      <c r="A1162">
        <v>1161</v>
      </c>
      <c r="B1162" t="s">
        <v>4373</v>
      </c>
      <c r="C1162" t="s">
        <v>799</v>
      </c>
      <c r="D1162" t="s">
        <v>5611</v>
      </c>
      <c r="E1162" t="s">
        <v>4374</v>
      </c>
      <c r="F1162" t="s">
        <v>4375</v>
      </c>
      <c r="G1162" t="s">
        <v>1604</v>
      </c>
      <c r="H1162" t="s">
        <v>34</v>
      </c>
      <c r="I1162">
        <v>11580</v>
      </c>
    </row>
    <row r="1163" spans="1:9" x14ac:dyDescent="0.3">
      <c r="A1163">
        <v>1162</v>
      </c>
      <c r="B1163" t="s">
        <v>4376</v>
      </c>
      <c r="C1163" t="s">
        <v>4377</v>
      </c>
      <c r="D1163" t="s">
        <v>5611</v>
      </c>
      <c r="E1163" t="s">
        <v>4378</v>
      </c>
      <c r="F1163" t="s">
        <v>4379</v>
      </c>
      <c r="G1163" t="s">
        <v>1616</v>
      </c>
      <c r="H1163" t="s">
        <v>34</v>
      </c>
      <c r="I1163">
        <v>14850</v>
      </c>
    </row>
    <row r="1164" spans="1:9" x14ac:dyDescent="0.3">
      <c r="A1164">
        <v>1163</v>
      </c>
      <c r="B1164" t="s">
        <v>4380</v>
      </c>
      <c r="C1164" t="s">
        <v>63</v>
      </c>
      <c r="D1164" t="s">
        <v>5611</v>
      </c>
      <c r="E1164" t="s">
        <v>4381</v>
      </c>
      <c r="F1164" t="s">
        <v>4382</v>
      </c>
      <c r="G1164" t="s">
        <v>1060</v>
      </c>
      <c r="H1164" t="s">
        <v>40</v>
      </c>
      <c r="I1164">
        <v>90260</v>
      </c>
    </row>
    <row r="1165" spans="1:9" x14ac:dyDescent="0.3">
      <c r="A1165">
        <v>1164</v>
      </c>
      <c r="B1165" t="s">
        <v>4383</v>
      </c>
      <c r="C1165" t="s">
        <v>4384</v>
      </c>
      <c r="D1165" t="s">
        <v>5611</v>
      </c>
      <c r="E1165" t="s">
        <v>4385</v>
      </c>
      <c r="F1165" t="s">
        <v>4386</v>
      </c>
      <c r="G1165" t="s">
        <v>120</v>
      </c>
      <c r="H1165" t="s">
        <v>34</v>
      </c>
      <c r="I1165">
        <v>10583</v>
      </c>
    </row>
    <row r="1166" spans="1:9" x14ac:dyDescent="0.3">
      <c r="A1166">
        <v>1165</v>
      </c>
      <c r="B1166" t="s">
        <v>4387</v>
      </c>
      <c r="C1166" t="s">
        <v>4388</v>
      </c>
      <c r="D1166" t="s">
        <v>4389</v>
      </c>
      <c r="E1166" t="s">
        <v>4390</v>
      </c>
      <c r="F1166" t="s">
        <v>4391</v>
      </c>
      <c r="G1166" t="s">
        <v>2173</v>
      </c>
      <c r="H1166" t="s">
        <v>99</v>
      </c>
      <c r="I1166">
        <v>76110</v>
      </c>
    </row>
    <row r="1167" spans="1:9" x14ac:dyDescent="0.3">
      <c r="A1167">
        <v>1166</v>
      </c>
      <c r="B1167" t="s">
        <v>4392</v>
      </c>
      <c r="C1167" t="s">
        <v>161</v>
      </c>
      <c r="D1167" t="s">
        <v>5611</v>
      </c>
      <c r="E1167" t="s">
        <v>4393</v>
      </c>
      <c r="F1167" t="s">
        <v>4394</v>
      </c>
      <c r="G1167" t="s">
        <v>764</v>
      </c>
      <c r="H1167" t="s">
        <v>34</v>
      </c>
      <c r="I1167">
        <v>11706</v>
      </c>
    </row>
    <row r="1168" spans="1:9" x14ac:dyDescent="0.3">
      <c r="A1168">
        <v>1167</v>
      </c>
      <c r="B1168" t="s">
        <v>2808</v>
      </c>
      <c r="C1168" t="s">
        <v>247</v>
      </c>
      <c r="D1168" t="s">
        <v>5611</v>
      </c>
      <c r="E1168" t="s">
        <v>4395</v>
      </c>
      <c r="F1168" t="s">
        <v>4396</v>
      </c>
      <c r="G1168" t="s">
        <v>1987</v>
      </c>
      <c r="H1168" t="s">
        <v>34</v>
      </c>
      <c r="I1168">
        <v>10954</v>
      </c>
    </row>
    <row r="1169" spans="1:9" x14ac:dyDescent="0.3">
      <c r="A1169">
        <v>1168</v>
      </c>
      <c r="B1169" t="s">
        <v>4397</v>
      </c>
      <c r="C1169" t="s">
        <v>2339</v>
      </c>
      <c r="D1169" t="s">
        <v>5611</v>
      </c>
      <c r="E1169" t="s">
        <v>4398</v>
      </c>
      <c r="F1169" t="s">
        <v>4399</v>
      </c>
      <c r="G1169" t="s">
        <v>170</v>
      </c>
      <c r="H1169" t="s">
        <v>34</v>
      </c>
      <c r="I1169">
        <v>11104</v>
      </c>
    </row>
    <row r="1170" spans="1:9" x14ac:dyDescent="0.3">
      <c r="A1170">
        <v>1169</v>
      </c>
      <c r="B1170" t="s">
        <v>4400</v>
      </c>
      <c r="C1170" t="s">
        <v>427</v>
      </c>
      <c r="D1170" t="s">
        <v>5611</v>
      </c>
      <c r="E1170" t="s">
        <v>4401</v>
      </c>
      <c r="F1170" t="s">
        <v>4402</v>
      </c>
      <c r="G1170" t="s">
        <v>692</v>
      </c>
      <c r="H1170" t="s">
        <v>34</v>
      </c>
      <c r="I1170">
        <v>10977</v>
      </c>
    </row>
    <row r="1171" spans="1:9" x14ac:dyDescent="0.3">
      <c r="A1171">
        <v>1170</v>
      </c>
      <c r="B1171" t="s">
        <v>4403</v>
      </c>
      <c r="C1171" t="s">
        <v>2872</v>
      </c>
      <c r="D1171" t="s">
        <v>5611</v>
      </c>
      <c r="E1171" t="s">
        <v>4404</v>
      </c>
      <c r="F1171" t="s">
        <v>4405</v>
      </c>
      <c r="G1171" t="s">
        <v>245</v>
      </c>
      <c r="H1171" t="s">
        <v>34</v>
      </c>
      <c r="I1171">
        <v>11418</v>
      </c>
    </row>
    <row r="1172" spans="1:9" x14ac:dyDescent="0.3">
      <c r="A1172">
        <v>1171</v>
      </c>
      <c r="B1172" t="s">
        <v>4406</v>
      </c>
      <c r="C1172" t="s">
        <v>1681</v>
      </c>
      <c r="D1172" t="s">
        <v>5611</v>
      </c>
      <c r="E1172" t="s">
        <v>4407</v>
      </c>
      <c r="F1172" t="s">
        <v>4408</v>
      </c>
      <c r="G1172" t="s">
        <v>352</v>
      </c>
      <c r="H1172" t="s">
        <v>34</v>
      </c>
      <c r="I1172">
        <v>13440</v>
      </c>
    </row>
    <row r="1173" spans="1:9" x14ac:dyDescent="0.3">
      <c r="A1173">
        <v>1172</v>
      </c>
      <c r="B1173" t="s">
        <v>4409</v>
      </c>
      <c r="C1173" t="s">
        <v>3259</v>
      </c>
      <c r="D1173" t="s">
        <v>5611</v>
      </c>
      <c r="E1173" t="s">
        <v>4410</v>
      </c>
      <c r="F1173" t="s">
        <v>4411</v>
      </c>
      <c r="G1173" t="s">
        <v>598</v>
      </c>
      <c r="H1173" t="s">
        <v>34</v>
      </c>
      <c r="I1173">
        <v>14534</v>
      </c>
    </row>
    <row r="1174" spans="1:9" x14ac:dyDescent="0.3">
      <c r="A1174">
        <v>1173</v>
      </c>
      <c r="B1174" t="s">
        <v>4412</v>
      </c>
      <c r="C1174" t="s">
        <v>3029</v>
      </c>
      <c r="D1174" t="s">
        <v>5611</v>
      </c>
      <c r="E1174" t="s">
        <v>4413</v>
      </c>
      <c r="F1174" t="s">
        <v>4414</v>
      </c>
      <c r="G1174" t="s">
        <v>1221</v>
      </c>
      <c r="H1174" t="s">
        <v>34</v>
      </c>
      <c r="I1174">
        <v>11530</v>
      </c>
    </row>
    <row r="1175" spans="1:9" x14ac:dyDescent="0.3">
      <c r="A1175">
        <v>1174</v>
      </c>
      <c r="B1175" t="s">
        <v>4415</v>
      </c>
      <c r="C1175" t="s">
        <v>1479</v>
      </c>
      <c r="D1175" t="s">
        <v>4416</v>
      </c>
      <c r="E1175" t="s">
        <v>4417</v>
      </c>
      <c r="F1175" t="s">
        <v>4418</v>
      </c>
      <c r="G1175" t="s">
        <v>1907</v>
      </c>
      <c r="H1175" t="s">
        <v>34</v>
      </c>
      <c r="I1175">
        <v>10701</v>
      </c>
    </row>
    <row r="1176" spans="1:9" x14ac:dyDescent="0.3">
      <c r="A1176">
        <v>1175</v>
      </c>
      <c r="B1176" t="s">
        <v>4419</v>
      </c>
      <c r="C1176" t="s">
        <v>1399</v>
      </c>
      <c r="D1176" t="s">
        <v>5611</v>
      </c>
      <c r="E1176" t="s">
        <v>4420</v>
      </c>
      <c r="F1176" t="s">
        <v>4421</v>
      </c>
      <c r="G1176" t="s">
        <v>1595</v>
      </c>
      <c r="H1176" t="s">
        <v>40</v>
      </c>
      <c r="I1176">
        <v>91768</v>
      </c>
    </row>
    <row r="1177" spans="1:9" x14ac:dyDescent="0.3">
      <c r="A1177">
        <v>1176</v>
      </c>
      <c r="B1177" t="s">
        <v>2153</v>
      </c>
      <c r="C1177" t="s">
        <v>2394</v>
      </c>
      <c r="D1177" t="s">
        <v>5611</v>
      </c>
      <c r="E1177" t="s">
        <v>4422</v>
      </c>
      <c r="F1177" t="s">
        <v>4423</v>
      </c>
      <c r="G1177" t="s">
        <v>240</v>
      </c>
      <c r="H1177" t="s">
        <v>34</v>
      </c>
      <c r="I1177">
        <v>12804</v>
      </c>
    </row>
    <row r="1178" spans="1:9" x14ac:dyDescent="0.3">
      <c r="A1178">
        <v>1177</v>
      </c>
      <c r="B1178" t="s">
        <v>4424</v>
      </c>
      <c r="C1178" t="s">
        <v>1021</v>
      </c>
      <c r="D1178" t="s">
        <v>5611</v>
      </c>
      <c r="E1178" t="s">
        <v>4425</v>
      </c>
      <c r="F1178" t="s">
        <v>4426</v>
      </c>
      <c r="G1178" t="s">
        <v>1300</v>
      </c>
      <c r="H1178" t="s">
        <v>34</v>
      </c>
      <c r="I1178">
        <v>12601</v>
      </c>
    </row>
    <row r="1179" spans="1:9" x14ac:dyDescent="0.3">
      <c r="A1179">
        <v>1178</v>
      </c>
      <c r="B1179" t="s">
        <v>4427</v>
      </c>
      <c r="C1179" t="s">
        <v>3705</v>
      </c>
      <c r="D1179" t="s">
        <v>4428</v>
      </c>
      <c r="E1179" t="s">
        <v>4429</v>
      </c>
      <c r="F1179" t="s">
        <v>4430</v>
      </c>
      <c r="G1179" t="s">
        <v>829</v>
      </c>
      <c r="H1179" t="s">
        <v>40</v>
      </c>
      <c r="I1179">
        <v>93035</v>
      </c>
    </row>
    <row r="1180" spans="1:9" x14ac:dyDescent="0.3">
      <c r="A1180">
        <v>1179</v>
      </c>
      <c r="B1180" t="s">
        <v>4431</v>
      </c>
      <c r="C1180" t="s">
        <v>2979</v>
      </c>
      <c r="D1180" t="s">
        <v>5611</v>
      </c>
      <c r="E1180" t="s">
        <v>4432</v>
      </c>
      <c r="F1180" t="s">
        <v>4433</v>
      </c>
      <c r="G1180" t="s">
        <v>981</v>
      </c>
      <c r="H1180" t="s">
        <v>34</v>
      </c>
      <c r="I1180">
        <v>11201</v>
      </c>
    </row>
    <row r="1181" spans="1:9" x14ac:dyDescent="0.3">
      <c r="A1181">
        <v>1180</v>
      </c>
      <c r="B1181" t="s">
        <v>4434</v>
      </c>
      <c r="C1181" t="s">
        <v>3150</v>
      </c>
      <c r="D1181" t="s">
        <v>5611</v>
      </c>
      <c r="E1181" t="s">
        <v>4435</v>
      </c>
      <c r="F1181" t="s">
        <v>4436</v>
      </c>
      <c r="G1181" t="s">
        <v>479</v>
      </c>
      <c r="H1181" t="s">
        <v>34</v>
      </c>
      <c r="I1181">
        <v>11735</v>
      </c>
    </row>
    <row r="1182" spans="1:9" x14ac:dyDescent="0.3">
      <c r="A1182">
        <v>1181</v>
      </c>
      <c r="B1182" t="s">
        <v>4437</v>
      </c>
      <c r="C1182" t="s">
        <v>4438</v>
      </c>
      <c r="D1182" t="s">
        <v>5611</v>
      </c>
      <c r="E1182" t="s">
        <v>4439</v>
      </c>
      <c r="F1182" t="s">
        <v>4440</v>
      </c>
      <c r="G1182" t="s">
        <v>981</v>
      </c>
      <c r="H1182" t="s">
        <v>34</v>
      </c>
      <c r="I1182">
        <v>11201</v>
      </c>
    </row>
    <row r="1183" spans="1:9" x14ac:dyDescent="0.3">
      <c r="A1183">
        <v>1182</v>
      </c>
      <c r="B1183" t="s">
        <v>3847</v>
      </c>
      <c r="C1183" t="s">
        <v>3826</v>
      </c>
      <c r="D1183" t="s">
        <v>5611</v>
      </c>
      <c r="E1183" t="s">
        <v>4441</v>
      </c>
      <c r="F1183" t="s">
        <v>4442</v>
      </c>
      <c r="G1183" t="s">
        <v>1272</v>
      </c>
      <c r="H1183" t="s">
        <v>34</v>
      </c>
      <c r="I1183">
        <v>11779</v>
      </c>
    </row>
    <row r="1184" spans="1:9" x14ac:dyDescent="0.3">
      <c r="A1184">
        <v>1183</v>
      </c>
      <c r="B1184" t="s">
        <v>1346</v>
      </c>
      <c r="C1184" t="s">
        <v>3259</v>
      </c>
      <c r="D1184" t="s">
        <v>5611</v>
      </c>
      <c r="E1184" t="s">
        <v>4443</v>
      </c>
      <c r="F1184" t="s">
        <v>4444</v>
      </c>
      <c r="G1184" t="s">
        <v>286</v>
      </c>
      <c r="H1184" t="s">
        <v>34</v>
      </c>
      <c r="I1184">
        <v>11566</v>
      </c>
    </row>
    <row r="1185" spans="1:9" x14ac:dyDescent="0.3">
      <c r="A1185">
        <v>1184</v>
      </c>
      <c r="B1185" t="s">
        <v>4445</v>
      </c>
      <c r="C1185" t="s">
        <v>916</v>
      </c>
      <c r="D1185" t="s">
        <v>5611</v>
      </c>
      <c r="E1185" t="s">
        <v>4446</v>
      </c>
      <c r="F1185" t="s">
        <v>4447</v>
      </c>
      <c r="G1185" t="s">
        <v>692</v>
      </c>
      <c r="H1185" t="s">
        <v>34</v>
      </c>
      <c r="I1185">
        <v>10977</v>
      </c>
    </row>
    <row r="1186" spans="1:9" x14ac:dyDescent="0.3">
      <c r="A1186">
        <v>1185</v>
      </c>
      <c r="B1186" t="s">
        <v>4448</v>
      </c>
      <c r="C1186" t="s">
        <v>4449</v>
      </c>
      <c r="D1186" t="s">
        <v>5611</v>
      </c>
      <c r="E1186" t="s">
        <v>4450</v>
      </c>
      <c r="F1186" t="s">
        <v>4451</v>
      </c>
      <c r="G1186" t="s">
        <v>2571</v>
      </c>
      <c r="H1186" t="s">
        <v>34</v>
      </c>
      <c r="I1186">
        <v>12065</v>
      </c>
    </row>
    <row r="1187" spans="1:9" x14ac:dyDescent="0.3">
      <c r="A1187">
        <v>1186</v>
      </c>
      <c r="B1187" t="s">
        <v>4452</v>
      </c>
      <c r="C1187" t="s">
        <v>1070</v>
      </c>
      <c r="D1187" t="s">
        <v>5611</v>
      </c>
      <c r="E1187" t="s">
        <v>4453</v>
      </c>
      <c r="F1187" t="s">
        <v>4454</v>
      </c>
      <c r="G1187" t="s">
        <v>328</v>
      </c>
      <c r="H1187" t="s">
        <v>40</v>
      </c>
      <c r="I1187">
        <v>94070</v>
      </c>
    </row>
    <row r="1188" spans="1:9" x14ac:dyDescent="0.3">
      <c r="A1188">
        <v>1187</v>
      </c>
      <c r="B1188" t="s">
        <v>4455</v>
      </c>
      <c r="C1188" t="s">
        <v>4456</v>
      </c>
      <c r="D1188" t="s">
        <v>5611</v>
      </c>
      <c r="E1188" t="s">
        <v>4457</v>
      </c>
      <c r="F1188" t="s">
        <v>4458</v>
      </c>
      <c r="G1188" t="s">
        <v>1688</v>
      </c>
      <c r="H1188" t="s">
        <v>34</v>
      </c>
      <c r="I1188">
        <v>11354</v>
      </c>
    </row>
    <row r="1189" spans="1:9" x14ac:dyDescent="0.3">
      <c r="A1189">
        <v>1188</v>
      </c>
      <c r="B1189" t="s">
        <v>4459</v>
      </c>
      <c r="C1189" t="s">
        <v>4460</v>
      </c>
      <c r="D1189" t="s">
        <v>4461</v>
      </c>
      <c r="E1189" t="s">
        <v>4462</v>
      </c>
      <c r="F1189" t="s">
        <v>4463</v>
      </c>
      <c r="G1189" t="s">
        <v>1907</v>
      </c>
      <c r="H1189" t="s">
        <v>34</v>
      </c>
      <c r="I1189">
        <v>10701</v>
      </c>
    </row>
    <row r="1190" spans="1:9" x14ac:dyDescent="0.3">
      <c r="A1190">
        <v>1189</v>
      </c>
      <c r="B1190" t="s">
        <v>2381</v>
      </c>
      <c r="C1190" t="s">
        <v>522</v>
      </c>
      <c r="D1190" t="s">
        <v>5611</v>
      </c>
      <c r="E1190" t="s">
        <v>4464</v>
      </c>
      <c r="F1190" t="s">
        <v>4465</v>
      </c>
      <c r="G1190" t="s">
        <v>50</v>
      </c>
      <c r="H1190" t="s">
        <v>34</v>
      </c>
      <c r="I1190">
        <v>11553</v>
      </c>
    </row>
    <row r="1191" spans="1:9" x14ac:dyDescent="0.3">
      <c r="A1191">
        <v>1190</v>
      </c>
      <c r="B1191" t="s">
        <v>4466</v>
      </c>
      <c r="C1191" t="s">
        <v>866</v>
      </c>
      <c r="D1191" t="s">
        <v>5611</v>
      </c>
      <c r="E1191" t="s">
        <v>4467</v>
      </c>
      <c r="F1191" t="s">
        <v>4468</v>
      </c>
      <c r="G1191" t="s">
        <v>403</v>
      </c>
      <c r="H1191" t="s">
        <v>34</v>
      </c>
      <c r="I1191">
        <v>11776</v>
      </c>
    </row>
    <row r="1192" spans="1:9" x14ac:dyDescent="0.3">
      <c r="A1192">
        <v>1191</v>
      </c>
      <c r="B1192" t="s">
        <v>4469</v>
      </c>
      <c r="C1192" t="s">
        <v>42</v>
      </c>
      <c r="D1192" t="s">
        <v>4470</v>
      </c>
      <c r="E1192" t="s">
        <v>4471</v>
      </c>
      <c r="F1192" t="s">
        <v>4472</v>
      </c>
      <c r="G1192" t="s">
        <v>1936</v>
      </c>
      <c r="H1192" t="s">
        <v>34</v>
      </c>
      <c r="I1192">
        <v>14606</v>
      </c>
    </row>
    <row r="1193" spans="1:9" x14ac:dyDescent="0.3">
      <c r="A1193">
        <v>1192</v>
      </c>
      <c r="B1193" t="s">
        <v>4473</v>
      </c>
      <c r="C1193" t="s">
        <v>4474</v>
      </c>
      <c r="D1193" t="s">
        <v>5611</v>
      </c>
      <c r="E1193" t="s">
        <v>4475</v>
      </c>
      <c r="F1193" t="s">
        <v>4476</v>
      </c>
      <c r="G1193" t="s">
        <v>347</v>
      </c>
      <c r="H1193" t="s">
        <v>99</v>
      </c>
      <c r="I1193">
        <v>75115</v>
      </c>
    </row>
    <row r="1194" spans="1:9" x14ac:dyDescent="0.3">
      <c r="A1194">
        <v>1193</v>
      </c>
      <c r="B1194" t="s">
        <v>3455</v>
      </c>
      <c r="C1194" t="s">
        <v>1021</v>
      </c>
      <c r="D1194" t="s">
        <v>5611</v>
      </c>
      <c r="E1194" t="s">
        <v>4477</v>
      </c>
      <c r="F1194" t="s">
        <v>4478</v>
      </c>
      <c r="G1194" t="s">
        <v>819</v>
      </c>
      <c r="H1194" t="s">
        <v>34</v>
      </c>
      <c r="I1194">
        <v>11420</v>
      </c>
    </row>
    <row r="1195" spans="1:9" x14ac:dyDescent="0.3">
      <c r="A1195">
        <v>1194</v>
      </c>
      <c r="B1195" t="s">
        <v>4479</v>
      </c>
      <c r="C1195" t="s">
        <v>4480</v>
      </c>
      <c r="D1195" t="s">
        <v>5611</v>
      </c>
      <c r="E1195" t="s">
        <v>4481</v>
      </c>
      <c r="F1195" t="s">
        <v>4482</v>
      </c>
      <c r="G1195" t="s">
        <v>598</v>
      </c>
      <c r="H1195" t="s">
        <v>34</v>
      </c>
      <c r="I1195">
        <v>14534</v>
      </c>
    </row>
    <row r="1196" spans="1:9" x14ac:dyDescent="0.3">
      <c r="A1196">
        <v>1195</v>
      </c>
      <c r="B1196" t="s">
        <v>4483</v>
      </c>
      <c r="C1196" t="s">
        <v>405</v>
      </c>
      <c r="D1196" t="s">
        <v>4484</v>
      </c>
      <c r="E1196" t="s">
        <v>4485</v>
      </c>
      <c r="F1196" t="s">
        <v>4486</v>
      </c>
      <c r="G1196" t="s">
        <v>67</v>
      </c>
      <c r="H1196" t="s">
        <v>34</v>
      </c>
      <c r="I1196">
        <v>14215</v>
      </c>
    </row>
    <row r="1197" spans="1:9" x14ac:dyDescent="0.3">
      <c r="A1197">
        <v>1196</v>
      </c>
      <c r="B1197" t="s">
        <v>4487</v>
      </c>
      <c r="C1197" t="s">
        <v>1869</v>
      </c>
      <c r="D1197" t="s">
        <v>5611</v>
      </c>
      <c r="E1197" t="s">
        <v>4488</v>
      </c>
      <c r="F1197" t="s">
        <v>4489</v>
      </c>
      <c r="G1197" t="s">
        <v>1055</v>
      </c>
      <c r="H1197" t="s">
        <v>34</v>
      </c>
      <c r="I1197">
        <v>11772</v>
      </c>
    </row>
    <row r="1198" spans="1:9" x14ac:dyDescent="0.3">
      <c r="A1198">
        <v>1197</v>
      </c>
      <c r="B1198" t="s">
        <v>4490</v>
      </c>
      <c r="C1198" t="s">
        <v>2255</v>
      </c>
      <c r="D1198" t="s">
        <v>5611</v>
      </c>
      <c r="E1198" t="s">
        <v>4491</v>
      </c>
      <c r="F1198" t="s">
        <v>4492</v>
      </c>
      <c r="G1198" t="s">
        <v>77</v>
      </c>
      <c r="H1198" t="s">
        <v>34</v>
      </c>
      <c r="I1198">
        <v>11050</v>
      </c>
    </row>
    <row r="1199" spans="1:9" x14ac:dyDescent="0.3">
      <c r="A1199">
        <v>1198</v>
      </c>
      <c r="B1199" t="s">
        <v>4493</v>
      </c>
      <c r="C1199" t="s">
        <v>4480</v>
      </c>
      <c r="D1199" t="s">
        <v>5611</v>
      </c>
      <c r="E1199" t="s">
        <v>4494</v>
      </c>
      <c r="F1199" t="s">
        <v>4495</v>
      </c>
      <c r="G1199" t="s">
        <v>981</v>
      </c>
      <c r="H1199" t="s">
        <v>34</v>
      </c>
      <c r="I1199">
        <v>11201</v>
      </c>
    </row>
    <row r="1200" spans="1:9" x14ac:dyDescent="0.3">
      <c r="A1200">
        <v>1199</v>
      </c>
      <c r="B1200" t="s">
        <v>4496</v>
      </c>
      <c r="C1200" t="s">
        <v>1025</v>
      </c>
      <c r="D1200" t="s">
        <v>5611</v>
      </c>
      <c r="E1200" t="s">
        <v>4497</v>
      </c>
      <c r="F1200" t="s">
        <v>4498</v>
      </c>
      <c r="G1200" t="s">
        <v>394</v>
      </c>
      <c r="H1200" t="s">
        <v>34</v>
      </c>
      <c r="I1200">
        <v>14120</v>
      </c>
    </row>
    <row r="1201" spans="1:9" x14ac:dyDescent="0.3">
      <c r="A1201">
        <v>1200</v>
      </c>
      <c r="B1201" t="s">
        <v>4499</v>
      </c>
      <c r="C1201" t="s">
        <v>3418</v>
      </c>
      <c r="D1201" t="s">
        <v>5611</v>
      </c>
      <c r="E1201" t="s">
        <v>4500</v>
      </c>
      <c r="F1201" t="s">
        <v>4501</v>
      </c>
      <c r="G1201" t="s">
        <v>77</v>
      </c>
      <c r="H1201" t="s">
        <v>34</v>
      </c>
      <c r="I1201">
        <v>11050</v>
      </c>
    </row>
    <row r="1202" spans="1:9" x14ac:dyDescent="0.3">
      <c r="A1202">
        <v>1201</v>
      </c>
      <c r="B1202" t="s">
        <v>4502</v>
      </c>
      <c r="C1202" t="s">
        <v>3375</v>
      </c>
      <c r="D1202" t="s">
        <v>5611</v>
      </c>
      <c r="E1202" t="s">
        <v>4503</v>
      </c>
      <c r="F1202" t="s">
        <v>4504</v>
      </c>
      <c r="G1202" t="s">
        <v>714</v>
      </c>
      <c r="H1202" t="s">
        <v>34</v>
      </c>
      <c r="I1202">
        <v>10573</v>
      </c>
    </row>
    <row r="1203" spans="1:9" x14ac:dyDescent="0.3">
      <c r="A1203">
        <v>1202</v>
      </c>
      <c r="B1203" t="s">
        <v>4505</v>
      </c>
      <c r="C1203" t="s">
        <v>3296</v>
      </c>
      <c r="D1203" t="s">
        <v>5611</v>
      </c>
      <c r="E1203" t="s">
        <v>4506</v>
      </c>
      <c r="F1203" t="s">
        <v>4507</v>
      </c>
      <c r="G1203" t="s">
        <v>774</v>
      </c>
      <c r="H1203" t="s">
        <v>40</v>
      </c>
      <c r="I1203">
        <v>92220</v>
      </c>
    </row>
    <row r="1204" spans="1:9" x14ac:dyDescent="0.3">
      <c r="A1204">
        <v>1203</v>
      </c>
      <c r="B1204" t="s">
        <v>390</v>
      </c>
      <c r="C1204" t="s">
        <v>1618</v>
      </c>
      <c r="D1204" t="s">
        <v>5611</v>
      </c>
      <c r="E1204" t="s">
        <v>4508</v>
      </c>
      <c r="F1204" t="s">
        <v>4509</v>
      </c>
      <c r="G1204" t="s">
        <v>347</v>
      </c>
      <c r="H1204" t="s">
        <v>99</v>
      </c>
      <c r="I1204">
        <v>75115</v>
      </c>
    </row>
    <row r="1205" spans="1:9" x14ac:dyDescent="0.3">
      <c r="A1205">
        <v>1204</v>
      </c>
      <c r="B1205" t="s">
        <v>4510</v>
      </c>
      <c r="C1205" t="s">
        <v>496</v>
      </c>
      <c r="D1205" t="s">
        <v>5611</v>
      </c>
      <c r="E1205" t="s">
        <v>4511</v>
      </c>
      <c r="F1205" t="s">
        <v>4512</v>
      </c>
      <c r="G1205" t="s">
        <v>494</v>
      </c>
      <c r="H1205" t="s">
        <v>34</v>
      </c>
      <c r="I1205">
        <v>12866</v>
      </c>
    </row>
    <row r="1206" spans="1:9" x14ac:dyDescent="0.3">
      <c r="A1206">
        <v>1205</v>
      </c>
      <c r="B1206" t="s">
        <v>4513</v>
      </c>
      <c r="C1206" t="s">
        <v>2309</v>
      </c>
      <c r="D1206" t="s">
        <v>5611</v>
      </c>
      <c r="E1206" t="s">
        <v>4514</v>
      </c>
      <c r="F1206" t="s">
        <v>4515</v>
      </c>
      <c r="G1206" t="s">
        <v>1524</v>
      </c>
      <c r="H1206" t="s">
        <v>34</v>
      </c>
      <c r="I1206">
        <v>10550</v>
      </c>
    </row>
    <row r="1207" spans="1:9" x14ac:dyDescent="0.3">
      <c r="A1207">
        <v>1206</v>
      </c>
      <c r="B1207" t="s">
        <v>4516</v>
      </c>
      <c r="C1207" t="s">
        <v>3755</v>
      </c>
      <c r="D1207" t="s">
        <v>5611</v>
      </c>
      <c r="E1207" t="s">
        <v>4517</v>
      </c>
      <c r="F1207" t="s">
        <v>4518</v>
      </c>
      <c r="G1207" t="s">
        <v>149</v>
      </c>
      <c r="H1207" t="s">
        <v>34</v>
      </c>
      <c r="I1207">
        <v>11423</v>
      </c>
    </row>
    <row r="1208" spans="1:9" x14ac:dyDescent="0.3">
      <c r="A1208">
        <v>1207</v>
      </c>
      <c r="B1208" t="s">
        <v>4519</v>
      </c>
      <c r="C1208" t="s">
        <v>1238</v>
      </c>
      <c r="D1208" t="s">
        <v>4520</v>
      </c>
      <c r="E1208" t="s">
        <v>4521</v>
      </c>
      <c r="F1208" t="s">
        <v>4522</v>
      </c>
      <c r="G1208" t="s">
        <v>1078</v>
      </c>
      <c r="H1208" t="s">
        <v>34</v>
      </c>
      <c r="I1208">
        <v>11717</v>
      </c>
    </row>
    <row r="1209" spans="1:9" x14ac:dyDescent="0.3">
      <c r="A1209">
        <v>1208</v>
      </c>
      <c r="B1209" t="s">
        <v>4523</v>
      </c>
      <c r="C1209" t="s">
        <v>4524</v>
      </c>
      <c r="D1209" t="s">
        <v>5611</v>
      </c>
      <c r="E1209" t="s">
        <v>4525</v>
      </c>
      <c r="F1209" t="s">
        <v>4526</v>
      </c>
      <c r="G1209" t="s">
        <v>1781</v>
      </c>
      <c r="H1209" t="s">
        <v>34</v>
      </c>
      <c r="I1209">
        <v>10512</v>
      </c>
    </row>
    <row r="1210" spans="1:9" x14ac:dyDescent="0.3">
      <c r="A1210">
        <v>1209</v>
      </c>
      <c r="B1210" t="s">
        <v>4322</v>
      </c>
      <c r="C1210" t="s">
        <v>3786</v>
      </c>
      <c r="D1210" t="s">
        <v>5611</v>
      </c>
      <c r="E1210" t="s">
        <v>4527</v>
      </c>
      <c r="F1210" t="s">
        <v>4528</v>
      </c>
      <c r="G1210" t="s">
        <v>741</v>
      </c>
      <c r="H1210" t="s">
        <v>34</v>
      </c>
      <c r="I1210">
        <v>11743</v>
      </c>
    </row>
    <row r="1211" spans="1:9" x14ac:dyDescent="0.3">
      <c r="A1211">
        <v>1210</v>
      </c>
      <c r="B1211" t="s">
        <v>4529</v>
      </c>
      <c r="C1211" t="s">
        <v>1475</v>
      </c>
      <c r="D1211" t="s">
        <v>5611</v>
      </c>
      <c r="E1211" t="s">
        <v>4530</v>
      </c>
      <c r="F1211" t="s">
        <v>4531</v>
      </c>
      <c r="G1211" t="s">
        <v>802</v>
      </c>
      <c r="H1211" t="s">
        <v>34</v>
      </c>
      <c r="I1211">
        <v>11377</v>
      </c>
    </row>
    <row r="1212" spans="1:9" x14ac:dyDescent="0.3">
      <c r="A1212">
        <v>1211</v>
      </c>
      <c r="B1212" t="s">
        <v>4532</v>
      </c>
      <c r="C1212" t="s">
        <v>2851</v>
      </c>
      <c r="D1212" t="s">
        <v>5611</v>
      </c>
      <c r="E1212" t="s">
        <v>4533</v>
      </c>
      <c r="F1212" t="s">
        <v>4534</v>
      </c>
      <c r="G1212" t="s">
        <v>1148</v>
      </c>
      <c r="H1212" t="s">
        <v>34</v>
      </c>
      <c r="I1212">
        <v>14304</v>
      </c>
    </row>
    <row r="1213" spans="1:9" x14ac:dyDescent="0.3">
      <c r="A1213">
        <v>1212</v>
      </c>
      <c r="B1213" t="s">
        <v>4535</v>
      </c>
      <c r="C1213" t="s">
        <v>4536</v>
      </c>
      <c r="D1213" t="s">
        <v>5611</v>
      </c>
      <c r="E1213" t="s">
        <v>4537</v>
      </c>
      <c r="F1213" t="s">
        <v>4538</v>
      </c>
      <c r="G1213" t="s">
        <v>444</v>
      </c>
      <c r="H1213" t="s">
        <v>34</v>
      </c>
      <c r="I1213">
        <v>11746</v>
      </c>
    </row>
    <row r="1214" spans="1:9" x14ac:dyDescent="0.3">
      <c r="A1214">
        <v>1213</v>
      </c>
      <c r="B1214" t="s">
        <v>298</v>
      </c>
      <c r="C1214" t="s">
        <v>1587</v>
      </c>
      <c r="D1214" t="s">
        <v>5611</v>
      </c>
      <c r="E1214" t="s">
        <v>4539</v>
      </c>
      <c r="F1214" t="s">
        <v>4540</v>
      </c>
      <c r="G1214" t="s">
        <v>333</v>
      </c>
      <c r="H1214" t="s">
        <v>99</v>
      </c>
      <c r="I1214">
        <v>76901</v>
      </c>
    </row>
    <row r="1215" spans="1:9" x14ac:dyDescent="0.3">
      <c r="A1215">
        <v>1214</v>
      </c>
      <c r="B1215" t="s">
        <v>4541</v>
      </c>
      <c r="C1215" t="s">
        <v>4542</v>
      </c>
      <c r="D1215" t="s">
        <v>5611</v>
      </c>
      <c r="E1215" t="s">
        <v>4543</v>
      </c>
      <c r="F1215" t="s">
        <v>4544</v>
      </c>
      <c r="G1215" t="s">
        <v>837</v>
      </c>
      <c r="H1215" t="s">
        <v>40</v>
      </c>
      <c r="I1215">
        <v>95050</v>
      </c>
    </row>
    <row r="1216" spans="1:9" x14ac:dyDescent="0.3">
      <c r="A1216">
        <v>1215</v>
      </c>
      <c r="B1216" t="s">
        <v>4545</v>
      </c>
      <c r="C1216" t="s">
        <v>117</v>
      </c>
      <c r="D1216" t="s">
        <v>5611</v>
      </c>
      <c r="E1216" t="s">
        <v>4546</v>
      </c>
      <c r="F1216" t="s">
        <v>4547</v>
      </c>
      <c r="G1216" t="s">
        <v>323</v>
      </c>
      <c r="H1216" t="s">
        <v>34</v>
      </c>
      <c r="I1216">
        <v>11570</v>
      </c>
    </row>
    <row r="1217" spans="1:9" x14ac:dyDescent="0.3">
      <c r="A1217">
        <v>1216</v>
      </c>
      <c r="B1217" t="s">
        <v>4548</v>
      </c>
      <c r="C1217" t="s">
        <v>4549</v>
      </c>
      <c r="D1217" t="s">
        <v>5611</v>
      </c>
      <c r="E1217" t="s">
        <v>4550</v>
      </c>
      <c r="F1217" t="s">
        <v>4551</v>
      </c>
      <c r="G1217" t="s">
        <v>1199</v>
      </c>
      <c r="H1217" t="s">
        <v>40</v>
      </c>
      <c r="I1217">
        <v>94566</v>
      </c>
    </row>
    <row r="1218" spans="1:9" x14ac:dyDescent="0.3">
      <c r="A1218">
        <v>1217</v>
      </c>
      <c r="B1218" t="s">
        <v>4552</v>
      </c>
      <c r="C1218" t="s">
        <v>3062</v>
      </c>
      <c r="D1218" t="s">
        <v>4553</v>
      </c>
      <c r="E1218" t="s">
        <v>4554</v>
      </c>
      <c r="F1218" t="s">
        <v>4555</v>
      </c>
      <c r="G1218" t="s">
        <v>1907</v>
      </c>
      <c r="H1218" t="s">
        <v>34</v>
      </c>
      <c r="I1218">
        <v>10701</v>
      </c>
    </row>
    <row r="1219" spans="1:9" x14ac:dyDescent="0.3">
      <c r="A1219">
        <v>1218</v>
      </c>
      <c r="B1219" t="s">
        <v>4556</v>
      </c>
      <c r="C1219" t="s">
        <v>766</v>
      </c>
      <c r="D1219" t="s">
        <v>4557</v>
      </c>
      <c r="E1219" t="s">
        <v>4558</v>
      </c>
      <c r="F1219" t="s">
        <v>4559</v>
      </c>
      <c r="G1219" t="s">
        <v>190</v>
      </c>
      <c r="H1219" t="s">
        <v>40</v>
      </c>
      <c r="I1219">
        <v>94603</v>
      </c>
    </row>
    <row r="1220" spans="1:9" x14ac:dyDescent="0.3">
      <c r="A1220">
        <v>1219</v>
      </c>
      <c r="B1220" t="s">
        <v>4560</v>
      </c>
      <c r="C1220" t="s">
        <v>2473</v>
      </c>
      <c r="D1220" t="s">
        <v>5611</v>
      </c>
      <c r="E1220" t="s">
        <v>4561</v>
      </c>
      <c r="F1220" t="s">
        <v>4562</v>
      </c>
      <c r="G1220" t="s">
        <v>1769</v>
      </c>
      <c r="H1220" t="s">
        <v>34</v>
      </c>
      <c r="I1220">
        <v>11967</v>
      </c>
    </row>
    <row r="1221" spans="1:9" x14ac:dyDescent="0.3">
      <c r="A1221">
        <v>1220</v>
      </c>
      <c r="B1221" t="s">
        <v>854</v>
      </c>
      <c r="C1221" t="s">
        <v>1372</v>
      </c>
      <c r="D1221" t="s">
        <v>5611</v>
      </c>
      <c r="E1221" t="s">
        <v>4563</v>
      </c>
      <c r="F1221" t="s">
        <v>4564</v>
      </c>
      <c r="G1221" t="s">
        <v>444</v>
      </c>
      <c r="H1221" t="s">
        <v>34</v>
      </c>
      <c r="I1221">
        <v>11746</v>
      </c>
    </row>
    <row r="1222" spans="1:9" x14ac:dyDescent="0.3">
      <c r="A1222">
        <v>1221</v>
      </c>
      <c r="B1222" t="s">
        <v>4565</v>
      </c>
      <c r="C1222" t="s">
        <v>4566</v>
      </c>
      <c r="D1222" t="s">
        <v>5611</v>
      </c>
      <c r="E1222" t="s">
        <v>4567</v>
      </c>
      <c r="F1222" t="s">
        <v>4568</v>
      </c>
      <c r="G1222" t="s">
        <v>896</v>
      </c>
      <c r="H1222" t="s">
        <v>40</v>
      </c>
      <c r="I1222">
        <v>92307</v>
      </c>
    </row>
    <row r="1223" spans="1:9" x14ac:dyDescent="0.3">
      <c r="A1223">
        <v>1222</v>
      </c>
      <c r="B1223" t="s">
        <v>4569</v>
      </c>
      <c r="C1223" t="s">
        <v>4570</v>
      </c>
      <c r="D1223" t="s">
        <v>5611</v>
      </c>
      <c r="E1223" t="s">
        <v>4571</v>
      </c>
      <c r="F1223" t="s">
        <v>4572</v>
      </c>
      <c r="G1223" t="s">
        <v>1688</v>
      </c>
      <c r="H1223" t="s">
        <v>34</v>
      </c>
      <c r="I1223">
        <v>11354</v>
      </c>
    </row>
    <row r="1224" spans="1:9" x14ac:dyDescent="0.3">
      <c r="A1224">
        <v>1223</v>
      </c>
      <c r="B1224" t="s">
        <v>4573</v>
      </c>
      <c r="C1224" t="s">
        <v>446</v>
      </c>
      <c r="D1224" t="s">
        <v>5611</v>
      </c>
      <c r="E1224" t="s">
        <v>4574</v>
      </c>
      <c r="F1224" t="s">
        <v>4575</v>
      </c>
      <c r="G1224" t="s">
        <v>948</v>
      </c>
      <c r="H1224" t="s">
        <v>34</v>
      </c>
      <c r="I1224">
        <v>12553</v>
      </c>
    </row>
    <row r="1225" spans="1:9" x14ac:dyDescent="0.3">
      <c r="A1225">
        <v>1224</v>
      </c>
      <c r="B1225" t="s">
        <v>4576</v>
      </c>
      <c r="C1225" t="s">
        <v>4577</v>
      </c>
      <c r="D1225" t="s">
        <v>5611</v>
      </c>
      <c r="E1225" t="s">
        <v>4578</v>
      </c>
      <c r="F1225" t="s">
        <v>4579</v>
      </c>
      <c r="G1225" t="s">
        <v>1806</v>
      </c>
      <c r="H1225" t="s">
        <v>99</v>
      </c>
      <c r="I1225">
        <v>78552</v>
      </c>
    </row>
    <row r="1226" spans="1:9" x14ac:dyDescent="0.3">
      <c r="A1226">
        <v>1225</v>
      </c>
      <c r="B1226" t="s">
        <v>1222</v>
      </c>
      <c r="C1226" t="s">
        <v>3735</v>
      </c>
      <c r="D1226" t="s">
        <v>5611</v>
      </c>
      <c r="E1226" t="s">
        <v>4580</v>
      </c>
      <c r="F1226" t="s">
        <v>4581</v>
      </c>
      <c r="G1226" t="s">
        <v>1714</v>
      </c>
      <c r="H1226" t="s">
        <v>40</v>
      </c>
      <c r="I1226">
        <v>93635</v>
      </c>
    </row>
    <row r="1227" spans="1:9" x14ac:dyDescent="0.3">
      <c r="A1227">
        <v>1226</v>
      </c>
      <c r="B1227" t="s">
        <v>4582</v>
      </c>
      <c r="C1227" t="s">
        <v>272</v>
      </c>
      <c r="D1227" t="s">
        <v>5611</v>
      </c>
      <c r="E1227" t="s">
        <v>4583</v>
      </c>
      <c r="F1227" t="s">
        <v>4584</v>
      </c>
      <c r="G1227" t="s">
        <v>144</v>
      </c>
      <c r="H1227" t="s">
        <v>34</v>
      </c>
      <c r="I1227">
        <v>11731</v>
      </c>
    </row>
    <row r="1228" spans="1:9" x14ac:dyDescent="0.3">
      <c r="A1228">
        <v>1227</v>
      </c>
      <c r="B1228" t="s">
        <v>4585</v>
      </c>
      <c r="C1228" t="s">
        <v>1849</v>
      </c>
      <c r="D1228" t="s">
        <v>4586</v>
      </c>
      <c r="E1228" t="s">
        <v>4587</v>
      </c>
      <c r="F1228" t="s">
        <v>4588</v>
      </c>
      <c r="G1228" t="s">
        <v>485</v>
      </c>
      <c r="H1228" t="s">
        <v>34</v>
      </c>
      <c r="I1228">
        <v>12180</v>
      </c>
    </row>
    <row r="1229" spans="1:9" x14ac:dyDescent="0.3">
      <c r="A1229">
        <v>1228</v>
      </c>
      <c r="B1229" t="s">
        <v>2598</v>
      </c>
      <c r="C1229" t="s">
        <v>1724</v>
      </c>
      <c r="D1229" t="s">
        <v>4589</v>
      </c>
      <c r="E1229" t="s">
        <v>4590</v>
      </c>
      <c r="F1229" t="s">
        <v>4591</v>
      </c>
      <c r="G1229" t="s">
        <v>190</v>
      </c>
      <c r="H1229" t="s">
        <v>40</v>
      </c>
      <c r="I1229">
        <v>94603</v>
      </c>
    </row>
    <row r="1230" spans="1:9" x14ac:dyDescent="0.3">
      <c r="A1230">
        <v>1229</v>
      </c>
      <c r="B1230" t="s">
        <v>4592</v>
      </c>
      <c r="C1230" t="s">
        <v>4593</v>
      </c>
      <c r="D1230" t="s">
        <v>5611</v>
      </c>
      <c r="E1230" t="s">
        <v>4594</v>
      </c>
      <c r="F1230" t="s">
        <v>4595</v>
      </c>
      <c r="G1230" t="s">
        <v>1646</v>
      </c>
      <c r="H1230" t="s">
        <v>34</v>
      </c>
      <c r="I1230">
        <v>12590</v>
      </c>
    </row>
    <row r="1231" spans="1:9" x14ac:dyDescent="0.3">
      <c r="A1231">
        <v>1230</v>
      </c>
      <c r="B1231" t="s">
        <v>4596</v>
      </c>
      <c r="C1231" t="s">
        <v>804</v>
      </c>
      <c r="D1231" t="s">
        <v>5611</v>
      </c>
      <c r="E1231" t="s">
        <v>4597</v>
      </c>
      <c r="F1231" t="s">
        <v>4598</v>
      </c>
      <c r="G1231" t="s">
        <v>347</v>
      </c>
      <c r="H1231" t="s">
        <v>99</v>
      </c>
      <c r="I1231">
        <v>75115</v>
      </c>
    </row>
    <row r="1232" spans="1:9" x14ac:dyDescent="0.3">
      <c r="A1232">
        <v>1231</v>
      </c>
      <c r="B1232" t="s">
        <v>2241</v>
      </c>
      <c r="C1232" t="s">
        <v>349</v>
      </c>
      <c r="D1232" t="s">
        <v>5611</v>
      </c>
      <c r="E1232" t="s">
        <v>4599</v>
      </c>
      <c r="F1232" t="s">
        <v>4600</v>
      </c>
      <c r="G1232" t="s">
        <v>39</v>
      </c>
      <c r="H1232" t="s">
        <v>40</v>
      </c>
      <c r="I1232">
        <v>95008</v>
      </c>
    </row>
    <row r="1233" spans="1:9" x14ac:dyDescent="0.3">
      <c r="A1233">
        <v>1232</v>
      </c>
      <c r="B1233" t="s">
        <v>4601</v>
      </c>
      <c r="C1233" t="s">
        <v>4054</v>
      </c>
      <c r="D1233" t="s">
        <v>5611</v>
      </c>
      <c r="E1233" t="s">
        <v>4602</v>
      </c>
      <c r="F1233" t="s">
        <v>4603</v>
      </c>
      <c r="G1233" t="s">
        <v>261</v>
      </c>
      <c r="H1233" t="s">
        <v>34</v>
      </c>
      <c r="I1233">
        <v>11714</v>
      </c>
    </row>
    <row r="1234" spans="1:9" x14ac:dyDescent="0.3">
      <c r="A1234">
        <v>1233</v>
      </c>
      <c r="B1234" t="s">
        <v>2098</v>
      </c>
      <c r="C1234" t="s">
        <v>916</v>
      </c>
      <c r="D1234" t="s">
        <v>5611</v>
      </c>
      <c r="E1234" t="s">
        <v>4604</v>
      </c>
      <c r="F1234" t="s">
        <v>4605</v>
      </c>
      <c r="G1234" t="s">
        <v>1930</v>
      </c>
      <c r="H1234" t="s">
        <v>40</v>
      </c>
      <c r="I1234">
        <v>92083</v>
      </c>
    </row>
    <row r="1235" spans="1:9" x14ac:dyDescent="0.3">
      <c r="A1235">
        <v>1234</v>
      </c>
      <c r="B1235" t="s">
        <v>2212</v>
      </c>
      <c r="C1235" t="s">
        <v>263</v>
      </c>
      <c r="D1235" t="s">
        <v>5611</v>
      </c>
      <c r="E1235" t="s">
        <v>4606</v>
      </c>
      <c r="F1235" t="s">
        <v>4607</v>
      </c>
      <c r="G1235" t="s">
        <v>175</v>
      </c>
      <c r="H1235" t="s">
        <v>34</v>
      </c>
      <c r="I1235">
        <v>10562</v>
      </c>
    </row>
    <row r="1236" spans="1:9" x14ac:dyDescent="0.3">
      <c r="A1236">
        <v>1235</v>
      </c>
      <c r="B1236" t="s">
        <v>4608</v>
      </c>
      <c r="C1236" t="s">
        <v>825</v>
      </c>
      <c r="D1236" t="s">
        <v>5611</v>
      </c>
      <c r="E1236" t="s">
        <v>4609</v>
      </c>
      <c r="F1236" t="s">
        <v>4610</v>
      </c>
      <c r="G1236" t="s">
        <v>2909</v>
      </c>
      <c r="H1236" t="s">
        <v>34</v>
      </c>
      <c r="I1236">
        <v>13760</v>
      </c>
    </row>
    <row r="1237" spans="1:9" x14ac:dyDescent="0.3">
      <c r="A1237">
        <v>1236</v>
      </c>
      <c r="B1237" t="s">
        <v>4611</v>
      </c>
      <c r="C1237" t="s">
        <v>3518</v>
      </c>
      <c r="D1237" t="s">
        <v>5611</v>
      </c>
      <c r="E1237" t="s">
        <v>4612</v>
      </c>
      <c r="F1237" t="s">
        <v>4613</v>
      </c>
      <c r="G1237" t="s">
        <v>1524</v>
      </c>
      <c r="H1237" t="s">
        <v>34</v>
      </c>
      <c r="I1237">
        <v>10550</v>
      </c>
    </row>
    <row r="1238" spans="1:9" x14ac:dyDescent="0.3">
      <c r="A1238">
        <v>1237</v>
      </c>
      <c r="B1238" t="s">
        <v>1807</v>
      </c>
      <c r="C1238" t="s">
        <v>1997</v>
      </c>
      <c r="D1238" t="s">
        <v>5611</v>
      </c>
      <c r="E1238" t="s">
        <v>4614</v>
      </c>
      <c r="F1238" t="s">
        <v>4615</v>
      </c>
      <c r="G1238" t="s">
        <v>261</v>
      </c>
      <c r="H1238" t="s">
        <v>34</v>
      </c>
      <c r="I1238">
        <v>11714</v>
      </c>
    </row>
    <row r="1239" spans="1:9" x14ac:dyDescent="0.3">
      <c r="A1239">
        <v>1238</v>
      </c>
      <c r="B1239" t="s">
        <v>3159</v>
      </c>
      <c r="C1239" t="s">
        <v>242</v>
      </c>
      <c r="D1239" t="s">
        <v>5611</v>
      </c>
      <c r="E1239" t="s">
        <v>4616</v>
      </c>
      <c r="F1239" t="s">
        <v>4617</v>
      </c>
      <c r="G1239" t="s">
        <v>1806</v>
      </c>
      <c r="H1239" t="s">
        <v>99</v>
      </c>
      <c r="I1239">
        <v>78552</v>
      </c>
    </row>
    <row r="1240" spans="1:9" x14ac:dyDescent="0.3">
      <c r="A1240">
        <v>1239</v>
      </c>
      <c r="B1240" t="s">
        <v>4618</v>
      </c>
      <c r="C1240" t="s">
        <v>3163</v>
      </c>
      <c r="D1240" t="s">
        <v>5611</v>
      </c>
      <c r="E1240" t="s">
        <v>4619</v>
      </c>
      <c r="F1240" t="s">
        <v>4620</v>
      </c>
      <c r="G1240" t="s">
        <v>439</v>
      </c>
      <c r="H1240" t="s">
        <v>34</v>
      </c>
      <c r="I1240">
        <v>11757</v>
      </c>
    </row>
    <row r="1241" spans="1:9" x14ac:dyDescent="0.3">
      <c r="A1241">
        <v>1240</v>
      </c>
      <c r="B1241" t="s">
        <v>4621</v>
      </c>
      <c r="C1241" t="s">
        <v>2778</v>
      </c>
      <c r="D1241" t="s">
        <v>5611</v>
      </c>
      <c r="E1241" t="s">
        <v>4622</v>
      </c>
      <c r="F1241" t="s">
        <v>4623</v>
      </c>
      <c r="G1241" t="s">
        <v>454</v>
      </c>
      <c r="H1241" t="s">
        <v>40</v>
      </c>
      <c r="I1241">
        <v>91010</v>
      </c>
    </row>
    <row r="1242" spans="1:9" x14ac:dyDescent="0.3">
      <c r="A1242">
        <v>1241</v>
      </c>
      <c r="B1242" t="s">
        <v>3502</v>
      </c>
      <c r="C1242" t="s">
        <v>4624</v>
      </c>
      <c r="D1242" t="s">
        <v>5611</v>
      </c>
      <c r="E1242" t="s">
        <v>4625</v>
      </c>
      <c r="F1242" t="s">
        <v>4626</v>
      </c>
      <c r="G1242" t="s">
        <v>352</v>
      </c>
      <c r="H1242" t="s">
        <v>34</v>
      </c>
      <c r="I1242">
        <v>13440</v>
      </c>
    </row>
    <row r="1243" spans="1:9" x14ac:dyDescent="0.3">
      <c r="A1243">
        <v>1242</v>
      </c>
      <c r="B1243" t="s">
        <v>4627</v>
      </c>
      <c r="C1243" t="s">
        <v>4628</v>
      </c>
      <c r="D1243" t="s">
        <v>5611</v>
      </c>
      <c r="E1243" t="s">
        <v>4629</v>
      </c>
      <c r="F1243" t="s">
        <v>4630</v>
      </c>
      <c r="G1243" t="s">
        <v>468</v>
      </c>
      <c r="H1243" t="s">
        <v>34</v>
      </c>
      <c r="I1243">
        <v>11010</v>
      </c>
    </row>
    <row r="1244" spans="1:9" x14ac:dyDescent="0.3">
      <c r="A1244">
        <v>1243</v>
      </c>
      <c r="B1244" t="s">
        <v>4631</v>
      </c>
      <c r="C1244" t="s">
        <v>1496</v>
      </c>
      <c r="D1244" t="s">
        <v>5611</v>
      </c>
      <c r="E1244" t="s">
        <v>4632</v>
      </c>
      <c r="F1244" t="s">
        <v>4633</v>
      </c>
      <c r="G1244" t="s">
        <v>552</v>
      </c>
      <c r="H1244" t="s">
        <v>34</v>
      </c>
      <c r="I1244">
        <v>11001</v>
      </c>
    </row>
    <row r="1245" spans="1:9" x14ac:dyDescent="0.3">
      <c r="A1245">
        <v>1244</v>
      </c>
      <c r="B1245" t="s">
        <v>4634</v>
      </c>
      <c r="C1245" t="s">
        <v>122</v>
      </c>
      <c r="D1245" t="s">
        <v>5611</v>
      </c>
      <c r="E1245" t="s">
        <v>4635</v>
      </c>
      <c r="F1245" t="s">
        <v>4636</v>
      </c>
      <c r="G1245" t="s">
        <v>1750</v>
      </c>
      <c r="H1245" t="s">
        <v>34</v>
      </c>
      <c r="I1245">
        <v>14043</v>
      </c>
    </row>
    <row r="1246" spans="1:9" x14ac:dyDescent="0.3">
      <c r="A1246">
        <v>1245</v>
      </c>
      <c r="B1246" t="s">
        <v>4637</v>
      </c>
      <c r="C1246" t="s">
        <v>3806</v>
      </c>
      <c r="D1246" t="s">
        <v>4638</v>
      </c>
      <c r="E1246" t="s">
        <v>4639</v>
      </c>
      <c r="F1246" t="s">
        <v>4640</v>
      </c>
      <c r="G1246" t="s">
        <v>165</v>
      </c>
      <c r="H1246" t="s">
        <v>34</v>
      </c>
      <c r="I1246">
        <v>11561</v>
      </c>
    </row>
    <row r="1247" spans="1:9" x14ac:dyDescent="0.3">
      <c r="A1247">
        <v>1246</v>
      </c>
      <c r="B1247" t="s">
        <v>3895</v>
      </c>
      <c r="C1247" t="s">
        <v>1089</v>
      </c>
      <c r="D1247" t="s">
        <v>5611</v>
      </c>
      <c r="E1247" t="s">
        <v>4641</v>
      </c>
      <c r="F1247" t="s">
        <v>4642</v>
      </c>
      <c r="G1247" t="s">
        <v>1246</v>
      </c>
      <c r="H1247" t="s">
        <v>34</v>
      </c>
      <c r="I1247">
        <v>12401</v>
      </c>
    </row>
    <row r="1248" spans="1:9" x14ac:dyDescent="0.3">
      <c r="A1248">
        <v>1247</v>
      </c>
      <c r="B1248" t="s">
        <v>4643</v>
      </c>
      <c r="C1248" t="s">
        <v>1959</v>
      </c>
      <c r="D1248" t="s">
        <v>5611</v>
      </c>
      <c r="E1248" t="s">
        <v>4644</v>
      </c>
      <c r="F1248" t="s">
        <v>4645</v>
      </c>
      <c r="G1248" t="s">
        <v>682</v>
      </c>
      <c r="H1248" t="s">
        <v>34</v>
      </c>
      <c r="I1248">
        <v>11758</v>
      </c>
    </row>
    <row r="1249" spans="1:9" x14ac:dyDescent="0.3">
      <c r="A1249">
        <v>1248</v>
      </c>
      <c r="B1249" t="s">
        <v>4646</v>
      </c>
      <c r="C1249" t="s">
        <v>4647</v>
      </c>
      <c r="D1249" t="s">
        <v>5611</v>
      </c>
      <c r="E1249" t="s">
        <v>4648</v>
      </c>
      <c r="F1249" t="s">
        <v>4649</v>
      </c>
      <c r="G1249" t="s">
        <v>403</v>
      </c>
      <c r="H1249" t="s">
        <v>34</v>
      </c>
      <c r="I1249">
        <v>11776</v>
      </c>
    </row>
    <row r="1250" spans="1:9" x14ac:dyDescent="0.3">
      <c r="A1250">
        <v>1249</v>
      </c>
      <c r="B1250" t="s">
        <v>4650</v>
      </c>
      <c r="C1250" t="s">
        <v>2483</v>
      </c>
      <c r="D1250" t="s">
        <v>5611</v>
      </c>
      <c r="E1250" t="s">
        <v>4651</v>
      </c>
      <c r="F1250" t="s">
        <v>4652</v>
      </c>
      <c r="G1250" t="s">
        <v>989</v>
      </c>
      <c r="H1250" t="s">
        <v>40</v>
      </c>
      <c r="I1250">
        <v>93555</v>
      </c>
    </row>
    <row r="1251" spans="1:9" x14ac:dyDescent="0.3">
      <c r="A1251">
        <v>1250</v>
      </c>
      <c r="B1251" t="s">
        <v>4653</v>
      </c>
      <c r="C1251" t="s">
        <v>4654</v>
      </c>
      <c r="D1251" t="s">
        <v>5611</v>
      </c>
      <c r="E1251" t="s">
        <v>4655</v>
      </c>
      <c r="F1251" t="s">
        <v>4656</v>
      </c>
      <c r="G1251" t="s">
        <v>1524</v>
      </c>
      <c r="H1251" t="s">
        <v>34</v>
      </c>
      <c r="I1251">
        <v>10550</v>
      </c>
    </row>
    <row r="1252" spans="1:9" x14ac:dyDescent="0.3">
      <c r="A1252">
        <v>1251</v>
      </c>
      <c r="B1252" t="s">
        <v>4657</v>
      </c>
      <c r="C1252" t="s">
        <v>1643</v>
      </c>
      <c r="D1252" t="s">
        <v>5611</v>
      </c>
      <c r="E1252" t="s">
        <v>4658</v>
      </c>
      <c r="F1252" t="s">
        <v>4659</v>
      </c>
      <c r="G1252" t="s">
        <v>296</v>
      </c>
      <c r="H1252" t="s">
        <v>40</v>
      </c>
      <c r="I1252">
        <v>91740</v>
      </c>
    </row>
    <row r="1253" spans="1:9" x14ac:dyDescent="0.3">
      <c r="A1253">
        <v>1252</v>
      </c>
      <c r="B1253" t="s">
        <v>2405</v>
      </c>
      <c r="C1253" t="s">
        <v>1534</v>
      </c>
      <c r="D1253" t="s">
        <v>5611</v>
      </c>
      <c r="E1253" t="s">
        <v>4660</v>
      </c>
      <c r="F1253" t="s">
        <v>4661</v>
      </c>
      <c r="G1253" t="s">
        <v>750</v>
      </c>
      <c r="H1253" t="s">
        <v>34</v>
      </c>
      <c r="I1253">
        <v>11803</v>
      </c>
    </row>
    <row r="1254" spans="1:9" x14ac:dyDescent="0.3">
      <c r="A1254">
        <v>1253</v>
      </c>
      <c r="B1254" t="s">
        <v>4662</v>
      </c>
      <c r="C1254" t="s">
        <v>1530</v>
      </c>
      <c r="D1254" t="s">
        <v>5611</v>
      </c>
      <c r="E1254" t="s">
        <v>4663</v>
      </c>
      <c r="F1254" t="s">
        <v>4664</v>
      </c>
      <c r="G1254" t="s">
        <v>4357</v>
      </c>
      <c r="H1254" t="s">
        <v>34</v>
      </c>
      <c r="I1254">
        <v>11691</v>
      </c>
    </row>
    <row r="1255" spans="1:9" x14ac:dyDescent="0.3">
      <c r="A1255">
        <v>1254</v>
      </c>
      <c r="B1255" t="s">
        <v>4282</v>
      </c>
      <c r="C1255" t="s">
        <v>4339</v>
      </c>
      <c r="D1255" t="s">
        <v>5611</v>
      </c>
      <c r="E1255" t="s">
        <v>4665</v>
      </c>
      <c r="F1255" t="s">
        <v>4666</v>
      </c>
      <c r="G1255" t="s">
        <v>1122</v>
      </c>
      <c r="H1255" t="s">
        <v>40</v>
      </c>
      <c r="I1255">
        <v>91387</v>
      </c>
    </row>
    <row r="1256" spans="1:9" x14ac:dyDescent="0.3">
      <c r="A1256">
        <v>1255</v>
      </c>
      <c r="B1256" t="s">
        <v>4667</v>
      </c>
      <c r="C1256" t="s">
        <v>627</v>
      </c>
      <c r="D1256" t="s">
        <v>5611</v>
      </c>
      <c r="E1256" t="s">
        <v>4668</v>
      </c>
      <c r="F1256" t="s">
        <v>4669</v>
      </c>
      <c r="G1256" t="s">
        <v>1616</v>
      </c>
      <c r="H1256" t="s">
        <v>34</v>
      </c>
      <c r="I1256">
        <v>14850</v>
      </c>
    </row>
    <row r="1257" spans="1:9" x14ac:dyDescent="0.3">
      <c r="A1257">
        <v>1256</v>
      </c>
      <c r="B1257" t="s">
        <v>4670</v>
      </c>
      <c r="C1257" t="s">
        <v>1399</v>
      </c>
      <c r="D1257" t="s">
        <v>5611</v>
      </c>
      <c r="E1257" t="s">
        <v>4671</v>
      </c>
      <c r="F1257" t="s">
        <v>4672</v>
      </c>
      <c r="G1257" t="s">
        <v>1272</v>
      </c>
      <c r="H1257" t="s">
        <v>34</v>
      </c>
      <c r="I1257">
        <v>11779</v>
      </c>
    </row>
    <row r="1258" spans="1:9" x14ac:dyDescent="0.3">
      <c r="A1258">
        <v>1257</v>
      </c>
      <c r="B1258" t="s">
        <v>4673</v>
      </c>
      <c r="C1258" t="s">
        <v>4674</v>
      </c>
      <c r="D1258" t="s">
        <v>5611</v>
      </c>
      <c r="E1258" t="s">
        <v>4675</v>
      </c>
      <c r="F1258" t="s">
        <v>4676</v>
      </c>
      <c r="G1258" t="s">
        <v>883</v>
      </c>
      <c r="H1258" t="s">
        <v>34</v>
      </c>
      <c r="I1258">
        <v>14580</v>
      </c>
    </row>
    <row r="1259" spans="1:9" x14ac:dyDescent="0.3">
      <c r="A1259">
        <v>1258</v>
      </c>
      <c r="B1259" t="s">
        <v>36</v>
      </c>
      <c r="C1259" t="s">
        <v>4677</v>
      </c>
      <c r="D1259" t="s">
        <v>5611</v>
      </c>
      <c r="E1259" t="s">
        <v>4678</v>
      </c>
      <c r="F1259" t="s">
        <v>4679</v>
      </c>
      <c r="G1259" t="s">
        <v>764</v>
      </c>
      <c r="H1259" t="s">
        <v>34</v>
      </c>
      <c r="I1259">
        <v>11706</v>
      </c>
    </row>
    <row r="1260" spans="1:9" x14ac:dyDescent="0.3">
      <c r="A1260">
        <v>1259</v>
      </c>
      <c r="B1260" t="s">
        <v>4680</v>
      </c>
      <c r="C1260" t="s">
        <v>1873</v>
      </c>
      <c r="D1260" t="s">
        <v>5611</v>
      </c>
      <c r="E1260" t="s">
        <v>4681</v>
      </c>
      <c r="F1260" t="s">
        <v>4682</v>
      </c>
      <c r="G1260" t="s">
        <v>328</v>
      </c>
      <c r="H1260" t="s">
        <v>40</v>
      </c>
      <c r="I1260">
        <v>94070</v>
      </c>
    </row>
    <row r="1261" spans="1:9" x14ac:dyDescent="0.3">
      <c r="A1261">
        <v>1260</v>
      </c>
      <c r="B1261" t="s">
        <v>4683</v>
      </c>
      <c r="C1261" t="s">
        <v>4684</v>
      </c>
      <c r="D1261" t="s">
        <v>5611</v>
      </c>
      <c r="E1261" t="s">
        <v>4685</v>
      </c>
      <c r="F1261" t="s">
        <v>4686</v>
      </c>
      <c r="G1261" t="s">
        <v>1453</v>
      </c>
      <c r="H1261" t="s">
        <v>34</v>
      </c>
      <c r="I1261">
        <v>12302</v>
      </c>
    </row>
    <row r="1262" spans="1:9" x14ac:dyDescent="0.3">
      <c r="A1262">
        <v>1261</v>
      </c>
      <c r="B1262" t="s">
        <v>4687</v>
      </c>
      <c r="C1262" t="s">
        <v>3069</v>
      </c>
      <c r="D1262" t="s">
        <v>5611</v>
      </c>
      <c r="E1262" t="s">
        <v>4688</v>
      </c>
      <c r="F1262" t="s">
        <v>4689</v>
      </c>
      <c r="G1262" t="s">
        <v>1140</v>
      </c>
      <c r="H1262" t="s">
        <v>40</v>
      </c>
      <c r="I1262">
        <v>94806</v>
      </c>
    </row>
    <row r="1263" spans="1:9" x14ac:dyDescent="0.3">
      <c r="A1263">
        <v>1262</v>
      </c>
      <c r="B1263" t="s">
        <v>4690</v>
      </c>
      <c r="C1263" t="s">
        <v>63</v>
      </c>
      <c r="D1263" t="s">
        <v>5611</v>
      </c>
      <c r="E1263" t="s">
        <v>4691</v>
      </c>
      <c r="F1263" t="s">
        <v>4692</v>
      </c>
      <c r="G1263" t="s">
        <v>1140</v>
      </c>
      <c r="H1263" t="s">
        <v>40</v>
      </c>
      <c r="I1263">
        <v>94806</v>
      </c>
    </row>
    <row r="1264" spans="1:9" x14ac:dyDescent="0.3">
      <c r="A1264">
        <v>1263</v>
      </c>
      <c r="B1264" t="s">
        <v>4693</v>
      </c>
      <c r="C1264" t="s">
        <v>4694</v>
      </c>
      <c r="D1264" t="s">
        <v>5611</v>
      </c>
      <c r="E1264" t="s">
        <v>4695</v>
      </c>
      <c r="F1264" t="s">
        <v>4696</v>
      </c>
      <c r="G1264" t="s">
        <v>2511</v>
      </c>
      <c r="H1264" t="s">
        <v>34</v>
      </c>
      <c r="I1264">
        <v>11040</v>
      </c>
    </row>
    <row r="1265" spans="1:9" x14ac:dyDescent="0.3">
      <c r="A1265">
        <v>1264</v>
      </c>
      <c r="B1265" t="s">
        <v>2910</v>
      </c>
      <c r="C1265" t="s">
        <v>1196</v>
      </c>
      <c r="D1265" t="s">
        <v>4697</v>
      </c>
      <c r="E1265" t="s">
        <v>4698</v>
      </c>
      <c r="F1265" t="s">
        <v>4699</v>
      </c>
      <c r="G1265" t="s">
        <v>1078</v>
      </c>
      <c r="H1265" t="s">
        <v>34</v>
      </c>
      <c r="I1265">
        <v>11717</v>
      </c>
    </row>
    <row r="1266" spans="1:9" x14ac:dyDescent="0.3">
      <c r="A1266">
        <v>1265</v>
      </c>
      <c r="B1266" t="s">
        <v>4700</v>
      </c>
      <c r="C1266" t="s">
        <v>1821</v>
      </c>
      <c r="D1266" t="s">
        <v>5611</v>
      </c>
      <c r="E1266" t="s">
        <v>4701</v>
      </c>
      <c r="F1266" t="s">
        <v>4702</v>
      </c>
      <c r="G1266" t="s">
        <v>2909</v>
      </c>
      <c r="H1266" t="s">
        <v>34</v>
      </c>
      <c r="I1266">
        <v>13760</v>
      </c>
    </row>
    <row r="1267" spans="1:9" x14ac:dyDescent="0.3">
      <c r="A1267">
        <v>1266</v>
      </c>
      <c r="B1267" t="s">
        <v>4703</v>
      </c>
      <c r="C1267" t="s">
        <v>4704</v>
      </c>
      <c r="D1267" t="s">
        <v>5611</v>
      </c>
      <c r="E1267" t="s">
        <v>4705</v>
      </c>
      <c r="F1267" t="s">
        <v>4706</v>
      </c>
      <c r="G1267" t="s">
        <v>357</v>
      </c>
      <c r="H1267" t="s">
        <v>99</v>
      </c>
      <c r="I1267">
        <v>75043</v>
      </c>
    </row>
    <row r="1268" spans="1:9" x14ac:dyDescent="0.3">
      <c r="A1268">
        <v>1267</v>
      </c>
      <c r="B1268" t="s">
        <v>1917</v>
      </c>
      <c r="C1268" t="s">
        <v>1169</v>
      </c>
      <c r="D1268" t="s">
        <v>5611</v>
      </c>
      <c r="E1268" t="s">
        <v>4707</v>
      </c>
      <c r="F1268" t="s">
        <v>4708</v>
      </c>
      <c r="G1268" t="s">
        <v>1272</v>
      </c>
      <c r="H1268" t="s">
        <v>34</v>
      </c>
      <c r="I1268">
        <v>11779</v>
      </c>
    </row>
    <row r="1269" spans="1:9" x14ac:dyDescent="0.3">
      <c r="A1269">
        <v>1268</v>
      </c>
      <c r="B1269" t="s">
        <v>4709</v>
      </c>
      <c r="C1269" t="s">
        <v>3049</v>
      </c>
      <c r="D1269" t="s">
        <v>5611</v>
      </c>
      <c r="E1269" t="s">
        <v>4710</v>
      </c>
      <c r="F1269" t="s">
        <v>4711</v>
      </c>
      <c r="G1269" t="s">
        <v>1246</v>
      </c>
      <c r="H1269" t="s">
        <v>34</v>
      </c>
      <c r="I1269">
        <v>12401</v>
      </c>
    </row>
    <row r="1270" spans="1:9" x14ac:dyDescent="0.3">
      <c r="A1270">
        <v>1269</v>
      </c>
      <c r="B1270" t="s">
        <v>4712</v>
      </c>
      <c r="C1270" t="s">
        <v>396</v>
      </c>
      <c r="D1270" t="s">
        <v>5611</v>
      </c>
      <c r="E1270" t="s">
        <v>4713</v>
      </c>
      <c r="F1270" t="s">
        <v>4714</v>
      </c>
      <c r="G1270" t="s">
        <v>77</v>
      </c>
      <c r="H1270" t="s">
        <v>34</v>
      </c>
      <c r="I1270">
        <v>11050</v>
      </c>
    </row>
    <row r="1271" spans="1:9" x14ac:dyDescent="0.3">
      <c r="A1271">
        <v>1270</v>
      </c>
      <c r="B1271" t="s">
        <v>3719</v>
      </c>
      <c r="C1271" t="s">
        <v>4163</v>
      </c>
      <c r="D1271" t="s">
        <v>5611</v>
      </c>
      <c r="E1271" t="s">
        <v>4715</v>
      </c>
      <c r="F1271" t="s">
        <v>4716</v>
      </c>
      <c r="G1271" t="s">
        <v>33</v>
      </c>
      <c r="H1271" t="s">
        <v>34</v>
      </c>
      <c r="I1271">
        <v>14127</v>
      </c>
    </row>
    <row r="1272" spans="1:9" x14ac:dyDescent="0.3">
      <c r="A1272">
        <v>1271</v>
      </c>
      <c r="B1272" t="s">
        <v>3563</v>
      </c>
      <c r="C1272" t="s">
        <v>2872</v>
      </c>
      <c r="D1272" t="s">
        <v>5611</v>
      </c>
      <c r="E1272" t="s">
        <v>4717</v>
      </c>
      <c r="F1272" t="s">
        <v>4718</v>
      </c>
      <c r="G1272" t="s">
        <v>1595</v>
      </c>
      <c r="H1272" t="s">
        <v>40</v>
      </c>
      <c r="I1272">
        <v>91768</v>
      </c>
    </row>
    <row r="1273" spans="1:9" x14ac:dyDescent="0.3">
      <c r="A1273">
        <v>1272</v>
      </c>
      <c r="B1273" t="s">
        <v>251</v>
      </c>
      <c r="C1273" t="s">
        <v>4719</v>
      </c>
      <c r="D1273" t="s">
        <v>5611</v>
      </c>
      <c r="E1273" t="s">
        <v>4720</v>
      </c>
      <c r="F1273" t="s">
        <v>4721</v>
      </c>
      <c r="G1273" t="s">
        <v>195</v>
      </c>
      <c r="H1273" t="s">
        <v>40</v>
      </c>
      <c r="I1273">
        <v>92831</v>
      </c>
    </row>
    <row r="1274" spans="1:9" x14ac:dyDescent="0.3">
      <c r="A1274">
        <v>1273</v>
      </c>
      <c r="B1274" t="s">
        <v>4722</v>
      </c>
      <c r="C1274" t="s">
        <v>4723</v>
      </c>
      <c r="D1274" t="s">
        <v>5611</v>
      </c>
      <c r="E1274" t="s">
        <v>4724</v>
      </c>
      <c r="F1274" t="s">
        <v>4725</v>
      </c>
      <c r="G1274" t="s">
        <v>449</v>
      </c>
      <c r="H1274" t="s">
        <v>34</v>
      </c>
      <c r="I1274">
        <v>13126</v>
      </c>
    </row>
    <row r="1275" spans="1:9" x14ac:dyDescent="0.3">
      <c r="A1275">
        <v>1274</v>
      </c>
      <c r="B1275" t="s">
        <v>4726</v>
      </c>
      <c r="C1275" t="s">
        <v>1056</v>
      </c>
      <c r="D1275" t="s">
        <v>5611</v>
      </c>
      <c r="E1275" t="s">
        <v>4727</v>
      </c>
      <c r="F1275" t="s">
        <v>4728</v>
      </c>
      <c r="G1275" t="s">
        <v>634</v>
      </c>
      <c r="H1275" t="s">
        <v>34</v>
      </c>
      <c r="I1275">
        <v>12550</v>
      </c>
    </row>
    <row r="1276" spans="1:9" x14ac:dyDescent="0.3">
      <c r="A1276">
        <v>1275</v>
      </c>
      <c r="B1276" t="s">
        <v>4729</v>
      </c>
      <c r="C1276" t="s">
        <v>423</v>
      </c>
      <c r="D1276" t="s">
        <v>5611</v>
      </c>
      <c r="E1276" t="s">
        <v>4730</v>
      </c>
      <c r="F1276" t="s">
        <v>4731</v>
      </c>
      <c r="G1276" t="s">
        <v>1714</v>
      </c>
      <c r="H1276" t="s">
        <v>40</v>
      </c>
      <c r="I1276">
        <v>93635</v>
      </c>
    </row>
    <row r="1277" spans="1:9" x14ac:dyDescent="0.3">
      <c r="A1277">
        <v>1276</v>
      </c>
      <c r="B1277" t="s">
        <v>4732</v>
      </c>
      <c r="C1277" t="s">
        <v>1350</v>
      </c>
      <c r="D1277" t="s">
        <v>5611</v>
      </c>
      <c r="E1277" t="s">
        <v>4733</v>
      </c>
      <c r="F1277" t="s">
        <v>4734</v>
      </c>
      <c r="G1277" t="s">
        <v>896</v>
      </c>
      <c r="H1277" t="s">
        <v>40</v>
      </c>
      <c r="I1277">
        <v>92307</v>
      </c>
    </row>
    <row r="1278" spans="1:9" x14ac:dyDescent="0.3">
      <c r="A1278">
        <v>1277</v>
      </c>
      <c r="B1278" t="s">
        <v>4735</v>
      </c>
      <c r="C1278" t="s">
        <v>657</v>
      </c>
      <c r="D1278" t="s">
        <v>5611</v>
      </c>
      <c r="E1278" t="s">
        <v>4736</v>
      </c>
      <c r="F1278" t="s">
        <v>4737</v>
      </c>
      <c r="G1278" t="s">
        <v>665</v>
      </c>
      <c r="H1278" t="s">
        <v>34</v>
      </c>
      <c r="I1278">
        <v>11727</v>
      </c>
    </row>
    <row r="1279" spans="1:9" x14ac:dyDescent="0.3">
      <c r="A1279">
        <v>1278</v>
      </c>
      <c r="B1279" t="s">
        <v>4738</v>
      </c>
      <c r="C1279" t="s">
        <v>1427</v>
      </c>
      <c r="D1279" t="s">
        <v>5611</v>
      </c>
      <c r="E1279" t="s">
        <v>4739</v>
      </c>
      <c r="F1279" t="s">
        <v>4740</v>
      </c>
      <c r="G1279" t="s">
        <v>72</v>
      </c>
      <c r="H1279" t="s">
        <v>34</v>
      </c>
      <c r="I1279">
        <v>11372</v>
      </c>
    </row>
    <row r="1280" spans="1:9" x14ac:dyDescent="0.3">
      <c r="A1280">
        <v>1279</v>
      </c>
      <c r="B1280" t="s">
        <v>4741</v>
      </c>
      <c r="C1280" t="s">
        <v>1832</v>
      </c>
      <c r="D1280" t="s">
        <v>5611</v>
      </c>
      <c r="E1280" t="s">
        <v>4742</v>
      </c>
      <c r="F1280" t="s">
        <v>4743</v>
      </c>
      <c r="G1280" t="s">
        <v>125</v>
      </c>
      <c r="H1280" t="s">
        <v>34</v>
      </c>
      <c r="I1280">
        <v>14424</v>
      </c>
    </row>
    <row r="1281" spans="1:9" x14ac:dyDescent="0.3">
      <c r="A1281">
        <v>1280</v>
      </c>
      <c r="B1281" t="s">
        <v>4744</v>
      </c>
      <c r="C1281" t="s">
        <v>2576</v>
      </c>
      <c r="D1281" t="s">
        <v>5611</v>
      </c>
      <c r="E1281" t="s">
        <v>4745</v>
      </c>
      <c r="F1281" t="s">
        <v>4746</v>
      </c>
      <c r="G1281" t="s">
        <v>1646</v>
      </c>
      <c r="H1281" t="s">
        <v>34</v>
      </c>
      <c r="I1281">
        <v>12590</v>
      </c>
    </row>
    <row r="1282" spans="1:9" x14ac:dyDescent="0.3">
      <c r="A1282">
        <v>1281</v>
      </c>
      <c r="B1282" t="s">
        <v>4747</v>
      </c>
      <c r="C1282" t="s">
        <v>839</v>
      </c>
      <c r="D1282" t="s">
        <v>5611</v>
      </c>
      <c r="E1282" t="s">
        <v>4748</v>
      </c>
      <c r="F1282" t="s">
        <v>4749</v>
      </c>
      <c r="G1282" t="s">
        <v>802</v>
      </c>
      <c r="H1282" t="s">
        <v>34</v>
      </c>
      <c r="I1282">
        <v>11377</v>
      </c>
    </row>
    <row r="1283" spans="1:9" x14ac:dyDescent="0.3">
      <c r="A1283">
        <v>1282</v>
      </c>
      <c r="B1283" t="s">
        <v>4750</v>
      </c>
      <c r="C1283" t="s">
        <v>1482</v>
      </c>
      <c r="D1283" t="s">
        <v>4751</v>
      </c>
      <c r="E1283" t="s">
        <v>4752</v>
      </c>
      <c r="F1283" t="s">
        <v>4753</v>
      </c>
      <c r="G1283" t="s">
        <v>2235</v>
      </c>
      <c r="H1283" t="s">
        <v>34</v>
      </c>
      <c r="I1283">
        <v>10956</v>
      </c>
    </row>
    <row r="1284" spans="1:9" x14ac:dyDescent="0.3">
      <c r="A1284">
        <v>1283</v>
      </c>
      <c r="B1284" t="s">
        <v>4754</v>
      </c>
      <c r="C1284" t="s">
        <v>1325</v>
      </c>
      <c r="D1284" t="s">
        <v>5611</v>
      </c>
      <c r="E1284" t="s">
        <v>4755</v>
      </c>
      <c r="F1284" t="s">
        <v>4756</v>
      </c>
      <c r="G1284" t="s">
        <v>1264</v>
      </c>
      <c r="H1284" t="s">
        <v>34</v>
      </c>
      <c r="I1284">
        <v>12533</v>
      </c>
    </row>
    <row r="1285" spans="1:9" x14ac:dyDescent="0.3">
      <c r="A1285">
        <v>1284</v>
      </c>
      <c r="B1285" t="s">
        <v>4757</v>
      </c>
      <c r="C1285" t="s">
        <v>2885</v>
      </c>
      <c r="D1285" t="s">
        <v>5611</v>
      </c>
      <c r="E1285" t="s">
        <v>4758</v>
      </c>
      <c r="F1285" t="s">
        <v>4759</v>
      </c>
      <c r="G1285" t="s">
        <v>981</v>
      </c>
      <c r="H1285" t="s">
        <v>34</v>
      </c>
      <c r="I1285">
        <v>11201</v>
      </c>
    </row>
    <row r="1286" spans="1:9" x14ac:dyDescent="0.3">
      <c r="A1286">
        <v>1285</v>
      </c>
      <c r="B1286" t="s">
        <v>4760</v>
      </c>
      <c r="C1286" t="s">
        <v>4100</v>
      </c>
      <c r="D1286" t="s">
        <v>5611</v>
      </c>
      <c r="E1286" t="s">
        <v>4761</v>
      </c>
      <c r="F1286" t="s">
        <v>4762</v>
      </c>
      <c r="G1286" t="s">
        <v>296</v>
      </c>
      <c r="H1286" t="s">
        <v>40</v>
      </c>
      <c r="I1286">
        <v>91740</v>
      </c>
    </row>
    <row r="1287" spans="1:9" x14ac:dyDescent="0.3">
      <c r="A1287">
        <v>1286</v>
      </c>
      <c r="B1287" t="s">
        <v>4763</v>
      </c>
      <c r="C1287" t="s">
        <v>906</v>
      </c>
      <c r="D1287" t="s">
        <v>5611</v>
      </c>
      <c r="E1287" t="s">
        <v>4764</v>
      </c>
      <c r="F1287" t="s">
        <v>4765</v>
      </c>
      <c r="G1287" t="s">
        <v>1199</v>
      </c>
      <c r="H1287" t="s">
        <v>40</v>
      </c>
      <c r="I1287">
        <v>94566</v>
      </c>
    </row>
    <row r="1288" spans="1:9" x14ac:dyDescent="0.3">
      <c r="A1288">
        <v>1287</v>
      </c>
      <c r="B1288" t="s">
        <v>4766</v>
      </c>
      <c r="C1288" t="s">
        <v>973</v>
      </c>
      <c r="D1288" t="s">
        <v>5611</v>
      </c>
      <c r="E1288" t="s">
        <v>4767</v>
      </c>
      <c r="F1288" t="s">
        <v>4768</v>
      </c>
      <c r="G1288" t="s">
        <v>224</v>
      </c>
      <c r="H1288" t="s">
        <v>34</v>
      </c>
      <c r="I1288">
        <v>11102</v>
      </c>
    </row>
    <row r="1289" spans="1:9" x14ac:dyDescent="0.3">
      <c r="A1289">
        <v>1288</v>
      </c>
      <c r="B1289" t="s">
        <v>4769</v>
      </c>
      <c r="C1289" t="s">
        <v>2999</v>
      </c>
      <c r="D1289" t="s">
        <v>5611</v>
      </c>
      <c r="E1289" t="s">
        <v>4770</v>
      </c>
      <c r="F1289" t="s">
        <v>4771</v>
      </c>
      <c r="G1289" t="s">
        <v>1060</v>
      </c>
      <c r="H1289" t="s">
        <v>40</v>
      </c>
      <c r="I1289">
        <v>90260</v>
      </c>
    </row>
    <row r="1290" spans="1:9" x14ac:dyDescent="0.3">
      <c r="A1290">
        <v>1289</v>
      </c>
      <c r="B1290" t="s">
        <v>4772</v>
      </c>
      <c r="C1290" t="s">
        <v>1399</v>
      </c>
      <c r="D1290" t="s">
        <v>5611</v>
      </c>
      <c r="E1290" t="s">
        <v>4773</v>
      </c>
      <c r="F1290" t="s">
        <v>4774</v>
      </c>
      <c r="G1290" t="s">
        <v>261</v>
      </c>
      <c r="H1290" t="s">
        <v>34</v>
      </c>
      <c r="I1290">
        <v>11714</v>
      </c>
    </row>
    <row r="1291" spans="1:9" x14ac:dyDescent="0.3">
      <c r="A1291">
        <v>1290</v>
      </c>
      <c r="B1291" t="s">
        <v>4775</v>
      </c>
      <c r="C1291" t="s">
        <v>1914</v>
      </c>
      <c r="D1291" t="s">
        <v>5611</v>
      </c>
      <c r="E1291" t="s">
        <v>4776</v>
      </c>
      <c r="F1291" t="s">
        <v>4777</v>
      </c>
      <c r="G1291" t="s">
        <v>2167</v>
      </c>
      <c r="H1291" t="s">
        <v>34</v>
      </c>
      <c r="I1291">
        <v>11419</v>
      </c>
    </row>
    <row r="1292" spans="1:9" x14ac:dyDescent="0.3">
      <c r="A1292">
        <v>1291</v>
      </c>
      <c r="B1292" t="s">
        <v>3856</v>
      </c>
      <c r="C1292" t="s">
        <v>531</v>
      </c>
      <c r="D1292" t="s">
        <v>5611</v>
      </c>
      <c r="E1292" t="s">
        <v>4778</v>
      </c>
      <c r="F1292" t="s">
        <v>4779</v>
      </c>
      <c r="G1292" t="s">
        <v>87</v>
      </c>
      <c r="H1292" t="s">
        <v>34</v>
      </c>
      <c r="I1292">
        <v>10952</v>
      </c>
    </row>
    <row r="1293" spans="1:9" x14ac:dyDescent="0.3">
      <c r="A1293">
        <v>1292</v>
      </c>
      <c r="B1293" t="s">
        <v>4780</v>
      </c>
      <c r="C1293" t="s">
        <v>1984</v>
      </c>
      <c r="D1293" t="s">
        <v>5611</v>
      </c>
      <c r="E1293" t="s">
        <v>4781</v>
      </c>
      <c r="F1293" t="s">
        <v>4782</v>
      </c>
      <c r="G1293" t="s">
        <v>270</v>
      </c>
      <c r="H1293" t="s">
        <v>40</v>
      </c>
      <c r="I1293">
        <v>94580</v>
      </c>
    </row>
    <row r="1294" spans="1:9" x14ac:dyDescent="0.3">
      <c r="A1294">
        <v>1293</v>
      </c>
      <c r="B1294" t="s">
        <v>4783</v>
      </c>
      <c r="C1294" t="s">
        <v>2189</v>
      </c>
      <c r="D1294" t="s">
        <v>5611</v>
      </c>
      <c r="E1294" t="s">
        <v>4784</v>
      </c>
      <c r="F1294" t="s">
        <v>4785</v>
      </c>
      <c r="G1294" t="s">
        <v>552</v>
      </c>
      <c r="H1294" t="s">
        <v>34</v>
      </c>
      <c r="I1294">
        <v>11001</v>
      </c>
    </row>
    <row r="1295" spans="1:9" x14ac:dyDescent="0.3">
      <c r="A1295">
        <v>1294</v>
      </c>
      <c r="B1295" t="s">
        <v>4786</v>
      </c>
      <c r="C1295" t="s">
        <v>689</v>
      </c>
      <c r="D1295" t="s">
        <v>5611</v>
      </c>
      <c r="E1295" t="s">
        <v>4787</v>
      </c>
      <c r="F1295" t="s">
        <v>4788</v>
      </c>
      <c r="G1295" t="s">
        <v>2286</v>
      </c>
      <c r="H1295" t="s">
        <v>40</v>
      </c>
      <c r="I1295">
        <v>91762</v>
      </c>
    </row>
    <row r="1296" spans="1:9" x14ac:dyDescent="0.3">
      <c r="A1296">
        <v>1295</v>
      </c>
      <c r="B1296" t="s">
        <v>4789</v>
      </c>
      <c r="C1296" t="s">
        <v>4790</v>
      </c>
      <c r="D1296" t="s">
        <v>5611</v>
      </c>
      <c r="E1296" t="s">
        <v>4791</v>
      </c>
      <c r="F1296" t="s">
        <v>4792</v>
      </c>
      <c r="G1296" t="s">
        <v>394</v>
      </c>
      <c r="H1296" t="s">
        <v>34</v>
      </c>
      <c r="I1296">
        <v>14120</v>
      </c>
    </row>
    <row r="1297" spans="1:9" x14ac:dyDescent="0.3">
      <c r="A1297">
        <v>1296</v>
      </c>
      <c r="B1297" t="s">
        <v>2106</v>
      </c>
      <c r="C1297" t="s">
        <v>4793</v>
      </c>
      <c r="D1297" t="s">
        <v>5611</v>
      </c>
      <c r="E1297" t="s">
        <v>4794</v>
      </c>
      <c r="F1297" t="s">
        <v>4795</v>
      </c>
      <c r="G1297" t="s">
        <v>701</v>
      </c>
      <c r="H1297" t="s">
        <v>34</v>
      </c>
      <c r="I1297">
        <v>11412</v>
      </c>
    </row>
    <row r="1298" spans="1:9" x14ac:dyDescent="0.3">
      <c r="A1298">
        <v>1297</v>
      </c>
      <c r="B1298" t="s">
        <v>4796</v>
      </c>
      <c r="C1298" t="s">
        <v>4797</v>
      </c>
      <c r="D1298" t="s">
        <v>5611</v>
      </c>
      <c r="E1298" t="s">
        <v>4798</v>
      </c>
      <c r="F1298" t="s">
        <v>4799</v>
      </c>
      <c r="G1298" t="s">
        <v>1856</v>
      </c>
      <c r="H1298" t="s">
        <v>34</v>
      </c>
      <c r="I1298">
        <v>10801</v>
      </c>
    </row>
    <row r="1299" spans="1:9" x14ac:dyDescent="0.3">
      <c r="A1299">
        <v>1298</v>
      </c>
      <c r="B1299" t="s">
        <v>4800</v>
      </c>
      <c r="C1299" t="s">
        <v>978</v>
      </c>
      <c r="D1299" t="s">
        <v>5611</v>
      </c>
      <c r="E1299" t="s">
        <v>4801</v>
      </c>
      <c r="F1299" t="s">
        <v>4802</v>
      </c>
      <c r="G1299" t="s">
        <v>1453</v>
      </c>
      <c r="H1299" t="s">
        <v>34</v>
      </c>
      <c r="I1299">
        <v>12302</v>
      </c>
    </row>
    <row r="1300" spans="1:9" x14ac:dyDescent="0.3">
      <c r="A1300">
        <v>1299</v>
      </c>
      <c r="B1300" t="s">
        <v>4803</v>
      </c>
      <c r="C1300" t="s">
        <v>1795</v>
      </c>
      <c r="D1300" t="s">
        <v>5611</v>
      </c>
      <c r="E1300" t="s">
        <v>4804</v>
      </c>
      <c r="F1300" t="s">
        <v>4805</v>
      </c>
      <c r="G1300" t="s">
        <v>2555</v>
      </c>
      <c r="H1300" t="s">
        <v>34</v>
      </c>
      <c r="I1300">
        <v>10598</v>
      </c>
    </row>
    <row r="1301" spans="1:9" x14ac:dyDescent="0.3">
      <c r="A1301">
        <v>1300</v>
      </c>
      <c r="B1301" t="s">
        <v>4806</v>
      </c>
      <c r="C1301" t="s">
        <v>4556</v>
      </c>
      <c r="D1301" t="s">
        <v>5611</v>
      </c>
      <c r="E1301" t="s">
        <v>4807</v>
      </c>
      <c r="F1301" t="s">
        <v>4808</v>
      </c>
      <c r="G1301" t="s">
        <v>2682</v>
      </c>
      <c r="H1301" t="s">
        <v>34</v>
      </c>
      <c r="I1301">
        <v>14701</v>
      </c>
    </row>
    <row r="1302" spans="1:9" x14ac:dyDescent="0.3">
      <c r="A1302">
        <v>1301</v>
      </c>
      <c r="B1302" t="s">
        <v>4809</v>
      </c>
      <c r="C1302" t="s">
        <v>4460</v>
      </c>
      <c r="D1302" t="s">
        <v>5611</v>
      </c>
      <c r="E1302" t="s">
        <v>4810</v>
      </c>
      <c r="F1302" t="s">
        <v>4811</v>
      </c>
      <c r="G1302" t="s">
        <v>1060</v>
      </c>
      <c r="H1302" t="s">
        <v>40</v>
      </c>
      <c r="I1302">
        <v>90260</v>
      </c>
    </row>
    <row r="1303" spans="1:9" x14ac:dyDescent="0.3">
      <c r="A1303">
        <v>1302</v>
      </c>
      <c r="B1303" t="s">
        <v>4812</v>
      </c>
      <c r="C1303" t="s">
        <v>2192</v>
      </c>
      <c r="D1303" t="s">
        <v>5611</v>
      </c>
      <c r="E1303" t="s">
        <v>4813</v>
      </c>
      <c r="F1303" t="s">
        <v>4814</v>
      </c>
      <c r="G1303" t="s">
        <v>144</v>
      </c>
      <c r="H1303" t="s">
        <v>34</v>
      </c>
      <c r="I1303">
        <v>11731</v>
      </c>
    </row>
    <row r="1304" spans="1:9" x14ac:dyDescent="0.3">
      <c r="A1304">
        <v>1303</v>
      </c>
      <c r="B1304" t="s">
        <v>4815</v>
      </c>
      <c r="C1304" t="s">
        <v>4816</v>
      </c>
      <c r="D1304" t="s">
        <v>5611</v>
      </c>
      <c r="E1304" t="s">
        <v>4817</v>
      </c>
      <c r="F1304" t="s">
        <v>4818</v>
      </c>
      <c r="G1304" t="s">
        <v>802</v>
      </c>
      <c r="H1304" t="s">
        <v>34</v>
      </c>
      <c r="I1304">
        <v>11377</v>
      </c>
    </row>
    <row r="1305" spans="1:9" x14ac:dyDescent="0.3">
      <c r="A1305">
        <v>1304</v>
      </c>
      <c r="B1305" t="s">
        <v>4819</v>
      </c>
      <c r="C1305" t="s">
        <v>263</v>
      </c>
      <c r="D1305" t="s">
        <v>5611</v>
      </c>
      <c r="E1305" t="s">
        <v>4820</v>
      </c>
      <c r="F1305" t="s">
        <v>4821</v>
      </c>
      <c r="G1305" t="s">
        <v>149</v>
      </c>
      <c r="H1305" t="s">
        <v>34</v>
      </c>
      <c r="I1305">
        <v>11423</v>
      </c>
    </row>
    <row r="1306" spans="1:9" x14ac:dyDescent="0.3">
      <c r="A1306">
        <v>1305</v>
      </c>
      <c r="B1306" t="s">
        <v>4822</v>
      </c>
      <c r="C1306" t="s">
        <v>374</v>
      </c>
      <c r="D1306" t="s">
        <v>4823</v>
      </c>
      <c r="E1306" t="s">
        <v>4824</v>
      </c>
      <c r="F1306" t="s">
        <v>4825</v>
      </c>
      <c r="G1306" t="s">
        <v>1936</v>
      </c>
      <c r="H1306" t="s">
        <v>34</v>
      </c>
      <c r="I1306">
        <v>14606</v>
      </c>
    </row>
    <row r="1307" spans="1:9" x14ac:dyDescent="0.3">
      <c r="A1307">
        <v>1306</v>
      </c>
      <c r="B1307" t="s">
        <v>4826</v>
      </c>
      <c r="C1307" t="s">
        <v>2992</v>
      </c>
      <c r="D1307" t="s">
        <v>5611</v>
      </c>
      <c r="E1307" t="s">
        <v>4827</v>
      </c>
      <c r="F1307" t="s">
        <v>4828</v>
      </c>
      <c r="G1307" t="s">
        <v>883</v>
      </c>
      <c r="H1307" t="s">
        <v>34</v>
      </c>
      <c r="I1307">
        <v>14580</v>
      </c>
    </row>
    <row r="1308" spans="1:9" x14ac:dyDescent="0.3">
      <c r="A1308">
        <v>1307</v>
      </c>
      <c r="B1308" t="s">
        <v>4829</v>
      </c>
      <c r="C1308" t="s">
        <v>2701</v>
      </c>
      <c r="D1308" t="s">
        <v>5611</v>
      </c>
      <c r="E1308" t="s">
        <v>4830</v>
      </c>
      <c r="F1308" t="s">
        <v>4831</v>
      </c>
      <c r="G1308" t="s">
        <v>1714</v>
      </c>
      <c r="H1308" t="s">
        <v>40</v>
      </c>
      <c r="I1308">
        <v>93635</v>
      </c>
    </row>
    <row r="1309" spans="1:9" x14ac:dyDescent="0.3">
      <c r="A1309">
        <v>1308</v>
      </c>
      <c r="B1309" t="s">
        <v>4832</v>
      </c>
      <c r="C1309" t="s">
        <v>518</v>
      </c>
      <c r="D1309" t="s">
        <v>5611</v>
      </c>
      <c r="E1309" t="s">
        <v>4833</v>
      </c>
      <c r="F1309" t="s">
        <v>4834</v>
      </c>
      <c r="G1309" t="s">
        <v>385</v>
      </c>
      <c r="H1309" t="s">
        <v>40</v>
      </c>
      <c r="I1309">
        <v>91733</v>
      </c>
    </row>
    <row r="1310" spans="1:9" x14ac:dyDescent="0.3">
      <c r="A1310">
        <v>1309</v>
      </c>
      <c r="B1310" t="s">
        <v>4835</v>
      </c>
      <c r="C1310" t="s">
        <v>4836</v>
      </c>
      <c r="D1310" t="s">
        <v>5611</v>
      </c>
      <c r="E1310" t="s">
        <v>4837</v>
      </c>
      <c r="F1310" t="s">
        <v>4838</v>
      </c>
      <c r="G1310" t="s">
        <v>1329</v>
      </c>
      <c r="H1310" t="s">
        <v>34</v>
      </c>
      <c r="I1310">
        <v>11720</v>
      </c>
    </row>
    <row r="1311" spans="1:9" x14ac:dyDescent="0.3">
      <c r="A1311">
        <v>1310</v>
      </c>
      <c r="B1311" t="s">
        <v>4839</v>
      </c>
      <c r="C1311" t="s">
        <v>418</v>
      </c>
      <c r="D1311" t="s">
        <v>5611</v>
      </c>
      <c r="E1311" t="s">
        <v>4840</v>
      </c>
      <c r="F1311" t="s">
        <v>4841</v>
      </c>
      <c r="G1311" t="s">
        <v>1453</v>
      </c>
      <c r="H1311" t="s">
        <v>34</v>
      </c>
      <c r="I1311">
        <v>12302</v>
      </c>
    </row>
    <row r="1312" spans="1:9" x14ac:dyDescent="0.3">
      <c r="A1312">
        <v>1311</v>
      </c>
      <c r="B1312" t="s">
        <v>4793</v>
      </c>
      <c r="C1312" t="s">
        <v>3479</v>
      </c>
      <c r="D1312" t="s">
        <v>5611</v>
      </c>
      <c r="E1312" t="s">
        <v>4842</v>
      </c>
      <c r="F1312" t="s">
        <v>4843</v>
      </c>
      <c r="G1312" t="s">
        <v>665</v>
      </c>
      <c r="H1312" t="s">
        <v>34</v>
      </c>
      <c r="I1312">
        <v>11727</v>
      </c>
    </row>
    <row r="1313" spans="1:9" x14ac:dyDescent="0.3">
      <c r="A1313">
        <v>1312</v>
      </c>
      <c r="B1313" t="s">
        <v>4844</v>
      </c>
      <c r="C1313" t="s">
        <v>4845</v>
      </c>
      <c r="D1313" t="s">
        <v>5611</v>
      </c>
      <c r="E1313" t="s">
        <v>4846</v>
      </c>
      <c r="F1313" t="s">
        <v>4847</v>
      </c>
      <c r="G1313" t="s">
        <v>1272</v>
      </c>
      <c r="H1313" t="s">
        <v>34</v>
      </c>
      <c r="I1313">
        <v>11779</v>
      </c>
    </row>
    <row r="1314" spans="1:9" x14ac:dyDescent="0.3">
      <c r="A1314">
        <v>1313</v>
      </c>
      <c r="B1314" t="s">
        <v>4848</v>
      </c>
      <c r="C1314" t="s">
        <v>4849</v>
      </c>
      <c r="D1314" t="s">
        <v>5611</v>
      </c>
      <c r="E1314" t="s">
        <v>4850</v>
      </c>
      <c r="F1314" t="s">
        <v>4851</v>
      </c>
      <c r="G1314" t="s">
        <v>454</v>
      </c>
      <c r="H1314" t="s">
        <v>40</v>
      </c>
      <c r="I1314">
        <v>91010</v>
      </c>
    </row>
    <row r="1315" spans="1:9" x14ac:dyDescent="0.3">
      <c r="A1315">
        <v>1314</v>
      </c>
      <c r="B1315" t="s">
        <v>4852</v>
      </c>
      <c r="C1315" t="s">
        <v>2729</v>
      </c>
      <c r="D1315" t="s">
        <v>5611</v>
      </c>
      <c r="E1315" t="s">
        <v>4853</v>
      </c>
      <c r="F1315" t="s">
        <v>4854</v>
      </c>
      <c r="G1315" t="s">
        <v>2286</v>
      </c>
      <c r="H1315" t="s">
        <v>40</v>
      </c>
      <c r="I1315">
        <v>91762</v>
      </c>
    </row>
    <row r="1316" spans="1:9" x14ac:dyDescent="0.3">
      <c r="A1316">
        <v>1315</v>
      </c>
      <c r="B1316" t="s">
        <v>4855</v>
      </c>
      <c r="C1316" t="s">
        <v>813</v>
      </c>
      <c r="D1316" t="s">
        <v>5611</v>
      </c>
      <c r="E1316" t="s">
        <v>4856</v>
      </c>
      <c r="F1316" t="s">
        <v>4857</v>
      </c>
      <c r="G1316" t="s">
        <v>1122</v>
      </c>
      <c r="H1316" t="s">
        <v>40</v>
      </c>
      <c r="I1316">
        <v>91387</v>
      </c>
    </row>
    <row r="1317" spans="1:9" x14ac:dyDescent="0.3">
      <c r="A1317">
        <v>1316</v>
      </c>
      <c r="B1317" t="s">
        <v>4858</v>
      </c>
      <c r="C1317" t="s">
        <v>4859</v>
      </c>
      <c r="D1317" t="s">
        <v>5611</v>
      </c>
      <c r="E1317" t="s">
        <v>4860</v>
      </c>
      <c r="F1317" t="s">
        <v>4861</v>
      </c>
      <c r="G1317" t="s">
        <v>682</v>
      </c>
      <c r="H1317" t="s">
        <v>34</v>
      </c>
      <c r="I1317">
        <v>11758</v>
      </c>
    </row>
    <row r="1318" spans="1:9" x14ac:dyDescent="0.3">
      <c r="A1318">
        <v>1317</v>
      </c>
      <c r="B1318" t="s">
        <v>4862</v>
      </c>
      <c r="C1318" t="s">
        <v>4863</v>
      </c>
      <c r="D1318" t="s">
        <v>5611</v>
      </c>
      <c r="E1318" t="s">
        <v>4864</v>
      </c>
      <c r="F1318" t="s">
        <v>4865</v>
      </c>
      <c r="G1318" t="s">
        <v>529</v>
      </c>
      <c r="H1318" t="s">
        <v>34</v>
      </c>
      <c r="I1318">
        <v>11791</v>
      </c>
    </row>
    <row r="1319" spans="1:9" x14ac:dyDescent="0.3">
      <c r="A1319">
        <v>1318</v>
      </c>
      <c r="B1319" t="s">
        <v>4866</v>
      </c>
      <c r="C1319" t="s">
        <v>4867</v>
      </c>
      <c r="D1319" t="s">
        <v>4868</v>
      </c>
      <c r="E1319" t="s">
        <v>4869</v>
      </c>
      <c r="F1319" t="s">
        <v>4870</v>
      </c>
      <c r="G1319" t="s">
        <v>2922</v>
      </c>
      <c r="H1319" t="s">
        <v>99</v>
      </c>
      <c r="I1319">
        <v>78213</v>
      </c>
    </row>
    <row r="1320" spans="1:9" x14ac:dyDescent="0.3">
      <c r="A1320">
        <v>1319</v>
      </c>
      <c r="B1320" t="s">
        <v>4871</v>
      </c>
      <c r="C1320" t="s">
        <v>4872</v>
      </c>
      <c r="D1320" t="s">
        <v>5611</v>
      </c>
      <c r="E1320" t="s">
        <v>4873</v>
      </c>
      <c r="F1320" t="s">
        <v>4874</v>
      </c>
      <c r="G1320" t="s">
        <v>634</v>
      </c>
      <c r="H1320" t="s">
        <v>34</v>
      </c>
      <c r="I1320">
        <v>12550</v>
      </c>
    </row>
    <row r="1321" spans="1:9" x14ac:dyDescent="0.3">
      <c r="A1321">
        <v>1320</v>
      </c>
      <c r="B1321" t="s">
        <v>4875</v>
      </c>
      <c r="C1321" t="s">
        <v>911</v>
      </c>
      <c r="D1321" t="s">
        <v>5611</v>
      </c>
      <c r="E1321" t="s">
        <v>4876</v>
      </c>
      <c r="F1321" t="s">
        <v>4877</v>
      </c>
      <c r="G1321" t="s">
        <v>634</v>
      </c>
      <c r="H1321" t="s">
        <v>34</v>
      </c>
      <c r="I1321">
        <v>12550</v>
      </c>
    </row>
    <row r="1322" spans="1:9" x14ac:dyDescent="0.3">
      <c r="A1322">
        <v>1321</v>
      </c>
      <c r="B1322" t="s">
        <v>4878</v>
      </c>
      <c r="C1322" t="s">
        <v>3118</v>
      </c>
      <c r="D1322" t="s">
        <v>5611</v>
      </c>
      <c r="E1322" t="s">
        <v>4879</v>
      </c>
      <c r="F1322" t="s">
        <v>4880</v>
      </c>
      <c r="G1322" t="s">
        <v>769</v>
      </c>
      <c r="H1322" t="s">
        <v>34</v>
      </c>
      <c r="I1322">
        <v>11795</v>
      </c>
    </row>
    <row r="1323" spans="1:9" x14ac:dyDescent="0.3">
      <c r="A1323">
        <v>1322</v>
      </c>
      <c r="B1323" t="s">
        <v>4881</v>
      </c>
      <c r="C1323" t="s">
        <v>4882</v>
      </c>
      <c r="D1323" t="s">
        <v>5611</v>
      </c>
      <c r="E1323" t="s">
        <v>4883</v>
      </c>
      <c r="F1323" t="s">
        <v>4884</v>
      </c>
      <c r="G1323" t="s">
        <v>468</v>
      </c>
      <c r="H1323" t="s">
        <v>34</v>
      </c>
      <c r="I1323">
        <v>11010</v>
      </c>
    </row>
    <row r="1324" spans="1:9" x14ac:dyDescent="0.3">
      <c r="A1324">
        <v>1323</v>
      </c>
      <c r="B1324" t="s">
        <v>4885</v>
      </c>
      <c r="C1324" t="s">
        <v>1384</v>
      </c>
      <c r="D1324" t="s">
        <v>5611</v>
      </c>
      <c r="E1324" t="s">
        <v>4886</v>
      </c>
      <c r="F1324" t="s">
        <v>4887</v>
      </c>
      <c r="G1324" t="s">
        <v>2771</v>
      </c>
      <c r="H1324" t="s">
        <v>34</v>
      </c>
      <c r="I1324">
        <v>11704</v>
      </c>
    </row>
    <row r="1325" spans="1:9" x14ac:dyDescent="0.3">
      <c r="A1325">
        <v>1324</v>
      </c>
      <c r="B1325" t="s">
        <v>4888</v>
      </c>
      <c r="C1325" t="s">
        <v>3622</v>
      </c>
      <c r="D1325" t="s">
        <v>5611</v>
      </c>
      <c r="E1325" t="s">
        <v>4889</v>
      </c>
      <c r="F1325" t="s">
        <v>4890</v>
      </c>
      <c r="G1325" t="s">
        <v>301</v>
      </c>
      <c r="H1325" t="s">
        <v>34</v>
      </c>
      <c r="I1325">
        <v>13501</v>
      </c>
    </row>
    <row r="1326" spans="1:9" x14ac:dyDescent="0.3">
      <c r="A1326">
        <v>1325</v>
      </c>
      <c r="B1326" t="s">
        <v>4891</v>
      </c>
      <c r="C1326" t="s">
        <v>1039</v>
      </c>
      <c r="D1326" t="s">
        <v>5611</v>
      </c>
      <c r="E1326" t="s">
        <v>4892</v>
      </c>
      <c r="F1326" t="s">
        <v>4893</v>
      </c>
      <c r="G1326" t="s">
        <v>449</v>
      </c>
      <c r="H1326" t="s">
        <v>34</v>
      </c>
      <c r="I1326">
        <v>13126</v>
      </c>
    </row>
    <row r="1327" spans="1:9" x14ac:dyDescent="0.3">
      <c r="A1327">
        <v>1326</v>
      </c>
      <c r="B1327" t="s">
        <v>4894</v>
      </c>
      <c r="C1327" t="s">
        <v>1771</v>
      </c>
      <c r="D1327" t="s">
        <v>5611</v>
      </c>
      <c r="E1327" t="s">
        <v>4895</v>
      </c>
      <c r="F1327" t="s">
        <v>4896</v>
      </c>
      <c r="G1327" t="s">
        <v>2400</v>
      </c>
      <c r="H1327" t="s">
        <v>34</v>
      </c>
      <c r="I1327">
        <v>13021</v>
      </c>
    </row>
    <row r="1328" spans="1:9" x14ac:dyDescent="0.3">
      <c r="A1328">
        <v>1327</v>
      </c>
      <c r="B1328" t="s">
        <v>4496</v>
      </c>
      <c r="C1328" t="s">
        <v>4897</v>
      </c>
      <c r="D1328" t="s">
        <v>5611</v>
      </c>
      <c r="E1328" t="s">
        <v>4898</v>
      </c>
      <c r="F1328" t="s">
        <v>4899</v>
      </c>
      <c r="G1328" t="s">
        <v>82</v>
      </c>
      <c r="H1328" t="s">
        <v>34</v>
      </c>
      <c r="I1328">
        <v>10950</v>
      </c>
    </row>
    <row r="1329" spans="1:9" x14ac:dyDescent="0.3">
      <c r="A1329">
        <v>1328</v>
      </c>
      <c r="B1329" t="s">
        <v>4900</v>
      </c>
      <c r="C1329" t="s">
        <v>4901</v>
      </c>
      <c r="D1329" t="s">
        <v>5611</v>
      </c>
      <c r="E1329" t="s">
        <v>4902</v>
      </c>
      <c r="F1329" t="s">
        <v>4903</v>
      </c>
      <c r="G1329" t="s">
        <v>1060</v>
      </c>
      <c r="H1329" t="s">
        <v>40</v>
      </c>
      <c r="I1329">
        <v>90260</v>
      </c>
    </row>
    <row r="1330" spans="1:9" x14ac:dyDescent="0.3">
      <c r="A1330">
        <v>1329</v>
      </c>
      <c r="B1330" t="s">
        <v>486</v>
      </c>
      <c r="C1330" t="s">
        <v>4904</v>
      </c>
      <c r="D1330" t="s">
        <v>5611</v>
      </c>
      <c r="E1330" t="s">
        <v>4905</v>
      </c>
      <c r="F1330" t="s">
        <v>4906</v>
      </c>
      <c r="G1330" t="s">
        <v>149</v>
      </c>
      <c r="H1330" t="s">
        <v>34</v>
      </c>
      <c r="I1330">
        <v>11423</v>
      </c>
    </row>
    <row r="1331" spans="1:9" x14ac:dyDescent="0.3">
      <c r="A1331">
        <v>1330</v>
      </c>
      <c r="B1331" t="s">
        <v>4907</v>
      </c>
      <c r="C1331" t="s">
        <v>3701</v>
      </c>
      <c r="D1331" t="s">
        <v>5611</v>
      </c>
      <c r="E1331" t="s">
        <v>4908</v>
      </c>
      <c r="F1331" t="s">
        <v>4909</v>
      </c>
      <c r="G1331" t="s">
        <v>328</v>
      </c>
      <c r="H1331" t="s">
        <v>40</v>
      </c>
      <c r="I1331">
        <v>94070</v>
      </c>
    </row>
    <row r="1332" spans="1:9" x14ac:dyDescent="0.3">
      <c r="A1332">
        <v>1331</v>
      </c>
      <c r="B1332" t="s">
        <v>4120</v>
      </c>
      <c r="C1332" t="s">
        <v>2497</v>
      </c>
      <c r="D1332" t="s">
        <v>5611</v>
      </c>
      <c r="E1332" t="s">
        <v>4910</v>
      </c>
      <c r="F1332" t="s">
        <v>4911</v>
      </c>
      <c r="G1332" t="s">
        <v>634</v>
      </c>
      <c r="H1332" t="s">
        <v>34</v>
      </c>
      <c r="I1332">
        <v>12550</v>
      </c>
    </row>
    <row r="1333" spans="1:9" x14ac:dyDescent="0.3">
      <c r="A1333">
        <v>1332</v>
      </c>
      <c r="B1333" t="s">
        <v>3748</v>
      </c>
      <c r="C1333" t="s">
        <v>1011</v>
      </c>
      <c r="D1333" t="s">
        <v>5611</v>
      </c>
      <c r="E1333" t="s">
        <v>4912</v>
      </c>
      <c r="F1333" t="s">
        <v>4913</v>
      </c>
      <c r="G1333" t="s">
        <v>296</v>
      </c>
      <c r="H1333" t="s">
        <v>40</v>
      </c>
      <c r="I1333">
        <v>91740</v>
      </c>
    </row>
    <row r="1334" spans="1:9" x14ac:dyDescent="0.3">
      <c r="A1334">
        <v>1333</v>
      </c>
      <c r="B1334" t="s">
        <v>4855</v>
      </c>
      <c r="C1334" t="s">
        <v>4100</v>
      </c>
      <c r="D1334" t="s">
        <v>5611</v>
      </c>
      <c r="E1334" t="s">
        <v>4914</v>
      </c>
      <c r="F1334" t="s">
        <v>4915</v>
      </c>
      <c r="G1334" t="s">
        <v>2240</v>
      </c>
      <c r="H1334" t="s">
        <v>40</v>
      </c>
      <c r="I1334">
        <v>90403</v>
      </c>
    </row>
    <row r="1335" spans="1:9" x14ac:dyDescent="0.3">
      <c r="A1335">
        <v>1334</v>
      </c>
      <c r="B1335" t="s">
        <v>2532</v>
      </c>
      <c r="C1335" t="s">
        <v>4916</v>
      </c>
      <c r="D1335" t="s">
        <v>5611</v>
      </c>
      <c r="E1335" t="s">
        <v>4917</v>
      </c>
      <c r="F1335" t="s">
        <v>4918</v>
      </c>
      <c r="G1335" t="s">
        <v>634</v>
      </c>
      <c r="H1335" t="s">
        <v>34</v>
      </c>
      <c r="I1335">
        <v>12550</v>
      </c>
    </row>
    <row r="1336" spans="1:9" x14ac:dyDescent="0.3">
      <c r="A1336">
        <v>1335</v>
      </c>
      <c r="B1336" t="s">
        <v>4919</v>
      </c>
      <c r="C1336" t="s">
        <v>4593</v>
      </c>
      <c r="D1336" t="s">
        <v>5611</v>
      </c>
      <c r="E1336" t="s">
        <v>4920</v>
      </c>
      <c r="F1336" t="s">
        <v>4921</v>
      </c>
      <c r="G1336" t="s">
        <v>1641</v>
      </c>
      <c r="H1336" t="s">
        <v>34</v>
      </c>
      <c r="I1336">
        <v>11422</v>
      </c>
    </row>
    <row r="1337" spans="1:9" x14ac:dyDescent="0.3">
      <c r="A1337">
        <v>1336</v>
      </c>
      <c r="B1337" t="s">
        <v>4922</v>
      </c>
      <c r="C1337" t="s">
        <v>359</v>
      </c>
      <c r="D1337" t="s">
        <v>5611</v>
      </c>
      <c r="E1337" t="s">
        <v>4923</v>
      </c>
      <c r="F1337" t="s">
        <v>4924</v>
      </c>
      <c r="G1337" t="s">
        <v>948</v>
      </c>
      <c r="H1337" t="s">
        <v>34</v>
      </c>
      <c r="I1337">
        <v>12553</v>
      </c>
    </row>
    <row r="1338" spans="1:9" x14ac:dyDescent="0.3">
      <c r="A1338">
        <v>1337</v>
      </c>
      <c r="B1338" t="s">
        <v>724</v>
      </c>
      <c r="C1338" t="s">
        <v>2019</v>
      </c>
      <c r="D1338" t="s">
        <v>5611</v>
      </c>
      <c r="E1338" t="s">
        <v>4925</v>
      </c>
      <c r="F1338" t="s">
        <v>4926</v>
      </c>
      <c r="G1338" t="s">
        <v>98</v>
      </c>
      <c r="H1338" t="s">
        <v>99</v>
      </c>
      <c r="I1338">
        <v>75604</v>
      </c>
    </row>
    <row r="1339" spans="1:9" x14ac:dyDescent="0.3">
      <c r="A1339">
        <v>1338</v>
      </c>
      <c r="B1339" t="s">
        <v>4927</v>
      </c>
      <c r="C1339" t="s">
        <v>4928</v>
      </c>
      <c r="D1339" t="s">
        <v>5611</v>
      </c>
      <c r="E1339" t="s">
        <v>4929</v>
      </c>
      <c r="F1339" t="s">
        <v>4930</v>
      </c>
      <c r="G1339" t="s">
        <v>1272</v>
      </c>
      <c r="H1339" t="s">
        <v>34</v>
      </c>
      <c r="I1339">
        <v>11779</v>
      </c>
    </row>
    <row r="1340" spans="1:9" x14ac:dyDescent="0.3">
      <c r="A1340">
        <v>1339</v>
      </c>
      <c r="B1340" t="s">
        <v>4931</v>
      </c>
      <c r="C1340" t="s">
        <v>969</v>
      </c>
      <c r="D1340" t="s">
        <v>4932</v>
      </c>
      <c r="E1340" t="s">
        <v>4933</v>
      </c>
      <c r="F1340" t="s">
        <v>4934</v>
      </c>
      <c r="G1340" t="s">
        <v>1037</v>
      </c>
      <c r="H1340" t="s">
        <v>34</v>
      </c>
      <c r="I1340">
        <v>11572</v>
      </c>
    </row>
    <row r="1341" spans="1:9" x14ac:dyDescent="0.3">
      <c r="A1341">
        <v>1340</v>
      </c>
      <c r="B1341" t="s">
        <v>4935</v>
      </c>
      <c r="C1341" t="s">
        <v>4936</v>
      </c>
      <c r="D1341" t="s">
        <v>5611</v>
      </c>
      <c r="E1341" t="s">
        <v>4937</v>
      </c>
      <c r="F1341" t="s">
        <v>4938</v>
      </c>
      <c r="G1341" t="s">
        <v>1019</v>
      </c>
      <c r="H1341" t="s">
        <v>34</v>
      </c>
      <c r="I1341">
        <v>11357</v>
      </c>
    </row>
    <row r="1342" spans="1:9" x14ac:dyDescent="0.3">
      <c r="A1342">
        <v>1341</v>
      </c>
      <c r="B1342" t="s">
        <v>4939</v>
      </c>
      <c r="C1342" t="s">
        <v>3207</v>
      </c>
      <c r="D1342" t="s">
        <v>5611</v>
      </c>
      <c r="E1342" t="s">
        <v>4940</v>
      </c>
      <c r="F1342" t="s">
        <v>4941</v>
      </c>
      <c r="G1342" t="s">
        <v>1221</v>
      </c>
      <c r="H1342" t="s">
        <v>34</v>
      </c>
      <c r="I1342">
        <v>11530</v>
      </c>
    </row>
    <row r="1343" spans="1:9" x14ac:dyDescent="0.3">
      <c r="A1343">
        <v>1342</v>
      </c>
      <c r="B1343" t="s">
        <v>4942</v>
      </c>
      <c r="C1343" t="s">
        <v>1057</v>
      </c>
      <c r="D1343" t="s">
        <v>5611</v>
      </c>
      <c r="E1343" t="s">
        <v>4943</v>
      </c>
      <c r="F1343" t="s">
        <v>4944</v>
      </c>
      <c r="G1343" t="s">
        <v>2022</v>
      </c>
      <c r="H1343" t="s">
        <v>34</v>
      </c>
      <c r="I1343">
        <v>11520</v>
      </c>
    </row>
    <row r="1344" spans="1:9" x14ac:dyDescent="0.3">
      <c r="A1344">
        <v>1343</v>
      </c>
      <c r="B1344" t="s">
        <v>4945</v>
      </c>
      <c r="C1344" t="s">
        <v>771</v>
      </c>
      <c r="D1344" t="s">
        <v>5611</v>
      </c>
      <c r="E1344" t="s">
        <v>4946</v>
      </c>
      <c r="F1344" t="s">
        <v>4947</v>
      </c>
      <c r="G1344" t="s">
        <v>463</v>
      </c>
      <c r="H1344" t="s">
        <v>40</v>
      </c>
      <c r="I1344">
        <v>91784</v>
      </c>
    </row>
    <row r="1345" spans="1:9" x14ac:dyDescent="0.3">
      <c r="A1345">
        <v>1344</v>
      </c>
      <c r="B1345" t="s">
        <v>4948</v>
      </c>
      <c r="C1345" t="s">
        <v>4949</v>
      </c>
      <c r="D1345" t="s">
        <v>5611</v>
      </c>
      <c r="E1345" t="s">
        <v>4950</v>
      </c>
      <c r="F1345" t="s">
        <v>4951</v>
      </c>
      <c r="G1345" t="s">
        <v>615</v>
      </c>
      <c r="H1345" t="s">
        <v>34</v>
      </c>
      <c r="I1345">
        <v>11414</v>
      </c>
    </row>
    <row r="1346" spans="1:9" x14ac:dyDescent="0.3">
      <c r="A1346">
        <v>1345</v>
      </c>
      <c r="B1346" t="s">
        <v>4952</v>
      </c>
      <c r="C1346" t="s">
        <v>335</v>
      </c>
      <c r="D1346" t="s">
        <v>5611</v>
      </c>
      <c r="E1346" t="s">
        <v>4953</v>
      </c>
      <c r="F1346" t="s">
        <v>4954</v>
      </c>
      <c r="G1346" t="s">
        <v>1688</v>
      </c>
      <c r="H1346" t="s">
        <v>34</v>
      </c>
      <c r="I1346">
        <v>11354</v>
      </c>
    </row>
    <row r="1347" spans="1:9" x14ac:dyDescent="0.3">
      <c r="A1347">
        <v>1346</v>
      </c>
      <c r="B1347" t="s">
        <v>4955</v>
      </c>
      <c r="C1347" t="s">
        <v>883</v>
      </c>
      <c r="D1347" t="s">
        <v>4956</v>
      </c>
      <c r="E1347" t="s">
        <v>4957</v>
      </c>
      <c r="F1347" t="s">
        <v>4958</v>
      </c>
      <c r="G1347" t="s">
        <v>2429</v>
      </c>
      <c r="H1347" t="s">
        <v>40</v>
      </c>
      <c r="I1347">
        <v>90008</v>
      </c>
    </row>
    <row r="1348" spans="1:9" x14ac:dyDescent="0.3">
      <c r="A1348">
        <v>1347</v>
      </c>
      <c r="B1348" t="s">
        <v>4959</v>
      </c>
      <c r="C1348" t="s">
        <v>911</v>
      </c>
      <c r="D1348" t="s">
        <v>5611</v>
      </c>
      <c r="E1348" t="s">
        <v>4960</v>
      </c>
      <c r="F1348" t="s">
        <v>4961</v>
      </c>
      <c r="G1348" t="s">
        <v>494</v>
      </c>
      <c r="H1348" t="s">
        <v>34</v>
      </c>
      <c r="I1348">
        <v>12866</v>
      </c>
    </row>
    <row r="1349" spans="1:9" x14ac:dyDescent="0.3">
      <c r="A1349">
        <v>1348</v>
      </c>
      <c r="B1349" t="s">
        <v>3076</v>
      </c>
      <c r="C1349" t="s">
        <v>1771</v>
      </c>
      <c r="D1349" t="s">
        <v>5611</v>
      </c>
      <c r="E1349" t="s">
        <v>4962</v>
      </c>
      <c r="F1349" t="s">
        <v>4963</v>
      </c>
      <c r="G1349" t="s">
        <v>286</v>
      </c>
      <c r="H1349" t="s">
        <v>34</v>
      </c>
      <c r="I1349">
        <v>11566</v>
      </c>
    </row>
    <row r="1350" spans="1:9" x14ac:dyDescent="0.3">
      <c r="A1350">
        <v>1349</v>
      </c>
      <c r="B1350" t="s">
        <v>4964</v>
      </c>
      <c r="C1350" t="s">
        <v>1989</v>
      </c>
      <c r="D1350" t="s">
        <v>5611</v>
      </c>
      <c r="E1350" t="s">
        <v>4965</v>
      </c>
      <c r="F1350" t="s">
        <v>4966</v>
      </c>
      <c r="G1350" t="s">
        <v>235</v>
      </c>
      <c r="H1350" t="s">
        <v>40</v>
      </c>
      <c r="I1350">
        <v>91316</v>
      </c>
    </row>
    <row r="1351" spans="1:9" x14ac:dyDescent="0.3">
      <c r="A1351">
        <v>1350</v>
      </c>
      <c r="B1351" t="s">
        <v>1368</v>
      </c>
      <c r="C1351" t="s">
        <v>4967</v>
      </c>
      <c r="D1351" t="s">
        <v>5611</v>
      </c>
      <c r="E1351" t="s">
        <v>4968</v>
      </c>
      <c r="F1351" t="s">
        <v>4969</v>
      </c>
      <c r="G1351" t="s">
        <v>1641</v>
      </c>
      <c r="H1351" t="s">
        <v>34</v>
      </c>
      <c r="I1351">
        <v>11422</v>
      </c>
    </row>
    <row r="1352" spans="1:9" x14ac:dyDescent="0.3">
      <c r="A1352">
        <v>1351</v>
      </c>
      <c r="B1352" t="s">
        <v>4970</v>
      </c>
      <c r="C1352" t="s">
        <v>4971</v>
      </c>
      <c r="D1352" t="s">
        <v>5611</v>
      </c>
      <c r="E1352" t="s">
        <v>4972</v>
      </c>
      <c r="F1352" t="s">
        <v>4973</v>
      </c>
      <c r="G1352" t="s">
        <v>2682</v>
      </c>
      <c r="H1352" t="s">
        <v>34</v>
      </c>
      <c r="I1352">
        <v>14701</v>
      </c>
    </row>
    <row r="1353" spans="1:9" x14ac:dyDescent="0.3">
      <c r="A1353">
        <v>1352</v>
      </c>
      <c r="B1353" t="s">
        <v>2818</v>
      </c>
      <c r="C1353" t="s">
        <v>3022</v>
      </c>
      <c r="D1353" t="s">
        <v>5611</v>
      </c>
      <c r="E1353" t="s">
        <v>4974</v>
      </c>
      <c r="F1353" t="s">
        <v>4975</v>
      </c>
      <c r="G1353" t="s">
        <v>463</v>
      </c>
      <c r="H1353" t="s">
        <v>40</v>
      </c>
      <c r="I1353">
        <v>91784</v>
      </c>
    </row>
    <row r="1354" spans="1:9" x14ac:dyDescent="0.3">
      <c r="A1354">
        <v>1353</v>
      </c>
      <c r="B1354" t="s">
        <v>3079</v>
      </c>
      <c r="C1354" t="s">
        <v>2358</v>
      </c>
      <c r="D1354" t="s">
        <v>5611</v>
      </c>
      <c r="E1354" t="s">
        <v>4976</v>
      </c>
      <c r="F1354" t="s">
        <v>4977</v>
      </c>
      <c r="G1354" t="s">
        <v>385</v>
      </c>
      <c r="H1354" t="s">
        <v>40</v>
      </c>
      <c r="I1354">
        <v>91733</v>
      </c>
    </row>
    <row r="1355" spans="1:9" x14ac:dyDescent="0.3">
      <c r="A1355">
        <v>1354</v>
      </c>
      <c r="B1355" t="s">
        <v>4978</v>
      </c>
      <c r="C1355" t="s">
        <v>1379</v>
      </c>
      <c r="D1355" t="s">
        <v>5611</v>
      </c>
      <c r="E1355" t="s">
        <v>4979</v>
      </c>
      <c r="F1355" t="s">
        <v>4980</v>
      </c>
      <c r="G1355" t="s">
        <v>1453</v>
      </c>
      <c r="H1355" t="s">
        <v>34</v>
      </c>
      <c r="I1355">
        <v>12302</v>
      </c>
    </row>
    <row r="1356" spans="1:9" x14ac:dyDescent="0.3">
      <c r="A1356">
        <v>1355</v>
      </c>
      <c r="B1356" t="s">
        <v>2304</v>
      </c>
      <c r="C1356" t="s">
        <v>787</v>
      </c>
      <c r="D1356" t="s">
        <v>5611</v>
      </c>
      <c r="E1356" t="s">
        <v>4981</v>
      </c>
      <c r="F1356" t="s">
        <v>4982</v>
      </c>
      <c r="G1356" t="s">
        <v>1312</v>
      </c>
      <c r="H1356" t="s">
        <v>34</v>
      </c>
      <c r="I1356">
        <v>11756</v>
      </c>
    </row>
    <row r="1357" spans="1:9" x14ac:dyDescent="0.3">
      <c r="A1357">
        <v>1356</v>
      </c>
      <c r="B1357" t="s">
        <v>4983</v>
      </c>
      <c r="C1357" t="s">
        <v>4984</v>
      </c>
      <c r="D1357" t="s">
        <v>5611</v>
      </c>
      <c r="E1357" t="s">
        <v>4985</v>
      </c>
      <c r="F1357" t="s">
        <v>4986</v>
      </c>
      <c r="G1357" t="s">
        <v>1055</v>
      </c>
      <c r="H1357" t="s">
        <v>34</v>
      </c>
      <c r="I1357">
        <v>11772</v>
      </c>
    </row>
    <row r="1358" spans="1:9" x14ac:dyDescent="0.3">
      <c r="A1358">
        <v>1357</v>
      </c>
      <c r="B1358" t="s">
        <v>4907</v>
      </c>
      <c r="C1358" t="s">
        <v>3177</v>
      </c>
      <c r="D1358" t="s">
        <v>4987</v>
      </c>
      <c r="E1358" t="s">
        <v>4988</v>
      </c>
      <c r="F1358" t="s">
        <v>4989</v>
      </c>
      <c r="G1358" t="s">
        <v>607</v>
      </c>
      <c r="H1358" t="s">
        <v>40</v>
      </c>
      <c r="I1358">
        <v>93706</v>
      </c>
    </row>
    <row r="1359" spans="1:9" x14ac:dyDescent="0.3">
      <c r="A1359">
        <v>1358</v>
      </c>
      <c r="B1359" t="s">
        <v>206</v>
      </c>
      <c r="C1359" t="s">
        <v>1471</v>
      </c>
      <c r="D1359" t="s">
        <v>5611</v>
      </c>
      <c r="E1359" t="s">
        <v>4990</v>
      </c>
      <c r="F1359" t="s">
        <v>4991</v>
      </c>
      <c r="G1359" t="s">
        <v>33</v>
      </c>
      <c r="H1359" t="s">
        <v>34</v>
      </c>
      <c r="I1359">
        <v>14127</v>
      </c>
    </row>
    <row r="1360" spans="1:9" x14ac:dyDescent="0.3">
      <c r="A1360">
        <v>1359</v>
      </c>
      <c r="B1360" t="s">
        <v>1785</v>
      </c>
      <c r="C1360" t="s">
        <v>4628</v>
      </c>
      <c r="D1360" t="s">
        <v>5611</v>
      </c>
      <c r="E1360" t="s">
        <v>4992</v>
      </c>
      <c r="F1360" t="s">
        <v>4993</v>
      </c>
      <c r="G1360" t="s">
        <v>1312</v>
      </c>
      <c r="H1360" t="s">
        <v>34</v>
      </c>
      <c r="I1360">
        <v>11756</v>
      </c>
    </row>
    <row r="1361" spans="1:9" x14ac:dyDescent="0.3">
      <c r="A1361">
        <v>1360</v>
      </c>
      <c r="B1361" t="s">
        <v>4994</v>
      </c>
      <c r="C1361" t="s">
        <v>2106</v>
      </c>
      <c r="D1361" t="s">
        <v>5611</v>
      </c>
      <c r="E1361" t="s">
        <v>4995</v>
      </c>
      <c r="F1361" t="s">
        <v>4996</v>
      </c>
      <c r="G1361" t="s">
        <v>463</v>
      </c>
      <c r="H1361" t="s">
        <v>40</v>
      </c>
      <c r="I1361">
        <v>91784</v>
      </c>
    </row>
    <row r="1362" spans="1:9" x14ac:dyDescent="0.3">
      <c r="A1362">
        <v>1361</v>
      </c>
      <c r="B1362" t="s">
        <v>4997</v>
      </c>
      <c r="C1362" t="s">
        <v>522</v>
      </c>
      <c r="D1362" t="s">
        <v>5611</v>
      </c>
      <c r="E1362" t="s">
        <v>4998</v>
      </c>
      <c r="F1362" t="s">
        <v>4999</v>
      </c>
      <c r="G1362" t="s">
        <v>5000</v>
      </c>
      <c r="H1362" t="s">
        <v>34</v>
      </c>
      <c r="I1362">
        <v>11590</v>
      </c>
    </row>
    <row r="1363" spans="1:9" x14ac:dyDescent="0.3">
      <c r="A1363">
        <v>1362</v>
      </c>
      <c r="B1363" t="s">
        <v>5001</v>
      </c>
      <c r="C1363" t="s">
        <v>3891</v>
      </c>
      <c r="D1363" t="s">
        <v>5611</v>
      </c>
      <c r="E1363" t="s">
        <v>5002</v>
      </c>
      <c r="F1363" t="s">
        <v>5003</v>
      </c>
      <c r="G1363" t="s">
        <v>33</v>
      </c>
      <c r="H1363" t="s">
        <v>34</v>
      </c>
      <c r="I1363">
        <v>14127</v>
      </c>
    </row>
    <row r="1364" spans="1:9" x14ac:dyDescent="0.3">
      <c r="A1364">
        <v>1363</v>
      </c>
      <c r="B1364" t="s">
        <v>5004</v>
      </c>
      <c r="C1364" t="s">
        <v>5005</v>
      </c>
      <c r="D1364" t="s">
        <v>5006</v>
      </c>
      <c r="E1364" t="s">
        <v>5007</v>
      </c>
      <c r="F1364" t="s">
        <v>5008</v>
      </c>
      <c r="G1364" t="s">
        <v>251</v>
      </c>
      <c r="H1364" t="s">
        <v>99</v>
      </c>
      <c r="I1364">
        <v>77016</v>
      </c>
    </row>
    <row r="1365" spans="1:9" x14ac:dyDescent="0.3">
      <c r="A1365">
        <v>1364</v>
      </c>
      <c r="B1365" t="s">
        <v>5009</v>
      </c>
      <c r="C1365" t="s">
        <v>3163</v>
      </c>
      <c r="D1365" t="s">
        <v>5611</v>
      </c>
      <c r="E1365" t="s">
        <v>5010</v>
      </c>
      <c r="F1365" t="s">
        <v>5011</v>
      </c>
      <c r="G1365" t="s">
        <v>957</v>
      </c>
      <c r="H1365" t="s">
        <v>34</v>
      </c>
      <c r="I1365">
        <v>12020</v>
      </c>
    </row>
    <row r="1366" spans="1:9" x14ac:dyDescent="0.3">
      <c r="A1366">
        <v>1365</v>
      </c>
      <c r="B1366" t="s">
        <v>3906</v>
      </c>
      <c r="C1366" t="s">
        <v>101</v>
      </c>
      <c r="D1366" t="s">
        <v>5611</v>
      </c>
      <c r="E1366" t="s">
        <v>5012</v>
      </c>
      <c r="F1366" t="s">
        <v>5013</v>
      </c>
      <c r="G1366" t="s">
        <v>240</v>
      </c>
      <c r="H1366" t="s">
        <v>34</v>
      </c>
      <c r="I1366">
        <v>12804</v>
      </c>
    </row>
    <row r="1367" spans="1:9" x14ac:dyDescent="0.3">
      <c r="A1367">
        <v>1366</v>
      </c>
      <c r="B1367" t="s">
        <v>2707</v>
      </c>
      <c r="C1367" t="s">
        <v>2605</v>
      </c>
      <c r="D1367" t="s">
        <v>5611</v>
      </c>
      <c r="E1367" t="s">
        <v>5014</v>
      </c>
      <c r="F1367" t="s">
        <v>5015</v>
      </c>
      <c r="G1367" t="s">
        <v>39</v>
      </c>
      <c r="H1367" t="s">
        <v>40</v>
      </c>
      <c r="I1367">
        <v>95008</v>
      </c>
    </row>
    <row r="1368" spans="1:9" x14ac:dyDescent="0.3">
      <c r="A1368">
        <v>1367</v>
      </c>
      <c r="B1368" t="s">
        <v>5016</v>
      </c>
      <c r="C1368" t="s">
        <v>2988</v>
      </c>
      <c r="D1368" t="s">
        <v>5611</v>
      </c>
      <c r="E1368" t="s">
        <v>5017</v>
      </c>
      <c r="F1368" t="s">
        <v>5018</v>
      </c>
      <c r="G1368" t="s">
        <v>39</v>
      </c>
      <c r="H1368" t="s">
        <v>40</v>
      </c>
      <c r="I1368">
        <v>95008</v>
      </c>
    </row>
    <row r="1369" spans="1:9" x14ac:dyDescent="0.3">
      <c r="A1369">
        <v>1368</v>
      </c>
      <c r="B1369" t="s">
        <v>5019</v>
      </c>
      <c r="C1369" t="s">
        <v>5020</v>
      </c>
      <c r="D1369" t="s">
        <v>5611</v>
      </c>
      <c r="E1369" t="s">
        <v>5021</v>
      </c>
      <c r="F1369" t="s">
        <v>5022</v>
      </c>
      <c r="G1369" t="s">
        <v>957</v>
      </c>
      <c r="H1369" t="s">
        <v>34</v>
      </c>
      <c r="I1369">
        <v>12020</v>
      </c>
    </row>
    <row r="1370" spans="1:9" x14ac:dyDescent="0.3">
      <c r="A1370">
        <v>1369</v>
      </c>
      <c r="B1370" t="s">
        <v>5023</v>
      </c>
      <c r="C1370" t="s">
        <v>1825</v>
      </c>
      <c r="D1370" t="s">
        <v>5611</v>
      </c>
      <c r="E1370" t="s">
        <v>5024</v>
      </c>
      <c r="F1370" t="s">
        <v>5025</v>
      </c>
      <c r="G1370" t="s">
        <v>1769</v>
      </c>
      <c r="H1370" t="s">
        <v>34</v>
      </c>
      <c r="I1370">
        <v>11967</v>
      </c>
    </row>
    <row r="1371" spans="1:9" x14ac:dyDescent="0.3">
      <c r="A1371">
        <v>1370</v>
      </c>
      <c r="B1371" t="s">
        <v>5026</v>
      </c>
      <c r="C1371" t="s">
        <v>1618</v>
      </c>
      <c r="D1371" t="s">
        <v>5027</v>
      </c>
      <c r="E1371" t="s">
        <v>5028</v>
      </c>
      <c r="F1371" t="s">
        <v>5029</v>
      </c>
      <c r="G1371" t="s">
        <v>558</v>
      </c>
      <c r="H1371" t="s">
        <v>40</v>
      </c>
      <c r="I1371">
        <v>95127</v>
      </c>
    </row>
    <row r="1372" spans="1:9" x14ac:dyDescent="0.3">
      <c r="A1372">
        <v>1371</v>
      </c>
      <c r="B1372" t="s">
        <v>5030</v>
      </c>
      <c r="C1372" t="s">
        <v>1074</v>
      </c>
      <c r="D1372" t="s">
        <v>5611</v>
      </c>
      <c r="E1372" t="s">
        <v>5031</v>
      </c>
      <c r="F1372" t="s">
        <v>5032</v>
      </c>
      <c r="G1372" t="s">
        <v>2511</v>
      </c>
      <c r="H1372" t="s">
        <v>34</v>
      </c>
      <c r="I1372">
        <v>11040</v>
      </c>
    </row>
    <row r="1373" spans="1:9" x14ac:dyDescent="0.3">
      <c r="A1373">
        <v>1372</v>
      </c>
      <c r="B1373" t="s">
        <v>5033</v>
      </c>
      <c r="C1373" t="s">
        <v>3487</v>
      </c>
      <c r="D1373" t="s">
        <v>5611</v>
      </c>
      <c r="E1373" t="s">
        <v>5034</v>
      </c>
      <c r="F1373" t="s">
        <v>5035</v>
      </c>
      <c r="G1373" t="s">
        <v>819</v>
      </c>
      <c r="H1373" t="s">
        <v>34</v>
      </c>
      <c r="I1373">
        <v>11420</v>
      </c>
    </row>
    <row r="1374" spans="1:9" x14ac:dyDescent="0.3">
      <c r="A1374">
        <v>1373</v>
      </c>
      <c r="B1374" t="s">
        <v>5036</v>
      </c>
      <c r="C1374" t="s">
        <v>752</v>
      </c>
      <c r="D1374" t="s">
        <v>5611</v>
      </c>
      <c r="E1374" t="s">
        <v>5037</v>
      </c>
      <c r="F1374" t="s">
        <v>5038</v>
      </c>
      <c r="G1374" t="s">
        <v>2771</v>
      </c>
      <c r="H1374" t="s">
        <v>34</v>
      </c>
      <c r="I1374">
        <v>11704</v>
      </c>
    </row>
    <row r="1375" spans="1:9" x14ac:dyDescent="0.3">
      <c r="A1375">
        <v>1374</v>
      </c>
      <c r="B1375" t="s">
        <v>5039</v>
      </c>
      <c r="C1375" t="s">
        <v>599</v>
      </c>
      <c r="D1375" t="s">
        <v>5611</v>
      </c>
      <c r="E1375" t="s">
        <v>5040</v>
      </c>
      <c r="F1375" t="s">
        <v>5041</v>
      </c>
      <c r="G1375" t="s">
        <v>296</v>
      </c>
      <c r="H1375" t="s">
        <v>40</v>
      </c>
      <c r="I1375">
        <v>91740</v>
      </c>
    </row>
    <row r="1376" spans="1:9" x14ac:dyDescent="0.3">
      <c r="A1376">
        <v>1375</v>
      </c>
      <c r="B1376" t="s">
        <v>5042</v>
      </c>
      <c r="C1376" t="s">
        <v>1186</v>
      </c>
      <c r="D1376" t="s">
        <v>5611</v>
      </c>
      <c r="E1376" t="s">
        <v>5043</v>
      </c>
      <c r="F1376" t="s">
        <v>5044</v>
      </c>
      <c r="G1376" t="s">
        <v>976</v>
      </c>
      <c r="H1376" t="s">
        <v>34</v>
      </c>
      <c r="I1376">
        <v>11432</v>
      </c>
    </row>
    <row r="1377" spans="1:9" x14ac:dyDescent="0.3">
      <c r="A1377">
        <v>1376</v>
      </c>
      <c r="B1377" t="s">
        <v>5045</v>
      </c>
      <c r="C1377" t="s">
        <v>851</v>
      </c>
      <c r="D1377" t="s">
        <v>5611</v>
      </c>
      <c r="E1377" t="s">
        <v>5046</v>
      </c>
      <c r="F1377" t="s">
        <v>5047</v>
      </c>
      <c r="G1377" t="s">
        <v>77</v>
      </c>
      <c r="H1377" t="s">
        <v>34</v>
      </c>
      <c r="I1377">
        <v>11050</v>
      </c>
    </row>
    <row r="1378" spans="1:9" x14ac:dyDescent="0.3">
      <c r="A1378">
        <v>1377</v>
      </c>
      <c r="B1378" t="s">
        <v>5048</v>
      </c>
      <c r="C1378" t="s">
        <v>3131</v>
      </c>
      <c r="D1378" t="s">
        <v>5049</v>
      </c>
      <c r="E1378" t="s">
        <v>5050</v>
      </c>
      <c r="F1378" t="s">
        <v>5051</v>
      </c>
      <c r="G1378" t="s">
        <v>1936</v>
      </c>
      <c r="H1378" t="s">
        <v>34</v>
      </c>
      <c r="I1378">
        <v>14606</v>
      </c>
    </row>
    <row r="1379" spans="1:9" x14ac:dyDescent="0.3">
      <c r="A1379">
        <v>1378</v>
      </c>
      <c r="B1379" t="s">
        <v>5052</v>
      </c>
      <c r="C1379" t="s">
        <v>1578</v>
      </c>
      <c r="D1379" t="s">
        <v>5053</v>
      </c>
      <c r="E1379" t="s">
        <v>5054</v>
      </c>
      <c r="F1379" t="s">
        <v>5055</v>
      </c>
      <c r="G1379" t="s">
        <v>607</v>
      </c>
      <c r="H1379" t="s">
        <v>40</v>
      </c>
      <c r="I1379">
        <v>93706</v>
      </c>
    </row>
    <row r="1380" spans="1:9" x14ac:dyDescent="0.3">
      <c r="A1380">
        <v>1379</v>
      </c>
      <c r="B1380" t="s">
        <v>923</v>
      </c>
      <c r="C1380" t="s">
        <v>2353</v>
      </c>
      <c r="D1380" t="s">
        <v>5611</v>
      </c>
      <c r="E1380" t="s">
        <v>5056</v>
      </c>
      <c r="F1380" t="s">
        <v>5057</v>
      </c>
      <c r="G1380" t="s">
        <v>170</v>
      </c>
      <c r="H1380" t="s">
        <v>34</v>
      </c>
      <c r="I1380">
        <v>11104</v>
      </c>
    </row>
    <row r="1381" spans="1:9" x14ac:dyDescent="0.3">
      <c r="A1381">
        <v>1380</v>
      </c>
      <c r="B1381" t="s">
        <v>1432</v>
      </c>
      <c r="C1381" t="s">
        <v>4593</v>
      </c>
      <c r="D1381" t="s">
        <v>5611</v>
      </c>
      <c r="E1381" t="s">
        <v>5058</v>
      </c>
      <c r="F1381" t="s">
        <v>5059</v>
      </c>
      <c r="G1381" t="s">
        <v>50</v>
      </c>
      <c r="H1381" t="s">
        <v>34</v>
      </c>
      <c r="I1381">
        <v>11553</v>
      </c>
    </row>
    <row r="1382" spans="1:9" x14ac:dyDescent="0.3">
      <c r="A1382">
        <v>1381</v>
      </c>
      <c r="B1382" t="s">
        <v>5060</v>
      </c>
      <c r="C1382" t="s">
        <v>5061</v>
      </c>
      <c r="D1382" t="s">
        <v>5611</v>
      </c>
      <c r="E1382" t="s">
        <v>5062</v>
      </c>
      <c r="F1382" t="s">
        <v>5063</v>
      </c>
      <c r="G1382" t="s">
        <v>454</v>
      </c>
      <c r="H1382" t="s">
        <v>40</v>
      </c>
      <c r="I1382">
        <v>91010</v>
      </c>
    </row>
    <row r="1383" spans="1:9" x14ac:dyDescent="0.3">
      <c r="A1383">
        <v>1382</v>
      </c>
      <c r="B1383" t="s">
        <v>5064</v>
      </c>
      <c r="C1383" t="s">
        <v>3200</v>
      </c>
      <c r="D1383" t="s">
        <v>5611</v>
      </c>
      <c r="E1383" t="s">
        <v>5065</v>
      </c>
      <c r="F1383" t="s">
        <v>5066</v>
      </c>
      <c r="G1383" t="s">
        <v>1806</v>
      </c>
      <c r="H1383" t="s">
        <v>99</v>
      </c>
      <c r="I1383">
        <v>78552</v>
      </c>
    </row>
    <row r="1384" spans="1:9" x14ac:dyDescent="0.3">
      <c r="A1384">
        <v>1383</v>
      </c>
      <c r="B1384" t="s">
        <v>5067</v>
      </c>
      <c r="C1384" t="s">
        <v>451</v>
      </c>
      <c r="D1384" t="s">
        <v>5068</v>
      </c>
      <c r="E1384" t="s">
        <v>5069</v>
      </c>
      <c r="F1384" t="s">
        <v>5070</v>
      </c>
      <c r="G1384" t="s">
        <v>1974</v>
      </c>
      <c r="H1384" t="s">
        <v>40</v>
      </c>
      <c r="I1384">
        <v>93306</v>
      </c>
    </row>
    <row r="1385" spans="1:9" x14ac:dyDescent="0.3">
      <c r="A1385">
        <v>1384</v>
      </c>
      <c r="B1385" t="s">
        <v>2315</v>
      </c>
      <c r="C1385" t="s">
        <v>5071</v>
      </c>
      <c r="D1385" t="s">
        <v>5611</v>
      </c>
      <c r="E1385" t="s">
        <v>5072</v>
      </c>
      <c r="F1385" t="s">
        <v>5073</v>
      </c>
      <c r="G1385" t="s">
        <v>328</v>
      </c>
      <c r="H1385" t="s">
        <v>40</v>
      </c>
      <c r="I1385">
        <v>94070</v>
      </c>
    </row>
    <row r="1386" spans="1:9" x14ac:dyDescent="0.3">
      <c r="A1386">
        <v>1385</v>
      </c>
      <c r="B1386" t="s">
        <v>5074</v>
      </c>
      <c r="C1386" t="s">
        <v>2361</v>
      </c>
      <c r="D1386" t="s">
        <v>5611</v>
      </c>
      <c r="E1386" t="s">
        <v>5075</v>
      </c>
      <c r="F1386" t="s">
        <v>5076</v>
      </c>
      <c r="G1386" t="s">
        <v>125</v>
      </c>
      <c r="H1386" t="s">
        <v>34</v>
      </c>
      <c r="I1386">
        <v>14424</v>
      </c>
    </row>
    <row r="1387" spans="1:9" x14ac:dyDescent="0.3">
      <c r="A1387">
        <v>1386</v>
      </c>
      <c r="B1387" t="s">
        <v>271</v>
      </c>
      <c r="C1387" t="s">
        <v>662</v>
      </c>
      <c r="D1387" t="s">
        <v>5077</v>
      </c>
      <c r="E1387" t="s">
        <v>5078</v>
      </c>
      <c r="F1387" t="s">
        <v>5079</v>
      </c>
      <c r="G1387" t="s">
        <v>474</v>
      </c>
      <c r="H1387" t="s">
        <v>40</v>
      </c>
      <c r="I1387">
        <v>92111</v>
      </c>
    </row>
    <row r="1388" spans="1:9" x14ac:dyDescent="0.3">
      <c r="A1388">
        <v>1387</v>
      </c>
      <c r="B1388" t="s">
        <v>5080</v>
      </c>
      <c r="C1388" t="s">
        <v>5081</v>
      </c>
      <c r="D1388" t="s">
        <v>5611</v>
      </c>
      <c r="E1388" t="s">
        <v>5082</v>
      </c>
      <c r="F1388" t="s">
        <v>5083</v>
      </c>
      <c r="G1388" t="s">
        <v>125</v>
      </c>
      <c r="H1388" t="s">
        <v>34</v>
      </c>
      <c r="I1388">
        <v>14424</v>
      </c>
    </row>
    <row r="1389" spans="1:9" x14ac:dyDescent="0.3">
      <c r="A1389">
        <v>1388</v>
      </c>
      <c r="B1389" t="s">
        <v>4657</v>
      </c>
      <c r="C1389" t="s">
        <v>972</v>
      </c>
      <c r="D1389" t="s">
        <v>5611</v>
      </c>
      <c r="E1389" t="s">
        <v>5084</v>
      </c>
      <c r="F1389" t="s">
        <v>5085</v>
      </c>
      <c r="G1389" t="s">
        <v>1104</v>
      </c>
      <c r="H1389" t="s">
        <v>34</v>
      </c>
      <c r="I1389">
        <v>11554</v>
      </c>
    </row>
    <row r="1390" spans="1:9" x14ac:dyDescent="0.3">
      <c r="A1390">
        <v>1389</v>
      </c>
      <c r="B1390" t="s">
        <v>5086</v>
      </c>
      <c r="C1390" t="s">
        <v>2872</v>
      </c>
      <c r="D1390" t="s">
        <v>5611</v>
      </c>
      <c r="E1390" t="s">
        <v>5087</v>
      </c>
      <c r="F1390" t="s">
        <v>5088</v>
      </c>
      <c r="G1390" t="s">
        <v>714</v>
      </c>
      <c r="H1390" t="s">
        <v>34</v>
      </c>
      <c r="I1390">
        <v>10573</v>
      </c>
    </row>
    <row r="1391" spans="1:9" x14ac:dyDescent="0.3">
      <c r="A1391">
        <v>1390</v>
      </c>
      <c r="B1391" t="s">
        <v>73</v>
      </c>
      <c r="C1391" t="s">
        <v>1231</v>
      </c>
      <c r="D1391" t="s">
        <v>5611</v>
      </c>
      <c r="E1391" t="s">
        <v>5089</v>
      </c>
      <c r="F1391" t="s">
        <v>5090</v>
      </c>
      <c r="G1391" t="s">
        <v>499</v>
      </c>
      <c r="H1391" t="s">
        <v>34</v>
      </c>
      <c r="I1391">
        <v>11361</v>
      </c>
    </row>
    <row r="1392" spans="1:9" x14ac:dyDescent="0.3">
      <c r="A1392">
        <v>1391</v>
      </c>
      <c r="B1392" t="s">
        <v>5091</v>
      </c>
      <c r="C1392" t="s">
        <v>1293</v>
      </c>
      <c r="D1392" t="s">
        <v>5611</v>
      </c>
      <c r="E1392" t="s">
        <v>5092</v>
      </c>
      <c r="F1392" t="s">
        <v>5093</v>
      </c>
      <c r="G1392" t="s">
        <v>552</v>
      </c>
      <c r="H1392" t="s">
        <v>34</v>
      </c>
      <c r="I1392">
        <v>11001</v>
      </c>
    </row>
    <row r="1393" spans="1:9" x14ac:dyDescent="0.3">
      <c r="A1393">
        <v>1392</v>
      </c>
      <c r="B1393" t="s">
        <v>5094</v>
      </c>
      <c r="C1393" t="s">
        <v>5095</v>
      </c>
      <c r="D1393" t="s">
        <v>5611</v>
      </c>
      <c r="E1393" t="s">
        <v>5096</v>
      </c>
      <c r="F1393" t="s">
        <v>5097</v>
      </c>
      <c r="G1393" t="s">
        <v>61</v>
      </c>
      <c r="H1393" t="s">
        <v>34</v>
      </c>
      <c r="I1393">
        <v>14450</v>
      </c>
    </row>
    <row r="1394" spans="1:9" x14ac:dyDescent="0.3">
      <c r="A1394">
        <v>1393</v>
      </c>
      <c r="B1394" t="s">
        <v>5098</v>
      </c>
      <c r="C1394" t="s">
        <v>1123</v>
      </c>
      <c r="D1394" t="s">
        <v>5611</v>
      </c>
      <c r="E1394" t="s">
        <v>5099</v>
      </c>
      <c r="F1394" t="s">
        <v>5100</v>
      </c>
      <c r="G1394" t="s">
        <v>976</v>
      </c>
      <c r="H1394" t="s">
        <v>34</v>
      </c>
      <c r="I1394">
        <v>11432</v>
      </c>
    </row>
    <row r="1395" spans="1:9" x14ac:dyDescent="0.3">
      <c r="A1395">
        <v>1394</v>
      </c>
      <c r="B1395" t="s">
        <v>2967</v>
      </c>
      <c r="C1395" t="s">
        <v>1530</v>
      </c>
      <c r="D1395" t="s">
        <v>5611</v>
      </c>
      <c r="E1395" t="s">
        <v>5101</v>
      </c>
      <c r="F1395" t="s">
        <v>5102</v>
      </c>
      <c r="G1395" t="s">
        <v>342</v>
      </c>
      <c r="H1395" t="s">
        <v>34</v>
      </c>
      <c r="I1395">
        <v>11701</v>
      </c>
    </row>
    <row r="1396" spans="1:9" x14ac:dyDescent="0.3">
      <c r="A1396">
        <v>1395</v>
      </c>
      <c r="B1396" t="s">
        <v>5103</v>
      </c>
      <c r="C1396" t="s">
        <v>5104</v>
      </c>
      <c r="D1396" t="s">
        <v>5611</v>
      </c>
      <c r="E1396" t="s">
        <v>5105</v>
      </c>
      <c r="F1396" t="s">
        <v>5106</v>
      </c>
      <c r="G1396" t="s">
        <v>538</v>
      </c>
      <c r="H1396" t="s">
        <v>34</v>
      </c>
      <c r="I1396">
        <v>11421</v>
      </c>
    </row>
    <row r="1397" spans="1:9" x14ac:dyDescent="0.3">
      <c r="A1397">
        <v>1396</v>
      </c>
      <c r="B1397" t="s">
        <v>5107</v>
      </c>
      <c r="C1397" t="s">
        <v>2669</v>
      </c>
      <c r="D1397" t="s">
        <v>5108</v>
      </c>
      <c r="E1397" t="s">
        <v>5109</v>
      </c>
      <c r="F1397" t="s">
        <v>5110</v>
      </c>
      <c r="G1397" t="s">
        <v>564</v>
      </c>
      <c r="H1397" t="s">
        <v>40</v>
      </c>
      <c r="I1397">
        <v>92806</v>
      </c>
    </row>
    <row r="1398" spans="1:9" x14ac:dyDescent="0.3">
      <c r="A1398">
        <v>1397</v>
      </c>
      <c r="B1398" t="s">
        <v>5111</v>
      </c>
      <c r="C1398" t="s">
        <v>4647</v>
      </c>
      <c r="D1398" t="s">
        <v>5611</v>
      </c>
      <c r="E1398" t="s">
        <v>5112</v>
      </c>
      <c r="F1398" t="s">
        <v>5113</v>
      </c>
      <c r="G1398" t="s">
        <v>883</v>
      </c>
      <c r="H1398" t="s">
        <v>34</v>
      </c>
      <c r="I1398">
        <v>14580</v>
      </c>
    </row>
    <row r="1399" spans="1:9" x14ac:dyDescent="0.3">
      <c r="A1399">
        <v>1398</v>
      </c>
      <c r="B1399" t="s">
        <v>5114</v>
      </c>
      <c r="C1399" t="s">
        <v>2714</v>
      </c>
      <c r="D1399" t="s">
        <v>5611</v>
      </c>
      <c r="E1399" t="s">
        <v>5115</v>
      </c>
      <c r="F1399" t="s">
        <v>5116</v>
      </c>
      <c r="G1399" t="s">
        <v>1264</v>
      </c>
      <c r="H1399" t="s">
        <v>34</v>
      </c>
      <c r="I1399">
        <v>12533</v>
      </c>
    </row>
    <row r="1400" spans="1:9" x14ac:dyDescent="0.3">
      <c r="A1400">
        <v>1399</v>
      </c>
      <c r="B1400" t="s">
        <v>5117</v>
      </c>
      <c r="C1400" t="s">
        <v>1289</v>
      </c>
      <c r="D1400" t="s">
        <v>5611</v>
      </c>
      <c r="E1400" t="s">
        <v>5118</v>
      </c>
      <c r="F1400" t="s">
        <v>5119</v>
      </c>
      <c r="G1400" t="s">
        <v>125</v>
      </c>
      <c r="H1400" t="s">
        <v>34</v>
      </c>
      <c r="I1400">
        <v>14424</v>
      </c>
    </row>
    <row r="1401" spans="1:9" x14ac:dyDescent="0.3">
      <c r="A1401">
        <v>1400</v>
      </c>
      <c r="B1401" t="s">
        <v>5120</v>
      </c>
      <c r="C1401" t="s">
        <v>2896</v>
      </c>
      <c r="D1401" t="s">
        <v>5611</v>
      </c>
      <c r="E1401" t="s">
        <v>5121</v>
      </c>
      <c r="F1401" t="s">
        <v>5122</v>
      </c>
      <c r="G1401" t="s">
        <v>538</v>
      </c>
      <c r="H1401" t="s">
        <v>34</v>
      </c>
      <c r="I1401">
        <v>11421</v>
      </c>
    </row>
    <row r="1402" spans="1:9" x14ac:dyDescent="0.3">
      <c r="A1402">
        <v>1401</v>
      </c>
      <c r="B1402" t="s">
        <v>5123</v>
      </c>
      <c r="C1402" t="s">
        <v>5124</v>
      </c>
      <c r="D1402" t="s">
        <v>5611</v>
      </c>
      <c r="E1402" t="s">
        <v>5125</v>
      </c>
      <c r="F1402" t="s">
        <v>5126</v>
      </c>
      <c r="G1402" t="s">
        <v>291</v>
      </c>
      <c r="H1402" t="s">
        <v>34</v>
      </c>
      <c r="I1402">
        <v>11369</v>
      </c>
    </row>
    <row r="1403" spans="1:9" x14ac:dyDescent="0.3">
      <c r="A1403">
        <v>1402</v>
      </c>
      <c r="B1403" t="s">
        <v>5127</v>
      </c>
      <c r="C1403" t="s">
        <v>2099</v>
      </c>
      <c r="D1403" t="s">
        <v>5611</v>
      </c>
      <c r="E1403" t="s">
        <v>5128</v>
      </c>
      <c r="F1403" t="s">
        <v>5129</v>
      </c>
      <c r="G1403" t="s">
        <v>1750</v>
      </c>
      <c r="H1403" t="s">
        <v>34</v>
      </c>
      <c r="I1403">
        <v>14043</v>
      </c>
    </row>
    <row r="1404" spans="1:9" x14ac:dyDescent="0.3">
      <c r="A1404">
        <v>1403</v>
      </c>
      <c r="B1404" t="s">
        <v>3436</v>
      </c>
      <c r="C1404" t="s">
        <v>2169</v>
      </c>
      <c r="D1404" t="s">
        <v>5130</v>
      </c>
      <c r="E1404" t="s">
        <v>5131</v>
      </c>
      <c r="F1404" t="s">
        <v>5132</v>
      </c>
      <c r="G1404" t="s">
        <v>485</v>
      </c>
      <c r="H1404" t="s">
        <v>34</v>
      </c>
      <c r="I1404">
        <v>12180</v>
      </c>
    </row>
    <row r="1405" spans="1:9" x14ac:dyDescent="0.3">
      <c r="A1405">
        <v>1404</v>
      </c>
      <c r="B1405" t="s">
        <v>5133</v>
      </c>
      <c r="C1405" t="s">
        <v>5134</v>
      </c>
      <c r="D1405" t="s">
        <v>5611</v>
      </c>
      <c r="E1405" t="s">
        <v>5135</v>
      </c>
      <c r="F1405" t="s">
        <v>5136</v>
      </c>
      <c r="G1405" t="s">
        <v>319</v>
      </c>
      <c r="H1405" t="s">
        <v>34</v>
      </c>
      <c r="I1405">
        <v>11722</v>
      </c>
    </row>
    <row r="1406" spans="1:9" x14ac:dyDescent="0.3">
      <c r="A1406">
        <v>1405</v>
      </c>
      <c r="B1406" t="s">
        <v>5137</v>
      </c>
      <c r="C1406" t="s">
        <v>3392</v>
      </c>
      <c r="D1406" t="s">
        <v>5611</v>
      </c>
      <c r="E1406" t="s">
        <v>5138</v>
      </c>
      <c r="F1406" t="s">
        <v>5139</v>
      </c>
      <c r="G1406" t="s">
        <v>1524</v>
      </c>
      <c r="H1406" t="s">
        <v>34</v>
      </c>
      <c r="I1406">
        <v>10550</v>
      </c>
    </row>
    <row r="1407" spans="1:9" x14ac:dyDescent="0.3">
      <c r="A1407">
        <v>1406</v>
      </c>
      <c r="B1407" t="s">
        <v>5140</v>
      </c>
      <c r="C1407" t="s">
        <v>2031</v>
      </c>
      <c r="D1407" t="s">
        <v>5611</v>
      </c>
      <c r="E1407" t="s">
        <v>5141</v>
      </c>
      <c r="F1407" t="s">
        <v>5142</v>
      </c>
      <c r="G1407" t="s">
        <v>2511</v>
      </c>
      <c r="H1407" t="s">
        <v>34</v>
      </c>
      <c r="I1407">
        <v>11040</v>
      </c>
    </row>
    <row r="1408" spans="1:9" x14ac:dyDescent="0.3">
      <c r="A1408">
        <v>1407</v>
      </c>
      <c r="B1408" t="s">
        <v>5143</v>
      </c>
      <c r="C1408" t="s">
        <v>2793</v>
      </c>
      <c r="D1408" t="s">
        <v>5611</v>
      </c>
      <c r="E1408" t="s">
        <v>5144</v>
      </c>
      <c r="F1408" t="s">
        <v>5145</v>
      </c>
      <c r="G1408" t="s">
        <v>1329</v>
      </c>
      <c r="H1408" t="s">
        <v>34</v>
      </c>
      <c r="I1408">
        <v>11720</v>
      </c>
    </row>
    <row r="1409" spans="1:9" x14ac:dyDescent="0.3">
      <c r="A1409">
        <v>1408</v>
      </c>
      <c r="B1409" t="s">
        <v>5146</v>
      </c>
      <c r="C1409" t="s">
        <v>2298</v>
      </c>
      <c r="D1409" t="s">
        <v>5611</v>
      </c>
      <c r="E1409" t="s">
        <v>5147</v>
      </c>
      <c r="F1409" t="s">
        <v>5148</v>
      </c>
      <c r="G1409" t="s">
        <v>714</v>
      </c>
      <c r="H1409" t="s">
        <v>34</v>
      </c>
      <c r="I1409">
        <v>10573</v>
      </c>
    </row>
    <row r="1410" spans="1:9" x14ac:dyDescent="0.3">
      <c r="A1410">
        <v>1409</v>
      </c>
      <c r="B1410" t="s">
        <v>3037</v>
      </c>
      <c r="C1410" t="s">
        <v>1716</v>
      </c>
      <c r="D1410" t="s">
        <v>5149</v>
      </c>
      <c r="E1410" t="s">
        <v>5150</v>
      </c>
      <c r="F1410" t="s">
        <v>5151</v>
      </c>
      <c r="G1410" t="s">
        <v>67</v>
      </c>
      <c r="H1410" t="s">
        <v>34</v>
      </c>
      <c r="I1410">
        <v>14215</v>
      </c>
    </row>
    <row r="1411" spans="1:9" x14ac:dyDescent="0.3">
      <c r="A1411">
        <v>1410</v>
      </c>
      <c r="B1411" t="s">
        <v>5152</v>
      </c>
      <c r="C1411" t="s">
        <v>4916</v>
      </c>
      <c r="D1411" t="s">
        <v>5153</v>
      </c>
      <c r="E1411" t="s">
        <v>5154</v>
      </c>
      <c r="F1411" t="s">
        <v>5155</v>
      </c>
      <c r="G1411" t="s">
        <v>1907</v>
      </c>
      <c r="H1411" t="s">
        <v>34</v>
      </c>
      <c r="I1411">
        <v>10701</v>
      </c>
    </row>
    <row r="1412" spans="1:9" x14ac:dyDescent="0.3">
      <c r="A1412">
        <v>1411</v>
      </c>
      <c r="B1412" t="s">
        <v>5156</v>
      </c>
      <c r="C1412" t="s">
        <v>3701</v>
      </c>
      <c r="D1412" t="s">
        <v>5611</v>
      </c>
      <c r="E1412" t="s">
        <v>5157</v>
      </c>
      <c r="F1412" t="s">
        <v>5158</v>
      </c>
      <c r="G1412" t="s">
        <v>2022</v>
      </c>
      <c r="H1412" t="s">
        <v>34</v>
      </c>
      <c r="I1412">
        <v>11520</v>
      </c>
    </row>
    <row r="1413" spans="1:9" x14ac:dyDescent="0.3">
      <c r="A1413">
        <v>1412</v>
      </c>
      <c r="B1413" t="s">
        <v>5159</v>
      </c>
      <c r="C1413" t="s">
        <v>335</v>
      </c>
      <c r="D1413" t="s">
        <v>5611</v>
      </c>
      <c r="E1413" t="s">
        <v>5160</v>
      </c>
      <c r="F1413" t="s">
        <v>5161</v>
      </c>
      <c r="G1413" t="s">
        <v>939</v>
      </c>
      <c r="H1413" t="s">
        <v>34</v>
      </c>
      <c r="I1413">
        <v>11374</v>
      </c>
    </row>
    <row r="1414" spans="1:9" x14ac:dyDescent="0.3">
      <c r="A1414">
        <v>1413</v>
      </c>
      <c r="B1414" t="s">
        <v>3189</v>
      </c>
      <c r="C1414" t="s">
        <v>964</v>
      </c>
      <c r="D1414" t="s">
        <v>5611</v>
      </c>
      <c r="E1414" t="s">
        <v>5162</v>
      </c>
      <c r="F1414" t="s">
        <v>5163</v>
      </c>
      <c r="G1414" t="s">
        <v>948</v>
      </c>
      <c r="H1414" t="s">
        <v>34</v>
      </c>
      <c r="I1414">
        <v>12553</v>
      </c>
    </row>
    <row r="1415" spans="1:9" x14ac:dyDescent="0.3">
      <c r="A1415">
        <v>1414</v>
      </c>
      <c r="B1415" t="s">
        <v>5164</v>
      </c>
      <c r="C1415" t="s">
        <v>5165</v>
      </c>
      <c r="D1415" t="s">
        <v>5611</v>
      </c>
      <c r="E1415" t="s">
        <v>5166</v>
      </c>
      <c r="F1415" t="s">
        <v>5167</v>
      </c>
      <c r="G1415" t="s">
        <v>240</v>
      </c>
      <c r="H1415" t="s">
        <v>34</v>
      </c>
      <c r="I1415">
        <v>12804</v>
      </c>
    </row>
    <row r="1416" spans="1:9" x14ac:dyDescent="0.3">
      <c r="A1416">
        <v>1415</v>
      </c>
      <c r="B1416" t="s">
        <v>5168</v>
      </c>
      <c r="C1416" t="s">
        <v>3649</v>
      </c>
      <c r="D1416" t="s">
        <v>5611</v>
      </c>
      <c r="E1416" t="s">
        <v>5169</v>
      </c>
      <c r="F1416" t="s">
        <v>5170</v>
      </c>
      <c r="G1416" t="s">
        <v>927</v>
      </c>
      <c r="H1416" t="s">
        <v>40</v>
      </c>
      <c r="I1416">
        <v>95060</v>
      </c>
    </row>
    <row r="1417" spans="1:9" x14ac:dyDescent="0.3">
      <c r="A1417">
        <v>1416</v>
      </c>
      <c r="B1417" t="s">
        <v>3022</v>
      </c>
      <c r="C1417" t="s">
        <v>369</v>
      </c>
      <c r="D1417" t="s">
        <v>5611</v>
      </c>
      <c r="E1417" t="s">
        <v>5171</v>
      </c>
      <c r="F1417" t="s">
        <v>5172</v>
      </c>
      <c r="G1417" t="s">
        <v>224</v>
      </c>
      <c r="H1417" t="s">
        <v>34</v>
      </c>
      <c r="I1417">
        <v>11102</v>
      </c>
    </row>
    <row r="1418" spans="1:9" x14ac:dyDescent="0.3">
      <c r="A1418">
        <v>1417</v>
      </c>
      <c r="B1418" t="s">
        <v>5173</v>
      </c>
      <c r="C1418" t="s">
        <v>2305</v>
      </c>
      <c r="D1418" t="s">
        <v>5611</v>
      </c>
      <c r="E1418" t="s">
        <v>5174</v>
      </c>
      <c r="F1418" t="s">
        <v>5175</v>
      </c>
      <c r="G1418" t="s">
        <v>104</v>
      </c>
      <c r="H1418" t="s">
        <v>99</v>
      </c>
      <c r="I1418">
        <v>75126</v>
      </c>
    </row>
    <row r="1419" spans="1:9" x14ac:dyDescent="0.3">
      <c r="A1419">
        <v>1418</v>
      </c>
      <c r="B1419" t="s">
        <v>5176</v>
      </c>
      <c r="C1419" t="s">
        <v>4292</v>
      </c>
      <c r="D1419" t="s">
        <v>5177</v>
      </c>
      <c r="E1419" t="s">
        <v>5178</v>
      </c>
      <c r="F1419" t="s">
        <v>5179</v>
      </c>
      <c r="G1419" t="s">
        <v>564</v>
      </c>
      <c r="H1419" t="s">
        <v>40</v>
      </c>
      <c r="I1419">
        <v>92806</v>
      </c>
    </row>
    <row r="1420" spans="1:9" x14ac:dyDescent="0.3">
      <c r="A1420">
        <v>1419</v>
      </c>
      <c r="B1420" t="s">
        <v>5152</v>
      </c>
      <c r="C1420" t="s">
        <v>1384</v>
      </c>
      <c r="D1420" t="s">
        <v>5611</v>
      </c>
      <c r="E1420" t="s">
        <v>5180</v>
      </c>
      <c r="F1420" t="s">
        <v>5181</v>
      </c>
      <c r="G1420" t="s">
        <v>1199</v>
      </c>
      <c r="H1420" t="s">
        <v>40</v>
      </c>
      <c r="I1420">
        <v>94566</v>
      </c>
    </row>
    <row r="1421" spans="1:9" x14ac:dyDescent="0.3">
      <c r="A1421">
        <v>1420</v>
      </c>
      <c r="B1421" t="s">
        <v>5182</v>
      </c>
      <c r="C1421" t="s">
        <v>206</v>
      </c>
      <c r="D1421" t="s">
        <v>5611</v>
      </c>
      <c r="E1421" t="s">
        <v>5183</v>
      </c>
      <c r="F1421" t="s">
        <v>5184</v>
      </c>
      <c r="G1421" t="s">
        <v>1524</v>
      </c>
      <c r="H1421" t="s">
        <v>34</v>
      </c>
      <c r="I1421">
        <v>10550</v>
      </c>
    </row>
    <row r="1422" spans="1:9" x14ac:dyDescent="0.3">
      <c r="A1422">
        <v>1421</v>
      </c>
      <c r="B1422" t="s">
        <v>5185</v>
      </c>
      <c r="C1422" t="s">
        <v>3193</v>
      </c>
      <c r="D1422" t="s">
        <v>5611</v>
      </c>
      <c r="E1422" t="s">
        <v>5186</v>
      </c>
      <c r="F1422" t="s">
        <v>5187</v>
      </c>
      <c r="G1422" t="s">
        <v>109</v>
      </c>
      <c r="H1422" t="s">
        <v>34</v>
      </c>
      <c r="I1422">
        <v>12901</v>
      </c>
    </row>
    <row r="1423" spans="1:9" x14ac:dyDescent="0.3">
      <c r="A1423">
        <v>1422</v>
      </c>
      <c r="B1423" t="s">
        <v>5188</v>
      </c>
      <c r="C1423" t="s">
        <v>3131</v>
      </c>
      <c r="D1423" t="s">
        <v>5611</v>
      </c>
      <c r="E1423" t="s">
        <v>5189</v>
      </c>
      <c r="F1423" t="s">
        <v>5190</v>
      </c>
      <c r="G1423" t="s">
        <v>728</v>
      </c>
      <c r="H1423" t="s">
        <v>34</v>
      </c>
      <c r="I1423">
        <v>11787</v>
      </c>
    </row>
    <row r="1424" spans="1:9" x14ac:dyDescent="0.3">
      <c r="A1424">
        <v>1423</v>
      </c>
      <c r="B1424" t="s">
        <v>5191</v>
      </c>
      <c r="C1424" t="s">
        <v>5192</v>
      </c>
      <c r="D1424" t="s">
        <v>5193</v>
      </c>
      <c r="E1424" t="s">
        <v>5194</v>
      </c>
      <c r="F1424" t="s">
        <v>5195</v>
      </c>
      <c r="G1424" t="s">
        <v>2173</v>
      </c>
      <c r="H1424" t="s">
        <v>99</v>
      </c>
      <c r="I1424">
        <v>76110</v>
      </c>
    </row>
    <row r="1425" spans="1:9" x14ac:dyDescent="0.3">
      <c r="A1425">
        <v>1424</v>
      </c>
      <c r="B1425" t="s">
        <v>5196</v>
      </c>
      <c r="C1425" t="s">
        <v>1582</v>
      </c>
      <c r="D1425" t="s">
        <v>5611</v>
      </c>
      <c r="E1425" t="s">
        <v>5197</v>
      </c>
      <c r="F1425" t="s">
        <v>5198</v>
      </c>
      <c r="G1425" t="s">
        <v>87</v>
      </c>
      <c r="H1425" t="s">
        <v>34</v>
      </c>
      <c r="I1425">
        <v>10952</v>
      </c>
    </row>
    <row r="1426" spans="1:9" x14ac:dyDescent="0.3">
      <c r="A1426">
        <v>1425</v>
      </c>
      <c r="B1426" t="s">
        <v>1281</v>
      </c>
      <c r="C1426" t="s">
        <v>1423</v>
      </c>
      <c r="D1426" t="s">
        <v>5611</v>
      </c>
      <c r="E1426" t="s">
        <v>5199</v>
      </c>
      <c r="F1426" t="s">
        <v>5200</v>
      </c>
      <c r="G1426" t="s">
        <v>1769</v>
      </c>
      <c r="H1426" t="s">
        <v>34</v>
      </c>
      <c r="I1426">
        <v>11967</v>
      </c>
    </row>
    <row r="1427" spans="1:9" x14ac:dyDescent="0.3">
      <c r="A1427">
        <v>1426</v>
      </c>
      <c r="B1427" t="s">
        <v>5201</v>
      </c>
      <c r="C1427" t="s">
        <v>1306</v>
      </c>
      <c r="D1427" t="s">
        <v>5202</v>
      </c>
      <c r="E1427" t="s">
        <v>5203</v>
      </c>
      <c r="F1427" t="s">
        <v>5204</v>
      </c>
      <c r="G1427" t="s">
        <v>621</v>
      </c>
      <c r="H1427" t="s">
        <v>99</v>
      </c>
      <c r="I1427">
        <v>78418</v>
      </c>
    </row>
    <row r="1428" spans="1:9" x14ac:dyDescent="0.3">
      <c r="A1428">
        <v>1427</v>
      </c>
      <c r="B1428" t="s">
        <v>5205</v>
      </c>
      <c r="C1428" t="s">
        <v>526</v>
      </c>
      <c r="D1428" t="s">
        <v>5611</v>
      </c>
      <c r="E1428" t="s">
        <v>5206</v>
      </c>
      <c r="F1428" t="s">
        <v>5207</v>
      </c>
      <c r="G1428" t="s">
        <v>154</v>
      </c>
      <c r="H1428" t="s">
        <v>40</v>
      </c>
      <c r="I1428">
        <v>95301</v>
      </c>
    </row>
    <row r="1429" spans="1:9" x14ac:dyDescent="0.3">
      <c r="A1429">
        <v>1428</v>
      </c>
      <c r="B1429" t="s">
        <v>770</v>
      </c>
      <c r="C1429" t="s">
        <v>253</v>
      </c>
      <c r="D1429" t="s">
        <v>5611</v>
      </c>
      <c r="E1429" t="s">
        <v>5208</v>
      </c>
      <c r="F1429" t="s">
        <v>5209</v>
      </c>
      <c r="G1429" t="s">
        <v>927</v>
      </c>
      <c r="H1429" t="s">
        <v>40</v>
      </c>
      <c r="I1429">
        <v>95060</v>
      </c>
    </row>
    <row r="1430" spans="1:9" x14ac:dyDescent="0.3">
      <c r="A1430">
        <v>1429</v>
      </c>
      <c r="B1430" t="s">
        <v>353</v>
      </c>
      <c r="C1430" t="s">
        <v>5210</v>
      </c>
      <c r="D1430" t="s">
        <v>5611</v>
      </c>
      <c r="E1430" t="s">
        <v>5211</v>
      </c>
      <c r="F1430" t="s">
        <v>5212</v>
      </c>
      <c r="G1430" t="s">
        <v>1595</v>
      </c>
      <c r="H1430" t="s">
        <v>40</v>
      </c>
      <c r="I1430">
        <v>91768</v>
      </c>
    </row>
    <row r="1431" spans="1:9" x14ac:dyDescent="0.3">
      <c r="A1431">
        <v>1430</v>
      </c>
      <c r="B1431" t="s">
        <v>5213</v>
      </c>
      <c r="C1431" t="s">
        <v>3095</v>
      </c>
      <c r="D1431" t="s">
        <v>5214</v>
      </c>
      <c r="E1431" t="s">
        <v>5215</v>
      </c>
      <c r="F1431" t="s">
        <v>5216</v>
      </c>
      <c r="G1431" t="s">
        <v>1974</v>
      </c>
      <c r="H1431" t="s">
        <v>40</v>
      </c>
      <c r="I1431">
        <v>93306</v>
      </c>
    </row>
    <row r="1432" spans="1:9" x14ac:dyDescent="0.3">
      <c r="A1432">
        <v>1431</v>
      </c>
      <c r="B1432" t="s">
        <v>1273</v>
      </c>
      <c r="C1432" t="s">
        <v>3907</v>
      </c>
      <c r="D1432" t="s">
        <v>5611</v>
      </c>
      <c r="E1432" t="s">
        <v>5217</v>
      </c>
      <c r="F1432" t="s">
        <v>5218</v>
      </c>
      <c r="G1432" t="s">
        <v>291</v>
      </c>
      <c r="H1432" t="s">
        <v>34</v>
      </c>
      <c r="I1432">
        <v>11369</v>
      </c>
    </row>
    <row r="1433" spans="1:9" x14ac:dyDescent="0.3">
      <c r="A1433">
        <v>1432</v>
      </c>
      <c r="B1433" t="s">
        <v>5219</v>
      </c>
      <c r="C1433" t="s">
        <v>1412</v>
      </c>
      <c r="D1433" t="s">
        <v>5611</v>
      </c>
      <c r="E1433" t="s">
        <v>5220</v>
      </c>
      <c r="F1433" t="s">
        <v>5221</v>
      </c>
      <c r="G1433" t="s">
        <v>144</v>
      </c>
      <c r="H1433" t="s">
        <v>34</v>
      </c>
      <c r="I1433">
        <v>11731</v>
      </c>
    </row>
    <row r="1434" spans="1:9" x14ac:dyDescent="0.3">
      <c r="A1434">
        <v>1433</v>
      </c>
      <c r="B1434" t="s">
        <v>5222</v>
      </c>
      <c r="C1434" t="s">
        <v>5104</v>
      </c>
      <c r="D1434" t="s">
        <v>5611</v>
      </c>
      <c r="E1434" t="s">
        <v>5223</v>
      </c>
      <c r="F1434" t="s">
        <v>5224</v>
      </c>
      <c r="G1434" t="s">
        <v>120</v>
      </c>
      <c r="H1434" t="s">
        <v>34</v>
      </c>
      <c r="I1434">
        <v>10583</v>
      </c>
    </row>
    <row r="1435" spans="1:9" x14ac:dyDescent="0.3">
      <c r="A1435">
        <v>1434</v>
      </c>
      <c r="B1435" t="s">
        <v>5225</v>
      </c>
      <c r="C1435" t="s">
        <v>2067</v>
      </c>
      <c r="D1435" t="s">
        <v>5611</v>
      </c>
      <c r="E1435" t="s">
        <v>5226</v>
      </c>
      <c r="F1435" t="s">
        <v>5227</v>
      </c>
      <c r="G1435" t="s">
        <v>214</v>
      </c>
      <c r="H1435" t="s">
        <v>34</v>
      </c>
      <c r="I1435">
        <v>13090</v>
      </c>
    </row>
    <row r="1436" spans="1:9" x14ac:dyDescent="0.3">
      <c r="A1436">
        <v>1435</v>
      </c>
      <c r="B1436" t="s">
        <v>5228</v>
      </c>
      <c r="C1436" t="s">
        <v>2114</v>
      </c>
      <c r="D1436" t="s">
        <v>5611</v>
      </c>
      <c r="E1436" t="s">
        <v>5229</v>
      </c>
      <c r="F1436" t="s">
        <v>5230</v>
      </c>
      <c r="G1436" t="s">
        <v>120</v>
      </c>
      <c r="H1436" t="s">
        <v>34</v>
      </c>
      <c r="I1436">
        <v>10583</v>
      </c>
    </row>
    <row r="1437" spans="1:9" x14ac:dyDescent="0.3">
      <c r="A1437">
        <v>1436</v>
      </c>
      <c r="B1437" t="s">
        <v>5231</v>
      </c>
      <c r="C1437" t="s">
        <v>4329</v>
      </c>
      <c r="D1437" t="s">
        <v>5611</v>
      </c>
      <c r="E1437" t="s">
        <v>5232</v>
      </c>
      <c r="F1437" t="s">
        <v>5233</v>
      </c>
      <c r="G1437" t="s">
        <v>1241</v>
      </c>
      <c r="H1437" t="s">
        <v>34</v>
      </c>
      <c r="I1437">
        <v>11710</v>
      </c>
    </row>
    <row r="1438" spans="1:9" x14ac:dyDescent="0.3">
      <c r="A1438">
        <v>1437</v>
      </c>
      <c r="B1438" t="s">
        <v>5234</v>
      </c>
      <c r="C1438" t="s">
        <v>3767</v>
      </c>
      <c r="D1438" t="s">
        <v>5611</v>
      </c>
      <c r="E1438" t="s">
        <v>5235</v>
      </c>
      <c r="F1438" t="s">
        <v>5236</v>
      </c>
      <c r="G1438" t="s">
        <v>323</v>
      </c>
      <c r="H1438" t="s">
        <v>34</v>
      </c>
      <c r="I1438">
        <v>11570</v>
      </c>
    </row>
    <row r="1439" spans="1:9" x14ac:dyDescent="0.3">
      <c r="A1439">
        <v>1438</v>
      </c>
      <c r="B1439" t="s">
        <v>885</v>
      </c>
      <c r="C1439" t="s">
        <v>2826</v>
      </c>
      <c r="D1439" t="s">
        <v>5237</v>
      </c>
      <c r="E1439" t="s">
        <v>5238</v>
      </c>
      <c r="F1439" t="s">
        <v>5239</v>
      </c>
      <c r="G1439" t="s">
        <v>558</v>
      </c>
      <c r="H1439" t="s">
        <v>40</v>
      </c>
      <c r="I1439">
        <v>95127</v>
      </c>
    </row>
    <row r="1440" spans="1:9" x14ac:dyDescent="0.3">
      <c r="A1440">
        <v>1439</v>
      </c>
      <c r="B1440" t="s">
        <v>5240</v>
      </c>
      <c r="C1440" t="s">
        <v>136</v>
      </c>
      <c r="D1440" t="s">
        <v>5611</v>
      </c>
      <c r="E1440" t="s">
        <v>5241</v>
      </c>
      <c r="F1440" t="s">
        <v>5242</v>
      </c>
      <c r="G1440" t="s">
        <v>1856</v>
      </c>
      <c r="H1440" t="s">
        <v>34</v>
      </c>
      <c r="I1440">
        <v>10801</v>
      </c>
    </row>
    <row r="1441" spans="1:9" x14ac:dyDescent="0.3">
      <c r="A1441">
        <v>1440</v>
      </c>
      <c r="B1441" t="s">
        <v>5243</v>
      </c>
      <c r="C1441" t="s">
        <v>1534</v>
      </c>
      <c r="D1441" t="s">
        <v>5611</v>
      </c>
      <c r="E1441" t="s">
        <v>5244</v>
      </c>
      <c r="F1441" t="s">
        <v>5245</v>
      </c>
      <c r="G1441" t="s">
        <v>4086</v>
      </c>
      <c r="H1441" t="s">
        <v>34</v>
      </c>
      <c r="I1441">
        <v>11364</v>
      </c>
    </row>
    <row r="1442" spans="1:9" x14ac:dyDescent="0.3">
      <c r="A1442">
        <v>1441</v>
      </c>
      <c r="B1442" t="s">
        <v>180</v>
      </c>
      <c r="C1442" t="s">
        <v>5246</v>
      </c>
      <c r="D1442" t="s">
        <v>5611</v>
      </c>
      <c r="E1442" t="s">
        <v>5247</v>
      </c>
      <c r="F1442" t="s">
        <v>5248</v>
      </c>
      <c r="G1442" t="s">
        <v>719</v>
      </c>
      <c r="H1442" t="s">
        <v>34</v>
      </c>
      <c r="I1442">
        <v>10301</v>
      </c>
    </row>
    <row r="1443" spans="1:9" x14ac:dyDescent="0.3">
      <c r="A1443">
        <v>1442</v>
      </c>
      <c r="B1443" t="s">
        <v>5249</v>
      </c>
      <c r="C1443" t="s">
        <v>4836</v>
      </c>
      <c r="D1443" t="s">
        <v>5611</v>
      </c>
      <c r="E1443" t="s">
        <v>5250</v>
      </c>
      <c r="F1443" t="s">
        <v>5251</v>
      </c>
      <c r="G1443" t="s">
        <v>981</v>
      </c>
      <c r="H1443" t="s">
        <v>34</v>
      </c>
      <c r="I1443">
        <v>11201</v>
      </c>
    </row>
    <row r="1444" spans="1:9" x14ac:dyDescent="0.3">
      <c r="A1444">
        <v>1443</v>
      </c>
      <c r="B1444" t="s">
        <v>3360</v>
      </c>
      <c r="C1444" t="s">
        <v>3177</v>
      </c>
      <c r="D1444" t="s">
        <v>5611</v>
      </c>
      <c r="E1444" t="s">
        <v>5252</v>
      </c>
      <c r="F1444" t="s">
        <v>5253</v>
      </c>
      <c r="G1444" t="s">
        <v>319</v>
      </c>
      <c r="H1444" t="s">
        <v>34</v>
      </c>
      <c r="I1444">
        <v>11722</v>
      </c>
    </row>
    <row r="1445" spans="1:9" x14ac:dyDescent="0.3">
      <c r="A1445">
        <v>1444</v>
      </c>
      <c r="B1445" t="s">
        <v>3805</v>
      </c>
      <c r="C1445" t="s">
        <v>1074</v>
      </c>
      <c r="D1445" t="s">
        <v>5611</v>
      </c>
      <c r="E1445" t="s">
        <v>5254</v>
      </c>
      <c r="F1445" t="s">
        <v>5255</v>
      </c>
      <c r="G1445" t="s">
        <v>125</v>
      </c>
      <c r="H1445" t="s">
        <v>34</v>
      </c>
      <c r="I1445">
        <v>14424</v>
      </c>
    </row>
    <row r="1446" spans="1:9" x14ac:dyDescent="0.3">
      <c r="A1446">
        <v>1445</v>
      </c>
      <c r="B1446" t="s">
        <v>5256</v>
      </c>
      <c r="C1446" t="s">
        <v>2280</v>
      </c>
      <c r="D1446" t="s">
        <v>5611</v>
      </c>
      <c r="E1446" t="s">
        <v>5257</v>
      </c>
      <c r="F1446" t="s">
        <v>5258</v>
      </c>
      <c r="G1446" t="s">
        <v>270</v>
      </c>
      <c r="H1446" t="s">
        <v>40</v>
      </c>
      <c r="I1446">
        <v>94580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7"/>
  <sheetViews>
    <sheetView workbookViewId="0">
      <selection activeCell="F1" sqref="F1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16" bestFit="1" customWidth="1"/>
    <col min="4" max="4" width="14.77734375" bestFit="1" customWidth="1"/>
    <col min="5" max="5" width="17.33203125" bestFit="1" customWidth="1"/>
    <col min="6" max="6" width="16.88671875" bestFit="1" customWidth="1"/>
    <col min="7" max="7" width="12.21875" bestFit="1" customWidth="1"/>
    <col min="8" max="8" width="11.77734375" bestFit="1" customWidth="1"/>
    <col min="9" max="9" width="16" bestFit="1" customWidth="1"/>
    <col min="10" max="10" width="10.44140625" customWidth="1"/>
  </cols>
  <sheetData>
    <row r="1" spans="1:9" x14ac:dyDescent="0.3">
      <c r="A1" s="1" t="s">
        <v>5259</v>
      </c>
      <c r="B1" s="1" t="s">
        <v>20</v>
      </c>
      <c r="C1" s="1" t="s">
        <v>5260</v>
      </c>
      <c r="D1" s="11" t="s">
        <v>5261</v>
      </c>
      <c r="E1" s="11" t="s">
        <v>5262</v>
      </c>
      <c r="F1" s="11" t="s">
        <v>5263</v>
      </c>
      <c r="G1" s="1" t="s">
        <v>5264</v>
      </c>
      <c r="H1" s="1" t="s">
        <v>5265</v>
      </c>
      <c r="I1" s="1" t="s">
        <v>5260</v>
      </c>
    </row>
    <row r="2" spans="1:9" x14ac:dyDescent="0.3">
      <c r="A2">
        <v>1</v>
      </c>
      <c r="B2">
        <v>259</v>
      </c>
      <c r="C2">
        <v>4</v>
      </c>
      <c r="D2" s="12">
        <v>42370</v>
      </c>
      <c r="E2" s="12">
        <v>42372</v>
      </c>
      <c r="F2" s="12">
        <v>42372</v>
      </c>
      <c r="G2">
        <v>1</v>
      </c>
      <c r="H2">
        <v>2</v>
      </c>
      <c r="I2" t="str">
        <f>IF(F2="NA","Pending",IF(OR(E2=F2,E2&lt;F2),"Shipped","Delivered"))</f>
        <v>Shipped</v>
      </c>
    </row>
    <row r="3" spans="1:9" x14ac:dyDescent="0.3">
      <c r="A3">
        <v>2</v>
      </c>
      <c r="B3">
        <v>1212</v>
      </c>
      <c r="C3">
        <v>4</v>
      </c>
      <c r="D3" s="12">
        <v>42370</v>
      </c>
      <c r="E3" s="12">
        <v>42373</v>
      </c>
      <c r="F3" s="12">
        <v>42372</v>
      </c>
      <c r="G3">
        <v>2</v>
      </c>
      <c r="H3">
        <v>6</v>
      </c>
      <c r="I3" t="str">
        <f t="shared" ref="I3:I66" si="0">IF(F3="NA","Pending",IF(OR(E3=F3,E3&lt;F3),"Shipped","Delivered"))</f>
        <v>Delivered</v>
      </c>
    </row>
    <row r="4" spans="1:9" x14ac:dyDescent="0.3">
      <c r="A4">
        <v>3</v>
      </c>
      <c r="B4">
        <v>523</v>
      </c>
      <c r="C4">
        <v>4</v>
      </c>
      <c r="D4" s="12">
        <v>42371</v>
      </c>
      <c r="E4" s="12">
        <v>42374</v>
      </c>
      <c r="F4" s="12">
        <v>42372</v>
      </c>
      <c r="G4">
        <v>2</v>
      </c>
      <c r="H4">
        <v>7</v>
      </c>
      <c r="I4" t="str">
        <f t="shared" si="0"/>
        <v>Delivered</v>
      </c>
    </row>
    <row r="5" spans="1:9" x14ac:dyDescent="0.3">
      <c r="A5">
        <v>4</v>
      </c>
      <c r="B5">
        <v>175</v>
      </c>
      <c r="C5">
        <v>4</v>
      </c>
      <c r="D5" s="12">
        <v>42372</v>
      </c>
      <c r="E5" s="12">
        <v>42373</v>
      </c>
      <c r="F5" s="12">
        <v>42374</v>
      </c>
      <c r="G5">
        <v>1</v>
      </c>
      <c r="H5">
        <v>3</v>
      </c>
      <c r="I5" t="str">
        <f t="shared" si="0"/>
        <v>Shipped</v>
      </c>
    </row>
    <row r="6" spans="1:9" x14ac:dyDescent="0.3">
      <c r="A6">
        <v>5</v>
      </c>
      <c r="B6">
        <v>1324</v>
      </c>
      <c r="C6">
        <v>4</v>
      </c>
      <c r="D6" s="12">
        <v>42372</v>
      </c>
      <c r="E6" s="12">
        <v>42375</v>
      </c>
      <c r="F6" s="12">
        <v>42375</v>
      </c>
      <c r="G6">
        <v>2</v>
      </c>
      <c r="H6">
        <v>6</v>
      </c>
      <c r="I6" t="str">
        <f t="shared" si="0"/>
        <v>Shipped</v>
      </c>
    </row>
    <row r="7" spans="1:9" x14ac:dyDescent="0.3">
      <c r="A7">
        <v>6</v>
      </c>
      <c r="B7">
        <v>94</v>
      </c>
      <c r="C7">
        <v>4</v>
      </c>
      <c r="D7" s="12">
        <v>42373</v>
      </c>
      <c r="E7" s="12">
        <v>42376</v>
      </c>
      <c r="F7" s="12">
        <v>42374</v>
      </c>
      <c r="G7">
        <v>2</v>
      </c>
      <c r="H7">
        <v>6</v>
      </c>
      <c r="I7" t="str">
        <f t="shared" si="0"/>
        <v>Delivered</v>
      </c>
    </row>
    <row r="8" spans="1:9" x14ac:dyDescent="0.3">
      <c r="A8">
        <v>7</v>
      </c>
      <c r="B8">
        <v>324</v>
      </c>
      <c r="C8">
        <v>4</v>
      </c>
      <c r="D8" s="12">
        <v>42373</v>
      </c>
      <c r="E8" s="12">
        <v>42376</v>
      </c>
      <c r="F8" s="12">
        <v>42374</v>
      </c>
      <c r="G8">
        <v>2</v>
      </c>
      <c r="H8">
        <v>6</v>
      </c>
      <c r="I8" t="str">
        <f t="shared" si="0"/>
        <v>Delivered</v>
      </c>
    </row>
    <row r="9" spans="1:9" x14ac:dyDescent="0.3">
      <c r="A9">
        <v>8</v>
      </c>
      <c r="B9">
        <v>1204</v>
      </c>
      <c r="C9">
        <v>4</v>
      </c>
      <c r="D9" s="12">
        <v>42373</v>
      </c>
      <c r="E9" s="12">
        <v>42374</v>
      </c>
      <c r="F9" s="12">
        <v>42374</v>
      </c>
      <c r="G9">
        <v>2</v>
      </c>
      <c r="H9">
        <v>7</v>
      </c>
      <c r="I9" t="str">
        <f t="shared" si="0"/>
        <v>Shipped</v>
      </c>
    </row>
    <row r="10" spans="1:9" x14ac:dyDescent="0.3">
      <c r="A10">
        <v>9</v>
      </c>
      <c r="B10">
        <v>60</v>
      </c>
      <c r="C10">
        <v>4</v>
      </c>
      <c r="D10" s="12">
        <v>42374</v>
      </c>
      <c r="E10" s="12">
        <v>42377</v>
      </c>
      <c r="F10" s="12">
        <v>42377</v>
      </c>
      <c r="G10">
        <v>1</v>
      </c>
      <c r="H10">
        <v>2</v>
      </c>
      <c r="I10" t="str">
        <f t="shared" si="0"/>
        <v>Shipped</v>
      </c>
    </row>
    <row r="11" spans="1:9" x14ac:dyDescent="0.3">
      <c r="A11">
        <v>10</v>
      </c>
      <c r="B11">
        <v>442</v>
      </c>
      <c r="C11">
        <v>4</v>
      </c>
      <c r="D11" s="12">
        <v>42374</v>
      </c>
      <c r="E11" s="12">
        <v>42375</v>
      </c>
      <c r="F11" s="12">
        <v>42375</v>
      </c>
      <c r="G11">
        <v>2</v>
      </c>
      <c r="H11">
        <v>6</v>
      </c>
      <c r="I11" t="str">
        <f t="shared" si="0"/>
        <v>Shipped</v>
      </c>
    </row>
    <row r="12" spans="1:9" x14ac:dyDescent="0.3">
      <c r="A12">
        <v>11</v>
      </c>
      <c r="B12">
        <v>1326</v>
      </c>
      <c r="C12">
        <v>4</v>
      </c>
      <c r="D12" s="12">
        <v>42374</v>
      </c>
      <c r="E12" s="12">
        <v>42377</v>
      </c>
      <c r="F12" s="12">
        <v>42376</v>
      </c>
      <c r="G12">
        <v>2</v>
      </c>
      <c r="H12">
        <v>7</v>
      </c>
      <c r="I12" t="str">
        <f t="shared" si="0"/>
        <v>Delivered</v>
      </c>
    </row>
    <row r="13" spans="1:9" x14ac:dyDescent="0.3">
      <c r="A13">
        <v>12</v>
      </c>
      <c r="B13">
        <v>91</v>
      </c>
      <c r="C13">
        <v>4</v>
      </c>
      <c r="D13" s="12">
        <v>42375</v>
      </c>
      <c r="E13" s="12">
        <v>42377</v>
      </c>
      <c r="F13" s="12">
        <v>42378</v>
      </c>
      <c r="G13">
        <v>1</v>
      </c>
      <c r="H13">
        <v>2</v>
      </c>
      <c r="I13" t="str">
        <f t="shared" si="0"/>
        <v>Shipped</v>
      </c>
    </row>
    <row r="14" spans="1:9" x14ac:dyDescent="0.3">
      <c r="A14">
        <v>13</v>
      </c>
      <c r="B14">
        <v>873</v>
      </c>
      <c r="C14">
        <v>4</v>
      </c>
      <c r="D14" s="12">
        <v>42377</v>
      </c>
      <c r="E14" s="12">
        <v>42380</v>
      </c>
      <c r="F14" s="12">
        <v>42380</v>
      </c>
      <c r="G14">
        <v>2</v>
      </c>
      <c r="H14">
        <v>6</v>
      </c>
      <c r="I14" t="str">
        <f t="shared" si="0"/>
        <v>Shipped</v>
      </c>
    </row>
    <row r="15" spans="1:9" x14ac:dyDescent="0.3">
      <c r="A15">
        <v>14</v>
      </c>
      <c r="B15">
        <v>258</v>
      </c>
      <c r="C15">
        <v>4</v>
      </c>
      <c r="D15" s="12">
        <v>42378</v>
      </c>
      <c r="E15" s="12">
        <v>42380</v>
      </c>
      <c r="F15" s="12">
        <v>42381</v>
      </c>
      <c r="G15">
        <v>1</v>
      </c>
      <c r="H15">
        <v>3</v>
      </c>
      <c r="I15" t="str">
        <f t="shared" si="0"/>
        <v>Shipped</v>
      </c>
    </row>
    <row r="16" spans="1:9" x14ac:dyDescent="0.3">
      <c r="A16">
        <v>15</v>
      </c>
      <c r="B16">
        <v>450</v>
      </c>
      <c r="C16">
        <v>4</v>
      </c>
      <c r="D16" s="12">
        <v>42378</v>
      </c>
      <c r="E16" s="12">
        <v>42379</v>
      </c>
      <c r="F16" s="12">
        <v>42381</v>
      </c>
      <c r="G16">
        <v>2</v>
      </c>
      <c r="H16">
        <v>7</v>
      </c>
      <c r="I16" t="str">
        <f t="shared" si="0"/>
        <v>Shipped</v>
      </c>
    </row>
    <row r="17" spans="1:9" x14ac:dyDescent="0.3">
      <c r="A17">
        <v>16</v>
      </c>
      <c r="B17">
        <v>552</v>
      </c>
      <c r="C17">
        <v>4</v>
      </c>
      <c r="D17" s="12">
        <v>42381</v>
      </c>
      <c r="E17" s="12">
        <v>42384</v>
      </c>
      <c r="F17" s="12">
        <v>42384</v>
      </c>
      <c r="G17">
        <v>1</v>
      </c>
      <c r="H17">
        <v>3</v>
      </c>
      <c r="I17" t="str">
        <f t="shared" si="0"/>
        <v>Shipped</v>
      </c>
    </row>
    <row r="18" spans="1:9" x14ac:dyDescent="0.3">
      <c r="A18">
        <v>17</v>
      </c>
      <c r="B18">
        <v>1175</v>
      </c>
      <c r="C18">
        <v>4</v>
      </c>
      <c r="D18" s="12">
        <v>42381</v>
      </c>
      <c r="E18" s="12">
        <v>42383</v>
      </c>
      <c r="F18" s="12">
        <v>42383</v>
      </c>
      <c r="G18">
        <v>1</v>
      </c>
      <c r="H18">
        <v>3</v>
      </c>
      <c r="I18" t="str">
        <f t="shared" si="0"/>
        <v>Shipped</v>
      </c>
    </row>
    <row r="19" spans="1:9" x14ac:dyDescent="0.3">
      <c r="A19">
        <v>18</v>
      </c>
      <c r="B19">
        <v>541</v>
      </c>
      <c r="C19">
        <v>4</v>
      </c>
      <c r="D19" s="12">
        <v>42383</v>
      </c>
      <c r="E19" s="12">
        <v>42386</v>
      </c>
      <c r="F19" s="12">
        <v>42384</v>
      </c>
      <c r="G19">
        <v>1</v>
      </c>
      <c r="H19">
        <v>3</v>
      </c>
      <c r="I19" t="str">
        <f t="shared" si="0"/>
        <v>Delivered</v>
      </c>
    </row>
    <row r="20" spans="1:9" x14ac:dyDescent="0.3">
      <c r="A20">
        <v>19</v>
      </c>
      <c r="B20">
        <v>696</v>
      </c>
      <c r="C20">
        <v>4</v>
      </c>
      <c r="D20" s="12">
        <v>42383</v>
      </c>
      <c r="E20" s="12">
        <v>42386</v>
      </c>
      <c r="F20" s="12">
        <v>42385</v>
      </c>
      <c r="G20">
        <v>1</v>
      </c>
      <c r="H20">
        <v>2</v>
      </c>
      <c r="I20" t="str">
        <f t="shared" si="0"/>
        <v>Delivered</v>
      </c>
    </row>
    <row r="21" spans="1:9" x14ac:dyDescent="0.3">
      <c r="A21">
        <v>20</v>
      </c>
      <c r="B21">
        <v>923</v>
      </c>
      <c r="C21">
        <v>4</v>
      </c>
      <c r="D21" s="12">
        <v>42383</v>
      </c>
      <c r="E21" s="12">
        <v>42385</v>
      </c>
      <c r="F21" s="12">
        <v>42386</v>
      </c>
      <c r="G21">
        <v>1</v>
      </c>
      <c r="H21">
        <v>2</v>
      </c>
      <c r="I21" t="str">
        <f t="shared" si="0"/>
        <v>Shipped</v>
      </c>
    </row>
    <row r="22" spans="1:9" x14ac:dyDescent="0.3">
      <c r="A22">
        <v>21</v>
      </c>
      <c r="B22">
        <v>1250</v>
      </c>
      <c r="C22">
        <v>4</v>
      </c>
      <c r="D22" s="12">
        <v>42384</v>
      </c>
      <c r="E22" s="12">
        <v>42385</v>
      </c>
      <c r="F22" s="12">
        <v>42387</v>
      </c>
      <c r="G22">
        <v>2</v>
      </c>
      <c r="H22">
        <v>6</v>
      </c>
      <c r="I22" t="str">
        <f t="shared" si="0"/>
        <v>Shipped</v>
      </c>
    </row>
    <row r="23" spans="1:9" x14ac:dyDescent="0.3">
      <c r="A23">
        <v>22</v>
      </c>
      <c r="B23">
        <v>1035</v>
      </c>
      <c r="C23">
        <v>4</v>
      </c>
      <c r="D23" s="12">
        <v>42385</v>
      </c>
      <c r="E23" s="12">
        <v>42387</v>
      </c>
      <c r="F23" s="12">
        <v>42386</v>
      </c>
      <c r="G23">
        <v>1</v>
      </c>
      <c r="H23">
        <v>2</v>
      </c>
      <c r="I23" t="str">
        <f t="shared" si="0"/>
        <v>Delivered</v>
      </c>
    </row>
    <row r="24" spans="1:9" x14ac:dyDescent="0.3">
      <c r="A24">
        <v>23</v>
      </c>
      <c r="B24">
        <v>1149</v>
      </c>
      <c r="C24">
        <v>4</v>
      </c>
      <c r="D24" s="12">
        <v>42385</v>
      </c>
      <c r="E24" s="12">
        <v>42388</v>
      </c>
      <c r="F24" s="12">
        <v>42388</v>
      </c>
      <c r="G24">
        <v>1</v>
      </c>
      <c r="H24">
        <v>2</v>
      </c>
      <c r="I24" t="str">
        <f t="shared" si="0"/>
        <v>Shipped</v>
      </c>
    </row>
    <row r="25" spans="1:9" x14ac:dyDescent="0.3">
      <c r="A25">
        <v>24</v>
      </c>
      <c r="B25">
        <v>636</v>
      </c>
      <c r="C25">
        <v>4</v>
      </c>
      <c r="D25" s="12">
        <v>42387</v>
      </c>
      <c r="E25" s="12">
        <v>42389</v>
      </c>
      <c r="F25" s="12">
        <v>42388</v>
      </c>
      <c r="G25">
        <v>2</v>
      </c>
      <c r="H25">
        <v>7</v>
      </c>
      <c r="I25" t="str">
        <f t="shared" si="0"/>
        <v>Delivered</v>
      </c>
    </row>
    <row r="26" spans="1:9" x14ac:dyDescent="0.3">
      <c r="A26">
        <v>25</v>
      </c>
      <c r="B26">
        <v>657</v>
      </c>
      <c r="C26">
        <v>4</v>
      </c>
      <c r="D26" s="12">
        <v>42387</v>
      </c>
      <c r="E26" s="12">
        <v>42390</v>
      </c>
      <c r="F26" s="12">
        <v>42390</v>
      </c>
      <c r="G26">
        <v>2</v>
      </c>
      <c r="H26">
        <v>6</v>
      </c>
      <c r="I26" t="str">
        <f t="shared" si="0"/>
        <v>Shipped</v>
      </c>
    </row>
    <row r="27" spans="1:9" x14ac:dyDescent="0.3">
      <c r="A27">
        <v>26</v>
      </c>
      <c r="B27">
        <v>1280</v>
      </c>
      <c r="C27">
        <v>4</v>
      </c>
      <c r="D27" s="12">
        <v>42387</v>
      </c>
      <c r="E27" s="12">
        <v>42390</v>
      </c>
      <c r="F27" s="12">
        <v>42388</v>
      </c>
      <c r="G27">
        <v>2</v>
      </c>
      <c r="H27">
        <v>7</v>
      </c>
      <c r="I27" t="str">
        <f t="shared" si="0"/>
        <v>Delivered</v>
      </c>
    </row>
    <row r="28" spans="1:9" x14ac:dyDescent="0.3">
      <c r="A28">
        <v>27</v>
      </c>
      <c r="B28">
        <v>57</v>
      </c>
      <c r="C28">
        <v>4</v>
      </c>
      <c r="D28" s="12">
        <v>42388</v>
      </c>
      <c r="E28" s="12">
        <v>42390</v>
      </c>
      <c r="F28" s="12">
        <v>42389</v>
      </c>
      <c r="G28">
        <v>2</v>
      </c>
      <c r="H28">
        <v>7</v>
      </c>
      <c r="I28" t="str">
        <f t="shared" si="0"/>
        <v>Delivered</v>
      </c>
    </row>
    <row r="29" spans="1:9" x14ac:dyDescent="0.3">
      <c r="A29">
        <v>28</v>
      </c>
      <c r="B29">
        <v>252</v>
      </c>
      <c r="C29">
        <v>4</v>
      </c>
      <c r="D29" s="12">
        <v>42388</v>
      </c>
      <c r="E29" s="12">
        <v>42389</v>
      </c>
      <c r="F29" s="12">
        <v>42390</v>
      </c>
      <c r="G29">
        <v>2</v>
      </c>
      <c r="H29">
        <v>6</v>
      </c>
      <c r="I29" t="str">
        <f t="shared" si="0"/>
        <v>Shipped</v>
      </c>
    </row>
    <row r="30" spans="1:9" x14ac:dyDescent="0.3">
      <c r="A30">
        <v>29</v>
      </c>
      <c r="B30">
        <v>437</v>
      </c>
      <c r="C30">
        <v>4</v>
      </c>
      <c r="D30" s="12">
        <v>42389</v>
      </c>
      <c r="E30" s="12">
        <v>42391</v>
      </c>
      <c r="F30" s="12">
        <v>42390</v>
      </c>
      <c r="G30">
        <v>2</v>
      </c>
      <c r="H30">
        <v>6</v>
      </c>
      <c r="I30" t="str">
        <f t="shared" si="0"/>
        <v>Delivered</v>
      </c>
    </row>
    <row r="31" spans="1:9" x14ac:dyDescent="0.3">
      <c r="A31">
        <v>30</v>
      </c>
      <c r="B31">
        <v>1348</v>
      </c>
      <c r="C31">
        <v>4</v>
      </c>
      <c r="D31" s="12">
        <v>42389</v>
      </c>
      <c r="E31" s="12">
        <v>42390</v>
      </c>
      <c r="F31" s="12">
        <v>42390</v>
      </c>
      <c r="G31">
        <v>2</v>
      </c>
      <c r="H31">
        <v>6</v>
      </c>
      <c r="I31" t="str">
        <f t="shared" si="0"/>
        <v>Shipped</v>
      </c>
    </row>
    <row r="32" spans="1:9" x14ac:dyDescent="0.3">
      <c r="A32">
        <v>31</v>
      </c>
      <c r="B32">
        <v>1238</v>
      </c>
      <c r="C32">
        <v>4</v>
      </c>
      <c r="D32" s="12">
        <v>42389</v>
      </c>
      <c r="E32" s="12">
        <v>42391</v>
      </c>
      <c r="F32" s="12">
        <v>42391</v>
      </c>
      <c r="G32">
        <v>3</v>
      </c>
      <c r="H32">
        <v>8</v>
      </c>
      <c r="I32" t="str">
        <f t="shared" si="0"/>
        <v>Shipped</v>
      </c>
    </row>
    <row r="33" spans="1:9" x14ac:dyDescent="0.3">
      <c r="A33">
        <v>32</v>
      </c>
      <c r="B33">
        <v>1259</v>
      </c>
      <c r="C33">
        <v>4</v>
      </c>
      <c r="D33" s="12">
        <v>42390</v>
      </c>
      <c r="E33" s="12">
        <v>42393</v>
      </c>
      <c r="F33" s="12">
        <v>42391</v>
      </c>
      <c r="G33">
        <v>1</v>
      </c>
      <c r="H33">
        <v>3</v>
      </c>
      <c r="I33" t="str">
        <f t="shared" si="0"/>
        <v>Delivered</v>
      </c>
    </row>
    <row r="34" spans="1:9" x14ac:dyDescent="0.3">
      <c r="A34">
        <v>33</v>
      </c>
      <c r="B34">
        <v>236</v>
      </c>
      <c r="C34">
        <v>4</v>
      </c>
      <c r="D34" s="12">
        <v>42390</v>
      </c>
      <c r="E34" s="12">
        <v>42391</v>
      </c>
      <c r="F34" s="12">
        <v>42391</v>
      </c>
      <c r="G34">
        <v>2</v>
      </c>
      <c r="H34">
        <v>6</v>
      </c>
      <c r="I34" t="str">
        <f t="shared" si="0"/>
        <v>Shipped</v>
      </c>
    </row>
    <row r="35" spans="1:9" x14ac:dyDescent="0.3">
      <c r="A35">
        <v>34</v>
      </c>
      <c r="B35">
        <v>80</v>
      </c>
      <c r="C35">
        <v>4</v>
      </c>
      <c r="D35" s="12">
        <v>42391</v>
      </c>
      <c r="E35" s="12">
        <v>42394</v>
      </c>
      <c r="F35" s="12">
        <v>42392</v>
      </c>
      <c r="G35">
        <v>2</v>
      </c>
      <c r="H35">
        <v>6</v>
      </c>
      <c r="I35" t="str">
        <f t="shared" si="0"/>
        <v>Delivered</v>
      </c>
    </row>
    <row r="36" spans="1:9" x14ac:dyDescent="0.3">
      <c r="A36">
        <v>35</v>
      </c>
      <c r="B36">
        <v>813</v>
      </c>
      <c r="C36">
        <v>4</v>
      </c>
      <c r="D36" s="12">
        <v>42391</v>
      </c>
      <c r="E36" s="12">
        <v>42394</v>
      </c>
      <c r="F36" s="12">
        <v>42393</v>
      </c>
      <c r="G36">
        <v>2</v>
      </c>
      <c r="H36">
        <v>7</v>
      </c>
      <c r="I36" t="str">
        <f t="shared" si="0"/>
        <v>Delivered</v>
      </c>
    </row>
    <row r="37" spans="1:9" x14ac:dyDescent="0.3">
      <c r="A37">
        <v>36</v>
      </c>
      <c r="B37">
        <v>1321</v>
      </c>
      <c r="C37">
        <v>4</v>
      </c>
      <c r="D37" s="12">
        <v>42392</v>
      </c>
      <c r="E37" s="12">
        <v>42393</v>
      </c>
      <c r="F37" s="12">
        <v>42393</v>
      </c>
      <c r="G37">
        <v>2</v>
      </c>
      <c r="H37">
        <v>6</v>
      </c>
      <c r="I37" t="str">
        <f t="shared" si="0"/>
        <v>Shipped</v>
      </c>
    </row>
    <row r="38" spans="1:9" x14ac:dyDescent="0.3">
      <c r="A38">
        <v>37</v>
      </c>
      <c r="B38">
        <v>164</v>
      </c>
      <c r="C38">
        <v>4</v>
      </c>
      <c r="D38" s="12">
        <v>42394</v>
      </c>
      <c r="E38" s="12">
        <v>42397</v>
      </c>
      <c r="F38" s="12">
        <v>42395</v>
      </c>
      <c r="G38">
        <v>2</v>
      </c>
      <c r="H38">
        <v>6</v>
      </c>
      <c r="I38" t="str">
        <f t="shared" si="0"/>
        <v>Delivered</v>
      </c>
    </row>
    <row r="39" spans="1:9" x14ac:dyDescent="0.3">
      <c r="A39">
        <v>38</v>
      </c>
      <c r="B39">
        <v>583</v>
      </c>
      <c r="C39">
        <v>4</v>
      </c>
      <c r="D39" s="12">
        <v>42394</v>
      </c>
      <c r="E39" s="12">
        <v>42396</v>
      </c>
      <c r="F39" s="12">
        <v>42395</v>
      </c>
      <c r="G39">
        <v>2</v>
      </c>
      <c r="H39">
        <v>7</v>
      </c>
      <c r="I39" t="str">
        <f t="shared" si="0"/>
        <v>Delivered</v>
      </c>
    </row>
    <row r="40" spans="1:9" x14ac:dyDescent="0.3">
      <c r="A40">
        <v>39</v>
      </c>
      <c r="B40">
        <v>1296</v>
      </c>
      <c r="C40">
        <v>4</v>
      </c>
      <c r="D40" s="12">
        <v>42394</v>
      </c>
      <c r="E40" s="12">
        <v>42395</v>
      </c>
      <c r="F40" s="12">
        <v>42395</v>
      </c>
      <c r="G40">
        <v>2</v>
      </c>
      <c r="H40">
        <v>7</v>
      </c>
      <c r="I40" t="str">
        <f t="shared" si="0"/>
        <v>Shipped</v>
      </c>
    </row>
    <row r="41" spans="1:9" x14ac:dyDescent="0.3">
      <c r="A41">
        <v>40</v>
      </c>
      <c r="B41">
        <v>348</v>
      </c>
      <c r="C41">
        <v>4</v>
      </c>
      <c r="D41" s="12">
        <v>42396</v>
      </c>
      <c r="E41" s="12">
        <v>42397</v>
      </c>
      <c r="F41" s="12">
        <v>42398</v>
      </c>
      <c r="G41">
        <v>1</v>
      </c>
      <c r="H41">
        <v>3</v>
      </c>
      <c r="I41" t="str">
        <f t="shared" si="0"/>
        <v>Shipped</v>
      </c>
    </row>
    <row r="42" spans="1:9" x14ac:dyDescent="0.3">
      <c r="A42">
        <v>41</v>
      </c>
      <c r="B42">
        <v>979</v>
      </c>
      <c r="C42">
        <v>4</v>
      </c>
      <c r="D42" s="12">
        <v>42396</v>
      </c>
      <c r="E42" s="12">
        <v>42399</v>
      </c>
      <c r="F42" s="12">
        <v>42398</v>
      </c>
      <c r="G42">
        <v>2</v>
      </c>
      <c r="H42">
        <v>6</v>
      </c>
      <c r="I42" t="str">
        <f t="shared" si="0"/>
        <v>Delivered</v>
      </c>
    </row>
    <row r="43" spans="1:9" x14ac:dyDescent="0.3">
      <c r="A43">
        <v>42</v>
      </c>
      <c r="B43">
        <v>1095</v>
      </c>
      <c r="C43">
        <v>4</v>
      </c>
      <c r="D43" s="12">
        <v>42396</v>
      </c>
      <c r="E43" s="12">
        <v>42397</v>
      </c>
      <c r="F43" s="12">
        <v>42399</v>
      </c>
      <c r="G43">
        <v>2</v>
      </c>
      <c r="H43">
        <v>7</v>
      </c>
      <c r="I43" t="str">
        <f t="shared" si="0"/>
        <v>Shipped</v>
      </c>
    </row>
    <row r="44" spans="1:9" x14ac:dyDescent="0.3">
      <c r="A44">
        <v>43</v>
      </c>
      <c r="B44">
        <v>1434</v>
      </c>
      <c r="C44">
        <v>4</v>
      </c>
      <c r="D44" s="12">
        <v>42396</v>
      </c>
      <c r="E44" s="12">
        <v>42397</v>
      </c>
      <c r="F44" s="12">
        <v>42399</v>
      </c>
      <c r="G44">
        <v>2</v>
      </c>
      <c r="H44">
        <v>7</v>
      </c>
      <c r="I44" t="str">
        <f t="shared" si="0"/>
        <v>Shipped</v>
      </c>
    </row>
    <row r="45" spans="1:9" x14ac:dyDescent="0.3">
      <c r="A45">
        <v>44</v>
      </c>
      <c r="B45">
        <v>861</v>
      </c>
      <c r="C45">
        <v>4</v>
      </c>
      <c r="D45" s="12">
        <v>42397</v>
      </c>
      <c r="E45" s="12">
        <v>42400</v>
      </c>
      <c r="F45" s="12">
        <v>42399</v>
      </c>
      <c r="G45">
        <v>2</v>
      </c>
      <c r="H45">
        <v>7</v>
      </c>
      <c r="I45" t="str">
        <f t="shared" si="0"/>
        <v>Delivered</v>
      </c>
    </row>
    <row r="46" spans="1:9" x14ac:dyDescent="0.3">
      <c r="A46">
        <v>45</v>
      </c>
      <c r="B46">
        <v>1220</v>
      </c>
      <c r="C46">
        <v>4</v>
      </c>
      <c r="D46" s="12">
        <v>42397</v>
      </c>
      <c r="E46" s="12">
        <v>42400</v>
      </c>
      <c r="F46" s="12">
        <v>42400</v>
      </c>
      <c r="G46">
        <v>2</v>
      </c>
      <c r="H46">
        <v>7</v>
      </c>
      <c r="I46" t="str">
        <f t="shared" si="0"/>
        <v>Shipped</v>
      </c>
    </row>
    <row r="47" spans="1:9" x14ac:dyDescent="0.3">
      <c r="A47">
        <v>46</v>
      </c>
      <c r="B47">
        <v>746</v>
      </c>
      <c r="C47">
        <v>4</v>
      </c>
      <c r="D47" s="12">
        <v>42398</v>
      </c>
      <c r="E47" s="12">
        <v>42400</v>
      </c>
      <c r="F47" s="12">
        <v>42400</v>
      </c>
      <c r="G47">
        <v>2</v>
      </c>
      <c r="H47">
        <v>7</v>
      </c>
      <c r="I47" t="str">
        <f t="shared" si="0"/>
        <v>Shipped</v>
      </c>
    </row>
    <row r="48" spans="1:9" x14ac:dyDescent="0.3">
      <c r="A48">
        <v>47</v>
      </c>
      <c r="B48">
        <v>1234</v>
      </c>
      <c r="C48">
        <v>4</v>
      </c>
      <c r="D48" s="12">
        <v>42398</v>
      </c>
      <c r="E48" s="12">
        <v>42399</v>
      </c>
      <c r="F48" s="12">
        <v>42400</v>
      </c>
      <c r="G48">
        <v>2</v>
      </c>
      <c r="H48">
        <v>7</v>
      </c>
      <c r="I48" t="str">
        <f t="shared" si="0"/>
        <v>Shipped</v>
      </c>
    </row>
    <row r="49" spans="1:9" x14ac:dyDescent="0.3">
      <c r="A49">
        <v>48</v>
      </c>
      <c r="B49">
        <v>1012</v>
      </c>
      <c r="C49">
        <v>4</v>
      </c>
      <c r="D49" s="12">
        <v>42399</v>
      </c>
      <c r="E49" s="12">
        <v>42401</v>
      </c>
      <c r="F49" s="12">
        <v>42402</v>
      </c>
      <c r="G49">
        <v>2</v>
      </c>
      <c r="H49">
        <v>7</v>
      </c>
      <c r="I49" t="str">
        <f t="shared" si="0"/>
        <v>Shipped</v>
      </c>
    </row>
    <row r="50" spans="1:9" x14ac:dyDescent="0.3">
      <c r="A50">
        <v>49</v>
      </c>
      <c r="B50">
        <v>608</v>
      </c>
      <c r="C50">
        <v>4</v>
      </c>
      <c r="D50" s="12">
        <v>42400</v>
      </c>
      <c r="E50" s="12">
        <v>42401</v>
      </c>
      <c r="F50" s="12">
        <v>42402</v>
      </c>
      <c r="G50">
        <v>2</v>
      </c>
      <c r="H50">
        <v>6</v>
      </c>
      <c r="I50" t="str">
        <f t="shared" si="0"/>
        <v>Shipped</v>
      </c>
    </row>
    <row r="51" spans="1:9" x14ac:dyDescent="0.3">
      <c r="A51">
        <v>50</v>
      </c>
      <c r="B51">
        <v>872</v>
      </c>
      <c r="C51">
        <v>4</v>
      </c>
      <c r="D51" s="12">
        <v>42400</v>
      </c>
      <c r="E51" s="12">
        <v>42403</v>
      </c>
      <c r="F51" s="12">
        <v>42402</v>
      </c>
      <c r="G51">
        <v>3</v>
      </c>
      <c r="H51">
        <v>8</v>
      </c>
      <c r="I51" t="str">
        <f t="shared" si="0"/>
        <v>Delivered</v>
      </c>
    </row>
    <row r="52" spans="1:9" x14ac:dyDescent="0.3">
      <c r="A52">
        <v>51</v>
      </c>
      <c r="B52">
        <v>1047</v>
      </c>
      <c r="C52">
        <v>4</v>
      </c>
      <c r="D52" s="12">
        <v>42401</v>
      </c>
      <c r="E52" s="12">
        <v>42402</v>
      </c>
      <c r="F52" s="12">
        <v>42403</v>
      </c>
      <c r="G52">
        <v>2</v>
      </c>
      <c r="H52">
        <v>7</v>
      </c>
      <c r="I52" t="str">
        <f t="shared" si="0"/>
        <v>Shipped</v>
      </c>
    </row>
    <row r="53" spans="1:9" x14ac:dyDescent="0.3">
      <c r="A53">
        <v>52</v>
      </c>
      <c r="B53">
        <v>767</v>
      </c>
      <c r="C53">
        <v>4</v>
      </c>
      <c r="D53" s="12">
        <v>42403</v>
      </c>
      <c r="E53" s="12">
        <v>42404</v>
      </c>
      <c r="F53" s="12">
        <v>42405</v>
      </c>
      <c r="G53">
        <v>1</v>
      </c>
      <c r="H53">
        <v>2</v>
      </c>
      <c r="I53" t="str">
        <f t="shared" si="0"/>
        <v>Shipped</v>
      </c>
    </row>
    <row r="54" spans="1:9" x14ac:dyDescent="0.3">
      <c r="A54">
        <v>53</v>
      </c>
      <c r="B54">
        <v>965</v>
      </c>
      <c r="C54">
        <v>4</v>
      </c>
      <c r="D54" s="12">
        <v>42403</v>
      </c>
      <c r="E54" s="12">
        <v>42404</v>
      </c>
      <c r="F54" s="12">
        <v>42405</v>
      </c>
      <c r="G54">
        <v>2</v>
      </c>
      <c r="H54">
        <v>6</v>
      </c>
      <c r="I54" t="str">
        <f t="shared" si="0"/>
        <v>Shipped</v>
      </c>
    </row>
    <row r="55" spans="1:9" x14ac:dyDescent="0.3">
      <c r="A55">
        <v>54</v>
      </c>
      <c r="B55">
        <v>535</v>
      </c>
      <c r="C55">
        <v>4</v>
      </c>
      <c r="D55" s="12">
        <v>42404</v>
      </c>
      <c r="E55" s="12">
        <v>42407</v>
      </c>
      <c r="F55" s="12">
        <v>42407</v>
      </c>
      <c r="G55">
        <v>2</v>
      </c>
      <c r="H55">
        <v>7</v>
      </c>
      <c r="I55" t="str">
        <f t="shared" si="0"/>
        <v>Shipped</v>
      </c>
    </row>
    <row r="56" spans="1:9" x14ac:dyDescent="0.3">
      <c r="A56">
        <v>55</v>
      </c>
      <c r="B56">
        <v>1173</v>
      </c>
      <c r="C56">
        <v>4</v>
      </c>
      <c r="D56" s="12">
        <v>42404</v>
      </c>
      <c r="E56" s="12">
        <v>42407</v>
      </c>
      <c r="F56" s="12">
        <v>42406</v>
      </c>
      <c r="G56">
        <v>2</v>
      </c>
      <c r="H56">
        <v>6</v>
      </c>
      <c r="I56" t="str">
        <f t="shared" si="0"/>
        <v>Delivered</v>
      </c>
    </row>
    <row r="57" spans="1:9" x14ac:dyDescent="0.3">
      <c r="A57">
        <v>56</v>
      </c>
      <c r="B57">
        <v>1241</v>
      </c>
      <c r="C57">
        <v>4</v>
      </c>
      <c r="D57" s="12">
        <v>42404</v>
      </c>
      <c r="E57" s="12">
        <v>42406</v>
      </c>
      <c r="F57" s="12">
        <v>42407</v>
      </c>
      <c r="G57">
        <v>2</v>
      </c>
      <c r="H57">
        <v>6</v>
      </c>
      <c r="I57" t="str">
        <f t="shared" si="0"/>
        <v>Shipped</v>
      </c>
    </row>
    <row r="58" spans="1:9" x14ac:dyDescent="0.3">
      <c r="A58">
        <v>57</v>
      </c>
      <c r="B58">
        <v>1305</v>
      </c>
      <c r="C58">
        <v>4</v>
      </c>
      <c r="D58" s="12">
        <v>42404</v>
      </c>
      <c r="E58" s="12">
        <v>42406</v>
      </c>
      <c r="F58" s="12">
        <v>42406</v>
      </c>
      <c r="G58">
        <v>2</v>
      </c>
      <c r="H58">
        <v>7</v>
      </c>
      <c r="I58" t="str">
        <f t="shared" si="0"/>
        <v>Shipped</v>
      </c>
    </row>
    <row r="59" spans="1:9" x14ac:dyDescent="0.3">
      <c r="A59">
        <v>58</v>
      </c>
      <c r="B59">
        <v>504</v>
      </c>
      <c r="C59">
        <v>4</v>
      </c>
      <c r="D59" s="12">
        <v>42405</v>
      </c>
      <c r="E59" s="12">
        <v>42407</v>
      </c>
      <c r="F59" s="12">
        <v>42407</v>
      </c>
      <c r="G59">
        <v>2</v>
      </c>
      <c r="H59">
        <v>6</v>
      </c>
      <c r="I59" t="str">
        <f t="shared" si="0"/>
        <v>Shipped</v>
      </c>
    </row>
    <row r="60" spans="1:9" x14ac:dyDescent="0.3">
      <c r="A60">
        <v>59</v>
      </c>
      <c r="B60">
        <v>563</v>
      </c>
      <c r="C60">
        <v>4</v>
      </c>
      <c r="D60" s="12">
        <v>42405</v>
      </c>
      <c r="E60" s="12">
        <v>42407</v>
      </c>
      <c r="F60" s="12">
        <v>42406</v>
      </c>
      <c r="G60">
        <v>2</v>
      </c>
      <c r="H60">
        <v>7</v>
      </c>
      <c r="I60" t="str">
        <f t="shared" si="0"/>
        <v>Delivered</v>
      </c>
    </row>
    <row r="61" spans="1:9" x14ac:dyDescent="0.3">
      <c r="A61">
        <v>60</v>
      </c>
      <c r="B61">
        <v>151</v>
      </c>
      <c r="C61">
        <v>4</v>
      </c>
      <c r="D61" s="12">
        <v>42406</v>
      </c>
      <c r="E61" s="12">
        <v>42408</v>
      </c>
      <c r="F61" s="12">
        <v>42407</v>
      </c>
      <c r="G61">
        <v>1</v>
      </c>
      <c r="H61">
        <v>3</v>
      </c>
      <c r="I61" t="str">
        <f t="shared" si="0"/>
        <v>Delivered</v>
      </c>
    </row>
    <row r="62" spans="1:9" x14ac:dyDescent="0.3">
      <c r="A62">
        <v>61</v>
      </c>
      <c r="B62">
        <v>277</v>
      </c>
      <c r="C62">
        <v>4</v>
      </c>
      <c r="D62" s="12">
        <v>42406</v>
      </c>
      <c r="E62" s="12">
        <v>42409</v>
      </c>
      <c r="F62" s="12">
        <v>42409</v>
      </c>
      <c r="G62">
        <v>2</v>
      </c>
      <c r="H62">
        <v>7</v>
      </c>
      <c r="I62" t="str">
        <f t="shared" si="0"/>
        <v>Shipped</v>
      </c>
    </row>
    <row r="63" spans="1:9" x14ac:dyDescent="0.3">
      <c r="A63">
        <v>62</v>
      </c>
      <c r="B63">
        <v>208</v>
      </c>
      <c r="C63">
        <v>4</v>
      </c>
      <c r="D63" s="12">
        <v>42407</v>
      </c>
      <c r="E63" s="12">
        <v>42410</v>
      </c>
      <c r="F63" s="12">
        <v>42410</v>
      </c>
      <c r="G63">
        <v>1</v>
      </c>
      <c r="H63">
        <v>2</v>
      </c>
      <c r="I63" t="str">
        <f t="shared" si="0"/>
        <v>Shipped</v>
      </c>
    </row>
    <row r="64" spans="1:9" x14ac:dyDescent="0.3">
      <c r="A64">
        <v>63</v>
      </c>
      <c r="B64">
        <v>1075</v>
      </c>
      <c r="C64">
        <v>4</v>
      </c>
      <c r="D64" s="12">
        <v>42407</v>
      </c>
      <c r="E64" s="12">
        <v>42409</v>
      </c>
      <c r="F64" s="12">
        <v>42409</v>
      </c>
      <c r="G64">
        <v>2</v>
      </c>
      <c r="H64">
        <v>7</v>
      </c>
      <c r="I64" t="str">
        <f t="shared" si="0"/>
        <v>Shipped</v>
      </c>
    </row>
    <row r="65" spans="1:9" x14ac:dyDescent="0.3">
      <c r="A65">
        <v>64</v>
      </c>
      <c r="B65">
        <v>1185</v>
      </c>
      <c r="C65">
        <v>4</v>
      </c>
      <c r="D65" s="12">
        <v>42407</v>
      </c>
      <c r="E65" s="12">
        <v>42408</v>
      </c>
      <c r="F65" s="12">
        <v>42409</v>
      </c>
      <c r="G65">
        <v>2</v>
      </c>
      <c r="H65">
        <v>6</v>
      </c>
      <c r="I65" t="str">
        <f t="shared" si="0"/>
        <v>Shipped</v>
      </c>
    </row>
    <row r="66" spans="1:9" x14ac:dyDescent="0.3">
      <c r="A66">
        <v>65</v>
      </c>
      <c r="B66">
        <v>996</v>
      </c>
      <c r="C66">
        <v>4</v>
      </c>
      <c r="D66" s="12">
        <v>42408</v>
      </c>
      <c r="E66" s="12">
        <v>42409</v>
      </c>
      <c r="F66" s="12">
        <v>42411</v>
      </c>
      <c r="G66">
        <v>2</v>
      </c>
      <c r="H66">
        <v>6</v>
      </c>
      <c r="I66" t="str">
        <f t="shared" si="0"/>
        <v>Shipped</v>
      </c>
    </row>
    <row r="67" spans="1:9" x14ac:dyDescent="0.3">
      <c r="A67">
        <v>66</v>
      </c>
      <c r="B67">
        <v>1253</v>
      </c>
      <c r="C67">
        <v>4</v>
      </c>
      <c r="D67" s="12">
        <v>42409</v>
      </c>
      <c r="E67" s="12">
        <v>42412</v>
      </c>
      <c r="F67" s="12">
        <v>42412</v>
      </c>
      <c r="G67">
        <v>2</v>
      </c>
      <c r="H67">
        <v>7</v>
      </c>
      <c r="I67" t="str">
        <f t="shared" ref="I67:I130" si="1">IF(F67="NA","Pending",IF(OR(E67=F67,E67&lt;F67),"Shipped","Delivered"))</f>
        <v>Shipped</v>
      </c>
    </row>
    <row r="68" spans="1:9" x14ac:dyDescent="0.3">
      <c r="A68">
        <v>67</v>
      </c>
      <c r="B68">
        <v>526</v>
      </c>
      <c r="C68">
        <v>4</v>
      </c>
      <c r="D68" s="12">
        <v>42409</v>
      </c>
      <c r="E68" s="12">
        <v>42411</v>
      </c>
      <c r="F68" s="12">
        <v>42410</v>
      </c>
      <c r="G68">
        <v>3</v>
      </c>
      <c r="H68">
        <v>8</v>
      </c>
      <c r="I68" t="str">
        <f t="shared" si="1"/>
        <v>Delivered</v>
      </c>
    </row>
    <row r="69" spans="1:9" x14ac:dyDescent="0.3">
      <c r="A69">
        <v>68</v>
      </c>
      <c r="B69">
        <v>381</v>
      </c>
      <c r="C69">
        <v>4</v>
      </c>
      <c r="D69" s="12">
        <v>42410</v>
      </c>
      <c r="E69" s="12">
        <v>42411</v>
      </c>
      <c r="F69" s="12">
        <v>42413</v>
      </c>
      <c r="G69">
        <v>2</v>
      </c>
      <c r="H69">
        <v>6</v>
      </c>
      <c r="I69" t="str">
        <f t="shared" si="1"/>
        <v>Shipped</v>
      </c>
    </row>
    <row r="70" spans="1:9" x14ac:dyDescent="0.3">
      <c r="A70">
        <v>69</v>
      </c>
      <c r="B70">
        <v>1413</v>
      </c>
      <c r="C70">
        <v>4</v>
      </c>
      <c r="D70" s="12">
        <v>42410</v>
      </c>
      <c r="E70" s="12">
        <v>42412</v>
      </c>
      <c r="F70" s="12">
        <v>42411</v>
      </c>
      <c r="G70">
        <v>2</v>
      </c>
      <c r="H70">
        <v>7</v>
      </c>
      <c r="I70" t="str">
        <f t="shared" si="1"/>
        <v>Delivered</v>
      </c>
    </row>
    <row r="71" spans="1:9" x14ac:dyDescent="0.3">
      <c r="A71">
        <v>70</v>
      </c>
      <c r="B71">
        <v>50</v>
      </c>
      <c r="C71">
        <v>3</v>
      </c>
      <c r="D71" s="12">
        <v>42411</v>
      </c>
      <c r="E71" s="12">
        <v>42411</v>
      </c>
      <c r="F71" s="12" t="s">
        <v>5611</v>
      </c>
      <c r="G71">
        <v>3</v>
      </c>
      <c r="H71">
        <v>9</v>
      </c>
      <c r="I71" t="str">
        <f t="shared" si="1"/>
        <v>Pending</v>
      </c>
    </row>
    <row r="72" spans="1:9" x14ac:dyDescent="0.3">
      <c r="A72">
        <v>71</v>
      </c>
      <c r="B72">
        <v>797</v>
      </c>
      <c r="C72">
        <v>4</v>
      </c>
      <c r="D72" s="12">
        <v>42411</v>
      </c>
      <c r="E72" s="12">
        <v>42414</v>
      </c>
      <c r="F72" s="12">
        <v>42412</v>
      </c>
      <c r="G72">
        <v>2</v>
      </c>
      <c r="H72">
        <v>7</v>
      </c>
      <c r="I72" t="str">
        <f t="shared" si="1"/>
        <v>Delivered</v>
      </c>
    </row>
    <row r="73" spans="1:9" x14ac:dyDescent="0.3">
      <c r="A73">
        <v>72</v>
      </c>
      <c r="B73">
        <v>1386</v>
      </c>
      <c r="C73">
        <v>4</v>
      </c>
      <c r="D73" s="12">
        <v>42412</v>
      </c>
      <c r="E73" s="12">
        <v>42415</v>
      </c>
      <c r="F73" s="12">
        <v>42413</v>
      </c>
      <c r="G73">
        <v>1</v>
      </c>
      <c r="H73">
        <v>2</v>
      </c>
      <c r="I73" t="str">
        <f t="shared" si="1"/>
        <v>Delivered</v>
      </c>
    </row>
    <row r="74" spans="1:9" x14ac:dyDescent="0.3">
      <c r="A74">
        <v>73</v>
      </c>
      <c r="B74">
        <v>612</v>
      </c>
      <c r="C74">
        <v>4</v>
      </c>
      <c r="D74" s="12">
        <v>42412</v>
      </c>
      <c r="E74" s="12">
        <v>42415</v>
      </c>
      <c r="F74" s="12">
        <v>42414</v>
      </c>
      <c r="G74">
        <v>2</v>
      </c>
      <c r="H74">
        <v>7</v>
      </c>
      <c r="I74" t="str">
        <f t="shared" si="1"/>
        <v>Delivered</v>
      </c>
    </row>
    <row r="75" spans="1:9" x14ac:dyDescent="0.3">
      <c r="A75">
        <v>74</v>
      </c>
      <c r="B75">
        <v>264</v>
      </c>
      <c r="C75">
        <v>4</v>
      </c>
      <c r="D75" s="12">
        <v>42413</v>
      </c>
      <c r="E75" s="12">
        <v>42415</v>
      </c>
      <c r="F75" s="12">
        <v>42415</v>
      </c>
      <c r="G75">
        <v>2</v>
      </c>
      <c r="H75">
        <v>7</v>
      </c>
      <c r="I75" t="str">
        <f t="shared" si="1"/>
        <v>Shipped</v>
      </c>
    </row>
    <row r="76" spans="1:9" x14ac:dyDescent="0.3">
      <c r="A76">
        <v>75</v>
      </c>
      <c r="B76">
        <v>587</v>
      </c>
      <c r="C76">
        <v>4</v>
      </c>
      <c r="D76" s="12">
        <v>42414</v>
      </c>
      <c r="E76" s="12">
        <v>42415</v>
      </c>
      <c r="F76" s="12">
        <v>42417</v>
      </c>
      <c r="G76">
        <v>2</v>
      </c>
      <c r="H76">
        <v>6</v>
      </c>
      <c r="I76" t="str">
        <f t="shared" si="1"/>
        <v>Shipped</v>
      </c>
    </row>
    <row r="77" spans="1:9" x14ac:dyDescent="0.3">
      <c r="A77">
        <v>76</v>
      </c>
      <c r="B77">
        <v>9</v>
      </c>
      <c r="C77">
        <v>3</v>
      </c>
      <c r="D77" s="12">
        <v>42416</v>
      </c>
      <c r="E77" s="12">
        <v>42416</v>
      </c>
      <c r="F77" s="12" t="s">
        <v>5611</v>
      </c>
      <c r="G77">
        <v>2</v>
      </c>
      <c r="H77">
        <v>6</v>
      </c>
      <c r="I77" t="str">
        <f t="shared" si="1"/>
        <v>Pending</v>
      </c>
    </row>
    <row r="78" spans="1:9" x14ac:dyDescent="0.3">
      <c r="A78">
        <v>77</v>
      </c>
      <c r="B78">
        <v>385</v>
      </c>
      <c r="C78">
        <v>4</v>
      </c>
      <c r="D78" s="12">
        <v>42416</v>
      </c>
      <c r="E78" s="12">
        <v>42419</v>
      </c>
      <c r="F78" s="12">
        <v>42419</v>
      </c>
      <c r="G78">
        <v>1</v>
      </c>
      <c r="H78">
        <v>2</v>
      </c>
      <c r="I78" t="str">
        <f t="shared" si="1"/>
        <v>Shipped</v>
      </c>
    </row>
    <row r="79" spans="1:9" x14ac:dyDescent="0.3">
      <c r="A79">
        <v>78</v>
      </c>
      <c r="B79">
        <v>1182</v>
      </c>
      <c r="C79">
        <v>4</v>
      </c>
      <c r="D79" s="12">
        <v>42416</v>
      </c>
      <c r="E79" s="12">
        <v>42418</v>
      </c>
      <c r="F79" s="12">
        <v>42419</v>
      </c>
      <c r="G79">
        <v>2</v>
      </c>
      <c r="H79">
        <v>7</v>
      </c>
      <c r="I79" t="str">
        <f t="shared" si="1"/>
        <v>Shipped</v>
      </c>
    </row>
    <row r="80" spans="1:9" x14ac:dyDescent="0.3">
      <c r="A80">
        <v>79</v>
      </c>
      <c r="B80">
        <v>529</v>
      </c>
      <c r="C80">
        <v>4</v>
      </c>
      <c r="D80" s="12">
        <v>42417</v>
      </c>
      <c r="E80" s="12">
        <v>42420</v>
      </c>
      <c r="F80" s="12">
        <v>42420</v>
      </c>
      <c r="G80">
        <v>1</v>
      </c>
      <c r="H80">
        <v>3</v>
      </c>
      <c r="I80" t="str">
        <f t="shared" si="1"/>
        <v>Shipped</v>
      </c>
    </row>
    <row r="81" spans="1:9" x14ac:dyDescent="0.3">
      <c r="A81">
        <v>80</v>
      </c>
      <c r="B81">
        <v>397</v>
      </c>
      <c r="C81">
        <v>4</v>
      </c>
      <c r="D81" s="12">
        <v>42417</v>
      </c>
      <c r="E81" s="12">
        <v>42420</v>
      </c>
      <c r="F81" s="12">
        <v>42419</v>
      </c>
      <c r="G81">
        <v>2</v>
      </c>
      <c r="H81">
        <v>6</v>
      </c>
      <c r="I81" t="str">
        <f t="shared" si="1"/>
        <v>Delivered</v>
      </c>
    </row>
    <row r="82" spans="1:9" x14ac:dyDescent="0.3">
      <c r="A82">
        <v>81</v>
      </c>
      <c r="B82">
        <v>521</v>
      </c>
      <c r="C82">
        <v>4</v>
      </c>
      <c r="D82" s="12">
        <v>42417</v>
      </c>
      <c r="E82" s="12">
        <v>42419</v>
      </c>
      <c r="F82" s="12">
        <v>42418</v>
      </c>
      <c r="G82">
        <v>2</v>
      </c>
      <c r="H82">
        <v>6</v>
      </c>
      <c r="I82" t="str">
        <f t="shared" si="1"/>
        <v>Delivered</v>
      </c>
    </row>
    <row r="83" spans="1:9" x14ac:dyDescent="0.3">
      <c r="A83">
        <v>82</v>
      </c>
      <c r="B83">
        <v>1223</v>
      </c>
      <c r="C83">
        <v>4</v>
      </c>
      <c r="D83" s="12">
        <v>42418</v>
      </c>
      <c r="E83" s="12">
        <v>42421</v>
      </c>
      <c r="F83" s="12">
        <v>42420</v>
      </c>
      <c r="G83">
        <v>2</v>
      </c>
      <c r="H83">
        <v>6</v>
      </c>
      <c r="I83" t="str">
        <f t="shared" si="1"/>
        <v>Delivered</v>
      </c>
    </row>
    <row r="84" spans="1:9" x14ac:dyDescent="0.3">
      <c r="A84">
        <v>83</v>
      </c>
      <c r="B84">
        <v>393</v>
      </c>
      <c r="C84">
        <v>4</v>
      </c>
      <c r="D84" s="12">
        <v>42419</v>
      </c>
      <c r="E84" s="12">
        <v>42420</v>
      </c>
      <c r="F84" s="12">
        <v>42420</v>
      </c>
      <c r="G84">
        <v>1</v>
      </c>
      <c r="H84">
        <v>3</v>
      </c>
      <c r="I84" t="str">
        <f t="shared" si="1"/>
        <v>Shipped</v>
      </c>
    </row>
    <row r="85" spans="1:9" x14ac:dyDescent="0.3">
      <c r="A85">
        <v>84</v>
      </c>
      <c r="B85">
        <v>317</v>
      </c>
      <c r="C85">
        <v>4</v>
      </c>
      <c r="D85" s="12">
        <v>42420</v>
      </c>
      <c r="E85" s="12">
        <v>42422</v>
      </c>
      <c r="F85" s="12">
        <v>42421</v>
      </c>
      <c r="G85">
        <v>2</v>
      </c>
      <c r="H85">
        <v>7</v>
      </c>
      <c r="I85" t="str">
        <f t="shared" si="1"/>
        <v>Delivered</v>
      </c>
    </row>
    <row r="86" spans="1:9" x14ac:dyDescent="0.3">
      <c r="A86">
        <v>85</v>
      </c>
      <c r="B86">
        <v>1174</v>
      </c>
      <c r="C86">
        <v>4</v>
      </c>
      <c r="D86" s="12">
        <v>42420</v>
      </c>
      <c r="E86" s="12">
        <v>42423</v>
      </c>
      <c r="F86" s="12">
        <v>42421</v>
      </c>
      <c r="G86">
        <v>2</v>
      </c>
      <c r="H86">
        <v>7</v>
      </c>
      <c r="I86" t="str">
        <f t="shared" si="1"/>
        <v>Delivered</v>
      </c>
    </row>
    <row r="87" spans="1:9" x14ac:dyDescent="0.3">
      <c r="A87">
        <v>86</v>
      </c>
      <c r="B87">
        <v>276</v>
      </c>
      <c r="C87">
        <v>4</v>
      </c>
      <c r="D87" s="12">
        <v>42421</v>
      </c>
      <c r="E87" s="12">
        <v>42422</v>
      </c>
      <c r="F87" s="12">
        <v>42423</v>
      </c>
      <c r="G87">
        <v>2</v>
      </c>
      <c r="H87">
        <v>7</v>
      </c>
      <c r="I87" t="str">
        <f t="shared" si="1"/>
        <v>Shipped</v>
      </c>
    </row>
    <row r="88" spans="1:9" x14ac:dyDescent="0.3">
      <c r="A88">
        <v>87</v>
      </c>
      <c r="B88">
        <v>516</v>
      </c>
      <c r="C88">
        <v>4</v>
      </c>
      <c r="D88" s="12">
        <v>42421</v>
      </c>
      <c r="E88" s="12">
        <v>42422</v>
      </c>
      <c r="F88" s="12">
        <v>42423</v>
      </c>
      <c r="G88">
        <v>2</v>
      </c>
      <c r="H88">
        <v>6</v>
      </c>
      <c r="I88" t="str">
        <f t="shared" si="1"/>
        <v>Shipped</v>
      </c>
    </row>
    <row r="89" spans="1:9" x14ac:dyDescent="0.3">
      <c r="A89">
        <v>88</v>
      </c>
      <c r="B89">
        <v>1069</v>
      </c>
      <c r="C89">
        <v>4</v>
      </c>
      <c r="D89" s="12">
        <v>42421</v>
      </c>
      <c r="E89" s="12">
        <v>42422</v>
      </c>
      <c r="F89" s="12">
        <v>42423</v>
      </c>
      <c r="G89">
        <v>2</v>
      </c>
      <c r="H89">
        <v>6</v>
      </c>
      <c r="I89" t="str">
        <f t="shared" si="1"/>
        <v>Shipped</v>
      </c>
    </row>
    <row r="90" spans="1:9" x14ac:dyDescent="0.3">
      <c r="A90">
        <v>89</v>
      </c>
      <c r="B90">
        <v>668</v>
      </c>
      <c r="C90">
        <v>4</v>
      </c>
      <c r="D90" s="12">
        <v>42421</v>
      </c>
      <c r="E90" s="12">
        <v>42424</v>
      </c>
      <c r="F90" s="12">
        <v>42424</v>
      </c>
      <c r="G90">
        <v>3</v>
      </c>
      <c r="H90">
        <v>8</v>
      </c>
      <c r="I90" t="str">
        <f t="shared" si="1"/>
        <v>Shipped</v>
      </c>
    </row>
    <row r="91" spans="1:9" x14ac:dyDescent="0.3">
      <c r="A91">
        <v>90</v>
      </c>
      <c r="B91">
        <v>414</v>
      </c>
      <c r="C91">
        <v>4</v>
      </c>
      <c r="D91" s="12">
        <v>42423</v>
      </c>
      <c r="E91" s="12">
        <v>42425</v>
      </c>
      <c r="F91" s="12">
        <v>42424</v>
      </c>
      <c r="G91">
        <v>2</v>
      </c>
      <c r="H91">
        <v>7</v>
      </c>
      <c r="I91" t="str">
        <f t="shared" si="1"/>
        <v>Delivered</v>
      </c>
    </row>
    <row r="92" spans="1:9" x14ac:dyDescent="0.3">
      <c r="A92">
        <v>91</v>
      </c>
      <c r="B92">
        <v>648</v>
      </c>
      <c r="C92">
        <v>4</v>
      </c>
      <c r="D92" s="12">
        <v>42425</v>
      </c>
      <c r="E92" s="12">
        <v>42427</v>
      </c>
      <c r="F92" s="12">
        <v>42428</v>
      </c>
      <c r="G92">
        <v>1</v>
      </c>
      <c r="H92">
        <v>2</v>
      </c>
      <c r="I92" t="str">
        <f t="shared" si="1"/>
        <v>Shipped</v>
      </c>
    </row>
    <row r="93" spans="1:9" x14ac:dyDescent="0.3">
      <c r="A93">
        <v>92</v>
      </c>
      <c r="B93">
        <v>1309</v>
      </c>
      <c r="C93">
        <v>4</v>
      </c>
      <c r="D93" s="12">
        <v>42425</v>
      </c>
      <c r="E93" s="12">
        <v>42428</v>
      </c>
      <c r="F93" s="12">
        <v>42428</v>
      </c>
      <c r="G93">
        <v>2</v>
      </c>
      <c r="H93">
        <v>7</v>
      </c>
      <c r="I93" t="str">
        <f t="shared" si="1"/>
        <v>Shipped</v>
      </c>
    </row>
    <row r="94" spans="1:9" x14ac:dyDescent="0.3">
      <c r="A94">
        <v>93</v>
      </c>
      <c r="B94">
        <v>1328</v>
      </c>
      <c r="C94">
        <v>4</v>
      </c>
      <c r="D94" s="12">
        <v>42426</v>
      </c>
      <c r="E94" s="12">
        <v>42428</v>
      </c>
      <c r="F94" s="12">
        <v>42427</v>
      </c>
      <c r="G94">
        <v>1</v>
      </c>
      <c r="H94">
        <v>3</v>
      </c>
      <c r="I94" t="str">
        <f t="shared" si="1"/>
        <v>Delivered</v>
      </c>
    </row>
    <row r="95" spans="1:9" x14ac:dyDescent="0.3">
      <c r="A95">
        <v>94</v>
      </c>
      <c r="B95">
        <v>929</v>
      </c>
      <c r="C95">
        <v>4</v>
      </c>
      <c r="D95" s="12">
        <v>42427</v>
      </c>
      <c r="E95" s="12">
        <v>42428</v>
      </c>
      <c r="F95" s="12">
        <v>42429</v>
      </c>
      <c r="G95">
        <v>1</v>
      </c>
      <c r="H95">
        <v>2</v>
      </c>
      <c r="I95" t="str">
        <f t="shared" si="1"/>
        <v>Shipped</v>
      </c>
    </row>
    <row r="96" spans="1:9" x14ac:dyDescent="0.3">
      <c r="A96">
        <v>95</v>
      </c>
      <c r="B96">
        <v>218</v>
      </c>
      <c r="C96">
        <v>4</v>
      </c>
      <c r="D96" s="12">
        <v>42427</v>
      </c>
      <c r="E96" s="12">
        <v>42429</v>
      </c>
      <c r="F96" s="12">
        <v>42428</v>
      </c>
      <c r="G96">
        <v>2</v>
      </c>
      <c r="H96">
        <v>7</v>
      </c>
      <c r="I96" t="str">
        <f t="shared" si="1"/>
        <v>Delivered</v>
      </c>
    </row>
    <row r="97" spans="1:9" x14ac:dyDescent="0.3">
      <c r="A97">
        <v>96</v>
      </c>
      <c r="B97">
        <v>1094</v>
      </c>
      <c r="C97">
        <v>4</v>
      </c>
      <c r="D97" s="12">
        <v>42427</v>
      </c>
      <c r="E97" s="12">
        <v>42429</v>
      </c>
      <c r="F97" s="12">
        <v>42428</v>
      </c>
      <c r="G97">
        <v>2</v>
      </c>
      <c r="H97">
        <v>7</v>
      </c>
      <c r="I97" t="str">
        <f t="shared" si="1"/>
        <v>Delivered</v>
      </c>
    </row>
    <row r="98" spans="1:9" x14ac:dyDescent="0.3">
      <c r="A98">
        <v>97</v>
      </c>
      <c r="B98">
        <v>204</v>
      </c>
      <c r="C98">
        <v>4</v>
      </c>
      <c r="D98" s="12">
        <v>42428</v>
      </c>
      <c r="E98" s="12">
        <v>42429</v>
      </c>
      <c r="F98" s="12">
        <v>42430</v>
      </c>
      <c r="G98">
        <v>2</v>
      </c>
      <c r="H98">
        <v>7</v>
      </c>
      <c r="I98" t="str">
        <f t="shared" si="1"/>
        <v>Shipped</v>
      </c>
    </row>
    <row r="99" spans="1:9" x14ac:dyDescent="0.3">
      <c r="A99">
        <v>98</v>
      </c>
      <c r="B99">
        <v>1194</v>
      </c>
      <c r="C99">
        <v>4</v>
      </c>
      <c r="D99" s="12">
        <v>42428</v>
      </c>
      <c r="E99" s="12">
        <v>42429</v>
      </c>
      <c r="F99" s="12">
        <v>42429</v>
      </c>
      <c r="G99">
        <v>2</v>
      </c>
      <c r="H99">
        <v>6</v>
      </c>
      <c r="I99" t="str">
        <f t="shared" si="1"/>
        <v>Shipped</v>
      </c>
    </row>
    <row r="100" spans="1:9" x14ac:dyDescent="0.3">
      <c r="A100">
        <v>99</v>
      </c>
      <c r="B100">
        <v>1165</v>
      </c>
      <c r="C100">
        <v>4</v>
      </c>
      <c r="D100" s="12">
        <v>42429</v>
      </c>
      <c r="E100" s="12">
        <v>42430</v>
      </c>
      <c r="F100" s="12">
        <v>42432</v>
      </c>
      <c r="G100">
        <v>3</v>
      </c>
      <c r="H100">
        <v>9</v>
      </c>
      <c r="I100" t="str">
        <f t="shared" si="1"/>
        <v>Shipped</v>
      </c>
    </row>
    <row r="101" spans="1:9" x14ac:dyDescent="0.3">
      <c r="A101">
        <v>100</v>
      </c>
      <c r="B101">
        <v>1237</v>
      </c>
      <c r="C101">
        <v>4</v>
      </c>
      <c r="D101" s="12">
        <v>42430</v>
      </c>
      <c r="E101" s="12">
        <v>42433</v>
      </c>
      <c r="F101" s="12">
        <v>42432</v>
      </c>
      <c r="G101">
        <v>2</v>
      </c>
      <c r="H101">
        <v>7</v>
      </c>
      <c r="I101" t="str">
        <f t="shared" si="1"/>
        <v>Delivered</v>
      </c>
    </row>
    <row r="102" spans="1:9" x14ac:dyDescent="0.3">
      <c r="A102">
        <v>101</v>
      </c>
      <c r="B102">
        <v>271</v>
      </c>
      <c r="C102">
        <v>4</v>
      </c>
      <c r="D102" s="12">
        <v>42430</v>
      </c>
      <c r="E102" s="12">
        <v>42433</v>
      </c>
      <c r="F102" s="12">
        <v>42433</v>
      </c>
      <c r="G102">
        <v>3</v>
      </c>
      <c r="H102">
        <v>8</v>
      </c>
      <c r="I102" t="str">
        <f t="shared" si="1"/>
        <v>Shipped</v>
      </c>
    </row>
    <row r="103" spans="1:9" x14ac:dyDescent="0.3">
      <c r="A103">
        <v>102</v>
      </c>
      <c r="B103">
        <v>336</v>
      </c>
      <c r="C103">
        <v>4</v>
      </c>
      <c r="D103" s="12">
        <v>42431</v>
      </c>
      <c r="E103" s="12">
        <v>42434</v>
      </c>
      <c r="F103" s="12">
        <v>42432</v>
      </c>
      <c r="G103">
        <v>2</v>
      </c>
      <c r="H103">
        <v>7</v>
      </c>
      <c r="I103" t="str">
        <f t="shared" si="1"/>
        <v>Delivered</v>
      </c>
    </row>
    <row r="104" spans="1:9" x14ac:dyDescent="0.3">
      <c r="A104">
        <v>103</v>
      </c>
      <c r="B104">
        <v>991</v>
      </c>
      <c r="C104">
        <v>4</v>
      </c>
      <c r="D104" s="12">
        <v>42432</v>
      </c>
      <c r="E104" s="12">
        <v>42435</v>
      </c>
      <c r="F104" s="12">
        <v>42434</v>
      </c>
      <c r="G104">
        <v>1</v>
      </c>
      <c r="H104">
        <v>2</v>
      </c>
      <c r="I104" t="str">
        <f t="shared" si="1"/>
        <v>Delivered</v>
      </c>
    </row>
    <row r="105" spans="1:9" x14ac:dyDescent="0.3">
      <c r="A105">
        <v>104</v>
      </c>
      <c r="B105">
        <v>7</v>
      </c>
      <c r="C105">
        <v>4</v>
      </c>
      <c r="D105" s="12">
        <v>42432</v>
      </c>
      <c r="E105" s="12">
        <v>42434</v>
      </c>
      <c r="F105" s="12">
        <v>42434</v>
      </c>
      <c r="G105">
        <v>2</v>
      </c>
      <c r="H105">
        <v>7</v>
      </c>
      <c r="I105" t="str">
        <f t="shared" si="1"/>
        <v>Shipped</v>
      </c>
    </row>
    <row r="106" spans="1:9" x14ac:dyDescent="0.3">
      <c r="A106">
        <v>105</v>
      </c>
      <c r="B106">
        <v>306</v>
      </c>
      <c r="C106">
        <v>4</v>
      </c>
      <c r="D106" s="12">
        <v>42432</v>
      </c>
      <c r="E106" s="12">
        <v>42434</v>
      </c>
      <c r="F106" s="12">
        <v>42433</v>
      </c>
      <c r="G106">
        <v>2</v>
      </c>
      <c r="H106">
        <v>7</v>
      </c>
      <c r="I106" t="str">
        <f t="shared" si="1"/>
        <v>Delivered</v>
      </c>
    </row>
    <row r="107" spans="1:9" x14ac:dyDescent="0.3">
      <c r="A107">
        <v>106</v>
      </c>
      <c r="B107">
        <v>422</v>
      </c>
      <c r="C107">
        <v>4</v>
      </c>
      <c r="D107" s="12">
        <v>42433</v>
      </c>
      <c r="E107" s="12">
        <v>42434</v>
      </c>
      <c r="F107" s="12">
        <v>42434</v>
      </c>
      <c r="G107">
        <v>3</v>
      </c>
      <c r="H107">
        <v>9</v>
      </c>
      <c r="I107" t="str">
        <f t="shared" si="1"/>
        <v>Shipped</v>
      </c>
    </row>
    <row r="108" spans="1:9" x14ac:dyDescent="0.3">
      <c r="A108">
        <v>107</v>
      </c>
      <c r="B108">
        <v>633</v>
      </c>
      <c r="C108">
        <v>4</v>
      </c>
      <c r="D108" s="12">
        <v>42435</v>
      </c>
      <c r="E108" s="12">
        <v>42438</v>
      </c>
      <c r="F108" s="12">
        <v>42438</v>
      </c>
      <c r="G108">
        <v>1</v>
      </c>
      <c r="H108">
        <v>2</v>
      </c>
      <c r="I108" t="str">
        <f t="shared" si="1"/>
        <v>Shipped</v>
      </c>
    </row>
    <row r="109" spans="1:9" x14ac:dyDescent="0.3">
      <c r="A109">
        <v>108</v>
      </c>
      <c r="B109">
        <v>12</v>
      </c>
      <c r="C109">
        <v>4</v>
      </c>
      <c r="D109" s="12">
        <v>42435</v>
      </c>
      <c r="E109" s="12">
        <v>42438</v>
      </c>
      <c r="F109" s="12">
        <v>42436</v>
      </c>
      <c r="G109">
        <v>2</v>
      </c>
      <c r="H109">
        <v>6</v>
      </c>
      <c r="I109" t="str">
        <f t="shared" si="1"/>
        <v>Delivered</v>
      </c>
    </row>
    <row r="110" spans="1:9" x14ac:dyDescent="0.3">
      <c r="A110">
        <v>109</v>
      </c>
      <c r="B110">
        <v>1255</v>
      </c>
      <c r="C110">
        <v>4</v>
      </c>
      <c r="D110" s="12">
        <v>42435</v>
      </c>
      <c r="E110" s="12">
        <v>42438</v>
      </c>
      <c r="F110" s="12">
        <v>42438</v>
      </c>
      <c r="G110">
        <v>2</v>
      </c>
      <c r="H110">
        <v>6</v>
      </c>
      <c r="I110" t="str">
        <f t="shared" si="1"/>
        <v>Shipped</v>
      </c>
    </row>
    <row r="111" spans="1:9" x14ac:dyDescent="0.3">
      <c r="A111">
        <v>110</v>
      </c>
      <c r="B111">
        <v>677</v>
      </c>
      <c r="C111">
        <v>4</v>
      </c>
      <c r="D111" s="12">
        <v>42435</v>
      </c>
      <c r="E111" s="12">
        <v>42437</v>
      </c>
      <c r="F111" s="12">
        <v>42438</v>
      </c>
      <c r="G111">
        <v>3</v>
      </c>
      <c r="H111">
        <v>9</v>
      </c>
      <c r="I111" t="str">
        <f t="shared" si="1"/>
        <v>Shipped</v>
      </c>
    </row>
    <row r="112" spans="1:9" x14ac:dyDescent="0.3">
      <c r="A112">
        <v>111</v>
      </c>
      <c r="B112">
        <v>630</v>
      </c>
      <c r="C112">
        <v>4</v>
      </c>
      <c r="D112" s="12">
        <v>42436</v>
      </c>
      <c r="E112" s="12">
        <v>42439</v>
      </c>
      <c r="F112" s="12">
        <v>42439</v>
      </c>
      <c r="G112">
        <v>2</v>
      </c>
      <c r="H112">
        <v>6</v>
      </c>
      <c r="I112" t="str">
        <f t="shared" si="1"/>
        <v>Shipped</v>
      </c>
    </row>
    <row r="113" spans="1:9" x14ac:dyDescent="0.3">
      <c r="A113">
        <v>112</v>
      </c>
      <c r="B113">
        <v>469</v>
      </c>
      <c r="C113">
        <v>4</v>
      </c>
      <c r="D113" s="12">
        <v>42437</v>
      </c>
      <c r="E113" s="12">
        <v>42440</v>
      </c>
      <c r="F113" s="12">
        <v>42439</v>
      </c>
      <c r="G113">
        <v>2</v>
      </c>
      <c r="H113">
        <v>6</v>
      </c>
      <c r="I113" t="str">
        <f t="shared" si="1"/>
        <v>Delivered</v>
      </c>
    </row>
    <row r="114" spans="1:9" x14ac:dyDescent="0.3">
      <c r="A114">
        <v>113</v>
      </c>
      <c r="B114">
        <v>1078</v>
      </c>
      <c r="C114">
        <v>4</v>
      </c>
      <c r="D114" s="12">
        <v>42437</v>
      </c>
      <c r="E114" s="12">
        <v>42440</v>
      </c>
      <c r="F114" s="12">
        <v>42440</v>
      </c>
      <c r="G114">
        <v>2</v>
      </c>
      <c r="H114">
        <v>6</v>
      </c>
      <c r="I114" t="str">
        <f t="shared" si="1"/>
        <v>Shipped</v>
      </c>
    </row>
    <row r="115" spans="1:9" x14ac:dyDescent="0.3">
      <c r="A115">
        <v>114</v>
      </c>
      <c r="B115">
        <v>1431</v>
      </c>
      <c r="C115">
        <v>4</v>
      </c>
      <c r="D115" s="12">
        <v>42437</v>
      </c>
      <c r="E115" s="12">
        <v>42439</v>
      </c>
      <c r="F115" s="12">
        <v>42440</v>
      </c>
      <c r="G115">
        <v>2</v>
      </c>
      <c r="H115">
        <v>7</v>
      </c>
      <c r="I115" t="str">
        <f t="shared" si="1"/>
        <v>Shipped</v>
      </c>
    </row>
    <row r="116" spans="1:9" x14ac:dyDescent="0.3">
      <c r="A116">
        <v>115</v>
      </c>
      <c r="B116">
        <v>1369</v>
      </c>
      <c r="C116">
        <v>4</v>
      </c>
      <c r="D116" s="12">
        <v>42438</v>
      </c>
      <c r="E116" s="12">
        <v>42440</v>
      </c>
      <c r="F116" s="12">
        <v>42440</v>
      </c>
      <c r="G116">
        <v>2</v>
      </c>
      <c r="H116">
        <v>7</v>
      </c>
      <c r="I116" t="str">
        <f t="shared" si="1"/>
        <v>Shipped</v>
      </c>
    </row>
    <row r="117" spans="1:9" x14ac:dyDescent="0.3">
      <c r="A117">
        <v>116</v>
      </c>
      <c r="B117">
        <v>471</v>
      </c>
      <c r="C117">
        <v>4</v>
      </c>
      <c r="D117" s="12">
        <v>42439</v>
      </c>
      <c r="E117" s="12">
        <v>42440</v>
      </c>
      <c r="F117" s="12">
        <v>42440</v>
      </c>
      <c r="G117">
        <v>2</v>
      </c>
      <c r="H117">
        <v>7</v>
      </c>
      <c r="I117" t="str">
        <f t="shared" si="1"/>
        <v>Shipped</v>
      </c>
    </row>
    <row r="118" spans="1:9" x14ac:dyDescent="0.3">
      <c r="A118">
        <v>117</v>
      </c>
      <c r="B118">
        <v>740</v>
      </c>
      <c r="C118">
        <v>4</v>
      </c>
      <c r="D118" s="12">
        <v>42439</v>
      </c>
      <c r="E118" s="12">
        <v>42442</v>
      </c>
      <c r="F118" s="12">
        <v>42440</v>
      </c>
      <c r="G118">
        <v>2</v>
      </c>
      <c r="H118">
        <v>6</v>
      </c>
      <c r="I118" t="str">
        <f t="shared" si="1"/>
        <v>Delivered</v>
      </c>
    </row>
    <row r="119" spans="1:9" x14ac:dyDescent="0.3">
      <c r="A119">
        <v>118</v>
      </c>
      <c r="B119">
        <v>577</v>
      </c>
      <c r="C119">
        <v>4</v>
      </c>
      <c r="D119" s="12">
        <v>42441</v>
      </c>
      <c r="E119" s="12">
        <v>42443</v>
      </c>
      <c r="F119" s="12">
        <v>42442</v>
      </c>
      <c r="G119">
        <v>1</v>
      </c>
      <c r="H119">
        <v>2</v>
      </c>
      <c r="I119" t="str">
        <f t="shared" si="1"/>
        <v>Delivered</v>
      </c>
    </row>
    <row r="120" spans="1:9" x14ac:dyDescent="0.3">
      <c r="A120">
        <v>119</v>
      </c>
      <c r="B120">
        <v>925</v>
      </c>
      <c r="C120">
        <v>4</v>
      </c>
      <c r="D120" s="12">
        <v>42441</v>
      </c>
      <c r="E120" s="12">
        <v>42443</v>
      </c>
      <c r="F120" s="12">
        <v>42443</v>
      </c>
      <c r="G120">
        <v>2</v>
      </c>
      <c r="H120">
        <v>7</v>
      </c>
      <c r="I120" t="str">
        <f t="shared" si="1"/>
        <v>Shipped</v>
      </c>
    </row>
    <row r="121" spans="1:9" x14ac:dyDescent="0.3">
      <c r="A121">
        <v>120</v>
      </c>
      <c r="B121">
        <v>327</v>
      </c>
      <c r="C121">
        <v>4</v>
      </c>
      <c r="D121" s="12">
        <v>42443</v>
      </c>
      <c r="E121" s="12">
        <v>42444</v>
      </c>
      <c r="F121" s="12">
        <v>42446</v>
      </c>
      <c r="G121">
        <v>2</v>
      </c>
      <c r="H121">
        <v>7</v>
      </c>
      <c r="I121" t="str">
        <f t="shared" si="1"/>
        <v>Shipped</v>
      </c>
    </row>
    <row r="122" spans="1:9" x14ac:dyDescent="0.3">
      <c r="A122">
        <v>121</v>
      </c>
      <c r="B122">
        <v>755</v>
      </c>
      <c r="C122">
        <v>4</v>
      </c>
      <c r="D122" s="12">
        <v>42443</v>
      </c>
      <c r="E122" s="12">
        <v>42444</v>
      </c>
      <c r="F122" s="12">
        <v>42445</v>
      </c>
      <c r="G122">
        <v>2</v>
      </c>
      <c r="H122">
        <v>6</v>
      </c>
      <c r="I122" t="str">
        <f t="shared" si="1"/>
        <v>Shipped</v>
      </c>
    </row>
    <row r="123" spans="1:9" x14ac:dyDescent="0.3">
      <c r="A123">
        <v>122</v>
      </c>
      <c r="B123">
        <v>786</v>
      </c>
      <c r="C123">
        <v>4</v>
      </c>
      <c r="D123" s="12">
        <v>42443</v>
      </c>
      <c r="E123" s="12">
        <v>42445</v>
      </c>
      <c r="F123" s="12">
        <v>42444</v>
      </c>
      <c r="G123">
        <v>2</v>
      </c>
      <c r="H123">
        <v>6</v>
      </c>
      <c r="I123" t="str">
        <f t="shared" si="1"/>
        <v>Delivered</v>
      </c>
    </row>
    <row r="124" spans="1:9" x14ac:dyDescent="0.3">
      <c r="A124">
        <v>123</v>
      </c>
      <c r="B124">
        <v>766</v>
      </c>
      <c r="C124">
        <v>4</v>
      </c>
      <c r="D124" s="12">
        <v>42444</v>
      </c>
      <c r="E124" s="12">
        <v>42447</v>
      </c>
      <c r="F124" s="12">
        <v>42446</v>
      </c>
      <c r="G124">
        <v>2</v>
      </c>
      <c r="H124">
        <v>6</v>
      </c>
      <c r="I124" t="str">
        <f t="shared" si="1"/>
        <v>Delivered</v>
      </c>
    </row>
    <row r="125" spans="1:9" x14ac:dyDescent="0.3">
      <c r="A125">
        <v>124</v>
      </c>
      <c r="B125">
        <v>403</v>
      </c>
      <c r="C125">
        <v>4</v>
      </c>
      <c r="D125" s="12">
        <v>42445</v>
      </c>
      <c r="E125" s="12">
        <v>42447</v>
      </c>
      <c r="F125" s="12">
        <v>42446</v>
      </c>
      <c r="G125">
        <v>1</v>
      </c>
      <c r="H125">
        <v>3</v>
      </c>
      <c r="I125" t="str">
        <f t="shared" si="1"/>
        <v>Delivered</v>
      </c>
    </row>
    <row r="126" spans="1:9" x14ac:dyDescent="0.3">
      <c r="A126">
        <v>125</v>
      </c>
      <c r="B126">
        <v>685</v>
      </c>
      <c r="C126">
        <v>4</v>
      </c>
      <c r="D126" s="12">
        <v>42445</v>
      </c>
      <c r="E126" s="12">
        <v>42448</v>
      </c>
      <c r="F126" s="12">
        <v>42446</v>
      </c>
      <c r="G126">
        <v>2</v>
      </c>
      <c r="H126">
        <v>6</v>
      </c>
      <c r="I126" t="str">
        <f t="shared" si="1"/>
        <v>Delivered</v>
      </c>
    </row>
    <row r="127" spans="1:9" x14ac:dyDescent="0.3">
      <c r="A127">
        <v>126</v>
      </c>
      <c r="B127">
        <v>1365</v>
      </c>
      <c r="C127">
        <v>4</v>
      </c>
      <c r="D127" s="12">
        <v>42445</v>
      </c>
      <c r="E127" s="12">
        <v>42447</v>
      </c>
      <c r="F127" s="12">
        <v>42447</v>
      </c>
      <c r="G127">
        <v>2</v>
      </c>
      <c r="H127">
        <v>7</v>
      </c>
      <c r="I127" t="str">
        <f t="shared" si="1"/>
        <v>Shipped</v>
      </c>
    </row>
    <row r="128" spans="1:9" x14ac:dyDescent="0.3">
      <c r="A128">
        <v>127</v>
      </c>
      <c r="B128">
        <v>484</v>
      </c>
      <c r="C128">
        <v>4</v>
      </c>
      <c r="D128" s="12">
        <v>42446</v>
      </c>
      <c r="E128" s="12">
        <v>42447</v>
      </c>
      <c r="F128" s="12">
        <v>42448</v>
      </c>
      <c r="G128">
        <v>3</v>
      </c>
      <c r="H128">
        <v>8</v>
      </c>
      <c r="I128" t="str">
        <f t="shared" si="1"/>
        <v>Shipped</v>
      </c>
    </row>
    <row r="129" spans="1:9" x14ac:dyDescent="0.3">
      <c r="A129">
        <v>128</v>
      </c>
      <c r="B129">
        <v>86</v>
      </c>
      <c r="C129">
        <v>4</v>
      </c>
      <c r="D129" s="12">
        <v>42447</v>
      </c>
      <c r="E129" s="12">
        <v>42449</v>
      </c>
      <c r="F129" s="12">
        <v>42450</v>
      </c>
      <c r="G129">
        <v>2</v>
      </c>
      <c r="H129">
        <v>6</v>
      </c>
      <c r="I129" t="str">
        <f t="shared" si="1"/>
        <v>Shipped</v>
      </c>
    </row>
    <row r="130" spans="1:9" x14ac:dyDescent="0.3">
      <c r="A130">
        <v>129</v>
      </c>
      <c r="B130">
        <v>84</v>
      </c>
      <c r="C130">
        <v>4</v>
      </c>
      <c r="D130" s="12">
        <v>42448</v>
      </c>
      <c r="E130" s="12">
        <v>42450</v>
      </c>
      <c r="F130" s="12">
        <v>42450</v>
      </c>
      <c r="G130">
        <v>2</v>
      </c>
      <c r="H130">
        <v>7</v>
      </c>
      <c r="I130" t="str">
        <f t="shared" si="1"/>
        <v>Shipped</v>
      </c>
    </row>
    <row r="131" spans="1:9" x14ac:dyDescent="0.3">
      <c r="A131">
        <v>130</v>
      </c>
      <c r="B131">
        <v>1049</v>
      </c>
      <c r="C131">
        <v>4</v>
      </c>
      <c r="D131" s="12">
        <v>42448</v>
      </c>
      <c r="E131" s="12">
        <v>42451</v>
      </c>
      <c r="F131" s="12">
        <v>42449</v>
      </c>
      <c r="G131">
        <v>2</v>
      </c>
      <c r="H131">
        <v>6</v>
      </c>
      <c r="I131" t="str">
        <f t="shared" ref="I131:I194" si="2">IF(F131="NA","Pending",IF(OR(E131=F131,E131&lt;F131),"Shipped","Delivered"))</f>
        <v>Delivered</v>
      </c>
    </row>
    <row r="132" spans="1:9" x14ac:dyDescent="0.3">
      <c r="A132">
        <v>131</v>
      </c>
      <c r="B132">
        <v>316</v>
      </c>
      <c r="C132">
        <v>4</v>
      </c>
      <c r="D132" s="12">
        <v>42448</v>
      </c>
      <c r="E132" s="12">
        <v>42451</v>
      </c>
      <c r="F132" s="12">
        <v>42449</v>
      </c>
      <c r="G132">
        <v>3</v>
      </c>
      <c r="H132">
        <v>8</v>
      </c>
      <c r="I132" t="str">
        <f t="shared" si="2"/>
        <v>Delivered</v>
      </c>
    </row>
    <row r="133" spans="1:9" x14ac:dyDescent="0.3">
      <c r="A133">
        <v>132</v>
      </c>
      <c r="B133">
        <v>46</v>
      </c>
      <c r="C133">
        <v>4</v>
      </c>
      <c r="D133" s="12">
        <v>42449</v>
      </c>
      <c r="E133" s="12">
        <v>42451</v>
      </c>
      <c r="F133" s="12">
        <v>42452</v>
      </c>
      <c r="G133">
        <v>1</v>
      </c>
      <c r="H133">
        <v>3</v>
      </c>
      <c r="I133" t="str">
        <f t="shared" si="2"/>
        <v>Shipped</v>
      </c>
    </row>
    <row r="134" spans="1:9" x14ac:dyDescent="0.3">
      <c r="A134">
        <v>133</v>
      </c>
      <c r="B134">
        <v>409</v>
      </c>
      <c r="C134">
        <v>4</v>
      </c>
      <c r="D134" s="12">
        <v>42449</v>
      </c>
      <c r="E134" s="12">
        <v>42451</v>
      </c>
      <c r="F134" s="12">
        <v>42450</v>
      </c>
      <c r="G134">
        <v>2</v>
      </c>
      <c r="H134">
        <v>7</v>
      </c>
      <c r="I134" t="str">
        <f t="shared" si="2"/>
        <v>Delivered</v>
      </c>
    </row>
    <row r="135" spans="1:9" x14ac:dyDescent="0.3">
      <c r="A135">
        <v>134</v>
      </c>
      <c r="B135">
        <v>679</v>
      </c>
      <c r="C135">
        <v>4</v>
      </c>
      <c r="D135" s="12">
        <v>42449</v>
      </c>
      <c r="E135" s="12">
        <v>42450</v>
      </c>
      <c r="F135" s="12">
        <v>42450</v>
      </c>
      <c r="G135">
        <v>2</v>
      </c>
      <c r="H135">
        <v>7</v>
      </c>
      <c r="I135" t="str">
        <f t="shared" si="2"/>
        <v>Shipped</v>
      </c>
    </row>
    <row r="136" spans="1:9" x14ac:dyDescent="0.3">
      <c r="A136">
        <v>135</v>
      </c>
      <c r="B136">
        <v>1354</v>
      </c>
      <c r="C136">
        <v>4</v>
      </c>
      <c r="D136" s="12">
        <v>42450</v>
      </c>
      <c r="E136" s="12">
        <v>42452</v>
      </c>
      <c r="F136" s="12">
        <v>42452</v>
      </c>
      <c r="G136">
        <v>2</v>
      </c>
      <c r="H136">
        <v>7</v>
      </c>
      <c r="I136" t="str">
        <f t="shared" si="2"/>
        <v>Shipped</v>
      </c>
    </row>
    <row r="137" spans="1:9" x14ac:dyDescent="0.3">
      <c r="A137">
        <v>136</v>
      </c>
      <c r="B137">
        <v>1192</v>
      </c>
      <c r="C137">
        <v>4</v>
      </c>
      <c r="D137" s="12">
        <v>42450</v>
      </c>
      <c r="E137" s="12">
        <v>42453</v>
      </c>
      <c r="F137" s="12">
        <v>42452</v>
      </c>
      <c r="G137">
        <v>3</v>
      </c>
      <c r="H137">
        <v>8</v>
      </c>
      <c r="I137" t="str">
        <f t="shared" si="2"/>
        <v>Delivered</v>
      </c>
    </row>
    <row r="138" spans="1:9" x14ac:dyDescent="0.3">
      <c r="A138">
        <v>137</v>
      </c>
      <c r="B138">
        <v>370</v>
      </c>
      <c r="C138">
        <v>4</v>
      </c>
      <c r="D138" s="12">
        <v>42452</v>
      </c>
      <c r="E138" s="12">
        <v>42455</v>
      </c>
      <c r="F138" s="12">
        <v>42454</v>
      </c>
      <c r="G138">
        <v>2</v>
      </c>
      <c r="H138">
        <v>7</v>
      </c>
      <c r="I138" t="str">
        <f t="shared" si="2"/>
        <v>Delivered</v>
      </c>
    </row>
    <row r="139" spans="1:9" x14ac:dyDescent="0.3">
      <c r="A139">
        <v>138</v>
      </c>
      <c r="B139">
        <v>438</v>
      </c>
      <c r="C139">
        <v>4</v>
      </c>
      <c r="D139" s="12">
        <v>42452</v>
      </c>
      <c r="E139" s="12">
        <v>42453</v>
      </c>
      <c r="F139" s="12">
        <v>42454</v>
      </c>
      <c r="G139">
        <v>2</v>
      </c>
      <c r="H139">
        <v>7</v>
      </c>
      <c r="I139" t="str">
        <f t="shared" si="2"/>
        <v>Shipped</v>
      </c>
    </row>
    <row r="140" spans="1:9" x14ac:dyDescent="0.3">
      <c r="A140">
        <v>139</v>
      </c>
      <c r="B140">
        <v>710</v>
      </c>
      <c r="C140">
        <v>4</v>
      </c>
      <c r="D140" s="12">
        <v>42452</v>
      </c>
      <c r="E140" s="12">
        <v>42453</v>
      </c>
      <c r="F140" s="12">
        <v>42455</v>
      </c>
      <c r="G140">
        <v>2</v>
      </c>
      <c r="H140">
        <v>7</v>
      </c>
      <c r="I140" t="str">
        <f t="shared" si="2"/>
        <v>Shipped</v>
      </c>
    </row>
    <row r="141" spans="1:9" x14ac:dyDescent="0.3">
      <c r="A141">
        <v>140</v>
      </c>
      <c r="B141">
        <v>1264</v>
      </c>
      <c r="C141">
        <v>4</v>
      </c>
      <c r="D141" s="12">
        <v>42452</v>
      </c>
      <c r="E141" s="12">
        <v>42455</v>
      </c>
      <c r="F141" s="12">
        <v>42455</v>
      </c>
      <c r="G141">
        <v>2</v>
      </c>
      <c r="H141">
        <v>7</v>
      </c>
      <c r="I141" t="str">
        <f t="shared" si="2"/>
        <v>Shipped</v>
      </c>
    </row>
    <row r="142" spans="1:9" x14ac:dyDescent="0.3">
      <c r="A142">
        <v>141</v>
      </c>
      <c r="B142">
        <v>557</v>
      </c>
      <c r="C142">
        <v>4</v>
      </c>
      <c r="D142" s="12">
        <v>42454</v>
      </c>
      <c r="E142" s="12">
        <v>42456</v>
      </c>
      <c r="F142" s="12">
        <v>42455</v>
      </c>
      <c r="G142">
        <v>2</v>
      </c>
      <c r="H142">
        <v>7</v>
      </c>
      <c r="I142" t="str">
        <f t="shared" si="2"/>
        <v>Delivered</v>
      </c>
    </row>
    <row r="143" spans="1:9" x14ac:dyDescent="0.3">
      <c r="A143">
        <v>142</v>
      </c>
      <c r="B143">
        <v>170</v>
      </c>
      <c r="C143">
        <v>4</v>
      </c>
      <c r="D143" s="12">
        <v>42455</v>
      </c>
      <c r="E143" s="12">
        <v>42456</v>
      </c>
      <c r="F143" s="12">
        <v>42456</v>
      </c>
      <c r="G143">
        <v>1</v>
      </c>
      <c r="H143">
        <v>3</v>
      </c>
      <c r="I143" t="str">
        <f t="shared" si="2"/>
        <v>Shipped</v>
      </c>
    </row>
    <row r="144" spans="1:9" x14ac:dyDescent="0.3">
      <c r="A144">
        <v>143</v>
      </c>
      <c r="B144">
        <v>693</v>
      </c>
      <c r="C144">
        <v>4</v>
      </c>
      <c r="D144" s="12">
        <v>42455</v>
      </c>
      <c r="E144" s="12">
        <v>42457</v>
      </c>
      <c r="F144" s="12">
        <v>42457</v>
      </c>
      <c r="G144">
        <v>2</v>
      </c>
      <c r="H144">
        <v>7</v>
      </c>
      <c r="I144" t="str">
        <f t="shared" si="2"/>
        <v>Shipped</v>
      </c>
    </row>
    <row r="145" spans="1:9" x14ac:dyDescent="0.3">
      <c r="A145">
        <v>144</v>
      </c>
      <c r="B145">
        <v>1124</v>
      </c>
      <c r="C145">
        <v>4</v>
      </c>
      <c r="D145" s="12">
        <v>42455</v>
      </c>
      <c r="E145" s="12">
        <v>42458</v>
      </c>
      <c r="F145" s="12">
        <v>42458</v>
      </c>
      <c r="G145">
        <v>2</v>
      </c>
      <c r="H145">
        <v>7</v>
      </c>
      <c r="I145" t="str">
        <f t="shared" si="2"/>
        <v>Shipped</v>
      </c>
    </row>
    <row r="146" spans="1:9" x14ac:dyDescent="0.3">
      <c r="A146">
        <v>145</v>
      </c>
      <c r="B146">
        <v>366</v>
      </c>
      <c r="C146">
        <v>4</v>
      </c>
      <c r="D146" s="12">
        <v>42456</v>
      </c>
      <c r="E146" s="12">
        <v>42458</v>
      </c>
      <c r="F146" s="12">
        <v>42459</v>
      </c>
      <c r="G146">
        <v>2</v>
      </c>
      <c r="H146">
        <v>6</v>
      </c>
      <c r="I146" t="str">
        <f t="shared" si="2"/>
        <v>Shipped</v>
      </c>
    </row>
    <row r="147" spans="1:9" x14ac:dyDescent="0.3">
      <c r="A147">
        <v>146</v>
      </c>
      <c r="B147">
        <v>288</v>
      </c>
      <c r="C147">
        <v>4</v>
      </c>
      <c r="D147" s="12">
        <v>42457</v>
      </c>
      <c r="E147" s="12">
        <v>42459</v>
      </c>
      <c r="F147" s="12">
        <v>42459</v>
      </c>
      <c r="G147">
        <v>1</v>
      </c>
      <c r="H147">
        <v>3</v>
      </c>
      <c r="I147" t="str">
        <f t="shared" si="2"/>
        <v>Shipped</v>
      </c>
    </row>
    <row r="148" spans="1:9" x14ac:dyDescent="0.3">
      <c r="A148">
        <v>147</v>
      </c>
      <c r="B148">
        <v>55</v>
      </c>
      <c r="C148">
        <v>4</v>
      </c>
      <c r="D148" s="12">
        <v>42457</v>
      </c>
      <c r="E148" s="12">
        <v>42460</v>
      </c>
      <c r="F148" s="12">
        <v>42460</v>
      </c>
      <c r="G148">
        <v>2</v>
      </c>
      <c r="H148">
        <v>7</v>
      </c>
      <c r="I148" t="str">
        <f t="shared" si="2"/>
        <v>Shipped</v>
      </c>
    </row>
    <row r="149" spans="1:9" x14ac:dyDescent="0.3">
      <c r="A149">
        <v>148</v>
      </c>
      <c r="B149">
        <v>714</v>
      </c>
      <c r="C149">
        <v>4</v>
      </c>
      <c r="D149" s="12">
        <v>42457</v>
      </c>
      <c r="E149" s="12">
        <v>42459</v>
      </c>
      <c r="F149" s="12">
        <v>42459</v>
      </c>
      <c r="G149">
        <v>2</v>
      </c>
      <c r="H149">
        <v>6</v>
      </c>
      <c r="I149" t="str">
        <f t="shared" si="2"/>
        <v>Shipped</v>
      </c>
    </row>
    <row r="150" spans="1:9" x14ac:dyDescent="0.3">
      <c r="A150">
        <v>149</v>
      </c>
      <c r="B150">
        <v>763</v>
      </c>
      <c r="C150">
        <v>4</v>
      </c>
      <c r="D150" s="12">
        <v>42457</v>
      </c>
      <c r="E150" s="12">
        <v>42459</v>
      </c>
      <c r="F150" s="12">
        <v>42458</v>
      </c>
      <c r="G150">
        <v>2</v>
      </c>
      <c r="H150">
        <v>6</v>
      </c>
      <c r="I150" t="str">
        <f t="shared" si="2"/>
        <v>Delivered</v>
      </c>
    </row>
    <row r="151" spans="1:9" x14ac:dyDescent="0.3">
      <c r="A151">
        <v>150</v>
      </c>
      <c r="B151">
        <v>332</v>
      </c>
      <c r="C151">
        <v>4</v>
      </c>
      <c r="D151" s="12">
        <v>42458</v>
      </c>
      <c r="E151" s="12">
        <v>42460</v>
      </c>
      <c r="F151" s="12">
        <v>42461</v>
      </c>
      <c r="G151">
        <v>1</v>
      </c>
      <c r="H151">
        <v>2</v>
      </c>
      <c r="I151" t="str">
        <f t="shared" si="2"/>
        <v>Shipped</v>
      </c>
    </row>
    <row r="152" spans="1:9" x14ac:dyDescent="0.3">
      <c r="A152">
        <v>151</v>
      </c>
      <c r="B152">
        <v>926</v>
      </c>
      <c r="C152">
        <v>4</v>
      </c>
      <c r="D152" s="12">
        <v>42458</v>
      </c>
      <c r="E152" s="12">
        <v>42461</v>
      </c>
      <c r="F152" s="12">
        <v>42460</v>
      </c>
      <c r="G152">
        <v>1</v>
      </c>
      <c r="H152">
        <v>2</v>
      </c>
      <c r="I152" t="str">
        <f t="shared" si="2"/>
        <v>Delivered</v>
      </c>
    </row>
    <row r="153" spans="1:9" x14ac:dyDescent="0.3">
      <c r="A153">
        <v>152</v>
      </c>
      <c r="B153">
        <v>76</v>
      </c>
      <c r="C153">
        <v>4</v>
      </c>
      <c r="D153" s="12">
        <v>42458</v>
      </c>
      <c r="E153" s="12">
        <v>42459</v>
      </c>
      <c r="F153" s="12">
        <v>42459</v>
      </c>
      <c r="G153">
        <v>2</v>
      </c>
      <c r="H153">
        <v>6</v>
      </c>
      <c r="I153" t="str">
        <f t="shared" si="2"/>
        <v>Shipped</v>
      </c>
    </row>
    <row r="154" spans="1:9" x14ac:dyDescent="0.3">
      <c r="A154">
        <v>153</v>
      </c>
      <c r="B154">
        <v>498</v>
      </c>
      <c r="C154">
        <v>4</v>
      </c>
      <c r="D154" s="12">
        <v>42459</v>
      </c>
      <c r="E154" s="12">
        <v>42462</v>
      </c>
      <c r="F154" s="12">
        <v>42461</v>
      </c>
      <c r="G154">
        <v>2</v>
      </c>
      <c r="H154">
        <v>6</v>
      </c>
      <c r="I154" t="str">
        <f t="shared" si="2"/>
        <v>Delivered</v>
      </c>
    </row>
    <row r="155" spans="1:9" x14ac:dyDescent="0.3">
      <c r="A155">
        <v>154</v>
      </c>
      <c r="B155">
        <v>1286</v>
      </c>
      <c r="C155">
        <v>4</v>
      </c>
      <c r="D155" s="12">
        <v>42460</v>
      </c>
      <c r="E155" s="12">
        <v>42461</v>
      </c>
      <c r="F155" s="12">
        <v>42461</v>
      </c>
      <c r="G155">
        <v>1</v>
      </c>
      <c r="H155">
        <v>2</v>
      </c>
      <c r="I155" t="str">
        <f t="shared" si="2"/>
        <v>Shipped</v>
      </c>
    </row>
    <row r="156" spans="1:9" x14ac:dyDescent="0.3">
      <c r="A156">
        <v>155</v>
      </c>
      <c r="B156">
        <v>371</v>
      </c>
      <c r="C156">
        <v>4</v>
      </c>
      <c r="D156" s="12">
        <v>42462</v>
      </c>
      <c r="E156" s="12">
        <v>42463</v>
      </c>
      <c r="F156" s="12">
        <v>42464</v>
      </c>
      <c r="G156">
        <v>2</v>
      </c>
      <c r="H156">
        <v>6</v>
      </c>
      <c r="I156" t="str">
        <f t="shared" si="2"/>
        <v>Shipped</v>
      </c>
    </row>
    <row r="157" spans="1:9" x14ac:dyDescent="0.3">
      <c r="A157">
        <v>156</v>
      </c>
      <c r="B157">
        <v>357</v>
      </c>
      <c r="C157">
        <v>4</v>
      </c>
      <c r="D157" s="12">
        <v>42463</v>
      </c>
      <c r="E157" s="12">
        <v>42466</v>
      </c>
      <c r="F157" s="12">
        <v>42465</v>
      </c>
      <c r="G157">
        <v>1</v>
      </c>
      <c r="H157">
        <v>3</v>
      </c>
      <c r="I157" t="str">
        <f t="shared" si="2"/>
        <v>Delivered</v>
      </c>
    </row>
    <row r="158" spans="1:9" x14ac:dyDescent="0.3">
      <c r="A158">
        <v>157</v>
      </c>
      <c r="B158">
        <v>43</v>
      </c>
      <c r="C158">
        <v>4</v>
      </c>
      <c r="D158" s="12">
        <v>42463</v>
      </c>
      <c r="E158" s="12">
        <v>42466</v>
      </c>
      <c r="F158" s="12">
        <v>42466</v>
      </c>
      <c r="G158">
        <v>3</v>
      </c>
      <c r="H158">
        <v>8</v>
      </c>
      <c r="I158" t="str">
        <f t="shared" si="2"/>
        <v>Shipped</v>
      </c>
    </row>
    <row r="159" spans="1:9" x14ac:dyDescent="0.3">
      <c r="A159">
        <v>158</v>
      </c>
      <c r="B159">
        <v>117</v>
      </c>
      <c r="C159">
        <v>3</v>
      </c>
      <c r="D159" s="12">
        <v>42464</v>
      </c>
      <c r="E159" s="12">
        <v>42464</v>
      </c>
      <c r="F159" s="12" t="s">
        <v>5611</v>
      </c>
      <c r="G159">
        <v>3</v>
      </c>
      <c r="H159">
        <v>9</v>
      </c>
      <c r="I159" t="str">
        <f t="shared" si="2"/>
        <v>Pending</v>
      </c>
    </row>
    <row r="160" spans="1:9" x14ac:dyDescent="0.3">
      <c r="A160">
        <v>159</v>
      </c>
      <c r="B160">
        <v>32</v>
      </c>
      <c r="C160">
        <v>4</v>
      </c>
      <c r="D160" s="12">
        <v>42464</v>
      </c>
      <c r="E160" s="12">
        <v>42466</v>
      </c>
      <c r="F160" s="12">
        <v>42466</v>
      </c>
      <c r="G160">
        <v>1</v>
      </c>
      <c r="H160">
        <v>2</v>
      </c>
      <c r="I160" t="str">
        <f t="shared" si="2"/>
        <v>Shipped</v>
      </c>
    </row>
    <row r="161" spans="1:9" x14ac:dyDescent="0.3">
      <c r="A161">
        <v>160</v>
      </c>
      <c r="B161">
        <v>205</v>
      </c>
      <c r="C161">
        <v>4</v>
      </c>
      <c r="D161" s="12">
        <v>42464</v>
      </c>
      <c r="E161" s="12">
        <v>42466</v>
      </c>
      <c r="F161" s="12">
        <v>42466</v>
      </c>
      <c r="G161">
        <v>2</v>
      </c>
      <c r="H161">
        <v>7</v>
      </c>
      <c r="I161" t="str">
        <f t="shared" si="2"/>
        <v>Shipped</v>
      </c>
    </row>
    <row r="162" spans="1:9" x14ac:dyDescent="0.3">
      <c r="A162">
        <v>161</v>
      </c>
      <c r="B162">
        <v>251</v>
      </c>
      <c r="C162">
        <v>4</v>
      </c>
      <c r="D162" s="12">
        <v>42464</v>
      </c>
      <c r="E162" s="12">
        <v>42467</v>
      </c>
      <c r="F162" s="12">
        <v>42465</v>
      </c>
      <c r="G162">
        <v>2</v>
      </c>
      <c r="H162">
        <v>7</v>
      </c>
      <c r="I162" t="str">
        <f t="shared" si="2"/>
        <v>Delivered</v>
      </c>
    </row>
    <row r="163" spans="1:9" x14ac:dyDescent="0.3">
      <c r="A163">
        <v>162</v>
      </c>
      <c r="B163">
        <v>31</v>
      </c>
      <c r="C163">
        <v>4</v>
      </c>
      <c r="D163" s="12">
        <v>42466</v>
      </c>
      <c r="E163" s="12">
        <v>42468</v>
      </c>
      <c r="F163" s="12">
        <v>42467</v>
      </c>
      <c r="G163">
        <v>1</v>
      </c>
      <c r="H163">
        <v>3</v>
      </c>
      <c r="I163" t="str">
        <f t="shared" si="2"/>
        <v>Delivered</v>
      </c>
    </row>
    <row r="164" spans="1:9" x14ac:dyDescent="0.3">
      <c r="A164">
        <v>163</v>
      </c>
      <c r="B164">
        <v>1325</v>
      </c>
      <c r="C164">
        <v>4</v>
      </c>
      <c r="D164" s="12">
        <v>42466</v>
      </c>
      <c r="E164" s="12">
        <v>42467</v>
      </c>
      <c r="F164" s="12">
        <v>42467</v>
      </c>
      <c r="G164">
        <v>2</v>
      </c>
      <c r="H164">
        <v>7</v>
      </c>
      <c r="I164" t="str">
        <f t="shared" si="2"/>
        <v>Shipped</v>
      </c>
    </row>
    <row r="165" spans="1:9" x14ac:dyDescent="0.3">
      <c r="A165">
        <v>164</v>
      </c>
      <c r="B165">
        <v>610</v>
      </c>
      <c r="C165">
        <v>4</v>
      </c>
      <c r="D165" s="12">
        <v>42467</v>
      </c>
      <c r="E165" s="12">
        <v>42468</v>
      </c>
      <c r="F165" s="12">
        <v>42469</v>
      </c>
      <c r="G165">
        <v>2</v>
      </c>
      <c r="H165">
        <v>7</v>
      </c>
      <c r="I165" t="str">
        <f t="shared" si="2"/>
        <v>Shipped</v>
      </c>
    </row>
    <row r="166" spans="1:9" x14ac:dyDescent="0.3">
      <c r="A166">
        <v>165</v>
      </c>
      <c r="B166">
        <v>574</v>
      </c>
      <c r="C166">
        <v>4</v>
      </c>
      <c r="D166" s="12">
        <v>42468</v>
      </c>
      <c r="E166" s="12">
        <v>42470</v>
      </c>
      <c r="F166" s="12">
        <v>42470</v>
      </c>
      <c r="G166">
        <v>1</v>
      </c>
      <c r="H166">
        <v>3</v>
      </c>
      <c r="I166" t="str">
        <f t="shared" si="2"/>
        <v>Shipped</v>
      </c>
    </row>
    <row r="167" spans="1:9" x14ac:dyDescent="0.3">
      <c r="A167">
        <v>166</v>
      </c>
      <c r="B167">
        <v>338</v>
      </c>
      <c r="C167">
        <v>4</v>
      </c>
      <c r="D167" s="12">
        <v>42468</v>
      </c>
      <c r="E167" s="12">
        <v>42471</v>
      </c>
      <c r="F167" s="12">
        <v>42471</v>
      </c>
      <c r="G167">
        <v>2</v>
      </c>
      <c r="H167">
        <v>6</v>
      </c>
      <c r="I167" t="str">
        <f t="shared" si="2"/>
        <v>Shipped</v>
      </c>
    </row>
    <row r="168" spans="1:9" x14ac:dyDescent="0.3">
      <c r="A168">
        <v>167</v>
      </c>
      <c r="B168">
        <v>1034</v>
      </c>
      <c r="C168">
        <v>4</v>
      </c>
      <c r="D168" s="12">
        <v>42468</v>
      </c>
      <c r="E168" s="12">
        <v>42469</v>
      </c>
      <c r="F168" s="12">
        <v>42471</v>
      </c>
      <c r="G168">
        <v>2</v>
      </c>
      <c r="H168">
        <v>7</v>
      </c>
      <c r="I168" t="str">
        <f t="shared" si="2"/>
        <v>Shipped</v>
      </c>
    </row>
    <row r="169" spans="1:9" x14ac:dyDescent="0.3">
      <c r="A169">
        <v>168</v>
      </c>
      <c r="B169">
        <v>1147</v>
      </c>
      <c r="C169">
        <v>4</v>
      </c>
      <c r="D169" s="12">
        <v>42469</v>
      </c>
      <c r="E169" s="12">
        <v>42472</v>
      </c>
      <c r="F169" s="12">
        <v>42471</v>
      </c>
      <c r="G169">
        <v>1</v>
      </c>
      <c r="H169">
        <v>3</v>
      </c>
      <c r="I169" t="str">
        <f t="shared" si="2"/>
        <v>Delivered</v>
      </c>
    </row>
    <row r="170" spans="1:9" x14ac:dyDescent="0.3">
      <c r="A170">
        <v>169</v>
      </c>
      <c r="B170">
        <v>99</v>
      </c>
      <c r="C170">
        <v>4</v>
      </c>
      <c r="D170" s="12">
        <v>42470</v>
      </c>
      <c r="E170" s="12">
        <v>42471</v>
      </c>
      <c r="F170" s="12">
        <v>42471</v>
      </c>
      <c r="G170">
        <v>2</v>
      </c>
      <c r="H170">
        <v>7</v>
      </c>
      <c r="I170" t="str">
        <f t="shared" si="2"/>
        <v>Shipped</v>
      </c>
    </row>
    <row r="171" spans="1:9" x14ac:dyDescent="0.3">
      <c r="A171">
        <v>170</v>
      </c>
      <c r="B171">
        <v>1200</v>
      </c>
      <c r="C171">
        <v>4</v>
      </c>
      <c r="D171" s="12">
        <v>42470</v>
      </c>
      <c r="E171" s="12">
        <v>42471</v>
      </c>
      <c r="F171" s="12">
        <v>42473</v>
      </c>
      <c r="G171">
        <v>2</v>
      </c>
      <c r="H171">
        <v>7</v>
      </c>
      <c r="I171" t="str">
        <f t="shared" si="2"/>
        <v>Shipped</v>
      </c>
    </row>
    <row r="172" spans="1:9" x14ac:dyDescent="0.3">
      <c r="A172">
        <v>171</v>
      </c>
      <c r="B172">
        <v>237</v>
      </c>
      <c r="C172">
        <v>4</v>
      </c>
      <c r="D172" s="12">
        <v>42471</v>
      </c>
      <c r="E172" s="12">
        <v>42474</v>
      </c>
      <c r="F172" s="12">
        <v>42474</v>
      </c>
      <c r="G172">
        <v>1</v>
      </c>
      <c r="H172">
        <v>3</v>
      </c>
      <c r="I172" t="str">
        <f t="shared" si="2"/>
        <v>Shipped</v>
      </c>
    </row>
    <row r="173" spans="1:9" x14ac:dyDescent="0.3">
      <c r="A173">
        <v>172</v>
      </c>
      <c r="B173">
        <v>1079</v>
      </c>
      <c r="C173">
        <v>4</v>
      </c>
      <c r="D173" s="12">
        <v>42471</v>
      </c>
      <c r="E173" s="12">
        <v>42472</v>
      </c>
      <c r="F173" s="12">
        <v>42474</v>
      </c>
      <c r="G173">
        <v>2</v>
      </c>
      <c r="H173">
        <v>7</v>
      </c>
      <c r="I173" t="str">
        <f t="shared" si="2"/>
        <v>Shipped</v>
      </c>
    </row>
    <row r="174" spans="1:9" x14ac:dyDescent="0.3">
      <c r="A174">
        <v>173</v>
      </c>
      <c r="B174">
        <v>117</v>
      </c>
      <c r="C174">
        <v>4</v>
      </c>
      <c r="D174" s="12">
        <v>42471</v>
      </c>
      <c r="E174" s="12">
        <v>42474</v>
      </c>
      <c r="F174" s="12">
        <v>42473</v>
      </c>
      <c r="G174">
        <v>3</v>
      </c>
      <c r="H174">
        <v>8</v>
      </c>
      <c r="I174" t="str">
        <f t="shared" si="2"/>
        <v>Delivered</v>
      </c>
    </row>
    <row r="175" spans="1:9" x14ac:dyDescent="0.3">
      <c r="A175">
        <v>174</v>
      </c>
      <c r="B175">
        <v>1361</v>
      </c>
      <c r="C175">
        <v>4</v>
      </c>
      <c r="D175" s="12">
        <v>42472</v>
      </c>
      <c r="E175" s="12">
        <v>42473</v>
      </c>
      <c r="F175" s="12">
        <v>42475</v>
      </c>
      <c r="G175">
        <v>2</v>
      </c>
      <c r="H175">
        <v>7</v>
      </c>
      <c r="I175" t="str">
        <f t="shared" si="2"/>
        <v>Shipped</v>
      </c>
    </row>
    <row r="176" spans="1:9" x14ac:dyDescent="0.3">
      <c r="A176">
        <v>175</v>
      </c>
      <c r="B176">
        <v>951</v>
      </c>
      <c r="C176">
        <v>4</v>
      </c>
      <c r="D176" s="12">
        <v>42473</v>
      </c>
      <c r="E176" s="12">
        <v>42474</v>
      </c>
      <c r="F176" s="12">
        <v>42474</v>
      </c>
      <c r="G176">
        <v>2</v>
      </c>
      <c r="H176">
        <v>6</v>
      </c>
      <c r="I176" t="str">
        <f t="shared" si="2"/>
        <v>Shipped</v>
      </c>
    </row>
    <row r="177" spans="1:9" x14ac:dyDescent="0.3">
      <c r="A177">
        <v>176</v>
      </c>
      <c r="B177">
        <v>643</v>
      </c>
      <c r="C177">
        <v>4</v>
      </c>
      <c r="D177" s="12">
        <v>42475</v>
      </c>
      <c r="E177" s="12">
        <v>42476</v>
      </c>
      <c r="F177" s="12">
        <v>42477</v>
      </c>
      <c r="G177">
        <v>2</v>
      </c>
      <c r="H177">
        <v>7</v>
      </c>
      <c r="I177" t="str">
        <f t="shared" si="2"/>
        <v>Shipped</v>
      </c>
    </row>
    <row r="178" spans="1:9" x14ac:dyDescent="0.3">
      <c r="A178">
        <v>177</v>
      </c>
      <c r="B178">
        <v>121</v>
      </c>
      <c r="C178">
        <v>4</v>
      </c>
      <c r="D178" s="12">
        <v>42476</v>
      </c>
      <c r="E178" s="12">
        <v>42479</v>
      </c>
      <c r="F178" s="12">
        <v>42479</v>
      </c>
      <c r="G178">
        <v>1</v>
      </c>
      <c r="H178">
        <v>2</v>
      </c>
      <c r="I178" t="str">
        <f t="shared" si="2"/>
        <v>Shipped</v>
      </c>
    </row>
    <row r="179" spans="1:9" x14ac:dyDescent="0.3">
      <c r="A179">
        <v>178</v>
      </c>
      <c r="B179">
        <v>756</v>
      </c>
      <c r="C179">
        <v>4</v>
      </c>
      <c r="D179" s="12">
        <v>42476</v>
      </c>
      <c r="E179" s="12">
        <v>42477</v>
      </c>
      <c r="F179" s="12">
        <v>42478</v>
      </c>
      <c r="G179">
        <v>2</v>
      </c>
      <c r="H179">
        <v>6</v>
      </c>
      <c r="I179" t="str">
        <f t="shared" si="2"/>
        <v>Shipped</v>
      </c>
    </row>
    <row r="180" spans="1:9" x14ac:dyDescent="0.3">
      <c r="A180">
        <v>179</v>
      </c>
      <c r="B180">
        <v>616</v>
      </c>
      <c r="C180">
        <v>4</v>
      </c>
      <c r="D180" s="12">
        <v>42477</v>
      </c>
      <c r="E180" s="12">
        <v>42479</v>
      </c>
      <c r="F180" s="12">
        <v>42479</v>
      </c>
      <c r="G180">
        <v>2</v>
      </c>
      <c r="H180">
        <v>6</v>
      </c>
      <c r="I180" t="str">
        <f t="shared" si="2"/>
        <v>Shipped</v>
      </c>
    </row>
    <row r="181" spans="1:9" x14ac:dyDescent="0.3">
      <c r="A181">
        <v>180</v>
      </c>
      <c r="B181">
        <v>918</v>
      </c>
      <c r="C181">
        <v>4</v>
      </c>
      <c r="D181" s="12">
        <v>42477</v>
      </c>
      <c r="E181" s="12">
        <v>42480</v>
      </c>
      <c r="F181" s="12">
        <v>42479</v>
      </c>
      <c r="G181">
        <v>2</v>
      </c>
      <c r="H181">
        <v>7</v>
      </c>
      <c r="I181" t="str">
        <f t="shared" si="2"/>
        <v>Delivered</v>
      </c>
    </row>
    <row r="182" spans="1:9" x14ac:dyDescent="0.3">
      <c r="A182">
        <v>181</v>
      </c>
      <c r="B182">
        <v>459</v>
      </c>
      <c r="C182">
        <v>4</v>
      </c>
      <c r="D182" s="12">
        <v>42478</v>
      </c>
      <c r="E182" s="12">
        <v>42480</v>
      </c>
      <c r="F182" s="12">
        <v>42480</v>
      </c>
      <c r="G182">
        <v>1</v>
      </c>
      <c r="H182">
        <v>3</v>
      </c>
      <c r="I182" t="str">
        <f t="shared" si="2"/>
        <v>Shipped</v>
      </c>
    </row>
    <row r="183" spans="1:9" x14ac:dyDescent="0.3">
      <c r="A183">
        <v>182</v>
      </c>
      <c r="B183">
        <v>854</v>
      </c>
      <c r="C183">
        <v>4</v>
      </c>
      <c r="D183" s="12">
        <v>42478</v>
      </c>
      <c r="E183" s="12">
        <v>42479</v>
      </c>
      <c r="F183" s="12">
        <v>42480</v>
      </c>
      <c r="G183">
        <v>2</v>
      </c>
      <c r="H183">
        <v>6</v>
      </c>
      <c r="I183" t="str">
        <f t="shared" si="2"/>
        <v>Shipped</v>
      </c>
    </row>
    <row r="184" spans="1:9" x14ac:dyDescent="0.3">
      <c r="A184">
        <v>183</v>
      </c>
      <c r="B184">
        <v>22</v>
      </c>
      <c r="C184">
        <v>4</v>
      </c>
      <c r="D184" s="12">
        <v>42479</v>
      </c>
      <c r="E184" s="12">
        <v>42480</v>
      </c>
      <c r="F184" s="12">
        <v>42480</v>
      </c>
      <c r="G184">
        <v>2</v>
      </c>
      <c r="H184">
        <v>7</v>
      </c>
      <c r="I184" t="str">
        <f t="shared" si="2"/>
        <v>Shipped</v>
      </c>
    </row>
    <row r="185" spans="1:9" x14ac:dyDescent="0.3">
      <c r="A185">
        <v>184</v>
      </c>
      <c r="B185">
        <v>134</v>
      </c>
      <c r="C185">
        <v>4</v>
      </c>
      <c r="D185" s="12">
        <v>42479</v>
      </c>
      <c r="E185" s="12">
        <v>42481</v>
      </c>
      <c r="F185" s="12">
        <v>42482</v>
      </c>
      <c r="G185">
        <v>2</v>
      </c>
      <c r="H185">
        <v>7</v>
      </c>
      <c r="I185" t="str">
        <f t="shared" si="2"/>
        <v>Shipped</v>
      </c>
    </row>
    <row r="186" spans="1:9" x14ac:dyDescent="0.3">
      <c r="A186">
        <v>185</v>
      </c>
      <c r="B186">
        <v>24</v>
      </c>
      <c r="C186">
        <v>3</v>
      </c>
      <c r="D186" s="12">
        <v>42480</v>
      </c>
      <c r="E186" s="12">
        <v>42480</v>
      </c>
      <c r="F186" s="12" t="s">
        <v>5611</v>
      </c>
      <c r="G186">
        <v>1</v>
      </c>
      <c r="H186">
        <v>2</v>
      </c>
      <c r="I186" t="str">
        <f t="shared" si="2"/>
        <v>Pending</v>
      </c>
    </row>
    <row r="187" spans="1:9" x14ac:dyDescent="0.3">
      <c r="A187">
        <v>186</v>
      </c>
      <c r="B187">
        <v>1127</v>
      </c>
      <c r="C187">
        <v>4</v>
      </c>
      <c r="D187" s="12">
        <v>42481</v>
      </c>
      <c r="E187" s="12">
        <v>42482</v>
      </c>
      <c r="F187" s="12">
        <v>42484</v>
      </c>
      <c r="G187">
        <v>2</v>
      </c>
      <c r="H187">
        <v>6</v>
      </c>
      <c r="I187" t="str">
        <f t="shared" si="2"/>
        <v>Shipped</v>
      </c>
    </row>
    <row r="188" spans="1:9" x14ac:dyDescent="0.3">
      <c r="A188">
        <v>187</v>
      </c>
      <c r="B188">
        <v>183</v>
      </c>
      <c r="C188">
        <v>4</v>
      </c>
      <c r="D188" s="12">
        <v>42482</v>
      </c>
      <c r="E188" s="12">
        <v>42483</v>
      </c>
      <c r="F188" s="12">
        <v>42484</v>
      </c>
      <c r="G188">
        <v>2</v>
      </c>
      <c r="H188">
        <v>6</v>
      </c>
      <c r="I188" t="str">
        <f t="shared" si="2"/>
        <v>Shipped</v>
      </c>
    </row>
    <row r="189" spans="1:9" x14ac:dyDescent="0.3">
      <c r="A189">
        <v>188</v>
      </c>
      <c r="B189">
        <v>390</v>
      </c>
      <c r="C189">
        <v>4</v>
      </c>
      <c r="D189" s="12">
        <v>42482</v>
      </c>
      <c r="E189" s="12">
        <v>42483</v>
      </c>
      <c r="F189" s="12">
        <v>42485</v>
      </c>
      <c r="G189">
        <v>2</v>
      </c>
      <c r="H189">
        <v>6</v>
      </c>
      <c r="I189" t="str">
        <f t="shared" si="2"/>
        <v>Shipped</v>
      </c>
    </row>
    <row r="190" spans="1:9" x14ac:dyDescent="0.3">
      <c r="A190">
        <v>189</v>
      </c>
      <c r="B190">
        <v>1288</v>
      </c>
      <c r="C190">
        <v>4</v>
      </c>
      <c r="D190" s="12">
        <v>42483</v>
      </c>
      <c r="E190" s="12">
        <v>42484</v>
      </c>
      <c r="F190" s="12">
        <v>42486</v>
      </c>
      <c r="G190">
        <v>1</v>
      </c>
      <c r="H190">
        <v>2</v>
      </c>
      <c r="I190" t="str">
        <f t="shared" si="2"/>
        <v>Shipped</v>
      </c>
    </row>
    <row r="191" spans="1:9" x14ac:dyDescent="0.3">
      <c r="A191">
        <v>190</v>
      </c>
      <c r="B191">
        <v>98</v>
      </c>
      <c r="C191">
        <v>4</v>
      </c>
      <c r="D191" s="12">
        <v>42483</v>
      </c>
      <c r="E191" s="12">
        <v>42485</v>
      </c>
      <c r="F191" s="12">
        <v>42485</v>
      </c>
      <c r="G191">
        <v>2</v>
      </c>
      <c r="H191">
        <v>6</v>
      </c>
      <c r="I191" t="str">
        <f t="shared" si="2"/>
        <v>Shipped</v>
      </c>
    </row>
    <row r="192" spans="1:9" x14ac:dyDescent="0.3">
      <c r="A192">
        <v>191</v>
      </c>
      <c r="B192">
        <v>919</v>
      </c>
      <c r="C192">
        <v>4</v>
      </c>
      <c r="D192" s="12">
        <v>42487</v>
      </c>
      <c r="E192" s="12">
        <v>42488</v>
      </c>
      <c r="F192" s="12">
        <v>42488</v>
      </c>
      <c r="G192">
        <v>1</v>
      </c>
      <c r="H192">
        <v>2</v>
      </c>
      <c r="I192" t="str">
        <f t="shared" si="2"/>
        <v>Shipped</v>
      </c>
    </row>
    <row r="193" spans="1:9" x14ac:dyDescent="0.3">
      <c r="A193">
        <v>192</v>
      </c>
      <c r="B193">
        <v>728</v>
      </c>
      <c r="C193">
        <v>4</v>
      </c>
      <c r="D193" s="12">
        <v>42487</v>
      </c>
      <c r="E193" s="12">
        <v>42488</v>
      </c>
      <c r="F193" s="12">
        <v>42489</v>
      </c>
      <c r="G193">
        <v>2</v>
      </c>
      <c r="H193">
        <v>7</v>
      </c>
      <c r="I193" t="str">
        <f t="shared" si="2"/>
        <v>Shipped</v>
      </c>
    </row>
    <row r="194" spans="1:9" x14ac:dyDescent="0.3">
      <c r="A194">
        <v>193</v>
      </c>
      <c r="B194">
        <v>1366</v>
      </c>
      <c r="C194">
        <v>4</v>
      </c>
      <c r="D194" s="12">
        <v>42488</v>
      </c>
      <c r="E194" s="12">
        <v>42490</v>
      </c>
      <c r="F194" s="12">
        <v>42490</v>
      </c>
      <c r="G194">
        <v>1</v>
      </c>
      <c r="H194">
        <v>3</v>
      </c>
      <c r="I194" t="str">
        <f t="shared" si="2"/>
        <v>Shipped</v>
      </c>
    </row>
    <row r="195" spans="1:9" x14ac:dyDescent="0.3">
      <c r="A195">
        <v>194</v>
      </c>
      <c r="B195">
        <v>558</v>
      </c>
      <c r="C195">
        <v>4</v>
      </c>
      <c r="D195" s="12">
        <v>42488</v>
      </c>
      <c r="E195" s="12">
        <v>42490</v>
      </c>
      <c r="F195" s="12">
        <v>42491</v>
      </c>
      <c r="G195">
        <v>2</v>
      </c>
      <c r="H195">
        <v>7</v>
      </c>
      <c r="I195" t="str">
        <f t="shared" ref="I195:I258" si="3">IF(F195="NA","Pending",IF(OR(E195=F195,E195&lt;F195),"Shipped","Delivered"))</f>
        <v>Shipped</v>
      </c>
    </row>
    <row r="196" spans="1:9" x14ac:dyDescent="0.3">
      <c r="A196">
        <v>195</v>
      </c>
      <c r="B196">
        <v>727</v>
      </c>
      <c r="C196">
        <v>4</v>
      </c>
      <c r="D196" s="12">
        <v>42488</v>
      </c>
      <c r="E196" s="12">
        <v>42491</v>
      </c>
      <c r="F196" s="12">
        <v>42491</v>
      </c>
      <c r="G196">
        <v>2</v>
      </c>
      <c r="H196">
        <v>7</v>
      </c>
      <c r="I196" t="str">
        <f t="shared" si="3"/>
        <v>Shipped</v>
      </c>
    </row>
    <row r="197" spans="1:9" x14ac:dyDescent="0.3">
      <c r="A197">
        <v>196</v>
      </c>
      <c r="B197">
        <v>1247</v>
      </c>
      <c r="C197">
        <v>4</v>
      </c>
      <c r="D197" s="12">
        <v>42488</v>
      </c>
      <c r="E197" s="12">
        <v>42490</v>
      </c>
      <c r="F197" s="12">
        <v>42491</v>
      </c>
      <c r="G197">
        <v>2</v>
      </c>
      <c r="H197">
        <v>6</v>
      </c>
      <c r="I197" t="str">
        <f t="shared" si="3"/>
        <v>Shipped</v>
      </c>
    </row>
    <row r="198" spans="1:9" x14ac:dyDescent="0.3">
      <c r="A198">
        <v>197</v>
      </c>
      <c r="B198">
        <v>127</v>
      </c>
      <c r="C198">
        <v>4</v>
      </c>
      <c r="D198" s="12">
        <v>42490</v>
      </c>
      <c r="E198" s="12">
        <v>42493</v>
      </c>
      <c r="F198" s="12">
        <v>42493</v>
      </c>
      <c r="G198">
        <v>2</v>
      </c>
      <c r="H198">
        <v>7</v>
      </c>
      <c r="I198" t="str">
        <f t="shared" si="3"/>
        <v>Shipped</v>
      </c>
    </row>
    <row r="199" spans="1:9" x14ac:dyDescent="0.3">
      <c r="A199">
        <v>198</v>
      </c>
      <c r="B199">
        <v>640</v>
      </c>
      <c r="C199">
        <v>4</v>
      </c>
      <c r="D199" s="12">
        <v>42491</v>
      </c>
      <c r="E199" s="12">
        <v>42494</v>
      </c>
      <c r="F199" s="12">
        <v>42493</v>
      </c>
      <c r="G199">
        <v>2</v>
      </c>
      <c r="H199">
        <v>6</v>
      </c>
      <c r="I199" t="str">
        <f t="shared" si="3"/>
        <v>Delivered</v>
      </c>
    </row>
    <row r="200" spans="1:9" x14ac:dyDescent="0.3">
      <c r="A200">
        <v>199</v>
      </c>
      <c r="B200">
        <v>760</v>
      </c>
      <c r="C200">
        <v>4</v>
      </c>
      <c r="D200" s="12">
        <v>42491</v>
      </c>
      <c r="E200" s="12">
        <v>42494</v>
      </c>
      <c r="F200" s="12">
        <v>42494</v>
      </c>
      <c r="G200">
        <v>2</v>
      </c>
      <c r="H200">
        <v>7</v>
      </c>
      <c r="I200" t="str">
        <f t="shared" si="3"/>
        <v>Shipped</v>
      </c>
    </row>
    <row r="201" spans="1:9" x14ac:dyDescent="0.3">
      <c r="A201">
        <v>200</v>
      </c>
      <c r="B201">
        <v>1074</v>
      </c>
      <c r="C201">
        <v>4</v>
      </c>
      <c r="D201" s="12">
        <v>42491</v>
      </c>
      <c r="E201" s="12">
        <v>42493</v>
      </c>
      <c r="F201" s="12">
        <v>42493</v>
      </c>
      <c r="G201">
        <v>2</v>
      </c>
      <c r="H201">
        <v>6</v>
      </c>
      <c r="I201" t="str">
        <f t="shared" si="3"/>
        <v>Shipped</v>
      </c>
    </row>
    <row r="202" spans="1:9" x14ac:dyDescent="0.3">
      <c r="A202">
        <v>201</v>
      </c>
      <c r="B202">
        <v>280</v>
      </c>
      <c r="C202">
        <v>4</v>
      </c>
      <c r="D202" s="12">
        <v>42491</v>
      </c>
      <c r="E202" s="12">
        <v>42494</v>
      </c>
      <c r="F202" s="12">
        <v>42492</v>
      </c>
      <c r="G202">
        <v>3</v>
      </c>
      <c r="H202">
        <v>9</v>
      </c>
      <c r="I202" t="str">
        <f t="shared" si="3"/>
        <v>Delivered</v>
      </c>
    </row>
    <row r="203" spans="1:9" x14ac:dyDescent="0.3">
      <c r="A203">
        <v>202</v>
      </c>
      <c r="B203">
        <v>600</v>
      </c>
      <c r="C203">
        <v>4</v>
      </c>
      <c r="D203" s="12">
        <v>42493</v>
      </c>
      <c r="E203" s="12">
        <v>42495</v>
      </c>
      <c r="F203" s="12">
        <v>42494</v>
      </c>
      <c r="G203">
        <v>1</v>
      </c>
      <c r="H203">
        <v>2</v>
      </c>
      <c r="I203" t="str">
        <f t="shared" si="3"/>
        <v>Delivered</v>
      </c>
    </row>
    <row r="204" spans="1:9" x14ac:dyDescent="0.3">
      <c r="A204">
        <v>203</v>
      </c>
      <c r="B204">
        <v>1102</v>
      </c>
      <c r="C204">
        <v>4</v>
      </c>
      <c r="D204" s="12">
        <v>42493</v>
      </c>
      <c r="E204" s="12">
        <v>42495</v>
      </c>
      <c r="F204" s="12">
        <v>42496</v>
      </c>
      <c r="G204">
        <v>3</v>
      </c>
      <c r="H204">
        <v>9</v>
      </c>
      <c r="I204" t="str">
        <f t="shared" si="3"/>
        <v>Shipped</v>
      </c>
    </row>
    <row r="205" spans="1:9" x14ac:dyDescent="0.3">
      <c r="A205">
        <v>204</v>
      </c>
      <c r="B205">
        <v>591</v>
      </c>
      <c r="C205">
        <v>4</v>
      </c>
      <c r="D205" s="12">
        <v>42494</v>
      </c>
      <c r="E205" s="12">
        <v>42497</v>
      </c>
      <c r="F205" s="12">
        <v>42496</v>
      </c>
      <c r="G205">
        <v>2</v>
      </c>
      <c r="H205">
        <v>7</v>
      </c>
      <c r="I205" t="str">
        <f t="shared" si="3"/>
        <v>Delivered</v>
      </c>
    </row>
    <row r="206" spans="1:9" x14ac:dyDescent="0.3">
      <c r="A206">
        <v>205</v>
      </c>
      <c r="B206">
        <v>635</v>
      </c>
      <c r="C206">
        <v>4</v>
      </c>
      <c r="D206" s="12">
        <v>42494</v>
      </c>
      <c r="E206" s="12">
        <v>42495</v>
      </c>
      <c r="F206" s="12">
        <v>42496</v>
      </c>
      <c r="G206">
        <v>2</v>
      </c>
      <c r="H206">
        <v>6</v>
      </c>
      <c r="I206" t="str">
        <f t="shared" si="3"/>
        <v>Shipped</v>
      </c>
    </row>
    <row r="207" spans="1:9" x14ac:dyDescent="0.3">
      <c r="A207">
        <v>206</v>
      </c>
      <c r="B207">
        <v>743</v>
      </c>
      <c r="C207">
        <v>4</v>
      </c>
      <c r="D207" s="12">
        <v>42494</v>
      </c>
      <c r="E207" s="12">
        <v>42496</v>
      </c>
      <c r="F207" s="12">
        <v>42495</v>
      </c>
      <c r="G207">
        <v>3</v>
      </c>
      <c r="H207">
        <v>9</v>
      </c>
      <c r="I207" t="str">
        <f t="shared" si="3"/>
        <v>Delivered</v>
      </c>
    </row>
    <row r="208" spans="1:9" x14ac:dyDescent="0.3">
      <c r="A208">
        <v>207</v>
      </c>
      <c r="B208">
        <v>105</v>
      </c>
      <c r="C208">
        <v>4</v>
      </c>
      <c r="D208" s="12">
        <v>42495</v>
      </c>
      <c r="E208" s="12">
        <v>42497</v>
      </c>
      <c r="F208" s="12">
        <v>42497</v>
      </c>
      <c r="G208">
        <v>2</v>
      </c>
      <c r="H208">
        <v>7</v>
      </c>
      <c r="I208" t="str">
        <f t="shared" si="3"/>
        <v>Shipped</v>
      </c>
    </row>
    <row r="209" spans="1:9" x14ac:dyDescent="0.3">
      <c r="A209">
        <v>208</v>
      </c>
      <c r="B209">
        <v>815</v>
      </c>
      <c r="C209">
        <v>4</v>
      </c>
      <c r="D209" s="12">
        <v>42496</v>
      </c>
      <c r="E209" s="12">
        <v>42497</v>
      </c>
      <c r="F209" s="12">
        <v>42499</v>
      </c>
      <c r="G209">
        <v>2</v>
      </c>
      <c r="H209">
        <v>7</v>
      </c>
      <c r="I209" t="str">
        <f t="shared" si="3"/>
        <v>Shipped</v>
      </c>
    </row>
    <row r="210" spans="1:9" x14ac:dyDescent="0.3">
      <c r="A210">
        <v>209</v>
      </c>
      <c r="B210">
        <v>514</v>
      </c>
      <c r="C210">
        <v>4</v>
      </c>
      <c r="D210" s="12">
        <v>42497</v>
      </c>
      <c r="E210" s="12">
        <v>42498</v>
      </c>
      <c r="F210" s="12">
        <v>42498</v>
      </c>
      <c r="G210">
        <v>2</v>
      </c>
      <c r="H210">
        <v>6</v>
      </c>
      <c r="I210" t="str">
        <f t="shared" si="3"/>
        <v>Shipped</v>
      </c>
    </row>
    <row r="211" spans="1:9" x14ac:dyDescent="0.3">
      <c r="A211">
        <v>210</v>
      </c>
      <c r="B211">
        <v>943</v>
      </c>
      <c r="C211">
        <v>4</v>
      </c>
      <c r="D211" s="12">
        <v>42497</v>
      </c>
      <c r="E211" s="12">
        <v>42498</v>
      </c>
      <c r="F211" s="12">
        <v>42499</v>
      </c>
      <c r="G211">
        <v>2</v>
      </c>
      <c r="H211">
        <v>6</v>
      </c>
      <c r="I211" t="str">
        <f t="shared" si="3"/>
        <v>Shipped</v>
      </c>
    </row>
    <row r="212" spans="1:9" x14ac:dyDescent="0.3">
      <c r="A212">
        <v>211</v>
      </c>
      <c r="B212">
        <v>1140</v>
      </c>
      <c r="C212">
        <v>4</v>
      </c>
      <c r="D212" s="12">
        <v>42497</v>
      </c>
      <c r="E212" s="12">
        <v>42499</v>
      </c>
      <c r="F212" s="12">
        <v>42498</v>
      </c>
      <c r="G212">
        <v>2</v>
      </c>
      <c r="H212">
        <v>6</v>
      </c>
      <c r="I212" t="str">
        <f t="shared" si="3"/>
        <v>Delivered</v>
      </c>
    </row>
    <row r="213" spans="1:9" x14ac:dyDescent="0.3">
      <c r="A213">
        <v>212</v>
      </c>
      <c r="B213">
        <v>1373</v>
      </c>
      <c r="C213">
        <v>4</v>
      </c>
      <c r="D213" s="12">
        <v>42498</v>
      </c>
      <c r="E213" s="12">
        <v>42499</v>
      </c>
      <c r="F213" s="12">
        <v>42501</v>
      </c>
      <c r="G213">
        <v>2</v>
      </c>
      <c r="H213">
        <v>6</v>
      </c>
      <c r="I213" t="str">
        <f t="shared" si="3"/>
        <v>Shipped</v>
      </c>
    </row>
    <row r="214" spans="1:9" x14ac:dyDescent="0.3">
      <c r="A214">
        <v>213</v>
      </c>
      <c r="B214">
        <v>788</v>
      </c>
      <c r="C214">
        <v>4</v>
      </c>
      <c r="D214" s="12">
        <v>42498</v>
      </c>
      <c r="E214" s="12">
        <v>42499</v>
      </c>
      <c r="F214" s="12">
        <v>42499</v>
      </c>
      <c r="G214">
        <v>3</v>
      </c>
      <c r="H214">
        <v>8</v>
      </c>
      <c r="I214" t="str">
        <f t="shared" si="3"/>
        <v>Shipped</v>
      </c>
    </row>
    <row r="215" spans="1:9" x14ac:dyDescent="0.3">
      <c r="A215">
        <v>214</v>
      </c>
      <c r="B215">
        <v>363</v>
      </c>
      <c r="C215">
        <v>4</v>
      </c>
      <c r="D215" s="12">
        <v>42500</v>
      </c>
      <c r="E215" s="12">
        <v>42502</v>
      </c>
      <c r="F215" s="12">
        <v>42501</v>
      </c>
      <c r="G215">
        <v>2</v>
      </c>
      <c r="H215">
        <v>6</v>
      </c>
      <c r="I215" t="str">
        <f t="shared" si="3"/>
        <v>Delivered</v>
      </c>
    </row>
    <row r="216" spans="1:9" x14ac:dyDescent="0.3">
      <c r="A216">
        <v>215</v>
      </c>
      <c r="B216">
        <v>1420</v>
      </c>
      <c r="C216">
        <v>4</v>
      </c>
      <c r="D216" s="12">
        <v>42500</v>
      </c>
      <c r="E216" s="12">
        <v>42503</v>
      </c>
      <c r="F216" s="12">
        <v>42502</v>
      </c>
      <c r="G216">
        <v>2</v>
      </c>
      <c r="H216">
        <v>7</v>
      </c>
      <c r="I216" t="str">
        <f t="shared" si="3"/>
        <v>Delivered</v>
      </c>
    </row>
    <row r="217" spans="1:9" x14ac:dyDescent="0.3">
      <c r="A217">
        <v>216</v>
      </c>
      <c r="B217">
        <v>267</v>
      </c>
      <c r="C217">
        <v>4</v>
      </c>
      <c r="D217" s="12">
        <v>42501</v>
      </c>
      <c r="E217" s="12">
        <v>42504</v>
      </c>
      <c r="F217" s="12">
        <v>42503</v>
      </c>
      <c r="G217">
        <v>1</v>
      </c>
      <c r="H217">
        <v>3</v>
      </c>
      <c r="I217" t="str">
        <f t="shared" si="3"/>
        <v>Delivered</v>
      </c>
    </row>
    <row r="218" spans="1:9" x14ac:dyDescent="0.3">
      <c r="A218">
        <v>217</v>
      </c>
      <c r="B218">
        <v>716</v>
      </c>
      <c r="C218">
        <v>4</v>
      </c>
      <c r="D218" s="12">
        <v>42501</v>
      </c>
      <c r="E218" s="12">
        <v>42502</v>
      </c>
      <c r="F218" s="12">
        <v>42504</v>
      </c>
      <c r="G218">
        <v>2</v>
      </c>
      <c r="H218">
        <v>7</v>
      </c>
      <c r="I218" t="str">
        <f t="shared" si="3"/>
        <v>Shipped</v>
      </c>
    </row>
    <row r="219" spans="1:9" x14ac:dyDescent="0.3">
      <c r="A219">
        <v>218</v>
      </c>
      <c r="B219">
        <v>1179</v>
      </c>
      <c r="C219">
        <v>4</v>
      </c>
      <c r="D219" s="12">
        <v>42502</v>
      </c>
      <c r="E219" s="12">
        <v>42504</v>
      </c>
      <c r="F219" s="12">
        <v>42504</v>
      </c>
      <c r="G219">
        <v>2</v>
      </c>
      <c r="H219">
        <v>7</v>
      </c>
      <c r="I219" t="str">
        <f t="shared" si="3"/>
        <v>Shipped</v>
      </c>
    </row>
    <row r="220" spans="1:9" x14ac:dyDescent="0.3">
      <c r="A220">
        <v>219</v>
      </c>
      <c r="B220">
        <v>1338</v>
      </c>
      <c r="C220">
        <v>4</v>
      </c>
      <c r="D220" s="12">
        <v>42502</v>
      </c>
      <c r="E220" s="12">
        <v>42505</v>
      </c>
      <c r="F220" s="12">
        <v>42505</v>
      </c>
      <c r="G220">
        <v>2</v>
      </c>
      <c r="H220">
        <v>6</v>
      </c>
      <c r="I220" t="str">
        <f t="shared" si="3"/>
        <v>Shipped</v>
      </c>
    </row>
    <row r="221" spans="1:9" x14ac:dyDescent="0.3">
      <c r="A221">
        <v>220</v>
      </c>
      <c r="B221">
        <v>1358</v>
      </c>
      <c r="C221">
        <v>4</v>
      </c>
      <c r="D221" s="12">
        <v>42502</v>
      </c>
      <c r="E221" s="12">
        <v>42504</v>
      </c>
      <c r="F221" s="12">
        <v>42505</v>
      </c>
      <c r="G221">
        <v>2</v>
      </c>
      <c r="H221">
        <v>6</v>
      </c>
      <c r="I221" t="str">
        <f t="shared" si="3"/>
        <v>Shipped</v>
      </c>
    </row>
    <row r="222" spans="1:9" x14ac:dyDescent="0.3">
      <c r="A222">
        <v>221</v>
      </c>
      <c r="B222">
        <v>1218</v>
      </c>
      <c r="C222">
        <v>4</v>
      </c>
      <c r="D222" s="12">
        <v>42503</v>
      </c>
      <c r="E222" s="12">
        <v>42506</v>
      </c>
      <c r="F222" s="12">
        <v>42504</v>
      </c>
      <c r="G222">
        <v>1</v>
      </c>
      <c r="H222">
        <v>2</v>
      </c>
      <c r="I222" t="str">
        <f t="shared" si="3"/>
        <v>Delivered</v>
      </c>
    </row>
    <row r="223" spans="1:9" x14ac:dyDescent="0.3">
      <c r="A223">
        <v>222</v>
      </c>
      <c r="B223">
        <v>51</v>
      </c>
      <c r="C223">
        <v>4</v>
      </c>
      <c r="D223" s="12">
        <v>42503</v>
      </c>
      <c r="E223" s="12">
        <v>42506</v>
      </c>
      <c r="F223" s="12">
        <v>42504</v>
      </c>
      <c r="G223">
        <v>2</v>
      </c>
      <c r="H223">
        <v>6</v>
      </c>
      <c r="I223" t="str">
        <f t="shared" si="3"/>
        <v>Delivered</v>
      </c>
    </row>
    <row r="224" spans="1:9" x14ac:dyDescent="0.3">
      <c r="A224">
        <v>223</v>
      </c>
      <c r="B224">
        <v>1368</v>
      </c>
      <c r="C224">
        <v>4</v>
      </c>
      <c r="D224" s="12">
        <v>42505</v>
      </c>
      <c r="E224" s="12">
        <v>42506</v>
      </c>
      <c r="F224" s="12">
        <v>42507</v>
      </c>
      <c r="G224">
        <v>2</v>
      </c>
      <c r="H224">
        <v>7</v>
      </c>
      <c r="I224" t="str">
        <f t="shared" si="3"/>
        <v>Shipped</v>
      </c>
    </row>
    <row r="225" spans="1:9" x14ac:dyDescent="0.3">
      <c r="A225">
        <v>224</v>
      </c>
      <c r="B225">
        <v>157</v>
      </c>
      <c r="C225">
        <v>4</v>
      </c>
      <c r="D225" s="12">
        <v>42507</v>
      </c>
      <c r="E225" s="12">
        <v>42508</v>
      </c>
      <c r="F225" s="12">
        <v>42509</v>
      </c>
      <c r="G225">
        <v>1</v>
      </c>
      <c r="H225">
        <v>3</v>
      </c>
      <c r="I225" t="str">
        <f t="shared" si="3"/>
        <v>Shipped</v>
      </c>
    </row>
    <row r="226" spans="1:9" x14ac:dyDescent="0.3">
      <c r="A226">
        <v>225</v>
      </c>
      <c r="B226">
        <v>307</v>
      </c>
      <c r="C226">
        <v>4</v>
      </c>
      <c r="D226" s="12">
        <v>42507</v>
      </c>
      <c r="E226" s="12">
        <v>42510</v>
      </c>
      <c r="F226" s="12">
        <v>42509</v>
      </c>
      <c r="G226">
        <v>1</v>
      </c>
      <c r="H226">
        <v>3</v>
      </c>
      <c r="I226" t="str">
        <f t="shared" si="3"/>
        <v>Delivered</v>
      </c>
    </row>
    <row r="227" spans="1:9" x14ac:dyDescent="0.3">
      <c r="A227">
        <v>226</v>
      </c>
      <c r="B227">
        <v>501</v>
      </c>
      <c r="C227">
        <v>4</v>
      </c>
      <c r="D227" s="12">
        <v>42507</v>
      </c>
      <c r="E227" s="12">
        <v>42509</v>
      </c>
      <c r="F227" s="12">
        <v>42510</v>
      </c>
      <c r="G227">
        <v>1</v>
      </c>
      <c r="H227">
        <v>2</v>
      </c>
      <c r="I227" t="str">
        <f t="shared" si="3"/>
        <v>Shipped</v>
      </c>
    </row>
    <row r="228" spans="1:9" x14ac:dyDescent="0.3">
      <c r="A228">
        <v>227</v>
      </c>
      <c r="B228">
        <v>489</v>
      </c>
      <c r="C228">
        <v>4</v>
      </c>
      <c r="D228" s="12">
        <v>42507</v>
      </c>
      <c r="E228" s="12">
        <v>42508</v>
      </c>
      <c r="F228" s="12">
        <v>42510</v>
      </c>
      <c r="G228">
        <v>2</v>
      </c>
      <c r="H228">
        <v>7</v>
      </c>
      <c r="I228" t="str">
        <f t="shared" si="3"/>
        <v>Shipped</v>
      </c>
    </row>
    <row r="229" spans="1:9" x14ac:dyDescent="0.3">
      <c r="A229">
        <v>228</v>
      </c>
      <c r="B229">
        <v>615</v>
      </c>
      <c r="C229">
        <v>4</v>
      </c>
      <c r="D229" s="12">
        <v>42507</v>
      </c>
      <c r="E229" s="12">
        <v>42510</v>
      </c>
      <c r="F229" s="12">
        <v>42510</v>
      </c>
      <c r="G229">
        <v>2</v>
      </c>
      <c r="H229">
        <v>7</v>
      </c>
      <c r="I229" t="str">
        <f t="shared" si="3"/>
        <v>Shipped</v>
      </c>
    </row>
    <row r="230" spans="1:9" x14ac:dyDescent="0.3">
      <c r="A230">
        <v>229</v>
      </c>
      <c r="B230">
        <v>742</v>
      </c>
      <c r="C230">
        <v>4</v>
      </c>
      <c r="D230" s="12">
        <v>42509</v>
      </c>
      <c r="E230" s="12">
        <v>42511</v>
      </c>
      <c r="F230" s="12">
        <v>42510</v>
      </c>
      <c r="G230">
        <v>2</v>
      </c>
      <c r="H230">
        <v>6</v>
      </c>
      <c r="I230" t="str">
        <f t="shared" si="3"/>
        <v>Delivered</v>
      </c>
    </row>
    <row r="231" spans="1:9" x14ac:dyDescent="0.3">
      <c r="A231">
        <v>230</v>
      </c>
      <c r="B231">
        <v>1167</v>
      </c>
      <c r="C231">
        <v>4</v>
      </c>
      <c r="D231" s="12">
        <v>42509</v>
      </c>
      <c r="E231" s="12">
        <v>42510</v>
      </c>
      <c r="F231" s="12">
        <v>42511</v>
      </c>
      <c r="G231">
        <v>2</v>
      </c>
      <c r="H231">
        <v>6</v>
      </c>
      <c r="I231" t="str">
        <f t="shared" si="3"/>
        <v>Shipped</v>
      </c>
    </row>
    <row r="232" spans="1:9" x14ac:dyDescent="0.3">
      <c r="A232">
        <v>231</v>
      </c>
      <c r="B232">
        <v>1257</v>
      </c>
      <c r="C232">
        <v>4</v>
      </c>
      <c r="D232" s="12">
        <v>42509</v>
      </c>
      <c r="E232" s="12">
        <v>42512</v>
      </c>
      <c r="F232" s="12">
        <v>42511</v>
      </c>
      <c r="G232">
        <v>2</v>
      </c>
      <c r="H232">
        <v>6</v>
      </c>
      <c r="I232" t="str">
        <f t="shared" si="3"/>
        <v>Delivered</v>
      </c>
    </row>
    <row r="233" spans="1:9" x14ac:dyDescent="0.3">
      <c r="A233">
        <v>232</v>
      </c>
      <c r="B233">
        <v>1360</v>
      </c>
      <c r="C233">
        <v>4</v>
      </c>
      <c r="D233" s="12">
        <v>42510</v>
      </c>
      <c r="E233" s="12">
        <v>42513</v>
      </c>
      <c r="F233" s="12">
        <v>42513</v>
      </c>
      <c r="G233">
        <v>1</v>
      </c>
      <c r="H233">
        <v>3</v>
      </c>
      <c r="I233" t="str">
        <f t="shared" si="3"/>
        <v>Shipped</v>
      </c>
    </row>
    <row r="234" spans="1:9" x14ac:dyDescent="0.3">
      <c r="A234">
        <v>233</v>
      </c>
      <c r="B234">
        <v>737</v>
      </c>
      <c r="C234">
        <v>4</v>
      </c>
      <c r="D234" s="12">
        <v>42511</v>
      </c>
      <c r="E234" s="12">
        <v>42512</v>
      </c>
      <c r="F234" s="12">
        <v>42514</v>
      </c>
      <c r="G234">
        <v>2</v>
      </c>
      <c r="H234">
        <v>6</v>
      </c>
      <c r="I234" t="str">
        <f t="shared" si="3"/>
        <v>Shipped</v>
      </c>
    </row>
    <row r="235" spans="1:9" x14ac:dyDescent="0.3">
      <c r="A235">
        <v>234</v>
      </c>
      <c r="B235">
        <v>1435</v>
      </c>
      <c r="C235">
        <v>4</v>
      </c>
      <c r="D235" s="12">
        <v>42512</v>
      </c>
      <c r="E235" s="12">
        <v>42514</v>
      </c>
      <c r="F235" s="12">
        <v>42514</v>
      </c>
      <c r="G235">
        <v>2</v>
      </c>
      <c r="H235">
        <v>6</v>
      </c>
      <c r="I235" t="str">
        <f t="shared" si="3"/>
        <v>Shipped</v>
      </c>
    </row>
    <row r="236" spans="1:9" x14ac:dyDescent="0.3">
      <c r="A236">
        <v>235</v>
      </c>
      <c r="B236">
        <v>649</v>
      </c>
      <c r="C236">
        <v>4</v>
      </c>
      <c r="D236" s="12">
        <v>42514</v>
      </c>
      <c r="E236" s="12">
        <v>42515</v>
      </c>
      <c r="F236" s="12">
        <v>42515</v>
      </c>
      <c r="G236">
        <v>2</v>
      </c>
      <c r="H236">
        <v>6</v>
      </c>
      <c r="I236" t="str">
        <f t="shared" si="3"/>
        <v>Shipped</v>
      </c>
    </row>
    <row r="237" spans="1:9" x14ac:dyDescent="0.3">
      <c r="A237">
        <v>236</v>
      </c>
      <c r="B237">
        <v>206</v>
      </c>
      <c r="C237">
        <v>4</v>
      </c>
      <c r="D237" s="12">
        <v>42515</v>
      </c>
      <c r="E237" s="12">
        <v>42517</v>
      </c>
      <c r="F237" s="12">
        <v>42516</v>
      </c>
      <c r="G237">
        <v>2</v>
      </c>
      <c r="H237">
        <v>6</v>
      </c>
      <c r="I237" t="str">
        <f t="shared" si="3"/>
        <v>Delivered</v>
      </c>
    </row>
    <row r="238" spans="1:9" x14ac:dyDescent="0.3">
      <c r="A238">
        <v>237</v>
      </c>
      <c r="B238">
        <v>1351</v>
      </c>
      <c r="C238">
        <v>4</v>
      </c>
      <c r="D238" s="12">
        <v>42515</v>
      </c>
      <c r="E238" s="12">
        <v>42516</v>
      </c>
      <c r="F238" s="12">
        <v>42517</v>
      </c>
      <c r="G238">
        <v>2</v>
      </c>
      <c r="H238">
        <v>7</v>
      </c>
      <c r="I238" t="str">
        <f t="shared" si="3"/>
        <v>Shipped</v>
      </c>
    </row>
    <row r="239" spans="1:9" x14ac:dyDescent="0.3">
      <c r="A239">
        <v>238</v>
      </c>
      <c r="B239">
        <v>1350</v>
      </c>
      <c r="C239">
        <v>4</v>
      </c>
      <c r="D239" s="12">
        <v>42516</v>
      </c>
      <c r="E239" s="12">
        <v>42519</v>
      </c>
      <c r="F239" s="12">
        <v>42519</v>
      </c>
      <c r="G239">
        <v>2</v>
      </c>
      <c r="H239">
        <v>6</v>
      </c>
      <c r="I239" t="str">
        <f t="shared" si="3"/>
        <v>Shipped</v>
      </c>
    </row>
    <row r="240" spans="1:9" x14ac:dyDescent="0.3">
      <c r="A240">
        <v>239</v>
      </c>
      <c r="B240">
        <v>13</v>
      </c>
      <c r="C240">
        <v>3</v>
      </c>
      <c r="D240" s="12">
        <v>42517</v>
      </c>
      <c r="E240" s="12">
        <v>42517</v>
      </c>
      <c r="F240" s="12" t="s">
        <v>5611</v>
      </c>
      <c r="G240">
        <v>3</v>
      </c>
      <c r="H240">
        <v>9</v>
      </c>
      <c r="I240" t="str">
        <f t="shared" si="3"/>
        <v>Pending</v>
      </c>
    </row>
    <row r="241" spans="1:9" x14ac:dyDescent="0.3">
      <c r="A241">
        <v>240</v>
      </c>
      <c r="B241">
        <v>65</v>
      </c>
      <c r="C241">
        <v>4</v>
      </c>
      <c r="D241" s="12">
        <v>42517</v>
      </c>
      <c r="E241" s="12">
        <v>42519</v>
      </c>
      <c r="F241" s="12">
        <v>42520</v>
      </c>
      <c r="G241">
        <v>2</v>
      </c>
      <c r="H241">
        <v>6</v>
      </c>
      <c r="I241" t="str">
        <f t="shared" si="3"/>
        <v>Shipped</v>
      </c>
    </row>
    <row r="242" spans="1:9" x14ac:dyDescent="0.3">
      <c r="A242">
        <v>241</v>
      </c>
      <c r="B242">
        <v>1082</v>
      </c>
      <c r="C242">
        <v>4</v>
      </c>
      <c r="D242" s="12">
        <v>42517</v>
      </c>
      <c r="E242" s="12">
        <v>42519</v>
      </c>
      <c r="F242" s="12">
        <v>42519</v>
      </c>
      <c r="G242">
        <v>2</v>
      </c>
      <c r="H242">
        <v>7</v>
      </c>
      <c r="I242" t="str">
        <f t="shared" si="3"/>
        <v>Shipped</v>
      </c>
    </row>
    <row r="243" spans="1:9" x14ac:dyDescent="0.3">
      <c r="A243">
        <v>242</v>
      </c>
      <c r="B243">
        <v>1168</v>
      </c>
      <c r="C243">
        <v>4</v>
      </c>
      <c r="D243" s="12">
        <v>42517</v>
      </c>
      <c r="E243" s="12">
        <v>42520</v>
      </c>
      <c r="F243" s="12">
        <v>42520</v>
      </c>
      <c r="G243">
        <v>2</v>
      </c>
      <c r="H243">
        <v>7</v>
      </c>
      <c r="I243" t="str">
        <f t="shared" si="3"/>
        <v>Shipped</v>
      </c>
    </row>
    <row r="244" spans="1:9" x14ac:dyDescent="0.3">
      <c r="A244">
        <v>243</v>
      </c>
      <c r="B244">
        <v>802</v>
      </c>
      <c r="C244">
        <v>4</v>
      </c>
      <c r="D244" s="12">
        <v>42517</v>
      </c>
      <c r="E244" s="12">
        <v>42520</v>
      </c>
      <c r="F244" s="12">
        <v>42518</v>
      </c>
      <c r="G244">
        <v>3</v>
      </c>
      <c r="H244">
        <v>8</v>
      </c>
      <c r="I244" t="str">
        <f t="shared" si="3"/>
        <v>Delivered</v>
      </c>
    </row>
    <row r="245" spans="1:9" x14ac:dyDescent="0.3">
      <c r="A245">
        <v>244</v>
      </c>
      <c r="B245">
        <v>956</v>
      </c>
      <c r="C245">
        <v>4</v>
      </c>
      <c r="D245" s="12">
        <v>42518</v>
      </c>
      <c r="E245" s="12">
        <v>42519</v>
      </c>
      <c r="F245" s="12">
        <v>42519</v>
      </c>
      <c r="G245">
        <v>2</v>
      </c>
      <c r="H245">
        <v>6</v>
      </c>
      <c r="I245" t="str">
        <f t="shared" si="3"/>
        <v>Shipped</v>
      </c>
    </row>
    <row r="246" spans="1:9" x14ac:dyDescent="0.3">
      <c r="A246">
        <v>245</v>
      </c>
      <c r="B246">
        <v>223</v>
      </c>
      <c r="C246">
        <v>4</v>
      </c>
      <c r="D246" s="12">
        <v>42519</v>
      </c>
      <c r="E246" s="12">
        <v>42521</v>
      </c>
      <c r="F246" s="12">
        <v>42520</v>
      </c>
      <c r="G246">
        <v>2</v>
      </c>
      <c r="H246">
        <v>7</v>
      </c>
      <c r="I246" t="str">
        <f t="shared" si="3"/>
        <v>Delivered</v>
      </c>
    </row>
    <row r="247" spans="1:9" x14ac:dyDescent="0.3">
      <c r="A247">
        <v>246</v>
      </c>
      <c r="B247">
        <v>17</v>
      </c>
      <c r="C247">
        <v>3</v>
      </c>
      <c r="D247" s="12">
        <v>42520</v>
      </c>
      <c r="E247" s="12">
        <v>42520</v>
      </c>
      <c r="F247" s="12" t="s">
        <v>5611</v>
      </c>
      <c r="G247">
        <v>2</v>
      </c>
      <c r="H247">
        <v>6</v>
      </c>
      <c r="I247" t="str">
        <f t="shared" si="3"/>
        <v>Pending</v>
      </c>
    </row>
    <row r="248" spans="1:9" x14ac:dyDescent="0.3">
      <c r="A248">
        <v>247</v>
      </c>
      <c r="B248">
        <v>928</v>
      </c>
      <c r="C248">
        <v>4</v>
      </c>
      <c r="D248" s="12">
        <v>42520</v>
      </c>
      <c r="E248" s="12">
        <v>42522</v>
      </c>
      <c r="F248" s="12">
        <v>42522</v>
      </c>
      <c r="G248">
        <v>1</v>
      </c>
      <c r="H248">
        <v>3</v>
      </c>
      <c r="I248" t="str">
        <f t="shared" si="3"/>
        <v>Shipped</v>
      </c>
    </row>
    <row r="249" spans="1:9" x14ac:dyDescent="0.3">
      <c r="A249">
        <v>248</v>
      </c>
      <c r="B249">
        <v>1376</v>
      </c>
      <c r="C249">
        <v>4</v>
      </c>
      <c r="D249" s="12">
        <v>42520</v>
      </c>
      <c r="E249" s="12">
        <v>42522</v>
      </c>
      <c r="F249" s="12">
        <v>42521</v>
      </c>
      <c r="G249">
        <v>2</v>
      </c>
      <c r="H249">
        <v>7</v>
      </c>
      <c r="I249" t="str">
        <f t="shared" si="3"/>
        <v>Delivered</v>
      </c>
    </row>
    <row r="250" spans="1:9" x14ac:dyDescent="0.3">
      <c r="A250">
        <v>249</v>
      </c>
      <c r="B250">
        <v>145</v>
      </c>
      <c r="C250">
        <v>4</v>
      </c>
      <c r="D250" s="12">
        <v>42522</v>
      </c>
      <c r="E250" s="12">
        <v>42525</v>
      </c>
      <c r="F250" s="12">
        <v>42525</v>
      </c>
      <c r="G250">
        <v>2</v>
      </c>
      <c r="H250">
        <v>6</v>
      </c>
      <c r="I250" t="str">
        <f t="shared" si="3"/>
        <v>Shipped</v>
      </c>
    </row>
    <row r="251" spans="1:9" x14ac:dyDescent="0.3">
      <c r="A251">
        <v>250</v>
      </c>
      <c r="B251">
        <v>150</v>
      </c>
      <c r="C251">
        <v>4</v>
      </c>
      <c r="D251" s="12">
        <v>42522</v>
      </c>
      <c r="E251" s="12">
        <v>42523</v>
      </c>
      <c r="F251" s="12">
        <v>42525</v>
      </c>
      <c r="G251">
        <v>2</v>
      </c>
      <c r="H251">
        <v>7</v>
      </c>
      <c r="I251" t="str">
        <f t="shared" si="3"/>
        <v>Shipped</v>
      </c>
    </row>
    <row r="252" spans="1:9" x14ac:dyDescent="0.3">
      <c r="A252">
        <v>251</v>
      </c>
      <c r="B252">
        <v>851</v>
      </c>
      <c r="C252">
        <v>4</v>
      </c>
      <c r="D252" s="12">
        <v>42522</v>
      </c>
      <c r="E252" s="12">
        <v>42525</v>
      </c>
      <c r="F252" s="12">
        <v>42525</v>
      </c>
      <c r="G252">
        <v>2</v>
      </c>
      <c r="H252">
        <v>7</v>
      </c>
      <c r="I252" t="str">
        <f t="shared" si="3"/>
        <v>Shipped</v>
      </c>
    </row>
    <row r="253" spans="1:9" x14ac:dyDescent="0.3">
      <c r="A253">
        <v>252</v>
      </c>
      <c r="B253">
        <v>66</v>
      </c>
      <c r="C253">
        <v>4</v>
      </c>
      <c r="D253" s="12">
        <v>42522</v>
      </c>
      <c r="E253" s="12">
        <v>42525</v>
      </c>
      <c r="F253" s="12">
        <v>42523</v>
      </c>
      <c r="G253">
        <v>3</v>
      </c>
      <c r="H253">
        <v>8</v>
      </c>
      <c r="I253" t="str">
        <f t="shared" si="3"/>
        <v>Delivered</v>
      </c>
    </row>
    <row r="254" spans="1:9" x14ac:dyDescent="0.3">
      <c r="A254">
        <v>253</v>
      </c>
      <c r="B254">
        <v>1267</v>
      </c>
      <c r="C254">
        <v>4</v>
      </c>
      <c r="D254" s="12">
        <v>42523</v>
      </c>
      <c r="E254" s="12">
        <v>42526</v>
      </c>
      <c r="F254" s="12">
        <v>42526</v>
      </c>
      <c r="G254">
        <v>2</v>
      </c>
      <c r="H254">
        <v>6</v>
      </c>
      <c r="I254" t="str">
        <f t="shared" si="3"/>
        <v>Shipped</v>
      </c>
    </row>
    <row r="255" spans="1:9" x14ac:dyDescent="0.3">
      <c r="A255">
        <v>254</v>
      </c>
      <c r="B255">
        <v>510</v>
      </c>
      <c r="C255">
        <v>4</v>
      </c>
      <c r="D255" s="12">
        <v>42524</v>
      </c>
      <c r="E255" s="12">
        <v>42527</v>
      </c>
      <c r="F255" s="12">
        <v>42526</v>
      </c>
      <c r="G255">
        <v>2</v>
      </c>
      <c r="H255">
        <v>7</v>
      </c>
      <c r="I255" t="str">
        <f t="shared" si="3"/>
        <v>Delivered</v>
      </c>
    </row>
    <row r="256" spans="1:9" x14ac:dyDescent="0.3">
      <c r="A256">
        <v>255</v>
      </c>
      <c r="B256">
        <v>801</v>
      </c>
      <c r="C256">
        <v>4</v>
      </c>
      <c r="D256" s="12">
        <v>42524</v>
      </c>
      <c r="E256" s="12">
        <v>42527</v>
      </c>
      <c r="F256" s="12">
        <v>42526</v>
      </c>
      <c r="G256">
        <v>2</v>
      </c>
      <c r="H256">
        <v>7</v>
      </c>
      <c r="I256" t="str">
        <f t="shared" si="3"/>
        <v>Delivered</v>
      </c>
    </row>
    <row r="257" spans="1:9" x14ac:dyDescent="0.3">
      <c r="A257">
        <v>256</v>
      </c>
      <c r="B257">
        <v>26</v>
      </c>
      <c r="C257">
        <v>4</v>
      </c>
      <c r="D257" s="12">
        <v>42525</v>
      </c>
      <c r="E257" s="12">
        <v>42526</v>
      </c>
      <c r="F257" s="12">
        <v>42528</v>
      </c>
      <c r="G257">
        <v>2</v>
      </c>
      <c r="H257">
        <v>7</v>
      </c>
      <c r="I257" t="str">
        <f t="shared" si="3"/>
        <v>Shipped</v>
      </c>
    </row>
    <row r="258" spans="1:9" x14ac:dyDescent="0.3">
      <c r="A258">
        <v>257</v>
      </c>
      <c r="B258">
        <v>1314</v>
      </c>
      <c r="C258">
        <v>4</v>
      </c>
      <c r="D258" s="12">
        <v>42526</v>
      </c>
      <c r="E258" s="12">
        <v>42527</v>
      </c>
      <c r="F258" s="12">
        <v>42529</v>
      </c>
      <c r="G258">
        <v>1</v>
      </c>
      <c r="H258">
        <v>3</v>
      </c>
      <c r="I258" t="str">
        <f t="shared" si="3"/>
        <v>Shipped</v>
      </c>
    </row>
    <row r="259" spans="1:9" x14ac:dyDescent="0.3">
      <c r="A259">
        <v>258</v>
      </c>
      <c r="B259">
        <v>107</v>
      </c>
      <c r="C259">
        <v>4</v>
      </c>
      <c r="D259" s="12">
        <v>42527</v>
      </c>
      <c r="E259" s="12">
        <v>42528</v>
      </c>
      <c r="F259" s="12">
        <v>42528</v>
      </c>
      <c r="G259">
        <v>2</v>
      </c>
      <c r="H259">
        <v>7</v>
      </c>
      <c r="I259" t="str">
        <f t="shared" ref="I259:I322" si="4">IF(F259="NA","Pending",IF(OR(E259=F259,E259&lt;F259),"Shipped","Delivered"))</f>
        <v>Shipped</v>
      </c>
    </row>
    <row r="260" spans="1:9" x14ac:dyDescent="0.3">
      <c r="A260">
        <v>259</v>
      </c>
      <c r="B260">
        <v>413</v>
      </c>
      <c r="C260">
        <v>4</v>
      </c>
      <c r="D260" s="12">
        <v>42527</v>
      </c>
      <c r="E260" s="12">
        <v>42530</v>
      </c>
      <c r="F260" s="12">
        <v>42530</v>
      </c>
      <c r="G260">
        <v>2</v>
      </c>
      <c r="H260">
        <v>7</v>
      </c>
      <c r="I260" t="str">
        <f t="shared" si="4"/>
        <v>Shipped</v>
      </c>
    </row>
    <row r="261" spans="1:9" x14ac:dyDescent="0.3">
      <c r="A261">
        <v>260</v>
      </c>
      <c r="B261">
        <v>632</v>
      </c>
      <c r="C261">
        <v>4</v>
      </c>
      <c r="D261" s="12">
        <v>42527</v>
      </c>
      <c r="E261" s="12">
        <v>42529</v>
      </c>
      <c r="F261" s="12">
        <v>42529</v>
      </c>
      <c r="G261">
        <v>2</v>
      </c>
      <c r="H261">
        <v>6</v>
      </c>
      <c r="I261" t="str">
        <f t="shared" si="4"/>
        <v>Shipped</v>
      </c>
    </row>
    <row r="262" spans="1:9" x14ac:dyDescent="0.3">
      <c r="A262">
        <v>261</v>
      </c>
      <c r="B262">
        <v>1045</v>
      </c>
      <c r="C262">
        <v>4</v>
      </c>
      <c r="D262" s="12">
        <v>42529</v>
      </c>
      <c r="E262" s="12">
        <v>42531</v>
      </c>
      <c r="F262" s="12">
        <v>42530</v>
      </c>
      <c r="G262">
        <v>1</v>
      </c>
      <c r="H262">
        <v>2</v>
      </c>
      <c r="I262" t="str">
        <f t="shared" si="4"/>
        <v>Delivered</v>
      </c>
    </row>
    <row r="263" spans="1:9" x14ac:dyDescent="0.3">
      <c r="A263">
        <v>262</v>
      </c>
      <c r="B263">
        <v>579</v>
      </c>
      <c r="C263">
        <v>4</v>
      </c>
      <c r="D263" s="12">
        <v>42529</v>
      </c>
      <c r="E263" s="12">
        <v>42532</v>
      </c>
      <c r="F263" s="12">
        <v>42531</v>
      </c>
      <c r="G263">
        <v>3</v>
      </c>
      <c r="H263">
        <v>9</v>
      </c>
      <c r="I263" t="str">
        <f t="shared" si="4"/>
        <v>Delivered</v>
      </c>
    </row>
    <row r="264" spans="1:9" x14ac:dyDescent="0.3">
      <c r="A264">
        <v>263</v>
      </c>
      <c r="B264">
        <v>1322</v>
      </c>
      <c r="C264">
        <v>4</v>
      </c>
      <c r="D264" s="12">
        <v>42530</v>
      </c>
      <c r="E264" s="12">
        <v>42531</v>
      </c>
      <c r="F264" s="12">
        <v>42533</v>
      </c>
      <c r="G264">
        <v>2</v>
      </c>
      <c r="H264">
        <v>6</v>
      </c>
      <c r="I264" t="str">
        <f t="shared" si="4"/>
        <v>Shipped</v>
      </c>
    </row>
    <row r="265" spans="1:9" x14ac:dyDescent="0.3">
      <c r="A265">
        <v>264</v>
      </c>
      <c r="B265">
        <v>5</v>
      </c>
      <c r="C265">
        <v>3</v>
      </c>
      <c r="D265" s="12">
        <v>42531</v>
      </c>
      <c r="E265" s="12">
        <v>42531</v>
      </c>
      <c r="F265" s="12" t="s">
        <v>5611</v>
      </c>
      <c r="G265">
        <v>1</v>
      </c>
      <c r="H265">
        <v>3</v>
      </c>
      <c r="I265" t="str">
        <f t="shared" si="4"/>
        <v>Pending</v>
      </c>
    </row>
    <row r="266" spans="1:9" x14ac:dyDescent="0.3">
      <c r="A266">
        <v>265</v>
      </c>
      <c r="B266">
        <v>682</v>
      </c>
      <c r="C266">
        <v>4</v>
      </c>
      <c r="D266" s="12">
        <v>42531</v>
      </c>
      <c r="E266" s="12">
        <v>42533</v>
      </c>
      <c r="F266" s="12">
        <v>42532</v>
      </c>
      <c r="G266">
        <v>2</v>
      </c>
      <c r="H266">
        <v>7</v>
      </c>
      <c r="I266" t="str">
        <f t="shared" si="4"/>
        <v>Delivered</v>
      </c>
    </row>
    <row r="267" spans="1:9" x14ac:dyDescent="0.3">
      <c r="A267">
        <v>266</v>
      </c>
      <c r="B267">
        <v>933</v>
      </c>
      <c r="C267">
        <v>4</v>
      </c>
      <c r="D267" s="12">
        <v>42531</v>
      </c>
      <c r="E267" s="12">
        <v>42534</v>
      </c>
      <c r="F267" s="12">
        <v>42534</v>
      </c>
      <c r="G267">
        <v>2</v>
      </c>
      <c r="H267">
        <v>7</v>
      </c>
      <c r="I267" t="str">
        <f t="shared" si="4"/>
        <v>Shipped</v>
      </c>
    </row>
    <row r="268" spans="1:9" x14ac:dyDescent="0.3">
      <c r="A268">
        <v>267</v>
      </c>
      <c r="B268">
        <v>282</v>
      </c>
      <c r="C268">
        <v>4</v>
      </c>
      <c r="D268" s="12">
        <v>42532</v>
      </c>
      <c r="E268" s="12">
        <v>42535</v>
      </c>
      <c r="F268" s="12">
        <v>42535</v>
      </c>
      <c r="G268">
        <v>1</v>
      </c>
      <c r="H268">
        <v>3</v>
      </c>
      <c r="I268" t="str">
        <f t="shared" si="4"/>
        <v>Shipped</v>
      </c>
    </row>
    <row r="269" spans="1:9" x14ac:dyDescent="0.3">
      <c r="A269">
        <v>268</v>
      </c>
      <c r="B269">
        <v>540</v>
      </c>
      <c r="C269">
        <v>4</v>
      </c>
      <c r="D269" s="12">
        <v>42532</v>
      </c>
      <c r="E269" s="12">
        <v>42535</v>
      </c>
      <c r="F269" s="12">
        <v>42533</v>
      </c>
      <c r="G269">
        <v>1</v>
      </c>
      <c r="H269">
        <v>3</v>
      </c>
      <c r="I269" t="str">
        <f t="shared" si="4"/>
        <v>Delivered</v>
      </c>
    </row>
    <row r="270" spans="1:9" x14ac:dyDescent="0.3">
      <c r="A270">
        <v>269</v>
      </c>
      <c r="B270">
        <v>764</v>
      </c>
      <c r="C270">
        <v>4</v>
      </c>
      <c r="D270" s="12">
        <v>42533</v>
      </c>
      <c r="E270" s="12">
        <v>42534</v>
      </c>
      <c r="F270" s="12">
        <v>42536</v>
      </c>
      <c r="G270">
        <v>2</v>
      </c>
      <c r="H270">
        <v>6</v>
      </c>
      <c r="I270" t="str">
        <f t="shared" si="4"/>
        <v>Shipped</v>
      </c>
    </row>
    <row r="271" spans="1:9" x14ac:dyDescent="0.3">
      <c r="A271">
        <v>270</v>
      </c>
      <c r="B271">
        <v>879</v>
      </c>
      <c r="C271">
        <v>4</v>
      </c>
      <c r="D271" s="12">
        <v>42533</v>
      </c>
      <c r="E271" s="12">
        <v>42536</v>
      </c>
      <c r="F271" s="12">
        <v>42534</v>
      </c>
      <c r="G271">
        <v>2</v>
      </c>
      <c r="H271">
        <v>7</v>
      </c>
      <c r="I271" t="str">
        <f t="shared" si="4"/>
        <v>Delivered</v>
      </c>
    </row>
    <row r="272" spans="1:9" x14ac:dyDescent="0.3">
      <c r="A272">
        <v>271</v>
      </c>
      <c r="B272">
        <v>350</v>
      </c>
      <c r="C272">
        <v>4</v>
      </c>
      <c r="D272" s="12">
        <v>42534</v>
      </c>
      <c r="E272" s="12">
        <v>42537</v>
      </c>
      <c r="F272" s="12">
        <v>42535</v>
      </c>
      <c r="G272">
        <v>2</v>
      </c>
      <c r="H272">
        <v>7</v>
      </c>
      <c r="I272" t="str">
        <f t="shared" si="4"/>
        <v>Delivered</v>
      </c>
    </row>
    <row r="273" spans="1:9" x14ac:dyDescent="0.3">
      <c r="A273">
        <v>272</v>
      </c>
      <c r="B273">
        <v>497</v>
      </c>
      <c r="C273">
        <v>4</v>
      </c>
      <c r="D273" s="12">
        <v>42536</v>
      </c>
      <c r="E273" s="12">
        <v>42539</v>
      </c>
      <c r="F273" s="12">
        <v>42537</v>
      </c>
      <c r="G273">
        <v>2</v>
      </c>
      <c r="H273">
        <v>7</v>
      </c>
      <c r="I273" t="str">
        <f t="shared" si="4"/>
        <v>Delivered</v>
      </c>
    </row>
    <row r="274" spans="1:9" x14ac:dyDescent="0.3">
      <c r="A274">
        <v>273</v>
      </c>
      <c r="B274">
        <v>1340</v>
      </c>
      <c r="C274">
        <v>4</v>
      </c>
      <c r="D274" s="12">
        <v>42537</v>
      </c>
      <c r="E274" s="12">
        <v>42540</v>
      </c>
      <c r="F274" s="12">
        <v>42538</v>
      </c>
      <c r="G274">
        <v>2</v>
      </c>
      <c r="H274">
        <v>7</v>
      </c>
      <c r="I274" t="str">
        <f t="shared" si="4"/>
        <v>Delivered</v>
      </c>
    </row>
    <row r="275" spans="1:9" x14ac:dyDescent="0.3">
      <c r="A275">
        <v>274</v>
      </c>
      <c r="B275">
        <v>411</v>
      </c>
      <c r="C275">
        <v>4</v>
      </c>
      <c r="D275" s="12">
        <v>42538</v>
      </c>
      <c r="E275" s="12">
        <v>42541</v>
      </c>
      <c r="F275" s="12">
        <v>42539</v>
      </c>
      <c r="G275">
        <v>2</v>
      </c>
      <c r="H275">
        <v>7</v>
      </c>
      <c r="I275" t="str">
        <f t="shared" si="4"/>
        <v>Delivered</v>
      </c>
    </row>
    <row r="276" spans="1:9" x14ac:dyDescent="0.3">
      <c r="A276">
        <v>275</v>
      </c>
      <c r="B276">
        <v>1341</v>
      </c>
      <c r="C276">
        <v>4</v>
      </c>
      <c r="D276" s="12">
        <v>42538</v>
      </c>
      <c r="E276" s="12">
        <v>42540</v>
      </c>
      <c r="F276" s="12">
        <v>42539</v>
      </c>
      <c r="G276">
        <v>2</v>
      </c>
      <c r="H276">
        <v>7</v>
      </c>
      <c r="I276" t="str">
        <f t="shared" si="4"/>
        <v>Delivered</v>
      </c>
    </row>
    <row r="277" spans="1:9" x14ac:dyDescent="0.3">
      <c r="A277">
        <v>276</v>
      </c>
      <c r="B277">
        <v>1227</v>
      </c>
      <c r="C277">
        <v>4</v>
      </c>
      <c r="D277" s="12">
        <v>42539</v>
      </c>
      <c r="E277" s="12">
        <v>42540</v>
      </c>
      <c r="F277" s="12">
        <v>42540</v>
      </c>
      <c r="G277">
        <v>2</v>
      </c>
      <c r="H277">
        <v>6</v>
      </c>
      <c r="I277" t="str">
        <f t="shared" si="4"/>
        <v>Shipped</v>
      </c>
    </row>
    <row r="278" spans="1:9" x14ac:dyDescent="0.3">
      <c r="A278">
        <v>277</v>
      </c>
      <c r="B278">
        <v>546</v>
      </c>
      <c r="C278">
        <v>4</v>
      </c>
      <c r="D278" s="12">
        <v>42540</v>
      </c>
      <c r="E278" s="12">
        <v>42541</v>
      </c>
      <c r="F278" s="12">
        <v>42541</v>
      </c>
      <c r="G278">
        <v>2</v>
      </c>
      <c r="H278">
        <v>7</v>
      </c>
      <c r="I278" t="str">
        <f t="shared" si="4"/>
        <v>Shipped</v>
      </c>
    </row>
    <row r="279" spans="1:9" x14ac:dyDescent="0.3">
      <c r="A279">
        <v>278</v>
      </c>
      <c r="B279">
        <v>1301</v>
      </c>
      <c r="C279">
        <v>4</v>
      </c>
      <c r="D279" s="12">
        <v>42541</v>
      </c>
      <c r="E279" s="12">
        <v>42544</v>
      </c>
      <c r="F279" s="12">
        <v>42542</v>
      </c>
      <c r="G279">
        <v>1</v>
      </c>
      <c r="H279">
        <v>3</v>
      </c>
      <c r="I279" t="str">
        <f t="shared" si="4"/>
        <v>Delivered</v>
      </c>
    </row>
    <row r="280" spans="1:9" x14ac:dyDescent="0.3">
      <c r="A280">
        <v>279</v>
      </c>
      <c r="B280">
        <v>378</v>
      </c>
      <c r="C280">
        <v>4</v>
      </c>
      <c r="D280" s="12">
        <v>42542</v>
      </c>
      <c r="E280" s="12">
        <v>42543</v>
      </c>
      <c r="F280" s="12">
        <v>42543</v>
      </c>
      <c r="G280">
        <v>2</v>
      </c>
      <c r="H280">
        <v>6</v>
      </c>
      <c r="I280" t="str">
        <f t="shared" si="4"/>
        <v>Shipped</v>
      </c>
    </row>
    <row r="281" spans="1:9" x14ac:dyDescent="0.3">
      <c r="A281">
        <v>280</v>
      </c>
      <c r="B281">
        <v>638</v>
      </c>
      <c r="C281">
        <v>4</v>
      </c>
      <c r="D281" s="12">
        <v>42542</v>
      </c>
      <c r="E281" s="12">
        <v>42543</v>
      </c>
      <c r="F281" s="12">
        <v>42544</v>
      </c>
      <c r="G281">
        <v>2</v>
      </c>
      <c r="H281">
        <v>7</v>
      </c>
      <c r="I281" t="str">
        <f t="shared" si="4"/>
        <v>Shipped</v>
      </c>
    </row>
    <row r="282" spans="1:9" x14ac:dyDescent="0.3">
      <c r="A282">
        <v>281</v>
      </c>
      <c r="B282">
        <v>800</v>
      </c>
      <c r="C282">
        <v>4</v>
      </c>
      <c r="D282" s="12">
        <v>42542</v>
      </c>
      <c r="E282" s="12">
        <v>42543</v>
      </c>
      <c r="F282" s="12">
        <v>42544</v>
      </c>
      <c r="G282">
        <v>2</v>
      </c>
      <c r="H282">
        <v>7</v>
      </c>
      <c r="I282" t="str">
        <f t="shared" si="4"/>
        <v>Shipped</v>
      </c>
    </row>
    <row r="283" spans="1:9" x14ac:dyDescent="0.3">
      <c r="A283">
        <v>282</v>
      </c>
      <c r="B283">
        <v>159</v>
      </c>
      <c r="C283">
        <v>4</v>
      </c>
      <c r="D283" s="12">
        <v>42543</v>
      </c>
      <c r="E283" s="12">
        <v>42546</v>
      </c>
      <c r="F283" s="12">
        <v>42546</v>
      </c>
      <c r="G283">
        <v>3</v>
      </c>
      <c r="H283">
        <v>9</v>
      </c>
      <c r="I283" t="str">
        <f t="shared" si="4"/>
        <v>Shipped</v>
      </c>
    </row>
    <row r="284" spans="1:9" x14ac:dyDescent="0.3">
      <c r="A284">
        <v>283</v>
      </c>
      <c r="B284">
        <v>181</v>
      </c>
      <c r="C284">
        <v>4</v>
      </c>
      <c r="D284" s="12">
        <v>42544</v>
      </c>
      <c r="E284" s="12">
        <v>42547</v>
      </c>
      <c r="F284" s="12">
        <v>42547</v>
      </c>
      <c r="G284">
        <v>1</v>
      </c>
      <c r="H284">
        <v>2</v>
      </c>
      <c r="I284" t="str">
        <f t="shared" si="4"/>
        <v>Shipped</v>
      </c>
    </row>
    <row r="285" spans="1:9" x14ac:dyDescent="0.3">
      <c r="A285">
        <v>284</v>
      </c>
      <c r="B285">
        <v>1356</v>
      </c>
      <c r="C285">
        <v>4</v>
      </c>
      <c r="D285" s="12">
        <v>42544</v>
      </c>
      <c r="E285" s="12">
        <v>42546</v>
      </c>
      <c r="F285" s="12">
        <v>42546</v>
      </c>
      <c r="G285">
        <v>2</v>
      </c>
      <c r="H285">
        <v>7</v>
      </c>
      <c r="I285" t="str">
        <f t="shared" si="4"/>
        <v>Shipped</v>
      </c>
    </row>
    <row r="286" spans="1:9" x14ac:dyDescent="0.3">
      <c r="A286">
        <v>285</v>
      </c>
      <c r="B286">
        <v>319</v>
      </c>
      <c r="C286">
        <v>4</v>
      </c>
      <c r="D286" s="12">
        <v>42546</v>
      </c>
      <c r="E286" s="12">
        <v>42547</v>
      </c>
      <c r="F286" s="12">
        <v>42548</v>
      </c>
      <c r="G286">
        <v>1</v>
      </c>
      <c r="H286">
        <v>2</v>
      </c>
      <c r="I286" t="str">
        <f t="shared" si="4"/>
        <v>Shipped</v>
      </c>
    </row>
    <row r="287" spans="1:9" x14ac:dyDescent="0.3">
      <c r="A287">
        <v>286</v>
      </c>
      <c r="B287">
        <v>59</v>
      </c>
      <c r="C287">
        <v>4</v>
      </c>
      <c r="D287" s="12">
        <v>42546</v>
      </c>
      <c r="E287" s="12">
        <v>42547</v>
      </c>
      <c r="F287" s="12">
        <v>42547</v>
      </c>
      <c r="G287">
        <v>2</v>
      </c>
      <c r="H287">
        <v>6</v>
      </c>
      <c r="I287" t="str">
        <f t="shared" si="4"/>
        <v>Shipped</v>
      </c>
    </row>
    <row r="288" spans="1:9" x14ac:dyDescent="0.3">
      <c r="A288">
        <v>287</v>
      </c>
      <c r="B288">
        <v>133</v>
      </c>
      <c r="C288">
        <v>4</v>
      </c>
      <c r="D288" s="12">
        <v>42546</v>
      </c>
      <c r="E288" s="12">
        <v>42547</v>
      </c>
      <c r="F288" s="12">
        <v>42548</v>
      </c>
      <c r="G288">
        <v>2</v>
      </c>
      <c r="H288">
        <v>6</v>
      </c>
      <c r="I288" t="str">
        <f t="shared" si="4"/>
        <v>Shipped</v>
      </c>
    </row>
    <row r="289" spans="1:9" x14ac:dyDescent="0.3">
      <c r="A289">
        <v>288</v>
      </c>
      <c r="B289">
        <v>780</v>
      </c>
      <c r="C289">
        <v>4</v>
      </c>
      <c r="D289" s="12">
        <v>42546</v>
      </c>
      <c r="E289" s="12">
        <v>42549</v>
      </c>
      <c r="F289" s="12">
        <v>42549</v>
      </c>
      <c r="G289">
        <v>2</v>
      </c>
      <c r="H289">
        <v>6</v>
      </c>
      <c r="I289" t="str">
        <f t="shared" si="4"/>
        <v>Shipped</v>
      </c>
    </row>
    <row r="290" spans="1:9" x14ac:dyDescent="0.3">
      <c r="A290">
        <v>289</v>
      </c>
      <c r="B290">
        <v>849</v>
      </c>
      <c r="C290">
        <v>4</v>
      </c>
      <c r="D290" s="12">
        <v>42548</v>
      </c>
      <c r="E290" s="12">
        <v>42549</v>
      </c>
      <c r="F290" s="12">
        <v>42551</v>
      </c>
      <c r="G290">
        <v>2</v>
      </c>
      <c r="H290">
        <v>6</v>
      </c>
      <c r="I290" t="str">
        <f t="shared" si="4"/>
        <v>Shipped</v>
      </c>
    </row>
    <row r="291" spans="1:9" x14ac:dyDescent="0.3">
      <c r="A291">
        <v>290</v>
      </c>
      <c r="B291">
        <v>202</v>
      </c>
      <c r="C291">
        <v>4</v>
      </c>
      <c r="D291" s="12">
        <v>42549</v>
      </c>
      <c r="E291" s="12">
        <v>42550</v>
      </c>
      <c r="F291" s="12">
        <v>42551</v>
      </c>
      <c r="G291">
        <v>2</v>
      </c>
      <c r="H291">
        <v>6</v>
      </c>
      <c r="I291" t="str">
        <f t="shared" si="4"/>
        <v>Shipped</v>
      </c>
    </row>
    <row r="292" spans="1:9" x14ac:dyDescent="0.3">
      <c r="A292">
        <v>291</v>
      </c>
      <c r="B292">
        <v>158</v>
      </c>
      <c r="C292">
        <v>4</v>
      </c>
      <c r="D292" s="12">
        <v>42550</v>
      </c>
      <c r="E292" s="12">
        <v>42551</v>
      </c>
      <c r="F292" s="12">
        <v>42552</v>
      </c>
      <c r="G292">
        <v>2</v>
      </c>
      <c r="H292">
        <v>6</v>
      </c>
      <c r="I292" t="str">
        <f t="shared" si="4"/>
        <v>Shipped</v>
      </c>
    </row>
    <row r="293" spans="1:9" x14ac:dyDescent="0.3">
      <c r="A293">
        <v>292</v>
      </c>
      <c r="B293">
        <v>360</v>
      </c>
      <c r="C293">
        <v>4</v>
      </c>
      <c r="D293" s="12">
        <v>42550</v>
      </c>
      <c r="E293" s="12">
        <v>42551</v>
      </c>
      <c r="F293" s="12">
        <v>42553</v>
      </c>
      <c r="G293">
        <v>3</v>
      </c>
      <c r="H293">
        <v>9</v>
      </c>
      <c r="I293" t="str">
        <f t="shared" si="4"/>
        <v>Shipped</v>
      </c>
    </row>
    <row r="294" spans="1:9" x14ac:dyDescent="0.3">
      <c r="A294">
        <v>293</v>
      </c>
      <c r="B294">
        <v>573</v>
      </c>
      <c r="C294">
        <v>4</v>
      </c>
      <c r="D294" s="12">
        <v>42551</v>
      </c>
      <c r="E294" s="12">
        <v>42554</v>
      </c>
      <c r="F294" s="12">
        <v>42553</v>
      </c>
      <c r="G294">
        <v>2</v>
      </c>
      <c r="H294">
        <v>7</v>
      </c>
      <c r="I294" t="str">
        <f t="shared" si="4"/>
        <v>Delivered</v>
      </c>
    </row>
    <row r="295" spans="1:9" x14ac:dyDescent="0.3">
      <c r="A295">
        <v>294</v>
      </c>
      <c r="B295">
        <v>732</v>
      </c>
      <c r="C295">
        <v>4</v>
      </c>
      <c r="D295" s="12">
        <v>42552</v>
      </c>
      <c r="E295" s="12">
        <v>42553</v>
      </c>
      <c r="F295" s="12">
        <v>42553</v>
      </c>
      <c r="G295">
        <v>2</v>
      </c>
      <c r="H295">
        <v>7</v>
      </c>
      <c r="I295" t="str">
        <f t="shared" si="4"/>
        <v>Shipped</v>
      </c>
    </row>
    <row r="296" spans="1:9" x14ac:dyDescent="0.3">
      <c r="A296">
        <v>295</v>
      </c>
      <c r="B296">
        <v>1130</v>
      </c>
      <c r="C296">
        <v>4</v>
      </c>
      <c r="D296" s="12">
        <v>42552</v>
      </c>
      <c r="E296" s="12">
        <v>42555</v>
      </c>
      <c r="F296" s="12">
        <v>42555</v>
      </c>
      <c r="G296">
        <v>2</v>
      </c>
      <c r="H296">
        <v>7</v>
      </c>
      <c r="I296" t="str">
        <f t="shared" si="4"/>
        <v>Shipped</v>
      </c>
    </row>
    <row r="297" spans="1:9" x14ac:dyDescent="0.3">
      <c r="A297">
        <v>296</v>
      </c>
      <c r="B297">
        <v>1245</v>
      </c>
      <c r="C297">
        <v>4</v>
      </c>
      <c r="D297" s="12">
        <v>42555</v>
      </c>
      <c r="E297" s="12">
        <v>42558</v>
      </c>
      <c r="F297" s="12">
        <v>42557</v>
      </c>
      <c r="G297">
        <v>2</v>
      </c>
      <c r="H297">
        <v>6</v>
      </c>
      <c r="I297" t="str">
        <f t="shared" si="4"/>
        <v>Delivered</v>
      </c>
    </row>
    <row r="298" spans="1:9" x14ac:dyDescent="0.3">
      <c r="A298">
        <v>297</v>
      </c>
      <c r="B298">
        <v>1425</v>
      </c>
      <c r="C298">
        <v>4</v>
      </c>
      <c r="D298" s="12">
        <v>42555</v>
      </c>
      <c r="E298" s="12">
        <v>42556</v>
      </c>
      <c r="F298" s="12">
        <v>42557</v>
      </c>
      <c r="G298">
        <v>2</v>
      </c>
      <c r="H298">
        <v>7</v>
      </c>
      <c r="I298" t="str">
        <f t="shared" si="4"/>
        <v>Shipped</v>
      </c>
    </row>
    <row r="299" spans="1:9" x14ac:dyDescent="0.3">
      <c r="A299">
        <v>298</v>
      </c>
      <c r="B299">
        <v>885</v>
      </c>
      <c r="C299">
        <v>4</v>
      </c>
      <c r="D299" s="12">
        <v>42555</v>
      </c>
      <c r="E299" s="12">
        <v>42558</v>
      </c>
      <c r="F299" s="12">
        <v>42558</v>
      </c>
      <c r="G299">
        <v>3</v>
      </c>
      <c r="H299">
        <v>9</v>
      </c>
      <c r="I299" t="str">
        <f t="shared" si="4"/>
        <v>Shipped</v>
      </c>
    </row>
    <row r="300" spans="1:9" x14ac:dyDescent="0.3">
      <c r="A300">
        <v>299</v>
      </c>
      <c r="B300">
        <v>281</v>
      </c>
      <c r="C300">
        <v>4</v>
      </c>
      <c r="D300" s="12">
        <v>42556</v>
      </c>
      <c r="E300" s="12">
        <v>42557</v>
      </c>
      <c r="F300" s="12">
        <v>42558</v>
      </c>
      <c r="G300">
        <v>2</v>
      </c>
      <c r="H300">
        <v>6</v>
      </c>
      <c r="I300" t="str">
        <f t="shared" si="4"/>
        <v>Shipped</v>
      </c>
    </row>
    <row r="301" spans="1:9" x14ac:dyDescent="0.3">
      <c r="A301">
        <v>300</v>
      </c>
      <c r="B301">
        <v>1205</v>
      </c>
      <c r="C301">
        <v>4</v>
      </c>
      <c r="D301" s="12">
        <v>42556</v>
      </c>
      <c r="E301" s="12">
        <v>42559</v>
      </c>
      <c r="F301" s="12">
        <v>42559</v>
      </c>
      <c r="G301">
        <v>2</v>
      </c>
      <c r="H301">
        <v>6</v>
      </c>
      <c r="I301" t="str">
        <f t="shared" si="4"/>
        <v>Shipped</v>
      </c>
    </row>
    <row r="302" spans="1:9" x14ac:dyDescent="0.3">
      <c r="A302">
        <v>301</v>
      </c>
      <c r="B302">
        <v>17</v>
      </c>
      <c r="C302">
        <v>4</v>
      </c>
      <c r="D302" s="12">
        <v>42557</v>
      </c>
      <c r="E302" s="12">
        <v>42560</v>
      </c>
      <c r="F302" s="12">
        <v>42559</v>
      </c>
      <c r="G302">
        <v>2</v>
      </c>
      <c r="H302">
        <v>6</v>
      </c>
      <c r="I302" t="str">
        <f t="shared" si="4"/>
        <v>Delivered</v>
      </c>
    </row>
    <row r="303" spans="1:9" x14ac:dyDescent="0.3">
      <c r="A303">
        <v>302</v>
      </c>
      <c r="B303">
        <v>1375</v>
      </c>
      <c r="C303">
        <v>4</v>
      </c>
      <c r="D303" s="12">
        <v>42557</v>
      </c>
      <c r="E303" s="12">
        <v>42558</v>
      </c>
      <c r="F303" s="12">
        <v>42560</v>
      </c>
      <c r="G303">
        <v>2</v>
      </c>
      <c r="H303">
        <v>6</v>
      </c>
      <c r="I303" t="str">
        <f t="shared" si="4"/>
        <v>Shipped</v>
      </c>
    </row>
    <row r="304" spans="1:9" x14ac:dyDescent="0.3">
      <c r="A304">
        <v>303</v>
      </c>
      <c r="B304">
        <v>36</v>
      </c>
      <c r="C304">
        <v>4</v>
      </c>
      <c r="D304" s="12">
        <v>42558</v>
      </c>
      <c r="E304" s="12">
        <v>42559</v>
      </c>
      <c r="F304" s="12">
        <v>42560</v>
      </c>
      <c r="G304">
        <v>2</v>
      </c>
      <c r="H304">
        <v>7</v>
      </c>
      <c r="I304" t="str">
        <f t="shared" si="4"/>
        <v>Shipped</v>
      </c>
    </row>
    <row r="305" spans="1:9" x14ac:dyDescent="0.3">
      <c r="A305">
        <v>304</v>
      </c>
      <c r="B305">
        <v>230</v>
      </c>
      <c r="C305">
        <v>4</v>
      </c>
      <c r="D305" s="12">
        <v>42558</v>
      </c>
      <c r="E305" s="12">
        <v>42559</v>
      </c>
      <c r="F305" s="12">
        <v>42559</v>
      </c>
      <c r="G305">
        <v>2</v>
      </c>
      <c r="H305">
        <v>6</v>
      </c>
      <c r="I305" t="str">
        <f t="shared" si="4"/>
        <v>Shipped</v>
      </c>
    </row>
    <row r="306" spans="1:9" x14ac:dyDescent="0.3">
      <c r="A306">
        <v>305</v>
      </c>
      <c r="B306">
        <v>705</v>
      </c>
      <c r="C306">
        <v>4</v>
      </c>
      <c r="D306" s="12">
        <v>42558</v>
      </c>
      <c r="E306" s="12">
        <v>42559</v>
      </c>
      <c r="F306" s="12">
        <v>42559</v>
      </c>
      <c r="G306">
        <v>2</v>
      </c>
      <c r="H306">
        <v>7</v>
      </c>
      <c r="I306" t="str">
        <f t="shared" si="4"/>
        <v>Shipped</v>
      </c>
    </row>
    <row r="307" spans="1:9" x14ac:dyDescent="0.3">
      <c r="A307">
        <v>306</v>
      </c>
      <c r="B307">
        <v>424</v>
      </c>
      <c r="C307">
        <v>4</v>
      </c>
      <c r="D307" s="12">
        <v>42560</v>
      </c>
      <c r="E307" s="12">
        <v>42561</v>
      </c>
      <c r="F307" s="12">
        <v>42563</v>
      </c>
      <c r="G307">
        <v>2</v>
      </c>
      <c r="H307">
        <v>7</v>
      </c>
      <c r="I307" t="str">
        <f t="shared" si="4"/>
        <v>Shipped</v>
      </c>
    </row>
    <row r="308" spans="1:9" x14ac:dyDescent="0.3">
      <c r="A308">
        <v>307</v>
      </c>
      <c r="B308">
        <v>695</v>
      </c>
      <c r="C308">
        <v>4</v>
      </c>
      <c r="D308" s="12">
        <v>42560</v>
      </c>
      <c r="E308" s="12">
        <v>42562</v>
      </c>
      <c r="F308" s="12">
        <v>42562</v>
      </c>
      <c r="G308">
        <v>2</v>
      </c>
      <c r="H308">
        <v>6</v>
      </c>
      <c r="I308" t="str">
        <f t="shared" si="4"/>
        <v>Shipped</v>
      </c>
    </row>
    <row r="309" spans="1:9" x14ac:dyDescent="0.3">
      <c r="A309">
        <v>308</v>
      </c>
      <c r="B309">
        <v>156</v>
      </c>
      <c r="C309">
        <v>4</v>
      </c>
      <c r="D309" s="12">
        <v>42562</v>
      </c>
      <c r="E309" s="12">
        <v>42563</v>
      </c>
      <c r="F309" s="12">
        <v>42565</v>
      </c>
      <c r="G309">
        <v>2</v>
      </c>
      <c r="H309">
        <v>6</v>
      </c>
      <c r="I309" t="str">
        <f t="shared" si="4"/>
        <v>Shipped</v>
      </c>
    </row>
    <row r="310" spans="1:9" x14ac:dyDescent="0.3">
      <c r="A310">
        <v>309</v>
      </c>
      <c r="B310">
        <v>211</v>
      </c>
      <c r="C310">
        <v>4</v>
      </c>
      <c r="D310" s="12">
        <v>42562</v>
      </c>
      <c r="E310" s="12">
        <v>42564</v>
      </c>
      <c r="F310" s="12">
        <v>42564</v>
      </c>
      <c r="G310">
        <v>2</v>
      </c>
      <c r="H310">
        <v>6</v>
      </c>
      <c r="I310" t="str">
        <f t="shared" si="4"/>
        <v>Shipped</v>
      </c>
    </row>
    <row r="311" spans="1:9" x14ac:dyDescent="0.3">
      <c r="A311">
        <v>310</v>
      </c>
      <c r="B311">
        <v>627</v>
      </c>
      <c r="C311">
        <v>4</v>
      </c>
      <c r="D311" s="12">
        <v>42563</v>
      </c>
      <c r="E311" s="12">
        <v>42564</v>
      </c>
      <c r="F311" s="12">
        <v>42564</v>
      </c>
      <c r="G311">
        <v>1</v>
      </c>
      <c r="H311">
        <v>2</v>
      </c>
      <c r="I311" t="str">
        <f t="shared" si="4"/>
        <v>Shipped</v>
      </c>
    </row>
    <row r="312" spans="1:9" x14ac:dyDescent="0.3">
      <c r="A312">
        <v>311</v>
      </c>
      <c r="B312">
        <v>1400</v>
      </c>
      <c r="C312">
        <v>4</v>
      </c>
      <c r="D312" s="12">
        <v>42563</v>
      </c>
      <c r="E312" s="12">
        <v>42565</v>
      </c>
      <c r="F312" s="12">
        <v>42564</v>
      </c>
      <c r="G312">
        <v>2</v>
      </c>
      <c r="H312">
        <v>6</v>
      </c>
      <c r="I312" t="str">
        <f t="shared" si="4"/>
        <v>Delivered</v>
      </c>
    </row>
    <row r="313" spans="1:9" x14ac:dyDescent="0.3">
      <c r="A313">
        <v>312</v>
      </c>
      <c r="B313">
        <v>299</v>
      </c>
      <c r="C313">
        <v>4</v>
      </c>
      <c r="D313" s="12">
        <v>42564</v>
      </c>
      <c r="E313" s="12">
        <v>42566</v>
      </c>
      <c r="F313" s="12">
        <v>42567</v>
      </c>
      <c r="G313">
        <v>2</v>
      </c>
      <c r="H313">
        <v>6</v>
      </c>
      <c r="I313" t="str">
        <f t="shared" si="4"/>
        <v>Shipped</v>
      </c>
    </row>
    <row r="314" spans="1:9" x14ac:dyDescent="0.3">
      <c r="A314">
        <v>313</v>
      </c>
      <c r="B314">
        <v>565</v>
      </c>
      <c r="C314">
        <v>4</v>
      </c>
      <c r="D314" s="12">
        <v>42565</v>
      </c>
      <c r="E314" s="12">
        <v>42566</v>
      </c>
      <c r="F314" s="12">
        <v>42566</v>
      </c>
      <c r="G314">
        <v>3</v>
      </c>
      <c r="H314">
        <v>9</v>
      </c>
      <c r="I314" t="str">
        <f t="shared" si="4"/>
        <v>Shipped</v>
      </c>
    </row>
    <row r="315" spans="1:9" x14ac:dyDescent="0.3">
      <c r="A315">
        <v>314</v>
      </c>
      <c r="B315">
        <v>1019</v>
      </c>
      <c r="C315">
        <v>4</v>
      </c>
      <c r="D315" s="12">
        <v>42566</v>
      </c>
      <c r="E315" s="12">
        <v>42568</v>
      </c>
      <c r="F315" s="12">
        <v>42568</v>
      </c>
      <c r="G315">
        <v>2</v>
      </c>
      <c r="H315">
        <v>7</v>
      </c>
      <c r="I315" t="str">
        <f t="shared" si="4"/>
        <v>Shipped</v>
      </c>
    </row>
    <row r="316" spans="1:9" x14ac:dyDescent="0.3">
      <c r="A316">
        <v>315</v>
      </c>
      <c r="B316">
        <v>1263</v>
      </c>
      <c r="C316">
        <v>4</v>
      </c>
      <c r="D316" s="12">
        <v>42567</v>
      </c>
      <c r="E316" s="12">
        <v>42570</v>
      </c>
      <c r="F316" s="12">
        <v>42568</v>
      </c>
      <c r="G316">
        <v>2</v>
      </c>
      <c r="H316">
        <v>6</v>
      </c>
      <c r="I316" t="str">
        <f t="shared" si="4"/>
        <v>Delivered</v>
      </c>
    </row>
    <row r="317" spans="1:9" x14ac:dyDescent="0.3">
      <c r="A317">
        <v>316</v>
      </c>
      <c r="B317">
        <v>670</v>
      </c>
      <c r="C317">
        <v>4</v>
      </c>
      <c r="D317" s="12">
        <v>42568</v>
      </c>
      <c r="E317" s="12">
        <v>42571</v>
      </c>
      <c r="F317" s="12">
        <v>42570</v>
      </c>
      <c r="G317">
        <v>2</v>
      </c>
      <c r="H317">
        <v>7</v>
      </c>
      <c r="I317" t="str">
        <f t="shared" si="4"/>
        <v>Delivered</v>
      </c>
    </row>
    <row r="318" spans="1:9" x14ac:dyDescent="0.3">
      <c r="A318">
        <v>317</v>
      </c>
      <c r="B318">
        <v>795</v>
      </c>
      <c r="C318">
        <v>4</v>
      </c>
      <c r="D318" s="12">
        <v>42568</v>
      </c>
      <c r="E318" s="12">
        <v>42571</v>
      </c>
      <c r="F318" s="12">
        <v>42570</v>
      </c>
      <c r="G318">
        <v>2</v>
      </c>
      <c r="H318">
        <v>7</v>
      </c>
      <c r="I318" t="str">
        <f t="shared" si="4"/>
        <v>Delivered</v>
      </c>
    </row>
    <row r="319" spans="1:9" x14ac:dyDescent="0.3">
      <c r="A319">
        <v>318</v>
      </c>
      <c r="B319">
        <v>1141</v>
      </c>
      <c r="C319">
        <v>4</v>
      </c>
      <c r="D319" s="12">
        <v>42568</v>
      </c>
      <c r="E319" s="12">
        <v>42570</v>
      </c>
      <c r="F319" s="12">
        <v>42571</v>
      </c>
      <c r="G319">
        <v>2</v>
      </c>
      <c r="H319">
        <v>7</v>
      </c>
      <c r="I319" t="str">
        <f t="shared" si="4"/>
        <v>Shipped</v>
      </c>
    </row>
    <row r="320" spans="1:9" x14ac:dyDescent="0.3">
      <c r="A320">
        <v>319</v>
      </c>
      <c r="B320">
        <v>941</v>
      </c>
      <c r="C320">
        <v>4</v>
      </c>
      <c r="D320" s="12">
        <v>42569</v>
      </c>
      <c r="E320" s="12">
        <v>42572</v>
      </c>
      <c r="F320" s="12">
        <v>42572</v>
      </c>
      <c r="G320">
        <v>2</v>
      </c>
      <c r="H320">
        <v>6</v>
      </c>
      <c r="I320" t="str">
        <f t="shared" si="4"/>
        <v>Shipped</v>
      </c>
    </row>
    <row r="321" spans="1:9" x14ac:dyDescent="0.3">
      <c r="A321">
        <v>320</v>
      </c>
      <c r="B321">
        <v>1428</v>
      </c>
      <c r="C321">
        <v>4</v>
      </c>
      <c r="D321" s="12">
        <v>42570</v>
      </c>
      <c r="E321" s="12">
        <v>42571</v>
      </c>
      <c r="F321" s="12">
        <v>42572</v>
      </c>
      <c r="G321">
        <v>1</v>
      </c>
      <c r="H321">
        <v>2</v>
      </c>
      <c r="I321" t="str">
        <f t="shared" si="4"/>
        <v>Shipped</v>
      </c>
    </row>
    <row r="322" spans="1:9" x14ac:dyDescent="0.3">
      <c r="A322">
        <v>321</v>
      </c>
      <c r="B322">
        <v>568</v>
      </c>
      <c r="C322">
        <v>4</v>
      </c>
      <c r="D322" s="12">
        <v>42570</v>
      </c>
      <c r="E322" s="12">
        <v>42573</v>
      </c>
      <c r="F322" s="12">
        <v>42572</v>
      </c>
      <c r="G322">
        <v>2</v>
      </c>
      <c r="H322">
        <v>6</v>
      </c>
      <c r="I322" t="str">
        <f t="shared" si="4"/>
        <v>Delivered</v>
      </c>
    </row>
    <row r="323" spans="1:9" x14ac:dyDescent="0.3">
      <c r="A323">
        <v>322</v>
      </c>
      <c r="B323">
        <v>924</v>
      </c>
      <c r="C323">
        <v>4</v>
      </c>
      <c r="D323" s="12">
        <v>42570</v>
      </c>
      <c r="E323" s="12">
        <v>42573</v>
      </c>
      <c r="F323" s="12">
        <v>42571</v>
      </c>
      <c r="G323">
        <v>2</v>
      </c>
      <c r="H323">
        <v>6</v>
      </c>
      <c r="I323" t="str">
        <f t="shared" ref="I323:I386" si="5">IF(F323="NA","Pending",IF(OR(E323=F323,E323&lt;F323),"Shipped","Delivered"))</f>
        <v>Delivered</v>
      </c>
    </row>
    <row r="324" spans="1:9" x14ac:dyDescent="0.3">
      <c r="A324">
        <v>323</v>
      </c>
      <c r="B324">
        <v>1243</v>
      </c>
      <c r="C324">
        <v>4</v>
      </c>
      <c r="D324" s="12">
        <v>42570</v>
      </c>
      <c r="E324" s="12">
        <v>42573</v>
      </c>
      <c r="F324" s="12">
        <v>42572</v>
      </c>
      <c r="G324">
        <v>2</v>
      </c>
      <c r="H324">
        <v>6</v>
      </c>
      <c r="I324" t="str">
        <f t="shared" si="5"/>
        <v>Delivered</v>
      </c>
    </row>
    <row r="325" spans="1:9" x14ac:dyDescent="0.3">
      <c r="A325">
        <v>324</v>
      </c>
      <c r="B325">
        <v>480</v>
      </c>
      <c r="C325">
        <v>4</v>
      </c>
      <c r="D325" s="12">
        <v>42571</v>
      </c>
      <c r="E325" s="12">
        <v>42573</v>
      </c>
      <c r="F325" s="12">
        <v>42574</v>
      </c>
      <c r="G325">
        <v>2</v>
      </c>
      <c r="H325">
        <v>6</v>
      </c>
      <c r="I325" t="str">
        <f t="shared" si="5"/>
        <v>Shipped</v>
      </c>
    </row>
    <row r="326" spans="1:9" x14ac:dyDescent="0.3">
      <c r="A326">
        <v>325</v>
      </c>
      <c r="B326">
        <v>848</v>
      </c>
      <c r="C326">
        <v>4</v>
      </c>
      <c r="D326" s="12">
        <v>42571</v>
      </c>
      <c r="E326" s="12">
        <v>42572</v>
      </c>
      <c r="F326" s="12">
        <v>42572</v>
      </c>
      <c r="G326">
        <v>2</v>
      </c>
      <c r="H326">
        <v>6</v>
      </c>
      <c r="I326" t="str">
        <f t="shared" si="5"/>
        <v>Shipped</v>
      </c>
    </row>
    <row r="327" spans="1:9" x14ac:dyDescent="0.3">
      <c r="A327">
        <v>326</v>
      </c>
      <c r="B327">
        <v>1337</v>
      </c>
      <c r="C327">
        <v>4</v>
      </c>
      <c r="D327" s="12">
        <v>42571</v>
      </c>
      <c r="E327" s="12">
        <v>42572</v>
      </c>
      <c r="F327" s="12">
        <v>42573</v>
      </c>
      <c r="G327">
        <v>3</v>
      </c>
      <c r="H327">
        <v>9</v>
      </c>
      <c r="I327" t="str">
        <f t="shared" si="5"/>
        <v>Shipped</v>
      </c>
    </row>
    <row r="328" spans="1:9" x14ac:dyDescent="0.3">
      <c r="A328">
        <v>327</v>
      </c>
      <c r="B328">
        <v>83</v>
      </c>
      <c r="C328">
        <v>4</v>
      </c>
      <c r="D328" s="12">
        <v>42572</v>
      </c>
      <c r="E328" s="12">
        <v>42575</v>
      </c>
      <c r="F328" s="12">
        <v>42573</v>
      </c>
      <c r="G328">
        <v>2</v>
      </c>
      <c r="H328">
        <v>6</v>
      </c>
      <c r="I328" t="str">
        <f t="shared" si="5"/>
        <v>Delivered</v>
      </c>
    </row>
    <row r="329" spans="1:9" x14ac:dyDescent="0.3">
      <c r="A329">
        <v>328</v>
      </c>
      <c r="B329">
        <v>528</v>
      </c>
      <c r="C329">
        <v>4</v>
      </c>
      <c r="D329" s="12">
        <v>42574</v>
      </c>
      <c r="E329" s="12">
        <v>42577</v>
      </c>
      <c r="F329" s="12">
        <v>42576</v>
      </c>
      <c r="G329">
        <v>2</v>
      </c>
      <c r="H329">
        <v>6</v>
      </c>
      <c r="I329" t="str">
        <f t="shared" si="5"/>
        <v>Delivered</v>
      </c>
    </row>
    <row r="330" spans="1:9" x14ac:dyDescent="0.3">
      <c r="A330">
        <v>329</v>
      </c>
      <c r="B330">
        <v>274</v>
      </c>
      <c r="C330">
        <v>4</v>
      </c>
      <c r="D330" s="12">
        <v>42575</v>
      </c>
      <c r="E330" s="12">
        <v>42578</v>
      </c>
      <c r="F330" s="12">
        <v>42577</v>
      </c>
      <c r="G330">
        <v>2</v>
      </c>
      <c r="H330">
        <v>6</v>
      </c>
      <c r="I330" t="str">
        <f t="shared" si="5"/>
        <v>Delivered</v>
      </c>
    </row>
    <row r="331" spans="1:9" x14ac:dyDescent="0.3">
      <c r="A331">
        <v>330</v>
      </c>
      <c r="B331">
        <v>622</v>
      </c>
      <c r="C331">
        <v>4</v>
      </c>
      <c r="D331" s="12">
        <v>42575</v>
      </c>
      <c r="E331" s="12">
        <v>42578</v>
      </c>
      <c r="F331" s="12">
        <v>42578</v>
      </c>
      <c r="G331">
        <v>2</v>
      </c>
      <c r="H331">
        <v>6</v>
      </c>
      <c r="I331" t="str">
        <f t="shared" si="5"/>
        <v>Shipped</v>
      </c>
    </row>
    <row r="332" spans="1:9" x14ac:dyDescent="0.3">
      <c r="A332">
        <v>331</v>
      </c>
      <c r="B332">
        <v>642</v>
      </c>
      <c r="C332">
        <v>4</v>
      </c>
      <c r="D332" s="12">
        <v>42575</v>
      </c>
      <c r="E332" s="12">
        <v>42577</v>
      </c>
      <c r="F332" s="12">
        <v>42576</v>
      </c>
      <c r="G332">
        <v>2</v>
      </c>
      <c r="H332">
        <v>6</v>
      </c>
      <c r="I332" t="str">
        <f t="shared" si="5"/>
        <v>Delivered</v>
      </c>
    </row>
    <row r="333" spans="1:9" x14ac:dyDescent="0.3">
      <c r="A333">
        <v>332</v>
      </c>
      <c r="B333">
        <v>659</v>
      </c>
      <c r="C333">
        <v>4</v>
      </c>
      <c r="D333" s="12">
        <v>42575</v>
      </c>
      <c r="E333" s="12">
        <v>42577</v>
      </c>
      <c r="F333" s="12">
        <v>42577</v>
      </c>
      <c r="G333">
        <v>2</v>
      </c>
      <c r="H333">
        <v>7</v>
      </c>
      <c r="I333" t="str">
        <f t="shared" si="5"/>
        <v>Shipped</v>
      </c>
    </row>
    <row r="334" spans="1:9" x14ac:dyDescent="0.3">
      <c r="A334">
        <v>333</v>
      </c>
      <c r="B334">
        <v>779</v>
      </c>
      <c r="C334">
        <v>4</v>
      </c>
      <c r="D334" s="12">
        <v>42576</v>
      </c>
      <c r="E334" s="12">
        <v>42578</v>
      </c>
      <c r="F334" s="12">
        <v>42577</v>
      </c>
      <c r="G334">
        <v>2</v>
      </c>
      <c r="H334">
        <v>6</v>
      </c>
      <c r="I334" t="str">
        <f t="shared" si="5"/>
        <v>Delivered</v>
      </c>
    </row>
    <row r="335" spans="1:9" x14ac:dyDescent="0.3">
      <c r="A335">
        <v>334</v>
      </c>
      <c r="B335">
        <v>1112</v>
      </c>
      <c r="C335">
        <v>4</v>
      </c>
      <c r="D335" s="12">
        <v>42576</v>
      </c>
      <c r="E335" s="12">
        <v>42579</v>
      </c>
      <c r="F335" s="12">
        <v>42578</v>
      </c>
      <c r="G335">
        <v>2</v>
      </c>
      <c r="H335">
        <v>7</v>
      </c>
      <c r="I335" t="str">
        <f t="shared" si="5"/>
        <v>Delivered</v>
      </c>
    </row>
    <row r="336" spans="1:9" x14ac:dyDescent="0.3">
      <c r="A336">
        <v>335</v>
      </c>
      <c r="B336">
        <v>1193</v>
      </c>
      <c r="C336">
        <v>4</v>
      </c>
      <c r="D336" s="12">
        <v>42576</v>
      </c>
      <c r="E336" s="12">
        <v>42578</v>
      </c>
      <c r="F336" s="12">
        <v>42577</v>
      </c>
      <c r="G336">
        <v>2</v>
      </c>
      <c r="H336">
        <v>6</v>
      </c>
      <c r="I336" t="str">
        <f t="shared" si="5"/>
        <v>Delivered</v>
      </c>
    </row>
    <row r="337" spans="1:9" x14ac:dyDescent="0.3">
      <c r="A337">
        <v>336</v>
      </c>
      <c r="B337">
        <v>1030</v>
      </c>
      <c r="C337">
        <v>4</v>
      </c>
      <c r="D337" s="12">
        <v>42577</v>
      </c>
      <c r="E337" s="12">
        <v>42580</v>
      </c>
      <c r="F337" s="12">
        <v>42578</v>
      </c>
      <c r="G337">
        <v>2</v>
      </c>
      <c r="H337">
        <v>7</v>
      </c>
      <c r="I337" t="str">
        <f t="shared" si="5"/>
        <v>Delivered</v>
      </c>
    </row>
    <row r="338" spans="1:9" x14ac:dyDescent="0.3">
      <c r="A338">
        <v>337</v>
      </c>
      <c r="B338">
        <v>1252</v>
      </c>
      <c r="C338">
        <v>4</v>
      </c>
      <c r="D338" s="12">
        <v>42577</v>
      </c>
      <c r="E338" s="12">
        <v>42578</v>
      </c>
      <c r="F338" s="12">
        <v>42579</v>
      </c>
      <c r="G338">
        <v>2</v>
      </c>
      <c r="H338">
        <v>7</v>
      </c>
      <c r="I338" t="str">
        <f t="shared" si="5"/>
        <v>Shipped</v>
      </c>
    </row>
    <row r="339" spans="1:9" x14ac:dyDescent="0.3">
      <c r="A339">
        <v>338</v>
      </c>
      <c r="B339">
        <v>1333</v>
      </c>
      <c r="C339">
        <v>4</v>
      </c>
      <c r="D339" s="12">
        <v>42579</v>
      </c>
      <c r="E339" s="12">
        <v>42580</v>
      </c>
      <c r="F339" s="12">
        <v>42581</v>
      </c>
      <c r="G339">
        <v>1</v>
      </c>
      <c r="H339">
        <v>3</v>
      </c>
      <c r="I339" t="str">
        <f t="shared" si="5"/>
        <v>Shipped</v>
      </c>
    </row>
    <row r="340" spans="1:9" x14ac:dyDescent="0.3">
      <c r="A340">
        <v>339</v>
      </c>
      <c r="B340">
        <v>1110</v>
      </c>
      <c r="C340">
        <v>4</v>
      </c>
      <c r="D340" s="12">
        <v>42579</v>
      </c>
      <c r="E340" s="12">
        <v>42582</v>
      </c>
      <c r="F340" s="12">
        <v>42580</v>
      </c>
      <c r="G340">
        <v>2</v>
      </c>
      <c r="H340">
        <v>7</v>
      </c>
      <c r="I340" t="str">
        <f t="shared" si="5"/>
        <v>Delivered</v>
      </c>
    </row>
    <row r="341" spans="1:9" x14ac:dyDescent="0.3">
      <c r="A341">
        <v>340</v>
      </c>
      <c r="B341">
        <v>963</v>
      </c>
      <c r="C341">
        <v>4</v>
      </c>
      <c r="D341" s="12">
        <v>42580</v>
      </c>
      <c r="E341" s="12">
        <v>42581</v>
      </c>
      <c r="F341" s="12">
        <v>42582</v>
      </c>
      <c r="G341">
        <v>2</v>
      </c>
      <c r="H341">
        <v>7</v>
      </c>
      <c r="I341" t="str">
        <f t="shared" si="5"/>
        <v>Shipped</v>
      </c>
    </row>
    <row r="342" spans="1:9" x14ac:dyDescent="0.3">
      <c r="A342">
        <v>341</v>
      </c>
      <c r="B342">
        <v>1357</v>
      </c>
      <c r="C342">
        <v>4</v>
      </c>
      <c r="D342" s="12">
        <v>42582</v>
      </c>
      <c r="E342" s="12">
        <v>42585</v>
      </c>
      <c r="F342" s="12">
        <v>42583</v>
      </c>
      <c r="G342">
        <v>1</v>
      </c>
      <c r="H342">
        <v>3</v>
      </c>
      <c r="I342" t="str">
        <f t="shared" si="5"/>
        <v>Delivered</v>
      </c>
    </row>
    <row r="343" spans="1:9" x14ac:dyDescent="0.3">
      <c r="A343">
        <v>342</v>
      </c>
      <c r="B343">
        <v>806</v>
      </c>
      <c r="C343">
        <v>4</v>
      </c>
      <c r="D343" s="12">
        <v>42582</v>
      </c>
      <c r="E343" s="12">
        <v>42583</v>
      </c>
      <c r="F343" s="12">
        <v>42585</v>
      </c>
      <c r="G343">
        <v>2</v>
      </c>
      <c r="H343">
        <v>7</v>
      </c>
      <c r="I343" t="str">
        <f t="shared" si="5"/>
        <v>Shipped</v>
      </c>
    </row>
    <row r="344" spans="1:9" x14ac:dyDescent="0.3">
      <c r="A344">
        <v>343</v>
      </c>
      <c r="B344">
        <v>961</v>
      </c>
      <c r="C344">
        <v>4</v>
      </c>
      <c r="D344" s="12">
        <v>42582</v>
      </c>
      <c r="E344" s="12">
        <v>42584</v>
      </c>
      <c r="F344" s="12">
        <v>42583</v>
      </c>
      <c r="G344">
        <v>2</v>
      </c>
      <c r="H344">
        <v>7</v>
      </c>
      <c r="I344" t="str">
        <f t="shared" si="5"/>
        <v>Delivered</v>
      </c>
    </row>
    <row r="345" spans="1:9" x14ac:dyDescent="0.3">
      <c r="A345">
        <v>344</v>
      </c>
      <c r="B345">
        <v>750</v>
      </c>
      <c r="C345">
        <v>4</v>
      </c>
      <c r="D345" s="12">
        <v>42583</v>
      </c>
      <c r="E345" s="12">
        <v>42585</v>
      </c>
      <c r="F345" s="12">
        <v>42584</v>
      </c>
      <c r="G345">
        <v>2</v>
      </c>
      <c r="H345">
        <v>6</v>
      </c>
      <c r="I345" t="str">
        <f t="shared" si="5"/>
        <v>Delivered</v>
      </c>
    </row>
    <row r="346" spans="1:9" x14ac:dyDescent="0.3">
      <c r="A346">
        <v>345</v>
      </c>
      <c r="B346">
        <v>1299</v>
      </c>
      <c r="C346">
        <v>4</v>
      </c>
      <c r="D346" s="12">
        <v>42583</v>
      </c>
      <c r="E346" s="12">
        <v>42586</v>
      </c>
      <c r="F346" s="12">
        <v>42585</v>
      </c>
      <c r="G346">
        <v>2</v>
      </c>
      <c r="H346">
        <v>6</v>
      </c>
      <c r="I346" t="str">
        <f t="shared" si="5"/>
        <v>Delivered</v>
      </c>
    </row>
    <row r="347" spans="1:9" x14ac:dyDescent="0.3">
      <c r="A347">
        <v>346</v>
      </c>
      <c r="B347">
        <v>584</v>
      </c>
      <c r="C347">
        <v>4</v>
      </c>
      <c r="D347" s="12">
        <v>42583</v>
      </c>
      <c r="E347" s="12">
        <v>42585</v>
      </c>
      <c r="F347" s="12">
        <v>42584</v>
      </c>
      <c r="G347">
        <v>3</v>
      </c>
      <c r="H347">
        <v>9</v>
      </c>
      <c r="I347" t="str">
        <f t="shared" si="5"/>
        <v>Delivered</v>
      </c>
    </row>
    <row r="348" spans="1:9" x14ac:dyDescent="0.3">
      <c r="A348">
        <v>347</v>
      </c>
      <c r="B348">
        <v>1004</v>
      </c>
      <c r="C348">
        <v>4</v>
      </c>
      <c r="D348" s="12">
        <v>42584</v>
      </c>
      <c r="E348" s="12">
        <v>42585</v>
      </c>
      <c r="F348" s="12">
        <v>42587</v>
      </c>
      <c r="G348">
        <v>2</v>
      </c>
      <c r="H348">
        <v>6</v>
      </c>
      <c r="I348" t="str">
        <f t="shared" si="5"/>
        <v>Shipped</v>
      </c>
    </row>
    <row r="349" spans="1:9" x14ac:dyDescent="0.3">
      <c r="A349">
        <v>348</v>
      </c>
      <c r="B349">
        <v>907</v>
      </c>
      <c r="C349">
        <v>4</v>
      </c>
      <c r="D349" s="12">
        <v>42584</v>
      </c>
      <c r="E349" s="12">
        <v>42587</v>
      </c>
      <c r="F349" s="12">
        <v>42586</v>
      </c>
      <c r="G349">
        <v>3</v>
      </c>
      <c r="H349">
        <v>9</v>
      </c>
      <c r="I349" t="str">
        <f t="shared" si="5"/>
        <v>Delivered</v>
      </c>
    </row>
    <row r="350" spans="1:9" x14ac:dyDescent="0.3">
      <c r="A350">
        <v>349</v>
      </c>
      <c r="B350">
        <v>30</v>
      </c>
      <c r="C350">
        <v>3</v>
      </c>
      <c r="D350" s="12">
        <v>42585</v>
      </c>
      <c r="E350" s="12">
        <v>42585</v>
      </c>
      <c r="F350" s="12" t="s">
        <v>5611</v>
      </c>
      <c r="G350">
        <v>1</v>
      </c>
      <c r="H350">
        <v>3</v>
      </c>
      <c r="I350" t="str">
        <f t="shared" si="5"/>
        <v>Pending</v>
      </c>
    </row>
    <row r="351" spans="1:9" x14ac:dyDescent="0.3">
      <c r="A351">
        <v>350</v>
      </c>
      <c r="B351">
        <v>31</v>
      </c>
      <c r="C351">
        <v>3</v>
      </c>
      <c r="D351" s="12">
        <v>42585</v>
      </c>
      <c r="E351" s="12">
        <v>42585</v>
      </c>
      <c r="F351" s="12" t="s">
        <v>5611</v>
      </c>
      <c r="G351">
        <v>1</v>
      </c>
      <c r="H351">
        <v>3</v>
      </c>
      <c r="I351" t="str">
        <f t="shared" si="5"/>
        <v>Pending</v>
      </c>
    </row>
    <row r="352" spans="1:9" x14ac:dyDescent="0.3">
      <c r="A352">
        <v>351</v>
      </c>
      <c r="B352">
        <v>1307</v>
      </c>
      <c r="C352">
        <v>4</v>
      </c>
      <c r="D352" s="12">
        <v>42585</v>
      </c>
      <c r="E352" s="12">
        <v>42588</v>
      </c>
      <c r="F352" s="12">
        <v>42586</v>
      </c>
      <c r="G352">
        <v>1</v>
      </c>
      <c r="H352">
        <v>2</v>
      </c>
      <c r="I352" t="str">
        <f t="shared" si="5"/>
        <v>Delivered</v>
      </c>
    </row>
    <row r="353" spans="1:9" x14ac:dyDescent="0.3">
      <c r="A353">
        <v>352</v>
      </c>
      <c r="B353">
        <v>16</v>
      </c>
      <c r="C353">
        <v>4</v>
      </c>
      <c r="D353" s="12">
        <v>42585</v>
      </c>
      <c r="E353" s="12">
        <v>42586</v>
      </c>
      <c r="F353" s="12">
        <v>42588</v>
      </c>
      <c r="G353">
        <v>2</v>
      </c>
      <c r="H353">
        <v>7</v>
      </c>
      <c r="I353" t="str">
        <f t="shared" si="5"/>
        <v>Shipped</v>
      </c>
    </row>
    <row r="354" spans="1:9" x14ac:dyDescent="0.3">
      <c r="A354">
        <v>353</v>
      </c>
      <c r="B354">
        <v>1387</v>
      </c>
      <c r="C354">
        <v>4</v>
      </c>
      <c r="D354" s="12">
        <v>42585</v>
      </c>
      <c r="E354" s="12">
        <v>42588</v>
      </c>
      <c r="F354" s="12">
        <v>42588</v>
      </c>
      <c r="G354">
        <v>2</v>
      </c>
      <c r="H354">
        <v>7</v>
      </c>
      <c r="I354" t="str">
        <f t="shared" si="5"/>
        <v>Shipped</v>
      </c>
    </row>
    <row r="355" spans="1:9" x14ac:dyDescent="0.3">
      <c r="A355">
        <v>354</v>
      </c>
      <c r="B355">
        <v>551</v>
      </c>
      <c r="C355">
        <v>4</v>
      </c>
      <c r="D355" s="12">
        <v>42585</v>
      </c>
      <c r="E355" s="12">
        <v>42587</v>
      </c>
      <c r="F355" s="12">
        <v>42588</v>
      </c>
      <c r="G355">
        <v>3</v>
      </c>
      <c r="H355">
        <v>8</v>
      </c>
      <c r="I355" t="str">
        <f t="shared" si="5"/>
        <v>Shipped</v>
      </c>
    </row>
    <row r="356" spans="1:9" x14ac:dyDescent="0.3">
      <c r="A356">
        <v>355</v>
      </c>
      <c r="B356">
        <v>1011</v>
      </c>
      <c r="C356">
        <v>4</v>
      </c>
      <c r="D356" s="12">
        <v>42585</v>
      </c>
      <c r="E356" s="12">
        <v>42587</v>
      </c>
      <c r="F356" s="12">
        <v>42587</v>
      </c>
      <c r="G356">
        <v>3</v>
      </c>
      <c r="H356">
        <v>8</v>
      </c>
      <c r="I356" t="str">
        <f t="shared" si="5"/>
        <v>Shipped</v>
      </c>
    </row>
    <row r="357" spans="1:9" x14ac:dyDescent="0.3">
      <c r="A357">
        <v>356</v>
      </c>
      <c r="B357">
        <v>1189</v>
      </c>
      <c r="C357">
        <v>4</v>
      </c>
      <c r="D357" s="12">
        <v>42586</v>
      </c>
      <c r="E357" s="12">
        <v>42589</v>
      </c>
      <c r="F357" s="12">
        <v>42588</v>
      </c>
      <c r="G357">
        <v>2</v>
      </c>
      <c r="H357">
        <v>6</v>
      </c>
      <c r="I357" t="str">
        <f t="shared" si="5"/>
        <v>Delivered</v>
      </c>
    </row>
    <row r="358" spans="1:9" x14ac:dyDescent="0.3">
      <c r="A358">
        <v>357</v>
      </c>
      <c r="B358">
        <v>14</v>
      </c>
      <c r="C358">
        <v>3</v>
      </c>
      <c r="D358" s="12">
        <v>42587</v>
      </c>
      <c r="E358" s="12">
        <v>42587</v>
      </c>
      <c r="F358" s="12" t="s">
        <v>5611</v>
      </c>
      <c r="G358">
        <v>3</v>
      </c>
      <c r="H358">
        <v>8</v>
      </c>
      <c r="I358" t="str">
        <f t="shared" si="5"/>
        <v>Pending</v>
      </c>
    </row>
    <row r="359" spans="1:9" x14ac:dyDescent="0.3">
      <c r="A359">
        <v>358</v>
      </c>
      <c r="B359">
        <v>1042</v>
      </c>
      <c r="C359">
        <v>4</v>
      </c>
      <c r="D359" s="12">
        <v>42587</v>
      </c>
      <c r="E359" s="12">
        <v>42589</v>
      </c>
      <c r="F359" s="12">
        <v>42589</v>
      </c>
      <c r="G359">
        <v>2</v>
      </c>
      <c r="H359">
        <v>7</v>
      </c>
      <c r="I359" t="str">
        <f t="shared" si="5"/>
        <v>Shipped</v>
      </c>
    </row>
    <row r="360" spans="1:9" x14ac:dyDescent="0.3">
      <c r="A360">
        <v>359</v>
      </c>
      <c r="B360">
        <v>441</v>
      </c>
      <c r="C360">
        <v>4</v>
      </c>
      <c r="D360" s="12">
        <v>42589</v>
      </c>
      <c r="E360" s="12">
        <v>42592</v>
      </c>
      <c r="F360" s="12">
        <v>42592</v>
      </c>
      <c r="G360">
        <v>2</v>
      </c>
      <c r="H360">
        <v>7</v>
      </c>
      <c r="I360" t="str">
        <f t="shared" si="5"/>
        <v>Shipped</v>
      </c>
    </row>
    <row r="361" spans="1:9" x14ac:dyDescent="0.3">
      <c r="A361">
        <v>360</v>
      </c>
      <c r="B361">
        <v>1300</v>
      </c>
      <c r="C361">
        <v>4</v>
      </c>
      <c r="D361" s="12">
        <v>42589</v>
      </c>
      <c r="E361" s="12">
        <v>42591</v>
      </c>
      <c r="F361" s="12">
        <v>42592</v>
      </c>
      <c r="G361">
        <v>2</v>
      </c>
      <c r="H361">
        <v>6</v>
      </c>
      <c r="I361" t="str">
        <f t="shared" si="5"/>
        <v>Shipped</v>
      </c>
    </row>
    <row r="362" spans="1:9" x14ac:dyDescent="0.3">
      <c r="A362">
        <v>361</v>
      </c>
      <c r="B362">
        <v>994</v>
      </c>
      <c r="C362">
        <v>4</v>
      </c>
      <c r="D362" s="12">
        <v>42590</v>
      </c>
      <c r="E362" s="12">
        <v>42591</v>
      </c>
      <c r="F362" s="12">
        <v>42593</v>
      </c>
      <c r="G362">
        <v>2</v>
      </c>
      <c r="H362">
        <v>6</v>
      </c>
      <c r="I362" t="str">
        <f t="shared" si="5"/>
        <v>Shipped</v>
      </c>
    </row>
    <row r="363" spans="1:9" x14ac:dyDescent="0.3">
      <c r="A363">
        <v>362</v>
      </c>
      <c r="B363">
        <v>187</v>
      </c>
      <c r="C363">
        <v>4</v>
      </c>
      <c r="D363" s="12">
        <v>42591</v>
      </c>
      <c r="E363" s="12">
        <v>42593</v>
      </c>
      <c r="F363" s="12">
        <v>42593</v>
      </c>
      <c r="G363">
        <v>1</v>
      </c>
      <c r="H363">
        <v>2</v>
      </c>
      <c r="I363" t="str">
        <f t="shared" si="5"/>
        <v>Shipped</v>
      </c>
    </row>
    <row r="364" spans="1:9" x14ac:dyDescent="0.3">
      <c r="A364">
        <v>363</v>
      </c>
      <c r="B364">
        <v>834</v>
      </c>
      <c r="C364">
        <v>4</v>
      </c>
      <c r="D364" s="12">
        <v>42593</v>
      </c>
      <c r="E364" s="12">
        <v>42594</v>
      </c>
      <c r="F364" s="12">
        <v>42595</v>
      </c>
      <c r="G364">
        <v>3</v>
      </c>
      <c r="H364">
        <v>8</v>
      </c>
      <c r="I364" t="str">
        <f t="shared" si="5"/>
        <v>Shipped</v>
      </c>
    </row>
    <row r="365" spans="1:9" x14ac:dyDescent="0.3">
      <c r="A365">
        <v>364</v>
      </c>
      <c r="B365">
        <v>373</v>
      </c>
      <c r="C365">
        <v>4</v>
      </c>
      <c r="D365" s="12">
        <v>42594</v>
      </c>
      <c r="E365" s="12">
        <v>42596</v>
      </c>
      <c r="F365" s="12">
        <v>42595</v>
      </c>
      <c r="G365">
        <v>2</v>
      </c>
      <c r="H365">
        <v>6</v>
      </c>
      <c r="I365" t="str">
        <f t="shared" si="5"/>
        <v>Delivered</v>
      </c>
    </row>
    <row r="366" spans="1:9" x14ac:dyDescent="0.3">
      <c r="A366">
        <v>365</v>
      </c>
      <c r="B366">
        <v>981</v>
      </c>
      <c r="C366">
        <v>4</v>
      </c>
      <c r="D366" s="12">
        <v>42595</v>
      </c>
      <c r="E366" s="12">
        <v>42596</v>
      </c>
      <c r="F366" s="12">
        <v>42597</v>
      </c>
      <c r="G366">
        <v>2</v>
      </c>
      <c r="H366">
        <v>6</v>
      </c>
      <c r="I366" t="str">
        <f t="shared" si="5"/>
        <v>Shipped</v>
      </c>
    </row>
    <row r="367" spans="1:9" x14ac:dyDescent="0.3">
      <c r="A367">
        <v>366</v>
      </c>
      <c r="B367">
        <v>1054</v>
      </c>
      <c r="C367">
        <v>4</v>
      </c>
      <c r="D367" s="12">
        <v>42595</v>
      </c>
      <c r="E367" s="12">
        <v>42596</v>
      </c>
      <c r="F367" s="12">
        <v>42596</v>
      </c>
      <c r="G367">
        <v>3</v>
      </c>
      <c r="H367">
        <v>9</v>
      </c>
      <c r="I367" t="str">
        <f t="shared" si="5"/>
        <v>Shipped</v>
      </c>
    </row>
    <row r="368" spans="1:9" x14ac:dyDescent="0.3">
      <c r="A368">
        <v>367</v>
      </c>
      <c r="B368">
        <v>527</v>
      </c>
      <c r="C368">
        <v>4</v>
      </c>
      <c r="D368" s="12">
        <v>42596</v>
      </c>
      <c r="E368" s="12">
        <v>42597</v>
      </c>
      <c r="F368" s="12">
        <v>42597</v>
      </c>
      <c r="G368">
        <v>2</v>
      </c>
      <c r="H368">
        <v>7</v>
      </c>
      <c r="I368" t="str">
        <f t="shared" si="5"/>
        <v>Shipped</v>
      </c>
    </row>
    <row r="369" spans="1:9" x14ac:dyDescent="0.3">
      <c r="A369">
        <v>368</v>
      </c>
      <c r="B369">
        <v>995</v>
      </c>
      <c r="C369">
        <v>4</v>
      </c>
      <c r="D369" s="12">
        <v>42596</v>
      </c>
      <c r="E369" s="12">
        <v>42597</v>
      </c>
      <c r="F369" s="12">
        <v>42599</v>
      </c>
      <c r="G369">
        <v>2</v>
      </c>
      <c r="H369">
        <v>7</v>
      </c>
      <c r="I369" t="str">
        <f t="shared" si="5"/>
        <v>Shipped</v>
      </c>
    </row>
    <row r="370" spans="1:9" x14ac:dyDescent="0.3">
      <c r="A370">
        <v>369</v>
      </c>
      <c r="B370">
        <v>1285</v>
      </c>
      <c r="C370">
        <v>4</v>
      </c>
      <c r="D370" s="12">
        <v>42597</v>
      </c>
      <c r="E370" s="12">
        <v>42600</v>
      </c>
      <c r="F370" s="12">
        <v>42600</v>
      </c>
      <c r="G370">
        <v>1</v>
      </c>
      <c r="H370">
        <v>3</v>
      </c>
      <c r="I370" t="str">
        <f t="shared" si="5"/>
        <v>Shipped</v>
      </c>
    </row>
    <row r="371" spans="1:9" x14ac:dyDescent="0.3">
      <c r="A371">
        <v>370</v>
      </c>
      <c r="B371">
        <v>758</v>
      </c>
      <c r="C371">
        <v>4</v>
      </c>
      <c r="D371" s="12">
        <v>42597</v>
      </c>
      <c r="E371" s="12">
        <v>42600</v>
      </c>
      <c r="F371" s="12">
        <v>42600</v>
      </c>
      <c r="G371">
        <v>2</v>
      </c>
      <c r="H371">
        <v>7</v>
      </c>
      <c r="I371" t="str">
        <f t="shared" si="5"/>
        <v>Shipped</v>
      </c>
    </row>
    <row r="372" spans="1:9" x14ac:dyDescent="0.3">
      <c r="A372">
        <v>371</v>
      </c>
      <c r="B372">
        <v>891</v>
      </c>
      <c r="C372">
        <v>4</v>
      </c>
      <c r="D372" s="12">
        <v>42597</v>
      </c>
      <c r="E372" s="12">
        <v>42598</v>
      </c>
      <c r="F372" s="12">
        <v>42600</v>
      </c>
      <c r="G372">
        <v>2</v>
      </c>
      <c r="H372">
        <v>7</v>
      </c>
      <c r="I372" t="str">
        <f t="shared" si="5"/>
        <v>Shipped</v>
      </c>
    </row>
    <row r="373" spans="1:9" x14ac:dyDescent="0.3">
      <c r="A373">
        <v>372</v>
      </c>
      <c r="B373">
        <v>132</v>
      </c>
      <c r="C373">
        <v>4</v>
      </c>
      <c r="D373" s="12">
        <v>42598</v>
      </c>
      <c r="E373" s="12">
        <v>42600</v>
      </c>
      <c r="F373" s="12">
        <v>42600</v>
      </c>
      <c r="G373">
        <v>2</v>
      </c>
      <c r="H373">
        <v>6</v>
      </c>
      <c r="I373" t="str">
        <f t="shared" si="5"/>
        <v>Shipped</v>
      </c>
    </row>
    <row r="374" spans="1:9" x14ac:dyDescent="0.3">
      <c r="A374">
        <v>373</v>
      </c>
      <c r="B374">
        <v>337</v>
      </c>
      <c r="C374">
        <v>4</v>
      </c>
      <c r="D374" s="12">
        <v>42598</v>
      </c>
      <c r="E374" s="12">
        <v>42601</v>
      </c>
      <c r="F374" s="12">
        <v>42599</v>
      </c>
      <c r="G374">
        <v>2</v>
      </c>
      <c r="H374">
        <v>7</v>
      </c>
      <c r="I374" t="str">
        <f t="shared" si="5"/>
        <v>Delivered</v>
      </c>
    </row>
    <row r="375" spans="1:9" x14ac:dyDescent="0.3">
      <c r="A375">
        <v>374</v>
      </c>
      <c r="B375">
        <v>1313</v>
      </c>
      <c r="C375">
        <v>4</v>
      </c>
      <c r="D375" s="12">
        <v>42599</v>
      </c>
      <c r="E375" s="12">
        <v>42601</v>
      </c>
      <c r="F375" s="12">
        <v>42600</v>
      </c>
      <c r="G375">
        <v>1</v>
      </c>
      <c r="H375">
        <v>2</v>
      </c>
      <c r="I375" t="str">
        <f t="shared" si="5"/>
        <v>Delivered</v>
      </c>
    </row>
    <row r="376" spans="1:9" x14ac:dyDescent="0.3">
      <c r="A376">
        <v>375</v>
      </c>
      <c r="B376">
        <v>536</v>
      </c>
      <c r="C376">
        <v>4</v>
      </c>
      <c r="D376" s="12">
        <v>42599</v>
      </c>
      <c r="E376" s="12">
        <v>42602</v>
      </c>
      <c r="F376" s="12">
        <v>42602</v>
      </c>
      <c r="G376">
        <v>2</v>
      </c>
      <c r="H376">
        <v>7</v>
      </c>
      <c r="I376" t="str">
        <f t="shared" si="5"/>
        <v>Shipped</v>
      </c>
    </row>
    <row r="377" spans="1:9" x14ac:dyDescent="0.3">
      <c r="A377">
        <v>376</v>
      </c>
      <c r="B377">
        <v>825</v>
      </c>
      <c r="C377">
        <v>4</v>
      </c>
      <c r="D377" s="12">
        <v>42599</v>
      </c>
      <c r="E377" s="12">
        <v>42601</v>
      </c>
      <c r="F377" s="12">
        <v>42600</v>
      </c>
      <c r="G377">
        <v>2</v>
      </c>
      <c r="H377">
        <v>6</v>
      </c>
      <c r="I377" t="str">
        <f t="shared" si="5"/>
        <v>Delivered</v>
      </c>
    </row>
    <row r="378" spans="1:9" x14ac:dyDescent="0.3">
      <c r="A378">
        <v>377</v>
      </c>
      <c r="B378">
        <v>1355</v>
      </c>
      <c r="C378">
        <v>4</v>
      </c>
      <c r="D378" s="12">
        <v>42599</v>
      </c>
      <c r="E378" s="12">
        <v>42601</v>
      </c>
      <c r="F378" s="12">
        <v>42602</v>
      </c>
      <c r="G378">
        <v>2</v>
      </c>
      <c r="H378">
        <v>6</v>
      </c>
      <c r="I378" t="str">
        <f t="shared" si="5"/>
        <v>Shipped</v>
      </c>
    </row>
    <row r="379" spans="1:9" x14ac:dyDescent="0.3">
      <c r="A379">
        <v>378</v>
      </c>
      <c r="B379">
        <v>475</v>
      </c>
      <c r="C379">
        <v>4</v>
      </c>
      <c r="D379" s="12">
        <v>42599</v>
      </c>
      <c r="E379" s="12">
        <v>42602</v>
      </c>
      <c r="F379" s="12">
        <v>42602</v>
      </c>
      <c r="G379">
        <v>3</v>
      </c>
      <c r="H379">
        <v>9</v>
      </c>
      <c r="I379" t="str">
        <f t="shared" si="5"/>
        <v>Shipped</v>
      </c>
    </row>
    <row r="380" spans="1:9" x14ac:dyDescent="0.3">
      <c r="A380">
        <v>379</v>
      </c>
      <c r="B380">
        <v>954</v>
      </c>
      <c r="C380">
        <v>4</v>
      </c>
      <c r="D380" s="12">
        <v>42600</v>
      </c>
      <c r="E380" s="12">
        <v>42603</v>
      </c>
      <c r="F380" s="12">
        <v>42603</v>
      </c>
      <c r="G380">
        <v>2</v>
      </c>
      <c r="H380">
        <v>7</v>
      </c>
      <c r="I380" t="str">
        <f t="shared" si="5"/>
        <v>Shipped</v>
      </c>
    </row>
    <row r="381" spans="1:9" x14ac:dyDescent="0.3">
      <c r="A381">
        <v>380</v>
      </c>
      <c r="B381">
        <v>1156</v>
      </c>
      <c r="C381">
        <v>4</v>
      </c>
      <c r="D381" s="12">
        <v>42601</v>
      </c>
      <c r="E381" s="12">
        <v>42602</v>
      </c>
      <c r="F381" s="12">
        <v>42603</v>
      </c>
      <c r="G381">
        <v>2</v>
      </c>
      <c r="H381">
        <v>7</v>
      </c>
      <c r="I381" t="str">
        <f t="shared" si="5"/>
        <v>Shipped</v>
      </c>
    </row>
    <row r="382" spans="1:9" x14ac:dyDescent="0.3">
      <c r="A382">
        <v>381</v>
      </c>
      <c r="B382">
        <v>1297</v>
      </c>
      <c r="C382">
        <v>4</v>
      </c>
      <c r="D382" s="12">
        <v>42601</v>
      </c>
      <c r="E382" s="12">
        <v>42603</v>
      </c>
      <c r="F382" s="12">
        <v>42603</v>
      </c>
      <c r="G382">
        <v>2</v>
      </c>
      <c r="H382">
        <v>7</v>
      </c>
      <c r="I382" t="str">
        <f t="shared" si="5"/>
        <v>Shipped</v>
      </c>
    </row>
    <row r="383" spans="1:9" x14ac:dyDescent="0.3">
      <c r="A383">
        <v>382</v>
      </c>
      <c r="B383">
        <v>199</v>
      </c>
      <c r="C383">
        <v>4</v>
      </c>
      <c r="D383" s="12">
        <v>42602</v>
      </c>
      <c r="E383" s="12">
        <v>42605</v>
      </c>
      <c r="F383" s="12">
        <v>42605</v>
      </c>
      <c r="G383">
        <v>2</v>
      </c>
      <c r="H383">
        <v>6</v>
      </c>
      <c r="I383" t="str">
        <f t="shared" si="5"/>
        <v>Shipped</v>
      </c>
    </row>
    <row r="384" spans="1:9" x14ac:dyDescent="0.3">
      <c r="A384">
        <v>383</v>
      </c>
      <c r="B384">
        <v>331</v>
      </c>
      <c r="C384">
        <v>4</v>
      </c>
      <c r="D384" s="12">
        <v>42602</v>
      </c>
      <c r="E384" s="12">
        <v>42605</v>
      </c>
      <c r="F384" s="12">
        <v>42604</v>
      </c>
      <c r="G384">
        <v>2</v>
      </c>
      <c r="H384">
        <v>7</v>
      </c>
      <c r="I384" t="str">
        <f t="shared" si="5"/>
        <v>Delivered</v>
      </c>
    </row>
    <row r="385" spans="1:9" x14ac:dyDescent="0.3">
      <c r="A385">
        <v>384</v>
      </c>
      <c r="B385">
        <v>410</v>
      </c>
      <c r="C385">
        <v>4</v>
      </c>
      <c r="D385" s="12">
        <v>42602</v>
      </c>
      <c r="E385" s="12">
        <v>42604</v>
      </c>
      <c r="F385" s="12">
        <v>42605</v>
      </c>
      <c r="G385">
        <v>2</v>
      </c>
      <c r="H385">
        <v>7</v>
      </c>
      <c r="I385" t="str">
        <f t="shared" si="5"/>
        <v>Shipped</v>
      </c>
    </row>
    <row r="386" spans="1:9" x14ac:dyDescent="0.3">
      <c r="A386">
        <v>385</v>
      </c>
      <c r="B386">
        <v>1274</v>
      </c>
      <c r="C386">
        <v>4</v>
      </c>
      <c r="D386" s="12">
        <v>42602</v>
      </c>
      <c r="E386" s="12">
        <v>42605</v>
      </c>
      <c r="F386" s="12">
        <v>42604</v>
      </c>
      <c r="G386">
        <v>2</v>
      </c>
      <c r="H386">
        <v>7</v>
      </c>
      <c r="I386" t="str">
        <f t="shared" si="5"/>
        <v>Delivered</v>
      </c>
    </row>
    <row r="387" spans="1:9" x14ac:dyDescent="0.3">
      <c r="A387">
        <v>386</v>
      </c>
      <c r="B387">
        <v>1362</v>
      </c>
      <c r="C387">
        <v>4</v>
      </c>
      <c r="D387" s="12">
        <v>42602</v>
      </c>
      <c r="E387" s="12">
        <v>42605</v>
      </c>
      <c r="F387" s="12">
        <v>42605</v>
      </c>
      <c r="G387">
        <v>2</v>
      </c>
      <c r="H387">
        <v>6</v>
      </c>
      <c r="I387" t="str">
        <f t="shared" ref="I387:I450" si="6">IF(F387="NA","Pending",IF(OR(E387=F387,E387&lt;F387),"Shipped","Delivered"))</f>
        <v>Shipped</v>
      </c>
    </row>
    <row r="388" spans="1:9" x14ac:dyDescent="0.3">
      <c r="A388">
        <v>387</v>
      </c>
      <c r="B388">
        <v>451</v>
      </c>
      <c r="C388">
        <v>4</v>
      </c>
      <c r="D388" s="12">
        <v>42602</v>
      </c>
      <c r="E388" s="12">
        <v>42603</v>
      </c>
      <c r="F388" s="12">
        <v>42603</v>
      </c>
      <c r="G388">
        <v>3</v>
      </c>
      <c r="H388">
        <v>8</v>
      </c>
      <c r="I388" t="str">
        <f t="shared" si="6"/>
        <v>Shipped</v>
      </c>
    </row>
    <row r="389" spans="1:9" x14ac:dyDescent="0.3">
      <c r="A389">
        <v>388</v>
      </c>
      <c r="B389">
        <v>1080</v>
      </c>
      <c r="C389">
        <v>4</v>
      </c>
      <c r="D389" s="12">
        <v>42603</v>
      </c>
      <c r="E389" s="12">
        <v>42606</v>
      </c>
      <c r="F389" s="12">
        <v>42605</v>
      </c>
      <c r="G389">
        <v>3</v>
      </c>
      <c r="H389">
        <v>8</v>
      </c>
      <c r="I389" t="str">
        <f t="shared" si="6"/>
        <v>Delivered</v>
      </c>
    </row>
    <row r="390" spans="1:9" x14ac:dyDescent="0.3">
      <c r="A390">
        <v>389</v>
      </c>
      <c r="B390">
        <v>53</v>
      </c>
      <c r="C390">
        <v>4</v>
      </c>
      <c r="D390" s="12">
        <v>42604</v>
      </c>
      <c r="E390" s="12">
        <v>42606</v>
      </c>
      <c r="F390" s="12">
        <v>42607</v>
      </c>
      <c r="G390">
        <v>1</v>
      </c>
      <c r="H390">
        <v>3</v>
      </c>
      <c r="I390" t="str">
        <f t="shared" si="6"/>
        <v>Shipped</v>
      </c>
    </row>
    <row r="391" spans="1:9" x14ac:dyDescent="0.3">
      <c r="A391">
        <v>390</v>
      </c>
      <c r="B391">
        <v>576</v>
      </c>
      <c r="C391">
        <v>4</v>
      </c>
      <c r="D391" s="12">
        <v>42604</v>
      </c>
      <c r="E391" s="12">
        <v>42606</v>
      </c>
      <c r="F391" s="12">
        <v>42607</v>
      </c>
      <c r="G391">
        <v>3</v>
      </c>
      <c r="H391">
        <v>9</v>
      </c>
      <c r="I391" t="str">
        <f t="shared" si="6"/>
        <v>Shipped</v>
      </c>
    </row>
    <row r="392" spans="1:9" x14ac:dyDescent="0.3">
      <c r="A392">
        <v>391</v>
      </c>
      <c r="B392">
        <v>61</v>
      </c>
      <c r="C392">
        <v>3</v>
      </c>
      <c r="D392" s="12">
        <v>42605</v>
      </c>
      <c r="E392" s="12">
        <v>42605</v>
      </c>
      <c r="F392" s="12" t="s">
        <v>5611</v>
      </c>
      <c r="G392">
        <v>3</v>
      </c>
      <c r="H392">
        <v>9</v>
      </c>
      <c r="I392" t="str">
        <f t="shared" si="6"/>
        <v>Pending</v>
      </c>
    </row>
    <row r="393" spans="1:9" x14ac:dyDescent="0.3">
      <c r="A393">
        <v>392</v>
      </c>
      <c r="B393">
        <v>176</v>
      </c>
      <c r="C393">
        <v>4</v>
      </c>
      <c r="D393" s="12">
        <v>42605</v>
      </c>
      <c r="E393" s="12">
        <v>42608</v>
      </c>
      <c r="F393" s="12">
        <v>42606</v>
      </c>
      <c r="G393">
        <v>1</v>
      </c>
      <c r="H393">
        <v>3</v>
      </c>
      <c r="I393" t="str">
        <f t="shared" si="6"/>
        <v>Delivered</v>
      </c>
    </row>
    <row r="394" spans="1:9" x14ac:dyDescent="0.3">
      <c r="A394">
        <v>393</v>
      </c>
      <c r="B394">
        <v>368</v>
      </c>
      <c r="C394">
        <v>4</v>
      </c>
      <c r="D394" s="12">
        <v>42607</v>
      </c>
      <c r="E394" s="12">
        <v>42608</v>
      </c>
      <c r="F394" s="12">
        <v>42609</v>
      </c>
      <c r="G394">
        <v>2</v>
      </c>
      <c r="H394">
        <v>6</v>
      </c>
      <c r="I394" t="str">
        <f t="shared" si="6"/>
        <v>Shipped</v>
      </c>
    </row>
    <row r="395" spans="1:9" x14ac:dyDescent="0.3">
      <c r="A395">
        <v>394</v>
      </c>
      <c r="B395">
        <v>522</v>
      </c>
      <c r="C395">
        <v>4</v>
      </c>
      <c r="D395" s="12">
        <v>42608</v>
      </c>
      <c r="E395" s="12">
        <v>42610</v>
      </c>
      <c r="F395" s="12">
        <v>42611</v>
      </c>
      <c r="G395">
        <v>1</v>
      </c>
      <c r="H395">
        <v>3</v>
      </c>
      <c r="I395" t="str">
        <f t="shared" si="6"/>
        <v>Shipped</v>
      </c>
    </row>
    <row r="396" spans="1:9" x14ac:dyDescent="0.3">
      <c r="A396">
        <v>395</v>
      </c>
      <c r="B396">
        <v>144</v>
      </c>
      <c r="C396">
        <v>4</v>
      </c>
      <c r="D396" s="12">
        <v>42608</v>
      </c>
      <c r="E396" s="12">
        <v>42609</v>
      </c>
      <c r="F396" s="12">
        <v>42611</v>
      </c>
      <c r="G396">
        <v>2</v>
      </c>
      <c r="H396">
        <v>6</v>
      </c>
      <c r="I396" t="str">
        <f t="shared" si="6"/>
        <v>Shipped</v>
      </c>
    </row>
    <row r="397" spans="1:9" x14ac:dyDescent="0.3">
      <c r="A397">
        <v>396</v>
      </c>
      <c r="B397">
        <v>542</v>
      </c>
      <c r="C397">
        <v>4</v>
      </c>
      <c r="D397" s="12">
        <v>42609</v>
      </c>
      <c r="E397" s="12">
        <v>42612</v>
      </c>
      <c r="F397" s="12">
        <v>42611</v>
      </c>
      <c r="G397">
        <v>2</v>
      </c>
      <c r="H397">
        <v>6</v>
      </c>
      <c r="I397" t="str">
        <f t="shared" si="6"/>
        <v>Delivered</v>
      </c>
    </row>
    <row r="398" spans="1:9" x14ac:dyDescent="0.3">
      <c r="A398">
        <v>397</v>
      </c>
      <c r="B398">
        <v>1437</v>
      </c>
      <c r="C398">
        <v>4</v>
      </c>
      <c r="D398" s="12">
        <v>42610</v>
      </c>
      <c r="E398" s="12">
        <v>42613</v>
      </c>
      <c r="F398" s="12">
        <v>42611</v>
      </c>
      <c r="G398">
        <v>2</v>
      </c>
      <c r="H398">
        <v>7</v>
      </c>
      <c r="I398" t="str">
        <f t="shared" si="6"/>
        <v>Delivered</v>
      </c>
    </row>
    <row r="399" spans="1:9" x14ac:dyDescent="0.3">
      <c r="A399">
        <v>398</v>
      </c>
      <c r="B399">
        <v>447</v>
      </c>
      <c r="C399">
        <v>4</v>
      </c>
      <c r="D399" s="12">
        <v>42611</v>
      </c>
      <c r="E399" s="12">
        <v>42612</v>
      </c>
      <c r="F399" s="12">
        <v>42614</v>
      </c>
      <c r="G399">
        <v>1</v>
      </c>
      <c r="H399">
        <v>2</v>
      </c>
      <c r="I399" t="str">
        <f t="shared" si="6"/>
        <v>Shipped</v>
      </c>
    </row>
    <row r="400" spans="1:9" x14ac:dyDescent="0.3">
      <c r="A400">
        <v>399</v>
      </c>
      <c r="B400">
        <v>1001</v>
      </c>
      <c r="C400">
        <v>4</v>
      </c>
      <c r="D400" s="12">
        <v>42611</v>
      </c>
      <c r="E400" s="12">
        <v>42614</v>
      </c>
      <c r="F400" s="12">
        <v>42614</v>
      </c>
      <c r="G400">
        <v>2</v>
      </c>
      <c r="H400">
        <v>7</v>
      </c>
      <c r="I400" t="str">
        <f t="shared" si="6"/>
        <v>Shipped</v>
      </c>
    </row>
    <row r="401" spans="1:9" x14ac:dyDescent="0.3">
      <c r="A401">
        <v>400</v>
      </c>
      <c r="B401">
        <v>1295</v>
      </c>
      <c r="C401">
        <v>4</v>
      </c>
      <c r="D401" s="12">
        <v>42611</v>
      </c>
      <c r="E401" s="12">
        <v>42612</v>
      </c>
      <c r="F401" s="12">
        <v>42613</v>
      </c>
      <c r="G401">
        <v>2</v>
      </c>
      <c r="H401">
        <v>6</v>
      </c>
      <c r="I401" t="str">
        <f t="shared" si="6"/>
        <v>Shipped</v>
      </c>
    </row>
    <row r="402" spans="1:9" x14ac:dyDescent="0.3">
      <c r="A402">
        <v>401</v>
      </c>
      <c r="B402">
        <v>103</v>
      </c>
      <c r="C402">
        <v>4</v>
      </c>
      <c r="D402" s="12">
        <v>42612</v>
      </c>
      <c r="E402" s="12">
        <v>42615</v>
      </c>
      <c r="F402" s="12">
        <v>42614</v>
      </c>
      <c r="G402">
        <v>2</v>
      </c>
      <c r="H402">
        <v>6</v>
      </c>
      <c r="I402" t="str">
        <f t="shared" si="6"/>
        <v>Delivered</v>
      </c>
    </row>
    <row r="403" spans="1:9" x14ac:dyDescent="0.3">
      <c r="A403">
        <v>402</v>
      </c>
      <c r="B403">
        <v>1335</v>
      </c>
      <c r="C403">
        <v>4</v>
      </c>
      <c r="D403" s="12">
        <v>42612</v>
      </c>
      <c r="E403" s="12">
        <v>42614</v>
      </c>
      <c r="F403" s="12">
        <v>42613</v>
      </c>
      <c r="G403">
        <v>2</v>
      </c>
      <c r="H403">
        <v>6</v>
      </c>
      <c r="I403" t="str">
        <f t="shared" si="6"/>
        <v>Delivered</v>
      </c>
    </row>
    <row r="404" spans="1:9" x14ac:dyDescent="0.3">
      <c r="A404">
        <v>403</v>
      </c>
      <c r="B404">
        <v>578</v>
      </c>
      <c r="C404">
        <v>4</v>
      </c>
      <c r="D404" s="12">
        <v>42613</v>
      </c>
      <c r="E404" s="12">
        <v>42614</v>
      </c>
      <c r="F404" s="12">
        <v>42615</v>
      </c>
      <c r="G404">
        <v>1</v>
      </c>
      <c r="H404">
        <v>3</v>
      </c>
      <c r="I404" t="str">
        <f t="shared" si="6"/>
        <v>Shipped</v>
      </c>
    </row>
    <row r="405" spans="1:9" x14ac:dyDescent="0.3">
      <c r="A405">
        <v>404</v>
      </c>
      <c r="B405">
        <v>396</v>
      </c>
      <c r="C405">
        <v>4</v>
      </c>
      <c r="D405" s="12">
        <v>42613</v>
      </c>
      <c r="E405" s="12">
        <v>42616</v>
      </c>
      <c r="F405" s="12">
        <v>42614</v>
      </c>
      <c r="G405">
        <v>2</v>
      </c>
      <c r="H405">
        <v>7</v>
      </c>
      <c r="I405" t="str">
        <f t="shared" si="6"/>
        <v>Delivered</v>
      </c>
    </row>
    <row r="406" spans="1:9" x14ac:dyDescent="0.3">
      <c r="A406">
        <v>405</v>
      </c>
      <c r="B406">
        <v>603</v>
      </c>
      <c r="C406">
        <v>4</v>
      </c>
      <c r="D406" s="12">
        <v>42613</v>
      </c>
      <c r="E406" s="12">
        <v>42614</v>
      </c>
      <c r="F406" s="12">
        <v>42614</v>
      </c>
      <c r="G406">
        <v>2</v>
      </c>
      <c r="H406">
        <v>6</v>
      </c>
      <c r="I406" t="str">
        <f t="shared" si="6"/>
        <v>Shipped</v>
      </c>
    </row>
    <row r="407" spans="1:9" x14ac:dyDescent="0.3">
      <c r="A407">
        <v>406</v>
      </c>
      <c r="B407">
        <v>1380</v>
      </c>
      <c r="C407">
        <v>4</v>
      </c>
      <c r="D407" s="12">
        <v>42613</v>
      </c>
      <c r="E407" s="12">
        <v>42615</v>
      </c>
      <c r="F407" s="12">
        <v>42614</v>
      </c>
      <c r="G407">
        <v>2</v>
      </c>
      <c r="H407">
        <v>7</v>
      </c>
      <c r="I407" t="str">
        <f t="shared" si="6"/>
        <v>Delivered</v>
      </c>
    </row>
    <row r="408" spans="1:9" x14ac:dyDescent="0.3">
      <c r="A408">
        <v>407</v>
      </c>
      <c r="B408">
        <v>77</v>
      </c>
      <c r="C408">
        <v>3</v>
      </c>
      <c r="D408" s="12">
        <v>42614</v>
      </c>
      <c r="E408" s="12">
        <v>42614</v>
      </c>
      <c r="F408" s="12" t="s">
        <v>5611</v>
      </c>
      <c r="G408">
        <v>3</v>
      </c>
      <c r="H408">
        <v>8</v>
      </c>
      <c r="I408" t="str">
        <f t="shared" si="6"/>
        <v>Pending</v>
      </c>
    </row>
    <row r="409" spans="1:9" x14ac:dyDescent="0.3">
      <c r="A409">
        <v>408</v>
      </c>
      <c r="B409">
        <v>1071</v>
      </c>
      <c r="C409">
        <v>4</v>
      </c>
      <c r="D409" s="12">
        <v>42614</v>
      </c>
      <c r="E409" s="12">
        <v>42615</v>
      </c>
      <c r="F409" s="12">
        <v>42615</v>
      </c>
      <c r="G409">
        <v>1</v>
      </c>
      <c r="H409">
        <v>2</v>
      </c>
      <c r="I409" t="str">
        <f t="shared" si="6"/>
        <v>Shipped</v>
      </c>
    </row>
    <row r="410" spans="1:9" x14ac:dyDescent="0.3">
      <c r="A410">
        <v>409</v>
      </c>
      <c r="B410">
        <v>416</v>
      </c>
      <c r="C410">
        <v>4</v>
      </c>
      <c r="D410" s="12">
        <v>42614</v>
      </c>
      <c r="E410" s="12">
        <v>42617</v>
      </c>
      <c r="F410" s="12">
        <v>42617</v>
      </c>
      <c r="G410">
        <v>2</v>
      </c>
      <c r="H410">
        <v>7</v>
      </c>
      <c r="I410" t="str">
        <f t="shared" si="6"/>
        <v>Shipped</v>
      </c>
    </row>
    <row r="411" spans="1:9" x14ac:dyDescent="0.3">
      <c r="A411">
        <v>410</v>
      </c>
      <c r="B411">
        <v>1151</v>
      </c>
      <c r="C411">
        <v>4</v>
      </c>
      <c r="D411" s="12">
        <v>42614</v>
      </c>
      <c r="E411" s="12">
        <v>42616</v>
      </c>
      <c r="F411" s="12">
        <v>42615</v>
      </c>
      <c r="G411">
        <v>2</v>
      </c>
      <c r="H411">
        <v>6</v>
      </c>
      <c r="I411" t="str">
        <f t="shared" si="6"/>
        <v>Delivered</v>
      </c>
    </row>
    <row r="412" spans="1:9" x14ac:dyDescent="0.3">
      <c r="A412">
        <v>411</v>
      </c>
      <c r="B412">
        <v>261</v>
      </c>
      <c r="C412">
        <v>4</v>
      </c>
      <c r="D412" s="12">
        <v>42615</v>
      </c>
      <c r="E412" s="12">
        <v>42617</v>
      </c>
      <c r="F412" s="12">
        <v>42617</v>
      </c>
      <c r="G412">
        <v>1</v>
      </c>
      <c r="H412">
        <v>3</v>
      </c>
      <c r="I412" t="str">
        <f t="shared" si="6"/>
        <v>Shipped</v>
      </c>
    </row>
    <row r="413" spans="1:9" x14ac:dyDescent="0.3">
      <c r="A413">
        <v>412</v>
      </c>
      <c r="B413">
        <v>1202</v>
      </c>
      <c r="C413">
        <v>4</v>
      </c>
      <c r="D413" s="12">
        <v>42615</v>
      </c>
      <c r="E413" s="12">
        <v>42617</v>
      </c>
      <c r="F413" s="12">
        <v>42617</v>
      </c>
      <c r="G413">
        <v>1</v>
      </c>
      <c r="H413">
        <v>3</v>
      </c>
      <c r="I413" t="str">
        <f t="shared" si="6"/>
        <v>Shipped</v>
      </c>
    </row>
    <row r="414" spans="1:9" x14ac:dyDescent="0.3">
      <c r="A414">
        <v>413</v>
      </c>
      <c r="B414">
        <v>717</v>
      </c>
      <c r="C414">
        <v>4</v>
      </c>
      <c r="D414" s="12">
        <v>42615</v>
      </c>
      <c r="E414" s="12">
        <v>42618</v>
      </c>
      <c r="F414" s="12">
        <v>42616</v>
      </c>
      <c r="G414">
        <v>2</v>
      </c>
      <c r="H414">
        <v>6</v>
      </c>
      <c r="I414" t="str">
        <f t="shared" si="6"/>
        <v>Delivered</v>
      </c>
    </row>
    <row r="415" spans="1:9" x14ac:dyDescent="0.3">
      <c r="A415">
        <v>414</v>
      </c>
      <c r="B415">
        <v>917</v>
      </c>
      <c r="C415">
        <v>4</v>
      </c>
      <c r="D415" s="12">
        <v>42616</v>
      </c>
      <c r="E415" s="12">
        <v>42619</v>
      </c>
      <c r="F415" s="12">
        <v>42619</v>
      </c>
      <c r="G415">
        <v>2</v>
      </c>
      <c r="H415">
        <v>7</v>
      </c>
      <c r="I415" t="str">
        <f t="shared" si="6"/>
        <v>Shipped</v>
      </c>
    </row>
    <row r="416" spans="1:9" x14ac:dyDescent="0.3">
      <c r="A416">
        <v>415</v>
      </c>
      <c r="B416">
        <v>1265</v>
      </c>
      <c r="C416">
        <v>4</v>
      </c>
      <c r="D416" s="12">
        <v>42616</v>
      </c>
      <c r="E416" s="12">
        <v>42619</v>
      </c>
      <c r="F416" s="12">
        <v>42619</v>
      </c>
      <c r="G416">
        <v>2</v>
      </c>
      <c r="H416">
        <v>7</v>
      </c>
      <c r="I416" t="str">
        <f t="shared" si="6"/>
        <v>Shipped</v>
      </c>
    </row>
    <row r="417" spans="1:9" x14ac:dyDescent="0.3">
      <c r="A417">
        <v>416</v>
      </c>
      <c r="B417">
        <v>1377</v>
      </c>
      <c r="C417">
        <v>4</v>
      </c>
      <c r="D417" s="12">
        <v>42616</v>
      </c>
      <c r="E417" s="12">
        <v>42617</v>
      </c>
      <c r="F417" s="12">
        <v>42619</v>
      </c>
      <c r="G417">
        <v>2</v>
      </c>
      <c r="H417">
        <v>7</v>
      </c>
      <c r="I417" t="str">
        <f t="shared" si="6"/>
        <v>Shipped</v>
      </c>
    </row>
    <row r="418" spans="1:9" x14ac:dyDescent="0.3">
      <c r="A418">
        <v>417</v>
      </c>
      <c r="B418">
        <v>359</v>
      </c>
      <c r="C418">
        <v>4</v>
      </c>
      <c r="D418" s="12">
        <v>42617</v>
      </c>
      <c r="E418" s="12">
        <v>42618</v>
      </c>
      <c r="F418" s="12">
        <v>42619</v>
      </c>
      <c r="G418">
        <v>1</v>
      </c>
      <c r="H418">
        <v>3</v>
      </c>
      <c r="I418" t="str">
        <f t="shared" si="6"/>
        <v>Shipped</v>
      </c>
    </row>
    <row r="419" spans="1:9" x14ac:dyDescent="0.3">
      <c r="A419">
        <v>418</v>
      </c>
      <c r="B419">
        <v>88</v>
      </c>
      <c r="C419">
        <v>4</v>
      </c>
      <c r="D419" s="12">
        <v>42617</v>
      </c>
      <c r="E419" s="12">
        <v>42618</v>
      </c>
      <c r="F419" s="12">
        <v>42618</v>
      </c>
      <c r="G419">
        <v>2</v>
      </c>
      <c r="H419">
        <v>6</v>
      </c>
      <c r="I419" t="str">
        <f t="shared" si="6"/>
        <v>Shipped</v>
      </c>
    </row>
    <row r="420" spans="1:9" x14ac:dyDescent="0.3">
      <c r="A420">
        <v>419</v>
      </c>
      <c r="B420">
        <v>14</v>
      </c>
      <c r="C420">
        <v>4</v>
      </c>
      <c r="D420" s="12">
        <v>42617</v>
      </c>
      <c r="E420" s="12">
        <v>42620</v>
      </c>
      <c r="F420" s="12">
        <v>42619</v>
      </c>
      <c r="G420">
        <v>3</v>
      </c>
      <c r="H420">
        <v>8</v>
      </c>
      <c r="I420" t="str">
        <f t="shared" si="6"/>
        <v>Delivered</v>
      </c>
    </row>
    <row r="421" spans="1:9" x14ac:dyDescent="0.3">
      <c r="A421">
        <v>420</v>
      </c>
      <c r="B421">
        <v>72</v>
      </c>
      <c r="C421">
        <v>4</v>
      </c>
      <c r="D421" s="12">
        <v>42618</v>
      </c>
      <c r="E421" s="12">
        <v>42619</v>
      </c>
      <c r="F421" s="12">
        <v>42620</v>
      </c>
      <c r="G421">
        <v>1</v>
      </c>
      <c r="H421">
        <v>3</v>
      </c>
      <c r="I421" t="str">
        <f t="shared" si="6"/>
        <v>Shipped</v>
      </c>
    </row>
    <row r="422" spans="1:9" x14ac:dyDescent="0.3">
      <c r="A422">
        <v>421</v>
      </c>
      <c r="B422">
        <v>240</v>
      </c>
      <c r="C422">
        <v>4</v>
      </c>
      <c r="D422" s="12">
        <v>42618</v>
      </c>
      <c r="E422" s="12">
        <v>42619</v>
      </c>
      <c r="F422" s="12">
        <v>42621</v>
      </c>
      <c r="G422">
        <v>1</v>
      </c>
      <c r="H422">
        <v>3</v>
      </c>
      <c r="I422" t="str">
        <f t="shared" si="6"/>
        <v>Shipped</v>
      </c>
    </row>
    <row r="423" spans="1:9" x14ac:dyDescent="0.3">
      <c r="A423">
        <v>422</v>
      </c>
      <c r="B423">
        <v>398</v>
      </c>
      <c r="C423">
        <v>4</v>
      </c>
      <c r="D423" s="12">
        <v>42619</v>
      </c>
      <c r="E423" s="12">
        <v>42620</v>
      </c>
      <c r="F423" s="12">
        <v>42622</v>
      </c>
      <c r="G423">
        <v>2</v>
      </c>
      <c r="H423">
        <v>6</v>
      </c>
      <c r="I423" t="str">
        <f t="shared" si="6"/>
        <v>Shipped</v>
      </c>
    </row>
    <row r="424" spans="1:9" x14ac:dyDescent="0.3">
      <c r="A424">
        <v>423</v>
      </c>
      <c r="B424">
        <v>1397</v>
      </c>
      <c r="C424">
        <v>4</v>
      </c>
      <c r="D424" s="12">
        <v>42619</v>
      </c>
      <c r="E424" s="12">
        <v>42622</v>
      </c>
      <c r="F424" s="12">
        <v>42622</v>
      </c>
      <c r="G424">
        <v>2</v>
      </c>
      <c r="H424">
        <v>7</v>
      </c>
      <c r="I424" t="str">
        <f t="shared" si="6"/>
        <v>Shipped</v>
      </c>
    </row>
    <row r="425" spans="1:9" x14ac:dyDescent="0.3">
      <c r="A425">
        <v>424</v>
      </c>
      <c r="B425">
        <v>67</v>
      </c>
      <c r="C425">
        <v>4</v>
      </c>
      <c r="D425" s="12">
        <v>42621</v>
      </c>
      <c r="E425" s="12">
        <v>42624</v>
      </c>
      <c r="F425" s="12">
        <v>42624</v>
      </c>
      <c r="G425">
        <v>1</v>
      </c>
      <c r="H425">
        <v>3</v>
      </c>
      <c r="I425" t="str">
        <f t="shared" si="6"/>
        <v>Shipped</v>
      </c>
    </row>
    <row r="426" spans="1:9" x14ac:dyDescent="0.3">
      <c r="A426">
        <v>425</v>
      </c>
      <c r="B426">
        <v>843</v>
      </c>
      <c r="C426">
        <v>4</v>
      </c>
      <c r="D426" s="12">
        <v>42621</v>
      </c>
      <c r="E426" s="12">
        <v>42624</v>
      </c>
      <c r="F426" s="12">
        <v>42624</v>
      </c>
      <c r="G426">
        <v>2</v>
      </c>
      <c r="H426">
        <v>6</v>
      </c>
      <c r="I426" t="str">
        <f t="shared" si="6"/>
        <v>Shipped</v>
      </c>
    </row>
    <row r="427" spans="1:9" x14ac:dyDescent="0.3">
      <c r="A427">
        <v>426</v>
      </c>
      <c r="B427">
        <v>944</v>
      </c>
      <c r="C427">
        <v>4</v>
      </c>
      <c r="D427" s="12">
        <v>42621</v>
      </c>
      <c r="E427" s="12">
        <v>42623</v>
      </c>
      <c r="F427" s="12">
        <v>42623</v>
      </c>
      <c r="G427">
        <v>2</v>
      </c>
      <c r="H427">
        <v>6</v>
      </c>
      <c r="I427" t="str">
        <f t="shared" si="6"/>
        <v>Shipped</v>
      </c>
    </row>
    <row r="428" spans="1:9" x14ac:dyDescent="0.3">
      <c r="A428">
        <v>427</v>
      </c>
      <c r="B428">
        <v>434</v>
      </c>
      <c r="C428">
        <v>4</v>
      </c>
      <c r="D428" s="12">
        <v>42622</v>
      </c>
      <c r="E428" s="12">
        <v>42623</v>
      </c>
      <c r="F428" s="12">
        <v>42624</v>
      </c>
      <c r="G428">
        <v>1</v>
      </c>
      <c r="H428">
        <v>2</v>
      </c>
      <c r="I428" t="str">
        <f t="shared" si="6"/>
        <v>Shipped</v>
      </c>
    </row>
    <row r="429" spans="1:9" x14ac:dyDescent="0.3">
      <c r="A429">
        <v>428</v>
      </c>
      <c r="B429">
        <v>1039</v>
      </c>
      <c r="C429">
        <v>4</v>
      </c>
      <c r="D429" s="12">
        <v>42622</v>
      </c>
      <c r="E429" s="12">
        <v>42625</v>
      </c>
      <c r="F429" s="12">
        <v>42623</v>
      </c>
      <c r="G429">
        <v>2</v>
      </c>
      <c r="H429">
        <v>6</v>
      </c>
      <c r="I429" t="str">
        <f t="shared" si="6"/>
        <v>Delivered</v>
      </c>
    </row>
    <row r="430" spans="1:9" x14ac:dyDescent="0.3">
      <c r="A430">
        <v>429</v>
      </c>
      <c r="B430">
        <v>153</v>
      </c>
      <c r="C430">
        <v>4</v>
      </c>
      <c r="D430" s="12">
        <v>42623</v>
      </c>
      <c r="E430" s="12">
        <v>42625</v>
      </c>
      <c r="F430" s="12">
        <v>42625</v>
      </c>
      <c r="G430">
        <v>3</v>
      </c>
      <c r="H430">
        <v>8</v>
      </c>
      <c r="I430" t="str">
        <f t="shared" si="6"/>
        <v>Shipped</v>
      </c>
    </row>
    <row r="431" spans="1:9" x14ac:dyDescent="0.3">
      <c r="A431">
        <v>430</v>
      </c>
      <c r="B431">
        <v>272</v>
      </c>
      <c r="C431">
        <v>4</v>
      </c>
      <c r="D431" s="12">
        <v>42624</v>
      </c>
      <c r="E431" s="12">
        <v>42626</v>
      </c>
      <c r="F431" s="12">
        <v>42625</v>
      </c>
      <c r="G431">
        <v>2</v>
      </c>
      <c r="H431">
        <v>6</v>
      </c>
      <c r="I431" t="str">
        <f t="shared" si="6"/>
        <v>Delivered</v>
      </c>
    </row>
    <row r="432" spans="1:9" x14ac:dyDescent="0.3">
      <c r="A432">
        <v>431</v>
      </c>
      <c r="B432">
        <v>1217</v>
      </c>
      <c r="C432">
        <v>4</v>
      </c>
      <c r="D432" s="12">
        <v>42624</v>
      </c>
      <c r="E432" s="12">
        <v>42625</v>
      </c>
      <c r="F432" s="12">
        <v>42625</v>
      </c>
      <c r="G432">
        <v>2</v>
      </c>
      <c r="H432">
        <v>6</v>
      </c>
      <c r="I432" t="str">
        <f t="shared" si="6"/>
        <v>Shipped</v>
      </c>
    </row>
    <row r="433" spans="1:9" x14ac:dyDescent="0.3">
      <c r="A433">
        <v>432</v>
      </c>
      <c r="B433">
        <v>169</v>
      </c>
      <c r="C433">
        <v>4</v>
      </c>
      <c r="D433" s="12">
        <v>42625</v>
      </c>
      <c r="E433" s="12">
        <v>42628</v>
      </c>
      <c r="F433" s="12">
        <v>42627</v>
      </c>
      <c r="G433">
        <v>1</v>
      </c>
      <c r="H433">
        <v>2</v>
      </c>
      <c r="I433" t="str">
        <f t="shared" si="6"/>
        <v>Delivered</v>
      </c>
    </row>
    <row r="434" spans="1:9" x14ac:dyDescent="0.3">
      <c r="A434">
        <v>433</v>
      </c>
      <c r="B434">
        <v>1062</v>
      </c>
      <c r="C434">
        <v>4</v>
      </c>
      <c r="D434" s="12">
        <v>42625</v>
      </c>
      <c r="E434" s="12">
        <v>42628</v>
      </c>
      <c r="F434" s="12">
        <v>42626</v>
      </c>
      <c r="G434">
        <v>2</v>
      </c>
      <c r="H434">
        <v>6</v>
      </c>
      <c r="I434" t="str">
        <f t="shared" si="6"/>
        <v>Delivered</v>
      </c>
    </row>
    <row r="435" spans="1:9" x14ac:dyDescent="0.3">
      <c r="A435">
        <v>434</v>
      </c>
      <c r="B435">
        <v>726</v>
      </c>
      <c r="C435">
        <v>4</v>
      </c>
      <c r="D435" s="12">
        <v>42626</v>
      </c>
      <c r="E435" s="12">
        <v>42628</v>
      </c>
      <c r="F435" s="12">
        <v>42627</v>
      </c>
      <c r="G435">
        <v>2</v>
      </c>
      <c r="H435">
        <v>6</v>
      </c>
      <c r="I435" t="str">
        <f t="shared" si="6"/>
        <v>Delivered</v>
      </c>
    </row>
    <row r="436" spans="1:9" x14ac:dyDescent="0.3">
      <c r="A436">
        <v>435</v>
      </c>
      <c r="B436">
        <v>77</v>
      </c>
      <c r="C436">
        <v>4</v>
      </c>
      <c r="D436" s="12">
        <v>42627</v>
      </c>
      <c r="E436" s="12">
        <v>42628</v>
      </c>
      <c r="F436" s="12">
        <v>42629</v>
      </c>
      <c r="G436">
        <v>3</v>
      </c>
      <c r="H436">
        <v>9</v>
      </c>
      <c r="I436" t="str">
        <f t="shared" si="6"/>
        <v>Shipped</v>
      </c>
    </row>
    <row r="437" spans="1:9" x14ac:dyDescent="0.3">
      <c r="A437">
        <v>436</v>
      </c>
      <c r="B437">
        <v>791</v>
      </c>
      <c r="C437">
        <v>4</v>
      </c>
      <c r="D437" s="12">
        <v>42629</v>
      </c>
      <c r="E437" s="12">
        <v>42632</v>
      </c>
      <c r="F437" s="12">
        <v>42632</v>
      </c>
      <c r="G437">
        <v>2</v>
      </c>
      <c r="H437">
        <v>7</v>
      </c>
      <c r="I437" t="str">
        <f t="shared" si="6"/>
        <v>Shipped</v>
      </c>
    </row>
    <row r="438" spans="1:9" x14ac:dyDescent="0.3">
      <c r="A438">
        <v>437</v>
      </c>
      <c r="B438">
        <v>1085</v>
      </c>
      <c r="C438">
        <v>4</v>
      </c>
      <c r="D438" s="12">
        <v>42629</v>
      </c>
      <c r="E438" s="12">
        <v>42631</v>
      </c>
      <c r="F438" s="12">
        <v>42631</v>
      </c>
      <c r="G438">
        <v>2</v>
      </c>
      <c r="H438">
        <v>7</v>
      </c>
      <c r="I438" t="str">
        <f t="shared" si="6"/>
        <v>Shipped</v>
      </c>
    </row>
    <row r="439" spans="1:9" x14ac:dyDescent="0.3">
      <c r="A439">
        <v>438</v>
      </c>
      <c r="B439">
        <v>314</v>
      </c>
      <c r="C439">
        <v>4</v>
      </c>
      <c r="D439" s="12">
        <v>42629</v>
      </c>
      <c r="E439" s="12">
        <v>42632</v>
      </c>
      <c r="F439" s="12">
        <v>42631</v>
      </c>
      <c r="G439">
        <v>3</v>
      </c>
      <c r="H439">
        <v>8</v>
      </c>
      <c r="I439" t="str">
        <f t="shared" si="6"/>
        <v>Delivered</v>
      </c>
    </row>
    <row r="440" spans="1:9" x14ac:dyDescent="0.3">
      <c r="A440">
        <v>439</v>
      </c>
      <c r="B440">
        <v>149</v>
      </c>
      <c r="C440">
        <v>4</v>
      </c>
      <c r="D440" s="12">
        <v>42630</v>
      </c>
      <c r="E440" s="12">
        <v>42633</v>
      </c>
      <c r="F440" s="12">
        <v>42631</v>
      </c>
      <c r="G440">
        <v>2</v>
      </c>
      <c r="H440">
        <v>6</v>
      </c>
      <c r="I440" t="str">
        <f t="shared" si="6"/>
        <v>Delivered</v>
      </c>
    </row>
    <row r="441" spans="1:9" x14ac:dyDescent="0.3">
      <c r="A441">
        <v>440</v>
      </c>
      <c r="B441">
        <v>882</v>
      </c>
      <c r="C441">
        <v>4</v>
      </c>
      <c r="D441" s="12">
        <v>42630</v>
      </c>
      <c r="E441" s="12">
        <v>42631</v>
      </c>
      <c r="F441" s="12">
        <v>42632</v>
      </c>
      <c r="G441">
        <v>2</v>
      </c>
      <c r="H441">
        <v>7</v>
      </c>
      <c r="I441" t="str">
        <f t="shared" si="6"/>
        <v>Shipped</v>
      </c>
    </row>
    <row r="442" spans="1:9" x14ac:dyDescent="0.3">
      <c r="A442">
        <v>441</v>
      </c>
      <c r="B442">
        <v>704</v>
      </c>
      <c r="C442">
        <v>4</v>
      </c>
      <c r="D442" s="12">
        <v>42631</v>
      </c>
      <c r="E442" s="12">
        <v>42632</v>
      </c>
      <c r="F442" s="12">
        <v>42632</v>
      </c>
      <c r="G442">
        <v>1</v>
      </c>
      <c r="H442">
        <v>2</v>
      </c>
      <c r="I442" t="str">
        <f t="shared" si="6"/>
        <v>Shipped</v>
      </c>
    </row>
    <row r="443" spans="1:9" x14ac:dyDescent="0.3">
      <c r="A443">
        <v>442</v>
      </c>
      <c r="B443">
        <v>667</v>
      </c>
      <c r="C443">
        <v>4</v>
      </c>
      <c r="D443" s="12">
        <v>42631</v>
      </c>
      <c r="E443" s="12">
        <v>42634</v>
      </c>
      <c r="F443" s="12">
        <v>42634</v>
      </c>
      <c r="G443">
        <v>2</v>
      </c>
      <c r="H443">
        <v>7</v>
      </c>
      <c r="I443" t="str">
        <f t="shared" si="6"/>
        <v>Shipped</v>
      </c>
    </row>
    <row r="444" spans="1:9" x14ac:dyDescent="0.3">
      <c r="A444">
        <v>443</v>
      </c>
      <c r="B444">
        <v>1371</v>
      </c>
      <c r="C444">
        <v>4</v>
      </c>
      <c r="D444" s="12">
        <v>42631</v>
      </c>
      <c r="E444" s="12">
        <v>42632</v>
      </c>
      <c r="F444" s="12">
        <v>42633</v>
      </c>
      <c r="G444">
        <v>2</v>
      </c>
      <c r="H444">
        <v>6</v>
      </c>
      <c r="I444" t="str">
        <f t="shared" si="6"/>
        <v>Shipped</v>
      </c>
    </row>
    <row r="445" spans="1:9" x14ac:dyDescent="0.3">
      <c r="A445">
        <v>444</v>
      </c>
      <c r="B445">
        <v>30</v>
      </c>
      <c r="C445">
        <v>4</v>
      </c>
      <c r="D445" s="12">
        <v>42632</v>
      </c>
      <c r="E445" s="12">
        <v>42633</v>
      </c>
      <c r="F445" s="12">
        <v>42634</v>
      </c>
      <c r="G445">
        <v>1</v>
      </c>
      <c r="H445">
        <v>2</v>
      </c>
      <c r="I445" t="str">
        <f t="shared" si="6"/>
        <v>Shipped</v>
      </c>
    </row>
    <row r="446" spans="1:9" x14ac:dyDescent="0.3">
      <c r="A446">
        <v>445</v>
      </c>
      <c r="B446">
        <v>362</v>
      </c>
      <c r="C446">
        <v>4</v>
      </c>
      <c r="D446" s="12">
        <v>42632</v>
      </c>
      <c r="E446" s="12">
        <v>42635</v>
      </c>
      <c r="F446" s="12">
        <v>42635</v>
      </c>
      <c r="G446">
        <v>2</v>
      </c>
      <c r="H446">
        <v>6</v>
      </c>
      <c r="I446" t="str">
        <f t="shared" si="6"/>
        <v>Shipped</v>
      </c>
    </row>
    <row r="447" spans="1:9" x14ac:dyDescent="0.3">
      <c r="A447">
        <v>446</v>
      </c>
      <c r="B447">
        <v>399</v>
      </c>
      <c r="C447">
        <v>4</v>
      </c>
      <c r="D447" s="12">
        <v>42632</v>
      </c>
      <c r="E447" s="12">
        <v>42634</v>
      </c>
      <c r="F447" s="12">
        <v>42633</v>
      </c>
      <c r="G447">
        <v>2</v>
      </c>
      <c r="H447">
        <v>7</v>
      </c>
      <c r="I447" t="str">
        <f t="shared" si="6"/>
        <v>Delivered</v>
      </c>
    </row>
    <row r="448" spans="1:9" x14ac:dyDescent="0.3">
      <c r="A448">
        <v>447</v>
      </c>
      <c r="B448">
        <v>808</v>
      </c>
      <c r="C448">
        <v>4</v>
      </c>
      <c r="D448" s="12">
        <v>42633</v>
      </c>
      <c r="E448" s="12">
        <v>42636</v>
      </c>
      <c r="F448" s="12">
        <v>42635</v>
      </c>
      <c r="G448">
        <v>3</v>
      </c>
      <c r="H448">
        <v>8</v>
      </c>
      <c r="I448" t="str">
        <f t="shared" si="6"/>
        <v>Delivered</v>
      </c>
    </row>
    <row r="449" spans="1:9" x14ac:dyDescent="0.3">
      <c r="A449">
        <v>448</v>
      </c>
      <c r="B449">
        <v>101</v>
      </c>
      <c r="C449">
        <v>4</v>
      </c>
      <c r="D449" s="12">
        <v>42634</v>
      </c>
      <c r="E449" s="12">
        <v>42635</v>
      </c>
      <c r="F449" s="12">
        <v>42637</v>
      </c>
      <c r="G449">
        <v>2</v>
      </c>
      <c r="H449">
        <v>6</v>
      </c>
      <c r="I449" t="str">
        <f t="shared" si="6"/>
        <v>Shipped</v>
      </c>
    </row>
    <row r="450" spans="1:9" x14ac:dyDescent="0.3">
      <c r="A450">
        <v>449</v>
      </c>
      <c r="B450">
        <v>492</v>
      </c>
      <c r="C450">
        <v>4</v>
      </c>
      <c r="D450" s="12">
        <v>42634</v>
      </c>
      <c r="E450" s="12">
        <v>42637</v>
      </c>
      <c r="F450" s="12">
        <v>42635</v>
      </c>
      <c r="G450">
        <v>2</v>
      </c>
      <c r="H450">
        <v>7</v>
      </c>
      <c r="I450" t="str">
        <f t="shared" si="6"/>
        <v>Delivered</v>
      </c>
    </row>
    <row r="451" spans="1:9" x14ac:dyDescent="0.3">
      <c r="A451">
        <v>450</v>
      </c>
      <c r="B451">
        <v>575</v>
      </c>
      <c r="C451">
        <v>4</v>
      </c>
      <c r="D451" s="12">
        <v>42634</v>
      </c>
      <c r="E451" s="12">
        <v>42637</v>
      </c>
      <c r="F451" s="12">
        <v>42636</v>
      </c>
      <c r="G451">
        <v>2</v>
      </c>
      <c r="H451">
        <v>7</v>
      </c>
      <c r="I451" t="str">
        <f t="shared" ref="I451:I514" si="7">IF(F451="NA","Pending",IF(OR(E451=F451,E451&lt;F451),"Shipped","Delivered"))</f>
        <v>Delivered</v>
      </c>
    </row>
    <row r="452" spans="1:9" x14ac:dyDescent="0.3">
      <c r="A452">
        <v>451</v>
      </c>
      <c r="B452">
        <v>1146</v>
      </c>
      <c r="C452">
        <v>4</v>
      </c>
      <c r="D452" s="12">
        <v>42634</v>
      </c>
      <c r="E452" s="12">
        <v>42636</v>
      </c>
      <c r="F452" s="12">
        <v>42635</v>
      </c>
      <c r="G452">
        <v>2</v>
      </c>
      <c r="H452">
        <v>7</v>
      </c>
      <c r="I452" t="str">
        <f t="shared" si="7"/>
        <v>Delivered</v>
      </c>
    </row>
    <row r="453" spans="1:9" x14ac:dyDescent="0.3">
      <c r="A453">
        <v>452</v>
      </c>
      <c r="B453">
        <v>997</v>
      </c>
      <c r="C453">
        <v>4</v>
      </c>
      <c r="D453" s="12">
        <v>42635</v>
      </c>
      <c r="E453" s="12">
        <v>42636</v>
      </c>
      <c r="F453" s="12">
        <v>42637</v>
      </c>
      <c r="G453">
        <v>2</v>
      </c>
      <c r="H453">
        <v>7</v>
      </c>
      <c r="I453" t="str">
        <f t="shared" si="7"/>
        <v>Shipped</v>
      </c>
    </row>
    <row r="454" spans="1:9" x14ac:dyDescent="0.3">
      <c r="A454">
        <v>453</v>
      </c>
      <c r="B454">
        <v>1028</v>
      </c>
      <c r="C454">
        <v>4</v>
      </c>
      <c r="D454" s="12">
        <v>42635</v>
      </c>
      <c r="E454" s="12">
        <v>42637</v>
      </c>
      <c r="F454" s="12">
        <v>42638</v>
      </c>
      <c r="G454">
        <v>2</v>
      </c>
      <c r="H454">
        <v>7</v>
      </c>
      <c r="I454" t="str">
        <f t="shared" si="7"/>
        <v>Shipped</v>
      </c>
    </row>
    <row r="455" spans="1:9" x14ac:dyDescent="0.3">
      <c r="A455">
        <v>454</v>
      </c>
      <c r="B455">
        <v>988</v>
      </c>
      <c r="C455">
        <v>4</v>
      </c>
      <c r="D455" s="12">
        <v>42636</v>
      </c>
      <c r="E455" s="12">
        <v>42638</v>
      </c>
      <c r="F455" s="12">
        <v>42639</v>
      </c>
      <c r="G455">
        <v>2</v>
      </c>
      <c r="H455">
        <v>6</v>
      </c>
      <c r="I455" t="str">
        <f t="shared" si="7"/>
        <v>Shipped</v>
      </c>
    </row>
    <row r="456" spans="1:9" x14ac:dyDescent="0.3">
      <c r="A456">
        <v>455</v>
      </c>
      <c r="B456">
        <v>1055</v>
      </c>
      <c r="C456">
        <v>4</v>
      </c>
      <c r="D456" s="12">
        <v>42636</v>
      </c>
      <c r="E456" s="12">
        <v>42637</v>
      </c>
      <c r="F456" s="12">
        <v>42637</v>
      </c>
      <c r="G456">
        <v>2</v>
      </c>
      <c r="H456">
        <v>7</v>
      </c>
      <c r="I456" t="str">
        <f t="shared" si="7"/>
        <v>Shipped</v>
      </c>
    </row>
    <row r="457" spans="1:9" x14ac:dyDescent="0.3">
      <c r="A457">
        <v>456</v>
      </c>
      <c r="B457">
        <v>1061</v>
      </c>
      <c r="C457">
        <v>4</v>
      </c>
      <c r="D457" s="12">
        <v>42636</v>
      </c>
      <c r="E457" s="12">
        <v>42639</v>
      </c>
      <c r="F457" s="12">
        <v>42638</v>
      </c>
      <c r="G457">
        <v>3</v>
      </c>
      <c r="H457">
        <v>9</v>
      </c>
      <c r="I457" t="str">
        <f t="shared" si="7"/>
        <v>Delivered</v>
      </c>
    </row>
    <row r="458" spans="1:9" x14ac:dyDescent="0.3">
      <c r="A458">
        <v>457</v>
      </c>
      <c r="B458">
        <v>1349</v>
      </c>
      <c r="C458">
        <v>4</v>
      </c>
      <c r="D458" s="12">
        <v>42637</v>
      </c>
      <c r="E458" s="12">
        <v>42640</v>
      </c>
      <c r="F458" s="12">
        <v>42640</v>
      </c>
      <c r="G458">
        <v>1</v>
      </c>
      <c r="H458">
        <v>3</v>
      </c>
      <c r="I458" t="str">
        <f t="shared" si="7"/>
        <v>Shipped</v>
      </c>
    </row>
    <row r="459" spans="1:9" x14ac:dyDescent="0.3">
      <c r="A459">
        <v>458</v>
      </c>
      <c r="B459">
        <v>197</v>
      </c>
      <c r="C459">
        <v>4</v>
      </c>
      <c r="D459" s="12">
        <v>42638</v>
      </c>
      <c r="E459" s="12">
        <v>42641</v>
      </c>
      <c r="F459" s="12">
        <v>42639</v>
      </c>
      <c r="G459">
        <v>2</v>
      </c>
      <c r="H459">
        <v>6</v>
      </c>
      <c r="I459" t="str">
        <f t="shared" si="7"/>
        <v>Delivered</v>
      </c>
    </row>
    <row r="460" spans="1:9" x14ac:dyDescent="0.3">
      <c r="A460">
        <v>459</v>
      </c>
      <c r="B460">
        <v>874</v>
      </c>
      <c r="C460">
        <v>4</v>
      </c>
      <c r="D460" s="12">
        <v>42638</v>
      </c>
      <c r="E460" s="12">
        <v>42641</v>
      </c>
      <c r="F460" s="12">
        <v>42639</v>
      </c>
      <c r="G460">
        <v>2</v>
      </c>
      <c r="H460">
        <v>6</v>
      </c>
      <c r="I460" t="str">
        <f t="shared" si="7"/>
        <v>Delivered</v>
      </c>
    </row>
    <row r="461" spans="1:9" x14ac:dyDescent="0.3">
      <c r="A461">
        <v>460</v>
      </c>
      <c r="B461">
        <v>691</v>
      </c>
      <c r="C461">
        <v>4</v>
      </c>
      <c r="D461" s="12">
        <v>42638</v>
      </c>
      <c r="E461" s="12">
        <v>42640</v>
      </c>
      <c r="F461" s="12">
        <v>42639</v>
      </c>
      <c r="G461">
        <v>3</v>
      </c>
      <c r="H461">
        <v>8</v>
      </c>
      <c r="I461" t="str">
        <f t="shared" si="7"/>
        <v>Delivered</v>
      </c>
    </row>
    <row r="462" spans="1:9" x14ac:dyDescent="0.3">
      <c r="A462">
        <v>461</v>
      </c>
      <c r="B462">
        <v>853</v>
      </c>
      <c r="C462">
        <v>4</v>
      </c>
      <c r="D462" s="12">
        <v>42639</v>
      </c>
      <c r="E462" s="12">
        <v>42640</v>
      </c>
      <c r="F462" s="12">
        <v>42640</v>
      </c>
      <c r="G462">
        <v>2</v>
      </c>
      <c r="H462">
        <v>7</v>
      </c>
      <c r="I462" t="str">
        <f t="shared" si="7"/>
        <v>Shipped</v>
      </c>
    </row>
    <row r="463" spans="1:9" x14ac:dyDescent="0.3">
      <c r="A463">
        <v>462</v>
      </c>
      <c r="B463">
        <v>852</v>
      </c>
      <c r="C463">
        <v>4</v>
      </c>
      <c r="D463" s="12">
        <v>42640</v>
      </c>
      <c r="E463" s="12">
        <v>42641</v>
      </c>
      <c r="F463" s="12">
        <v>42642</v>
      </c>
      <c r="G463">
        <v>2</v>
      </c>
      <c r="H463">
        <v>6</v>
      </c>
      <c r="I463" t="str">
        <f t="shared" si="7"/>
        <v>Shipped</v>
      </c>
    </row>
    <row r="464" spans="1:9" x14ac:dyDescent="0.3">
      <c r="A464">
        <v>463</v>
      </c>
      <c r="B464">
        <v>964</v>
      </c>
      <c r="C464">
        <v>4</v>
      </c>
      <c r="D464" s="12">
        <v>42640</v>
      </c>
      <c r="E464" s="12">
        <v>42641</v>
      </c>
      <c r="F464" s="12">
        <v>42641</v>
      </c>
      <c r="G464">
        <v>3</v>
      </c>
      <c r="H464">
        <v>8</v>
      </c>
      <c r="I464" t="str">
        <f t="shared" si="7"/>
        <v>Shipped</v>
      </c>
    </row>
    <row r="465" spans="1:9" x14ac:dyDescent="0.3">
      <c r="A465">
        <v>464</v>
      </c>
      <c r="B465">
        <v>74</v>
      </c>
      <c r="C465">
        <v>4</v>
      </c>
      <c r="D465" s="12">
        <v>42641</v>
      </c>
      <c r="E465" s="12">
        <v>42643</v>
      </c>
      <c r="F465" s="12">
        <v>42642</v>
      </c>
      <c r="G465">
        <v>2</v>
      </c>
      <c r="H465">
        <v>7</v>
      </c>
      <c r="I465" t="str">
        <f t="shared" si="7"/>
        <v>Delivered</v>
      </c>
    </row>
    <row r="466" spans="1:9" x14ac:dyDescent="0.3">
      <c r="A466">
        <v>465</v>
      </c>
      <c r="B466">
        <v>1198</v>
      </c>
      <c r="C466">
        <v>4</v>
      </c>
      <c r="D466" s="12">
        <v>42641</v>
      </c>
      <c r="E466" s="12">
        <v>42644</v>
      </c>
      <c r="F466" s="12">
        <v>42644</v>
      </c>
      <c r="G466">
        <v>2</v>
      </c>
      <c r="H466">
        <v>6</v>
      </c>
      <c r="I466" t="str">
        <f t="shared" si="7"/>
        <v>Shipped</v>
      </c>
    </row>
    <row r="467" spans="1:9" x14ac:dyDescent="0.3">
      <c r="A467">
        <v>466</v>
      </c>
      <c r="B467">
        <v>1440</v>
      </c>
      <c r="C467">
        <v>4</v>
      </c>
      <c r="D467" s="12">
        <v>42641</v>
      </c>
      <c r="E467" s="12">
        <v>42642</v>
      </c>
      <c r="F467" s="12">
        <v>42644</v>
      </c>
      <c r="G467">
        <v>2</v>
      </c>
      <c r="H467">
        <v>7</v>
      </c>
      <c r="I467" t="str">
        <f t="shared" si="7"/>
        <v>Shipped</v>
      </c>
    </row>
    <row r="468" spans="1:9" x14ac:dyDescent="0.3">
      <c r="A468">
        <v>467</v>
      </c>
      <c r="B468">
        <v>555</v>
      </c>
      <c r="C468">
        <v>4</v>
      </c>
      <c r="D468" s="12">
        <v>42641</v>
      </c>
      <c r="E468" s="12">
        <v>42643</v>
      </c>
      <c r="F468" s="12">
        <v>42643</v>
      </c>
      <c r="G468">
        <v>3</v>
      </c>
      <c r="H468">
        <v>8</v>
      </c>
      <c r="I468" t="str">
        <f t="shared" si="7"/>
        <v>Shipped</v>
      </c>
    </row>
    <row r="469" spans="1:9" x14ac:dyDescent="0.3">
      <c r="A469">
        <v>468</v>
      </c>
      <c r="B469">
        <v>1261</v>
      </c>
      <c r="C469">
        <v>4</v>
      </c>
      <c r="D469" s="12">
        <v>42642</v>
      </c>
      <c r="E469" s="12">
        <v>42645</v>
      </c>
      <c r="F469" s="12">
        <v>42643</v>
      </c>
      <c r="G469">
        <v>1</v>
      </c>
      <c r="H469">
        <v>3</v>
      </c>
      <c r="I469" t="str">
        <f t="shared" si="7"/>
        <v>Delivered</v>
      </c>
    </row>
    <row r="470" spans="1:9" x14ac:dyDescent="0.3">
      <c r="A470">
        <v>469</v>
      </c>
      <c r="B470">
        <v>1089</v>
      </c>
      <c r="C470">
        <v>4</v>
      </c>
      <c r="D470" s="12">
        <v>42642</v>
      </c>
      <c r="E470" s="12">
        <v>42645</v>
      </c>
      <c r="F470" s="12">
        <v>42645</v>
      </c>
      <c r="G470">
        <v>2</v>
      </c>
      <c r="H470">
        <v>7</v>
      </c>
      <c r="I470" t="str">
        <f t="shared" si="7"/>
        <v>Shipped</v>
      </c>
    </row>
    <row r="471" spans="1:9" x14ac:dyDescent="0.3">
      <c r="A471">
        <v>470</v>
      </c>
      <c r="B471">
        <v>641</v>
      </c>
      <c r="C471">
        <v>4</v>
      </c>
      <c r="D471" s="12">
        <v>42643</v>
      </c>
      <c r="E471" s="12">
        <v>42645</v>
      </c>
      <c r="F471" s="12">
        <v>42645</v>
      </c>
      <c r="G471">
        <v>1</v>
      </c>
      <c r="H471">
        <v>3</v>
      </c>
      <c r="I471" t="str">
        <f t="shared" si="7"/>
        <v>Shipped</v>
      </c>
    </row>
    <row r="472" spans="1:9" x14ac:dyDescent="0.3">
      <c r="A472">
        <v>471</v>
      </c>
      <c r="B472">
        <v>697</v>
      </c>
      <c r="C472">
        <v>4</v>
      </c>
      <c r="D472" s="12">
        <v>42643</v>
      </c>
      <c r="E472" s="12">
        <v>42645</v>
      </c>
      <c r="F472" s="12">
        <v>42644</v>
      </c>
      <c r="G472">
        <v>1</v>
      </c>
      <c r="H472">
        <v>3</v>
      </c>
      <c r="I472" t="str">
        <f t="shared" si="7"/>
        <v>Delivered</v>
      </c>
    </row>
    <row r="473" spans="1:9" x14ac:dyDescent="0.3">
      <c r="A473">
        <v>472</v>
      </c>
      <c r="B473">
        <v>468</v>
      </c>
      <c r="C473">
        <v>4</v>
      </c>
      <c r="D473" s="12">
        <v>42643</v>
      </c>
      <c r="E473" s="12">
        <v>42644</v>
      </c>
      <c r="F473" s="12">
        <v>42644</v>
      </c>
      <c r="G473">
        <v>2</v>
      </c>
      <c r="H473">
        <v>7</v>
      </c>
      <c r="I473" t="str">
        <f t="shared" si="7"/>
        <v>Shipped</v>
      </c>
    </row>
    <row r="474" spans="1:9" x14ac:dyDescent="0.3">
      <c r="A474">
        <v>473</v>
      </c>
      <c r="B474">
        <v>549</v>
      </c>
      <c r="C474">
        <v>4</v>
      </c>
      <c r="D474" s="12">
        <v>42643</v>
      </c>
      <c r="E474" s="12">
        <v>42645</v>
      </c>
      <c r="F474" s="12">
        <v>42646</v>
      </c>
      <c r="G474">
        <v>2</v>
      </c>
      <c r="H474">
        <v>7</v>
      </c>
      <c r="I474" t="str">
        <f t="shared" si="7"/>
        <v>Shipped</v>
      </c>
    </row>
    <row r="475" spans="1:9" x14ac:dyDescent="0.3">
      <c r="A475">
        <v>474</v>
      </c>
      <c r="B475">
        <v>553</v>
      </c>
      <c r="C475">
        <v>4</v>
      </c>
      <c r="D475" s="12">
        <v>42644</v>
      </c>
      <c r="E475" s="12">
        <v>42647</v>
      </c>
      <c r="F475" s="12">
        <v>42647</v>
      </c>
      <c r="G475">
        <v>1</v>
      </c>
      <c r="H475">
        <v>3</v>
      </c>
      <c r="I475" t="str">
        <f t="shared" si="7"/>
        <v>Shipped</v>
      </c>
    </row>
    <row r="476" spans="1:9" x14ac:dyDescent="0.3">
      <c r="A476">
        <v>475</v>
      </c>
      <c r="B476">
        <v>241</v>
      </c>
      <c r="C476">
        <v>4</v>
      </c>
      <c r="D476" s="12">
        <v>42644</v>
      </c>
      <c r="E476" s="12">
        <v>42647</v>
      </c>
      <c r="F476" s="12">
        <v>42646</v>
      </c>
      <c r="G476">
        <v>2</v>
      </c>
      <c r="H476">
        <v>7</v>
      </c>
      <c r="I476" t="str">
        <f t="shared" si="7"/>
        <v>Delivered</v>
      </c>
    </row>
    <row r="477" spans="1:9" x14ac:dyDescent="0.3">
      <c r="A477">
        <v>476</v>
      </c>
      <c r="B477">
        <v>559</v>
      </c>
      <c r="C477">
        <v>4</v>
      </c>
      <c r="D477" s="12">
        <v>42644</v>
      </c>
      <c r="E477" s="12">
        <v>42647</v>
      </c>
      <c r="F477" s="12">
        <v>42645</v>
      </c>
      <c r="G477">
        <v>2</v>
      </c>
      <c r="H477">
        <v>6</v>
      </c>
      <c r="I477" t="str">
        <f t="shared" si="7"/>
        <v>Delivered</v>
      </c>
    </row>
    <row r="478" spans="1:9" x14ac:dyDescent="0.3">
      <c r="A478">
        <v>477</v>
      </c>
      <c r="B478">
        <v>449</v>
      </c>
      <c r="C478">
        <v>4</v>
      </c>
      <c r="D478" s="12">
        <v>42645</v>
      </c>
      <c r="E478" s="12">
        <v>42648</v>
      </c>
      <c r="F478" s="12">
        <v>42647</v>
      </c>
      <c r="G478">
        <v>1</v>
      </c>
      <c r="H478">
        <v>2</v>
      </c>
      <c r="I478" t="str">
        <f t="shared" si="7"/>
        <v>Delivered</v>
      </c>
    </row>
    <row r="479" spans="1:9" x14ac:dyDescent="0.3">
      <c r="A479">
        <v>478</v>
      </c>
      <c r="B479">
        <v>304</v>
      </c>
      <c r="C479">
        <v>4</v>
      </c>
      <c r="D479" s="12">
        <v>42645</v>
      </c>
      <c r="E479" s="12">
        <v>42648</v>
      </c>
      <c r="F479" s="12">
        <v>42646</v>
      </c>
      <c r="G479">
        <v>2</v>
      </c>
      <c r="H479">
        <v>7</v>
      </c>
      <c r="I479" t="str">
        <f t="shared" si="7"/>
        <v>Delivered</v>
      </c>
    </row>
    <row r="480" spans="1:9" x14ac:dyDescent="0.3">
      <c r="A480">
        <v>479</v>
      </c>
      <c r="B480">
        <v>984</v>
      </c>
      <c r="C480">
        <v>4</v>
      </c>
      <c r="D480" s="12">
        <v>42646</v>
      </c>
      <c r="E480" s="12">
        <v>42647</v>
      </c>
      <c r="F480" s="12">
        <v>42647</v>
      </c>
      <c r="G480">
        <v>2</v>
      </c>
      <c r="H480">
        <v>6</v>
      </c>
      <c r="I480" t="str">
        <f t="shared" si="7"/>
        <v>Shipped</v>
      </c>
    </row>
    <row r="481" spans="1:9" x14ac:dyDescent="0.3">
      <c r="A481">
        <v>480</v>
      </c>
      <c r="B481">
        <v>686</v>
      </c>
      <c r="C481">
        <v>4</v>
      </c>
      <c r="D481" s="12">
        <v>42647</v>
      </c>
      <c r="E481" s="12">
        <v>42650</v>
      </c>
      <c r="F481" s="12">
        <v>42648</v>
      </c>
      <c r="G481">
        <v>1</v>
      </c>
      <c r="H481">
        <v>3</v>
      </c>
      <c r="I481" t="str">
        <f t="shared" si="7"/>
        <v>Delivered</v>
      </c>
    </row>
    <row r="482" spans="1:9" x14ac:dyDescent="0.3">
      <c r="A482">
        <v>481</v>
      </c>
      <c r="B482">
        <v>481</v>
      </c>
      <c r="C482">
        <v>4</v>
      </c>
      <c r="D482" s="12">
        <v>42647</v>
      </c>
      <c r="E482" s="12">
        <v>42650</v>
      </c>
      <c r="F482" s="12">
        <v>42649</v>
      </c>
      <c r="G482">
        <v>3</v>
      </c>
      <c r="H482">
        <v>9</v>
      </c>
      <c r="I482" t="str">
        <f t="shared" si="7"/>
        <v>Delivered</v>
      </c>
    </row>
    <row r="483" spans="1:9" x14ac:dyDescent="0.3">
      <c r="A483">
        <v>482</v>
      </c>
      <c r="B483">
        <v>513</v>
      </c>
      <c r="C483">
        <v>4</v>
      </c>
      <c r="D483" s="12">
        <v>42648</v>
      </c>
      <c r="E483" s="12">
        <v>42649</v>
      </c>
      <c r="F483" s="12">
        <v>42649</v>
      </c>
      <c r="G483">
        <v>2</v>
      </c>
      <c r="H483">
        <v>6</v>
      </c>
      <c r="I483" t="str">
        <f t="shared" si="7"/>
        <v>Shipped</v>
      </c>
    </row>
    <row r="484" spans="1:9" x14ac:dyDescent="0.3">
      <c r="A484">
        <v>483</v>
      </c>
      <c r="B484">
        <v>703</v>
      </c>
      <c r="C484">
        <v>4</v>
      </c>
      <c r="D484" s="12">
        <v>42649</v>
      </c>
      <c r="E484" s="12">
        <v>42650</v>
      </c>
      <c r="F484" s="12">
        <v>42652</v>
      </c>
      <c r="G484">
        <v>1</v>
      </c>
      <c r="H484">
        <v>2</v>
      </c>
      <c r="I484" t="str">
        <f t="shared" si="7"/>
        <v>Shipped</v>
      </c>
    </row>
    <row r="485" spans="1:9" x14ac:dyDescent="0.3">
      <c r="A485">
        <v>484</v>
      </c>
      <c r="B485">
        <v>421</v>
      </c>
      <c r="C485">
        <v>4</v>
      </c>
      <c r="D485" s="12">
        <v>42649</v>
      </c>
      <c r="E485" s="12">
        <v>42652</v>
      </c>
      <c r="F485" s="12">
        <v>42650</v>
      </c>
      <c r="G485">
        <v>2</v>
      </c>
      <c r="H485">
        <v>7</v>
      </c>
      <c r="I485" t="str">
        <f t="shared" si="7"/>
        <v>Delivered</v>
      </c>
    </row>
    <row r="486" spans="1:9" x14ac:dyDescent="0.3">
      <c r="A486">
        <v>485</v>
      </c>
      <c r="B486">
        <v>465</v>
      </c>
      <c r="C486">
        <v>4</v>
      </c>
      <c r="D486" s="12">
        <v>42649</v>
      </c>
      <c r="E486" s="12">
        <v>42651</v>
      </c>
      <c r="F486" s="12">
        <v>42650</v>
      </c>
      <c r="G486">
        <v>2</v>
      </c>
      <c r="H486">
        <v>7</v>
      </c>
      <c r="I486" t="str">
        <f t="shared" si="7"/>
        <v>Delivered</v>
      </c>
    </row>
    <row r="487" spans="1:9" x14ac:dyDescent="0.3">
      <c r="A487">
        <v>486</v>
      </c>
      <c r="B487">
        <v>709</v>
      </c>
      <c r="C487">
        <v>4</v>
      </c>
      <c r="D487" s="12">
        <v>42649</v>
      </c>
      <c r="E487" s="12">
        <v>42651</v>
      </c>
      <c r="F487" s="12">
        <v>42652</v>
      </c>
      <c r="G487">
        <v>2</v>
      </c>
      <c r="H487">
        <v>7</v>
      </c>
      <c r="I487" t="str">
        <f t="shared" si="7"/>
        <v>Shipped</v>
      </c>
    </row>
    <row r="488" spans="1:9" x14ac:dyDescent="0.3">
      <c r="A488">
        <v>487</v>
      </c>
      <c r="B488">
        <v>827</v>
      </c>
      <c r="C488">
        <v>4</v>
      </c>
      <c r="D488" s="12">
        <v>42649</v>
      </c>
      <c r="E488" s="12">
        <v>42652</v>
      </c>
      <c r="F488" s="12">
        <v>42652</v>
      </c>
      <c r="G488">
        <v>2</v>
      </c>
      <c r="H488">
        <v>6</v>
      </c>
      <c r="I488" t="str">
        <f t="shared" si="7"/>
        <v>Shipped</v>
      </c>
    </row>
    <row r="489" spans="1:9" x14ac:dyDescent="0.3">
      <c r="A489">
        <v>488</v>
      </c>
      <c r="B489">
        <v>921</v>
      </c>
      <c r="C489">
        <v>4</v>
      </c>
      <c r="D489" s="12">
        <v>42649</v>
      </c>
      <c r="E489" s="12">
        <v>42652</v>
      </c>
      <c r="F489" s="12">
        <v>42651</v>
      </c>
      <c r="G489">
        <v>2</v>
      </c>
      <c r="H489">
        <v>6</v>
      </c>
      <c r="I489" t="str">
        <f t="shared" si="7"/>
        <v>Delivered</v>
      </c>
    </row>
    <row r="490" spans="1:9" x14ac:dyDescent="0.3">
      <c r="A490">
        <v>489</v>
      </c>
      <c r="B490">
        <v>899</v>
      </c>
      <c r="C490">
        <v>4</v>
      </c>
      <c r="D490" s="12">
        <v>42649</v>
      </c>
      <c r="E490" s="12">
        <v>42651</v>
      </c>
      <c r="F490" s="12">
        <v>42651</v>
      </c>
      <c r="G490">
        <v>3</v>
      </c>
      <c r="H490">
        <v>8</v>
      </c>
      <c r="I490" t="str">
        <f t="shared" si="7"/>
        <v>Shipped</v>
      </c>
    </row>
    <row r="491" spans="1:9" x14ac:dyDescent="0.3">
      <c r="A491">
        <v>490</v>
      </c>
      <c r="B491">
        <v>876</v>
      </c>
      <c r="C491">
        <v>4</v>
      </c>
      <c r="D491" s="12">
        <v>42650</v>
      </c>
      <c r="E491" s="12">
        <v>42653</v>
      </c>
      <c r="F491" s="12">
        <v>42652</v>
      </c>
      <c r="G491">
        <v>2</v>
      </c>
      <c r="H491">
        <v>6</v>
      </c>
      <c r="I491" t="str">
        <f t="shared" si="7"/>
        <v>Delivered</v>
      </c>
    </row>
    <row r="492" spans="1:9" x14ac:dyDescent="0.3">
      <c r="A492">
        <v>491</v>
      </c>
      <c r="B492">
        <v>1048</v>
      </c>
      <c r="C492">
        <v>4</v>
      </c>
      <c r="D492" s="12">
        <v>42651</v>
      </c>
      <c r="E492" s="12">
        <v>42653</v>
      </c>
      <c r="F492" s="12">
        <v>42654</v>
      </c>
      <c r="G492">
        <v>1</v>
      </c>
      <c r="H492">
        <v>2</v>
      </c>
      <c r="I492" t="str">
        <f t="shared" si="7"/>
        <v>Shipped</v>
      </c>
    </row>
    <row r="493" spans="1:9" x14ac:dyDescent="0.3">
      <c r="A493">
        <v>492</v>
      </c>
      <c r="B493">
        <v>191</v>
      </c>
      <c r="C493">
        <v>4</v>
      </c>
      <c r="D493" s="12">
        <v>42652</v>
      </c>
      <c r="E493" s="12">
        <v>42653</v>
      </c>
      <c r="F493" s="12">
        <v>42655</v>
      </c>
      <c r="G493">
        <v>1</v>
      </c>
      <c r="H493">
        <v>2</v>
      </c>
      <c r="I493" t="str">
        <f t="shared" si="7"/>
        <v>Shipped</v>
      </c>
    </row>
    <row r="494" spans="1:9" x14ac:dyDescent="0.3">
      <c r="A494">
        <v>493</v>
      </c>
      <c r="B494">
        <v>796</v>
      </c>
      <c r="C494">
        <v>4</v>
      </c>
      <c r="D494" s="12">
        <v>42652</v>
      </c>
      <c r="E494" s="12">
        <v>42655</v>
      </c>
      <c r="F494" s="12">
        <v>42654</v>
      </c>
      <c r="G494">
        <v>1</v>
      </c>
      <c r="H494">
        <v>3</v>
      </c>
      <c r="I494" t="str">
        <f t="shared" si="7"/>
        <v>Delivered</v>
      </c>
    </row>
    <row r="495" spans="1:9" x14ac:dyDescent="0.3">
      <c r="A495">
        <v>494</v>
      </c>
      <c r="B495">
        <v>875</v>
      </c>
      <c r="C495">
        <v>4</v>
      </c>
      <c r="D495" s="12">
        <v>42652</v>
      </c>
      <c r="E495" s="12">
        <v>42653</v>
      </c>
      <c r="F495" s="12">
        <v>42654</v>
      </c>
      <c r="G495">
        <v>2</v>
      </c>
      <c r="H495">
        <v>6</v>
      </c>
      <c r="I495" t="str">
        <f t="shared" si="7"/>
        <v>Shipped</v>
      </c>
    </row>
    <row r="496" spans="1:9" x14ac:dyDescent="0.3">
      <c r="A496">
        <v>495</v>
      </c>
      <c r="B496">
        <v>712</v>
      </c>
      <c r="C496">
        <v>4</v>
      </c>
      <c r="D496" s="12">
        <v>42653</v>
      </c>
      <c r="E496" s="12">
        <v>42655</v>
      </c>
      <c r="F496" s="12">
        <v>42656</v>
      </c>
      <c r="G496">
        <v>1</v>
      </c>
      <c r="H496">
        <v>3</v>
      </c>
      <c r="I496" t="str">
        <f t="shared" si="7"/>
        <v>Shipped</v>
      </c>
    </row>
    <row r="497" spans="1:9" x14ac:dyDescent="0.3">
      <c r="A497">
        <v>496</v>
      </c>
      <c r="B497">
        <v>193</v>
      </c>
      <c r="C497">
        <v>4</v>
      </c>
      <c r="D497" s="12">
        <v>42653</v>
      </c>
      <c r="E497" s="12">
        <v>42655</v>
      </c>
      <c r="F497" s="12">
        <v>42654</v>
      </c>
      <c r="G497">
        <v>2</v>
      </c>
      <c r="H497">
        <v>6</v>
      </c>
      <c r="I497" t="str">
        <f t="shared" si="7"/>
        <v>Delivered</v>
      </c>
    </row>
    <row r="498" spans="1:9" x14ac:dyDescent="0.3">
      <c r="A498">
        <v>497</v>
      </c>
      <c r="B498">
        <v>785</v>
      </c>
      <c r="C498">
        <v>4</v>
      </c>
      <c r="D498" s="12">
        <v>42653</v>
      </c>
      <c r="E498" s="12">
        <v>42654</v>
      </c>
      <c r="F498" s="12">
        <v>42654</v>
      </c>
      <c r="G498">
        <v>2</v>
      </c>
      <c r="H498">
        <v>6</v>
      </c>
      <c r="I498" t="str">
        <f t="shared" si="7"/>
        <v>Shipped</v>
      </c>
    </row>
    <row r="499" spans="1:9" x14ac:dyDescent="0.3">
      <c r="A499">
        <v>498</v>
      </c>
      <c r="B499">
        <v>1331</v>
      </c>
      <c r="C499">
        <v>4</v>
      </c>
      <c r="D499" s="12">
        <v>42653</v>
      </c>
      <c r="E499" s="12">
        <v>42655</v>
      </c>
      <c r="F499" s="12">
        <v>42654</v>
      </c>
      <c r="G499">
        <v>2</v>
      </c>
      <c r="H499">
        <v>6</v>
      </c>
      <c r="I499" t="str">
        <f t="shared" si="7"/>
        <v>Delivered</v>
      </c>
    </row>
    <row r="500" spans="1:9" x14ac:dyDescent="0.3">
      <c r="A500">
        <v>499</v>
      </c>
      <c r="B500">
        <v>260</v>
      </c>
      <c r="C500">
        <v>4</v>
      </c>
      <c r="D500" s="12">
        <v>42654</v>
      </c>
      <c r="E500" s="12">
        <v>42657</v>
      </c>
      <c r="F500" s="12">
        <v>42656</v>
      </c>
      <c r="G500">
        <v>1</v>
      </c>
      <c r="H500">
        <v>2</v>
      </c>
      <c r="I500" t="str">
        <f t="shared" si="7"/>
        <v>Delivered</v>
      </c>
    </row>
    <row r="501" spans="1:9" x14ac:dyDescent="0.3">
      <c r="A501">
        <v>500</v>
      </c>
      <c r="B501">
        <v>148</v>
      </c>
      <c r="C501">
        <v>4</v>
      </c>
      <c r="D501" s="12">
        <v>42654</v>
      </c>
      <c r="E501" s="12">
        <v>42655</v>
      </c>
      <c r="F501" s="12">
        <v>42656</v>
      </c>
      <c r="G501">
        <v>2</v>
      </c>
      <c r="H501">
        <v>6</v>
      </c>
      <c r="I501" t="str">
        <f t="shared" si="7"/>
        <v>Shipped</v>
      </c>
    </row>
    <row r="502" spans="1:9" x14ac:dyDescent="0.3">
      <c r="A502">
        <v>501</v>
      </c>
      <c r="B502">
        <v>977</v>
      </c>
      <c r="C502">
        <v>4</v>
      </c>
      <c r="D502" s="12">
        <v>42654</v>
      </c>
      <c r="E502" s="12">
        <v>42655</v>
      </c>
      <c r="F502" s="12">
        <v>42656</v>
      </c>
      <c r="G502">
        <v>2</v>
      </c>
      <c r="H502">
        <v>7</v>
      </c>
      <c r="I502" t="str">
        <f t="shared" si="7"/>
        <v>Shipped</v>
      </c>
    </row>
    <row r="503" spans="1:9" x14ac:dyDescent="0.3">
      <c r="A503">
        <v>502</v>
      </c>
      <c r="B503">
        <v>401</v>
      </c>
      <c r="C503">
        <v>4</v>
      </c>
      <c r="D503" s="12">
        <v>42655</v>
      </c>
      <c r="E503" s="12">
        <v>42656</v>
      </c>
      <c r="F503" s="12">
        <v>42656</v>
      </c>
      <c r="G503">
        <v>3</v>
      </c>
      <c r="H503">
        <v>9</v>
      </c>
      <c r="I503" t="str">
        <f t="shared" si="7"/>
        <v>Shipped</v>
      </c>
    </row>
    <row r="504" spans="1:9" x14ac:dyDescent="0.3">
      <c r="A504">
        <v>503</v>
      </c>
      <c r="B504">
        <v>932</v>
      </c>
      <c r="C504">
        <v>4</v>
      </c>
      <c r="D504" s="12">
        <v>42656</v>
      </c>
      <c r="E504" s="12">
        <v>42659</v>
      </c>
      <c r="F504" s="12">
        <v>42657</v>
      </c>
      <c r="G504">
        <v>2</v>
      </c>
      <c r="H504">
        <v>6</v>
      </c>
      <c r="I504" t="str">
        <f t="shared" si="7"/>
        <v>Delivered</v>
      </c>
    </row>
    <row r="505" spans="1:9" x14ac:dyDescent="0.3">
      <c r="A505">
        <v>504</v>
      </c>
      <c r="B505">
        <v>1381</v>
      </c>
      <c r="C505">
        <v>4</v>
      </c>
      <c r="D505" s="12">
        <v>42657</v>
      </c>
      <c r="E505" s="12">
        <v>42658</v>
      </c>
      <c r="F505" s="12">
        <v>42658</v>
      </c>
      <c r="G505">
        <v>1</v>
      </c>
      <c r="H505">
        <v>2</v>
      </c>
      <c r="I505" t="str">
        <f t="shared" si="7"/>
        <v>Shipped</v>
      </c>
    </row>
    <row r="506" spans="1:9" x14ac:dyDescent="0.3">
      <c r="A506">
        <v>505</v>
      </c>
      <c r="B506">
        <v>721</v>
      </c>
      <c r="C506">
        <v>4</v>
      </c>
      <c r="D506" s="12">
        <v>42657</v>
      </c>
      <c r="E506" s="12">
        <v>42659</v>
      </c>
      <c r="F506" s="12">
        <v>42660</v>
      </c>
      <c r="G506">
        <v>2</v>
      </c>
      <c r="H506">
        <v>6</v>
      </c>
      <c r="I506" t="str">
        <f t="shared" si="7"/>
        <v>Shipped</v>
      </c>
    </row>
    <row r="507" spans="1:9" x14ac:dyDescent="0.3">
      <c r="A507">
        <v>506</v>
      </c>
      <c r="B507">
        <v>831</v>
      </c>
      <c r="C507">
        <v>4</v>
      </c>
      <c r="D507" s="12">
        <v>42657</v>
      </c>
      <c r="E507" s="12">
        <v>42659</v>
      </c>
      <c r="F507" s="12">
        <v>42659</v>
      </c>
      <c r="G507">
        <v>2</v>
      </c>
      <c r="H507">
        <v>6</v>
      </c>
      <c r="I507" t="str">
        <f t="shared" si="7"/>
        <v>Shipped</v>
      </c>
    </row>
    <row r="508" spans="1:9" x14ac:dyDescent="0.3">
      <c r="A508">
        <v>507</v>
      </c>
      <c r="B508">
        <v>1378</v>
      </c>
      <c r="C508">
        <v>4</v>
      </c>
      <c r="D508" s="12">
        <v>42658</v>
      </c>
      <c r="E508" s="12">
        <v>42660</v>
      </c>
      <c r="F508" s="12">
        <v>42660</v>
      </c>
      <c r="G508">
        <v>1</v>
      </c>
      <c r="H508">
        <v>3</v>
      </c>
      <c r="I508" t="str">
        <f t="shared" si="7"/>
        <v>Shipped</v>
      </c>
    </row>
    <row r="509" spans="1:9" x14ac:dyDescent="0.3">
      <c r="A509">
        <v>508</v>
      </c>
      <c r="B509">
        <v>1359</v>
      </c>
      <c r="C509">
        <v>4</v>
      </c>
      <c r="D509" s="12">
        <v>42658</v>
      </c>
      <c r="E509" s="12">
        <v>42661</v>
      </c>
      <c r="F509" s="12">
        <v>42661</v>
      </c>
      <c r="G509">
        <v>2</v>
      </c>
      <c r="H509">
        <v>6</v>
      </c>
      <c r="I509" t="str">
        <f t="shared" si="7"/>
        <v>Shipped</v>
      </c>
    </row>
    <row r="510" spans="1:9" x14ac:dyDescent="0.3">
      <c r="A510">
        <v>509</v>
      </c>
      <c r="B510">
        <v>235</v>
      </c>
      <c r="C510">
        <v>4</v>
      </c>
      <c r="D510" s="12">
        <v>42659</v>
      </c>
      <c r="E510" s="12">
        <v>42660</v>
      </c>
      <c r="F510" s="12">
        <v>42660</v>
      </c>
      <c r="G510">
        <v>2</v>
      </c>
      <c r="H510">
        <v>7</v>
      </c>
      <c r="I510" t="str">
        <f t="shared" si="7"/>
        <v>Shipped</v>
      </c>
    </row>
    <row r="511" spans="1:9" x14ac:dyDescent="0.3">
      <c r="A511">
        <v>510</v>
      </c>
      <c r="B511">
        <v>586</v>
      </c>
      <c r="C511">
        <v>4</v>
      </c>
      <c r="D511" s="12">
        <v>42660</v>
      </c>
      <c r="E511" s="12">
        <v>42661</v>
      </c>
      <c r="F511" s="12">
        <v>42661</v>
      </c>
      <c r="G511">
        <v>2</v>
      </c>
      <c r="H511">
        <v>7</v>
      </c>
      <c r="I511" t="str">
        <f t="shared" si="7"/>
        <v>Shipped</v>
      </c>
    </row>
    <row r="512" spans="1:9" x14ac:dyDescent="0.3">
      <c r="A512">
        <v>511</v>
      </c>
      <c r="B512">
        <v>377</v>
      </c>
      <c r="C512">
        <v>4</v>
      </c>
      <c r="D512" s="12">
        <v>42661</v>
      </c>
      <c r="E512" s="12">
        <v>42663</v>
      </c>
      <c r="F512" s="12">
        <v>42662</v>
      </c>
      <c r="G512">
        <v>2</v>
      </c>
      <c r="H512">
        <v>7</v>
      </c>
      <c r="I512" t="str">
        <f t="shared" si="7"/>
        <v>Delivered</v>
      </c>
    </row>
    <row r="513" spans="1:9" x14ac:dyDescent="0.3">
      <c r="A513">
        <v>512</v>
      </c>
      <c r="B513">
        <v>8</v>
      </c>
      <c r="C513">
        <v>4</v>
      </c>
      <c r="D513" s="12">
        <v>42662</v>
      </c>
      <c r="E513" s="12">
        <v>42665</v>
      </c>
      <c r="F513" s="12">
        <v>42663</v>
      </c>
      <c r="G513">
        <v>2</v>
      </c>
      <c r="H513">
        <v>7</v>
      </c>
      <c r="I513" t="str">
        <f t="shared" si="7"/>
        <v>Delivered</v>
      </c>
    </row>
    <row r="514" spans="1:9" x14ac:dyDescent="0.3">
      <c r="A514">
        <v>513</v>
      </c>
      <c r="B514">
        <v>155</v>
      </c>
      <c r="C514">
        <v>4</v>
      </c>
      <c r="D514" s="12">
        <v>42662</v>
      </c>
      <c r="E514" s="12">
        <v>42664</v>
      </c>
      <c r="F514" s="12">
        <v>42664</v>
      </c>
      <c r="G514">
        <v>2</v>
      </c>
      <c r="H514">
        <v>6</v>
      </c>
      <c r="I514" t="str">
        <f t="shared" si="7"/>
        <v>Shipped</v>
      </c>
    </row>
    <row r="515" spans="1:9" x14ac:dyDescent="0.3">
      <c r="A515">
        <v>514</v>
      </c>
      <c r="B515">
        <v>927</v>
      </c>
      <c r="C515">
        <v>4</v>
      </c>
      <c r="D515" s="12">
        <v>42662</v>
      </c>
      <c r="E515" s="12">
        <v>42664</v>
      </c>
      <c r="F515" s="12">
        <v>42663</v>
      </c>
      <c r="G515">
        <v>2</v>
      </c>
      <c r="H515">
        <v>7</v>
      </c>
      <c r="I515" t="str">
        <f t="shared" ref="I515:I578" si="8">IF(F515="NA","Pending",IF(OR(E515=F515,E515&lt;F515),"Shipped","Delivered"))</f>
        <v>Delivered</v>
      </c>
    </row>
    <row r="516" spans="1:9" x14ac:dyDescent="0.3">
      <c r="A516">
        <v>515</v>
      </c>
      <c r="B516">
        <v>986</v>
      </c>
      <c r="C516">
        <v>4</v>
      </c>
      <c r="D516" s="12">
        <v>42662</v>
      </c>
      <c r="E516" s="12">
        <v>42663</v>
      </c>
      <c r="F516" s="12">
        <v>42665</v>
      </c>
      <c r="G516">
        <v>2</v>
      </c>
      <c r="H516">
        <v>6</v>
      </c>
      <c r="I516" t="str">
        <f t="shared" si="8"/>
        <v>Shipped</v>
      </c>
    </row>
    <row r="517" spans="1:9" x14ac:dyDescent="0.3">
      <c r="A517">
        <v>516</v>
      </c>
      <c r="B517">
        <v>111</v>
      </c>
      <c r="C517">
        <v>4</v>
      </c>
      <c r="D517" s="12">
        <v>42664</v>
      </c>
      <c r="E517" s="12">
        <v>42666</v>
      </c>
      <c r="F517" s="12">
        <v>42667</v>
      </c>
      <c r="G517">
        <v>2</v>
      </c>
      <c r="H517">
        <v>6</v>
      </c>
      <c r="I517" t="str">
        <f t="shared" si="8"/>
        <v>Shipped</v>
      </c>
    </row>
    <row r="518" spans="1:9" x14ac:dyDescent="0.3">
      <c r="A518">
        <v>517</v>
      </c>
      <c r="B518">
        <v>613</v>
      </c>
      <c r="C518">
        <v>4</v>
      </c>
      <c r="D518" s="12">
        <v>42664</v>
      </c>
      <c r="E518" s="12">
        <v>42665</v>
      </c>
      <c r="F518" s="12">
        <v>42667</v>
      </c>
      <c r="G518">
        <v>2</v>
      </c>
      <c r="H518">
        <v>6</v>
      </c>
      <c r="I518" t="str">
        <f t="shared" si="8"/>
        <v>Shipped</v>
      </c>
    </row>
    <row r="519" spans="1:9" x14ac:dyDescent="0.3">
      <c r="A519">
        <v>518</v>
      </c>
      <c r="B519">
        <v>1374</v>
      </c>
      <c r="C519">
        <v>4</v>
      </c>
      <c r="D519" s="12">
        <v>42665</v>
      </c>
      <c r="E519" s="12">
        <v>42667</v>
      </c>
      <c r="F519" s="12">
        <v>42668</v>
      </c>
      <c r="G519">
        <v>1</v>
      </c>
      <c r="H519">
        <v>2</v>
      </c>
      <c r="I519" t="str">
        <f t="shared" si="8"/>
        <v>Shipped</v>
      </c>
    </row>
    <row r="520" spans="1:9" x14ac:dyDescent="0.3">
      <c r="A520">
        <v>519</v>
      </c>
      <c r="B520">
        <v>54</v>
      </c>
      <c r="C520">
        <v>4</v>
      </c>
      <c r="D520" s="12">
        <v>42665</v>
      </c>
      <c r="E520" s="12">
        <v>42666</v>
      </c>
      <c r="F520" s="12">
        <v>42667</v>
      </c>
      <c r="G520">
        <v>2</v>
      </c>
      <c r="H520">
        <v>7</v>
      </c>
      <c r="I520" t="str">
        <f t="shared" si="8"/>
        <v>Shipped</v>
      </c>
    </row>
    <row r="521" spans="1:9" x14ac:dyDescent="0.3">
      <c r="A521">
        <v>520</v>
      </c>
      <c r="B521">
        <v>639</v>
      </c>
      <c r="C521">
        <v>4</v>
      </c>
      <c r="D521" s="12">
        <v>42666</v>
      </c>
      <c r="E521" s="12">
        <v>42669</v>
      </c>
      <c r="F521" s="12">
        <v>42667</v>
      </c>
      <c r="G521">
        <v>2</v>
      </c>
      <c r="H521">
        <v>7</v>
      </c>
      <c r="I521" t="str">
        <f t="shared" si="8"/>
        <v>Delivered</v>
      </c>
    </row>
    <row r="522" spans="1:9" x14ac:dyDescent="0.3">
      <c r="A522">
        <v>521</v>
      </c>
      <c r="B522">
        <v>664</v>
      </c>
      <c r="C522">
        <v>4</v>
      </c>
      <c r="D522" s="12">
        <v>42666</v>
      </c>
      <c r="E522" s="12">
        <v>42668</v>
      </c>
      <c r="F522" s="12">
        <v>42668</v>
      </c>
      <c r="G522">
        <v>2</v>
      </c>
      <c r="H522">
        <v>6</v>
      </c>
      <c r="I522" t="str">
        <f t="shared" si="8"/>
        <v>Shipped</v>
      </c>
    </row>
    <row r="523" spans="1:9" x14ac:dyDescent="0.3">
      <c r="A523">
        <v>522</v>
      </c>
      <c r="B523">
        <v>724</v>
      </c>
      <c r="C523">
        <v>4</v>
      </c>
      <c r="D523" s="12">
        <v>42666</v>
      </c>
      <c r="E523" s="12">
        <v>42667</v>
      </c>
      <c r="F523" s="12">
        <v>42667</v>
      </c>
      <c r="G523">
        <v>2</v>
      </c>
      <c r="H523">
        <v>7</v>
      </c>
      <c r="I523" t="str">
        <f t="shared" si="8"/>
        <v>Shipped</v>
      </c>
    </row>
    <row r="524" spans="1:9" x14ac:dyDescent="0.3">
      <c r="A524">
        <v>523</v>
      </c>
      <c r="B524">
        <v>1056</v>
      </c>
      <c r="C524">
        <v>4</v>
      </c>
      <c r="D524" s="12">
        <v>42667</v>
      </c>
      <c r="E524" s="12">
        <v>42669</v>
      </c>
      <c r="F524" s="12">
        <v>42670</v>
      </c>
      <c r="G524">
        <v>2</v>
      </c>
      <c r="H524">
        <v>6</v>
      </c>
      <c r="I524" t="str">
        <f t="shared" si="8"/>
        <v>Shipped</v>
      </c>
    </row>
    <row r="525" spans="1:9" x14ac:dyDescent="0.3">
      <c r="A525">
        <v>524</v>
      </c>
      <c r="B525">
        <v>569</v>
      </c>
      <c r="C525">
        <v>4</v>
      </c>
      <c r="D525" s="12">
        <v>42668</v>
      </c>
      <c r="E525" s="12">
        <v>42669</v>
      </c>
      <c r="F525" s="12">
        <v>42670</v>
      </c>
      <c r="G525">
        <v>1</v>
      </c>
      <c r="H525">
        <v>2</v>
      </c>
      <c r="I525" t="str">
        <f t="shared" si="8"/>
        <v>Shipped</v>
      </c>
    </row>
    <row r="526" spans="1:9" x14ac:dyDescent="0.3">
      <c r="A526">
        <v>525</v>
      </c>
      <c r="B526">
        <v>1315</v>
      </c>
      <c r="C526">
        <v>4</v>
      </c>
      <c r="D526" s="12">
        <v>42669</v>
      </c>
      <c r="E526" s="12">
        <v>42671</v>
      </c>
      <c r="F526" s="12">
        <v>42672</v>
      </c>
      <c r="G526">
        <v>1</v>
      </c>
      <c r="H526">
        <v>3</v>
      </c>
      <c r="I526" t="str">
        <f t="shared" si="8"/>
        <v>Shipped</v>
      </c>
    </row>
    <row r="527" spans="1:9" x14ac:dyDescent="0.3">
      <c r="A527">
        <v>526</v>
      </c>
      <c r="B527">
        <v>1096</v>
      </c>
      <c r="C527">
        <v>4</v>
      </c>
      <c r="D527" s="12">
        <v>42669</v>
      </c>
      <c r="E527" s="12">
        <v>42671</v>
      </c>
      <c r="F527" s="12">
        <v>42671</v>
      </c>
      <c r="G527">
        <v>2</v>
      </c>
      <c r="H527">
        <v>6</v>
      </c>
      <c r="I527" t="str">
        <f t="shared" si="8"/>
        <v>Shipped</v>
      </c>
    </row>
    <row r="528" spans="1:9" x14ac:dyDescent="0.3">
      <c r="A528">
        <v>527</v>
      </c>
      <c r="B528">
        <v>506</v>
      </c>
      <c r="C528">
        <v>4</v>
      </c>
      <c r="D528" s="12">
        <v>42670</v>
      </c>
      <c r="E528" s="12">
        <v>42672</v>
      </c>
      <c r="F528" s="12">
        <v>42671</v>
      </c>
      <c r="G528">
        <v>1</v>
      </c>
      <c r="H528">
        <v>2</v>
      </c>
      <c r="I528" t="str">
        <f t="shared" si="8"/>
        <v>Delivered</v>
      </c>
    </row>
    <row r="529" spans="1:9" x14ac:dyDescent="0.3">
      <c r="A529">
        <v>528</v>
      </c>
      <c r="B529">
        <v>676</v>
      </c>
      <c r="C529">
        <v>4</v>
      </c>
      <c r="D529" s="12">
        <v>42671</v>
      </c>
      <c r="E529" s="12">
        <v>42674</v>
      </c>
      <c r="F529" s="12">
        <v>42674</v>
      </c>
      <c r="G529">
        <v>2</v>
      </c>
      <c r="H529">
        <v>7</v>
      </c>
      <c r="I529" t="str">
        <f t="shared" si="8"/>
        <v>Shipped</v>
      </c>
    </row>
    <row r="530" spans="1:9" x14ac:dyDescent="0.3">
      <c r="A530">
        <v>529</v>
      </c>
      <c r="B530">
        <v>753</v>
      </c>
      <c r="C530">
        <v>4</v>
      </c>
      <c r="D530" s="12">
        <v>42671</v>
      </c>
      <c r="E530" s="12">
        <v>42673</v>
      </c>
      <c r="F530" s="12">
        <v>42674</v>
      </c>
      <c r="G530">
        <v>2</v>
      </c>
      <c r="H530">
        <v>7</v>
      </c>
      <c r="I530" t="str">
        <f t="shared" si="8"/>
        <v>Shipped</v>
      </c>
    </row>
    <row r="531" spans="1:9" x14ac:dyDescent="0.3">
      <c r="A531">
        <v>530</v>
      </c>
      <c r="B531">
        <v>773</v>
      </c>
      <c r="C531">
        <v>4</v>
      </c>
      <c r="D531" s="12">
        <v>42671</v>
      </c>
      <c r="E531" s="12">
        <v>42674</v>
      </c>
      <c r="F531" s="12">
        <v>42674</v>
      </c>
      <c r="G531">
        <v>2</v>
      </c>
      <c r="H531">
        <v>6</v>
      </c>
      <c r="I531" t="str">
        <f t="shared" si="8"/>
        <v>Shipped</v>
      </c>
    </row>
    <row r="532" spans="1:9" x14ac:dyDescent="0.3">
      <c r="A532">
        <v>531</v>
      </c>
      <c r="B532">
        <v>116</v>
      </c>
      <c r="C532">
        <v>4</v>
      </c>
      <c r="D532" s="12">
        <v>42671</v>
      </c>
      <c r="E532" s="12">
        <v>42672</v>
      </c>
      <c r="F532" s="12">
        <v>42673</v>
      </c>
      <c r="G532">
        <v>3</v>
      </c>
      <c r="H532">
        <v>8</v>
      </c>
      <c r="I532" t="str">
        <f t="shared" si="8"/>
        <v>Shipped</v>
      </c>
    </row>
    <row r="533" spans="1:9" x14ac:dyDescent="0.3">
      <c r="A533">
        <v>532</v>
      </c>
      <c r="B533">
        <v>817</v>
      </c>
      <c r="C533">
        <v>4</v>
      </c>
      <c r="D533" s="12">
        <v>42672</v>
      </c>
      <c r="E533" s="12">
        <v>42674</v>
      </c>
      <c r="F533" s="12">
        <v>42673</v>
      </c>
      <c r="G533">
        <v>2</v>
      </c>
      <c r="H533">
        <v>7</v>
      </c>
      <c r="I533" t="str">
        <f t="shared" si="8"/>
        <v>Delivered</v>
      </c>
    </row>
    <row r="534" spans="1:9" x14ac:dyDescent="0.3">
      <c r="A534">
        <v>533</v>
      </c>
      <c r="B534">
        <v>1334</v>
      </c>
      <c r="C534">
        <v>4</v>
      </c>
      <c r="D534" s="12">
        <v>42672</v>
      </c>
      <c r="E534" s="12">
        <v>42675</v>
      </c>
      <c r="F534" s="12">
        <v>42675</v>
      </c>
      <c r="G534">
        <v>2</v>
      </c>
      <c r="H534">
        <v>6</v>
      </c>
      <c r="I534" t="str">
        <f t="shared" si="8"/>
        <v>Shipped</v>
      </c>
    </row>
    <row r="535" spans="1:9" x14ac:dyDescent="0.3">
      <c r="A535">
        <v>534</v>
      </c>
      <c r="B535">
        <v>1406</v>
      </c>
      <c r="C535">
        <v>4</v>
      </c>
      <c r="D535" s="12">
        <v>42672</v>
      </c>
      <c r="E535" s="12">
        <v>42673</v>
      </c>
      <c r="F535" s="12">
        <v>42674</v>
      </c>
      <c r="G535">
        <v>2</v>
      </c>
      <c r="H535">
        <v>7</v>
      </c>
      <c r="I535" t="str">
        <f t="shared" si="8"/>
        <v>Shipped</v>
      </c>
    </row>
    <row r="536" spans="1:9" x14ac:dyDescent="0.3">
      <c r="A536">
        <v>535</v>
      </c>
      <c r="B536">
        <v>835</v>
      </c>
      <c r="C536">
        <v>4</v>
      </c>
      <c r="D536" s="12">
        <v>42672</v>
      </c>
      <c r="E536" s="12">
        <v>42674</v>
      </c>
      <c r="F536" s="12">
        <v>42675</v>
      </c>
      <c r="G536">
        <v>3</v>
      </c>
      <c r="H536">
        <v>9</v>
      </c>
      <c r="I536" t="str">
        <f t="shared" si="8"/>
        <v>Shipped</v>
      </c>
    </row>
    <row r="537" spans="1:9" x14ac:dyDescent="0.3">
      <c r="A537">
        <v>536</v>
      </c>
      <c r="B537">
        <v>759</v>
      </c>
      <c r="C537">
        <v>4</v>
      </c>
      <c r="D537" s="12">
        <v>42674</v>
      </c>
      <c r="E537" s="12">
        <v>42676</v>
      </c>
      <c r="F537" s="12">
        <v>42675</v>
      </c>
      <c r="G537">
        <v>1</v>
      </c>
      <c r="H537">
        <v>3</v>
      </c>
      <c r="I537" t="str">
        <f t="shared" si="8"/>
        <v>Delivered</v>
      </c>
    </row>
    <row r="538" spans="1:9" x14ac:dyDescent="0.3">
      <c r="A538">
        <v>537</v>
      </c>
      <c r="B538">
        <v>1353</v>
      </c>
      <c r="C538">
        <v>4</v>
      </c>
      <c r="D538" s="12">
        <v>42674</v>
      </c>
      <c r="E538" s="12">
        <v>42675</v>
      </c>
      <c r="F538" s="12">
        <v>42677</v>
      </c>
      <c r="G538">
        <v>1</v>
      </c>
      <c r="H538">
        <v>2</v>
      </c>
      <c r="I538" t="str">
        <f t="shared" si="8"/>
        <v>Shipped</v>
      </c>
    </row>
    <row r="539" spans="1:9" x14ac:dyDescent="0.3">
      <c r="A539">
        <v>538</v>
      </c>
      <c r="B539">
        <v>341</v>
      </c>
      <c r="C539">
        <v>4</v>
      </c>
      <c r="D539" s="12">
        <v>42676</v>
      </c>
      <c r="E539" s="12">
        <v>42679</v>
      </c>
      <c r="F539" s="12">
        <v>42679</v>
      </c>
      <c r="G539">
        <v>2</v>
      </c>
      <c r="H539">
        <v>6</v>
      </c>
      <c r="I539" t="str">
        <f t="shared" si="8"/>
        <v>Shipped</v>
      </c>
    </row>
    <row r="540" spans="1:9" x14ac:dyDescent="0.3">
      <c r="A540">
        <v>539</v>
      </c>
      <c r="B540">
        <v>1144</v>
      </c>
      <c r="C540">
        <v>4</v>
      </c>
      <c r="D540" s="12">
        <v>42676</v>
      </c>
      <c r="E540" s="12">
        <v>42678</v>
      </c>
      <c r="F540" s="12">
        <v>42677</v>
      </c>
      <c r="G540">
        <v>2</v>
      </c>
      <c r="H540">
        <v>7</v>
      </c>
      <c r="I540" t="str">
        <f t="shared" si="8"/>
        <v>Delivered</v>
      </c>
    </row>
    <row r="541" spans="1:9" x14ac:dyDescent="0.3">
      <c r="A541">
        <v>540</v>
      </c>
      <c r="B541">
        <v>1429</v>
      </c>
      <c r="C541">
        <v>4</v>
      </c>
      <c r="D541" s="12">
        <v>42677</v>
      </c>
      <c r="E541" s="12">
        <v>42679</v>
      </c>
      <c r="F541" s="12">
        <v>42680</v>
      </c>
      <c r="G541">
        <v>1</v>
      </c>
      <c r="H541">
        <v>3</v>
      </c>
      <c r="I541" t="str">
        <f t="shared" si="8"/>
        <v>Shipped</v>
      </c>
    </row>
    <row r="542" spans="1:9" x14ac:dyDescent="0.3">
      <c r="A542">
        <v>541</v>
      </c>
      <c r="B542">
        <v>1228</v>
      </c>
      <c r="C542">
        <v>4</v>
      </c>
      <c r="D542" s="12">
        <v>42678</v>
      </c>
      <c r="E542" s="12">
        <v>42681</v>
      </c>
      <c r="F542" s="12">
        <v>42681</v>
      </c>
      <c r="G542">
        <v>1</v>
      </c>
      <c r="H542">
        <v>3</v>
      </c>
      <c r="I542" t="str">
        <f t="shared" si="8"/>
        <v>Shipped</v>
      </c>
    </row>
    <row r="543" spans="1:9" x14ac:dyDescent="0.3">
      <c r="A543">
        <v>542</v>
      </c>
      <c r="B543">
        <v>313</v>
      </c>
      <c r="C543">
        <v>4</v>
      </c>
      <c r="D543" s="12">
        <v>42678</v>
      </c>
      <c r="E543" s="12">
        <v>42680</v>
      </c>
      <c r="F543" s="12">
        <v>42679</v>
      </c>
      <c r="G543">
        <v>2</v>
      </c>
      <c r="H543">
        <v>7</v>
      </c>
      <c r="I543" t="str">
        <f t="shared" si="8"/>
        <v>Delivered</v>
      </c>
    </row>
    <row r="544" spans="1:9" x14ac:dyDescent="0.3">
      <c r="A544">
        <v>543</v>
      </c>
      <c r="B544">
        <v>62</v>
      </c>
      <c r="C544">
        <v>4</v>
      </c>
      <c r="D544" s="12">
        <v>42680</v>
      </c>
      <c r="E544" s="12">
        <v>42683</v>
      </c>
      <c r="F544" s="12">
        <v>42682</v>
      </c>
      <c r="G544">
        <v>2</v>
      </c>
      <c r="H544">
        <v>6</v>
      </c>
      <c r="I544" t="str">
        <f t="shared" si="8"/>
        <v>Delivered</v>
      </c>
    </row>
    <row r="545" spans="1:9" x14ac:dyDescent="0.3">
      <c r="A545">
        <v>544</v>
      </c>
      <c r="B545">
        <v>321</v>
      </c>
      <c r="C545">
        <v>4</v>
      </c>
      <c r="D545" s="12">
        <v>42680</v>
      </c>
      <c r="E545" s="12">
        <v>42681</v>
      </c>
      <c r="F545" s="12">
        <v>42682</v>
      </c>
      <c r="G545">
        <v>2</v>
      </c>
      <c r="H545">
        <v>7</v>
      </c>
      <c r="I545" t="str">
        <f t="shared" si="8"/>
        <v>Shipped</v>
      </c>
    </row>
    <row r="546" spans="1:9" x14ac:dyDescent="0.3">
      <c r="A546">
        <v>545</v>
      </c>
      <c r="B546">
        <v>1108</v>
      </c>
      <c r="C546">
        <v>4</v>
      </c>
      <c r="D546" s="12">
        <v>42682</v>
      </c>
      <c r="E546" s="12">
        <v>42684</v>
      </c>
      <c r="F546" s="12">
        <v>42683</v>
      </c>
      <c r="G546">
        <v>3</v>
      </c>
      <c r="H546">
        <v>9</v>
      </c>
      <c r="I546" t="str">
        <f t="shared" si="8"/>
        <v>Delivered</v>
      </c>
    </row>
    <row r="547" spans="1:9" x14ac:dyDescent="0.3">
      <c r="A547">
        <v>546</v>
      </c>
      <c r="B547">
        <v>470</v>
      </c>
      <c r="C547">
        <v>4</v>
      </c>
      <c r="D547" s="12">
        <v>42683</v>
      </c>
      <c r="E547" s="12">
        <v>42686</v>
      </c>
      <c r="F547" s="12">
        <v>42684</v>
      </c>
      <c r="G547">
        <v>2</v>
      </c>
      <c r="H547">
        <v>7</v>
      </c>
      <c r="I547" t="str">
        <f t="shared" si="8"/>
        <v>Delivered</v>
      </c>
    </row>
    <row r="548" spans="1:9" x14ac:dyDescent="0.3">
      <c r="A548">
        <v>547</v>
      </c>
      <c r="B548">
        <v>20</v>
      </c>
      <c r="C548">
        <v>4</v>
      </c>
      <c r="D548" s="12">
        <v>42683</v>
      </c>
      <c r="E548" s="12">
        <v>42685</v>
      </c>
      <c r="F548" s="12">
        <v>42684</v>
      </c>
      <c r="G548">
        <v>3</v>
      </c>
      <c r="H548">
        <v>8</v>
      </c>
      <c r="I548" t="str">
        <f t="shared" si="8"/>
        <v>Delivered</v>
      </c>
    </row>
    <row r="549" spans="1:9" x14ac:dyDescent="0.3">
      <c r="A549">
        <v>548</v>
      </c>
      <c r="B549">
        <v>739</v>
      </c>
      <c r="C549">
        <v>4</v>
      </c>
      <c r="D549" s="12">
        <v>42685</v>
      </c>
      <c r="E549" s="12">
        <v>42687</v>
      </c>
      <c r="F549" s="12">
        <v>42687</v>
      </c>
      <c r="G549">
        <v>2</v>
      </c>
      <c r="H549">
        <v>7</v>
      </c>
      <c r="I549" t="str">
        <f t="shared" si="8"/>
        <v>Shipped</v>
      </c>
    </row>
    <row r="550" spans="1:9" x14ac:dyDescent="0.3">
      <c r="A550">
        <v>549</v>
      </c>
      <c r="B550">
        <v>64</v>
      </c>
      <c r="C550">
        <v>3</v>
      </c>
      <c r="D550" s="12">
        <v>42686</v>
      </c>
      <c r="E550" s="12">
        <v>42686</v>
      </c>
      <c r="F550" s="12" t="s">
        <v>5611</v>
      </c>
      <c r="G550">
        <v>3</v>
      </c>
      <c r="H550">
        <v>9</v>
      </c>
      <c r="I550" t="str">
        <f t="shared" si="8"/>
        <v>Pending</v>
      </c>
    </row>
    <row r="551" spans="1:9" x14ac:dyDescent="0.3">
      <c r="A551">
        <v>550</v>
      </c>
      <c r="B551">
        <v>892</v>
      </c>
      <c r="C551">
        <v>4</v>
      </c>
      <c r="D551" s="12">
        <v>42686</v>
      </c>
      <c r="E551" s="12">
        <v>42688</v>
      </c>
      <c r="F551" s="12">
        <v>42689</v>
      </c>
      <c r="G551">
        <v>2</v>
      </c>
      <c r="H551">
        <v>7</v>
      </c>
      <c r="I551" t="str">
        <f t="shared" si="8"/>
        <v>Shipped</v>
      </c>
    </row>
    <row r="552" spans="1:9" x14ac:dyDescent="0.3">
      <c r="A552">
        <v>551</v>
      </c>
      <c r="B552">
        <v>1169</v>
      </c>
      <c r="C552">
        <v>4</v>
      </c>
      <c r="D552" s="12">
        <v>42686</v>
      </c>
      <c r="E552" s="12">
        <v>42687</v>
      </c>
      <c r="F552" s="12">
        <v>42687</v>
      </c>
      <c r="G552">
        <v>2</v>
      </c>
      <c r="H552">
        <v>6</v>
      </c>
      <c r="I552" t="str">
        <f t="shared" si="8"/>
        <v>Shipped</v>
      </c>
    </row>
    <row r="553" spans="1:9" x14ac:dyDescent="0.3">
      <c r="A553">
        <v>552</v>
      </c>
      <c r="B553">
        <v>1282</v>
      </c>
      <c r="C553">
        <v>4</v>
      </c>
      <c r="D553" s="12">
        <v>42686</v>
      </c>
      <c r="E553" s="12">
        <v>42689</v>
      </c>
      <c r="F553" s="12">
        <v>42687</v>
      </c>
      <c r="G553">
        <v>2</v>
      </c>
      <c r="H553">
        <v>7</v>
      </c>
      <c r="I553" t="str">
        <f t="shared" si="8"/>
        <v>Delivered</v>
      </c>
    </row>
    <row r="554" spans="1:9" x14ac:dyDescent="0.3">
      <c r="A554">
        <v>553</v>
      </c>
      <c r="B554">
        <v>913</v>
      </c>
      <c r="C554">
        <v>4</v>
      </c>
      <c r="D554" s="12">
        <v>42686</v>
      </c>
      <c r="E554" s="12">
        <v>42687</v>
      </c>
      <c r="F554" s="12">
        <v>42689</v>
      </c>
      <c r="G554">
        <v>3</v>
      </c>
      <c r="H554">
        <v>9</v>
      </c>
      <c r="I554" t="str">
        <f t="shared" si="8"/>
        <v>Shipped</v>
      </c>
    </row>
    <row r="555" spans="1:9" x14ac:dyDescent="0.3">
      <c r="A555">
        <v>554</v>
      </c>
      <c r="B555">
        <v>104</v>
      </c>
      <c r="C555">
        <v>4</v>
      </c>
      <c r="D555" s="12">
        <v>42687</v>
      </c>
      <c r="E555" s="12">
        <v>42688</v>
      </c>
      <c r="F555" s="12">
        <v>42690</v>
      </c>
      <c r="G555">
        <v>1</v>
      </c>
      <c r="H555">
        <v>3</v>
      </c>
      <c r="I555" t="str">
        <f t="shared" si="8"/>
        <v>Shipped</v>
      </c>
    </row>
    <row r="556" spans="1:9" x14ac:dyDescent="0.3">
      <c r="A556">
        <v>555</v>
      </c>
      <c r="B556">
        <v>212</v>
      </c>
      <c r="C556">
        <v>4</v>
      </c>
      <c r="D556" s="12">
        <v>42687</v>
      </c>
      <c r="E556" s="12">
        <v>42688</v>
      </c>
      <c r="F556" s="12">
        <v>42690</v>
      </c>
      <c r="G556">
        <v>2</v>
      </c>
      <c r="H556">
        <v>7</v>
      </c>
      <c r="I556" t="str">
        <f t="shared" si="8"/>
        <v>Shipped</v>
      </c>
    </row>
    <row r="557" spans="1:9" x14ac:dyDescent="0.3">
      <c r="A557">
        <v>556</v>
      </c>
      <c r="B557">
        <v>61</v>
      </c>
      <c r="C557">
        <v>4</v>
      </c>
      <c r="D557" s="12">
        <v>42687</v>
      </c>
      <c r="E557" s="12">
        <v>42688</v>
      </c>
      <c r="F557" s="12">
        <v>42689</v>
      </c>
      <c r="G557">
        <v>3</v>
      </c>
      <c r="H557">
        <v>9</v>
      </c>
      <c r="I557" t="str">
        <f t="shared" si="8"/>
        <v>Shipped</v>
      </c>
    </row>
    <row r="558" spans="1:9" x14ac:dyDescent="0.3">
      <c r="A558">
        <v>557</v>
      </c>
      <c r="B558">
        <v>1248</v>
      </c>
      <c r="C558">
        <v>4</v>
      </c>
      <c r="D558" s="12">
        <v>42688</v>
      </c>
      <c r="E558" s="12">
        <v>42691</v>
      </c>
      <c r="F558" s="12">
        <v>42689</v>
      </c>
      <c r="G558">
        <v>2</v>
      </c>
      <c r="H558">
        <v>6</v>
      </c>
      <c r="I558" t="str">
        <f t="shared" si="8"/>
        <v>Delivered</v>
      </c>
    </row>
    <row r="559" spans="1:9" x14ac:dyDescent="0.3">
      <c r="A559">
        <v>558</v>
      </c>
      <c r="B559">
        <v>1443</v>
      </c>
      <c r="C559">
        <v>4</v>
      </c>
      <c r="D559" s="12">
        <v>42689</v>
      </c>
      <c r="E559" s="12">
        <v>42690</v>
      </c>
      <c r="F559" s="12">
        <v>42691</v>
      </c>
      <c r="G559">
        <v>2</v>
      </c>
      <c r="H559">
        <v>7</v>
      </c>
      <c r="I559" t="str">
        <f t="shared" si="8"/>
        <v>Shipped</v>
      </c>
    </row>
    <row r="560" spans="1:9" x14ac:dyDescent="0.3">
      <c r="A560">
        <v>559</v>
      </c>
      <c r="B560">
        <v>959</v>
      </c>
      <c r="C560">
        <v>4</v>
      </c>
      <c r="D560" s="12">
        <v>42690</v>
      </c>
      <c r="E560" s="12">
        <v>42691</v>
      </c>
      <c r="F560" s="12">
        <v>42691</v>
      </c>
      <c r="G560">
        <v>1</v>
      </c>
      <c r="H560">
        <v>2</v>
      </c>
      <c r="I560" t="str">
        <f t="shared" si="8"/>
        <v>Shipped</v>
      </c>
    </row>
    <row r="561" spans="1:9" x14ac:dyDescent="0.3">
      <c r="A561">
        <v>560</v>
      </c>
      <c r="B561">
        <v>1405</v>
      </c>
      <c r="C561">
        <v>4</v>
      </c>
      <c r="D561" s="12">
        <v>42692</v>
      </c>
      <c r="E561" s="12">
        <v>42693</v>
      </c>
      <c r="F561" s="12">
        <v>42695</v>
      </c>
      <c r="G561">
        <v>2</v>
      </c>
      <c r="H561">
        <v>6</v>
      </c>
      <c r="I561" t="str">
        <f t="shared" si="8"/>
        <v>Shipped</v>
      </c>
    </row>
    <row r="562" spans="1:9" x14ac:dyDescent="0.3">
      <c r="A562">
        <v>561</v>
      </c>
      <c r="B562">
        <v>90</v>
      </c>
      <c r="C562">
        <v>4</v>
      </c>
      <c r="D562" s="12">
        <v>42693</v>
      </c>
      <c r="E562" s="12">
        <v>42696</v>
      </c>
      <c r="F562" s="12">
        <v>42696</v>
      </c>
      <c r="G562">
        <v>2</v>
      </c>
      <c r="H562">
        <v>6</v>
      </c>
      <c r="I562" t="str">
        <f t="shared" si="8"/>
        <v>Shipped</v>
      </c>
    </row>
    <row r="563" spans="1:9" x14ac:dyDescent="0.3">
      <c r="A563">
        <v>562</v>
      </c>
      <c r="B563">
        <v>942</v>
      </c>
      <c r="C563">
        <v>4</v>
      </c>
      <c r="D563" s="12">
        <v>42693</v>
      </c>
      <c r="E563" s="12">
        <v>42694</v>
      </c>
      <c r="F563" s="12">
        <v>42696</v>
      </c>
      <c r="G563">
        <v>2</v>
      </c>
      <c r="H563">
        <v>7</v>
      </c>
      <c r="I563" t="str">
        <f t="shared" si="8"/>
        <v>Shipped</v>
      </c>
    </row>
    <row r="564" spans="1:9" x14ac:dyDescent="0.3">
      <c r="A564">
        <v>563</v>
      </c>
      <c r="B564">
        <v>365</v>
      </c>
      <c r="C564">
        <v>4</v>
      </c>
      <c r="D564" s="12">
        <v>42694</v>
      </c>
      <c r="E564" s="12">
        <v>42696</v>
      </c>
      <c r="F564" s="12">
        <v>42695</v>
      </c>
      <c r="G564">
        <v>2</v>
      </c>
      <c r="H564">
        <v>6</v>
      </c>
      <c r="I564" t="str">
        <f t="shared" si="8"/>
        <v>Delivered</v>
      </c>
    </row>
    <row r="565" spans="1:9" x14ac:dyDescent="0.3">
      <c r="A565">
        <v>564</v>
      </c>
      <c r="B565">
        <v>1058</v>
      </c>
      <c r="C565">
        <v>4</v>
      </c>
      <c r="D565" s="12">
        <v>42694</v>
      </c>
      <c r="E565" s="12">
        <v>42697</v>
      </c>
      <c r="F565" s="12">
        <v>42696</v>
      </c>
      <c r="G565">
        <v>2</v>
      </c>
      <c r="H565">
        <v>7</v>
      </c>
      <c r="I565" t="str">
        <f t="shared" si="8"/>
        <v>Delivered</v>
      </c>
    </row>
    <row r="566" spans="1:9" x14ac:dyDescent="0.3">
      <c r="A566">
        <v>565</v>
      </c>
      <c r="B566">
        <v>894</v>
      </c>
      <c r="C566">
        <v>4</v>
      </c>
      <c r="D566" s="12">
        <v>42695</v>
      </c>
      <c r="E566" s="12">
        <v>42696</v>
      </c>
      <c r="F566" s="12">
        <v>42696</v>
      </c>
      <c r="G566">
        <v>2</v>
      </c>
      <c r="H566">
        <v>7</v>
      </c>
      <c r="I566" t="str">
        <f t="shared" si="8"/>
        <v>Shipped</v>
      </c>
    </row>
    <row r="567" spans="1:9" x14ac:dyDescent="0.3">
      <c r="A567">
        <v>566</v>
      </c>
      <c r="B567">
        <v>298</v>
      </c>
      <c r="C567">
        <v>4</v>
      </c>
      <c r="D567" s="12">
        <v>42696</v>
      </c>
      <c r="E567" s="12">
        <v>42699</v>
      </c>
      <c r="F567" s="12">
        <v>42697</v>
      </c>
      <c r="G567">
        <v>1</v>
      </c>
      <c r="H567">
        <v>3</v>
      </c>
      <c r="I567" t="str">
        <f t="shared" si="8"/>
        <v>Delivered</v>
      </c>
    </row>
    <row r="568" spans="1:9" x14ac:dyDescent="0.3">
      <c r="A568">
        <v>567</v>
      </c>
      <c r="B568">
        <v>1430</v>
      </c>
      <c r="C568">
        <v>4</v>
      </c>
      <c r="D568" s="12">
        <v>42696</v>
      </c>
      <c r="E568" s="12">
        <v>42697</v>
      </c>
      <c r="F568" s="12">
        <v>42697</v>
      </c>
      <c r="G568">
        <v>1</v>
      </c>
      <c r="H568">
        <v>2</v>
      </c>
      <c r="I568" t="str">
        <f t="shared" si="8"/>
        <v>Shipped</v>
      </c>
    </row>
    <row r="569" spans="1:9" x14ac:dyDescent="0.3">
      <c r="A569">
        <v>568</v>
      </c>
      <c r="B569">
        <v>1275</v>
      </c>
      <c r="C569">
        <v>4</v>
      </c>
      <c r="D569" s="12">
        <v>42697</v>
      </c>
      <c r="E569" s="12">
        <v>42699</v>
      </c>
      <c r="F569" s="12">
        <v>42698</v>
      </c>
      <c r="G569">
        <v>1</v>
      </c>
      <c r="H569">
        <v>3</v>
      </c>
      <c r="I569" t="str">
        <f t="shared" si="8"/>
        <v>Delivered</v>
      </c>
    </row>
    <row r="570" spans="1:9" x14ac:dyDescent="0.3">
      <c r="A570">
        <v>569</v>
      </c>
      <c r="B570">
        <v>707</v>
      </c>
      <c r="C570">
        <v>4</v>
      </c>
      <c r="D570" s="12">
        <v>42697</v>
      </c>
      <c r="E570" s="12">
        <v>42698</v>
      </c>
      <c r="F570" s="12">
        <v>42699</v>
      </c>
      <c r="G570">
        <v>2</v>
      </c>
      <c r="H570">
        <v>6</v>
      </c>
      <c r="I570" t="str">
        <f t="shared" si="8"/>
        <v>Shipped</v>
      </c>
    </row>
    <row r="571" spans="1:9" x14ac:dyDescent="0.3">
      <c r="A571">
        <v>570</v>
      </c>
      <c r="B571">
        <v>989</v>
      </c>
      <c r="C571">
        <v>4</v>
      </c>
      <c r="D571" s="12">
        <v>42697</v>
      </c>
      <c r="E571" s="12">
        <v>42698</v>
      </c>
      <c r="F571" s="12">
        <v>42699</v>
      </c>
      <c r="G571">
        <v>2</v>
      </c>
      <c r="H571">
        <v>6</v>
      </c>
      <c r="I571" t="str">
        <f t="shared" si="8"/>
        <v>Shipped</v>
      </c>
    </row>
    <row r="572" spans="1:9" x14ac:dyDescent="0.3">
      <c r="A572">
        <v>571</v>
      </c>
      <c r="B572">
        <v>5</v>
      </c>
      <c r="C572">
        <v>4</v>
      </c>
      <c r="D572" s="12">
        <v>42698</v>
      </c>
      <c r="E572" s="12">
        <v>42699</v>
      </c>
      <c r="F572" s="12">
        <v>42701</v>
      </c>
      <c r="G572">
        <v>1</v>
      </c>
      <c r="H572">
        <v>2</v>
      </c>
      <c r="I572" t="str">
        <f t="shared" si="8"/>
        <v>Shipped</v>
      </c>
    </row>
    <row r="573" spans="1:9" x14ac:dyDescent="0.3">
      <c r="A573">
        <v>572</v>
      </c>
      <c r="B573">
        <v>178</v>
      </c>
      <c r="C573">
        <v>4</v>
      </c>
      <c r="D573" s="12">
        <v>42698</v>
      </c>
      <c r="E573" s="12">
        <v>42700</v>
      </c>
      <c r="F573" s="12">
        <v>42700</v>
      </c>
      <c r="G573">
        <v>2</v>
      </c>
      <c r="H573">
        <v>6</v>
      </c>
      <c r="I573" t="str">
        <f t="shared" si="8"/>
        <v>Shipped</v>
      </c>
    </row>
    <row r="574" spans="1:9" x14ac:dyDescent="0.3">
      <c r="A574">
        <v>573</v>
      </c>
      <c r="B574">
        <v>423</v>
      </c>
      <c r="C574">
        <v>4</v>
      </c>
      <c r="D574" s="12">
        <v>42698</v>
      </c>
      <c r="E574" s="12">
        <v>42700</v>
      </c>
      <c r="F574" s="12">
        <v>42701</v>
      </c>
      <c r="G574">
        <v>2</v>
      </c>
      <c r="H574">
        <v>6</v>
      </c>
      <c r="I574" t="str">
        <f t="shared" si="8"/>
        <v>Shipped</v>
      </c>
    </row>
    <row r="575" spans="1:9" x14ac:dyDescent="0.3">
      <c r="A575">
        <v>574</v>
      </c>
      <c r="B575">
        <v>833</v>
      </c>
      <c r="C575">
        <v>4</v>
      </c>
      <c r="D575" s="12">
        <v>42700</v>
      </c>
      <c r="E575" s="12">
        <v>42701</v>
      </c>
      <c r="F575" s="12">
        <v>42703</v>
      </c>
      <c r="G575">
        <v>2</v>
      </c>
      <c r="H575">
        <v>7</v>
      </c>
      <c r="I575" t="str">
        <f t="shared" si="8"/>
        <v>Shipped</v>
      </c>
    </row>
    <row r="576" spans="1:9" x14ac:dyDescent="0.3">
      <c r="A576">
        <v>575</v>
      </c>
      <c r="B576">
        <v>33</v>
      </c>
      <c r="C576">
        <v>4</v>
      </c>
      <c r="D576" s="12">
        <v>42701</v>
      </c>
      <c r="E576" s="12">
        <v>42702</v>
      </c>
      <c r="F576" s="12">
        <v>42704</v>
      </c>
      <c r="G576">
        <v>1</v>
      </c>
      <c r="H576">
        <v>3</v>
      </c>
      <c r="I576" t="str">
        <f t="shared" si="8"/>
        <v>Shipped</v>
      </c>
    </row>
    <row r="577" spans="1:9" x14ac:dyDescent="0.3">
      <c r="A577">
        <v>576</v>
      </c>
      <c r="B577">
        <v>1272</v>
      </c>
      <c r="C577">
        <v>4</v>
      </c>
      <c r="D577" s="12">
        <v>42701</v>
      </c>
      <c r="E577" s="12">
        <v>42704</v>
      </c>
      <c r="F577" s="12">
        <v>42702</v>
      </c>
      <c r="G577">
        <v>1</v>
      </c>
      <c r="H577">
        <v>3</v>
      </c>
      <c r="I577" t="str">
        <f t="shared" si="8"/>
        <v>Delivered</v>
      </c>
    </row>
    <row r="578" spans="1:9" x14ac:dyDescent="0.3">
      <c r="A578">
        <v>577</v>
      </c>
      <c r="B578">
        <v>445</v>
      </c>
      <c r="C578">
        <v>4</v>
      </c>
      <c r="D578" s="12">
        <v>42701</v>
      </c>
      <c r="E578" s="12">
        <v>42704</v>
      </c>
      <c r="F578" s="12">
        <v>42703</v>
      </c>
      <c r="G578">
        <v>2</v>
      </c>
      <c r="H578">
        <v>6</v>
      </c>
      <c r="I578" t="str">
        <f t="shared" si="8"/>
        <v>Delivered</v>
      </c>
    </row>
    <row r="579" spans="1:9" x14ac:dyDescent="0.3">
      <c r="A579">
        <v>578</v>
      </c>
      <c r="B579">
        <v>819</v>
      </c>
      <c r="C579">
        <v>4</v>
      </c>
      <c r="D579" s="12">
        <v>42701</v>
      </c>
      <c r="E579" s="12">
        <v>42702</v>
      </c>
      <c r="F579" s="12">
        <v>42703</v>
      </c>
      <c r="G579">
        <v>2</v>
      </c>
      <c r="H579">
        <v>7</v>
      </c>
      <c r="I579" t="str">
        <f t="shared" ref="I579:I642" si="9">IF(F579="NA","Pending",IF(OR(E579=F579,E579&lt;F579),"Shipped","Delivered"))</f>
        <v>Shipped</v>
      </c>
    </row>
    <row r="580" spans="1:9" x14ac:dyDescent="0.3">
      <c r="A580">
        <v>579</v>
      </c>
      <c r="B580">
        <v>160</v>
      </c>
      <c r="C580">
        <v>4</v>
      </c>
      <c r="D580" s="12">
        <v>42701</v>
      </c>
      <c r="E580" s="12">
        <v>42704</v>
      </c>
      <c r="F580" s="12">
        <v>42703</v>
      </c>
      <c r="G580">
        <v>3</v>
      </c>
      <c r="H580">
        <v>8</v>
      </c>
      <c r="I580" t="str">
        <f t="shared" si="9"/>
        <v>Delivered</v>
      </c>
    </row>
    <row r="581" spans="1:9" x14ac:dyDescent="0.3">
      <c r="A581">
        <v>580</v>
      </c>
      <c r="B581">
        <v>581</v>
      </c>
      <c r="C581">
        <v>4</v>
      </c>
      <c r="D581" s="12">
        <v>42704</v>
      </c>
      <c r="E581" s="12">
        <v>42706</v>
      </c>
      <c r="F581" s="12">
        <v>42706</v>
      </c>
      <c r="G581">
        <v>1</v>
      </c>
      <c r="H581">
        <v>3</v>
      </c>
      <c r="I581" t="str">
        <f t="shared" si="9"/>
        <v>Shipped</v>
      </c>
    </row>
    <row r="582" spans="1:9" x14ac:dyDescent="0.3">
      <c r="A582">
        <v>581</v>
      </c>
      <c r="B582">
        <v>688</v>
      </c>
      <c r="C582">
        <v>4</v>
      </c>
      <c r="D582" s="12">
        <v>42707</v>
      </c>
      <c r="E582" s="12">
        <v>42709</v>
      </c>
      <c r="F582" s="12">
        <v>42710</v>
      </c>
      <c r="G582">
        <v>1</v>
      </c>
      <c r="H582">
        <v>3</v>
      </c>
      <c r="I582" t="str">
        <f t="shared" si="9"/>
        <v>Shipped</v>
      </c>
    </row>
    <row r="583" spans="1:9" x14ac:dyDescent="0.3">
      <c r="A583">
        <v>582</v>
      </c>
      <c r="B583">
        <v>32</v>
      </c>
      <c r="C583">
        <v>3</v>
      </c>
      <c r="D583" s="12">
        <v>42708</v>
      </c>
      <c r="E583" s="12">
        <v>42708</v>
      </c>
      <c r="F583" s="12" t="s">
        <v>5611</v>
      </c>
      <c r="G583">
        <v>1</v>
      </c>
      <c r="H583">
        <v>2</v>
      </c>
      <c r="I583" t="str">
        <f t="shared" si="9"/>
        <v>Pending</v>
      </c>
    </row>
    <row r="584" spans="1:9" x14ac:dyDescent="0.3">
      <c r="A584">
        <v>583</v>
      </c>
      <c r="B584">
        <v>792</v>
      </c>
      <c r="C584">
        <v>4</v>
      </c>
      <c r="D584" s="12">
        <v>42708</v>
      </c>
      <c r="E584" s="12">
        <v>42709</v>
      </c>
      <c r="F584" s="12">
        <v>42711</v>
      </c>
      <c r="G584">
        <v>2</v>
      </c>
      <c r="H584">
        <v>7</v>
      </c>
      <c r="I584" t="str">
        <f t="shared" si="9"/>
        <v>Shipped</v>
      </c>
    </row>
    <row r="585" spans="1:9" x14ac:dyDescent="0.3">
      <c r="A585">
        <v>584</v>
      </c>
      <c r="B585">
        <v>1209</v>
      </c>
      <c r="C585">
        <v>4</v>
      </c>
      <c r="D585" s="12">
        <v>42708</v>
      </c>
      <c r="E585" s="12">
        <v>42709</v>
      </c>
      <c r="F585" s="12">
        <v>42709</v>
      </c>
      <c r="G585">
        <v>2</v>
      </c>
      <c r="H585">
        <v>7</v>
      </c>
      <c r="I585" t="str">
        <f t="shared" si="9"/>
        <v>Shipped</v>
      </c>
    </row>
    <row r="586" spans="1:9" x14ac:dyDescent="0.3">
      <c r="A586">
        <v>585</v>
      </c>
      <c r="B586">
        <v>1219</v>
      </c>
      <c r="C586">
        <v>4</v>
      </c>
      <c r="D586" s="12">
        <v>42708</v>
      </c>
      <c r="E586" s="12">
        <v>42709</v>
      </c>
      <c r="F586" s="12">
        <v>42709</v>
      </c>
      <c r="G586">
        <v>2</v>
      </c>
      <c r="H586">
        <v>7</v>
      </c>
      <c r="I586" t="str">
        <f t="shared" si="9"/>
        <v>Shipped</v>
      </c>
    </row>
    <row r="587" spans="1:9" x14ac:dyDescent="0.3">
      <c r="A587">
        <v>586</v>
      </c>
      <c r="B587">
        <v>1306</v>
      </c>
      <c r="C587">
        <v>4</v>
      </c>
      <c r="D587" s="12">
        <v>42708</v>
      </c>
      <c r="E587" s="12">
        <v>42710</v>
      </c>
      <c r="F587" s="12">
        <v>42709</v>
      </c>
      <c r="G587">
        <v>2</v>
      </c>
      <c r="H587">
        <v>6</v>
      </c>
      <c r="I587" t="str">
        <f t="shared" si="9"/>
        <v>Delivered</v>
      </c>
    </row>
    <row r="588" spans="1:9" x14ac:dyDescent="0.3">
      <c r="A588">
        <v>587</v>
      </c>
      <c r="B588">
        <v>487</v>
      </c>
      <c r="C588">
        <v>4</v>
      </c>
      <c r="D588" s="12">
        <v>42710</v>
      </c>
      <c r="E588" s="12">
        <v>42712</v>
      </c>
      <c r="F588" s="12">
        <v>42712</v>
      </c>
      <c r="G588">
        <v>1</v>
      </c>
      <c r="H588">
        <v>2</v>
      </c>
      <c r="I588" t="str">
        <f t="shared" si="9"/>
        <v>Shipped</v>
      </c>
    </row>
    <row r="589" spans="1:9" x14ac:dyDescent="0.3">
      <c r="A589">
        <v>588</v>
      </c>
      <c r="B589">
        <v>102</v>
      </c>
      <c r="C589">
        <v>4</v>
      </c>
      <c r="D589" s="12">
        <v>42710</v>
      </c>
      <c r="E589" s="12">
        <v>42711</v>
      </c>
      <c r="F589" s="12">
        <v>42711</v>
      </c>
      <c r="G589">
        <v>2</v>
      </c>
      <c r="H589">
        <v>7</v>
      </c>
      <c r="I589" t="str">
        <f t="shared" si="9"/>
        <v>Shipped</v>
      </c>
    </row>
    <row r="590" spans="1:9" x14ac:dyDescent="0.3">
      <c r="A590">
        <v>589</v>
      </c>
      <c r="B590">
        <v>719</v>
      </c>
      <c r="C590">
        <v>4</v>
      </c>
      <c r="D590" s="12">
        <v>42710</v>
      </c>
      <c r="E590" s="12">
        <v>42711</v>
      </c>
      <c r="F590" s="12">
        <v>42711</v>
      </c>
      <c r="G590">
        <v>2</v>
      </c>
      <c r="H590">
        <v>7</v>
      </c>
      <c r="I590" t="str">
        <f t="shared" si="9"/>
        <v>Shipped</v>
      </c>
    </row>
    <row r="591" spans="1:9" x14ac:dyDescent="0.3">
      <c r="A591">
        <v>590</v>
      </c>
      <c r="B591">
        <v>990</v>
      </c>
      <c r="C591">
        <v>4</v>
      </c>
      <c r="D591" s="12">
        <v>42710</v>
      </c>
      <c r="E591" s="12">
        <v>42713</v>
      </c>
      <c r="F591" s="12">
        <v>42711</v>
      </c>
      <c r="G591">
        <v>2</v>
      </c>
      <c r="H591">
        <v>7</v>
      </c>
      <c r="I591" t="str">
        <f t="shared" si="9"/>
        <v>Delivered</v>
      </c>
    </row>
    <row r="592" spans="1:9" x14ac:dyDescent="0.3">
      <c r="A592">
        <v>591</v>
      </c>
      <c r="B592">
        <v>1211</v>
      </c>
      <c r="C592">
        <v>4</v>
      </c>
      <c r="D592" s="12">
        <v>42710</v>
      </c>
      <c r="E592" s="12">
        <v>42713</v>
      </c>
      <c r="F592" s="12">
        <v>42713</v>
      </c>
      <c r="G592">
        <v>2</v>
      </c>
      <c r="H592">
        <v>7</v>
      </c>
      <c r="I592" t="str">
        <f t="shared" si="9"/>
        <v>Shipped</v>
      </c>
    </row>
    <row r="593" spans="1:9" x14ac:dyDescent="0.3">
      <c r="A593">
        <v>592</v>
      </c>
      <c r="B593">
        <v>1232</v>
      </c>
      <c r="C593">
        <v>4</v>
      </c>
      <c r="D593" s="12">
        <v>42710</v>
      </c>
      <c r="E593" s="12">
        <v>42712</v>
      </c>
      <c r="F593" s="12">
        <v>42712</v>
      </c>
      <c r="G593">
        <v>2</v>
      </c>
      <c r="H593">
        <v>7</v>
      </c>
      <c r="I593" t="str">
        <f t="shared" si="9"/>
        <v>Shipped</v>
      </c>
    </row>
    <row r="594" spans="1:9" x14ac:dyDescent="0.3">
      <c r="A594">
        <v>593</v>
      </c>
      <c r="B594">
        <v>50</v>
      </c>
      <c r="C594">
        <v>4</v>
      </c>
      <c r="D594" s="12">
        <v>42711</v>
      </c>
      <c r="E594" s="12">
        <v>42714</v>
      </c>
      <c r="F594" s="12">
        <v>42712</v>
      </c>
      <c r="G594">
        <v>3</v>
      </c>
      <c r="H594">
        <v>8</v>
      </c>
      <c r="I594" t="str">
        <f t="shared" si="9"/>
        <v>Delivered</v>
      </c>
    </row>
    <row r="595" spans="1:9" x14ac:dyDescent="0.3">
      <c r="A595">
        <v>594</v>
      </c>
      <c r="B595">
        <v>1318</v>
      </c>
      <c r="C595">
        <v>4</v>
      </c>
      <c r="D595" s="12">
        <v>42711</v>
      </c>
      <c r="E595" s="12">
        <v>42712</v>
      </c>
      <c r="F595" s="12">
        <v>42712</v>
      </c>
      <c r="G595">
        <v>3</v>
      </c>
      <c r="H595">
        <v>8</v>
      </c>
      <c r="I595" t="str">
        <f t="shared" si="9"/>
        <v>Shipped</v>
      </c>
    </row>
    <row r="596" spans="1:9" x14ac:dyDescent="0.3">
      <c r="A596">
        <v>595</v>
      </c>
      <c r="B596">
        <v>538</v>
      </c>
      <c r="C596">
        <v>4</v>
      </c>
      <c r="D596" s="12">
        <v>42712</v>
      </c>
      <c r="E596" s="12">
        <v>42713</v>
      </c>
      <c r="F596" s="12">
        <v>42715</v>
      </c>
      <c r="G596">
        <v>1</v>
      </c>
      <c r="H596">
        <v>2</v>
      </c>
      <c r="I596" t="str">
        <f t="shared" si="9"/>
        <v>Shipped</v>
      </c>
    </row>
    <row r="597" spans="1:9" x14ac:dyDescent="0.3">
      <c r="A597">
        <v>596</v>
      </c>
      <c r="B597">
        <v>952</v>
      </c>
      <c r="C597">
        <v>4</v>
      </c>
      <c r="D597" s="12">
        <v>42712</v>
      </c>
      <c r="E597" s="12">
        <v>42713</v>
      </c>
      <c r="F597" s="12">
        <v>42713</v>
      </c>
      <c r="G597">
        <v>1</v>
      </c>
      <c r="H597">
        <v>3</v>
      </c>
      <c r="I597" t="str">
        <f t="shared" si="9"/>
        <v>Shipped</v>
      </c>
    </row>
    <row r="598" spans="1:9" x14ac:dyDescent="0.3">
      <c r="A598">
        <v>597</v>
      </c>
      <c r="B598">
        <v>1121</v>
      </c>
      <c r="C598">
        <v>4</v>
      </c>
      <c r="D598" s="12">
        <v>42712</v>
      </c>
      <c r="E598" s="12">
        <v>42713</v>
      </c>
      <c r="F598" s="12">
        <v>42714</v>
      </c>
      <c r="G598">
        <v>2</v>
      </c>
      <c r="H598">
        <v>6</v>
      </c>
      <c r="I598" t="str">
        <f t="shared" si="9"/>
        <v>Shipped</v>
      </c>
    </row>
    <row r="599" spans="1:9" x14ac:dyDescent="0.3">
      <c r="A599">
        <v>598</v>
      </c>
      <c r="B599">
        <v>40</v>
      </c>
      <c r="C599">
        <v>3</v>
      </c>
      <c r="D599" s="12">
        <v>42713</v>
      </c>
      <c r="E599" s="12">
        <v>42713</v>
      </c>
      <c r="F599" s="12" t="s">
        <v>5611</v>
      </c>
      <c r="G599">
        <v>1</v>
      </c>
      <c r="H599">
        <v>3</v>
      </c>
      <c r="I599" t="str">
        <f t="shared" si="9"/>
        <v>Pending</v>
      </c>
    </row>
    <row r="600" spans="1:9" x14ac:dyDescent="0.3">
      <c r="A600">
        <v>599</v>
      </c>
      <c r="B600">
        <v>1</v>
      </c>
      <c r="C600">
        <v>4</v>
      </c>
      <c r="D600" s="12">
        <v>42713</v>
      </c>
      <c r="E600" s="12">
        <v>42714</v>
      </c>
      <c r="F600" s="12">
        <v>42716</v>
      </c>
      <c r="G600">
        <v>2</v>
      </c>
      <c r="H600">
        <v>6</v>
      </c>
      <c r="I600" t="str">
        <f t="shared" si="9"/>
        <v>Shipped</v>
      </c>
    </row>
    <row r="601" spans="1:9" x14ac:dyDescent="0.3">
      <c r="A601">
        <v>600</v>
      </c>
      <c r="B601">
        <v>624</v>
      </c>
      <c r="C601">
        <v>4</v>
      </c>
      <c r="D601" s="12">
        <v>42713</v>
      </c>
      <c r="E601" s="12">
        <v>42716</v>
      </c>
      <c r="F601" s="12">
        <v>42715</v>
      </c>
      <c r="G601">
        <v>2</v>
      </c>
      <c r="H601">
        <v>7</v>
      </c>
      <c r="I601" t="str">
        <f t="shared" si="9"/>
        <v>Delivered</v>
      </c>
    </row>
    <row r="602" spans="1:9" x14ac:dyDescent="0.3">
      <c r="A602">
        <v>601</v>
      </c>
      <c r="B602">
        <v>683</v>
      </c>
      <c r="C602">
        <v>4</v>
      </c>
      <c r="D602" s="12">
        <v>42713</v>
      </c>
      <c r="E602" s="12">
        <v>42714</v>
      </c>
      <c r="F602" s="12">
        <v>42714</v>
      </c>
      <c r="G602">
        <v>2</v>
      </c>
      <c r="H602">
        <v>6</v>
      </c>
      <c r="I602" t="str">
        <f t="shared" si="9"/>
        <v>Shipped</v>
      </c>
    </row>
    <row r="603" spans="1:9" x14ac:dyDescent="0.3">
      <c r="A603">
        <v>602</v>
      </c>
      <c r="B603">
        <v>823</v>
      </c>
      <c r="C603">
        <v>4</v>
      </c>
      <c r="D603" s="12">
        <v>42713</v>
      </c>
      <c r="E603" s="12">
        <v>42714</v>
      </c>
      <c r="F603" s="12">
        <v>42715</v>
      </c>
      <c r="G603">
        <v>2</v>
      </c>
      <c r="H603">
        <v>6</v>
      </c>
      <c r="I603" t="str">
        <f t="shared" si="9"/>
        <v>Shipped</v>
      </c>
    </row>
    <row r="604" spans="1:9" x14ac:dyDescent="0.3">
      <c r="A604">
        <v>603</v>
      </c>
      <c r="B604">
        <v>1032</v>
      </c>
      <c r="C604">
        <v>4</v>
      </c>
      <c r="D604" s="12">
        <v>42713</v>
      </c>
      <c r="E604" s="12">
        <v>42714</v>
      </c>
      <c r="F604" s="12">
        <v>42714</v>
      </c>
      <c r="G604">
        <v>2</v>
      </c>
      <c r="H604">
        <v>7</v>
      </c>
      <c r="I604" t="str">
        <f t="shared" si="9"/>
        <v>Shipped</v>
      </c>
    </row>
    <row r="605" spans="1:9" x14ac:dyDescent="0.3">
      <c r="A605">
        <v>604</v>
      </c>
      <c r="B605">
        <v>96</v>
      </c>
      <c r="C605">
        <v>4</v>
      </c>
      <c r="D605" s="12">
        <v>42714</v>
      </c>
      <c r="E605" s="12">
        <v>42717</v>
      </c>
      <c r="F605" s="12">
        <v>42716</v>
      </c>
      <c r="G605">
        <v>2</v>
      </c>
      <c r="H605">
        <v>7</v>
      </c>
      <c r="I605" t="str">
        <f t="shared" si="9"/>
        <v>Delivered</v>
      </c>
    </row>
    <row r="606" spans="1:9" x14ac:dyDescent="0.3">
      <c r="A606">
        <v>605</v>
      </c>
      <c r="B606">
        <v>1208</v>
      </c>
      <c r="C606">
        <v>4</v>
      </c>
      <c r="D606" s="12">
        <v>42714</v>
      </c>
      <c r="E606" s="12">
        <v>42715</v>
      </c>
      <c r="F606" s="12">
        <v>42716</v>
      </c>
      <c r="G606">
        <v>2</v>
      </c>
      <c r="H606">
        <v>6</v>
      </c>
      <c r="I606" t="str">
        <f t="shared" si="9"/>
        <v>Shipped</v>
      </c>
    </row>
    <row r="607" spans="1:9" x14ac:dyDescent="0.3">
      <c r="A607">
        <v>606</v>
      </c>
      <c r="B607">
        <v>18</v>
      </c>
      <c r="C607">
        <v>4</v>
      </c>
      <c r="D607" s="12">
        <v>42715</v>
      </c>
      <c r="E607" s="12">
        <v>42716</v>
      </c>
      <c r="F607" s="12">
        <v>42717</v>
      </c>
      <c r="G607">
        <v>2</v>
      </c>
      <c r="H607">
        <v>7</v>
      </c>
      <c r="I607" t="str">
        <f t="shared" si="9"/>
        <v>Shipped</v>
      </c>
    </row>
    <row r="608" spans="1:9" x14ac:dyDescent="0.3">
      <c r="A608">
        <v>607</v>
      </c>
      <c r="B608">
        <v>309</v>
      </c>
      <c r="C608">
        <v>4</v>
      </c>
      <c r="D608" s="12">
        <v>42715</v>
      </c>
      <c r="E608" s="12">
        <v>42718</v>
      </c>
      <c r="F608" s="12">
        <v>42717</v>
      </c>
      <c r="G608">
        <v>2</v>
      </c>
      <c r="H608">
        <v>6</v>
      </c>
      <c r="I608" t="str">
        <f t="shared" si="9"/>
        <v>Delivered</v>
      </c>
    </row>
    <row r="609" spans="1:9" x14ac:dyDescent="0.3">
      <c r="A609">
        <v>608</v>
      </c>
      <c r="B609">
        <v>1103</v>
      </c>
      <c r="C609">
        <v>4</v>
      </c>
      <c r="D609" s="12">
        <v>42716</v>
      </c>
      <c r="E609" s="12">
        <v>42719</v>
      </c>
      <c r="F609" s="12">
        <v>42718</v>
      </c>
      <c r="G609">
        <v>1</v>
      </c>
      <c r="H609">
        <v>3</v>
      </c>
      <c r="I609" t="str">
        <f t="shared" si="9"/>
        <v>Delivered</v>
      </c>
    </row>
    <row r="610" spans="1:9" x14ac:dyDescent="0.3">
      <c r="A610">
        <v>609</v>
      </c>
      <c r="B610">
        <v>896</v>
      </c>
      <c r="C610">
        <v>4</v>
      </c>
      <c r="D610" s="12">
        <v>42716</v>
      </c>
      <c r="E610" s="12">
        <v>42717</v>
      </c>
      <c r="F610" s="12">
        <v>42718</v>
      </c>
      <c r="G610">
        <v>2</v>
      </c>
      <c r="H610">
        <v>7</v>
      </c>
      <c r="I610" t="str">
        <f t="shared" si="9"/>
        <v>Shipped</v>
      </c>
    </row>
    <row r="611" spans="1:9" x14ac:dyDescent="0.3">
      <c r="A611">
        <v>610</v>
      </c>
      <c r="B611">
        <v>711</v>
      </c>
      <c r="C611">
        <v>4</v>
      </c>
      <c r="D611" s="12">
        <v>42717</v>
      </c>
      <c r="E611" s="12">
        <v>42719</v>
      </c>
      <c r="F611" s="12">
        <v>42718</v>
      </c>
      <c r="G611">
        <v>2</v>
      </c>
      <c r="H611">
        <v>6</v>
      </c>
      <c r="I611" t="str">
        <f t="shared" si="9"/>
        <v>Delivered</v>
      </c>
    </row>
    <row r="612" spans="1:9" x14ac:dyDescent="0.3">
      <c r="A612">
        <v>611</v>
      </c>
      <c r="B612">
        <v>1073</v>
      </c>
      <c r="C612">
        <v>4</v>
      </c>
      <c r="D612" s="12">
        <v>42719</v>
      </c>
      <c r="E612" s="12">
        <v>42721</v>
      </c>
      <c r="F612" s="12">
        <v>42722</v>
      </c>
      <c r="G612">
        <v>2</v>
      </c>
      <c r="H612">
        <v>7</v>
      </c>
      <c r="I612" t="str">
        <f t="shared" si="9"/>
        <v>Shipped</v>
      </c>
    </row>
    <row r="613" spans="1:9" x14ac:dyDescent="0.3">
      <c r="A613">
        <v>612</v>
      </c>
      <c r="B613">
        <v>634</v>
      </c>
      <c r="C613">
        <v>4</v>
      </c>
      <c r="D613" s="12">
        <v>42720</v>
      </c>
      <c r="E613" s="12">
        <v>42721</v>
      </c>
      <c r="F613" s="12">
        <v>42721</v>
      </c>
      <c r="G613">
        <v>2</v>
      </c>
      <c r="H613">
        <v>7</v>
      </c>
      <c r="I613" t="str">
        <f t="shared" si="9"/>
        <v>Shipped</v>
      </c>
    </row>
    <row r="614" spans="1:9" x14ac:dyDescent="0.3">
      <c r="A614">
        <v>613</v>
      </c>
      <c r="B614">
        <v>1159</v>
      </c>
      <c r="C614">
        <v>4</v>
      </c>
      <c r="D614" s="12">
        <v>42721</v>
      </c>
      <c r="E614" s="12">
        <v>42723</v>
      </c>
      <c r="F614" s="12">
        <v>42723</v>
      </c>
      <c r="G614">
        <v>2</v>
      </c>
      <c r="H614">
        <v>7</v>
      </c>
      <c r="I614" t="str">
        <f t="shared" si="9"/>
        <v>Shipped</v>
      </c>
    </row>
    <row r="615" spans="1:9" x14ac:dyDescent="0.3">
      <c r="A615">
        <v>614</v>
      </c>
      <c r="B615">
        <v>654</v>
      </c>
      <c r="C615">
        <v>4</v>
      </c>
      <c r="D615" s="12">
        <v>42722</v>
      </c>
      <c r="E615" s="12">
        <v>42725</v>
      </c>
      <c r="F615" s="12">
        <v>42725</v>
      </c>
      <c r="G615">
        <v>1</v>
      </c>
      <c r="H615">
        <v>2</v>
      </c>
      <c r="I615" t="str">
        <f t="shared" si="9"/>
        <v>Shipped</v>
      </c>
    </row>
    <row r="616" spans="1:9" x14ac:dyDescent="0.3">
      <c r="A616">
        <v>615</v>
      </c>
      <c r="B616">
        <v>560</v>
      </c>
      <c r="C616">
        <v>4</v>
      </c>
      <c r="D616" s="12">
        <v>42723</v>
      </c>
      <c r="E616" s="12">
        <v>42726</v>
      </c>
      <c r="F616" s="12">
        <v>42725</v>
      </c>
      <c r="G616">
        <v>3</v>
      </c>
      <c r="H616">
        <v>9</v>
      </c>
      <c r="I616" t="str">
        <f t="shared" si="9"/>
        <v>Delivered</v>
      </c>
    </row>
    <row r="617" spans="1:9" x14ac:dyDescent="0.3">
      <c r="A617">
        <v>616</v>
      </c>
      <c r="B617">
        <v>1444</v>
      </c>
      <c r="C617">
        <v>4</v>
      </c>
      <c r="D617" s="12">
        <v>42724</v>
      </c>
      <c r="E617" s="12">
        <v>42727</v>
      </c>
      <c r="F617" s="12">
        <v>42727</v>
      </c>
      <c r="G617">
        <v>2</v>
      </c>
      <c r="H617">
        <v>6</v>
      </c>
      <c r="I617" t="str">
        <f t="shared" si="9"/>
        <v>Shipped</v>
      </c>
    </row>
    <row r="618" spans="1:9" x14ac:dyDescent="0.3">
      <c r="A618">
        <v>617</v>
      </c>
      <c r="B618">
        <v>118</v>
      </c>
      <c r="C618">
        <v>4</v>
      </c>
      <c r="D618" s="12">
        <v>42725</v>
      </c>
      <c r="E618" s="12">
        <v>42727</v>
      </c>
      <c r="F618" s="12">
        <v>42727</v>
      </c>
      <c r="G618">
        <v>2</v>
      </c>
      <c r="H618">
        <v>7</v>
      </c>
      <c r="I618" t="str">
        <f t="shared" si="9"/>
        <v>Shipped</v>
      </c>
    </row>
    <row r="619" spans="1:9" x14ac:dyDescent="0.3">
      <c r="A619">
        <v>618</v>
      </c>
      <c r="B619">
        <v>131</v>
      </c>
      <c r="C619">
        <v>4</v>
      </c>
      <c r="D619" s="12">
        <v>42725</v>
      </c>
      <c r="E619" s="12">
        <v>42726</v>
      </c>
      <c r="F619" s="12">
        <v>42726</v>
      </c>
      <c r="G619">
        <v>2</v>
      </c>
      <c r="H619">
        <v>6</v>
      </c>
      <c r="I619" t="str">
        <f t="shared" si="9"/>
        <v>Shipped</v>
      </c>
    </row>
    <row r="620" spans="1:9" x14ac:dyDescent="0.3">
      <c r="A620">
        <v>619</v>
      </c>
      <c r="B620">
        <v>454</v>
      </c>
      <c r="C620">
        <v>4</v>
      </c>
      <c r="D620" s="12">
        <v>42726</v>
      </c>
      <c r="E620" s="12">
        <v>42729</v>
      </c>
      <c r="F620" s="12">
        <v>42729</v>
      </c>
      <c r="G620">
        <v>2</v>
      </c>
      <c r="H620">
        <v>7</v>
      </c>
      <c r="I620" t="str">
        <f t="shared" si="9"/>
        <v>Shipped</v>
      </c>
    </row>
    <row r="621" spans="1:9" x14ac:dyDescent="0.3">
      <c r="A621">
        <v>620</v>
      </c>
      <c r="B621">
        <v>466</v>
      </c>
      <c r="C621">
        <v>4</v>
      </c>
      <c r="D621" s="12">
        <v>42726</v>
      </c>
      <c r="E621" s="12">
        <v>42728</v>
      </c>
      <c r="F621" s="12">
        <v>42728</v>
      </c>
      <c r="G621">
        <v>2</v>
      </c>
      <c r="H621">
        <v>6</v>
      </c>
      <c r="I621" t="str">
        <f t="shared" si="9"/>
        <v>Shipped</v>
      </c>
    </row>
    <row r="622" spans="1:9" x14ac:dyDescent="0.3">
      <c r="A622">
        <v>621</v>
      </c>
      <c r="B622">
        <v>1157</v>
      </c>
      <c r="C622">
        <v>4</v>
      </c>
      <c r="D622" s="12">
        <v>42727</v>
      </c>
      <c r="E622" s="12">
        <v>42729</v>
      </c>
      <c r="F622" s="12">
        <v>42728</v>
      </c>
      <c r="G622">
        <v>2</v>
      </c>
      <c r="H622">
        <v>6</v>
      </c>
      <c r="I622" t="str">
        <f t="shared" si="9"/>
        <v>Delivered</v>
      </c>
    </row>
    <row r="623" spans="1:9" x14ac:dyDescent="0.3">
      <c r="A623">
        <v>622</v>
      </c>
      <c r="B623">
        <v>1398</v>
      </c>
      <c r="C623">
        <v>4</v>
      </c>
      <c r="D623" s="12">
        <v>42727</v>
      </c>
      <c r="E623" s="12">
        <v>42730</v>
      </c>
      <c r="F623" s="12">
        <v>42729</v>
      </c>
      <c r="G623">
        <v>2</v>
      </c>
      <c r="H623">
        <v>7</v>
      </c>
      <c r="I623" t="str">
        <f t="shared" si="9"/>
        <v>Delivered</v>
      </c>
    </row>
    <row r="624" spans="1:9" x14ac:dyDescent="0.3">
      <c r="A624">
        <v>623</v>
      </c>
      <c r="B624">
        <v>678</v>
      </c>
      <c r="C624">
        <v>4</v>
      </c>
      <c r="D624" s="12">
        <v>42728</v>
      </c>
      <c r="E624" s="12">
        <v>42730</v>
      </c>
      <c r="F624" s="12">
        <v>42731</v>
      </c>
      <c r="G624">
        <v>2</v>
      </c>
      <c r="H624">
        <v>6</v>
      </c>
      <c r="I624" t="str">
        <f t="shared" si="9"/>
        <v>Shipped</v>
      </c>
    </row>
    <row r="625" spans="1:9" x14ac:dyDescent="0.3">
      <c r="A625">
        <v>624</v>
      </c>
      <c r="B625">
        <v>814</v>
      </c>
      <c r="C625">
        <v>4</v>
      </c>
      <c r="D625" s="12">
        <v>42728</v>
      </c>
      <c r="E625" s="12">
        <v>42729</v>
      </c>
      <c r="F625" s="12">
        <v>42731</v>
      </c>
      <c r="G625">
        <v>2</v>
      </c>
      <c r="H625">
        <v>6</v>
      </c>
      <c r="I625" t="str">
        <f t="shared" si="9"/>
        <v>Shipped</v>
      </c>
    </row>
    <row r="626" spans="1:9" x14ac:dyDescent="0.3">
      <c r="A626">
        <v>625</v>
      </c>
      <c r="B626">
        <v>1163</v>
      </c>
      <c r="C626">
        <v>4</v>
      </c>
      <c r="D626" s="12">
        <v>42729</v>
      </c>
      <c r="E626" s="12">
        <v>42732</v>
      </c>
      <c r="F626" s="12">
        <v>42730</v>
      </c>
      <c r="G626">
        <v>1</v>
      </c>
      <c r="H626">
        <v>2</v>
      </c>
      <c r="I626" t="str">
        <f t="shared" si="9"/>
        <v>Delivered</v>
      </c>
    </row>
    <row r="627" spans="1:9" x14ac:dyDescent="0.3">
      <c r="A627">
        <v>626</v>
      </c>
      <c r="B627">
        <v>130</v>
      </c>
      <c r="C627">
        <v>4</v>
      </c>
      <c r="D627" s="12">
        <v>42729</v>
      </c>
      <c r="E627" s="12">
        <v>42732</v>
      </c>
      <c r="F627" s="12">
        <v>42731</v>
      </c>
      <c r="G627">
        <v>2</v>
      </c>
      <c r="H627">
        <v>7</v>
      </c>
      <c r="I627" t="str">
        <f t="shared" si="9"/>
        <v>Delivered</v>
      </c>
    </row>
    <row r="628" spans="1:9" x14ac:dyDescent="0.3">
      <c r="A628">
        <v>627</v>
      </c>
      <c r="B628">
        <v>1119</v>
      </c>
      <c r="C628">
        <v>4</v>
      </c>
      <c r="D628" s="12">
        <v>42729</v>
      </c>
      <c r="E628" s="12">
        <v>42730</v>
      </c>
      <c r="F628" s="12">
        <v>42732</v>
      </c>
      <c r="G628">
        <v>2</v>
      </c>
      <c r="H628">
        <v>6</v>
      </c>
      <c r="I628" t="str">
        <f t="shared" si="9"/>
        <v>Shipped</v>
      </c>
    </row>
    <row r="629" spans="1:9" x14ac:dyDescent="0.3">
      <c r="A629">
        <v>628</v>
      </c>
      <c r="B629">
        <v>561</v>
      </c>
      <c r="C629">
        <v>4</v>
      </c>
      <c r="D629" s="12">
        <v>42730</v>
      </c>
      <c r="E629" s="12">
        <v>42733</v>
      </c>
      <c r="F629" s="12">
        <v>42731</v>
      </c>
      <c r="G629">
        <v>1</v>
      </c>
      <c r="H629">
        <v>3</v>
      </c>
      <c r="I629" t="str">
        <f t="shared" si="9"/>
        <v>Delivered</v>
      </c>
    </row>
    <row r="630" spans="1:9" x14ac:dyDescent="0.3">
      <c r="A630">
        <v>629</v>
      </c>
      <c r="B630">
        <v>973</v>
      </c>
      <c r="C630">
        <v>4</v>
      </c>
      <c r="D630" s="12">
        <v>42730</v>
      </c>
      <c r="E630" s="12">
        <v>42731</v>
      </c>
      <c r="F630" s="12">
        <v>42733</v>
      </c>
      <c r="G630">
        <v>1</v>
      </c>
      <c r="H630">
        <v>2</v>
      </c>
      <c r="I630" t="str">
        <f t="shared" si="9"/>
        <v>Shipped</v>
      </c>
    </row>
    <row r="631" spans="1:9" x14ac:dyDescent="0.3">
      <c r="A631">
        <v>630</v>
      </c>
      <c r="B631">
        <v>1404</v>
      </c>
      <c r="C631">
        <v>4</v>
      </c>
      <c r="D631" s="12">
        <v>42730</v>
      </c>
      <c r="E631" s="12">
        <v>42731</v>
      </c>
      <c r="F631" s="12">
        <v>42732</v>
      </c>
      <c r="G631">
        <v>2</v>
      </c>
      <c r="H631">
        <v>6</v>
      </c>
      <c r="I631" t="str">
        <f t="shared" si="9"/>
        <v>Shipped</v>
      </c>
    </row>
    <row r="632" spans="1:9" x14ac:dyDescent="0.3">
      <c r="A632">
        <v>631</v>
      </c>
      <c r="B632">
        <v>855</v>
      </c>
      <c r="C632">
        <v>4</v>
      </c>
      <c r="D632" s="12">
        <v>42731</v>
      </c>
      <c r="E632" s="12">
        <v>42733</v>
      </c>
      <c r="F632" s="12">
        <v>42733</v>
      </c>
      <c r="G632">
        <v>1</v>
      </c>
      <c r="H632">
        <v>3</v>
      </c>
      <c r="I632" t="str">
        <f t="shared" si="9"/>
        <v>Shipped</v>
      </c>
    </row>
    <row r="633" spans="1:9" x14ac:dyDescent="0.3">
      <c r="A633">
        <v>632</v>
      </c>
      <c r="B633">
        <v>163</v>
      </c>
      <c r="C633">
        <v>4</v>
      </c>
      <c r="D633" s="12">
        <v>42731</v>
      </c>
      <c r="E633" s="12">
        <v>42733</v>
      </c>
      <c r="F633" s="12">
        <v>42733</v>
      </c>
      <c r="G633">
        <v>2</v>
      </c>
      <c r="H633">
        <v>7</v>
      </c>
      <c r="I633" t="str">
        <f t="shared" si="9"/>
        <v>Shipped</v>
      </c>
    </row>
    <row r="634" spans="1:9" x14ac:dyDescent="0.3">
      <c r="A634">
        <v>633</v>
      </c>
      <c r="B634">
        <v>1040</v>
      </c>
      <c r="C634">
        <v>4</v>
      </c>
      <c r="D634" s="12">
        <v>42732</v>
      </c>
      <c r="E634" s="12">
        <v>42735</v>
      </c>
      <c r="F634" s="12">
        <v>42734</v>
      </c>
      <c r="G634">
        <v>3</v>
      </c>
      <c r="H634">
        <v>8</v>
      </c>
      <c r="I634" t="str">
        <f t="shared" si="9"/>
        <v>Delivered</v>
      </c>
    </row>
    <row r="635" spans="1:9" x14ac:dyDescent="0.3">
      <c r="A635">
        <v>634</v>
      </c>
      <c r="B635">
        <v>27</v>
      </c>
      <c r="C635">
        <v>4</v>
      </c>
      <c r="D635" s="12">
        <v>42733</v>
      </c>
      <c r="E635" s="12">
        <v>42736</v>
      </c>
      <c r="F635" s="12">
        <v>42734</v>
      </c>
      <c r="G635">
        <v>2</v>
      </c>
      <c r="H635">
        <v>6</v>
      </c>
      <c r="I635" t="str">
        <f t="shared" si="9"/>
        <v>Delivered</v>
      </c>
    </row>
    <row r="636" spans="1:9" x14ac:dyDescent="0.3">
      <c r="A636">
        <v>635</v>
      </c>
      <c r="B636">
        <v>520</v>
      </c>
      <c r="C636">
        <v>4</v>
      </c>
      <c r="D636" s="12">
        <v>42734</v>
      </c>
      <c r="E636" s="12">
        <v>42737</v>
      </c>
      <c r="F636" s="12">
        <v>42735</v>
      </c>
      <c r="G636">
        <v>2</v>
      </c>
      <c r="H636">
        <v>6</v>
      </c>
      <c r="I636" t="str">
        <f t="shared" si="9"/>
        <v>Delivered</v>
      </c>
    </row>
    <row r="637" spans="1:9" x14ac:dyDescent="0.3">
      <c r="A637">
        <v>636</v>
      </c>
      <c r="B637">
        <v>532</v>
      </c>
      <c r="C637">
        <v>4</v>
      </c>
      <c r="D637" s="12">
        <v>42738</v>
      </c>
      <c r="E637" s="12">
        <v>42739</v>
      </c>
      <c r="F637" s="12">
        <v>42740</v>
      </c>
      <c r="G637">
        <v>1</v>
      </c>
      <c r="H637">
        <v>2</v>
      </c>
      <c r="I637" t="str">
        <f t="shared" si="9"/>
        <v>Shipped</v>
      </c>
    </row>
    <row r="638" spans="1:9" x14ac:dyDescent="0.3">
      <c r="A638">
        <v>637</v>
      </c>
      <c r="B638">
        <v>512</v>
      </c>
      <c r="C638">
        <v>4</v>
      </c>
      <c r="D638" s="12">
        <v>42738</v>
      </c>
      <c r="E638" s="12">
        <v>42740</v>
      </c>
      <c r="F638" s="12">
        <v>42740</v>
      </c>
      <c r="G638">
        <v>2</v>
      </c>
      <c r="H638">
        <v>6</v>
      </c>
      <c r="I638" t="str">
        <f t="shared" si="9"/>
        <v>Shipped</v>
      </c>
    </row>
    <row r="639" spans="1:9" x14ac:dyDescent="0.3">
      <c r="A639">
        <v>638</v>
      </c>
      <c r="B639">
        <v>1302</v>
      </c>
      <c r="C639">
        <v>4</v>
      </c>
      <c r="D639" s="12">
        <v>42739</v>
      </c>
      <c r="E639" s="12">
        <v>42740</v>
      </c>
      <c r="F639" s="12">
        <v>42741</v>
      </c>
      <c r="G639">
        <v>2</v>
      </c>
      <c r="H639">
        <v>7</v>
      </c>
      <c r="I639" t="str">
        <f t="shared" si="9"/>
        <v>Shipped</v>
      </c>
    </row>
    <row r="640" spans="1:9" x14ac:dyDescent="0.3">
      <c r="A640">
        <v>639</v>
      </c>
      <c r="B640">
        <v>550</v>
      </c>
      <c r="C640">
        <v>4</v>
      </c>
      <c r="D640" s="12">
        <v>42741</v>
      </c>
      <c r="E640" s="12">
        <v>42742</v>
      </c>
      <c r="F640" s="12">
        <v>42742</v>
      </c>
      <c r="G640">
        <v>2</v>
      </c>
      <c r="H640">
        <v>6</v>
      </c>
      <c r="I640" t="str">
        <f t="shared" si="9"/>
        <v>Shipped</v>
      </c>
    </row>
    <row r="641" spans="1:9" x14ac:dyDescent="0.3">
      <c r="A641">
        <v>640</v>
      </c>
      <c r="B641">
        <v>1093</v>
      </c>
      <c r="C641">
        <v>4</v>
      </c>
      <c r="D641" s="12">
        <v>42741</v>
      </c>
      <c r="E641" s="12">
        <v>42743</v>
      </c>
      <c r="F641" s="12">
        <v>42742</v>
      </c>
      <c r="G641">
        <v>2</v>
      </c>
      <c r="H641">
        <v>6</v>
      </c>
      <c r="I641" t="str">
        <f t="shared" si="9"/>
        <v>Delivered</v>
      </c>
    </row>
    <row r="642" spans="1:9" x14ac:dyDescent="0.3">
      <c r="A642">
        <v>641</v>
      </c>
      <c r="B642">
        <v>673</v>
      </c>
      <c r="C642">
        <v>4</v>
      </c>
      <c r="D642" s="12">
        <v>42742</v>
      </c>
      <c r="E642" s="12">
        <v>42745</v>
      </c>
      <c r="F642" s="12">
        <v>42743</v>
      </c>
      <c r="G642">
        <v>1</v>
      </c>
      <c r="H642">
        <v>3</v>
      </c>
      <c r="I642" t="str">
        <f t="shared" si="9"/>
        <v>Delivered</v>
      </c>
    </row>
    <row r="643" spans="1:9" x14ac:dyDescent="0.3">
      <c r="A643">
        <v>642</v>
      </c>
      <c r="B643">
        <v>847</v>
      </c>
      <c r="C643">
        <v>4</v>
      </c>
      <c r="D643" s="12">
        <v>42742</v>
      </c>
      <c r="E643" s="12">
        <v>42744</v>
      </c>
      <c r="F643" s="12">
        <v>42745</v>
      </c>
      <c r="G643">
        <v>2</v>
      </c>
      <c r="H643">
        <v>7</v>
      </c>
      <c r="I643" t="str">
        <f t="shared" ref="I643:I706" si="10">IF(F643="NA","Pending",IF(OR(E643=F643,E643&lt;F643),"Shipped","Delivered"))</f>
        <v>Shipped</v>
      </c>
    </row>
    <row r="644" spans="1:9" x14ac:dyDescent="0.3">
      <c r="A644">
        <v>643</v>
      </c>
      <c r="B644">
        <v>901</v>
      </c>
      <c r="C644">
        <v>4</v>
      </c>
      <c r="D644" s="12">
        <v>42743</v>
      </c>
      <c r="E644" s="12">
        <v>42744</v>
      </c>
      <c r="F644" s="12">
        <v>42746</v>
      </c>
      <c r="G644">
        <v>1</v>
      </c>
      <c r="H644">
        <v>3</v>
      </c>
      <c r="I644" t="str">
        <f t="shared" si="10"/>
        <v>Shipped</v>
      </c>
    </row>
    <row r="645" spans="1:9" x14ac:dyDescent="0.3">
      <c r="A645">
        <v>644</v>
      </c>
      <c r="B645">
        <v>439</v>
      </c>
      <c r="C645">
        <v>4</v>
      </c>
      <c r="D645" s="12">
        <v>42743</v>
      </c>
      <c r="E645" s="12">
        <v>42746</v>
      </c>
      <c r="F645" s="12">
        <v>42745</v>
      </c>
      <c r="G645">
        <v>2</v>
      </c>
      <c r="H645">
        <v>6</v>
      </c>
      <c r="I645" t="str">
        <f t="shared" si="10"/>
        <v>Delivered</v>
      </c>
    </row>
    <row r="646" spans="1:9" x14ac:dyDescent="0.3">
      <c r="A646">
        <v>645</v>
      </c>
      <c r="B646">
        <v>1199</v>
      </c>
      <c r="C646">
        <v>4</v>
      </c>
      <c r="D646" s="12">
        <v>42743</v>
      </c>
      <c r="E646" s="12">
        <v>42746</v>
      </c>
      <c r="F646" s="12">
        <v>42745</v>
      </c>
      <c r="G646">
        <v>2</v>
      </c>
      <c r="H646">
        <v>6</v>
      </c>
      <c r="I646" t="str">
        <f t="shared" si="10"/>
        <v>Delivered</v>
      </c>
    </row>
    <row r="647" spans="1:9" x14ac:dyDescent="0.3">
      <c r="A647">
        <v>646</v>
      </c>
      <c r="B647">
        <v>975</v>
      </c>
      <c r="C647">
        <v>4</v>
      </c>
      <c r="D647" s="12">
        <v>42744</v>
      </c>
      <c r="E647" s="12">
        <v>42747</v>
      </c>
      <c r="F647" s="12">
        <v>42746</v>
      </c>
      <c r="G647">
        <v>1</v>
      </c>
      <c r="H647">
        <v>2</v>
      </c>
      <c r="I647" t="str">
        <f t="shared" si="10"/>
        <v>Delivered</v>
      </c>
    </row>
    <row r="648" spans="1:9" x14ac:dyDescent="0.3">
      <c r="A648">
        <v>647</v>
      </c>
      <c r="B648">
        <v>283</v>
      </c>
      <c r="C648">
        <v>4</v>
      </c>
      <c r="D648" s="12">
        <v>42744</v>
      </c>
      <c r="E648" s="12">
        <v>42745</v>
      </c>
      <c r="F648" s="12">
        <v>42746</v>
      </c>
      <c r="G648">
        <v>2</v>
      </c>
      <c r="H648">
        <v>7</v>
      </c>
      <c r="I648" t="str">
        <f t="shared" si="10"/>
        <v>Shipped</v>
      </c>
    </row>
    <row r="649" spans="1:9" x14ac:dyDescent="0.3">
      <c r="A649">
        <v>648</v>
      </c>
      <c r="B649">
        <v>684</v>
      </c>
      <c r="C649">
        <v>4</v>
      </c>
      <c r="D649" s="12">
        <v>42744</v>
      </c>
      <c r="E649" s="12">
        <v>42746</v>
      </c>
      <c r="F649" s="12">
        <v>42746</v>
      </c>
      <c r="G649">
        <v>2</v>
      </c>
      <c r="H649">
        <v>6</v>
      </c>
      <c r="I649" t="str">
        <f t="shared" si="10"/>
        <v>Shipped</v>
      </c>
    </row>
    <row r="650" spans="1:9" x14ac:dyDescent="0.3">
      <c r="A650">
        <v>649</v>
      </c>
      <c r="B650">
        <v>1153</v>
      </c>
      <c r="C650">
        <v>4</v>
      </c>
      <c r="D650" s="12">
        <v>42745</v>
      </c>
      <c r="E650" s="12">
        <v>42746</v>
      </c>
      <c r="F650" s="12">
        <v>42748</v>
      </c>
      <c r="G650">
        <v>1</v>
      </c>
      <c r="H650">
        <v>3</v>
      </c>
      <c r="I650" t="str">
        <f t="shared" si="10"/>
        <v>Shipped</v>
      </c>
    </row>
    <row r="651" spans="1:9" x14ac:dyDescent="0.3">
      <c r="A651">
        <v>650</v>
      </c>
      <c r="B651">
        <v>729</v>
      </c>
      <c r="C651">
        <v>4</v>
      </c>
      <c r="D651" s="12">
        <v>42746</v>
      </c>
      <c r="E651" s="12">
        <v>42749</v>
      </c>
      <c r="F651" s="12">
        <v>42747</v>
      </c>
      <c r="G651">
        <v>1</v>
      </c>
      <c r="H651">
        <v>2</v>
      </c>
      <c r="I651" t="str">
        <f t="shared" si="10"/>
        <v>Delivered</v>
      </c>
    </row>
    <row r="652" spans="1:9" x14ac:dyDescent="0.3">
      <c r="A652">
        <v>651</v>
      </c>
      <c r="B652">
        <v>190</v>
      </c>
      <c r="C652">
        <v>4</v>
      </c>
      <c r="D652" s="12">
        <v>42746</v>
      </c>
      <c r="E652" s="12">
        <v>42748</v>
      </c>
      <c r="F652" s="12">
        <v>42748</v>
      </c>
      <c r="G652">
        <v>2</v>
      </c>
      <c r="H652">
        <v>7</v>
      </c>
      <c r="I652" t="str">
        <f t="shared" si="10"/>
        <v>Shipped</v>
      </c>
    </row>
    <row r="653" spans="1:9" x14ac:dyDescent="0.3">
      <c r="A653">
        <v>652</v>
      </c>
      <c r="B653">
        <v>985</v>
      </c>
      <c r="C653">
        <v>4</v>
      </c>
      <c r="D653" s="12">
        <v>42747</v>
      </c>
      <c r="E653" s="12">
        <v>42750</v>
      </c>
      <c r="F653" s="12">
        <v>42748</v>
      </c>
      <c r="G653">
        <v>3</v>
      </c>
      <c r="H653">
        <v>9</v>
      </c>
      <c r="I653" t="str">
        <f t="shared" si="10"/>
        <v>Delivered</v>
      </c>
    </row>
    <row r="654" spans="1:9" x14ac:dyDescent="0.3">
      <c r="A654">
        <v>653</v>
      </c>
      <c r="B654">
        <v>1249</v>
      </c>
      <c r="C654">
        <v>4</v>
      </c>
      <c r="D654" s="12">
        <v>42749</v>
      </c>
      <c r="E654" s="12">
        <v>42752</v>
      </c>
      <c r="F654" s="12">
        <v>42750</v>
      </c>
      <c r="G654">
        <v>1</v>
      </c>
      <c r="H654">
        <v>2</v>
      </c>
      <c r="I654" t="str">
        <f t="shared" si="10"/>
        <v>Delivered</v>
      </c>
    </row>
    <row r="655" spans="1:9" x14ac:dyDescent="0.3">
      <c r="A655">
        <v>654</v>
      </c>
      <c r="B655">
        <v>1129</v>
      </c>
      <c r="C655">
        <v>4</v>
      </c>
      <c r="D655" s="12">
        <v>42749</v>
      </c>
      <c r="E655" s="12">
        <v>42750</v>
      </c>
      <c r="F655" s="12">
        <v>42752</v>
      </c>
      <c r="G655">
        <v>2</v>
      </c>
      <c r="H655">
        <v>7</v>
      </c>
      <c r="I655" t="str">
        <f t="shared" si="10"/>
        <v>Shipped</v>
      </c>
    </row>
    <row r="656" spans="1:9" x14ac:dyDescent="0.3">
      <c r="A656">
        <v>655</v>
      </c>
      <c r="B656">
        <v>347</v>
      </c>
      <c r="C656">
        <v>4</v>
      </c>
      <c r="D656" s="12">
        <v>42751</v>
      </c>
      <c r="E656" s="12">
        <v>42752</v>
      </c>
      <c r="F656" s="12">
        <v>42753</v>
      </c>
      <c r="G656">
        <v>1</v>
      </c>
      <c r="H656">
        <v>3</v>
      </c>
      <c r="I656" t="str">
        <f t="shared" si="10"/>
        <v>Shipped</v>
      </c>
    </row>
    <row r="657" spans="1:9" x14ac:dyDescent="0.3">
      <c r="A657">
        <v>656</v>
      </c>
      <c r="B657">
        <v>949</v>
      </c>
      <c r="C657">
        <v>4</v>
      </c>
      <c r="D657" s="12">
        <v>42751</v>
      </c>
      <c r="E657" s="12">
        <v>42752</v>
      </c>
      <c r="F657" s="12">
        <v>42753</v>
      </c>
      <c r="G657">
        <v>2</v>
      </c>
      <c r="H657">
        <v>7</v>
      </c>
      <c r="I657" t="str">
        <f t="shared" si="10"/>
        <v>Shipped</v>
      </c>
    </row>
    <row r="658" spans="1:9" x14ac:dyDescent="0.3">
      <c r="A658">
        <v>657</v>
      </c>
      <c r="B658">
        <v>349</v>
      </c>
      <c r="C658">
        <v>4</v>
      </c>
      <c r="D658" s="12">
        <v>42752</v>
      </c>
      <c r="E658" s="12">
        <v>42754</v>
      </c>
      <c r="F658" s="12">
        <v>42755</v>
      </c>
      <c r="G658">
        <v>1</v>
      </c>
      <c r="H658">
        <v>2</v>
      </c>
      <c r="I658" t="str">
        <f t="shared" si="10"/>
        <v>Shipped</v>
      </c>
    </row>
    <row r="659" spans="1:9" x14ac:dyDescent="0.3">
      <c r="A659">
        <v>658</v>
      </c>
      <c r="B659">
        <v>1051</v>
      </c>
      <c r="C659">
        <v>4</v>
      </c>
      <c r="D659" s="12">
        <v>42752</v>
      </c>
      <c r="E659" s="12">
        <v>42753</v>
      </c>
      <c r="F659" s="12">
        <v>42753</v>
      </c>
      <c r="G659">
        <v>2</v>
      </c>
      <c r="H659">
        <v>7</v>
      </c>
      <c r="I659" t="str">
        <f t="shared" si="10"/>
        <v>Shipped</v>
      </c>
    </row>
    <row r="660" spans="1:9" x14ac:dyDescent="0.3">
      <c r="A660">
        <v>659</v>
      </c>
      <c r="B660">
        <v>1391</v>
      </c>
      <c r="C660">
        <v>4</v>
      </c>
      <c r="D660" s="12">
        <v>42752</v>
      </c>
      <c r="E660" s="12">
        <v>42754</v>
      </c>
      <c r="F660" s="12">
        <v>42753</v>
      </c>
      <c r="G660">
        <v>2</v>
      </c>
      <c r="H660">
        <v>7</v>
      </c>
      <c r="I660" t="str">
        <f t="shared" si="10"/>
        <v>Delivered</v>
      </c>
    </row>
    <row r="661" spans="1:9" x14ac:dyDescent="0.3">
      <c r="A661">
        <v>660</v>
      </c>
      <c r="B661">
        <v>383</v>
      </c>
      <c r="C661">
        <v>4</v>
      </c>
      <c r="D661" s="12">
        <v>42753</v>
      </c>
      <c r="E661" s="12">
        <v>42754</v>
      </c>
      <c r="F661" s="12">
        <v>42754</v>
      </c>
      <c r="G661">
        <v>2</v>
      </c>
      <c r="H661">
        <v>7</v>
      </c>
      <c r="I661" t="str">
        <f t="shared" si="10"/>
        <v>Shipped</v>
      </c>
    </row>
    <row r="662" spans="1:9" x14ac:dyDescent="0.3">
      <c r="A662">
        <v>661</v>
      </c>
      <c r="B662">
        <v>626</v>
      </c>
      <c r="C662">
        <v>4</v>
      </c>
      <c r="D662" s="12">
        <v>42753</v>
      </c>
      <c r="E662" s="12">
        <v>42754</v>
      </c>
      <c r="F662" s="12">
        <v>42755</v>
      </c>
      <c r="G662">
        <v>2</v>
      </c>
      <c r="H662">
        <v>6</v>
      </c>
      <c r="I662" t="str">
        <f t="shared" si="10"/>
        <v>Shipped</v>
      </c>
    </row>
    <row r="663" spans="1:9" x14ac:dyDescent="0.3">
      <c r="A663">
        <v>662</v>
      </c>
      <c r="B663">
        <v>1125</v>
      </c>
      <c r="C663">
        <v>4</v>
      </c>
      <c r="D663" s="12">
        <v>42754</v>
      </c>
      <c r="E663" s="12">
        <v>42755</v>
      </c>
      <c r="F663" s="12">
        <v>42755</v>
      </c>
      <c r="G663">
        <v>1</v>
      </c>
      <c r="H663">
        <v>3</v>
      </c>
      <c r="I663" t="str">
        <f t="shared" si="10"/>
        <v>Shipped</v>
      </c>
    </row>
    <row r="664" spans="1:9" x14ac:dyDescent="0.3">
      <c r="A664">
        <v>663</v>
      </c>
      <c r="B664">
        <v>344</v>
      </c>
      <c r="C664">
        <v>4</v>
      </c>
      <c r="D664" s="12">
        <v>42755</v>
      </c>
      <c r="E664" s="12">
        <v>42757</v>
      </c>
      <c r="F664" s="12">
        <v>42758</v>
      </c>
      <c r="G664">
        <v>1</v>
      </c>
      <c r="H664">
        <v>3</v>
      </c>
      <c r="I664" t="str">
        <f t="shared" si="10"/>
        <v>Shipped</v>
      </c>
    </row>
    <row r="665" spans="1:9" x14ac:dyDescent="0.3">
      <c r="A665">
        <v>664</v>
      </c>
      <c r="B665">
        <v>681</v>
      </c>
      <c r="C665">
        <v>4</v>
      </c>
      <c r="D665" s="12">
        <v>42755</v>
      </c>
      <c r="E665" s="12">
        <v>42758</v>
      </c>
      <c r="F665" s="12">
        <v>42757</v>
      </c>
      <c r="G665">
        <v>2</v>
      </c>
      <c r="H665">
        <v>7</v>
      </c>
      <c r="I665" t="str">
        <f t="shared" si="10"/>
        <v>Delivered</v>
      </c>
    </row>
    <row r="666" spans="1:9" x14ac:dyDescent="0.3">
      <c r="A666">
        <v>665</v>
      </c>
      <c r="B666">
        <v>29</v>
      </c>
      <c r="C666">
        <v>4</v>
      </c>
      <c r="D666" s="12">
        <v>42756</v>
      </c>
      <c r="E666" s="12">
        <v>42757</v>
      </c>
      <c r="F666" s="12">
        <v>42758</v>
      </c>
      <c r="G666">
        <v>2</v>
      </c>
      <c r="H666">
        <v>6</v>
      </c>
      <c r="I666" t="str">
        <f t="shared" si="10"/>
        <v>Shipped</v>
      </c>
    </row>
    <row r="667" spans="1:9" x14ac:dyDescent="0.3">
      <c r="A667">
        <v>666</v>
      </c>
      <c r="B667">
        <v>770</v>
      </c>
      <c r="C667">
        <v>4</v>
      </c>
      <c r="D667" s="12">
        <v>42756</v>
      </c>
      <c r="E667" s="12">
        <v>42757</v>
      </c>
      <c r="F667" s="12">
        <v>42759</v>
      </c>
      <c r="G667">
        <v>2</v>
      </c>
      <c r="H667">
        <v>7</v>
      </c>
      <c r="I667" t="str">
        <f t="shared" si="10"/>
        <v>Shipped</v>
      </c>
    </row>
    <row r="668" spans="1:9" x14ac:dyDescent="0.3">
      <c r="A668">
        <v>667</v>
      </c>
      <c r="B668">
        <v>858</v>
      </c>
      <c r="C668">
        <v>4</v>
      </c>
      <c r="D668" s="12">
        <v>42757</v>
      </c>
      <c r="E668" s="12">
        <v>42759</v>
      </c>
      <c r="F668" s="12">
        <v>42760</v>
      </c>
      <c r="G668">
        <v>2</v>
      </c>
      <c r="H668">
        <v>7</v>
      </c>
      <c r="I668" t="str">
        <f t="shared" si="10"/>
        <v>Shipped</v>
      </c>
    </row>
    <row r="669" spans="1:9" x14ac:dyDescent="0.3">
      <c r="A669">
        <v>668</v>
      </c>
      <c r="B669">
        <v>297</v>
      </c>
      <c r="C669">
        <v>4</v>
      </c>
      <c r="D669" s="12">
        <v>42757</v>
      </c>
      <c r="E669" s="12">
        <v>42758</v>
      </c>
      <c r="F669" s="12">
        <v>42759</v>
      </c>
      <c r="G669">
        <v>3</v>
      </c>
      <c r="H669">
        <v>8</v>
      </c>
      <c r="I669" t="str">
        <f t="shared" si="10"/>
        <v>Shipped</v>
      </c>
    </row>
    <row r="670" spans="1:9" x14ac:dyDescent="0.3">
      <c r="A670">
        <v>669</v>
      </c>
      <c r="B670">
        <v>745</v>
      </c>
      <c r="C670">
        <v>4</v>
      </c>
      <c r="D670" s="12">
        <v>42758</v>
      </c>
      <c r="E670" s="12">
        <v>42759</v>
      </c>
      <c r="F670" s="12">
        <v>42761</v>
      </c>
      <c r="G670">
        <v>2</v>
      </c>
      <c r="H670">
        <v>7</v>
      </c>
      <c r="I670" t="str">
        <f t="shared" si="10"/>
        <v>Shipped</v>
      </c>
    </row>
    <row r="671" spans="1:9" x14ac:dyDescent="0.3">
      <c r="A671">
        <v>670</v>
      </c>
      <c r="B671">
        <v>361</v>
      </c>
      <c r="C671">
        <v>4</v>
      </c>
      <c r="D671" s="12">
        <v>42759</v>
      </c>
      <c r="E671" s="12">
        <v>42760</v>
      </c>
      <c r="F671" s="12">
        <v>42760</v>
      </c>
      <c r="G671">
        <v>2</v>
      </c>
      <c r="H671">
        <v>6</v>
      </c>
      <c r="I671" t="str">
        <f t="shared" si="10"/>
        <v>Shipped</v>
      </c>
    </row>
    <row r="672" spans="1:9" x14ac:dyDescent="0.3">
      <c r="A672">
        <v>671</v>
      </c>
      <c r="B672">
        <v>922</v>
      </c>
      <c r="C672">
        <v>4</v>
      </c>
      <c r="D672" s="12">
        <v>42760</v>
      </c>
      <c r="E672" s="12">
        <v>42763</v>
      </c>
      <c r="F672" s="12">
        <v>42761</v>
      </c>
      <c r="G672">
        <v>2</v>
      </c>
      <c r="H672">
        <v>7</v>
      </c>
      <c r="I672" t="str">
        <f t="shared" si="10"/>
        <v>Delivered</v>
      </c>
    </row>
    <row r="673" spans="1:9" x14ac:dyDescent="0.3">
      <c r="A673">
        <v>672</v>
      </c>
      <c r="B673">
        <v>908</v>
      </c>
      <c r="C673">
        <v>4</v>
      </c>
      <c r="D673" s="12">
        <v>42761</v>
      </c>
      <c r="E673" s="12">
        <v>42764</v>
      </c>
      <c r="F673" s="12">
        <v>42764</v>
      </c>
      <c r="G673">
        <v>2</v>
      </c>
      <c r="H673">
        <v>6</v>
      </c>
      <c r="I673" t="str">
        <f t="shared" si="10"/>
        <v>Shipped</v>
      </c>
    </row>
    <row r="674" spans="1:9" x14ac:dyDescent="0.3">
      <c r="A674">
        <v>673</v>
      </c>
      <c r="B674">
        <v>64</v>
      </c>
      <c r="C674">
        <v>4</v>
      </c>
      <c r="D674" s="12">
        <v>42761</v>
      </c>
      <c r="E674" s="12">
        <v>42763</v>
      </c>
      <c r="F674" s="12">
        <v>42762</v>
      </c>
      <c r="G674">
        <v>3</v>
      </c>
      <c r="H674">
        <v>9</v>
      </c>
      <c r="I674" t="str">
        <f t="shared" si="10"/>
        <v>Delivered</v>
      </c>
    </row>
    <row r="675" spans="1:9" x14ac:dyDescent="0.3">
      <c r="A675">
        <v>674</v>
      </c>
      <c r="B675">
        <v>733</v>
      </c>
      <c r="C675">
        <v>4</v>
      </c>
      <c r="D675" s="12">
        <v>42762</v>
      </c>
      <c r="E675" s="12">
        <v>42763</v>
      </c>
      <c r="F675" s="12">
        <v>42764</v>
      </c>
      <c r="G675">
        <v>2</v>
      </c>
      <c r="H675">
        <v>6</v>
      </c>
      <c r="I675" t="str">
        <f t="shared" si="10"/>
        <v>Shipped</v>
      </c>
    </row>
    <row r="676" spans="1:9" x14ac:dyDescent="0.3">
      <c r="A676">
        <v>675</v>
      </c>
      <c r="B676">
        <v>291</v>
      </c>
      <c r="C676">
        <v>4</v>
      </c>
      <c r="D676" s="12">
        <v>42763</v>
      </c>
      <c r="E676" s="12">
        <v>42766</v>
      </c>
      <c r="F676" s="12">
        <v>42765</v>
      </c>
      <c r="G676">
        <v>2</v>
      </c>
      <c r="H676">
        <v>7</v>
      </c>
      <c r="I676" t="str">
        <f t="shared" si="10"/>
        <v>Delivered</v>
      </c>
    </row>
    <row r="677" spans="1:9" x14ac:dyDescent="0.3">
      <c r="A677">
        <v>676</v>
      </c>
      <c r="B677">
        <v>790</v>
      </c>
      <c r="C677">
        <v>4</v>
      </c>
      <c r="D677" s="12">
        <v>42763</v>
      </c>
      <c r="E677" s="12">
        <v>42765</v>
      </c>
      <c r="F677" s="12">
        <v>42766</v>
      </c>
      <c r="G677">
        <v>2</v>
      </c>
      <c r="H677">
        <v>7</v>
      </c>
      <c r="I677" t="str">
        <f t="shared" si="10"/>
        <v>Shipped</v>
      </c>
    </row>
    <row r="678" spans="1:9" x14ac:dyDescent="0.3">
      <c r="A678">
        <v>677</v>
      </c>
      <c r="B678">
        <v>809</v>
      </c>
      <c r="C678">
        <v>4</v>
      </c>
      <c r="D678" s="12">
        <v>42763</v>
      </c>
      <c r="E678" s="12">
        <v>42766</v>
      </c>
      <c r="F678" s="12">
        <v>42765</v>
      </c>
      <c r="G678">
        <v>2</v>
      </c>
      <c r="H678">
        <v>7</v>
      </c>
      <c r="I678" t="str">
        <f t="shared" si="10"/>
        <v>Delivered</v>
      </c>
    </row>
    <row r="679" spans="1:9" x14ac:dyDescent="0.3">
      <c r="A679">
        <v>678</v>
      </c>
      <c r="B679">
        <v>250</v>
      </c>
      <c r="C679">
        <v>4</v>
      </c>
      <c r="D679" s="12">
        <v>42763</v>
      </c>
      <c r="E679" s="12">
        <v>42764</v>
      </c>
      <c r="F679" s="12">
        <v>42766</v>
      </c>
      <c r="G679">
        <v>3</v>
      </c>
      <c r="H679">
        <v>9</v>
      </c>
      <c r="I679" t="str">
        <f t="shared" si="10"/>
        <v>Shipped</v>
      </c>
    </row>
    <row r="680" spans="1:9" x14ac:dyDescent="0.3">
      <c r="A680">
        <v>679</v>
      </c>
      <c r="B680">
        <v>81</v>
      </c>
      <c r="C680">
        <v>4</v>
      </c>
      <c r="D680" s="12">
        <v>42764</v>
      </c>
      <c r="E680" s="12">
        <v>42765</v>
      </c>
      <c r="F680" s="12">
        <v>42765</v>
      </c>
      <c r="G680">
        <v>1</v>
      </c>
      <c r="H680">
        <v>3</v>
      </c>
      <c r="I680" t="str">
        <f t="shared" si="10"/>
        <v>Shipped</v>
      </c>
    </row>
    <row r="681" spans="1:9" x14ac:dyDescent="0.3">
      <c r="A681">
        <v>680</v>
      </c>
      <c r="B681">
        <v>245</v>
      </c>
      <c r="C681">
        <v>4</v>
      </c>
      <c r="D681" s="12">
        <v>42764</v>
      </c>
      <c r="E681" s="12">
        <v>42767</v>
      </c>
      <c r="F681" s="12">
        <v>42765</v>
      </c>
      <c r="G681">
        <v>1</v>
      </c>
      <c r="H681">
        <v>3</v>
      </c>
      <c r="I681" t="str">
        <f t="shared" si="10"/>
        <v>Delivered</v>
      </c>
    </row>
    <row r="682" spans="1:9" x14ac:dyDescent="0.3">
      <c r="A682">
        <v>681</v>
      </c>
      <c r="B682">
        <v>499</v>
      </c>
      <c r="C682">
        <v>4</v>
      </c>
      <c r="D682" s="12">
        <v>42764</v>
      </c>
      <c r="E682" s="12">
        <v>42767</v>
      </c>
      <c r="F682" s="12">
        <v>42766</v>
      </c>
      <c r="G682">
        <v>2</v>
      </c>
      <c r="H682">
        <v>7</v>
      </c>
      <c r="I682" t="str">
        <f t="shared" si="10"/>
        <v>Delivered</v>
      </c>
    </row>
    <row r="683" spans="1:9" x14ac:dyDescent="0.3">
      <c r="A683">
        <v>682</v>
      </c>
      <c r="B683">
        <v>614</v>
      </c>
      <c r="C683">
        <v>4</v>
      </c>
      <c r="D683" s="12">
        <v>42764</v>
      </c>
      <c r="E683" s="12">
        <v>42765</v>
      </c>
      <c r="F683" s="12">
        <v>42765</v>
      </c>
      <c r="G683">
        <v>2</v>
      </c>
      <c r="H683">
        <v>6</v>
      </c>
      <c r="I683" t="str">
        <f t="shared" si="10"/>
        <v>Shipped</v>
      </c>
    </row>
    <row r="684" spans="1:9" x14ac:dyDescent="0.3">
      <c r="A684">
        <v>683</v>
      </c>
      <c r="B684">
        <v>741</v>
      </c>
      <c r="C684">
        <v>4</v>
      </c>
      <c r="D684" s="12">
        <v>42764</v>
      </c>
      <c r="E684" s="12">
        <v>42766</v>
      </c>
      <c r="F684" s="12">
        <v>42767</v>
      </c>
      <c r="G684">
        <v>2</v>
      </c>
      <c r="H684">
        <v>6</v>
      </c>
      <c r="I684" t="str">
        <f t="shared" si="10"/>
        <v>Shipped</v>
      </c>
    </row>
    <row r="685" spans="1:9" x14ac:dyDescent="0.3">
      <c r="A685">
        <v>684</v>
      </c>
      <c r="B685">
        <v>762</v>
      </c>
      <c r="C685">
        <v>4</v>
      </c>
      <c r="D685" s="12">
        <v>42766</v>
      </c>
      <c r="E685" s="12">
        <v>42767</v>
      </c>
      <c r="F685" s="12">
        <v>42768</v>
      </c>
      <c r="G685">
        <v>2</v>
      </c>
      <c r="H685">
        <v>6</v>
      </c>
      <c r="I685" t="str">
        <f t="shared" si="10"/>
        <v>Shipped</v>
      </c>
    </row>
    <row r="686" spans="1:9" x14ac:dyDescent="0.3">
      <c r="A686">
        <v>685</v>
      </c>
      <c r="B686">
        <v>976</v>
      </c>
      <c r="C686">
        <v>4</v>
      </c>
      <c r="D686" s="12">
        <v>42766</v>
      </c>
      <c r="E686" s="12">
        <v>42769</v>
      </c>
      <c r="F686" s="12">
        <v>42768</v>
      </c>
      <c r="G686">
        <v>2</v>
      </c>
      <c r="H686">
        <v>7</v>
      </c>
      <c r="I686" t="str">
        <f t="shared" si="10"/>
        <v>Delivered</v>
      </c>
    </row>
    <row r="687" spans="1:9" x14ac:dyDescent="0.3">
      <c r="A687">
        <v>686</v>
      </c>
      <c r="B687">
        <v>380</v>
      </c>
      <c r="C687">
        <v>4</v>
      </c>
      <c r="D687" s="12">
        <v>42767</v>
      </c>
      <c r="E687" s="12">
        <v>42769</v>
      </c>
      <c r="F687" s="12">
        <v>42770</v>
      </c>
      <c r="G687">
        <v>2</v>
      </c>
      <c r="H687">
        <v>7</v>
      </c>
      <c r="I687" t="str">
        <f t="shared" si="10"/>
        <v>Shipped</v>
      </c>
    </row>
    <row r="688" spans="1:9" x14ac:dyDescent="0.3">
      <c r="A688">
        <v>687</v>
      </c>
      <c r="B688">
        <v>530</v>
      </c>
      <c r="C688">
        <v>4</v>
      </c>
      <c r="D688" s="12">
        <v>42768</v>
      </c>
      <c r="E688" s="12">
        <v>42771</v>
      </c>
      <c r="F688" s="12">
        <v>42770</v>
      </c>
      <c r="G688">
        <v>1</v>
      </c>
      <c r="H688">
        <v>3</v>
      </c>
      <c r="I688" t="str">
        <f t="shared" si="10"/>
        <v>Delivered</v>
      </c>
    </row>
    <row r="689" spans="1:9" x14ac:dyDescent="0.3">
      <c r="A689">
        <v>688</v>
      </c>
      <c r="B689">
        <v>343</v>
      </c>
      <c r="C689">
        <v>4</v>
      </c>
      <c r="D689" s="12">
        <v>42768</v>
      </c>
      <c r="E689" s="12">
        <v>42769</v>
      </c>
      <c r="F689" s="12">
        <v>42771</v>
      </c>
      <c r="G689">
        <v>2</v>
      </c>
      <c r="H689">
        <v>7</v>
      </c>
      <c r="I689" t="str">
        <f t="shared" si="10"/>
        <v>Shipped</v>
      </c>
    </row>
    <row r="690" spans="1:9" x14ac:dyDescent="0.3">
      <c r="A690">
        <v>689</v>
      </c>
      <c r="B690">
        <v>884</v>
      </c>
      <c r="C690">
        <v>4</v>
      </c>
      <c r="D690" s="12">
        <v>42768</v>
      </c>
      <c r="E690" s="12">
        <v>42769</v>
      </c>
      <c r="F690" s="12">
        <v>42771</v>
      </c>
      <c r="G690">
        <v>2</v>
      </c>
      <c r="H690">
        <v>7</v>
      </c>
      <c r="I690" t="str">
        <f t="shared" si="10"/>
        <v>Shipped</v>
      </c>
    </row>
    <row r="691" spans="1:9" x14ac:dyDescent="0.3">
      <c r="A691">
        <v>690</v>
      </c>
      <c r="B691">
        <v>1097</v>
      </c>
      <c r="C691">
        <v>4</v>
      </c>
      <c r="D691" s="12">
        <v>42769</v>
      </c>
      <c r="E691" s="12">
        <v>42770</v>
      </c>
      <c r="F691" s="12">
        <v>42772</v>
      </c>
      <c r="G691">
        <v>1</v>
      </c>
      <c r="H691">
        <v>2</v>
      </c>
      <c r="I691" t="str">
        <f t="shared" si="10"/>
        <v>Shipped</v>
      </c>
    </row>
    <row r="692" spans="1:9" x14ac:dyDescent="0.3">
      <c r="A692">
        <v>691</v>
      </c>
      <c r="B692">
        <v>1081</v>
      </c>
      <c r="C692">
        <v>4</v>
      </c>
      <c r="D692" s="12">
        <v>42770</v>
      </c>
      <c r="E692" s="12">
        <v>42772</v>
      </c>
      <c r="F692" s="12">
        <v>42772</v>
      </c>
      <c r="G692">
        <v>2</v>
      </c>
      <c r="H692">
        <v>7</v>
      </c>
      <c r="I692" t="str">
        <f t="shared" si="10"/>
        <v>Shipped</v>
      </c>
    </row>
    <row r="693" spans="1:9" x14ac:dyDescent="0.3">
      <c r="A693">
        <v>692</v>
      </c>
      <c r="B693">
        <v>2</v>
      </c>
      <c r="C693">
        <v>3</v>
      </c>
      <c r="D693" s="12">
        <v>42771</v>
      </c>
      <c r="E693" s="12">
        <v>42771</v>
      </c>
      <c r="F693" s="12" t="s">
        <v>5611</v>
      </c>
      <c r="G693">
        <v>1</v>
      </c>
      <c r="H693">
        <v>3</v>
      </c>
      <c r="I693" t="str">
        <f t="shared" si="10"/>
        <v>Pending</v>
      </c>
    </row>
    <row r="694" spans="1:9" x14ac:dyDescent="0.3">
      <c r="A694">
        <v>693</v>
      </c>
      <c r="B694">
        <v>1233</v>
      </c>
      <c r="C694">
        <v>4</v>
      </c>
      <c r="D694" s="12">
        <v>42771</v>
      </c>
      <c r="E694" s="12">
        <v>42773</v>
      </c>
      <c r="F694" s="12">
        <v>42772</v>
      </c>
      <c r="G694">
        <v>1</v>
      </c>
      <c r="H694">
        <v>3</v>
      </c>
      <c r="I694" t="str">
        <f t="shared" si="10"/>
        <v>Delivered</v>
      </c>
    </row>
    <row r="695" spans="1:9" x14ac:dyDescent="0.3">
      <c r="A695">
        <v>694</v>
      </c>
      <c r="B695">
        <v>58</v>
      </c>
      <c r="C695">
        <v>4</v>
      </c>
      <c r="D695" s="12">
        <v>42771</v>
      </c>
      <c r="E695" s="12">
        <v>42772</v>
      </c>
      <c r="F695" s="12">
        <v>42774</v>
      </c>
      <c r="G695">
        <v>2</v>
      </c>
      <c r="H695">
        <v>7</v>
      </c>
      <c r="I695" t="str">
        <f t="shared" si="10"/>
        <v>Shipped</v>
      </c>
    </row>
    <row r="696" spans="1:9" x14ac:dyDescent="0.3">
      <c r="A696">
        <v>695</v>
      </c>
      <c r="B696">
        <v>606</v>
      </c>
      <c r="C696">
        <v>4</v>
      </c>
      <c r="D696" s="12">
        <v>42771</v>
      </c>
      <c r="E696" s="12">
        <v>42774</v>
      </c>
      <c r="F696" s="12">
        <v>42773</v>
      </c>
      <c r="G696">
        <v>2</v>
      </c>
      <c r="H696">
        <v>7</v>
      </c>
      <c r="I696" t="str">
        <f t="shared" si="10"/>
        <v>Delivered</v>
      </c>
    </row>
    <row r="697" spans="1:9" x14ac:dyDescent="0.3">
      <c r="A697">
        <v>696</v>
      </c>
      <c r="B697">
        <v>1242</v>
      </c>
      <c r="C697">
        <v>4</v>
      </c>
      <c r="D697" s="12">
        <v>42771</v>
      </c>
      <c r="E697" s="12">
        <v>42774</v>
      </c>
      <c r="F697" s="12">
        <v>42774</v>
      </c>
      <c r="G697">
        <v>2</v>
      </c>
      <c r="H697">
        <v>7</v>
      </c>
      <c r="I697" t="str">
        <f t="shared" si="10"/>
        <v>Shipped</v>
      </c>
    </row>
    <row r="698" spans="1:9" x14ac:dyDescent="0.3">
      <c r="A698">
        <v>697</v>
      </c>
      <c r="B698">
        <v>562</v>
      </c>
      <c r="C698">
        <v>4</v>
      </c>
      <c r="D698" s="12">
        <v>42772</v>
      </c>
      <c r="E698" s="12">
        <v>42774</v>
      </c>
      <c r="F698" s="12">
        <v>42775</v>
      </c>
      <c r="G698">
        <v>1</v>
      </c>
      <c r="H698">
        <v>2</v>
      </c>
      <c r="I698" t="str">
        <f t="shared" si="10"/>
        <v>Shipped</v>
      </c>
    </row>
    <row r="699" spans="1:9" x14ac:dyDescent="0.3">
      <c r="A699">
        <v>698</v>
      </c>
      <c r="B699">
        <v>543</v>
      </c>
      <c r="C699">
        <v>4</v>
      </c>
      <c r="D699" s="12">
        <v>42772</v>
      </c>
      <c r="E699" s="12">
        <v>42774</v>
      </c>
      <c r="F699" s="12">
        <v>42775</v>
      </c>
      <c r="G699">
        <v>3</v>
      </c>
      <c r="H699">
        <v>8</v>
      </c>
      <c r="I699" t="str">
        <f t="shared" si="10"/>
        <v>Shipped</v>
      </c>
    </row>
    <row r="700" spans="1:9" x14ac:dyDescent="0.3">
      <c r="A700">
        <v>699</v>
      </c>
      <c r="B700">
        <v>958</v>
      </c>
      <c r="C700">
        <v>4</v>
      </c>
      <c r="D700" s="12">
        <v>42772</v>
      </c>
      <c r="E700" s="12">
        <v>42774</v>
      </c>
      <c r="F700" s="12">
        <v>42775</v>
      </c>
      <c r="G700">
        <v>3</v>
      </c>
      <c r="H700">
        <v>9</v>
      </c>
      <c r="I700" t="str">
        <f t="shared" si="10"/>
        <v>Shipped</v>
      </c>
    </row>
    <row r="701" spans="1:9" x14ac:dyDescent="0.3">
      <c r="A701">
        <v>700</v>
      </c>
      <c r="B701">
        <v>4</v>
      </c>
      <c r="C701">
        <v>4</v>
      </c>
      <c r="D701" s="12">
        <v>42773</v>
      </c>
      <c r="E701" s="12">
        <v>42776</v>
      </c>
      <c r="F701" s="12">
        <v>42774</v>
      </c>
      <c r="G701">
        <v>2</v>
      </c>
      <c r="H701">
        <v>6</v>
      </c>
      <c r="I701" t="str">
        <f t="shared" si="10"/>
        <v>Delivered</v>
      </c>
    </row>
    <row r="702" spans="1:9" x14ac:dyDescent="0.3">
      <c r="A702">
        <v>701</v>
      </c>
      <c r="B702">
        <v>850</v>
      </c>
      <c r="C702">
        <v>4</v>
      </c>
      <c r="D702" s="12">
        <v>42773</v>
      </c>
      <c r="E702" s="12">
        <v>42774</v>
      </c>
      <c r="F702" s="12">
        <v>42775</v>
      </c>
      <c r="G702">
        <v>3</v>
      </c>
      <c r="H702">
        <v>9</v>
      </c>
      <c r="I702" t="str">
        <f t="shared" si="10"/>
        <v>Shipped</v>
      </c>
    </row>
    <row r="703" spans="1:9" x14ac:dyDescent="0.3">
      <c r="A703">
        <v>702</v>
      </c>
      <c r="B703">
        <v>1352</v>
      </c>
      <c r="C703">
        <v>4</v>
      </c>
      <c r="D703" s="12">
        <v>42774</v>
      </c>
      <c r="E703" s="12">
        <v>42775</v>
      </c>
      <c r="F703" s="12">
        <v>42777</v>
      </c>
      <c r="G703">
        <v>1</v>
      </c>
      <c r="H703">
        <v>3</v>
      </c>
      <c r="I703" t="str">
        <f t="shared" si="10"/>
        <v>Shipped</v>
      </c>
    </row>
    <row r="704" spans="1:9" x14ac:dyDescent="0.3">
      <c r="A704">
        <v>703</v>
      </c>
      <c r="B704">
        <v>417</v>
      </c>
      <c r="C704">
        <v>4</v>
      </c>
      <c r="D704" s="12">
        <v>42774</v>
      </c>
      <c r="E704" s="12">
        <v>42775</v>
      </c>
      <c r="F704" s="12">
        <v>42775</v>
      </c>
      <c r="G704">
        <v>2</v>
      </c>
      <c r="H704">
        <v>7</v>
      </c>
      <c r="I704" t="str">
        <f t="shared" si="10"/>
        <v>Shipped</v>
      </c>
    </row>
    <row r="705" spans="1:9" x14ac:dyDescent="0.3">
      <c r="A705">
        <v>704</v>
      </c>
      <c r="B705">
        <v>1137</v>
      </c>
      <c r="C705">
        <v>4</v>
      </c>
      <c r="D705" s="12">
        <v>42774</v>
      </c>
      <c r="E705" s="12">
        <v>42775</v>
      </c>
      <c r="F705" s="12">
        <v>42777</v>
      </c>
      <c r="G705">
        <v>2</v>
      </c>
      <c r="H705">
        <v>6</v>
      </c>
      <c r="I705" t="str">
        <f t="shared" si="10"/>
        <v>Shipped</v>
      </c>
    </row>
    <row r="706" spans="1:9" x14ac:dyDescent="0.3">
      <c r="A706">
        <v>705</v>
      </c>
      <c r="B706">
        <v>1196</v>
      </c>
      <c r="C706">
        <v>4</v>
      </c>
      <c r="D706" s="12">
        <v>42774</v>
      </c>
      <c r="E706" s="12">
        <v>42777</v>
      </c>
      <c r="F706" s="12">
        <v>42777</v>
      </c>
      <c r="G706">
        <v>2</v>
      </c>
      <c r="H706">
        <v>7</v>
      </c>
      <c r="I706" t="str">
        <f t="shared" si="10"/>
        <v>Shipped</v>
      </c>
    </row>
    <row r="707" spans="1:9" x14ac:dyDescent="0.3">
      <c r="A707">
        <v>706</v>
      </c>
      <c r="B707">
        <v>1271</v>
      </c>
      <c r="C707">
        <v>4</v>
      </c>
      <c r="D707" s="12">
        <v>42775</v>
      </c>
      <c r="E707" s="12">
        <v>42778</v>
      </c>
      <c r="F707" s="12">
        <v>42776</v>
      </c>
      <c r="G707">
        <v>1</v>
      </c>
      <c r="H707">
        <v>2</v>
      </c>
      <c r="I707" t="str">
        <f t="shared" ref="I707:I770" si="11">IF(F707="NA","Pending",IF(OR(E707=F707,E707&lt;F707),"Shipped","Delivered"))</f>
        <v>Delivered</v>
      </c>
    </row>
    <row r="708" spans="1:9" x14ac:dyDescent="0.3">
      <c r="A708">
        <v>707</v>
      </c>
      <c r="B708">
        <v>79</v>
      </c>
      <c r="C708">
        <v>4</v>
      </c>
      <c r="D708" s="12">
        <v>42775</v>
      </c>
      <c r="E708" s="12">
        <v>42777</v>
      </c>
      <c r="F708" s="12">
        <v>42777</v>
      </c>
      <c r="G708">
        <v>2</v>
      </c>
      <c r="H708">
        <v>7</v>
      </c>
      <c r="I708" t="str">
        <f t="shared" si="11"/>
        <v>Shipped</v>
      </c>
    </row>
    <row r="709" spans="1:9" x14ac:dyDescent="0.3">
      <c r="A709">
        <v>708</v>
      </c>
      <c r="B709">
        <v>660</v>
      </c>
      <c r="C709">
        <v>4</v>
      </c>
      <c r="D709" s="12">
        <v>42776</v>
      </c>
      <c r="E709" s="12">
        <v>42778</v>
      </c>
      <c r="F709" s="12">
        <v>42777</v>
      </c>
      <c r="G709">
        <v>1</v>
      </c>
      <c r="H709">
        <v>2</v>
      </c>
      <c r="I709" t="str">
        <f t="shared" si="11"/>
        <v>Delivered</v>
      </c>
    </row>
    <row r="710" spans="1:9" x14ac:dyDescent="0.3">
      <c r="A710">
        <v>709</v>
      </c>
      <c r="B710">
        <v>1162</v>
      </c>
      <c r="C710">
        <v>4</v>
      </c>
      <c r="D710" s="12">
        <v>42777</v>
      </c>
      <c r="E710" s="12">
        <v>42779</v>
      </c>
      <c r="F710" s="12">
        <v>42778</v>
      </c>
      <c r="G710">
        <v>2</v>
      </c>
      <c r="H710">
        <v>6</v>
      </c>
      <c r="I710" t="str">
        <f t="shared" si="11"/>
        <v>Delivered</v>
      </c>
    </row>
    <row r="711" spans="1:9" x14ac:dyDescent="0.3">
      <c r="A711">
        <v>710</v>
      </c>
      <c r="B711">
        <v>295</v>
      </c>
      <c r="C711">
        <v>4</v>
      </c>
      <c r="D711" s="12">
        <v>42779</v>
      </c>
      <c r="E711" s="12">
        <v>42781</v>
      </c>
      <c r="F711" s="12">
        <v>42782</v>
      </c>
      <c r="G711">
        <v>2</v>
      </c>
      <c r="H711">
        <v>6</v>
      </c>
      <c r="I711" t="str">
        <f t="shared" si="11"/>
        <v>Shipped</v>
      </c>
    </row>
    <row r="712" spans="1:9" x14ac:dyDescent="0.3">
      <c r="A712">
        <v>711</v>
      </c>
      <c r="B712">
        <v>1246</v>
      </c>
      <c r="C712">
        <v>4</v>
      </c>
      <c r="D712" s="12">
        <v>42779</v>
      </c>
      <c r="E712" s="12">
        <v>42782</v>
      </c>
      <c r="F712" s="12">
        <v>42780</v>
      </c>
      <c r="G712">
        <v>2</v>
      </c>
      <c r="H712">
        <v>6</v>
      </c>
      <c r="I712" t="str">
        <f t="shared" si="11"/>
        <v>Delivered</v>
      </c>
    </row>
    <row r="713" spans="1:9" x14ac:dyDescent="0.3">
      <c r="A713">
        <v>712</v>
      </c>
      <c r="B713">
        <v>173</v>
      </c>
      <c r="C713">
        <v>4</v>
      </c>
      <c r="D713" s="12">
        <v>42779</v>
      </c>
      <c r="E713" s="12">
        <v>42780</v>
      </c>
      <c r="F713" s="12">
        <v>42782</v>
      </c>
      <c r="G713">
        <v>3</v>
      </c>
      <c r="H713">
        <v>9</v>
      </c>
      <c r="I713" t="str">
        <f t="shared" si="11"/>
        <v>Shipped</v>
      </c>
    </row>
    <row r="714" spans="1:9" x14ac:dyDescent="0.3">
      <c r="A714">
        <v>713</v>
      </c>
      <c r="B714">
        <v>207</v>
      </c>
      <c r="C714">
        <v>4</v>
      </c>
      <c r="D714" s="12">
        <v>42779</v>
      </c>
      <c r="E714" s="12">
        <v>42780</v>
      </c>
      <c r="F714" s="12">
        <v>42781</v>
      </c>
      <c r="G714">
        <v>3</v>
      </c>
      <c r="H714">
        <v>8</v>
      </c>
      <c r="I714" t="str">
        <f t="shared" si="11"/>
        <v>Shipped</v>
      </c>
    </row>
    <row r="715" spans="1:9" x14ac:dyDescent="0.3">
      <c r="A715">
        <v>714</v>
      </c>
      <c r="B715">
        <v>805</v>
      </c>
      <c r="C715">
        <v>4</v>
      </c>
      <c r="D715" s="12">
        <v>42780</v>
      </c>
      <c r="E715" s="12">
        <v>42783</v>
      </c>
      <c r="F715" s="12">
        <v>42781</v>
      </c>
      <c r="G715">
        <v>2</v>
      </c>
      <c r="H715">
        <v>7</v>
      </c>
      <c r="I715" t="str">
        <f t="shared" si="11"/>
        <v>Delivered</v>
      </c>
    </row>
    <row r="716" spans="1:9" x14ac:dyDescent="0.3">
      <c r="A716">
        <v>715</v>
      </c>
      <c r="B716">
        <v>12</v>
      </c>
      <c r="C716">
        <v>3</v>
      </c>
      <c r="D716" s="12">
        <v>42781</v>
      </c>
      <c r="E716" s="12">
        <v>42781</v>
      </c>
      <c r="F716" s="12" t="s">
        <v>5611</v>
      </c>
      <c r="G716">
        <v>2</v>
      </c>
      <c r="H716">
        <v>6</v>
      </c>
      <c r="I716" t="str">
        <f t="shared" si="11"/>
        <v>Pending</v>
      </c>
    </row>
    <row r="717" spans="1:9" x14ac:dyDescent="0.3">
      <c r="A717">
        <v>716</v>
      </c>
      <c r="B717">
        <v>672</v>
      </c>
      <c r="C717">
        <v>4</v>
      </c>
      <c r="D717" s="12">
        <v>42781</v>
      </c>
      <c r="E717" s="12">
        <v>42783</v>
      </c>
      <c r="F717" s="12">
        <v>42784</v>
      </c>
      <c r="G717">
        <v>2</v>
      </c>
      <c r="H717">
        <v>6</v>
      </c>
      <c r="I717" t="str">
        <f t="shared" si="11"/>
        <v>Shipped</v>
      </c>
    </row>
    <row r="718" spans="1:9" x14ac:dyDescent="0.3">
      <c r="A718">
        <v>717</v>
      </c>
      <c r="B718">
        <v>1312</v>
      </c>
      <c r="C718">
        <v>4</v>
      </c>
      <c r="D718" s="12">
        <v>42781</v>
      </c>
      <c r="E718" s="12">
        <v>42784</v>
      </c>
      <c r="F718" s="12">
        <v>42783</v>
      </c>
      <c r="G718">
        <v>2</v>
      </c>
      <c r="H718">
        <v>6</v>
      </c>
      <c r="I718" t="str">
        <f t="shared" si="11"/>
        <v>Delivered</v>
      </c>
    </row>
    <row r="719" spans="1:9" x14ac:dyDescent="0.3">
      <c r="A719">
        <v>718</v>
      </c>
      <c r="B719">
        <v>38</v>
      </c>
      <c r="C719">
        <v>4</v>
      </c>
      <c r="D719" s="12">
        <v>42782</v>
      </c>
      <c r="E719" s="12">
        <v>42783</v>
      </c>
      <c r="F719" s="12">
        <v>42783</v>
      </c>
      <c r="G719">
        <v>2</v>
      </c>
      <c r="H719">
        <v>7</v>
      </c>
      <c r="I719" t="str">
        <f t="shared" si="11"/>
        <v>Shipped</v>
      </c>
    </row>
    <row r="720" spans="1:9" x14ac:dyDescent="0.3">
      <c r="A720">
        <v>719</v>
      </c>
      <c r="B720">
        <v>200</v>
      </c>
      <c r="C720">
        <v>4</v>
      </c>
      <c r="D720" s="12">
        <v>42782</v>
      </c>
      <c r="E720" s="12">
        <v>42785</v>
      </c>
      <c r="F720" s="12">
        <v>42784</v>
      </c>
      <c r="G720">
        <v>2</v>
      </c>
      <c r="H720">
        <v>6</v>
      </c>
      <c r="I720" t="str">
        <f t="shared" si="11"/>
        <v>Delivered</v>
      </c>
    </row>
    <row r="721" spans="1:9" x14ac:dyDescent="0.3">
      <c r="A721">
        <v>720</v>
      </c>
      <c r="B721">
        <v>382</v>
      </c>
      <c r="C721">
        <v>4</v>
      </c>
      <c r="D721" s="12">
        <v>42782</v>
      </c>
      <c r="E721" s="12">
        <v>42785</v>
      </c>
      <c r="F721" s="12">
        <v>42785</v>
      </c>
      <c r="G721">
        <v>2</v>
      </c>
      <c r="H721">
        <v>6</v>
      </c>
      <c r="I721" t="str">
        <f t="shared" si="11"/>
        <v>Shipped</v>
      </c>
    </row>
    <row r="722" spans="1:9" x14ac:dyDescent="0.3">
      <c r="A722">
        <v>721</v>
      </c>
      <c r="B722">
        <v>625</v>
      </c>
      <c r="C722">
        <v>4</v>
      </c>
      <c r="D722" s="12">
        <v>42782</v>
      </c>
      <c r="E722" s="12">
        <v>42785</v>
      </c>
      <c r="F722" s="12">
        <v>42783</v>
      </c>
      <c r="G722">
        <v>2</v>
      </c>
      <c r="H722">
        <v>7</v>
      </c>
      <c r="I722" t="str">
        <f t="shared" si="11"/>
        <v>Delivered</v>
      </c>
    </row>
    <row r="723" spans="1:9" x14ac:dyDescent="0.3">
      <c r="A723">
        <v>722</v>
      </c>
      <c r="B723">
        <v>1399</v>
      </c>
      <c r="C723">
        <v>4</v>
      </c>
      <c r="D723" s="12">
        <v>42784</v>
      </c>
      <c r="E723" s="12">
        <v>42786</v>
      </c>
      <c r="F723" s="12">
        <v>42787</v>
      </c>
      <c r="G723">
        <v>2</v>
      </c>
      <c r="H723">
        <v>7</v>
      </c>
      <c r="I723" t="str">
        <f t="shared" si="11"/>
        <v>Shipped</v>
      </c>
    </row>
    <row r="724" spans="1:9" x14ac:dyDescent="0.3">
      <c r="A724">
        <v>723</v>
      </c>
      <c r="B724">
        <v>845</v>
      </c>
      <c r="C724">
        <v>4</v>
      </c>
      <c r="D724" s="12">
        <v>42785</v>
      </c>
      <c r="E724" s="12">
        <v>42787</v>
      </c>
      <c r="F724" s="12">
        <v>42788</v>
      </c>
      <c r="G724">
        <v>2</v>
      </c>
      <c r="H724">
        <v>6</v>
      </c>
      <c r="I724" t="str">
        <f t="shared" si="11"/>
        <v>Shipped</v>
      </c>
    </row>
    <row r="725" spans="1:9" x14ac:dyDescent="0.3">
      <c r="A725">
        <v>724</v>
      </c>
      <c r="B725">
        <v>864</v>
      </c>
      <c r="C725">
        <v>4</v>
      </c>
      <c r="D725" s="12">
        <v>42785</v>
      </c>
      <c r="E725" s="12">
        <v>42788</v>
      </c>
      <c r="F725" s="12">
        <v>42787</v>
      </c>
      <c r="G725">
        <v>2</v>
      </c>
      <c r="H725">
        <v>6</v>
      </c>
      <c r="I725" t="str">
        <f t="shared" si="11"/>
        <v>Delivered</v>
      </c>
    </row>
    <row r="726" spans="1:9" x14ac:dyDescent="0.3">
      <c r="A726">
        <v>725</v>
      </c>
      <c r="B726">
        <v>870</v>
      </c>
      <c r="C726">
        <v>4</v>
      </c>
      <c r="D726" s="12">
        <v>42785</v>
      </c>
      <c r="E726" s="12">
        <v>42788</v>
      </c>
      <c r="F726" s="12">
        <v>42788</v>
      </c>
      <c r="G726">
        <v>2</v>
      </c>
      <c r="H726">
        <v>7</v>
      </c>
      <c r="I726" t="str">
        <f t="shared" si="11"/>
        <v>Shipped</v>
      </c>
    </row>
    <row r="727" spans="1:9" x14ac:dyDescent="0.3">
      <c r="A727">
        <v>726</v>
      </c>
      <c r="B727">
        <v>969</v>
      </c>
      <c r="C727">
        <v>4</v>
      </c>
      <c r="D727" s="12">
        <v>42785</v>
      </c>
      <c r="E727" s="12">
        <v>42788</v>
      </c>
      <c r="F727" s="12">
        <v>42786</v>
      </c>
      <c r="G727">
        <v>2</v>
      </c>
      <c r="H727">
        <v>6</v>
      </c>
      <c r="I727" t="str">
        <f t="shared" si="11"/>
        <v>Delivered</v>
      </c>
    </row>
    <row r="728" spans="1:9" x14ac:dyDescent="0.3">
      <c r="A728">
        <v>727</v>
      </c>
      <c r="B728">
        <v>962</v>
      </c>
      <c r="C728">
        <v>4</v>
      </c>
      <c r="D728" s="12">
        <v>42785</v>
      </c>
      <c r="E728" s="12">
        <v>42788</v>
      </c>
      <c r="F728" s="12">
        <v>42787</v>
      </c>
      <c r="G728">
        <v>3</v>
      </c>
      <c r="H728">
        <v>9</v>
      </c>
      <c r="I728" t="str">
        <f t="shared" si="11"/>
        <v>Delivered</v>
      </c>
    </row>
    <row r="729" spans="1:9" x14ac:dyDescent="0.3">
      <c r="A729">
        <v>728</v>
      </c>
      <c r="B729">
        <v>1138</v>
      </c>
      <c r="C729">
        <v>4</v>
      </c>
      <c r="D729" s="12">
        <v>42786</v>
      </c>
      <c r="E729" s="12">
        <v>42787</v>
      </c>
      <c r="F729" s="12">
        <v>42789</v>
      </c>
      <c r="G729">
        <v>1</v>
      </c>
      <c r="H729">
        <v>3</v>
      </c>
      <c r="I729" t="str">
        <f t="shared" si="11"/>
        <v>Shipped</v>
      </c>
    </row>
    <row r="730" spans="1:9" x14ac:dyDescent="0.3">
      <c r="A730">
        <v>729</v>
      </c>
      <c r="B730">
        <v>897</v>
      </c>
      <c r="C730">
        <v>4</v>
      </c>
      <c r="D730" s="12">
        <v>42786</v>
      </c>
      <c r="E730" s="12">
        <v>42788</v>
      </c>
      <c r="F730" s="12">
        <v>42787</v>
      </c>
      <c r="G730">
        <v>2</v>
      </c>
      <c r="H730">
        <v>7</v>
      </c>
      <c r="I730" t="str">
        <f t="shared" si="11"/>
        <v>Delivered</v>
      </c>
    </row>
    <row r="731" spans="1:9" x14ac:dyDescent="0.3">
      <c r="A731">
        <v>730</v>
      </c>
      <c r="B731">
        <v>500</v>
      </c>
      <c r="C731">
        <v>4</v>
      </c>
      <c r="D731" s="12">
        <v>42787</v>
      </c>
      <c r="E731" s="12">
        <v>42790</v>
      </c>
      <c r="F731" s="12">
        <v>42788</v>
      </c>
      <c r="G731">
        <v>2</v>
      </c>
      <c r="H731">
        <v>6</v>
      </c>
      <c r="I731" t="str">
        <f t="shared" si="11"/>
        <v>Delivered</v>
      </c>
    </row>
    <row r="732" spans="1:9" x14ac:dyDescent="0.3">
      <c r="A732">
        <v>731</v>
      </c>
      <c r="B732">
        <v>910</v>
      </c>
      <c r="C732">
        <v>4</v>
      </c>
      <c r="D732" s="12">
        <v>42791</v>
      </c>
      <c r="E732" s="12">
        <v>42793</v>
      </c>
      <c r="F732" s="12">
        <v>42793</v>
      </c>
      <c r="G732">
        <v>3</v>
      </c>
      <c r="H732">
        <v>9</v>
      </c>
      <c r="I732" t="str">
        <f t="shared" si="11"/>
        <v>Shipped</v>
      </c>
    </row>
    <row r="733" spans="1:9" x14ac:dyDescent="0.3">
      <c r="A733">
        <v>732</v>
      </c>
      <c r="B733">
        <v>147</v>
      </c>
      <c r="C733">
        <v>4</v>
      </c>
      <c r="D733" s="12">
        <v>42792</v>
      </c>
      <c r="E733" s="12">
        <v>42793</v>
      </c>
      <c r="F733" s="12">
        <v>42795</v>
      </c>
      <c r="G733">
        <v>2</v>
      </c>
      <c r="H733">
        <v>7</v>
      </c>
      <c r="I733" t="str">
        <f t="shared" si="11"/>
        <v>Shipped</v>
      </c>
    </row>
    <row r="734" spans="1:9" x14ac:dyDescent="0.3">
      <c r="A734">
        <v>733</v>
      </c>
      <c r="B734">
        <v>832</v>
      </c>
      <c r="C734">
        <v>4</v>
      </c>
      <c r="D734" s="12">
        <v>42792</v>
      </c>
      <c r="E734" s="12">
        <v>42795</v>
      </c>
      <c r="F734" s="12">
        <v>42793</v>
      </c>
      <c r="G734">
        <v>2</v>
      </c>
      <c r="H734">
        <v>7</v>
      </c>
      <c r="I734" t="str">
        <f t="shared" si="11"/>
        <v>Delivered</v>
      </c>
    </row>
    <row r="735" spans="1:9" x14ac:dyDescent="0.3">
      <c r="A735">
        <v>734</v>
      </c>
      <c r="B735">
        <v>939</v>
      </c>
      <c r="C735">
        <v>4</v>
      </c>
      <c r="D735" s="12">
        <v>42792</v>
      </c>
      <c r="E735" s="12">
        <v>42794</v>
      </c>
      <c r="F735" s="12">
        <v>42795</v>
      </c>
      <c r="G735">
        <v>3</v>
      </c>
      <c r="H735">
        <v>9</v>
      </c>
      <c r="I735" t="str">
        <f t="shared" si="11"/>
        <v>Shipped</v>
      </c>
    </row>
    <row r="736" spans="1:9" x14ac:dyDescent="0.3">
      <c r="A736">
        <v>735</v>
      </c>
      <c r="B736">
        <v>20</v>
      </c>
      <c r="C736">
        <v>3</v>
      </c>
      <c r="D736" s="12">
        <v>42793</v>
      </c>
      <c r="E736" s="12">
        <v>42793</v>
      </c>
      <c r="F736" s="12" t="s">
        <v>5611</v>
      </c>
      <c r="G736">
        <v>3</v>
      </c>
      <c r="H736">
        <v>9</v>
      </c>
      <c r="I736" t="str">
        <f t="shared" si="11"/>
        <v>Pending</v>
      </c>
    </row>
    <row r="737" spans="1:9" x14ac:dyDescent="0.3">
      <c r="A737">
        <v>736</v>
      </c>
      <c r="B737">
        <v>184</v>
      </c>
      <c r="C737">
        <v>4</v>
      </c>
      <c r="D737" s="12">
        <v>42793</v>
      </c>
      <c r="E737" s="12">
        <v>42794</v>
      </c>
      <c r="F737" s="12">
        <v>42794</v>
      </c>
      <c r="G737">
        <v>2</v>
      </c>
      <c r="H737">
        <v>7</v>
      </c>
      <c r="I737" t="str">
        <f t="shared" si="11"/>
        <v>Shipped</v>
      </c>
    </row>
    <row r="738" spans="1:9" x14ac:dyDescent="0.3">
      <c r="A738">
        <v>737</v>
      </c>
      <c r="B738">
        <v>694</v>
      </c>
      <c r="C738">
        <v>4</v>
      </c>
      <c r="D738" s="12">
        <v>42793</v>
      </c>
      <c r="E738" s="12">
        <v>42795</v>
      </c>
      <c r="F738" s="12">
        <v>42794</v>
      </c>
      <c r="G738">
        <v>2</v>
      </c>
      <c r="H738">
        <v>6</v>
      </c>
      <c r="I738" t="str">
        <f t="shared" si="11"/>
        <v>Delivered</v>
      </c>
    </row>
    <row r="739" spans="1:9" x14ac:dyDescent="0.3">
      <c r="A739">
        <v>738</v>
      </c>
      <c r="B739">
        <v>124</v>
      </c>
      <c r="C739">
        <v>4</v>
      </c>
      <c r="D739" s="12">
        <v>42794</v>
      </c>
      <c r="E739" s="12">
        <v>42795</v>
      </c>
      <c r="F739" s="12">
        <v>42797</v>
      </c>
      <c r="G739">
        <v>1</v>
      </c>
      <c r="H739">
        <v>2</v>
      </c>
      <c r="I739" t="str">
        <f t="shared" si="11"/>
        <v>Shipped</v>
      </c>
    </row>
    <row r="740" spans="1:9" x14ac:dyDescent="0.3">
      <c r="A740">
        <v>739</v>
      </c>
      <c r="B740">
        <v>49</v>
      </c>
      <c r="C740">
        <v>4</v>
      </c>
      <c r="D740" s="12">
        <v>42794</v>
      </c>
      <c r="E740" s="12">
        <v>42795</v>
      </c>
      <c r="F740" s="12">
        <v>42796</v>
      </c>
      <c r="G740">
        <v>2</v>
      </c>
      <c r="H740">
        <v>6</v>
      </c>
      <c r="I740" t="str">
        <f t="shared" si="11"/>
        <v>Shipped</v>
      </c>
    </row>
    <row r="741" spans="1:9" x14ac:dyDescent="0.3">
      <c r="A741">
        <v>740</v>
      </c>
      <c r="B741">
        <v>1113</v>
      </c>
      <c r="C741">
        <v>4</v>
      </c>
      <c r="D741" s="12">
        <v>42794</v>
      </c>
      <c r="E741" s="12">
        <v>42795</v>
      </c>
      <c r="F741" s="12">
        <v>42796</v>
      </c>
      <c r="G741">
        <v>2</v>
      </c>
      <c r="H741">
        <v>6</v>
      </c>
      <c r="I741" t="str">
        <f t="shared" si="11"/>
        <v>Shipped</v>
      </c>
    </row>
    <row r="742" spans="1:9" x14ac:dyDescent="0.3">
      <c r="A742">
        <v>741</v>
      </c>
      <c r="B742">
        <v>119</v>
      </c>
      <c r="C742">
        <v>4</v>
      </c>
      <c r="D742" s="12">
        <v>42794</v>
      </c>
      <c r="E742" s="12">
        <v>42795</v>
      </c>
      <c r="F742" s="12">
        <v>42795</v>
      </c>
      <c r="G742">
        <v>3</v>
      </c>
      <c r="H742">
        <v>8</v>
      </c>
      <c r="I742" t="str">
        <f t="shared" si="11"/>
        <v>Shipped</v>
      </c>
    </row>
    <row r="743" spans="1:9" x14ac:dyDescent="0.3">
      <c r="A743">
        <v>742</v>
      </c>
      <c r="B743">
        <v>433</v>
      </c>
      <c r="C743">
        <v>4</v>
      </c>
      <c r="D743" s="12">
        <v>42794</v>
      </c>
      <c r="E743" s="12">
        <v>42795</v>
      </c>
      <c r="F743" s="12">
        <v>42795</v>
      </c>
      <c r="G743">
        <v>3</v>
      </c>
      <c r="H743">
        <v>9</v>
      </c>
      <c r="I743" t="str">
        <f t="shared" si="11"/>
        <v>Shipped</v>
      </c>
    </row>
    <row r="744" spans="1:9" x14ac:dyDescent="0.3">
      <c r="A744">
        <v>743</v>
      </c>
      <c r="B744">
        <v>137</v>
      </c>
      <c r="C744">
        <v>4</v>
      </c>
      <c r="D744" s="12">
        <v>42795</v>
      </c>
      <c r="E744" s="12">
        <v>42798</v>
      </c>
      <c r="F744" s="12">
        <v>42798</v>
      </c>
      <c r="G744">
        <v>2</v>
      </c>
      <c r="H744">
        <v>6</v>
      </c>
      <c r="I744" t="str">
        <f t="shared" si="11"/>
        <v>Shipped</v>
      </c>
    </row>
    <row r="745" spans="1:9" x14ac:dyDescent="0.3">
      <c r="A745">
        <v>744</v>
      </c>
      <c r="B745">
        <v>166</v>
      </c>
      <c r="C745">
        <v>4</v>
      </c>
      <c r="D745" s="12">
        <v>42795</v>
      </c>
      <c r="E745" s="12">
        <v>42796</v>
      </c>
      <c r="F745" s="12">
        <v>42796</v>
      </c>
      <c r="G745">
        <v>2</v>
      </c>
      <c r="H745">
        <v>7</v>
      </c>
      <c r="I745" t="str">
        <f t="shared" si="11"/>
        <v>Shipped</v>
      </c>
    </row>
    <row r="746" spans="1:9" x14ac:dyDescent="0.3">
      <c r="A746">
        <v>745</v>
      </c>
      <c r="B746">
        <v>698</v>
      </c>
      <c r="C746">
        <v>4</v>
      </c>
      <c r="D746" s="12">
        <v>42795</v>
      </c>
      <c r="E746" s="12">
        <v>42797</v>
      </c>
      <c r="F746" s="12">
        <v>42797</v>
      </c>
      <c r="G746">
        <v>2</v>
      </c>
      <c r="H746">
        <v>7</v>
      </c>
      <c r="I746" t="str">
        <f t="shared" si="11"/>
        <v>Shipped</v>
      </c>
    </row>
    <row r="747" spans="1:9" x14ac:dyDescent="0.3">
      <c r="A747">
        <v>746</v>
      </c>
      <c r="B747">
        <v>391</v>
      </c>
      <c r="C747">
        <v>4</v>
      </c>
      <c r="D747" s="12">
        <v>42796</v>
      </c>
      <c r="E747" s="12">
        <v>42798</v>
      </c>
      <c r="F747" s="12">
        <v>42799</v>
      </c>
      <c r="G747">
        <v>1</v>
      </c>
      <c r="H747">
        <v>3</v>
      </c>
      <c r="I747" t="str">
        <f t="shared" si="11"/>
        <v>Shipped</v>
      </c>
    </row>
    <row r="748" spans="1:9" x14ac:dyDescent="0.3">
      <c r="A748">
        <v>747</v>
      </c>
      <c r="B748">
        <v>87</v>
      </c>
      <c r="C748">
        <v>4</v>
      </c>
      <c r="D748" s="12">
        <v>42797</v>
      </c>
      <c r="E748" s="12">
        <v>42798</v>
      </c>
      <c r="F748" s="12">
        <v>42799</v>
      </c>
      <c r="G748">
        <v>1</v>
      </c>
      <c r="H748">
        <v>3</v>
      </c>
      <c r="I748" t="str">
        <f t="shared" si="11"/>
        <v>Shipped</v>
      </c>
    </row>
    <row r="749" spans="1:9" x14ac:dyDescent="0.3">
      <c r="A749">
        <v>748</v>
      </c>
      <c r="B749">
        <v>1072</v>
      </c>
      <c r="C749">
        <v>4</v>
      </c>
      <c r="D749" s="12">
        <v>42797</v>
      </c>
      <c r="E749" s="12">
        <v>42799</v>
      </c>
      <c r="F749" s="12">
        <v>42798</v>
      </c>
      <c r="G749">
        <v>3</v>
      </c>
      <c r="H749">
        <v>8</v>
      </c>
      <c r="I749" t="str">
        <f t="shared" si="11"/>
        <v>Delivered</v>
      </c>
    </row>
    <row r="750" spans="1:9" x14ac:dyDescent="0.3">
      <c r="A750">
        <v>749</v>
      </c>
      <c r="B750">
        <v>255</v>
      </c>
      <c r="C750">
        <v>4</v>
      </c>
      <c r="D750" s="12">
        <v>42798</v>
      </c>
      <c r="E750" s="12">
        <v>42801</v>
      </c>
      <c r="F750" s="12">
        <v>42799</v>
      </c>
      <c r="G750">
        <v>2</v>
      </c>
      <c r="H750">
        <v>7</v>
      </c>
      <c r="I750" t="str">
        <f t="shared" si="11"/>
        <v>Delivered</v>
      </c>
    </row>
    <row r="751" spans="1:9" x14ac:dyDescent="0.3">
      <c r="A751">
        <v>750</v>
      </c>
      <c r="B751">
        <v>232</v>
      </c>
      <c r="C751">
        <v>4</v>
      </c>
      <c r="D751" s="12">
        <v>42798</v>
      </c>
      <c r="E751" s="12">
        <v>42801</v>
      </c>
      <c r="F751" s="12">
        <v>42799</v>
      </c>
      <c r="G751">
        <v>3</v>
      </c>
      <c r="H751">
        <v>8</v>
      </c>
      <c r="I751" t="str">
        <f t="shared" si="11"/>
        <v>Delivered</v>
      </c>
    </row>
    <row r="752" spans="1:9" x14ac:dyDescent="0.3">
      <c r="A752">
        <v>751</v>
      </c>
      <c r="B752">
        <v>731</v>
      </c>
      <c r="C752">
        <v>4</v>
      </c>
      <c r="D752" s="12">
        <v>42799</v>
      </c>
      <c r="E752" s="12">
        <v>42802</v>
      </c>
      <c r="F752" s="12">
        <v>42801</v>
      </c>
      <c r="G752">
        <v>1</v>
      </c>
      <c r="H752">
        <v>3</v>
      </c>
      <c r="I752" t="str">
        <f t="shared" si="11"/>
        <v>Delivered</v>
      </c>
    </row>
    <row r="753" spans="1:9" x14ac:dyDescent="0.3">
      <c r="A753">
        <v>752</v>
      </c>
      <c r="B753">
        <v>335</v>
      </c>
      <c r="C753">
        <v>4</v>
      </c>
      <c r="D753" s="12">
        <v>42799</v>
      </c>
      <c r="E753" s="12">
        <v>42800</v>
      </c>
      <c r="F753" s="12">
        <v>42801</v>
      </c>
      <c r="G753">
        <v>2</v>
      </c>
      <c r="H753">
        <v>6</v>
      </c>
      <c r="I753" t="str">
        <f t="shared" si="11"/>
        <v>Shipped</v>
      </c>
    </row>
    <row r="754" spans="1:9" x14ac:dyDescent="0.3">
      <c r="A754">
        <v>753</v>
      </c>
      <c r="B754">
        <v>1201</v>
      </c>
      <c r="C754">
        <v>4</v>
      </c>
      <c r="D754" s="12">
        <v>42799</v>
      </c>
      <c r="E754" s="12">
        <v>42802</v>
      </c>
      <c r="F754" s="12">
        <v>42802</v>
      </c>
      <c r="G754">
        <v>2</v>
      </c>
      <c r="H754">
        <v>7</v>
      </c>
      <c r="I754" t="str">
        <f t="shared" si="11"/>
        <v>Shipped</v>
      </c>
    </row>
    <row r="755" spans="1:9" x14ac:dyDescent="0.3">
      <c r="A755">
        <v>754</v>
      </c>
      <c r="B755">
        <v>646</v>
      </c>
      <c r="C755">
        <v>4</v>
      </c>
      <c r="D755" s="12">
        <v>42800</v>
      </c>
      <c r="E755" s="12">
        <v>42801</v>
      </c>
      <c r="F755" s="12">
        <v>42802</v>
      </c>
      <c r="G755">
        <v>1</v>
      </c>
      <c r="H755">
        <v>2</v>
      </c>
      <c r="I755" t="str">
        <f t="shared" si="11"/>
        <v>Shipped</v>
      </c>
    </row>
    <row r="756" spans="1:9" x14ac:dyDescent="0.3">
      <c r="A756">
        <v>755</v>
      </c>
      <c r="B756">
        <v>531</v>
      </c>
      <c r="C756">
        <v>4</v>
      </c>
      <c r="D756" s="12">
        <v>42800</v>
      </c>
      <c r="E756" s="12">
        <v>42801</v>
      </c>
      <c r="F756" s="12">
        <v>42801</v>
      </c>
      <c r="G756">
        <v>2</v>
      </c>
      <c r="H756">
        <v>6</v>
      </c>
      <c r="I756" t="str">
        <f t="shared" si="11"/>
        <v>Shipped</v>
      </c>
    </row>
    <row r="757" spans="1:9" x14ac:dyDescent="0.3">
      <c r="A757">
        <v>756</v>
      </c>
      <c r="B757">
        <v>1143</v>
      </c>
      <c r="C757">
        <v>4</v>
      </c>
      <c r="D757" s="12">
        <v>42800</v>
      </c>
      <c r="E757" s="12">
        <v>42801</v>
      </c>
      <c r="F757" s="12">
        <v>42803</v>
      </c>
      <c r="G757">
        <v>2</v>
      </c>
      <c r="H757">
        <v>6</v>
      </c>
      <c r="I757" t="str">
        <f t="shared" si="11"/>
        <v>Shipped</v>
      </c>
    </row>
    <row r="758" spans="1:9" x14ac:dyDescent="0.3">
      <c r="A758">
        <v>757</v>
      </c>
      <c r="B758">
        <v>1336</v>
      </c>
      <c r="C758">
        <v>4</v>
      </c>
      <c r="D758" s="12">
        <v>42800</v>
      </c>
      <c r="E758" s="12">
        <v>42802</v>
      </c>
      <c r="F758" s="12">
        <v>42803</v>
      </c>
      <c r="G758">
        <v>2</v>
      </c>
      <c r="H758">
        <v>7</v>
      </c>
      <c r="I758" t="str">
        <f t="shared" si="11"/>
        <v>Shipped</v>
      </c>
    </row>
    <row r="759" spans="1:9" x14ac:dyDescent="0.3">
      <c r="A759">
        <v>758</v>
      </c>
      <c r="B759">
        <v>953</v>
      </c>
      <c r="C759">
        <v>4</v>
      </c>
      <c r="D759" s="12">
        <v>42800</v>
      </c>
      <c r="E759" s="12">
        <v>42802</v>
      </c>
      <c r="F759" s="12">
        <v>42801</v>
      </c>
      <c r="G759">
        <v>3</v>
      </c>
      <c r="H759">
        <v>9</v>
      </c>
      <c r="I759" t="str">
        <f t="shared" si="11"/>
        <v>Delivered</v>
      </c>
    </row>
    <row r="760" spans="1:9" x14ac:dyDescent="0.3">
      <c r="A760">
        <v>759</v>
      </c>
      <c r="B760">
        <v>284</v>
      </c>
      <c r="C760">
        <v>4</v>
      </c>
      <c r="D760" s="12">
        <v>42801</v>
      </c>
      <c r="E760" s="12">
        <v>42803</v>
      </c>
      <c r="F760" s="12">
        <v>42802</v>
      </c>
      <c r="G760">
        <v>2</v>
      </c>
      <c r="H760">
        <v>7</v>
      </c>
      <c r="I760" t="str">
        <f t="shared" si="11"/>
        <v>Delivered</v>
      </c>
    </row>
    <row r="761" spans="1:9" x14ac:dyDescent="0.3">
      <c r="A761">
        <v>760</v>
      </c>
      <c r="B761">
        <v>1104</v>
      </c>
      <c r="C761">
        <v>4</v>
      </c>
      <c r="D761" s="12">
        <v>42801</v>
      </c>
      <c r="E761" s="12">
        <v>42804</v>
      </c>
      <c r="F761" s="12">
        <v>42804</v>
      </c>
      <c r="G761">
        <v>2</v>
      </c>
      <c r="H761">
        <v>6</v>
      </c>
      <c r="I761" t="str">
        <f t="shared" si="11"/>
        <v>Shipped</v>
      </c>
    </row>
    <row r="762" spans="1:9" x14ac:dyDescent="0.3">
      <c r="A762">
        <v>761</v>
      </c>
      <c r="B762">
        <v>1291</v>
      </c>
      <c r="C762">
        <v>4</v>
      </c>
      <c r="D762" s="12">
        <v>42801</v>
      </c>
      <c r="E762" s="12">
        <v>42802</v>
      </c>
      <c r="F762" s="12">
        <v>42804</v>
      </c>
      <c r="G762">
        <v>2</v>
      </c>
      <c r="H762">
        <v>7</v>
      </c>
      <c r="I762" t="str">
        <f t="shared" si="11"/>
        <v>Shipped</v>
      </c>
    </row>
    <row r="763" spans="1:9" x14ac:dyDescent="0.3">
      <c r="A763">
        <v>762</v>
      </c>
      <c r="B763">
        <v>572</v>
      </c>
      <c r="C763">
        <v>4</v>
      </c>
      <c r="D763" s="12">
        <v>42802</v>
      </c>
      <c r="E763" s="12">
        <v>42803</v>
      </c>
      <c r="F763" s="12">
        <v>42803</v>
      </c>
      <c r="G763">
        <v>2</v>
      </c>
      <c r="H763">
        <v>6</v>
      </c>
      <c r="I763" t="str">
        <f t="shared" si="11"/>
        <v>Shipped</v>
      </c>
    </row>
    <row r="764" spans="1:9" x14ac:dyDescent="0.3">
      <c r="A764">
        <v>763</v>
      </c>
      <c r="B764">
        <v>842</v>
      </c>
      <c r="C764">
        <v>4</v>
      </c>
      <c r="D764" s="12">
        <v>42802</v>
      </c>
      <c r="E764" s="12">
        <v>42804</v>
      </c>
      <c r="F764" s="12">
        <v>42803</v>
      </c>
      <c r="G764">
        <v>3</v>
      </c>
      <c r="H764">
        <v>9</v>
      </c>
      <c r="I764" t="str">
        <f t="shared" si="11"/>
        <v>Delivered</v>
      </c>
    </row>
    <row r="765" spans="1:9" x14ac:dyDescent="0.3">
      <c r="A765">
        <v>764</v>
      </c>
      <c r="B765">
        <v>701</v>
      </c>
      <c r="C765">
        <v>4</v>
      </c>
      <c r="D765" s="12">
        <v>42803</v>
      </c>
      <c r="E765" s="12">
        <v>42804</v>
      </c>
      <c r="F765" s="12">
        <v>42806</v>
      </c>
      <c r="G765">
        <v>1</v>
      </c>
      <c r="H765">
        <v>2</v>
      </c>
      <c r="I765" t="str">
        <f t="shared" si="11"/>
        <v>Shipped</v>
      </c>
    </row>
    <row r="766" spans="1:9" x14ac:dyDescent="0.3">
      <c r="A766">
        <v>765</v>
      </c>
      <c r="B766">
        <v>1152</v>
      </c>
      <c r="C766">
        <v>4</v>
      </c>
      <c r="D766" s="12">
        <v>42803</v>
      </c>
      <c r="E766" s="12">
        <v>42805</v>
      </c>
      <c r="F766" s="12">
        <v>42806</v>
      </c>
      <c r="G766">
        <v>1</v>
      </c>
      <c r="H766">
        <v>2</v>
      </c>
      <c r="I766" t="str">
        <f t="shared" si="11"/>
        <v>Shipped</v>
      </c>
    </row>
    <row r="767" spans="1:9" x14ac:dyDescent="0.3">
      <c r="A767">
        <v>766</v>
      </c>
      <c r="B767">
        <v>141</v>
      </c>
      <c r="C767">
        <v>4</v>
      </c>
      <c r="D767" s="12">
        <v>42803</v>
      </c>
      <c r="E767" s="12">
        <v>42805</v>
      </c>
      <c r="F767" s="12">
        <v>42806</v>
      </c>
      <c r="G767">
        <v>2</v>
      </c>
      <c r="H767">
        <v>6</v>
      </c>
      <c r="I767" t="str">
        <f t="shared" si="11"/>
        <v>Shipped</v>
      </c>
    </row>
    <row r="768" spans="1:9" x14ac:dyDescent="0.3">
      <c r="A768">
        <v>767</v>
      </c>
      <c r="B768">
        <v>564</v>
      </c>
      <c r="C768">
        <v>4</v>
      </c>
      <c r="D768" s="12">
        <v>42803</v>
      </c>
      <c r="E768" s="12">
        <v>42804</v>
      </c>
      <c r="F768" s="12">
        <v>42805</v>
      </c>
      <c r="G768">
        <v>2</v>
      </c>
      <c r="H768">
        <v>7</v>
      </c>
      <c r="I768" t="str">
        <f t="shared" si="11"/>
        <v>Shipped</v>
      </c>
    </row>
    <row r="769" spans="1:9" x14ac:dyDescent="0.3">
      <c r="A769">
        <v>768</v>
      </c>
      <c r="B769">
        <v>841</v>
      </c>
      <c r="C769">
        <v>4</v>
      </c>
      <c r="D769" s="12">
        <v>42803</v>
      </c>
      <c r="E769" s="12">
        <v>42806</v>
      </c>
      <c r="F769" s="12">
        <v>42804</v>
      </c>
      <c r="G769">
        <v>2</v>
      </c>
      <c r="H769">
        <v>7</v>
      </c>
      <c r="I769" t="str">
        <f t="shared" si="11"/>
        <v>Delivered</v>
      </c>
    </row>
    <row r="770" spans="1:9" x14ac:dyDescent="0.3">
      <c r="A770">
        <v>769</v>
      </c>
      <c r="B770">
        <v>946</v>
      </c>
      <c r="C770">
        <v>4</v>
      </c>
      <c r="D770" s="12">
        <v>42803</v>
      </c>
      <c r="E770" s="12">
        <v>42805</v>
      </c>
      <c r="F770" s="12">
        <v>42805</v>
      </c>
      <c r="G770">
        <v>2</v>
      </c>
      <c r="H770">
        <v>6</v>
      </c>
      <c r="I770" t="str">
        <f t="shared" si="11"/>
        <v>Shipped</v>
      </c>
    </row>
    <row r="771" spans="1:9" x14ac:dyDescent="0.3">
      <c r="A771">
        <v>770</v>
      </c>
      <c r="B771">
        <v>135</v>
      </c>
      <c r="C771">
        <v>4</v>
      </c>
      <c r="D771" s="12">
        <v>42803</v>
      </c>
      <c r="E771" s="12">
        <v>42805</v>
      </c>
      <c r="F771" s="12">
        <v>42805</v>
      </c>
      <c r="G771">
        <v>3</v>
      </c>
      <c r="H771">
        <v>9</v>
      </c>
      <c r="I771" t="str">
        <f t="shared" ref="I771:I834" si="12">IF(F771="NA","Pending",IF(OR(E771=F771,E771&lt;F771),"Shipped","Delivered"))</f>
        <v>Shipped</v>
      </c>
    </row>
    <row r="772" spans="1:9" x14ac:dyDescent="0.3">
      <c r="A772">
        <v>771</v>
      </c>
      <c r="B772">
        <v>671</v>
      </c>
      <c r="C772">
        <v>4</v>
      </c>
      <c r="D772" s="12">
        <v>42805</v>
      </c>
      <c r="E772" s="12">
        <v>42808</v>
      </c>
      <c r="F772" s="12">
        <v>42806</v>
      </c>
      <c r="G772">
        <v>1</v>
      </c>
      <c r="H772">
        <v>3</v>
      </c>
      <c r="I772" t="str">
        <f t="shared" si="12"/>
        <v>Delivered</v>
      </c>
    </row>
    <row r="773" spans="1:9" x14ac:dyDescent="0.3">
      <c r="A773">
        <v>772</v>
      </c>
      <c r="B773">
        <v>448</v>
      </c>
      <c r="C773">
        <v>4</v>
      </c>
      <c r="D773" s="12">
        <v>42805</v>
      </c>
      <c r="E773" s="12">
        <v>42806</v>
      </c>
      <c r="F773" s="12">
        <v>42807</v>
      </c>
      <c r="G773">
        <v>2</v>
      </c>
      <c r="H773">
        <v>7</v>
      </c>
      <c r="I773" t="str">
        <f t="shared" si="12"/>
        <v>Shipped</v>
      </c>
    </row>
    <row r="774" spans="1:9" x14ac:dyDescent="0.3">
      <c r="A774">
        <v>773</v>
      </c>
      <c r="B774">
        <v>1385</v>
      </c>
      <c r="C774">
        <v>4</v>
      </c>
      <c r="D774" s="12">
        <v>42805</v>
      </c>
      <c r="E774" s="12">
        <v>42806</v>
      </c>
      <c r="F774" s="12">
        <v>42806</v>
      </c>
      <c r="G774">
        <v>2</v>
      </c>
      <c r="H774">
        <v>6</v>
      </c>
      <c r="I774" t="str">
        <f t="shared" si="12"/>
        <v>Shipped</v>
      </c>
    </row>
    <row r="775" spans="1:9" x14ac:dyDescent="0.3">
      <c r="A775">
        <v>774</v>
      </c>
      <c r="B775">
        <v>690</v>
      </c>
      <c r="C775">
        <v>4</v>
      </c>
      <c r="D775" s="12">
        <v>42806</v>
      </c>
      <c r="E775" s="12">
        <v>42808</v>
      </c>
      <c r="F775" s="12">
        <v>42808</v>
      </c>
      <c r="G775">
        <v>2</v>
      </c>
      <c r="H775">
        <v>6</v>
      </c>
      <c r="I775" t="str">
        <f t="shared" si="12"/>
        <v>Shipped</v>
      </c>
    </row>
    <row r="776" spans="1:9" x14ac:dyDescent="0.3">
      <c r="A776">
        <v>775</v>
      </c>
      <c r="B776">
        <v>968</v>
      </c>
      <c r="C776">
        <v>4</v>
      </c>
      <c r="D776" s="12">
        <v>42806</v>
      </c>
      <c r="E776" s="12">
        <v>42807</v>
      </c>
      <c r="F776" s="12">
        <v>42807</v>
      </c>
      <c r="G776">
        <v>2</v>
      </c>
      <c r="H776">
        <v>6</v>
      </c>
      <c r="I776" t="str">
        <f t="shared" si="12"/>
        <v>Shipped</v>
      </c>
    </row>
    <row r="777" spans="1:9" x14ac:dyDescent="0.3">
      <c r="A777">
        <v>776</v>
      </c>
      <c r="B777">
        <v>490</v>
      </c>
      <c r="C777">
        <v>4</v>
      </c>
      <c r="D777" s="12">
        <v>42807</v>
      </c>
      <c r="E777" s="12">
        <v>42809</v>
      </c>
      <c r="F777" s="12">
        <v>42810</v>
      </c>
      <c r="G777">
        <v>2</v>
      </c>
      <c r="H777">
        <v>6</v>
      </c>
      <c r="I777" t="str">
        <f t="shared" si="12"/>
        <v>Shipped</v>
      </c>
    </row>
    <row r="778" spans="1:9" x14ac:dyDescent="0.3">
      <c r="A778">
        <v>777</v>
      </c>
      <c r="B778">
        <v>496</v>
      </c>
      <c r="C778">
        <v>4</v>
      </c>
      <c r="D778" s="12">
        <v>42807</v>
      </c>
      <c r="E778" s="12">
        <v>42810</v>
      </c>
      <c r="F778" s="12">
        <v>42810</v>
      </c>
      <c r="G778">
        <v>2</v>
      </c>
      <c r="H778">
        <v>6</v>
      </c>
      <c r="I778" t="str">
        <f t="shared" si="12"/>
        <v>Shipped</v>
      </c>
    </row>
    <row r="779" spans="1:9" x14ac:dyDescent="0.3">
      <c r="A779">
        <v>778</v>
      </c>
      <c r="B779">
        <v>56</v>
      </c>
      <c r="C779">
        <v>3</v>
      </c>
      <c r="D779" s="12">
        <v>42809</v>
      </c>
      <c r="E779" s="12">
        <v>42809</v>
      </c>
      <c r="F779" s="12" t="s">
        <v>5611</v>
      </c>
      <c r="G779">
        <v>3</v>
      </c>
      <c r="H779">
        <v>9</v>
      </c>
      <c r="I779" t="str">
        <f t="shared" si="12"/>
        <v>Pending</v>
      </c>
    </row>
    <row r="780" spans="1:9" x14ac:dyDescent="0.3">
      <c r="A780">
        <v>779</v>
      </c>
      <c r="B780">
        <v>367</v>
      </c>
      <c r="C780">
        <v>4</v>
      </c>
      <c r="D780" s="12">
        <v>42809</v>
      </c>
      <c r="E780" s="12">
        <v>42810</v>
      </c>
      <c r="F780" s="12">
        <v>42812</v>
      </c>
      <c r="G780">
        <v>2</v>
      </c>
      <c r="H780">
        <v>6</v>
      </c>
      <c r="I780" t="str">
        <f t="shared" si="12"/>
        <v>Shipped</v>
      </c>
    </row>
    <row r="781" spans="1:9" x14ac:dyDescent="0.3">
      <c r="A781">
        <v>780</v>
      </c>
      <c r="B781">
        <v>592</v>
      </c>
      <c r="C781">
        <v>4</v>
      </c>
      <c r="D781" s="12">
        <v>42809</v>
      </c>
      <c r="E781" s="12">
        <v>42811</v>
      </c>
      <c r="F781" s="12">
        <v>42811</v>
      </c>
      <c r="G781">
        <v>2</v>
      </c>
      <c r="H781">
        <v>6</v>
      </c>
      <c r="I781" t="str">
        <f t="shared" si="12"/>
        <v>Shipped</v>
      </c>
    </row>
    <row r="782" spans="1:9" x14ac:dyDescent="0.3">
      <c r="A782">
        <v>781</v>
      </c>
      <c r="B782">
        <v>1018</v>
      </c>
      <c r="C782">
        <v>4</v>
      </c>
      <c r="D782" s="12">
        <v>42809</v>
      </c>
      <c r="E782" s="12">
        <v>42810</v>
      </c>
      <c r="F782" s="12">
        <v>42811</v>
      </c>
      <c r="G782">
        <v>2</v>
      </c>
      <c r="H782">
        <v>6</v>
      </c>
      <c r="I782" t="str">
        <f t="shared" si="12"/>
        <v>Shipped</v>
      </c>
    </row>
    <row r="783" spans="1:9" x14ac:dyDescent="0.3">
      <c r="A783">
        <v>782</v>
      </c>
      <c r="B783">
        <v>1298</v>
      </c>
      <c r="C783">
        <v>4</v>
      </c>
      <c r="D783" s="12">
        <v>42809</v>
      </c>
      <c r="E783" s="12">
        <v>42810</v>
      </c>
      <c r="F783" s="12">
        <v>42812</v>
      </c>
      <c r="G783">
        <v>2</v>
      </c>
      <c r="H783">
        <v>7</v>
      </c>
      <c r="I783" t="str">
        <f t="shared" si="12"/>
        <v>Shipped</v>
      </c>
    </row>
    <row r="784" spans="1:9" x14ac:dyDescent="0.3">
      <c r="A784">
        <v>783</v>
      </c>
      <c r="B784">
        <v>1343</v>
      </c>
      <c r="C784">
        <v>4</v>
      </c>
      <c r="D784" s="12">
        <v>42810</v>
      </c>
      <c r="E784" s="12">
        <v>42813</v>
      </c>
      <c r="F784" s="12">
        <v>42811</v>
      </c>
      <c r="G784">
        <v>1</v>
      </c>
      <c r="H784">
        <v>2</v>
      </c>
      <c r="I784" t="str">
        <f t="shared" si="12"/>
        <v>Delivered</v>
      </c>
    </row>
    <row r="785" spans="1:9" x14ac:dyDescent="0.3">
      <c r="A785">
        <v>784</v>
      </c>
      <c r="B785">
        <v>430</v>
      </c>
      <c r="C785">
        <v>4</v>
      </c>
      <c r="D785" s="12">
        <v>42810</v>
      </c>
      <c r="E785" s="12">
        <v>42813</v>
      </c>
      <c r="F785" s="12">
        <v>42813</v>
      </c>
      <c r="G785">
        <v>2</v>
      </c>
      <c r="H785">
        <v>7</v>
      </c>
      <c r="I785" t="str">
        <f t="shared" si="12"/>
        <v>Shipped</v>
      </c>
    </row>
    <row r="786" spans="1:9" x14ac:dyDescent="0.3">
      <c r="A786">
        <v>785</v>
      </c>
      <c r="B786">
        <v>794</v>
      </c>
      <c r="C786">
        <v>4</v>
      </c>
      <c r="D786" s="12">
        <v>42812</v>
      </c>
      <c r="E786" s="12">
        <v>42813</v>
      </c>
      <c r="F786" s="12">
        <v>42814</v>
      </c>
      <c r="G786">
        <v>1</v>
      </c>
      <c r="H786">
        <v>2</v>
      </c>
      <c r="I786" t="str">
        <f t="shared" si="12"/>
        <v>Shipped</v>
      </c>
    </row>
    <row r="787" spans="1:9" x14ac:dyDescent="0.3">
      <c r="A787">
        <v>786</v>
      </c>
      <c r="B787">
        <v>249</v>
      </c>
      <c r="C787">
        <v>4</v>
      </c>
      <c r="D787" s="12">
        <v>42812</v>
      </c>
      <c r="E787" s="12">
        <v>42814</v>
      </c>
      <c r="F787" s="12">
        <v>42813</v>
      </c>
      <c r="G787">
        <v>2</v>
      </c>
      <c r="H787">
        <v>6</v>
      </c>
      <c r="I787" t="str">
        <f t="shared" si="12"/>
        <v>Delivered</v>
      </c>
    </row>
    <row r="788" spans="1:9" x14ac:dyDescent="0.3">
      <c r="A788">
        <v>787</v>
      </c>
      <c r="B788">
        <v>700</v>
      </c>
      <c r="C788">
        <v>4</v>
      </c>
      <c r="D788" s="12">
        <v>42812</v>
      </c>
      <c r="E788" s="12">
        <v>42814</v>
      </c>
      <c r="F788" s="12">
        <v>42813</v>
      </c>
      <c r="G788">
        <v>3</v>
      </c>
      <c r="H788">
        <v>9</v>
      </c>
      <c r="I788" t="str">
        <f t="shared" si="12"/>
        <v>Delivered</v>
      </c>
    </row>
    <row r="789" spans="1:9" x14ac:dyDescent="0.3">
      <c r="A789">
        <v>788</v>
      </c>
      <c r="B789">
        <v>1363</v>
      </c>
      <c r="C789">
        <v>4</v>
      </c>
      <c r="D789" s="12">
        <v>42812</v>
      </c>
      <c r="E789" s="12">
        <v>42814</v>
      </c>
      <c r="F789" s="12">
        <v>42814</v>
      </c>
      <c r="G789">
        <v>3</v>
      </c>
      <c r="H789">
        <v>9</v>
      </c>
      <c r="I789" t="str">
        <f t="shared" si="12"/>
        <v>Shipped</v>
      </c>
    </row>
    <row r="790" spans="1:9" x14ac:dyDescent="0.3">
      <c r="A790">
        <v>789</v>
      </c>
      <c r="B790">
        <v>772</v>
      </c>
      <c r="C790">
        <v>4</v>
      </c>
      <c r="D790" s="12">
        <v>42813</v>
      </c>
      <c r="E790" s="12">
        <v>42814</v>
      </c>
      <c r="F790" s="12">
        <v>42814</v>
      </c>
      <c r="G790">
        <v>2</v>
      </c>
      <c r="H790">
        <v>6</v>
      </c>
      <c r="I790" t="str">
        <f t="shared" si="12"/>
        <v>Shipped</v>
      </c>
    </row>
    <row r="791" spans="1:9" x14ac:dyDescent="0.3">
      <c r="A791">
        <v>790</v>
      </c>
      <c r="B791">
        <v>1015</v>
      </c>
      <c r="C791">
        <v>4</v>
      </c>
      <c r="D791" s="12">
        <v>42813</v>
      </c>
      <c r="E791" s="12">
        <v>42815</v>
      </c>
      <c r="F791" s="12">
        <v>42816</v>
      </c>
      <c r="G791">
        <v>2</v>
      </c>
      <c r="H791">
        <v>7</v>
      </c>
      <c r="I791" t="str">
        <f t="shared" si="12"/>
        <v>Shipped</v>
      </c>
    </row>
    <row r="792" spans="1:9" x14ac:dyDescent="0.3">
      <c r="A792">
        <v>791</v>
      </c>
      <c r="B792">
        <v>432</v>
      </c>
      <c r="C792">
        <v>4</v>
      </c>
      <c r="D792" s="12">
        <v>42814</v>
      </c>
      <c r="E792" s="12">
        <v>42816</v>
      </c>
      <c r="F792" s="12">
        <v>42817</v>
      </c>
      <c r="G792">
        <v>2</v>
      </c>
      <c r="H792">
        <v>6</v>
      </c>
      <c r="I792" t="str">
        <f t="shared" si="12"/>
        <v>Shipped</v>
      </c>
    </row>
    <row r="793" spans="1:9" x14ac:dyDescent="0.3">
      <c r="A793">
        <v>792</v>
      </c>
      <c r="B793">
        <v>479</v>
      </c>
      <c r="C793">
        <v>4</v>
      </c>
      <c r="D793" s="12">
        <v>42816</v>
      </c>
      <c r="E793" s="12">
        <v>42817</v>
      </c>
      <c r="F793" s="12">
        <v>42818</v>
      </c>
      <c r="G793">
        <v>2</v>
      </c>
      <c r="H793">
        <v>6</v>
      </c>
      <c r="I793" t="str">
        <f t="shared" si="12"/>
        <v>Shipped</v>
      </c>
    </row>
    <row r="794" spans="1:9" x14ac:dyDescent="0.3">
      <c r="A794">
        <v>793</v>
      </c>
      <c r="B794">
        <v>653</v>
      </c>
      <c r="C794">
        <v>4</v>
      </c>
      <c r="D794" s="12">
        <v>42817</v>
      </c>
      <c r="E794" s="12">
        <v>42818</v>
      </c>
      <c r="F794" s="12">
        <v>42818</v>
      </c>
      <c r="G794">
        <v>2</v>
      </c>
      <c r="H794">
        <v>6</v>
      </c>
      <c r="I794" t="str">
        <f t="shared" si="12"/>
        <v>Shipped</v>
      </c>
    </row>
    <row r="795" spans="1:9" x14ac:dyDescent="0.3">
      <c r="A795">
        <v>794</v>
      </c>
      <c r="B795">
        <v>863</v>
      </c>
      <c r="C795">
        <v>4</v>
      </c>
      <c r="D795" s="12">
        <v>42817</v>
      </c>
      <c r="E795" s="12">
        <v>42819</v>
      </c>
      <c r="F795" s="12">
        <v>42818</v>
      </c>
      <c r="G795">
        <v>2</v>
      </c>
      <c r="H795">
        <v>7</v>
      </c>
      <c r="I795" t="str">
        <f t="shared" si="12"/>
        <v>Delivered</v>
      </c>
    </row>
    <row r="796" spans="1:9" x14ac:dyDescent="0.3">
      <c r="A796">
        <v>795</v>
      </c>
      <c r="B796">
        <v>992</v>
      </c>
      <c r="C796">
        <v>4</v>
      </c>
      <c r="D796" s="12">
        <v>42817</v>
      </c>
      <c r="E796" s="12">
        <v>42819</v>
      </c>
      <c r="F796" s="12">
        <v>42820</v>
      </c>
      <c r="G796">
        <v>2</v>
      </c>
      <c r="H796">
        <v>7</v>
      </c>
      <c r="I796" t="str">
        <f t="shared" si="12"/>
        <v>Shipped</v>
      </c>
    </row>
    <row r="797" spans="1:9" x14ac:dyDescent="0.3">
      <c r="A797">
        <v>796</v>
      </c>
      <c r="B797">
        <v>154</v>
      </c>
      <c r="C797">
        <v>4</v>
      </c>
      <c r="D797" s="12">
        <v>42817</v>
      </c>
      <c r="E797" s="12">
        <v>42820</v>
      </c>
      <c r="F797" s="12">
        <v>42819</v>
      </c>
      <c r="G797">
        <v>3</v>
      </c>
      <c r="H797">
        <v>9</v>
      </c>
      <c r="I797" t="str">
        <f t="shared" si="12"/>
        <v>Delivered</v>
      </c>
    </row>
    <row r="798" spans="1:9" x14ac:dyDescent="0.3">
      <c r="A798">
        <v>797</v>
      </c>
      <c r="B798">
        <v>374</v>
      </c>
      <c r="C798">
        <v>4</v>
      </c>
      <c r="D798" s="12">
        <v>42818</v>
      </c>
      <c r="E798" s="12">
        <v>42820</v>
      </c>
      <c r="F798" s="12">
        <v>42820</v>
      </c>
      <c r="G798">
        <v>2</v>
      </c>
      <c r="H798">
        <v>7</v>
      </c>
      <c r="I798" t="str">
        <f t="shared" si="12"/>
        <v>Shipped</v>
      </c>
    </row>
    <row r="799" spans="1:9" x14ac:dyDescent="0.3">
      <c r="A799">
        <v>798</v>
      </c>
      <c r="B799">
        <v>619</v>
      </c>
      <c r="C799">
        <v>4</v>
      </c>
      <c r="D799" s="12">
        <v>42820</v>
      </c>
      <c r="E799" s="12">
        <v>42822</v>
      </c>
      <c r="F799" s="12">
        <v>42823</v>
      </c>
      <c r="G799">
        <v>1</v>
      </c>
      <c r="H799">
        <v>3</v>
      </c>
      <c r="I799" t="str">
        <f t="shared" si="12"/>
        <v>Shipped</v>
      </c>
    </row>
    <row r="800" spans="1:9" x14ac:dyDescent="0.3">
      <c r="A800">
        <v>799</v>
      </c>
      <c r="B800">
        <v>607</v>
      </c>
      <c r="C800">
        <v>4</v>
      </c>
      <c r="D800" s="12">
        <v>42821</v>
      </c>
      <c r="E800" s="12">
        <v>42822</v>
      </c>
      <c r="F800" s="12">
        <v>42823</v>
      </c>
      <c r="G800">
        <v>1</v>
      </c>
      <c r="H800">
        <v>3</v>
      </c>
      <c r="I800" t="str">
        <f t="shared" si="12"/>
        <v>Shipped</v>
      </c>
    </row>
    <row r="801" spans="1:9" x14ac:dyDescent="0.3">
      <c r="A801">
        <v>800</v>
      </c>
      <c r="B801">
        <v>1057</v>
      </c>
      <c r="C801">
        <v>4</v>
      </c>
      <c r="D801" s="12">
        <v>42821</v>
      </c>
      <c r="E801" s="12">
        <v>42823</v>
      </c>
      <c r="F801" s="12">
        <v>42822</v>
      </c>
      <c r="G801">
        <v>2</v>
      </c>
      <c r="H801">
        <v>6</v>
      </c>
      <c r="I801" t="str">
        <f t="shared" si="12"/>
        <v>Delivered</v>
      </c>
    </row>
    <row r="802" spans="1:9" x14ac:dyDescent="0.3">
      <c r="A802">
        <v>801</v>
      </c>
      <c r="B802">
        <v>78</v>
      </c>
      <c r="C802">
        <v>4</v>
      </c>
      <c r="D802" s="12">
        <v>42822</v>
      </c>
      <c r="E802" s="12">
        <v>42823</v>
      </c>
      <c r="F802" s="12">
        <v>42824</v>
      </c>
      <c r="G802">
        <v>1</v>
      </c>
      <c r="H802">
        <v>2</v>
      </c>
      <c r="I802" t="str">
        <f t="shared" si="12"/>
        <v>Shipped</v>
      </c>
    </row>
    <row r="803" spans="1:9" x14ac:dyDescent="0.3">
      <c r="A803">
        <v>802</v>
      </c>
      <c r="B803">
        <v>340</v>
      </c>
      <c r="C803">
        <v>4</v>
      </c>
      <c r="D803" s="12">
        <v>42822</v>
      </c>
      <c r="E803" s="12">
        <v>42823</v>
      </c>
      <c r="F803" s="12">
        <v>42824</v>
      </c>
      <c r="G803">
        <v>2</v>
      </c>
      <c r="H803">
        <v>6</v>
      </c>
      <c r="I803" t="str">
        <f t="shared" si="12"/>
        <v>Shipped</v>
      </c>
    </row>
    <row r="804" spans="1:9" x14ac:dyDescent="0.3">
      <c r="A804">
        <v>803</v>
      </c>
      <c r="B804">
        <v>1105</v>
      </c>
      <c r="C804">
        <v>4</v>
      </c>
      <c r="D804" s="12">
        <v>42822</v>
      </c>
      <c r="E804" s="12">
        <v>42825</v>
      </c>
      <c r="F804" s="12">
        <v>42824</v>
      </c>
      <c r="G804">
        <v>3</v>
      </c>
      <c r="H804">
        <v>8</v>
      </c>
      <c r="I804" t="str">
        <f t="shared" si="12"/>
        <v>Delivered</v>
      </c>
    </row>
    <row r="805" spans="1:9" x14ac:dyDescent="0.3">
      <c r="A805">
        <v>804</v>
      </c>
      <c r="B805">
        <v>95</v>
      </c>
      <c r="C805">
        <v>4</v>
      </c>
      <c r="D805" s="12">
        <v>42823</v>
      </c>
      <c r="E805" s="12">
        <v>42825</v>
      </c>
      <c r="F805" s="12">
        <v>42824</v>
      </c>
      <c r="G805">
        <v>2</v>
      </c>
      <c r="H805">
        <v>6</v>
      </c>
      <c r="I805" t="str">
        <f t="shared" si="12"/>
        <v>Delivered</v>
      </c>
    </row>
    <row r="806" spans="1:9" x14ac:dyDescent="0.3">
      <c r="A806">
        <v>805</v>
      </c>
      <c r="B806">
        <v>420</v>
      </c>
      <c r="C806">
        <v>4</v>
      </c>
      <c r="D806" s="12">
        <v>42823</v>
      </c>
      <c r="E806" s="12">
        <v>42824</v>
      </c>
      <c r="F806" s="12">
        <v>42826</v>
      </c>
      <c r="G806">
        <v>2</v>
      </c>
      <c r="H806">
        <v>6</v>
      </c>
      <c r="I806" t="str">
        <f t="shared" si="12"/>
        <v>Shipped</v>
      </c>
    </row>
    <row r="807" spans="1:9" x14ac:dyDescent="0.3">
      <c r="A807">
        <v>806</v>
      </c>
      <c r="B807">
        <v>234</v>
      </c>
      <c r="C807">
        <v>4</v>
      </c>
      <c r="D807" s="12">
        <v>42824</v>
      </c>
      <c r="E807" s="12">
        <v>42825</v>
      </c>
      <c r="F807" s="12">
        <v>42825</v>
      </c>
      <c r="G807">
        <v>2</v>
      </c>
      <c r="H807">
        <v>7</v>
      </c>
      <c r="I807" t="str">
        <f t="shared" si="12"/>
        <v>Shipped</v>
      </c>
    </row>
    <row r="808" spans="1:9" x14ac:dyDescent="0.3">
      <c r="A808">
        <v>807</v>
      </c>
      <c r="B808">
        <v>1148</v>
      </c>
      <c r="C808">
        <v>4</v>
      </c>
      <c r="D808" s="12">
        <v>42824</v>
      </c>
      <c r="E808" s="12">
        <v>42826</v>
      </c>
      <c r="F808" s="12">
        <v>42827</v>
      </c>
      <c r="G808">
        <v>2</v>
      </c>
      <c r="H808">
        <v>6</v>
      </c>
      <c r="I808" t="str">
        <f t="shared" si="12"/>
        <v>Shipped</v>
      </c>
    </row>
    <row r="809" spans="1:9" x14ac:dyDescent="0.3">
      <c r="A809">
        <v>808</v>
      </c>
      <c r="B809">
        <v>315</v>
      </c>
      <c r="C809">
        <v>4</v>
      </c>
      <c r="D809" s="12">
        <v>42825</v>
      </c>
      <c r="E809" s="12">
        <v>42827</v>
      </c>
      <c r="F809" s="12">
        <v>42827</v>
      </c>
      <c r="G809">
        <v>2</v>
      </c>
      <c r="H809">
        <v>6</v>
      </c>
      <c r="I809" t="str">
        <f t="shared" si="12"/>
        <v>Shipped</v>
      </c>
    </row>
    <row r="810" spans="1:9" x14ac:dyDescent="0.3">
      <c r="A810">
        <v>809</v>
      </c>
      <c r="B810">
        <v>1222</v>
      </c>
      <c r="C810">
        <v>4</v>
      </c>
      <c r="D810" s="12">
        <v>42825</v>
      </c>
      <c r="E810" s="12">
        <v>42828</v>
      </c>
      <c r="F810" s="12">
        <v>42828</v>
      </c>
      <c r="G810">
        <v>2</v>
      </c>
      <c r="H810">
        <v>7</v>
      </c>
      <c r="I810" t="str">
        <f t="shared" si="12"/>
        <v>Shipped</v>
      </c>
    </row>
    <row r="811" spans="1:9" x14ac:dyDescent="0.3">
      <c r="A811">
        <v>810</v>
      </c>
      <c r="B811">
        <v>153</v>
      </c>
      <c r="C811">
        <v>3</v>
      </c>
      <c r="D811" s="12">
        <v>42826</v>
      </c>
      <c r="E811" s="12">
        <v>42826</v>
      </c>
      <c r="F811" s="12" t="s">
        <v>5611</v>
      </c>
      <c r="G811">
        <v>3</v>
      </c>
      <c r="H811">
        <v>8</v>
      </c>
      <c r="I811" t="str">
        <f t="shared" si="12"/>
        <v>Pending</v>
      </c>
    </row>
    <row r="812" spans="1:9" x14ac:dyDescent="0.3">
      <c r="A812">
        <v>811</v>
      </c>
      <c r="B812">
        <v>524</v>
      </c>
      <c r="C812">
        <v>4</v>
      </c>
      <c r="D812" s="12">
        <v>42826</v>
      </c>
      <c r="E812" s="12">
        <v>42829</v>
      </c>
      <c r="F812" s="12">
        <v>42829</v>
      </c>
      <c r="G812">
        <v>2</v>
      </c>
      <c r="H812">
        <v>7</v>
      </c>
      <c r="I812" t="str">
        <f t="shared" si="12"/>
        <v>Shipped</v>
      </c>
    </row>
    <row r="813" spans="1:9" x14ac:dyDescent="0.3">
      <c r="A813">
        <v>812</v>
      </c>
      <c r="B813">
        <v>1164</v>
      </c>
      <c r="C813">
        <v>4</v>
      </c>
      <c r="D813" s="12">
        <v>42826</v>
      </c>
      <c r="E813" s="12">
        <v>42827</v>
      </c>
      <c r="F813" s="12">
        <v>42828</v>
      </c>
      <c r="G813">
        <v>2</v>
      </c>
      <c r="H813">
        <v>7</v>
      </c>
      <c r="I813" t="str">
        <f t="shared" si="12"/>
        <v>Shipped</v>
      </c>
    </row>
    <row r="814" spans="1:9" x14ac:dyDescent="0.3">
      <c r="A814">
        <v>813</v>
      </c>
      <c r="B814">
        <v>1203</v>
      </c>
      <c r="C814">
        <v>4</v>
      </c>
      <c r="D814" s="12">
        <v>42826</v>
      </c>
      <c r="E814" s="12">
        <v>42828</v>
      </c>
      <c r="F814" s="12">
        <v>42827</v>
      </c>
      <c r="G814">
        <v>3</v>
      </c>
      <c r="H814">
        <v>9</v>
      </c>
      <c r="I814" t="str">
        <f t="shared" si="12"/>
        <v>Delivered</v>
      </c>
    </row>
    <row r="815" spans="1:9" x14ac:dyDescent="0.3">
      <c r="A815">
        <v>814</v>
      </c>
      <c r="B815">
        <v>629</v>
      </c>
      <c r="C815">
        <v>4</v>
      </c>
      <c r="D815" s="12">
        <v>42827</v>
      </c>
      <c r="E815" s="12">
        <v>42830</v>
      </c>
      <c r="F815" s="12">
        <v>42828</v>
      </c>
      <c r="G815">
        <v>2</v>
      </c>
      <c r="H815">
        <v>7</v>
      </c>
      <c r="I815" t="str">
        <f t="shared" si="12"/>
        <v>Delivered</v>
      </c>
    </row>
    <row r="816" spans="1:9" x14ac:dyDescent="0.3">
      <c r="A816">
        <v>815</v>
      </c>
      <c r="B816">
        <v>1251</v>
      </c>
      <c r="C816">
        <v>4</v>
      </c>
      <c r="D816" s="12">
        <v>42828</v>
      </c>
      <c r="E816" s="12">
        <v>42830</v>
      </c>
      <c r="F816" s="12">
        <v>42829</v>
      </c>
      <c r="G816">
        <v>1</v>
      </c>
      <c r="H816">
        <v>3</v>
      </c>
      <c r="I816" t="str">
        <f t="shared" si="12"/>
        <v>Delivered</v>
      </c>
    </row>
    <row r="817" spans="1:9" x14ac:dyDescent="0.3">
      <c r="A817">
        <v>816</v>
      </c>
      <c r="B817">
        <v>811</v>
      </c>
      <c r="C817">
        <v>4</v>
      </c>
      <c r="D817" s="12">
        <v>42828</v>
      </c>
      <c r="E817" s="12">
        <v>42830</v>
      </c>
      <c r="F817" s="12">
        <v>42830</v>
      </c>
      <c r="G817">
        <v>2</v>
      </c>
      <c r="H817">
        <v>6</v>
      </c>
      <c r="I817" t="str">
        <f t="shared" si="12"/>
        <v>Shipped</v>
      </c>
    </row>
    <row r="818" spans="1:9" x14ac:dyDescent="0.3">
      <c r="A818">
        <v>817</v>
      </c>
      <c r="B818">
        <v>301</v>
      </c>
      <c r="C818">
        <v>4</v>
      </c>
      <c r="D818" s="12">
        <v>42829</v>
      </c>
      <c r="E818" s="12">
        <v>42830</v>
      </c>
      <c r="F818" s="12">
        <v>42832</v>
      </c>
      <c r="G818">
        <v>2</v>
      </c>
      <c r="H818">
        <v>7</v>
      </c>
      <c r="I818" t="str">
        <f t="shared" si="12"/>
        <v>Shipped</v>
      </c>
    </row>
    <row r="819" spans="1:9" x14ac:dyDescent="0.3">
      <c r="A819">
        <v>818</v>
      </c>
      <c r="B819">
        <v>1319</v>
      </c>
      <c r="C819">
        <v>4</v>
      </c>
      <c r="D819" s="12">
        <v>42829</v>
      </c>
      <c r="E819" s="12">
        <v>42832</v>
      </c>
      <c r="F819" s="12">
        <v>42832</v>
      </c>
      <c r="G819">
        <v>2</v>
      </c>
      <c r="H819">
        <v>6</v>
      </c>
      <c r="I819" t="str">
        <f t="shared" si="12"/>
        <v>Shipped</v>
      </c>
    </row>
    <row r="820" spans="1:9" x14ac:dyDescent="0.3">
      <c r="A820">
        <v>819</v>
      </c>
      <c r="B820">
        <v>221</v>
      </c>
      <c r="C820">
        <v>4</v>
      </c>
      <c r="D820" s="12">
        <v>42829</v>
      </c>
      <c r="E820" s="12">
        <v>42832</v>
      </c>
      <c r="F820" s="12">
        <v>42830</v>
      </c>
      <c r="G820">
        <v>3</v>
      </c>
      <c r="H820">
        <v>9</v>
      </c>
      <c r="I820" t="str">
        <f t="shared" si="12"/>
        <v>Delivered</v>
      </c>
    </row>
    <row r="821" spans="1:9" x14ac:dyDescent="0.3">
      <c r="A821">
        <v>820</v>
      </c>
      <c r="B821">
        <v>725</v>
      </c>
      <c r="C821">
        <v>4</v>
      </c>
      <c r="D821" s="12">
        <v>42830</v>
      </c>
      <c r="E821" s="12">
        <v>42833</v>
      </c>
      <c r="F821" s="12">
        <v>42832</v>
      </c>
      <c r="G821">
        <v>2</v>
      </c>
      <c r="H821">
        <v>7</v>
      </c>
      <c r="I821" t="str">
        <f t="shared" si="12"/>
        <v>Delivered</v>
      </c>
    </row>
    <row r="822" spans="1:9" x14ac:dyDescent="0.3">
      <c r="A822">
        <v>821</v>
      </c>
      <c r="B822">
        <v>1181</v>
      </c>
      <c r="C822">
        <v>4</v>
      </c>
      <c r="D822" s="12">
        <v>42830</v>
      </c>
      <c r="E822" s="12">
        <v>42832</v>
      </c>
      <c r="F822" s="12">
        <v>42833</v>
      </c>
      <c r="G822">
        <v>2</v>
      </c>
      <c r="H822">
        <v>7</v>
      </c>
      <c r="I822" t="str">
        <f t="shared" si="12"/>
        <v>Shipped</v>
      </c>
    </row>
    <row r="823" spans="1:9" x14ac:dyDescent="0.3">
      <c r="A823">
        <v>822</v>
      </c>
      <c r="B823">
        <v>294</v>
      </c>
      <c r="C823">
        <v>4</v>
      </c>
      <c r="D823" s="12">
        <v>42831</v>
      </c>
      <c r="E823" s="12">
        <v>42833</v>
      </c>
      <c r="F823" s="12">
        <v>42834</v>
      </c>
      <c r="G823">
        <v>2</v>
      </c>
      <c r="H823">
        <v>7</v>
      </c>
      <c r="I823" t="str">
        <f t="shared" si="12"/>
        <v>Shipped</v>
      </c>
    </row>
    <row r="824" spans="1:9" x14ac:dyDescent="0.3">
      <c r="A824">
        <v>823</v>
      </c>
      <c r="B824">
        <v>415</v>
      </c>
      <c r="C824">
        <v>4</v>
      </c>
      <c r="D824" s="12">
        <v>42831</v>
      </c>
      <c r="E824" s="12">
        <v>42832</v>
      </c>
      <c r="F824" s="12">
        <v>42833</v>
      </c>
      <c r="G824">
        <v>3</v>
      </c>
      <c r="H824">
        <v>8</v>
      </c>
      <c r="I824" t="str">
        <f t="shared" si="12"/>
        <v>Shipped</v>
      </c>
    </row>
    <row r="825" spans="1:9" x14ac:dyDescent="0.3">
      <c r="A825">
        <v>824</v>
      </c>
      <c r="B825">
        <v>993</v>
      </c>
      <c r="C825">
        <v>4</v>
      </c>
      <c r="D825" s="12">
        <v>42832</v>
      </c>
      <c r="E825" s="12">
        <v>42834</v>
      </c>
      <c r="F825" s="12">
        <v>42835</v>
      </c>
      <c r="G825">
        <v>1</v>
      </c>
      <c r="H825">
        <v>2</v>
      </c>
      <c r="I825" t="str">
        <f t="shared" si="12"/>
        <v>Shipped</v>
      </c>
    </row>
    <row r="826" spans="1:9" x14ac:dyDescent="0.3">
      <c r="A826">
        <v>825</v>
      </c>
      <c r="B826">
        <v>10</v>
      </c>
      <c r="C826">
        <v>4</v>
      </c>
      <c r="D826" s="12">
        <v>42832</v>
      </c>
      <c r="E826" s="12">
        <v>42833</v>
      </c>
      <c r="F826" s="12">
        <v>42834</v>
      </c>
      <c r="G826">
        <v>2</v>
      </c>
      <c r="H826">
        <v>7</v>
      </c>
      <c r="I826" t="str">
        <f t="shared" si="12"/>
        <v>Shipped</v>
      </c>
    </row>
    <row r="827" spans="1:9" x14ac:dyDescent="0.3">
      <c r="A827">
        <v>826</v>
      </c>
      <c r="B827">
        <v>45</v>
      </c>
      <c r="C827">
        <v>4</v>
      </c>
      <c r="D827" s="12">
        <v>42832</v>
      </c>
      <c r="E827" s="12">
        <v>42835</v>
      </c>
      <c r="F827" s="12">
        <v>42835</v>
      </c>
      <c r="G827">
        <v>2</v>
      </c>
      <c r="H827">
        <v>6</v>
      </c>
      <c r="I827" t="str">
        <f t="shared" si="12"/>
        <v>Shipped</v>
      </c>
    </row>
    <row r="828" spans="1:9" x14ac:dyDescent="0.3">
      <c r="A828">
        <v>827</v>
      </c>
      <c r="B828">
        <v>666</v>
      </c>
      <c r="C828">
        <v>4</v>
      </c>
      <c r="D828" s="12">
        <v>42832</v>
      </c>
      <c r="E828" s="12">
        <v>42835</v>
      </c>
      <c r="F828" s="12">
        <v>42835</v>
      </c>
      <c r="G828">
        <v>2</v>
      </c>
      <c r="H828">
        <v>7</v>
      </c>
      <c r="I828" t="str">
        <f t="shared" si="12"/>
        <v>Shipped</v>
      </c>
    </row>
    <row r="829" spans="1:9" x14ac:dyDescent="0.3">
      <c r="A829">
        <v>828</v>
      </c>
      <c r="B829">
        <v>246</v>
      </c>
      <c r="C829">
        <v>4</v>
      </c>
      <c r="D829" s="12">
        <v>42834</v>
      </c>
      <c r="E829" s="12">
        <v>42835</v>
      </c>
      <c r="F829" s="12">
        <v>42837</v>
      </c>
      <c r="G829">
        <v>2</v>
      </c>
      <c r="H829">
        <v>6</v>
      </c>
      <c r="I829" t="str">
        <f t="shared" si="12"/>
        <v>Shipped</v>
      </c>
    </row>
    <row r="830" spans="1:9" x14ac:dyDescent="0.3">
      <c r="A830">
        <v>829</v>
      </c>
      <c r="B830">
        <v>674</v>
      </c>
      <c r="C830">
        <v>4</v>
      </c>
      <c r="D830" s="12">
        <v>42834</v>
      </c>
      <c r="E830" s="12">
        <v>42835</v>
      </c>
      <c r="F830" s="12">
        <v>42835</v>
      </c>
      <c r="G830">
        <v>2</v>
      </c>
      <c r="H830">
        <v>7</v>
      </c>
      <c r="I830" t="str">
        <f t="shared" si="12"/>
        <v>Shipped</v>
      </c>
    </row>
    <row r="831" spans="1:9" x14ac:dyDescent="0.3">
      <c r="A831">
        <v>830</v>
      </c>
      <c r="B831">
        <v>431</v>
      </c>
      <c r="C831">
        <v>4</v>
      </c>
      <c r="D831" s="12">
        <v>42836</v>
      </c>
      <c r="E831" s="12">
        <v>42839</v>
      </c>
      <c r="F831" s="12">
        <v>42837</v>
      </c>
      <c r="G831">
        <v>2</v>
      </c>
      <c r="H831">
        <v>6</v>
      </c>
      <c r="I831" t="str">
        <f t="shared" si="12"/>
        <v>Delivered</v>
      </c>
    </row>
    <row r="832" spans="1:9" x14ac:dyDescent="0.3">
      <c r="A832">
        <v>831</v>
      </c>
      <c r="B832">
        <v>1000</v>
      </c>
      <c r="C832">
        <v>4</v>
      </c>
      <c r="D832" s="12">
        <v>42836</v>
      </c>
      <c r="E832" s="12">
        <v>42837</v>
      </c>
      <c r="F832" s="12">
        <v>42837</v>
      </c>
      <c r="G832">
        <v>2</v>
      </c>
      <c r="H832">
        <v>7</v>
      </c>
      <c r="I832" t="str">
        <f t="shared" si="12"/>
        <v>Shipped</v>
      </c>
    </row>
    <row r="833" spans="1:9" x14ac:dyDescent="0.3">
      <c r="A833">
        <v>832</v>
      </c>
      <c r="B833">
        <v>1215</v>
      </c>
      <c r="C833">
        <v>4</v>
      </c>
      <c r="D833" s="12">
        <v>42836</v>
      </c>
      <c r="E833" s="12">
        <v>42837</v>
      </c>
      <c r="F833" s="12">
        <v>42837</v>
      </c>
      <c r="G833">
        <v>2</v>
      </c>
      <c r="H833">
        <v>7</v>
      </c>
      <c r="I833" t="str">
        <f t="shared" si="12"/>
        <v>Shipped</v>
      </c>
    </row>
    <row r="834" spans="1:9" x14ac:dyDescent="0.3">
      <c r="A834">
        <v>833</v>
      </c>
      <c r="B834">
        <v>406</v>
      </c>
      <c r="C834">
        <v>4</v>
      </c>
      <c r="D834" s="12">
        <v>42837</v>
      </c>
      <c r="E834" s="12">
        <v>42839</v>
      </c>
      <c r="F834" s="12">
        <v>42840</v>
      </c>
      <c r="G834">
        <v>2</v>
      </c>
      <c r="H834">
        <v>7</v>
      </c>
      <c r="I834" t="str">
        <f t="shared" si="12"/>
        <v>Shipped</v>
      </c>
    </row>
    <row r="835" spans="1:9" x14ac:dyDescent="0.3">
      <c r="A835">
        <v>834</v>
      </c>
      <c r="B835">
        <v>890</v>
      </c>
      <c r="C835">
        <v>4</v>
      </c>
      <c r="D835" s="12">
        <v>42837</v>
      </c>
      <c r="E835" s="12">
        <v>42838</v>
      </c>
      <c r="F835" s="12">
        <v>42840</v>
      </c>
      <c r="G835">
        <v>2</v>
      </c>
      <c r="H835">
        <v>6</v>
      </c>
      <c r="I835" t="str">
        <f t="shared" ref="I835:I898" si="13">IF(F835="NA","Pending",IF(OR(E835=F835,E835&lt;F835),"Shipped","Delivered"))</f>
        <v>Shipped</v>
      </c>
    </row>
    <row r="836" spans="1:9" x14ac:dyDescent="0.3">
      <c r="A836">
        <v>835</v>
      </c>
      <c r="B836">
        <v>940</v>
      </c>
      <c r="C836">
        <v>4</v>
      </c>
      <c r="D836" s="12">
        <v>42838</v>
      </c>
      <c r="E836" s="12">
        <v>42840</v>
      </c>
      <c r="F836" s="12">
        <v>42839</v>
      </c>
      <c r="G836">
        <v>1</v>
      </c>
      <c r="H836">
        <v>2</v>
      </c>
      <c r="I836" t="str">
        <f t="shared" si="13"/>
        <v>Delivered</v>
      </c>
    </row>
    <row r="837" spans="1:9" x14ac:dyDescent="0.3">
      <c r="A837">
        <v>836</v>
      </c>
      <c r="B837">
        <v>455</v>
      </c>
      <c r="C837">
        <v>4</v>
      </c>
      <c r="D837" s="12">
        <v>42838</v>
      </c>
      <c r="E837" s="12">
        <v>42841</v>
      </c>
      <c r="F837" s="12">
        <v>42839</v>
      </c>
      <c r="G837">
        <v>2</v>
      </c>
      <c r="H837">
        <v>6</v>
      </c>
      <c r="I837" t="str">
        <f t="shared" si="13"/>
        <v>Delivered</v>
      </c>
    </row>
    <row r="838" spans="1:9" x14ac:dyDescent="0.3">
      <c r="A838">
        <v>837</v>
      </c>
      <c r="B838">
        <v>948</v>
      </c>
      <c r="C838">
        <v>4</v>
      </c>
      <c r="D838" s="12">
        <v>42838</v>
      </c>
      <c r="E838" s="12">
        <v>42841</v>
      </c>
      <c r="F838" s="12">
        <v>42839</v>
      </c>
      <c r="G838">
        <v>2</v>
      </c>
      <c r="H838">
        <v>7</v>
      </c>
      <c r="I838" t="str">
        <f t="shared" si="13"/>
        <v>Delivered</v>
      </c>
    </row>
    <row r="839" spans="1:9" x14ac:dyDescent="0.3">
      <c r="A839">
        <v>838</v>
      </c>
      <c r="B839">
        <v>1395</v>
      </c>
      <c r="C839">
        <v>4</v>
      </c>
      <c r="D839" s="12">
        <v>42839</v>
      </c>
      <c r="E839" s="12">
        <v>42842</v>
      </c>
      <c r="F839" s="12">
        <v>42840</v>
      </c>
      <c r="G839">
        <v>2</v>
      </c>
      <c r="H839">
        <v>7</v>
      </c>
      <c r="I839" t="str">
        <f t="shared" si="13"/>
        <v>Delivered</v>
      </c>
    </row>
    <row r="840" spans="1:9" x14ac:dyDescent="0.3">
      <c r="A840">
        <v>839</v>
      </c>
      <c r="B840">
        <v>1332</v>
      </c>
      <c r="C840">
        <v>4</v>
      </c>
      <c r="D840" s="12">
        <v>42840</v>
      </c>
      <c r="E840" s="12">
        <v>42843</v>
      </c>
      <c r="F840" s="12">
        <v>42841</v>
      </c>
      <c r="G840">
        <v>1</v>
      </c>
      <c r="H840">
        <v>3</v>
      </c>
      <c r="I840" t="str">
        <f t="shared" si="13"/>
        <v>Delivered</v>
      </c>
    </row>
    <row r="841" spans="1:9" x14ac:dyDescent="0.3">
      <c r="A841">
        <v>840</v>
      </c>
      <c r="B841">
        <v>372</v>
      </c>
      <c r="C841">
        <v>4</v>
      </c>
      <c r="D841" s="12">
        <v>42840</v>
      </c>
      <c r="E841" s="12">
        <v>42841</v>
      </c>
      <c r="F841" s="12">
        <v>42841</v>
      </c>
      <c r="G841">
        <v>2</v>
      </c>
      <c r="H841">
        <v>6</v>
      </c>
      <c r="I841" t="str">
        <f t="shared" si="13"/>
        <v>Shipped</v>
      </c>
    </row>
    <row r="842" spans="1:9" x14ac:dyDescent="0.3">
      <c r="A842">
        <v>841</v>
      </c>
      <c r="B842">
        <v>428</v>
      </c>
      <c r="C842">
        <v>4</v>
      </c>
      <c r="D842" s="12">
        <v>42840</v>
      </c>
      <c r="E842" s="12">
        <v>42843</v>
      </c>
      <c r="F842" s="12">
        <v>42842</v>
      </c>
      <c r="G842">
        <v>2</v>
      </c>
      <c r="H842">
        <v>7</v>
      </c>
      <c r="I842" t="str">
        <f t="shared" si="13"/>
        <v>Delivered</v>
      </c>
    </row>
    <row r="843" spans="1:9" x14ac:dyDescent="0.3">
      <c r="A843">
        <v>842</v>
      </c>
      <c r="B843">
        <v>1133</v>
      </c>
      <c r="C843">
        <v>4</v>
      </c>
      <c r="D843" s="12">
        <v>42840</v>
      </c>
      <c r="E843" s="12">
        <v>42843</v>
      </c>
      <c r="F843" s="12">
        <v>42841</v>
      </c>
      <c r="G843">
        <v>2</v>
      </c>
      <c r="H843">
        <v>6</v>
      </c>
      <c r="I843" t="str">
        <f t="shared" si="13"/>
        <v>Delivered</v>
      </c>
    </row>
    <row r="844" spans="1:9" x14ac:dyDescent="0.3">
      <c r="A844">
        <v>843</v>
      </c>
      <c r="B844">
        <v>1059</v>
      </c>
      <c r="C844">
        <v>4</v>
      </c>
      <c r="D844" s="12">
        <v>42841</v>
      </c>
      <c r="E844" s="12">
        <v>42842</v>
      </c>
      <c r="F844" s="12">
        <v>42844</v>
      </c>
      <c r="G844">
        <v>2</v>
      </c>
      <c r="H844">
        <v>7</v>
      </c>
      <c r="I844" t="str">
        <f t="shared" si="13"/>
        <v>Shipped</v>
      </c>
    </row>
    <row r="845" spans="1:9" x14ac:dyDescent="0.3">
      <c r="A845">
        <v>844</v>
      </c>
      <c r="B845">
        <v>1436</v>
      </c>
      <c r="C845">
        <v>4</v>
      </c>
      <c r="D845" s="12">
        <v>42841</v>
      </c>
      <c r="E845" s="12">
        <v>42842</v>
      </c>
      <c r="F845" s="12">
        <v>42843</v>
      </c>
      <c r="G845">
        <v>2</v>
      </c>
      <c r="H845">
        <v>6</v>
      </c>
      <c r="I845" t="str">
        <f t="shared" si="13"/>
        <v>Shipped</v>
      </c>
    </row>
    <row r="846" spans="1:9" x14ac:dyDescent="0.3">
      <c r="A846">
        <v>845</v>
      </c>
      <c r="B846">
        <v>662</v>
      </c>
      <c r="C846">
        <v>4</v>
      </c>
      <c r="D846" s="12">
        <v>42842</v>
      </c>
      <c r="E846" s="12">
        <v>42843</v>
      </c>
      <c r="F846" s="12">
        <v>42843</v>
      </c>
      <c r="G846">
        <v>2</v>
      </c>
      <c r="H846">
        <v>7</v>
      </c>
      <c r="I846" t="str">
        <f t="shared" si="13"/>
        <v>Shipped</v>
      </c>
    </row>
    <row r="847" spans="1:9" x14ac:dyDescent="0.3">
      <c r="A847">
        <v>846</v>
      </c>
      <c r="B847">
        <v>715</v>
      </c>
      <c r="C847">
        <v>4</v>
      </c>
      <c r="D847" s="12">
        <v>42842</v>
      </c>
      <c r="E847" s="12">
        <v>42844</v>
      </c>
      <c r="F847" s="12">
        <v>42844</v>
      </c>
      <c r="G847">
        <v>2</v>
      </c>
      <c r="H847">
        <v>6</v>
      </c>
      <c r="I847" t="str">
        <f t="shared" si="13"/>
        <v>Shipped</v>
      </c>
    </row>
    <row r="848" spans="1:9" x14ac:dyDescent="0.3">
      <c r="A848">
        <v>847</v>
      </c>
      <c r="B848">
        <v>329</v>
      </c>
      <c r="C848">
        <v>4</v>
      </c>
      <c r="D848" s="12">
        <v>42843</v>
      </c>
      <c r="E848" s="12">
        <v>42844</v>
      </c>
      <c r="F848" s="12">
        <v>42844</v>
      </c>
      <c r="G848">
        <v>2</v>
      </c>
      <c r="H848">
        <v>7</v>
      </c>
      <c r="I848" t="str">
        <f t="shared" si="13"/>
        <v>Shipped</v>
      </c>
    </row>
    <row r="849" spans="1:9" x14ac:dyDescent="0.3">
      <c r="A849">
        <v>848</v>
      </c>
      <c r="B849">
        <v>597</v>
      </c>
      <c r="C849">
        <v>4</v>
      </c>
      <c r="D849" s="12">
        <v>42843</v>
      </c>
      <c r="E849" s="12">
        <v>42845</v>
      </c>
      <c r="F849" s="12">
        <v>42845</v>
      </c>
      <c r="G849">
        <v>2</v>
      </c>
      <c r="H849">
        <v>7</v>
      </c>
      <c r="I849" t="str">
        <f t="shared" si="13"/>
        <v>Shipped</v>
      </c>
    </row>
    <row r="850" spans="1:9" x14ac:dyDescent="0.3">
      <c r="A850">
        <v>849</v>
      </c>
      <c r="B850">
        <v>776</v>
      </c>
      <c r="C850">
        <v>4</v>
      </c>
      <c r="D850" s="12">
        <v>42844</v>
      </c>
      <c r="E850" s="12">
        <v>42845</v>
      </c>
      <c r="F850" s="12">
        <v>42846</v>
      </c>
      <c r="G850">
        <v>1</v>
      </c>
      <c r="H850">
        <v>2</v>
      </c>
      <c r="I850" t="str">
        <f t="shared" si="13"/>
        <v>Shipped</v>
      </c>
    </row>
    <row r="851" spans="1:9" x14ac:dyDescent="0.3">
      <c r="A851">
        <v>850</v>
      </c>
      <c r="B851">
        <v>1346</v>
      </c>
      <c r="C851">
        <v>4</v>
      </c>
      <c r="D851" s="12">
        <v>42844</v>
      </c>
      <c r="E851" s="12">
        <v>42847</v>
      </c>
      <c r="F851" s="12">
        <v>42847</v>
      </c>
      <c r="G851">
        <v>1</v>
      </c>
      <c r="H851">
        <v>3</v>
      </c>
      <c r="I851" t="str">
        <f t="shared" si="13"/>
        <v>Shipped</v>
      </c>
    </row>
    <row r="852" spans="1:9" x14ac:dyDescent="0.3">
      <c r="A852">
        <v>851</v>
      </c>
      <c r="B852">
        <v>1139</v>
      </c>
      <c r="C852">
        <v>4</v>
      </c>
      <c r="D852" s="12">
        <v>42845</v>
      </c>
      <c r="E852" s="12">
        <v>42846</v>
      </c>
      <c r="F852" s="12">
        <v>42847</v>
      </c>
      <c r="G852">
        <v>2</v>
      </c>
      <c r="H852">
        <v>6</v>
      </c>
      <c r="I852" t="str">
        <f t="shared" si="13"/>
        <v>Shipped</v>
      </c>
    </row>
    <row r="853" spans="1:9" x14ac:dyDescent="0.3">
      <c r="A853">
        <v>852</v>
      </c>
      <c r="B853">
        <v>13</v>
      </c>
      <c r="C853">
        <v>4</v>
      </c>
      <c r="D853" s="12">
        <v>42846</v>
      </c>
      <c r="E853" s="12">
        <v>42848</v>
      </c>
      <c r="F853" s="12">
        <v>42847</v>
      </c>
      <c r="G853">
        <v>3</v>
      </c>
      <c r="H853">
        <v>9</v>
      </c>
      <c r="I853" t="str">
        <f t="shared" si="13"/>
        <v>Delivered</v>
      </c>
    </row>
    <row r="854" spans="1:9" x14ac:dyDescent="0.3">
      <c r="A854">
        <v>853</v>
      </c>
      <c r="B854">
        <v>883</v>
      </c>
      <c r="C854">
        <v>4</v>
      </c>
      <c r="D854" s="12">
        <v>42846</v>
      </c>
      <c r="E854" s="12">
        <v>42849</v>
      </c>
      <c r="F854" s="12">
        <v>42849</v>
      </c>
      <c r="G854">
        <v>3</v>
      </c>
      <c r="H854">
        <v>8</v>
      </c>
      <c r="I854" t="str">
        <f t="shared" si="13"/>
        <v>Shipped</v>
      </c>
    </row>
    <row r="855" spans="1:9" x14ac:dyDescent="0.3">
      <c r="A855">
        <v>854</v>
      </c>
      <c r="B855">
        <v>177</v>
      </c>
      <c r="C855">
        <v>4</v>
      </c>
      <c r="D855" s="12">
        <v>42847</v>
      </c>
      <c r="E855" s="12">
        <v>42850</v>
      </c>
      <c r="F855" s="12">
        <v>42848</v>
      </c>
      <c r="G855">
        <v>2</v>
      </c>
      <c r="H855">
        <v>6</v>
      </c>
      <c r="I855" t="str">
        <f t="shared" si="13"/>
        <v>Delivered</v>
      </c>
    </row>
    <row r="856" spans="1:9" x14ac:dyDescent="0.3">
      <c r="A856">
        <v>855</v>
      </c>
      <c r="B856">
        <v>775</v>
      </c>
      <c r="C856">
        <v>4</v>
      </c>
      <c r="D856" s="12">
        <v>42847</v>
      </c>
      <c r="E856" s="12">
        <v>42848</v>
      </c>
      <c r="F856" s="12">
        <v>42850</v>
      </c>
      <c r="G856">
        <v>2</v>
      </c>
      <c r="H856">
        <v>6</v>
      </c>
      <c r="I856" t="str">
        <f t="shared" si="13"/>
        <v>Shipped</v>
      </c>
    </row>
    <row r="857" spans="1:9" x14ac:dyDescent="0.3">
      <c r="A857">
        <v>856</v>
      </c>
      <c r="B857">
        <v>477</v>
      </c>
      <c r="C857">
        <v>4</v>
      </c>
      <c r="D857" s="12">
        <v>42848</v>
      </c>
      <c r="E857" s="12">
        <v>42850</v>
      </c>
      <c r="F857" s="12">
        <v>42851</v>
      </c>
      <c r="G857">
        <v>2</v>
      </c>
      <c r="H857">
        <v>6</v>
      </c>
      <c r="I857" t="str">
        <f t="shared" si="13"/>
        <v>Shipped</v>
      </c>
    </row>
    <row r="858" spans="1:9" x14ac:dyDescent="0.3">
      <c r="A858">
        <v>857</v>
      </c>
      <c r="B858">
        <v>1402</v>
      </c>
      <c r="C858">
        <v>4</v>
      </c>
      <c r="D858" s="12">
        <v>42849</v>
      </c>
      <c r="E858" s="12">
        <v>42850</v>
      </c>
      <c r="F858" s="12">
        <v>42851</v>
      </c>
      <c r="G858">
        <v>2</v>
      </c>
      <c r="H858">
        <v>7</v>
      </c>
      <c r="I858" t="str">
        <f t="shared" si="13"/>
        <v>Shipped</v>
      </c>
    </row>
    <row r="859" spans="1:9" x14ac:dyDescent="0.3">
      <c r="A859">
        <v>858</v>
      </c>
      <c r="B859">
        <v>162</v>
      </c>
      <c r="C859">
        <v>4</v>
      </c>
      <c r="D859" s="12">
        <v>42850</v>
      </c>
      <c r="E859" s="12">
        <v>42852</v>
      </c>
      <c r="F859" s="12">
        <v>42853</v>
      </c>
      <c r="G859">
        <v>2</v>
      </c>
      <c r="H859">
        <v>6</v>
      </c>
      <c r="I859" t="str">
        <f t="shared" si="13"/>
        <v>Shipped</v>
      </c>
    </row>
    <row r="860" spans="1:9" x14ac:dyDescent="0.3">
      <c r="A860">
        <v>859</v>
      </c>
      <c r="B860">
        <v>644</v>
      </c>
      <c r="C860">
        <v>4</v>
      </c>
      <c r="D860" s="12">
        <v>42850</v>
      </c>
      <c r="E860" s="12">
        <v>42851</v>
      </c>
      <c r="F860" s="12">
        <v>42851</v>
      </c>
      <c r="G860">
        <v>2</v>
      </c>
      <c r="H860">
        <v>6</v>
      </c>
      <c r="I860" t="str">
        <f t="shared" si="13"/>
        <v>Shipped</v>
      </c>
    </row>
    <row r="861" spans="1:9" x14ac:dyDescent="0.3">
      <c r="A861">
        <v>860</v>
      </c>
      <c r="B861">
        <v>473</v>
      </c>
      <c r="C861">
        <v>4</v>
      </c>
      <c r="D861" s="12">
        <v>42852</v>
      </c>
      <c r="E861" s="12">
        <v>42854</v>
      </c>
      <c r="F861" s="12">
        <v>42853</v>
      </c>
      <c r="G861">
        <v>2</v>
      </c>
      <c r="H861">
        <v>7</v>
      </c>
      <c r="I861" t="str">
        <f t="shared" si="13"/>
        <v>Delivered</v>
      </c>
    </row>
    <row r="862" spans="1:9" x14ac:dyDescent="0.3">
      <c r="A862">
        <v>861</v>
      </c>
      <c r="B862">
        <v>1177</v>
      </c>
      <c r="C862">
        <v>4</v>
      </c>
      <c r="D862" s="12">
        <v>42852</v>
      </c>
      <c r="E862" s="12">
        <v>42854</v>
      </c>
      <c r="F862" s="12">
        <v>42855</v>
      </c>
      <c r="G862">
        <v>2</v>
      </c>
      <c r="H862">
        <v>7</v>
      </c>
      <c r="I862" t="str">
        <f t="shared" si="13"/>
        <v>Shipped</v>
      </c>
    </row>
    <row r="863" spans="1:9" x14ac:dyDescent="0.3">
      <c r="A863">
        <v>862</v>
      </c>
      <c r="B863">
        <v>1230</v>
      </c>
      <c r="C863">
        <v>4</v>
      </c>
      <c r="D863" s="12">
        <v>42852</v>
      </c>
      <c r="E863" s="12">
        <v>42855</v>
      </c>
      <c r="F863" s="12">
        <v>42854</v>
      </c>
      <c r="G863">
        <v>3</v>
      </c>
      <c r="H863">
        <v>8</v>
      </c>
      <c r="I863" t="str">
        <f t="shared" si="13"/>
        <v>Delivered</v>
      </c>
    </row>
    <row r="864" spans="1:9" x14ac:dyDescent="0.3">
      <c r="A864">
        <v>863</v>
      </c>
      <c r="B864">
        <v>446</v>
      </c>
      <c r="C864">
        <v>4</v>
      </c>
      <c r="D864" s="12">
        <v>42853</v>
      </c>
      <c r="E864" s="12">
        <v>42855</v>
      </c>
      <c r="F864" s="12">
        <v>42856</v>
      </c>
      <c r="G864">
        <v>2</v>
      </c>
      <c r="H864">
        <v>7</v>
      </c>
      <c r="I864" t="str">
        <f t="shared" si="13"/>
        <v>Shipped</v>
      </c>
    </row>
    <row r="865" spans="1:9" x14ac:dyDescent="0.3">
      <c r="A865">
        <v>864</v>
      </c>
      <c r="B865">
        <v>902</v>
      </c>
      <c r="C865">
        <v>4</v>
      </c>
      <c r="D865" s="12">
        <v>42853</v>
      </c>
      <c r="E865" s="12">
        <v>42855</v>
      </c>
      <c r="F865" s="12">
        <v>42854</v>
      </c>
      <c r="G865">
        <v>2</v>
      </c>
      <c r="H865">
        <v>6</v>
      </c>
      <c r="I865" t="str">
        <f t="shared" si="13"/>
        <v>Delivered</v>
      </c>
    </row>
    <row r="866" spans="1:9" x14ac:dyDescent="0.3">
      <c r="A866">
        <v>865</v>
      </c>
      <c r="B866">
        <v>974</v>
      </c>
      <c r="C866">
        <v>4</v>
      </c>
      <c r="D866" s="12">
        <v>42854</v>
      </c>
      <c r="E866" s="12">
        <v>42857</v>
      </c>
      <c r="F866" s="12">
        <v>42856</v>
      </c>
      <c r="G866">
        <v>2</v>
      </c>
      <c r="H866">
        <v>6</v>
      </c>
      <c r="I866" t="str">
        <f t="shared" si="13"/>
        <v>Delivered</v>
      </c>
    </row>
    <row r="867" spans="1:9" x14ac:dyDescent="0.3">
      <c r="A867">
        <v>866</v>
      </c>
      <c r="B867">
        <v>1410</v>
      </c>
      <c r="C867">
        <v>4</v>
      </c>
      <c r="D867" s="12">
        <v>42854</v>
      </c>
      <c r="E867" s="12">
        <v>42855</v>
      </c>
      <c r="F867" s="12">
        <v>42856</v>
      </c>
      <c r="G867">
        <v>2</v>
      </c>
      <c r="H867">
        <v>6</v>
      </c>
      <c r="I867" t="str">
        <f t="shared" si="13"/>
        <v>Shipped</v>
      </c>
    </row>
    <row r="868" spans="1:9" x14ac:dyDescent="0.3">
      <c r="A868">
        <v>867</v>
      </c>
      <c r="B868">
        <v>97</v>
      </c>
      <c r="C868">
        <v>4</v>
      </c>
      <c r="D868" s="12">
        <v>42856</v>
      </c>
      <c r="E868" s="12">
        <v>42858</v>
      </c>
      <c r="F868" s="12">
        <v>42857</v>
      </c>
      <c r="G868">
        <v>1</v>
      </c>
      <c r="H868">
        <v>3</v>
      </c>
      <c r="I868" t="str">
        <f t="shared" si="13"/>
        <v>Delivered</v>
      </c>
    </row>
    <row r="869" spans="1:9" x14ac:dyDescent="0.3">
      <c r="A869">
        <v>868</v>
      </c>
      <c r="B869">
        <v>868</v>
      </c>
      <c r="C869">
        <v>4</v>
      </c>
      <c r="D869" s="12">
        <v>42856</v>
      </c>
      <c r="E869" s="12">
        <v>42859</v>
      </c>
      <c r="F869" s="12">
        <v>42857</v>
      </c>
      <c r="G869">
        <v>1</v>
      </c>
      <c r="H869">
        <v>3</v>
      </c>
      <c r="I869" t="str">
        <f t="shared" si="13"/>
        <v>Delivered</v>
      </c>
    </row>
    <row r="870" spans="1:9" x14ac:dyDescent="0.3">
      <c r="A870">
        <v>869</v>
      </c>
      <c r="B870">
        <v>844</v>
      </c>
      <c r="C870">
        <v>4</v>
      </c>
      <c r="D870" s="12">
        <v>42856</v>
      </c>
      <c r="E870" s="12">
        <v>42859</v>
      </c>
      <c r="F870" s="12">
        <v>42857</v>
      </c>
      <c r="G870">
        <v>2</v>
      </c>
      <c r="H870">
        <v>7</v>
      </c>
      <c r="I870" t="str">
        <f t="shared" si="13"/>
        <v>Delivered</v>
      </c>
    </row>
    <row r="871" spans="1:9" x14ac:dyDescent="0.3">
      <c r="A871">
        <v>870</v>
      </c>
      <c r="B871">
        <v>1416</v>
      </c>
      <c r="C871">
        <v>4</v>
      </c>
      <c r="D871" s="12">
        <v>42856</v>
      </c>
      <c r="E871" s="12">
        <v>42859</v>
      </c>
      <c r="F871" s="12">
        <v>42857</v>
      </c>
      <c r="G871">
        <v>2</v>
      </c>
      <c r="H871">
        <v>6</v>
      </c>
      <c r="I871" t="str">
        <f t="shared" si="13"/>
        <v>Delivered</v>
      </c>
    </row>
    <row r="872" spans="1:9" x14ac:dyDescent="0.3">
      <c r="A872">
        <v>871</v>
      </c>
      <c r="B872">
        <v>358</v>
      </c>
      <c r="C872">
        <v>4</v>
      </c>
      <c r="D872" s="12">
        <v>42857</v>
      </c>
      <c r="E872" s="12">
        <v>42859</v>
      </c>
      <c r="F872" s="12">
        <v>42858</v>
      </c>
      <c r="G872">
        <v>2</v>
      </c>
      <c r="H872">
        <v>7</v>
      </c>
      <c r="I872" t="str">
        <f t="shared" si="13"/>
        <v>Delivered</v>
      </c>
    </row>
    <row r="873" spans="1:9" x14ac:dyDescent="0.3">
      <c r="A873">
        <v>872</v>
      </c>
      <c r="B873">
        <v>394</v>
      </c>
      <c r="C873">
        <v>4</v>
      </c>
      <c r="D873" s="12">
        <v>42858</v>
      </c>
      <c r="E873" s="12">
        <v>42861</v>
      </c>
      <c r="F873" s="12">
        <v>42861</v>
      </c>
      <c r="G873">
        <v>1</v>
      </c>
      <c r="H873">
        <v>3</v>
      </c>
      <c r="I873" t="str">
        <f t="shared" si="13"/>
        <v>Shipped</v>
      </c>
    </row>
    <row r="874" spans="1:9" x14ac:dyDescent="0.3">
      <c r="A874">
        <v>873</v>
      </c>
      <c r="B874">
        <v>829</v>
      </c>
      <c r="C874">
        <v>4</v>
      </c>
      <c r="D874" s="12">
        <v>42858</v>
      </c>
      <c r="E874" s="12">
        <v>42860</v>
      </c>
      <c r="F874" s="12">
        <v>42860</v>
      </c>
      <c r="G874">
        <v>2</v>
      </c>
      <c r="H874">
        <v>7</v>
      </c>
      <c r="I874" t="str">
        <f t="shared" si="13"/>
        <v>Shipped</v>
      </c>
    </row>
    <row r="875" spans="1:9" x14ac:dyDescent="0.3">
      <c r="A875">
        <v>874</v>
      </c>
      <c r="B875">
        <v>661</v>
      </c>
      <c r="C875">
        <v>4</v>
      </c>
      <c r="D875" s="12">
        <v>42859</v>
      </c>
      <c r="E875" s="12">
        <v>42860</v>
      </c>
      <c r="F875" s="12">
        <v>42861</v>
      </c>
      <c r="G875">
        <v>2</v>
      </c>
      <c r="H875">
        <v>7</v>
      </c>
      <c r="I875" t="str">
        <f t="shared" si="13"/>
        <v>Shipped</v>
      </c>
    </row>
    <row r="876" spans="1:9" x14ac:dyDescent="0.3">
      <c r="A876">
        <v>875</v>
      </c>
      <c r="B876">
        <v>386</v>
      </c>
      <c r="C876">
        <v>4</v>
      </c>
      <c r="D876" s="12">
        <v>42860</v>
      </c>
      <c r="E876" s="12">
        <v>42861</v>
      </c>
      <c r="F876" s="12">
        <v>42863</v>
      </c>
      <c r="G876">
        <v>1</v>
      </c>
      <c r="H876">
        <v>3</v>
      </c>
      <c r="I876" t="str">
        <f t="shared" si="13"/>
        <v>Shipped</v>
      </c>
    </row>
    <row r="877" spans="1:9" x14ac:dyDescent="0.3">
      <c r="A877">
        <v>876</v>
      </c>
      <c r="B877">
        <v>1046</v>
      </c>
      <c r="C877">
        <v>4</v>
      </c>
      <c r="D877" s="12">
        <v>42860</v>
      </c>
      <c r="E877" s="12">
        <v>42863</v>
      </c>
      <c r="F877" s="12">
        <v>42861</v>
      </c>
      <c r="G877">
        <v>2</v>
      </c>
      <c r="H877">
        <v>7</v>
      </c>
      <c r="I877" t="str">
        <f t="shared" si="13"/>
        <v>Delivered</v>
      </c>
    </row>
    <row r="878" spans="1:9" x14ac:dyDescent="0.3">
      <c r="A878">
        <v>877</v>
      </c>
      <c r="B878">
        <v>784</v>
      </c>
      <c r="C878">
        <v>4</v>
      </c>
      <c r="D878" s="12">
        <v>42861</v>
      </c>
      <c r="E878" s="12">
        <v>42862</v>
      </c>
      <c r="F878" s="12">
        <v>42863</v>
      </c>
      <c r="G878">
        <v>2</v>
      </c>
      <c r="H878">
        <v>6</v>
      </c>
      <c r="I878" t="str">
        <f t="shared" si="13"/>
        <v>Shipped</v>
      </c>
    </row>
    <row r="879" spans="1:9" x14ac:dyDescent="0.3">
      <c r="A879">
        <v>878</v>
      </c>
      <c r="B879">
        <v>224</v>
      </c>
      <c r="C879">
        <v>4</v>
      </c>
      <c r="D879" s="12">
        <v>42862</v>
      </c>
      <c r="E879" s="12">
        <v>42865</v>
      </c>
      <c r="F879" s="12">
        <v>42864</v>
      </c>
      <c r="G879">
        <v>1</v>
      </c>
      <c r="H879">
        <v>3</v>
      </c>
      <c r="I879" t="str">
        <f t="shared" si="13"/>
        <v>Delivered</v>
      </c>
    </row>
    <row r="880" spans="1:9" x14ac:dyDescent="0.3">
      <c r="A880">
        <v>879</v>
      </c>
      <c r="B880">
        <v>214</v>
      </c>
      <c r="C880">
        <v>4</v>
      </c>
      <c r="D880" s="12">
        <v>42863</v>
      </c>
      <c r="E880" s="12">
        <v>42864</v>
      </c>
      <c r="F880" s="12">
        <v>42864</v>
      </c>
      <c r="G880">
        <v>2</v>
      </c>
      <c r="H880">
        <v>7</v>
      </c>
      <c r="I880" t="str">
        <f t="shared" si="13"/>
        <v>Shipped</v>
      </c>
    </row>
    <row r="881" spans="1:9" x14ac:dyDescent="0.3">
      <c r="A881">
        <v>880</v>
      </c>
      <c r="B881">
        <v>1206</v>
      </c>
      <c r="C881">
        <v>4</v>
      </c>
      <c r="D881" s="12">
        <v>42863</v>
      </c>
      <c r="E881" s="12">
        <v>42866</v>
      </c>
      <c r="F881" s="12">
        <v>42865</v>
      </c>
      <c r="G881">
        <v>2</v>
      </c>
      <c r="H881">
        <v>6</v>
      </c>
      <c r="I881" t="str">
        <f t="shared" si="13"/>
        <v>Delivered</v>
      </c>
    </row>
    <row r="882" spans="1:9" x14ac:dyDescent="0.3">
      <c r="A882">
        <v>881</v>
      </c>
      <c r="B882">
        <v>1024</v>
      </c>
      <c r="C882">
        <v>4</v>
      </c>
      <c r="D882" s="12">
        <v>42863</v>
      </c>
      <c r="E882" s="12">
        <v>42866</v>
      </c>
      <c r="F882" s="12">
        <v>42866</v>
      </c>
      <c r="G882">
        <v>3</v>
      </c>
      <c r="H882">
        <v>9</v>
      </c>
      <c r="I882" t="str">
        <f t="shared" si="13"/>
        <v>Shipped</v>
      </c>
    </row>
    <row r="883" spans="1:9" x14ac:dyDescent="0.3">
      <c r="A883">
        <v>882</v>
      </c>
      <c r="B883">
        <v>196</v>
      </c>
      <c r="C883">
        <v>4</v>
      </c>
      <c r="D883" s="12">
        <v>42864</v>
      </c>
      <c r="E883" s="12">
        <v>42867</v>
      </c>
      <c r="F883" s="12">
        <v>42865</v>
      </c>
      <c r="G883">
        <v>2</v>
      </c>
      <c r="H883">
        <v>6</v>
      </c>
      <c r="I883" t="str">
        <f t="shared" si="13"/>
        <v>Delivered</v>
      </c>
    </row>
    <row r="884" spans="1:9" x14ac:dyDescent="0.3">
      <c r="A884">
        <v>883</v>
      </c>
      <c r="B884">
        <v>507</v>
      </c>
      <c r="C884">
        <v>4</v>
      </c>
      <c r="D884" s="12">
        <v>42866</v>
      </c>
      <c r="E884" s="12">
        <v>42868</v>
      </c>
      <c r="F884" s="12">
        <v>42869</v>
      </c>
      <c r="G884">
        <v>2</v>
      </c>
      <c r="H884">
        <v>6</v>
      </c>
      <c r="I884" t="str">
        <f t="shared" si="13"/>
        <v>Shipped</v>
      </c>
    </row>
    <row r="885" spans="1:9" x14ac:dyDescent="0.3">
      <c r="A885">
        <v>884</v>
      </c>
      <c r="B885">
        <v>871</v>
      </c>
      <c r="C885">
        <v>4</v>
      </c>
      <c r="D885" s="12">
        <v>42866</v>
      </c>
      <c r="E885" s="12">
        <v>42868</v>
      </c>
      <c r="F885" s="12">
        <v>42867</v>
      </c>
      <c r="G885">
        <v>2</v>
      </c>
      <c r="H885">
        <v>7</v>
      </c>
      <c r="I885" t="str">
        <f t="shared" si="13"/>
        <v>Delivered</v>
      </c>
    </row>
    <row r="886" spans="1:9" x14ac:dyDescent="0.3">
      <c r="A886">
        <v>885</v>
      </c>
      <c r="B886">
        <v>66</v>
      </c>
      <c r="C886">
        <v>3</v>
      </c>
      <c r="D886" s="12">
        <v>42868</v>
      </c>
      <c r="E886" s="12">
        <v>42868</v>
      </c>
      <c r="F886" s="12" t="s">
        <v>5611</v>
      </c>
      <c r="G886">
        <v>3</v>
      </c>
      <c r="H886">
        <v>8</v>
      </c>
      <c r="I886" t="str">
        <f t="shared" si="13"/>
        <v>Pending</v>
      </c>
    </row>
    <row r="887" spans="1:9" x14ac:dyDescent="0.3">
      <c r="A887">
        <v>886</v>
      </c>
      <c r="B887">
        <v>1396</v>
      </c>
      <c r="C887">
        <v>4</v>
      </c>
      <c r="D887" s="12">
        <v>42868</v>
      </c>
      <c r="E887" s="12">
        <v>42869</v>
      </c>
      <c r="F887" s="12">
        <v>42870</v>
      </c>
      <c r="G887">
        <v>1</v>
      </c>
      <c r="H887">
        <v>2</v>
      </c>
      <c r="I887" t="str">
        <f t="shared" si="13"/>
        <v>Shipped</v>
      </c>
    </row>
    <row r="888" spans="1:9" x14ac:dyDescent="0.3">
      <c r="A888">
        <v>887</v>
      </c>
      <c r="B888">
        <v>1195</v>
      </c>
      <c r="C888">
        <v>4</v>
      </c>
      <c r="D888" s="12">
        <v>42868</v>
      </c>
      <c r="E888" s="12">
        <v>42870</v>
      </c>
      <c r="F888" s="12">
        <v>42870</v>
      </c>
      <c r="G888">
        <v>2</v>
      </c>
      <c r="H888">
        <v>6</v>
      </c>
      <c r="I888" t="str">
        <f t="shared" si="13"/>
        <v>Shipped</v>
      </c>
    </row>
    <row r="889" spans="1:9" x14ac:dyDescent="0.3">
      <c r="A889">
        <v>888</v>
      </c>
      <c r="B889">
        <v>1038</v>
      </c>
      <c r="C889">
        <v>4</v>
      </c>
      <c r="D889" s="12">
        <v>42869</v>
      </c>
      <c r="E889" s="12">
        <v>42871</v>
      </c>
      <c r="F889" s="12">
        <v>42871</v>
      </c>
      <c r="G889">
        <v>2</v>
      </c>
      <c r="H889">
        <v>7</v>
      </c>
      <c r="I889" t="str">
        <f t="shared" si="13"/>
        <v>Shipped</v>
      </c>
    </row>
    <row r="890" spans="1:9" x14ac:dyDescent="0.3">
      <c r="A890">
        <v>889</v>
      </c>
      <c r="B890">
        <v>830</v>
      </c>
      <c r="C890">
        <v>4</v>
      </c>
      <c r="D890" s="12">
        <v>42869</v>
      </c>
      <c r="E890" s="12">
        <v>42872</v>
      </c>
      <c r="F890" s="12">
        <v>42870</v>
      </c>
      <c r="G890">
        <v>3</v>
      </c>
      <c r="H890">
        <v>8</v>
      </c>
      <c r="I890" t="str">
        <f t="shared" si="13"/>
        <v>Delivered</v>
      </c>
    </row>
    <row r="891" spans="1:9" x14ac:dyDescent="0.3">
      <c r="A891">
        <v>890</v>
      </c>
      <c r="B891">
        <v>171</v>
      </c>
      <c r="C891">
        <v>4</v>
      </c>
      <c r="D891" s="12">
        <v>42870</v>
      </c>
      <c r="E891" s="12">
        <v>42873</v>
      </c>
      <c r="F891" s="12">
        <v>42873</v>
      </c>
      <c r="G891">
        <v>2</v>
      </c>
      <c r="H891">
        <v>6</v>
      </c>
      <c r="I891" t="str">
        <f t="shared" si="13"/>
        <v>Shipped</v>
      </c>
    </row>
    <row r="892" spans="1:9" x14ac:dyDescent="0.3">
      <c r="A892">
        <v>891</v>
      </c>
      <c r="B892">
        <v>384</v>
      </c>
      <c r="C892">
        <v>4</v>
      </c>
      <c r="D892" s="12">
        <v>42870</v>
      </c>
      <c r="E892" s="12">
        <v>42873</v>
      </c>
      <c r="F892" s="12">
        <v>42871</v>
      </c>
      <c r="G892">
        <v>2</v>
      </c>
      <c r="H892">
        <v>6</v>
      </c>
      <c r="I892" t="str">
        <f t="shared" si="13"/>
        <v>Delivered</v>
      </c>
    </row>
    <row r="893" spans="1:9" x14ac:dyDescent="0.3">
      <c r="A893">
        <v>892</v>
      </c>
      <c r="B893">
        <v>651</v>
      </c>
      <c r="C893">
        <v>4</v>
      </c>
      <c r="D893" s="12">
        <v>42870</v>
      </c>
      <c r="E893" s="12">
        <v>42873</v>
      </c>
      <c r="F893" s="12">
        <v>42872</v>
      </c>
      <c r="G893">
        <v>2</v>
      </c>
      <c r="H893">
        <v>7</v>
      </c>
      <c r="I893" t="str">
        <f t="shared" si="13"/>
        <v>Delivered</v>
      </c>
    </row>
    <row r="894" spans="1:9" x14ac:dyDescent="0.3">
      <c r="A894">
        <v>893</v>
      </c>
      <c r="B894">
        <v>1293</v>
      </c>
      <c r="C894">
        <v>4</v>
      </c>
      <c r="D894" s="12">
        <v>42871</v>
      </c>
      <c r="E894" s="12">
        <v>42874</v>
      </c>
      <c r="F894" s="12">
        <v>42874</v>
      </c>
      <c r="G894">
        <v>2</v>
      </c>
      <c r="H894">
        <v>7</v>
      </c>
      <c r="I894" t="str">
        <f t="shared" si="13"/>
        <v>Shipped</v>
      </c>
    </row>
    <row r="895" spans="1:9" x14ac:dyDescent="0.3">
      <c r="A895">
        <v>894</v>
      </c>
      <c r="B895">
        <v>1320</v>
      </c>
      <c r="C895">
        <v>4</v>
      </c>
      <c r="D895" s="12">
        <v>42871</v>
      </c>
      <c r="E895" s="12">
        <v>42874</v>
      </c>
      <c r="F895" s="12">
        <v>42874</v>
      </c>
      <c r="G895">
        <v>2</v>
      </c>
      <c r="H895">
        <v>6</v>
      </c>
      <c r="I895" t="str">
        <f t="shared" si="13"/>
        <v>Shipped</v>
      </c>
    </row>
    <row r="896" spans="1:9" x14ac:dyDescent="0.3">
      <c r="A896">
        <v>895</v>
      </c>
      <c r="B896">
        <v>857</v>
      </c>
      <c r="C896">
        <v>4</v>
      </c>
      <c r="D896" s="12">
        <v>42873</v>
      </c>
      <c r="E896" s="12">
        <v>42876</v>
      </c>
      <c r="F896" s="12">
        <v>42874</v>
      </c>
      <c r="G896">
        <v>2</v>
      </c>
      <c r="H896">
        <v>6</v>
      </c>
      <c r="I896" t="str">
        <f t="shared" si="13"/>
        <v>Delivered</v>
      </c>
    </row>
    <row r="897" spans="1:9" x14ac:dyDescent="0.3">
      <c r="A897">
        <v>896</v>
      </c>
      <c r="B897">
        <v>376</v>
      </c>
      <c r="C897">
        <v>4</v>
      </c>
      <c r="D897" s="12">
        <v>42874</v>
      </c>
      <c r="E897" s="12">
        <v>42877</v>
      </c>
      <c r="F897" s="12">
        <v>42876</v>
      </c>
      <c r="G897">
        <v>3</v>
      </c>
      <c r="H897">
        <v>9</v>
      </c>
      <c r="I897" t="str">
        <f t="shared" si="13"/>
        <v>Delivered</v>
      </c>
    </row>
    <row r="898" spans="1:9" x14ac:dyDescent="0.3">
      <c r="A898">
        <v>897</v>
      </c>
      <c r="B898">
        <v>47</v>
      </c>
      <c r="C898">
        <v>4</v>
      </c>
      <c r="D898" s="12">
        <v>42875</v>
      </c>
      <c r="E898" s="12">
        <v>42876</v>
      </c>
      <c r="F898" s="12">
        <v>42876</v>
      </c>
      <c r="G898">
        <v>1</v>
      </c>
      <c r="H898">
        <v>2</v>
      </c>
      <c r="I898" t="str">
        <f t="shared" si="13"/>
        <v>Shipped</v>
      </c>
    </row>
    <row r="899" spans="1:9" x14ac:dyDescent="0.3">
      <c r="A899">
        <v>898</v>
      </c>
      <c r="B899">
        <v>352</v>
      </c>
      <c r="C899">
        <v>4</v>
      </c>
      <c r="D899" s="12">
        <v>42875</v>
      </c>
      <c r="E899" s="12">
        <v>42876</v>
      </c>
      <c r="F899" s="12">
        <v>42877</v>
      </c>
      <c r="G899">
        <v>2</v>
      </c>
      <c r="H899">
        <v>6</v>
      </c>
      <c r="I899" t="str">
        <f t="shared" ref="I899:I962" si="14">IF(F899="NA","Pending",IF(OR(E899=F899,E899&lt;F899),"Shipped","Delivered"))</f>
        <v>Shipped</v>
      </c>
    </row>
    <row r="900" spans="1:9" x14ac:dyDescent="0.3">
      <c r="A900">
        <v>899</v>
      </c>
      <c r="B900">
        <v>605</v>
      </c>
      <c r="C900">
        <v>4</v>
      </c>
      <c r="D900" s="12">
        <v>42875</v>
      </c>
      <c r="E900" s="12">
        <v>42876</v>
      </c>
      <c r="F900" s="12">
        <v>42876</v>
      </c>
      <c r="G900">
        <v>2</v>
      </c>
      <c r="H900">
        <v>7</v>
      </c>
      <c r="I900" t="str">
        <f t="shared" si="14"/>
        <v>Shipped</v>
      </c>
    </row>
    <row r="901" spans="1:9" x14ac:dyDescent="0.3">
      <c r="A901">
        <v>900</v>
      </c>
      <c r="B901">
        <v>971</v>
      </c>
      <c r="C901">
        <v>4</v>
      </c>
      <c r="D901" s="12">
        <v>42875</v>
      </c>
      <c r="E901" s="12">
        <v>42876</v>
      </c>
      <c r="F901" s="12">
        <v>42877</v>
      </c>
      <c r="G901">
        <v>2</v>
      </c>
      <c r="H901">
        <v>6</v>
      </c>
      <c r="I901" t="str">
        <f t="shared" si="14"/>
        <v>Shipped</v>
      </c>
    </row>
    <row r="902" spans="1:9" x14ac:dyDescent="0.3">
      <c r="A902">
        <v>901</v>
      </c>
      <c r="B902">
        <v>345</v>
      </c>
      <c r="C902">
        <v>4</v>
      </c>
      <c r="D902" s="12">
        <v>42876</v>
      </c>
      <c r="E902" s="12">
        <v>42877</v>
      </c>
      <c r="F902" s="12">
        <v>42879</v>
      </c>
      <c r="G902">
        <v>2</v>
      </c>
      <c r="H902">
        <v>7</v>
      </c>
      <c r="I902" t="str">
        <f t="shared" si="14"/>
        <v>Shipped</v>
      </c>
    </row>
    <row r="903" spans="1:9" x14ac:dyDescent="0.3">
      <c r="A903">
        <v>902</v>
      </c>
      <c r="B903">
        <v>1278</v>
      </c>
      <c r="C903">
        <v>4</v>
      </c>
      <c r="D903" s="12">
        <v>42876</v>
      </c>
      <c r="E903" s="12">
        <v>42879</v>
      </c>
      <c r="F903" s="12">
        <v>42877</v>
      </c>
      <c r="G903">
        <v>2</v>
      </c>
      <c r="H903">
        <v>6</v>
      </c>
      <c r="I903" t="str">
        <f t="shared" si="14"/>
        <v>Delivered</v>
      </c>
    </row>
    <row r="904" spans="1:9" x14ac:dyDescent="0.3">
      <c r="A904">
        <v>903</v>
      </c>
      <c r="B904">
        <v>179</v>
      </c>
      <c r="C904">
        <v>4</v>
      </c>
      <c r="D904" s="12">
        <v>42877</v>
      </c>
      <c r="E904" s="12">
        <v>42878</v>
      </c>
      <c r="F904" s="12">
        <v>42879</v>
      </c>
      <c r="G904">
        <v>2</v>
      </c>
      <c r="H904">
        <v>7</v>
      </c>
      <c r="I904" t="str">
        <f t="shared" si="14"/>
        <v>Shipped</v>
      </c>
    </row>
    <row r="905" spans="1:9" x14ac:dyDescent="0.3">
      <c r="A905">
        <v>904</v>
      </c>
      <c r="B905">
        <v>1020</v>
      </c>
      <c r="C905">
        <v>4</v>
      </c>
      <c r="D905" s="12">
        <v>42878</v>
      </c>
      <c r="E905" s="12">
        <v>42881</v>
      </c>
      <c r="F905" s="12">
        <v>42879</v>
      </c>
      <c r="G905">
        <v>1</v>
      </c>
      <c r="H905">
        <v>2</v>
      </c>
      <c r="I905" t="str">
        <f t="shared" si="14"/>
        <v>Delivered</v>
      </c>
    </row>
    <row r="906" spans="1:9" x14ac:dyDescent="0.3">
      <c r="A906">
        <v>905</v>
      </c>
      <c r="B906">
        <v>609</v>
      </c>
      <c r="C906">
        <v>4</v>
      </c>
      <c r="D906" s="12">
        <v>42878</v>
      </c>
      <c r="E906" s="12">
        <v>42881</v>
      </c>
      <c r="F906" s="12">
        <v>42879</v>
      </c>
      <c r="G906">
        <v>2</v>
      </c>
      <c r="H906">
        <v>6</v>
      </c>
      <c r="I906" t="str">
        <f t="shared" si="14"/>
        <v>Delivered</v>
      </c>
    </row>
    <row r="907" spans="1:9" x14ac:dyDescent="0.3">
      <c r="A907">
        <v>906</v>
      </c>
      <c r="B907">
        <v>877</v>
      </c>
      <c r="C907">
        <v>4</v>
      </c>
      <c r="D907" s="12">
        <v>42878</v>
      </c>
      <c r="E907" s="12">
        <v>42881</v>
      </c>
      <c r="F907" s="12">
        <v>42881</v>
      </c>
      <c r="G907">
        <v>2</v>
      </c>
      <c r="H907">
        <v>7</v>
      </c>
      <c r="I907" t="str">
        <f t="shared" si="14"/>
        <v>Shipped</v>
      </c>
    </row>
    <row r="908" spans="1:9" x14ac:dyDescent="0.3">
      <c r="A908">
        <v>907</v>
      </c>
      <c r="B908">
        <v>120</v>
      </c>
      <c r="C908">
        <v>4</v>
      </c>
      <c r="D908" s="12">
        <v>42879</v>
      </c>
      <c r="E908" s="12">
        <v>42881</v>
      </c>
      <c r="F908" s="12">
        <v>42882</v>
      </c>
      <c r="G908">
        <v>1</v>
      </c>
      <c r="H908">
        <v>2</v>
      </c>
      <c r="I908" t="str">
        <f t="shared" si="14"/>
        <v>Shipped</v>
      </c>
    </row>
    <row r="909" spans="1:9" x14ac:dyDescent="0.3">
      <c r="A909">
        <v>908</v>
      </c>
      <c r="B909">
        <v>402</v>
      </c>
      <c r="C909">
        <v>4</v>
      </c>
      <c r="D909" s="12">
        <v>42880</v>
      </c>
      <c r="E909" s="12">
        <v>42883</v>
      </c>
      <c r="F909" s="12">
        <v>42882</v>
      </c>
      <c r="G909">
        <v>2</v>
      </c>
      <c r="H909">
        <v>7</v>
      </c>
      <c r="I909" t="str">
        <f t="shared" si="14"/>
        <v>Delivered</v>
      </c>
    </row>
    <row r="910" spans="1:9" x14ac:dyDescent="0.3">
      <c r="A910">
        <v>909</v>
      </c>
      <c r="B910">
        <v>188</v>
      </c>
      <c r="C910">
        <v>4</v>
      </c>
      <c r="D910" s="12">
        <v>42881</v>
      </c>
      <c r="E910" s="12">
        <v>42882</v>
      </c>
      <c r="F910" s="12">
        <v>42883</v>
      </c>
      <c r="G910">
        <v>1</v>
      </c>
      <c r="H910">
        <v>2</v>
      </c>
      <c r="I910" t="str">
        <f t="shared" si="14"/>
        <v>Shipped</v>
      </c>
    </row>
    <row r="911" spans="1:9" x14ac:dyDescent="0.3">
      <c r="A911">
        <v>910</v>
      </c>
      <c r="B911">
        <v>342</v>
      </c>
      <c r="C911">
        <v>4</v>
      </c>
      <c r="D911" s="12">
        <v>42881</v>
      </c>
      <c r="E911" s="12">
        <v>42883</v>
      </c>
      <c r="F911" s="12">
        <v>42883</v>
      </c>
      <c r="G911">
        <v>2</v>
      </c>
      <c r="H911">
        <v>7</v>
      </c>
      <c r="I911" t="str">
        <f t="shared" si="14"/>
        <v>Shipped</v>
      </c>
    </row>
    <row r="912" spans="1:9" x14ac:dyDescent="0.3">
      <c r="A912">
        <v>911</v>
      </c>
      <c r="B912">
        <v>887</v>
      </c>
      <c r="C912">
        <v>4</v>
      </c>
      <c r="D912" s="12">
        <v>42881</v>
      </c>
      <c r="E912" s="12">
        <v>42884</v>
      </c>
      <c r="F912" s="12">
        <v>42884</v>
      </c>
      <c r="G912">
        <v>2</v>
      </c>
      <c r="H912">
        <v>6</v>
      </c>
      <c r="I912" t="str">
        <f t="shared" si="14"/>
        <v>Shipped</v>
      </c>
    </row>
    <row r="913" spans="1:9" x14ac:dyDescent="0.3">
      <c r="A913">
        <v>912</v>
      </c>
      <c r="B913">
        <v>519</v>
      </c>
      <c r="C913">
        <v>4</v>
      </c>
      <c r="D913" s="12">
        <v>42882</v>
      </c>
      <c r="E913" s="12">
        <v>42884</v>
      </c>
      <c r="F913" s="12">
        <v>42884</v>
      </c>
      <c r="G913">
        <v>1</v>
      </c>
      <c r="H913">
        <v>2</v>
      </c>
      <c r="I913" t="str">
        <f t="shared" si="14"/>
        <v>Shipped</v>
      </c>
    </row>
    <row r="914" spans="1:9" x14ac:dyDescent="0.3">
      <c r="A914">
        <v>913</v>
      </c>
      <c r="B914">
        <v>699</v>
      </c>
      <c r="C914">
        <v>4</v>
      </c>
      <c r="D914" s="12">
        <v>42882</v>
      </c>
      <c r="E914" s="12">
        <v>42884</v>
      </c>
      <c r="F914" s="12">
        <v>42884</v>
      </c>
      <c r="G914">
        <v>2</v>
      </c>
      <c r="H914">
        <v>6</v>
      </c>
      <c r="I914" t="str">
        <f t="shared" si="14"/>
        <v>Shipped</v>
      </c>
    </row>
    <row r="915" spans="1:9" x14ac:dyDescent="0.3">
      <c r="A915">
        <v>914</v>
      </c>
      <c r="B915">
        <v>1068</v>
      </c>
      <c r="C915">
        <v>4</v>
      </c>
      <c r="D915" s="12">
        <v>42883</v>
      </c>
      <c r="E915" s="12">
        <v>42886</v>
      </c>
      <c r="F915" s="12">
        <v>42886</v>
      </c>
      <c r="G915">
        <v>1</v>
      </c>
      <c r="H915">
        <v>2</v>
      </c>
      <c r="I915" t="str">
        <f t="shared" si="14"/>
        <v>Shipped</v>
      </c>
    </row>
    <row r="916" spans="1:9" x14ac:dyDescent="0.3">
      <c r="A916">
        <v>915</v>
      </c>
      <c r="B916">
        <v>215</v>
      </c>
      <c r="C916">
        <v>4</v>
      </c>
      <c r="D916" s="12">
        <v>42883</v>
      </c>
      <c r="E916" s="12">
        <v>42885</v>
      </c>
      <c r="F916" s="12">
        <v>42885</v>
      </c>
      <c r="G916">
        <v>2</v>
      </c>
      <c r="H916">
        <v>6</v>
      </c>
      <c r="I916" t="str">
        <f t="shared" si="14"/>
        <v>Shipped</v>
      </c>
    </row>
    <row r="917" spans="1:9" x14ac:dyDescent="0.3">
      <c r="A917">
        <v>916</v>
      </c>
      <c r="B917">
        <v>718</v>
      </c>
      <c r="C917">
        <v>4</v>
      </c>
      <c r="D917" s="12">
        <v>42883</v>
      </c>
      <c r="E917" s="12">
        <v>42884</v>
      </c>
      <c r="F917" s="12">
        <v>42884</v>
      </c>
      <c r="G917">
        <v>2</v>
      </c>
      <c r="H917">
        <v>6</v>
      </c>
      <c r="I917" t="str">
        <f t="shared" si="14"/>
        <v>Shipped</v>
      </c>
    </row>
    <row r="918" spans="1:9" x14ac:dyDescent="0.3">
      <c r="A918">
        <v>917</v>
      </c>
      <c r="B918">
        <v>881</v>
      </c>
      <c r="C918">
        <v>4</v>
      </c>
      <c r="D918" s="12">
        <v>42884</v>
      </c>
      <c r="E918" s="12">
        <v>42886</v>
      </c>
      <c r="F918" s="12">
        <v>42887</v>
      </c>
      <c r="G918">
        <v>1</v>
      </c>
      <c r="H918">
        <v>2</v>
      </c>
      <c r="I918" t="str">
        <f t="shared" si="14"/>
        <v>Shipped</v>
      </c>
    </row>
    <row r="919" spans="1:9" x14ac:dyDescent="0.3">
      <c r="A919">
        <v>918</v>
      </c>
      <c r="B919">
        <v>242</v>
      </c>
      <c r="C919">
        <v>4</v>
      </c>
      <c r="D919" s="12">
        <v>42885</v>
      </c>
      <c r="E919" s="12">
        <v>42886</v>
      </c>
      <c r="F919" s="12">
        <v>42886</v>
      </c>
      <c r="G919">
        <v>1</v>
      </c>
      <c r="H919">
        <v>3</v>
      </c>
      <c r="I919" t="str">
        <f t="shared" si="14"/>
        <v>Shipped</v>
      </c>
    </row>
    <row r="920" spans="1:9" x14ac:dyDescent="0.3">
      <c r="A920">
        <v>919</v>
      </c>
      <c r="B920">
        <v>781</v>
      </c>
      <c r="C920">
        <v>4</v>
      </c>
      <c r="D920" s="12">
        <v>42885</v>
      </c>
      <c r="E920" s="12">
        <v>42886</v>
      </c>
      <c r="F920" s="12">
        <v>42886</v>
      </c>
      <c r="G920">
        <v>2</v>
      </c>
      <c r="H920">
        <v>7</v>
      </c>
      <c r="I920" t="str">
        <f t="shared" si="14"/>
        <v>Shipped</v>
      </c>
    </row>
    <row r="921" spans="1:9" x14ac:dyDescent="0.3">
      <c r="A921">
        <v>920</v>
      </c>
      <c r="B921">
        <v>966</v>
      </c>
      <c r="C921">
        <v>4</v>
      </c>
      <c r="D921" s="12">
        <v>42885</v>
      </c>
      <c r="E921" s="12">
        <v>42887</v>
      </c>
      <c r="F921" s="12">
        <v>42888</v>
      </c>
      <c r="G921">
        <v>2</v>
      </c>
      <c r="H921">
        <v>7</v>
      </c>
      <c r="I921" t="str">
        <f t="shared" si="14"/>
        <v>Shipped</v>
      </c>
    </row>
    <row r="922" spans="1:9" x14ac:dyDescent="0.3">
      <c r="A922">
        <v>921</v>
      </c>
      <c r="B922">
        <v>628</v>
      </c>
      <c r="C922">
        <v>4</v>
      </c>
      <c r="D922" s="12">
        <v>42886</v>
      </c>
      <c r="E922" s="12">
        <v>42888</v>
      </c>
      <c r="F922" s="12">
        <v>42888</v>
      </c>
      <c r="G922">
        <v>2</v>
      </c>
      <c r="H922">
        <v>6</v>
      </c>
      <c r="I922" t="str">
        <f t="shared" si="14"/>
        <v>Shipped</v>
      </c>
    </row>
    <row r="923" spans="1:9" x14ac:dyDescent="0.3">
      <c r="A923">
        <v>922</v>
      </c>
      <c r="B923">
        <v>656</v>
      </c>
      <c r="C923">
        <v>4</v>
      </c>
      <c r="D923" s="12">
        <v>42886</v>
      </c>
      <c r="E923" s="12">
        <v>42887</v>
      </c>
      <c r="F923" s="12">
        <v>42889</v>
      </c>
      <c r="G923">
        <v>2</v>
      </c>
      <c r="H923">
        <v>6</v>
      </c>
      <c r="I923" t="str">
        <f t="shared" si="14"/>
        <v>Shipped</v>
      </c>
    </row>
    <row r="924" spans="1:9" x14ac:dyDescent="0.3">
      <c r="A924">
        <v>923</v>
      </c>
      <c r="B924">
        <v>769</v>
      </c>
      <c r="C924">
        <v>4</v>
      </c>
      <c r="D924" s="12">
        <v>42886</v>
      </c>
      <c r="E924" s="12">
        <v>42889</v>
      </c>
      <c r="F924" s="12">
        <v>42888</v>
      </c>
      <c r="G924">
        <v>2</v>
      </c>
      <c r="H924">
        <v>7</v>
      </c>
      <c r="I924" t="str">
        <f t="shared" si="14"/>
        <v>Delivered</v>
      </c>
    </row>
    <row r="925" spans="1:9" x14ac:dyDescent="0.3">
      <c r="A925">
        <v>924</v>
      </c>
      <c r="B925">
        <v>68</v>
      </c>
      <c r="C925">
        <v>3</v>
      </c>
      <c r="D925" s="12">
        <v>42888</v>
      </c>
      <c r="E925" s="12">
        <v>42888</v>
      </c>
      <c r="F925" s="12" t="s">
        <v>5611</v>
      </c>
      <c r="G925">
        <v>3</v>
      </c>
      <c r="H925">
        <v>8</v>
      </c>
      <c r="I925" t="str">
        <f t="shared" si="14"/>
        <v>Pending</v>
      </c>
    </row>
    <row r="926" spans="1:9" x14ac:dyDescent="0.3">
      <c r="A926">
        <v>925</v>
      </c>
      <c r="B926">
        <v>1316</v>
      </c>
      <c r="C926">
        <v>4</v>
      </c>
      <c r="D926" s="12">
        <v>42888</v>
      </c>
      <c r="E926" s="12">
        <v>42891</v>
      </c>
      <c r="F926" s="12">
        <v>42889</v>
      </c>
      <c r="G926">
        <v>2</v>
      </c>
      <c r="H926">
        <v>7</v>
      </c>
      <c r="I926" t="str">
        <f t="shared" si="14"/>
        <v>Delivered</v>
      </c>
    </row>
    <row r="927" spans="1:9" x14ac:dyDescent="0.3">
      <c r="A927">
        <v>926</v>
      </c>
      <c r="B927">
        <v>233</v>
      </c>
      <c r="C927">
        <v>4</v>
      </c>
      <c r="D927" s="12">
        <v>42889</v>
      </c>
      <c r="E927" s="12">
        <v>42891</v>
      </c>
      <c r="F927" s="12">
        <v>42892</v>
      </c>
      <c r="G927">
        <v>1</v>
      </c>
      <c r="H927">
        <v>2</v>
      </c>
      <c r="I927" t="str">
        <f t="shared" si="14"/>
        <v>Shipped</v>
      </c>
    </row>
    <row r="928" spans="1:9" x14ac:dyDescent="0.3">
      <c r="A928">
        <v>927</v>
      </c>
      <c r="B928">
        <v>1438</v>
      </c>
      <c r="C928">
        <v>4</v>
      </c>
      <c r="D928" s="12">
        <v>42889</v>
      </c>
      <c r="E928" s="12">
        <v>42891</v>
      </c>
      <c r="F928" s="12">
        <v>42892</v>
      </c>
      <c r="G928">
        <v>1</v>
      </c>
      <c r="H928">
        <v>2</v>
      </c>
      <c r="I928" t="str">
        <f t="shared" si="14"/>
        <v>Shipped</v>
      </c>
    </row>
    <row r="929" spans="1:9" x14ac:dyDescent="0.3">
      <c r="A929">
        <v>928</v>
      </c>
      <c r="B929">
        <v>957</v>
      </c>
      <c r="C929">
        <v>4</v>
      </c>
      <c r="D929" s="12">
        <v>42891</v>
      </c>
      <c r="E929" s="12">
        <v>42892</v>
      </c>
      <c r="F929" s="12">
        <v>42892</v>
      </c>
      <c r="G929">
        <v>1</v>
      </c>
      <c r="H929">
        <v>3</v>
      </c>
      <c r="I929" t="str">
        <f t="shared" si="14"/>
        <v>Shipped</v>
      </c>
    </row>
    <row r="930" spans="1:9" x14ac:dyDescent="0.3">
      <c r="A930">
        <v>929</v>
      </c>
      <c r="B930">
        <v>472</v>
      </c>
      <c r="C930">
        <v>4</v>
      </c>
      <c r="D930" s="12">
        <v>42891</v>
      </c>
      <c r="E930" s="12">
        <v>42892</v>
      </c>
      <c r="F930" s="12">
        <v>42894</v>
      </c>
      <c r="G930">
        <v>2</v>
      </c>
      <c r="H930">
        <v>6</v>
      </c>
      <c r="I930" t="str">
        <f t="shared" si="14"/>
        <v>Shipped</v>
      </c>
    </row>
    <row r="931" spans="1:9" x14ac:dyDescent="0.3">
      <c r="A931">
        <v>930</v>
      </c>
      <c r="B931">
        <v>1224</v>
      </c>
      <c r="C931">
        <v>4</v>
      </c>
      <c r="D931" s="12">
        <v>42891</v>
      </c>
      <c r="E931" s="12">
        <v>42892</v>
      </c>
      <c r="F931" s="12">
        <v>42892</v>
      </c>
      <c r="G931">
        <v>3</v>
      </c>
      <c r="H931">
        <v>9</v>
      </c>
      <c r="I931" t="str">
        <f t="shared" si="14"/>
        <v>Shipped</v>
      </c>
    </row>
    <row r="932" spans="1:9" x14ac:dyDescent="0.3">
      <c r="A932">
        <v>931</v>
      </c>
      <c r="B932">
        <v>631</v>
      </c>
      <c r="C932">
        <v>4</v>
      </c>
      <c r="D932" s="12">
        <v>42893</v>
      </c>
      <c r="E932" s="12">
        <v>42894</v>
      </c>
      <c r="F932" s="12">
        <v>42894</v>
      </c>
      <c r="G932">
        <v>2</v>
      </c>
      <c r="H932">
        <v>6</v>
      </c>
      <c r="I932" t="str">
        <f t="shared" si="14"/>
        <v>Shipped</v>
      </c>
    </row>
    <row r="933" spans="1:9" x14ac:dyDescent="0.3">
      <c r="A933">
        <v>932</v>
      </c>
      <c r="B933">
        <v>804</v>
      </c>
      <c r="C933">
        <v>4</v>
      </c>
      <c r="D933" s="12">
        <v>42893</v>
      </c>
      <c r="E933" s="12">
        <v>42894</v>
      </c>
      <c r="F933" s="12">
        <v>42895</v>
      </c>
      <c r="G933">
        <v>2</v>
      </c>
      <c r="H933">
        <v>6</v>
      </c>
      <c r="I933" t="str">
        <f t="shared" si="14"/>
        <v>Shipped</v>
      </c>
    </row>
    <row r="934" spans="1:9" x14ac:dyDescent="0.3">
      <c r="A934">
        <v>933</v>
      </c>
      <c r="B934">
        <v>909</v>
      </c>
      <c r="C934">
        <v>4</v>
      </c>
      <c r="D934" s="12">
        <v>42893</v>
      </c>
      <c r="E934" s="12">
        <v>42896</v>
      </c>
      <c r="F934" s="12">
        <v>42894</v>
      </c>
      <c r="G934">
        <v>2</v>
      </c>
      <c r="H934">
        <v>6</v>
      </c>
      <c r="I934" t="str">
        <f t="shared" si="14"/>
        <v>Delivered</v>
      </c>
    </row>
    <row r="935" spans="1:9" x14ac:dyDescent="0.3">
      <c r="A935">
        <v>934</v>
      </c>
      <c r="B935">
        <v>93</v>
      </c>
      <c r="C935">
        <v>4</v>
      </c>
      <c r="D935" s="12">
        <v>42895</v>
      </c>
      <c r="E935" s="12">
        <v>42896</v>
      </c>
      <c r="F935" s="12">
        <v>42898</v>
      </c>
      <c r="G935">
        <v>2</v>
      </c>
      <c r="H935">
        <v>7</v>
      </c>
      <c r="I935" t="str">
        <f t="shared" si="14"/>
        <v>Shipped</v>
      </c>
    </row>
    <row r="936" spans="1:9" x14ac:dyDescent="0.3">
      <c r="A936">
        <v>935</v>
      </c>
      <c r="B936">
        <v>43</v>
      </c>
      <c r="C936">
        <v>3</v>
      </c>
      <c r="D936" s="12">
        <v>42896</v>
      </c>
      <c r="E936" s="12">
        <v>42896</v>
      </c>
      <c r="F936" s="12" t="s">
        <v>5611</v>
      </c>
      <c r="G936">
        <v>3</v>
      </c>
      <c r="H936">
        <v>8</v>
      </c>
      <c r="I936" t="str">
        <f t="shared" si="14"/>
        <v>Pending</v>
      </c>
    </row>
    <row r="937" spans="1:9" x14ac:dyDescent="0.3">
      <c r="A937">
        <v>936</v>
      </c>
      <c r="B937">
        <v>265</v>
      </c>
      <c r="C937">
        <v>4</v>
      </c>
      <c r="D937" s="12">
        <v>42896</v>
      </c>
      <c r="E937" s="12">
        <v>42899</v>
      </c>
      <c r="F937" s="12">
        <v>42898</v>
      </c>
      <c r="G937">
        <v>2</v>
      </c>
      <c r="H937">
        <v>6</v>
      </c>
      <c r="I937" t="str">
        <f t="shared" si="14"/>
        <v>Delivered</v>
      </c>
    </row>
    <row r="938" spans="1:9" x14ac:dyDescent="0.3">
      <c r="A938">
        <v>937</v>
      </c>
      <c r="B938">
        <v>73</v>
      </c>
      <c r="C938">
        <v>4</v>
      </c>
      <c r="D938" s="12">
        <v>42897</v>
      </c>
      <c r="E938" s="12">
        <v>42900</v>
      </c>
      <c r="F938" s="12">
        <v>42899</v>
      </c>
      <c r="G938">
        <v>2</v>
      </c>
      <c r="H938">
        <v>7</v>
      </c>
      <c r="I938" t="str">
        <f t="shared" si="14"/>
        <v>Delivered</v>
      </c>
    </row>
    <row r="939" spans="1:9" x14ac:dyDescent="0.3">
      <c r="A939">
        <v>938</v>
      </c>
      <c r="B939">
        <v>129</v>
      </c>
      <c r="C939">
        <v>4</v>
      </c>
      <c r="D939" s="12">
        <v>42897</v>
      </c>
      <c r="E939" s="12">
        <v>42898</v>
      </c>
      <c r="F939" s="12">
        <v>42898</v>
      </c>
      <c r="G939">
        <v>2</v>
      </c>
      <c r="H939">
        <v>6</v>
      </c>
      <c r="I939" t="str">
        <f t="shared" si="14"/>
        <v>Shipped</v>
      </c>
    </row>
    <row r="940" spans="1:9" x14ac:dyDescent="0.3">
      <c r="A940">
        <v>939</v>
      </c>
      <c r="B940">
        <v>1407</v>
      </c>
      <c r="C940">
        <v>4</v>
      </c>
      <c r="D940" s="12">
        <v>42897</v>
      </c>
      <c r="E940" s="12">
        <v>42898</v>
      </c>
      <c r="F940" s="12">
        <v>42900</v>
      </c>
      <c r="G940">
        <v>2</v>
      </c>
      <c r="H940">
        <v>6</v>
      </c>
      <c r="I940" t="str">
        <f t="shared" si="14"/>
        <v>Shipped</v>
      </c>
    </row>
    <row r="941" spans="1:9" x14ac:dyDescent="0.3">
      <c r="A941">
        <v>940</v>
      </c>
      <c r="B941">
        <v>585</v>
      </c>
      <c r="C941">
        <v>4</v>
      </c>
      <c r="D941" s="12">
        <v>42898</v>
      </c>
      <c r="E941" s="12">
        <v>42900</v>
      </c>
      <c r="F941" s="12">
        <v>42899</v>
      </c>
      <c r="G941">
        <v>1</v>
      </c>
      <c r="H941">
        <v>2</v>
      </c>
      <c r="I941" t="str">
        <f t="shared" si="14"/>
        <v>Delivered</v>
      </c>
    </row>
    <row r="942" spans="1:9" x14ac:dyDescent="0.3">
      <c r="A942">
        <v>941</v>
      </c>
      <c r="B942">
        <v>736</v>
      </c>
      <c r="C942">
        <v>4</v>
      </c>
      <c r="D942" s="12">
        <v>42898</v>
      </c>
      <c r="E942" s="12">
        <v>42900</v>
      </c>
      <c r="F942" s="12">
        <v>42900</v>
      </c>
      <c r="G942">
        <v>1</v>
      </c>
      <c r="H942">
        <v>2</v>
      </c>
      <c r="I942" t="str">
        <f t="shared" si="14"/>
        <v>Shipped</v>
      </c>
    </row>
    <row r="943" spans="1:9" x14ac:dyDescent="0.3">
      <c r="A943">
        <v>942</v>
      </c>
      <c r="B943">
        <v>537</v>
      </c>
      <c r="C943">
        <v>4</v>
      </c>
      <c r="D943" s="12">
        <v>42899</v>
      </c>
      <c r="E943" s="12">
        <v>42902</v>
      </c>
      <c r="F943" s="12">
        <v>42901</v>
      </c>
      <c r="G943">
        <v>2</v>
      </c>
      <c r="H943">
        <v>6</v>
      </c>
      <c r="I943" t="str">
        <f t="shared" si="14"/>
        <v>Delivered</v>
      </c>
    </row>
    <row r="944" spans="1:9" x14ac:dyDescent="0.3">
      <c r="A944">
        <v>943</v>
      </c>
      <c r="B944">
        <v>1025</v>
      </c>
      <c r="C944">
        <v>4</v>
      </c>
      <c r="D944" s="12">
        <v>42899</v>
      </c>
      <c r="E944" s="12">
        <v>42901</v>
      </c>
      <c r="F944" s="12">
        <v>42901</v>
      </c>
      <c r="G944">
        <v>2</v>
      </c>
      <c r="H944">
        <v>6</v>
      </c>
      <c r="I944" t="str">
        <f t="shared" si="14"/>
        <v>Shipped</v>
      </c>
    </row>
    <row r="945" spans="1:9" x14ac:dyDescent="0.3">
      <c r="A945">
        <v>944</v>
      </c>
      <c r="B945">
        <v>138</v>
      </c>
      <c r="C945">
        <v>4</v>
      </c>
      <c r="D945" s="12">
        <v>42900</v>
      </c>
      <c r="E945" s="12">
        <v>42901</v>
      </c>
      <c r="F945" s="12">
        <v>42903</v>
      </c>
      <c r="G945">
        <v>1</v>
      </c>
      <c r="H945">
        <v>3</v>
      </c>
      <c r="I945" t="str">
        <f t="shared" si="14"/>
        <v>Shipped</v>
      </c>
    </row>
    <row r="946" spans="1:9" x14ac:dyDescent="0.3">
      <c r="A946">
        <v>945</v>
      </c>
      <c r="B946">
        <v>167</v>
      </c>
      <c r="C946">
        <v>4</v>
      </c>
      <c r="D946" s="12">
        <v>42900</v>
      </c>
      <c r="E946" s="12">
        <v>42901</v>
      </c>
      <c r="F946" s="12">
        <v>42902</v>
      </c>
      <c r="G946">
        <v>2</v>
      </c>
      <c r="H946">
        <v>7</v>
      </c>
      <c r="I946" t="str">
        <f t="shared" si="14"/>
        <v>Shipped</v>
      </c>
    </row>
    <row r="947" spans="1:9" x14ac:dyDescent="0.3">
      <c r="A947">
        <v>946</v>
      </c>
      <c r="B947">
        <v>525</v>
      </c>
      <c r="C947">
        <v>4</v>
      </c>
      <c r="D947" s="12">
        <v>42900</v>
      </c>
      <c r="E947" s="12">
        <v>42902</v>
      </c>
      <c r="F947" s="12">
        <v>42901</v>
      </c>
      <c r="G947">
        <v>2</v>
      </c>
      <c r="H947">
        <v>6</v>
      </c>
      <c r="I947" t="str">
        <f t="shared" si="14"/>
        <v>Delivered</v>
      </c>
    </row>
    <row r="948" spans="1:9" x14ac:dyDescent="0.3">
      <c r="A948">
        <v>947</v>
      </c>
      <c r="B948">
        <v>278</v>
      </c>
      <c r="C948">
        <v>4</v>
      </c>
      <c r="D948" s="12">
        <v>42901</v>
      </c>
      <c r="E948" s="12">
        <v>42904</v>
      </c>
      <c r="F948" s="12">
        <v>42903</v>
      </c>
      <c r="G948">
        <v>1</v>
      </c>
      <c r="H948">
        <v>3</v>
      </c>
      <c r="I948" t="str">
        <f t="shared" si="14"/>
        <v>Delivered</v>
      </c>
    </row>
    <row r="949" spans="1:9" x14ac:dyDescent="0.3">
      <c r="A949">
        <v>948</v>
      </c>
      <c r="B949">
        <v>618</v>
      </c>
      <c r="C949">
        <v>4</v>
      </c>
      <c r="D949" s="12">
        <v>42901</v>
      </c>
      <c r="E949" s="12">
        <v>42903</v>
      </c>
      <c r="F949" s="12">
        <v>42903</v>
      </c>
      <c r="G949">
        <v>2</v>
      </c>
      <c r="H949">
        <v>6</v>
      </c>
      <c r="I949" t="str">
        <f t="shared" si="14"/>
        <v>Shipped</v>
      </c>
    </row>
    <row r="950" spans="1:9" x14ac:dyDescent="0.3">
      <c r="A950">
        <v>949</v>
      </c>
      <c r="B950">
        <v>867</v>
      </c>
      <c r="C950">
        <v>4</v>
      </c>
      <c r="D950" s="12">
        <v>42902</v>
      </c>
      <c r="E950" s="12">
        <v>42904</v>
      </c>
      <c r="F950" s="12">
        <v>42903</v>
      </c>
      <c r="G950">
        <v>1</v>
      </c>
      <c r="H950">
        <v>3</v>
      </c>
      <c r="I950" t="str">
        <f t="shared" si="14"/>
        <v>Delivered</v>
      </c>
    </row>
    <row r="951" spans="1:9" x14ac:dyDescent="0.3">
      <c r="A951">
        <v>950</v>
      </c>
      <c r="B951">
        <v>142</v>
      </c>
      <c r="C951">
        <v>4</v>
      </c>
      <c r="D951" s="12">
        <v>42902</v>
      </c>
      <c r="E951" s="12">
        <v>42905</v>
      </c>
      <c r="F951" s="12">
        <v>42904</v>
      </c>
      <c r="G951">
        <v>2</v>
      </c>
      <c r="H951">
        <v>6</v>
      </c>
      <c r="I951" t="str">
        <f t="shared" si="14"/>
        <v>Delivered</v>
      </c>
    </row>
    <row r="952" spans="1:9" x14ac:dyDescent="0.3">
      <c r="A952">
        <v>951</v>
      </c>
      <c r="B952">
        <v>339</v>
      </c>
      <c r="C952">
        <v>4</v>
      </c>
      <c r="D952" s="12">
        <v>42902</v>
      </c>
      <c r="E952" s="12">
        <v>42905</v>
      </c>
      <c r="F952" s="12">
        <v>42905</v>
      </c>
      <c r="G952">
        <v>2</v>
      </c>
      <c r="H952">
        <v>7</v>
      </c>
      <c r="I952" t="str">
        <f t="shared" si="14"/>
        <v>Shipped</v>
      </c>
    </row>
    <row r="953" spans="1:9" x14ac:dyDescent="0.3">
      <c r="A953">
        <v>952</v>
      </c>
      <c r="B953">
        <v>355</v>
      </c>
      <c r="C953">
        <v>4</v>
      </c>
      <c r="D953" s="12">
        <v>42902</v>
      </c>
      <c r="E953" s="12">
        <v>42904</v>
      </c>
      <c r="F953" s="12">
        <v>42904</v>
      </c>
      <c r="G953">
        <v>2</v>
      </c>
      <c r="H953">
        <v>7</v>
      </c>
      <c r="I953" t="str">
        <f t="shared" si="14"/>
        <v>Shipped</v>
      </c>
    </row>
    <row r="954" spans="1:9" x14ac:dyDescent="0.3">
      <c r="A954">
        <v>953</v>
      </c>
      <c r="B954">
        <v>658</v>
      </c>
      <c r="C954">
        <v>4</v>
      </c>
      <c r="D954" s="12">
        <v>42902</v>
      </c>
      <c r="E954" s="12">
        <v>42904</v>
      </c>
      <c r="F954" s="12">
        <v>42903</v>
      </c>
      <c r="G954">
        <v>2</v>
      </c>
      <c r="H954">
        <v>7</v>
      </c>
      <c r="I954" t="str">
        <f t="shared" si="14"/>
        <v>Delivered</v>
      </c>
    </row>
    <row r="955" spans="1:9" x14ac:dyDescent="0.3">
      <c r="A955">
        <v>954</v>
      </c>
      <c r="B955">
        <v>611</v>
      </c>
      <c r="C955">
        <v>4</v>
      </c>
      <c r="D955" s="12">
        <v>42903</v>
      </c>
      <c r="E955" s="12">
        <v>42906</v>
      </c>
      <c r="F955" s="12">
        <v>42906</v>
      </c>
      <c r="G955">
        <v>2</v>
      </c>
      <c r="H955">
        <v>6</v>
      </c>
      <c r="I955" t="str">
        <f t="shared" si="14"/>
        <v>Shipped</v>
      </c>
    </row>
    <row r="956" spans="1:9" x14ac:dyDescent="0.3">
      <c r="A956">
        <v>955</v>
      </c>
      <c r="B956">
        <v>880</v>
      </c>
      <c r="C956">
        <v>4</v>
      </c>
      <c r="D956" s="12">
        <v>42903</v>
      </c>
      <c r="E956" s="12">
        <v>42905</v>
      </c>
      <c r="F956" s="12">
        <v>42904</v>
      </c>
      <c r="G956">
        <v>2</v>
      </c>
      <c r="H956">
        <v>6</v>
      </c>
      <c r="I956" t="str">
        <f t="shared" si="14"/>
        <v>Delivered</v>
      </c>
    </row>
    <row r="957" spans="1:9" x14ac:dyDescent="0.3">
      <c r="A957">
        <v>956</v>
      </c>
      <c r="B957">
        <v>1184</v>
      </c>
      <c r="C957">
        <v>4</v>
      </c>
      <c r="D957" s="12">
        <v>42903</v>
      </c>
      <c r="E957" s="12">
        <v>42905</v>
      </c>
      <c r="F957" s="12">
        <v>42906</v>
      </c>
      <c r="G957">
        <v>2</v>
      </c>
      <c r="H957">
        <v>6</v>
      </c>
      <c r="I957" t="str">
        <f t="shared" si="14"/>
        <v>Shipped</v>
      </c>
    </row>
    <row r="958" spans="1:9" x14ac:dyDescent="0.3">
      <c r="A958">
        <v>957</v>
      </c>
      <c r="B958">
        <v>722</v>
      </c>
      <c r="C958">
        <v>4</v>
      </c>
      <c r="D958" s="12">
        <v>42903</v>
      </c>
      <c r="E958" s="12">
        <v>42906</v>
      </c>
      <c r="F958" s="12">
        <v>42906</v>
      </c>
      <c r="G958">
        <v>3</v>
      </c>
      <c r="H958">
        <v>9</v>
      </c>
      <c r="I958" t="str">
        <f t="shared" si="14"/>
        <v>Shipped</v>
      </c>
    </row>
    <row r="959" spans="1:9" x14ac:dyDescent="0.3">
      <c r="A959">
        <v>958</v>
      </c>
      <c r="B959">
        <v>1276</v>
      </c>
      <c r="C959">
        <v>4</v>
      </c>
      <c r="D959" s="12">
        <v>42904</v>
      </c>
      <c r="E959" s="12">
        <v>42906</v>
      </c>
      <c r="F959" s="12">
        <v>42905</v>
      </c>
      <c r="G959">
        <v>1</v>
      </c>
      <c r="H959">
        <v>2</v>
      </c>
      <c r="I959" t="str">
        <f t="shared" si="14"/>
        <v>Delivered</v>
      </c>
    </row>
    <row r="960" spans="1:9" x14ac:dyDescent="0.3">
      <c r="A960">
        <v>959</v>
      </c>
      <c r="B960">
        <v>650</v>
      </c>
      <c r="C960">
        <v>4</v>
      </c>
      <c r="D960" s="12">
        <v>42904</v>
      </c>
      <c r="E960" s="12">
        <v>42907</v>
      </c>
      <c r="F960" s="12">
        <v>42907</v>
      </c>
      <c r="G960">
        <v>2</v>
      </c>
      <c r="H960">
        <v>7</v>
      </c>
      <c r="I960" t="str">
        <f t="shared" si="14"/>
        <v>Shipped</v>
      </c>
    </row>
    <row r="961" spans="1:9" x14ac:dyDescent="0.3">
      <c r="A961">
        <v>960</v>
      </c>
      <c r="B961">
        <v>1390</v>
      </c>
      <c r="C961">
        <v>4</v>
      </c>
      <c r="D961" s="12">
        <v>42904</v>
      </c>
      <c r="E961" s="12">
        <v>42905</v>
      </c>
      <c r="F961" s="12">
        <v>42905</v>
      </c>
      <c r="G961">
        <v>2</v>
      </c>
      <c r="H961">
        <v>7</v>
      </c>
      <c r="I961" t="str">
        <f t="shared" si="14"/>
        <v>Shipped</v>
      </c>
    </row>
    <row r="962" spans="1:9" x14ac:dyDescent="0.3">
      <c r="A962">
        <v>961</v>
      </c>
      <c r="B962">
        <v>82</v>
      </c>
      <c r="C962">
        <v>4</v>
      </c>
      <c r="D962" s="12">
        <v>42905</v>
      </c>
      <c r="E962" s="12">
        <v>42907</v>
      </c>
      <c r="F962" s="12">
        <v>42908</v>
      </c>
      <c r="G962">
        <v>1</v>
      </c>
      <c r="H962">
        <v>2</v>
      </c>
      <c r="I962" t="str">
        <f t="shared" si="14"/>
        <v>Shipped</v>
      </c>
    </row>
    <row r="963" spans="1:9" x14ac:dyDescent="0.3">
      <c r="A963">
        <v>962</v>
      </c>
      <c r="B963">
        <v>570</v>
      </c>
      <c r="C963">
        <v>4</v>
      </c>
      <c r="D963" s="12">
        <v>42905</v>
      </c>
      <c r="E963" s="12">
        <v>42908</v>
      </c>
      <c r="F963" s="12">
        <v>42906</v>
      </c>
      <c r="G963">
        <v>2</v>
      </c>
      <c r="H963">
        <v>7</v>
      </c>
      <c r="I963" t="str">
        <f t="shared" ref="I963:I1026" si="15">IF(F963="NA","Pending",IF(OR(E963=F963,E963&lt;F963),"Shipped","Delivered"))</f>
        <v>Delivered</v>
      </c>
    </row>
    <row r="964" spans="1:9" x14ac:dyDescent="0.3">
      <c r="A964">
        <v>963</v>
      </c>
      <c r="B964">
        <v>1432</v>
      </c>
      <c r="C964">
        <v>4</v>
      </c>
      <c r="D964" s="12">
        <v>42905</v>
      </c>
      <c r="E964" s="12">
        <v>42907</v>
      </c>
      <c r="F964" s="12">
        <v>42907</v>
      </c>
      <c r="G964">
        <v>2</v>
      </c>
      <c r="H964">
        <v>6</v>
      </c>
      <c r="I964" t="str">
        <f t="shared" si="15"/>
        <v>Shipped</v>
      </c>
    </row>
    <row r="965" spans="1:9" x14ac:dyDescent="0.3">
      <c r="A965">
        <v>964</v>
      </c>
      <c r="B965">
        <v>404</v>
      </c>
      <c r="C965">
        <v>4</v>
      </c>
      <c r="D965" s="12">
        <v>42906</v>
      </c>
      <c r="E965" s="12">
        <v>42908</v>
      </c>
      <c r="F965" s="12">
        <v>42908</v>
      </c>
      <c r="G965">
        <v>2</v>
      </c>
      <c r="H965">
        <v>7</v>
      </c>
      <c r="I965" t="str">
        <f t="shared" si="15"/>
        <v>Shipped</v>
      </c>
    </row>
    <row r="966" spans="1:9" x14ac:dyDescent="0.3">
      <c r="A966">
        <v>965</v>
      </c>
      <c r="B966">
        <v>457</v>
      </c>
      <c r="C966">
        <v>4</v>
      </c>
      <c r="D966" s="12">
        <v>42906</v>
      </c>
      <c r="E966" s="12">
        <v>42908</v>
      </c>
      <c r="F966" s="12">
        <v>42909</v>
      </c>
      <c r="G966">
        <v>2</v>
      </c>
      <c r="H966">
        <v>6</v>
      </c>
      <c r="I966" t="str">
        <f t="shared" si="15"/>
        <v>Shipped</v>
      </c>
    </row>
    <row r="967" spans="1:9" x14ac:dyDescent="0.3">
      <c r="A967">
        <v>966</v>
      </c>
      <c r="B967">
        <v>389</v>
      </c>
      <c r="C967">
        <v>4</v>
      </c>
      <c r="D967" s="12">
        <v>42906</v>
      </c>
      <c r="E967" s="12">
        <v>42908</v>
      </c>
      <c r="F967" s="12">
        <v>42908</v>
      </c>
      <c r="G967">
        <v>3</v>
      </c>
      <c r="H967">
        <v>8</v>
      </c>
      <c r="I967" t="str">
        <f t="shared" si="15"/>
        <v>Shipped</v>
      </c>
    </row>
    <row r="968" spans="1:9" x14ac:dyDescent="0.3">
      <c r="A968">
        <v>967</v>
      </c>
      <c r="B968">
        <v>1323</v>
      </c>
      <c r="C968">
        <v>4</v>
      </c>
      <c r="D968" s="12">
        <v>42907</v>
      </c>
      <c r="E968" s="12">
        <v>42910</v>
      </c>
      <c r="F968" s="12">
        <v>42910</v>
      </c>
      <c r="G968">
        <v>2</v>
      </c>
      <c r="H968">
        <v>6</v>
      </c>
      <c r="I968" t="str">
        <f t="shared" si="15"/>
        <v>Shipped</v>
      </c>
    </row>
    <row r="969" spans="1:9" x14ac:dyDescent="0.3">
      <c r="A969">
        <v>968</v>
      </c>
      <c r="B969">
        <v>1403</v>
      </c>
      <c r="C969">
        <v>4</v>
      </c>
      <c r="D969" s="12">
        <v>42907</v>
      </c>
      <c r="E969" s="12">
        <v>42909</v>
      </c>
      <c r="F969" s="12">
        <v>42909</v>
      </c>
      <c r="G969">
        <v>2</v>
      </c>
      <c r="H969">
        <v>6</v>
      </c>
      <c r="I969" t="str">
        <f t="shared" si="15"/>
        <v>Shipped</v>
      </c>
    </row>
    <row r="970" spans="1:9" x14ac:dyDescent="0.3">
      <c r="A970">
        <v>969</v>
      </c>
      <c r="B970">
        <v>248</v>
      </c>
      <c r="C970">
        <v>4</v>
      </c>
      <c r="D970" s="12">
        <v>42907</v>
      </c>
      <c r="E970" s="12">
        <v>42910</v>
      </c>
      <c r="F970" s="12">
        <v>42908</v>
      </c>
      <c r="G970">
        <v>3</v>
      </c>
      <c r="H970">
        <v>9</v>
      </c>
      <c r="I970" t="str">
        <f t="shared" si="15"/>
        <v>Delivered</v>
      </c>
    </row>
    <row r="971" spans="1:9" x14ac:dyDescent="0.3">
      <c r="A971">
        <v>970</v>
      </c>
      <c r="B971">
        <v>836</v>
      </c>
      <c r="C971">
        <v>4</v>
      </c>
      <c r="D971" s="12">
        <v>42908</v>
      </c>
      <c r="E971" s="12">
        <v>42911</v>
      </c>
      <c r="F971" s="12">
        <v>42909</v>
      </c>
      <c r="G971">
        <v>2</v>
      </c>
      <c r="H971">
        <v>7</v>
      </c>
      <c r="I971" t="str">
        <f t="shared" si="15"/>
        <v>Delivered</v>
      </c>
    </row>
    <row r="972" spans="1:9" x14ac:dyDescent="0.3">
      <c r="A972">
        <v>971</v>
      </c>
      <c r="B972">
        <v>1426</v>
      </c>
      <c r="C972">
        <v>4</v>
      </c>
      <c r="D972" s="12">
        <v>42908</v>
      </c>
      <c r="E972" s="12">
        <v>42909</v>
      </c>
      <c r="F972" s="12">
        <v>42910</v>
      </c>
      <c r="G972">
        <v>3</v>
      </c>
      <c r="H972">
        <v>8</v>
      </c>
      <c r="I972" t="str">
        <f t="shared" si="15"/>
        <v>Shipped</v>
      </c>
    </row>
    <row r="973" spans="1:9" x14ac:dyDescent="0.3">
      <c r="A973">
        <v>972</v>
      </c>
      <c r="B973">
        <v>270</v>
      </c>
      <c r="C973">
        <v>4</v>
      </c>
      <c r="D973" s="12">
        <v>42909</v>
      </c>
      <c r="E973" s="12">
        <v>42910</v>
      </c>
      <c r="F973" s="12">
        <v>42911</v>
      </c>
      <c r="G973">
        <v>2</v>
      </c>
      <c r="H973">
        <v>7</v>
      </c>
      <c r="I973" t="str">
        <f t="shared" si="15"/>
        <v>Shipped</v>
      </c>
    </row>
    <row r="974" spans="1:9" x14ac:dyDescent="0.3">
      <c r="A974">
        <v>973</v>
      </c>
      <c r="B974">
        <v>238</v>
      </c>
      <c r="C974">
        <v>4</v>
      </c>
      <c r="D974" s="12">
        <v>42910</v>
      </c>
      <c r="E974" s="12">
        <v>42913</v>
      </c>
      <c r="F974" s="12">
        <v>42913</v>
      </c>
      <c r="G974">
        <v>2</v>
      </c>
      <c r="H974">
        <v>6</v>
      </c>
      <c r="I974" t="str">
        <f t="shared" si="15"/>
        <v>Shipped</v>
      </c>
    </row>
    <row r="975" spans="1:9" x14ac:dyDescent="0.3">
      <c r="A975">
        <v>974</v>
      </c>
      <c r="B975">
        <v>511</v>
      </c>
      <c r="C975">
        <v>4</v>
      </c>
      <c r="D975" s="12">
        <v>42910</v>
      </c>
      <c r="E975" s="12">
        <v>42913</v>
      </c>
      <c r="F975" s="12">
        <v>42913</v>
      </c>
      <c r="G975">
        <v>3</v>
      </c>
      <c r="H975">
        <v>8</v>
      </c>
      <c r="I975" t="str">
        <f t="shared" si="15"/>
        <v>Shipped</v>
      </c>
    </row>
    <row r="976" spans="1:9" x14ac:dyDescent="0.3">
      <c r="A976">
        <v>975</v>
      </c>
      <c r="B976">
        <v>1092</v>
      </c>
      <c r="C976">
        <v>4</v>
      </c>
      <c r="D976" s="12">
        <v>42911</v>
      </c>
      <c r="E976" s="12">
        <v>42913</v>
      </c>
      <c r="F976" s="12">
        <v>42914</v>
      </c>
      <c r="G976">
        <v>2</v>
      </c>
      <c r="H976">
        <v>6</v>
      </c>
      <c r="I976" t="str">
        <f t="shared" si="15"/>
        <v>Shipped</v>
      </c>
    </row>
    <row r="977" spans="1:9" x14ac:dyDescent="0.3">
      <c r="A977">
        <v>976</v>
      </c>
      <c r="B977">
        <v>1266</v>
      </c>
      <c r="C977">
        <v>4</v>
      </c>
      <c r="D977" s="12">
        <v>42911</v>
      </c>
      <c r="E977" s="12">
        <v>42914</v>
      </c>
      <c r="F977" s="12">
        <v>42913</v>
      </c>
      <c r="G977">
        <v>3</v>
      </c>
      <c r="H977">
        <v>9</v>
      </c>
      <c r="I977" t="str">
        <f t="shared" si="15"/>
        <v>Delivered</v>
      </c>
    </row>
    <row r="978" spans="1:9" x14ac:dyDescent="0.3">
      <c r="A978">
        <v>977</v>
      </c>
      <c r="B978">
        <v>400</v>
      </c>
      <c r="C978">
        <v>4</v>
      </c>
      <c r="D978" s="12">
        <v>42912</v>
      </c>
      <c r="E978" s="12">
        <v>42914</v>
      </c>
      <c r="F978" s="12">
        <v>42913</v>
      </c>
      <c r="G978">
        <v>2</v>
      </c>
      <c r="H978">
        <v>7</v>
      </c>
      <c r="I978" t="str">
        <f t="shared" si="15"/>
        <v>Delivered</v>
      </c>
    </row>
    <row r="979" spans="1:9" x14ac:dyDescent="0.3">
      <c r="A979">
        <v>978</v>
      </c>
      <c r="B979">
        <v>1123</v>
      </c>
      <c r="C979">
        <v>4</v>
      </c>
      <c r="D979" s="12">
        <v>42912</v>
      </c>
      <c r="E979" s="12">
        <v>42914</v>
      </c>
      <c r="F979" s="12">
        <v>42913</v>
      </c>
      <c r="G979">
        <v>2</v>
      </c>
      <c r="H979">
        <v>6</v>
      </c>
      <c r="I979" t="str">
        <f t="shared" si="15"/>
        <v>Delivered</v>
      </c>
    </row>
    <row r="980" spans="1:9" x14ac:dyDescent="0.3">
      <c r="A980">
        <v>979</v>
      </c>
      <c r="B980">
        <v>1190</v>
      </c>
      <c r="C980">
        <v>4</v>
      </c>
      <c r="D980" s="12">
        <v>42912</v>
      </c>
      <c r="E980" s="12">
        <v>42915</v>
      </c>
      <c r="F980" s="12">
        <v>42913</v>
      </c>
      <c r="G980">
        <v>2</v>
      </c>
      <c r="H980">
        <v>6</v>
      </c>
      <c r="I980" t="str">
        <f t="shared" si="15"/>
        <v>Delivered</v>
      </c>
    </row>
    <row r="981" spans="1:9" x14ac:dyDescent="0.3">
      <c r="A981">
        <v>980</v>
      </c>
      <c r="B981">
        <v>328</v>
      </c>
      <c r="C981">
        <v>4</v>
      </c>
      <c r="D981" s="12">
        <v>42912</v>
      </c>
      <c r="E981" s="12">
        <v>42914</v>
      </c>
      <c r="F981" s="12">
        <v>42913</v>
      </c>
      <c r="G981">
        <v>3</v>
      </c>
      <c r="H981">
        <v>9</v>
      </c>
      <c r="I981" t="str">
        <f t="shared" si="15"/>
        <v>Delivered</v>
      </c>
    </row>
    <row r="982" spans="1:9" x14ac:dyDescent="0.3">
      <c r="A982">
        <v>981</v>
      </c>
      <c r="B982">
        <v>687</v>
      </c>
      <c r="C982">
        <v>4</v>
      </c>
      <c r="D982" s="12">
        <v>42912</v>
      </c>
      <c r="E982" s="12">
        <v>42915</v>
      </c>
      <c r="F982" s="12">
        <v>42914</v>
      </c>
      <c r="G982">
        <v>3</v>
      </c>
      <c r="H982">
        <v>8</v>
      </c>
      <c r="I982" t="str">
        <f t="shared" si="15"/>
        <v>Delivered</v>
      </c>
    </row>
    <row r="983" spans="1:9" x14ac:dyDescent="0.3">
      <c r="A983">
        <v>982</v>
      </c>
      <c r="B983">
        <v>1423</v>
      </c>
      <c r="C983">
        <v>4</v>
      </c>
      <c r="D983" s="12">
        <v>42912</v>
      </c>
      <c r="E983" s="12">
        <v>42915</v>
      </c>
      <c r="F983" s="12">
        <v>42914</v>
      </c>
      <c r="G983">
        <v>3</v>
      </c>
      <c r="H983">
        <v>9</v>
      </c>
      <c r="I983" t="str">
        <f t="shared" si="15"/>
        <v>Delivered</v>
      </c>
    </row>
    <row r="984" spans="1:9" x14ac:dyDescent="0.3">
      <c r="A984">
        <v>983</v>
      </c>
      <c r="B984">
        <v>1158</v>
      </c>
      <c r="C984">
        <v>4</v>
      </c>
      <c r="D984" s="12">
        <v>42913</v>
      </c>
      <c r="E984" s="12">
        <v>42914</v>
      </c>
      <c r="F984" s="12">
        <v>42915</v>
      </c>
      <c r="G984">
        <v>2</v>
      </c>
      <c r="H984">
        <v>6</v>
      </c>
      <c r="I984" t="str">
        <f t="shared" si="15"/>
        <v>Shipped</v>
      </c>
    </row>
    <row r="985" spans="1:9" x14ac:dyDescent="0.3">
      <c r="A985">
        <v>984</v>
      </c>
      <c r="B985">
        <v>1287</v>
      </c>
      <c r="C985">
        <v>4</v>
      </c>
      <c r="D985" s="12">
        <v>42913</v>
      </c>
      <c r="E985" s="12">
        <v>42914</v>
      </c>
      <c r="F985" s="12">
        <v>42915</v>
      </c>
      <c r="G985">
        <v>2</v>
      </c>
      <c r="H985">
        <v>7</v>
      </c>
      <c r="I985" t="str">
        <f t="shared" si="15"/>
        <v>Shipped</v>
      </c>
    </row>
    <row r="986" spans="1:9" x14ac:dyDescent="0.3">
      <c r="A986">
        <v>985</v>
      </c>
      <c r="B986">
        <v>461</v>
      </c>
      <c r="C986">
        <v>4</v>
      </c>
      <c r="D986" s="12">
        <v>42916</v>
      </c>
      <c r="E986" s="12">
        <v>42918</v>
      </c>
      <c r="F986" s="12">
        <v>42917</v>
      </c>
      <c r="G986">
        <v>2</v>
      </c>
      <c r="H986">
        <v>6</v>
      </c>
      <c r="I986" t="str">
        <f t="shared" si="15"/>
        <v>Delivered</v>
      </c>
    </row>
    <row r="987" spans="1:9" x14ac:dyDescent="0.3">
      <c r="A987">
        <v>986</v>
      </c>
      <c r="B987">
        <v>556</v>
      </c>
      <c r="C987">
        <v>4</v>
      </c>
      <c r="D987" s="12">
        <v>42916</v>
      </c>
      <c r="E987" s="12">
        <v>42919</v>
      </c>
      <c r="F987" s="12">
        <v>42917</v>
      </c>
      <c r="G987">
        <v>2</v>
      </c>
      <c r="H987">
        <v>7</v>
      </c>
      <c r="I987" t="str">
        <f t="shared" si="15"/>
        <v>Delivered</v>
      </c>
    </row>
    <row r="988" spans="1:9" x14ac:dyDescent="0.3">
      <c r="A988">
        <v>987</v>
      </c>
      <c r="B988">
        <v>172</v>
      </c>
      <c r="C988">
        <v>4</v>
      </c>
      <c r="D988" s="12">
        <v>42918</v>
      </c>
      <c r="E988" s="12">
        <v>42920</v>
      </c>
      <c r="F988" s="12">
        <v>42920</v>
      </c>
      <c r="G988">
        <v>1</v>
      </c>
      <c r="H988">
        <v>2</v>
      </c>
      <c r="I988" t="str">
        <f t="shared" si="15"/>
        <v>Shipped</v>
      </c>
    </row>
    <row r="989" spans="1:9" x14ac:dyDescent="0.3">
      <c r="A989">
        <v>988</v>
      </c>
      <c r="B989">
        <v>436</v>
      </c>
      <c r="C989">
        <v>4</v>
      </c>
      <c r="D989" s="12">
        <v>42918</v>
      </c>
      <c r="E989" s="12">
        <v>42920</v>
      </c>
      <c r="F989" s="12">
        <v>42921</v>
      </c>
      <c r="G989">
        <v>2</v>
      </c>
      <c r="H989">
        <v>6</v>
      </c>
      <c r="I989" t="str">
        <f t="shared" si="15"/>
        <v>Shipped</v>
      </c>
    </row>
    <row r="990" spans="1:9" x14ac:dyDescent="0.3">
      <c r="A990">
        <v>989</v>
      </c>
      <c r="B990">
        <v>1145</v>
      </c>
      <c r="C990">
        <v>4</v>
      </c>
      <c r="D990" s="12">
        <v>42918</v>
      </c>
      <c r="E990" s="12">
        <v>42920</v>
      </c>
      <c r="F990" s="12">
        <v>42919</v>
      </c>
      <c r="G990">
        <v>2</v>
      </c>
      <c r="H990">
        <v>6</v>
      </c>
      <c r="I990" t="str">
        <f t="shared" si="15"/>
        <v>Delivered</v>
      </c>
    </row>
    <row r="991" spans="1:9" x14ac:dyDescent="0.3">
      <c r="A991">
        <v>990</v>
      </c>
      <c r="B991">
        <v>706</v>
      </c>
      <c r="C991">
        <v>4</v>
      </c>
      <c r="D991" s="12">
        <v>42920</v>
      </c>
      <c r="E991" s="12">
        <v>42923</v>
      </c>
      <c r="F991" s="12">
        <v>42923</v>
      </c>
      <c r="G991">
        <v>2</v>
      </c>
      <c r="H991">
        <v>7</v>
      </c>
      <c r="I991" t="str">
        <f t="shared" si="15"/>
        <v>Shipped</v>
      </c>
    </row>
    <row r="992" spans="1:9" x14ac:dyDescent="0.3">
      <c r="A992">
        <v>991</v>
      </c>
      <c r="B992">
        <v>751</v>
      </c>
      <c r="C992">
        <v>4</v>
      </c>
      <c r="D992" s="12">
        <v>42922</v>
      </c>
      <c r="E992" s="12">
        <v>42923</v>
      </c>
      <c r="F992" s="12">
        <v>42925</v>
      </c>
      <c r="G992">
        <v>1</v>
      </c>
      <c r="H992">
        <v>2</v>
      </c>
      <c r="I992" t="str">
        <f t="shared" si="15"/>
        <v>Shipped</v>
      </c>
    </row>
    <row r="993" spans="1:9" x14ac:dyDescent="0.3">
      <c r="A993">
        <v>992</v>
      </c>
      <c r="B993">
        <v>723</v>
      </c>
      <c r="C993">
        <v>4</v>
      </c>
      <c r="D993" s="12">
        <v>42923</v>
      </c>
      <c r="E993" s="12">
        <v>42926</v>
      </c>
      <c r="F993" s="12">
        <v>42925</v>
      </c>
      <c r="G993">
        <v>2</v>
      </c>
      <c r="H993">
        <v>7</v>
      </c>
      <c r="I993" t="str">
        <f t="shared" si="15"/>
        <v>Delivered</v>
      </c>
    </row>
    <row r="994" spans="1:9" x14ac:dyDescent="0.3">
      <c r="A994">
        <v>993</v>
      </c>
      <c r="B994">
        <v>1415</v>
      </c>
      <c r="C994">
        <v>4</v>
      </c>
      <c r="D994" s="12">
        <v>42925</v>
      </c>
      <c r="E994" s="12">
        <v>42927</v>
      </c>
      <c r="F994" s="12">
        <v>42927</v>
      </c>
      <c r="G994">
        <v>1</v>
      </c>
      <c r="H994">
        <v>3</v>
      </c>
      <c r="I994" t="str">
        <f t="shared" si="15"/>
        <v>Shipped</v>
      </c>
    </row>
    <row r="995" spans="1:9" x14ac:dyDescent="0.3">
      <c r="A995">
        <v>994</v>
      </c>
      <c r="B995">
        <v>419</v>
      </c>
      <c r="C995">
        <v>4</v>
      </c>
      <c r="D995" s="12">
        <v>42925</v>
      </c>
      <c r="E995" s="12">
        <v>42927</v>
      </c>
      <c r="F995" s="12">
        <v>42927</v>
      </c>
      <c r="G995">
        <v>2</v>
      </c>
      <c r="H995">
        <v>7</v>
      </c>
      <c r="I995" t="str">
        <f t="shared" si="15"/>
        <v>Shipped</v>
      </c>
    </row>
    <row r="996" spans="1:9" x14ac:dyDescent="0.3">
      <c r="A996">
        <v>995</v>
      </c>
      <c r="B996">
        <v>621</v>
      </c>
      <c r="C996">
        <v>4</v>
      </c>
      <c r="D996" s="12">
        <v>42927</v>
      </c>
      <c r="E996" s="12">
        <v>42929</v>
      </c>
      <c r="F996" s="12">
        <v>42930</v>
      </c>
      <c r="G996">
        <v>1</v>
      </c>
      <c r="H996">
        <v>2</v>
      </c>
      <c r="I996" t="str">
        <f t="shared" si="15"/>
        <v>Shipped</v>
      </c>
    </row>
    <row r="997" spans="1:9" x14ac:dyDescent="0.3">
      <c r="A997">
        <v>996</v>
      </c>
      <c r="B997">
        <v>915</v>
      </c>
      <c r="C997">
        <v>4</v>
      </c>
      <c r="D997" s="12">
        <v>42927</v>
      </c>
      <c r="E997" s="12">
        <v>42928</v>
      </c>
      <c r="F997" s="12">
        <v>42928</v>
      </c>
      <c r="G997">
        <v>1</v>
      </c>
      <c r="H997">
        <v>2</v>
      </c>
      <c r="I997" t="str">
        <f t="shared" si="15"/>
        <v>Shipped</v>
      </c>
    </row>
    <row r="998" spans="1:9" x14ac:dyDescent="0.3">
      <c r="A998">
        <v>997</v>
      </c>
      <c r="B998">
        <v>485</v>
      </c>
      <c r="C998">
        <v>4</v>
      </c>
      <c r="D998" s="12">
        <v>42927</v>
      </c>
      <c r="E998" s="12">
        <v>42929</v>
      </c>
      <c r="F998" s="12">
        <v>42930</v>
      </c>
      <c r="G998">
        <v>2</v>
      </c>
      <c r="H998">
        <v>7</v>
      </c>
      <c r="I998" t="str">
        <f t="shared" si="15"/>
        <v>Shipped</v>
      </c>
    </row>
    <row r="999" spans="1:9" x14ac:dyDescent="0.3">
      <c r="A999">
        <v>998</v>
      </c>
      <c r="B999">
        <v>219</v>
      </c>
      <c r="C999">
        <v>4</v>
      </c>
      <c r="D999" s="12">
        <v>42928</v>
      </c>
      <c r="E999" s="12">
        <v>42929</v>
      </c>
      <c r="F999" s="12">
        <v>42930</v>
      </c>
      <c r="G999">
        <v>2</v>
      </c>
      <c r="H999">
        <v>7</v>
      </c>
      <c r="I999" t="str">
        <f t="shared" si="15"/>
        <v>Shipped</v>
      </c>
    </row>
    <row r="1000" spans="1:9" x14ac:dyDescent="0.3">
      <c r="A1000">
        <v>999</v>
      </c>
      <c r="B1000">
        <v>590</v>
      </c>
      <c r="C1000">
        <v>4</v>
      </c>
      <c r="D1000" s="12">
        <v>42928</v>
      </c>
      <c r="E1000" s="12">
        <v>42929</v>
      </c>
      <c r="F1000" s="12">
        <v>42930</v>
      </c>
      <c r="G1000">
        <v>2</v>
      </c>
      <c r="H1000">
        <v>6</v>
      </c>
      <c r="I1000" t="str">
        <f t="shared" si="15"/>
        <v>Shipped</v>
      </c>
    </row>
    <row r="1001" spans="1:9" x14ac:dyDescent="0.3">
      <c r="A1001">
        <v>1000</v>
      </c>
      <c r="B1001">
        <v>645</v>
      </c>
      <c r="C1001">
        <v>4</v>
      </c>
      <c r="D1001" s="12">
        <v>42928</v>
      </c>
      <c r="E1001" s="12">
        <v>42930</v>
      </c>
      <c r="F1001" s="12">
        <v>42931</v>
      </c>
      <c r="G1001">
        <v>2</v>
      </c>
      <c r="H1001">
        <v>7</v>
      </c>
      <c r="I1001" t="str">
        <f t="shared" si="15"/>
        <v>Shipped</v>
      </c>
    </row>
    <row r="1002" spans="1:9" x14ac:dyDescent="0.3">
      <c r="A1002">
        <v>1001</v>
      </c>
      <c r="B1002">
        <v>354</v>
      </c>
      <c r="C1002">
        <v>4</v>
      </c>
      <c r="D1002" s="12">
        <v>42929</v>
      </c>
      <c r="E1002" s="12">
        <v>42932</v>
      </c>
      <c r="F1002" s="12">
        <v>42931</v>
      </c>
      <c r="G1002">
        <v>2</v>
      </c>
      <c r="H1002">
        <v>6</v>
      </c>
      <c r="I1002" t="str">
        <f t="shared" si="15"/>
        <v>Delivered</v>
      </c>
    </row>
    <row r="1003" spans="1:9" x14ac:dyDescent="0.3">
      <c r="A1003">
        <v>1002</v>
      </c>
      <c r="B1003">
        <v>1418</v>
      </c>
      <c r="C1003">
        <v>4</v>
      </c>
      <c r="D1003" s="12">
        <v>42930</v>
      </c>
      <c r="E1003" s="12">
        <v>42932</v>
      </c>
      <c r="F1003" s="12">
        <v>42932</v>
      </c>
      <c r="G1003">
        <v>1</v>
      </c>
      <c r="H1003">
        <v>3</v>
      </c>
      <c r="I1003" t="str">
        <f t="shared" si="15"/>
        <v>Shipped</v>
      </c>
    </row>
    <row r="1004" spans="1:9" x14ac:dyDescent="0.3">
      <c r="A1004">
        <v>1003</v>
      </c>
      <c r="B1004">
        <v>503</v>
      </c>
      <c r="C1004">
        <v>4</v>
      </c>
      <c r="D1004" s="12">
        <v>42930</v>
      </c>
      <c r="E1004" s="12">
        <v>42932</v>
      </c>
      <c r="F1004" s="12">
        <v>42932</v>
      </c>
      <c r="G1004">
        <v>2</v>
      </c>
      <c r="H1004">
        <v>7</v>
      </c>
      <c r="I1004" t="str">
        <f t="shared" si="15"/>
        <v>Shipped</v>
      </c>
    </row>
    <row r="1005" spans="1:9" x14ac:dyDescent="0.3">
      <c r="A1005">
        <v>1004</v>
      </c>
      <c r="B1005">
        <v>1389</v>
      </c>
      <c r="C1005">
        <v>4</v>
      </c>
      <c r="D1005" s="12">
        <v>42930</v>
      </c>
      <c r="E1005" s="12">
        <v>42933</v>
      </c>
      <c r="F1005" s="12">
        <v>42932</v>
      </c>
      <c r="G1005">
        <v>2</v>
      </c>
      <c r="H1005">
        <v>6</v>
      </c>
      <c r="I1005" t="str">
        <f t="shared" si="15"/>
        <v>Delivered</v>
      </c>
    </row>
    <row r="1006" spans="1:9" x14ac:dyDescent="0.3">
      <c r="A1006">
        <v>1005</v>
      </c>
      <c r="B1006">
        <v>266</v>
      </c>
      <c r="C1006">
        <v>4</v>
      </c>
      <c r="D1006" s="12">
        <v>42931</v>
      </c>
      <c r="E1006" s="12">
        <v>42933</v>
      </c>
      <c r="F1006" s="12">
        <v>42932</v>
      </c>
      <c r="G1006">
        <v>2</v>
      </c>
      <c r="H1006">
        <v>7</v>
      </c>
      <c r="I1006" t="str">
        <f t="shared" si="15"/>
        <v>Delivered</v>
      </c>
    </row>
    <row r="1007" spans="1:9" x14ac:dyDescent="0.3">
      <c r="A1007">
        <v>1006</v>
      </c>
      <c r="B1007">
        <v>1070</v>
      </c>
      <c r="C1007">
        <v>4</v>
      </c>
      <c r="D1007" s="12">
        <v>42931</v>
      </c>
      <c r="E1007" s="12">
        <v>42934</v>
      </c>
      <c r="F1007" s="12">
        <v>42933</v>
      </c>
      <c r="G1007">
        <v>2</v>
      </c>
      <c r="H1007">
        <v>7</v>
      </c>
      <c r="I1007" t="str">
        <f t="shared" si="15"/>
        <v>Delivered</v>
      </c>
    </row>
    <row r="1008" spans="1:9" x14ac:dyDescent="0.3">
      <c r="A1008">
        <v>1007</v>
      </c>
      <c r="B1008">
        <v>1115</v>
      </c>
      <c r="C1008">
        <v>4</v>
      </c>
      <c r="D1008" s="12">
        <v>42932</v>
      </c>
      <c r="E1008" s="12">
        <v>42933</v>
      </c>
      <c r="F1008" s="12">
        <v>42933</v>
      </c>
      <c r="G1008">
        <v>2</v>
      </c>
      <c r="H1008">
        <v>6</v>
      </c>
      <c r="I1008" t="str">
        <f t="shared" si="15"/>
        <v>Shipped</v>
      </c>
    </row>
    <row r="1009" spans="1:9" x14ac:dyDescent="0.3">
      <c r="A1009">
        <v>1008</v>
      </c>
      <c r="B1009">
        <v>1345</v>
      </c>
      <c r="C1009">
        <v>4</v>
      </c>
      <c r="D1009" s="12">
        <v>42932</v>
      </c>
      <c r="E1009" s="12">
        <v>42934</v>
      </c>
      <c r="F1009" s="12">
        <v>42934</v>
      </c>
      <c r="G1009">
        <v>2</v>
      </c>
      <c r="H1009">
        <v>6</v>
      </c>
      <c r="I1009" t="str">
        <f t="shared" si="15"/>
        <v>Shipped</v>
      </c>
    </row>
    <row r="1010" spans="1:9" x14ac:dyDescent="0.3">
      <c r="A1010">
        <v>1009</v>
      </c>
      <c r="B1010">
        <v>1064</v>
      </c>
      <c r="C1010">
        <v>4</v>
      </c>
      <c r="D1010" s="12">
        <v>42932</v>
      </c>
      <c r="E1010" s="12">
        <v>42935</v>
      </c>
      <c r="F1010" s="12">
        <v>42935</v>
      </c>
      <c r="G1010">
        <v>3</v>
      </c>
      <c r="H1010">
        <v>8</v>
      </c>
      <c r="I1010" t="str">
        <f t="shared" si="15"/>
        <v>Shipped</v>
      </c>
    </row>
    <row r="1011" spans="1:9" x14ac:dyDescent="0.3">
      <c r="A1011">
        <v>1010</v>
      </c>
      <c r="B1011">
        <v>8</v>
      </c>
      <c r="C1011">
        <v>3</v>
      </c>
      <c r="D1011" s="12">
        <v>42934</v>
      </c>
      <c r="E1011" s="12">
        <v>42934</v>
      </c>
      <c r="F1011" s="12" t="s">
        <v>5611</v>
      </c>
      <c r="G1011">
        <v>2</v>
      </c>
      <c r="H1011">
        <v>7</v>
      </c>
      <c r="I1011" t="str">
        <f t="shared" si="15"/>
        <v>Pending</v>
      </c>
    </row>
    <row r="1012" spans="1:9" x14ac:dyDescent="0.3">
      <c r="A1012">
        <v>1011</v>
      </c>
      <c r="B1012">
        <v>495</v>
      </c>
      <c r="C1012">
        <v>4</v>
      </c>
      <c r="D1012" s="12">
        <v>42934</v>
      </c>
      <c r="E1012" s="12">
        <v>42937</v>
      </c>
      <c r="F1012" s="12">
        <v>42937</v>
      </c>
      <c r="G1012">
        <v>1</v>
      </c>
      <c r="H1012">
        <v>3</v>
      </c>
      <c r="I1012" t="str">
        <f t="shared" si="15"/>
        <v>Shipped</v>
      </c>
    </row>
    <row r="1013" spans="1:9" x14ac:dyDescent="0.3">
      <c r="A1013">
        <v>1012</v>
      </c>
      <c r="B1013">
        <v>620</v>
      </c>
      <c r="C1013">
        <v>4</v>
      </c>
      <c r="D1013" s="12">
        <v>42934</v>
      </c>
      <c r="E1013" s="12">
        <v>42936</v>
      </c>
      <c r="F1013" s="12">
        <v>42936</v>
      </c>
      <c r="G1013">
        <v>2</v>
      </c>
      <c r="H1013">
        <v>7</v>
      </c>
      <c r="I1013" t="str">
        <f t="shared" si="15"/>
        <v>Shipped</v>
      </c>
    </row>
    <row r="1014" spans="1:9" x14ac:dyDescent="0.3">
      <c r="A1014">
        <v>1013</v>
      </c>
      <c r="B1014">
        <v>174</v>
      </c>
      <c r="C1014">
        <v>4</v>
      </c>
      <c r="D1014" s="12">
        <v>42935</v>
      </c>
      <c r="E1014" s="12">
        <v>42938</v>
      </c>
      <c r="F1014" s="12">
        <v>42937</v>
      </c>
      <c r="G1014">
        <v>2</v>
      </c>
      <c r="H1014">
        <v>6</v>
      </c>
      <c r="I1014" t="str">
        <f t="shared" si="15"/>
        <v>Delivered</v>
      </c>
    </row>
    <row r="1015" spans="1:9" x14ac:dyDescent="0.3">
      <c r="A1015">
        <v>1014</v>
      </c>
      <c r="B1015">
        <v>748</v>
      </c>
      <c r="C1015">
        <v>4</v>
      </c>
      <c r="D1015" s="12">
        <v>42935</v>
      </c>
      <c r="E1015" s="12">
        <v>42937</v>
      </c>
      <c r="F1015" s="12">
        <v>42937</v>
      </c>
      <c r="G1015">
        <v>2</v>
      </c>
      <c r="H1015">
        <v>6</v>
      </c>
      <c r="I1015" t="str">
        <f t="shared" si="15"/>
        <v>Shipped</v>
      </c>
    </row>
    <row r="1016" spans="1:9" x14ac:dyDescent="0.3">
      <c r="A1016">
        <v>1015</v>
      </c>
      <c r="B1016">
        <v>799</v>
      </c>
      <c r="C1016">
        <v>4</v>
      </c>
      <c r="D1016" s="12">
        <v>42935</v>
      </c>
      <c r="E1016" s="12">
        <v>42938</v>
      </c>
      <c r="F1016" s="12">
        <v>42937</v>
      </c>
      <c r="G1016">
        <v>2</v>
      </c>
      <c r="H1016">
        <v>7</v>
      </c>
      <c r="I1016" t="str">
        <f t="shared" si="15"/>
        <v>Delivered</v>
      </c>
    </row>
    <row r="1017" spans="1:9" x14ac:dyDescent="0.3">
      <c r="A1017">
        <v>1016</v>
      </c>
      <c r="B1017">
        <v>1417</v>
      </c>
      <c r="C1017">
        <v>4</v>
      </c>
      <c r="D1017" s="12">
        <v>42935</v>
      </c>
      <c r="E1017" s="12">
        <v>42936</v>
      </c>
      <c r="F1017" s="12">
        <v>42937</v>
      </c>
      <c r="G1017">
        <v>3</v>
      </c>
      <c r="H1017">
        <v>9</v>
      </c>
      <c r="I1017" t="str">
        <f t="shared" si="15"/>
        <v>Shipped</v>
      </c>
    </row>
    <row r="1018" spans="1:9" x14ac:dyDescent="0.3">
      <c r="A1018">
        <v>1017</v>
      </c>
      <c r="B1018">
        <v>168</v>
      </c>
      <c r="C1018">
        <v>4</v>
      </c>
      <c r="D1018" s="12">
        <v>42936</v>
      </c>
      <c r="E1018" s="12">
        <v>42937</v>
      </c>
      <c r="F1018" s="12">
        <v>42939</v>
      </c>
      <c r="G1018">
        <v>2</v>
      </c>
      <c r="H1018">
        <v>6</v>
      </c>
      <c r="I1018" t="str">
        <f t="shared" si="15"/>
        <v>Shipped</v>
      </c>
    </row>
    <row r="1019" spans="1:9" x14ac:dyDescent="0.3">
      <c r="A1019">
        <v>1018</v>
      </c>
      <c r="B1019">
        <v>290</v>
      </c>
      <c r="C1019">
        <v>4</v>
      </c>
      <c r="D1019" s="12">
        <v>42938</v>
      </c>
      <c r="E1019" s="12">
        <v>42939</v>
      </c>
      <c r="F1019" s="12">
        <v>42939</v>
      </c>
      <c r="G1019">
        <v>2</v>
      </c>
      <c r="H1019">
        <v>6</v>
      </c>
      <c r="I1019" t="str">
        <f t="shared" si="15"/>
        <v>Shipped</v>
      </c>
    </row>
    <row r="1020" spans="1:9" x14ac:dyDescent="0.3">
      <c r="A1020">
        <v>1019</v>
      </c>
      <c r="B1020">
        <v>408</v>
      </c>
      <c r="C1020">
        <v>4</v>
      </c>
      <c r="D1020" s="12">
        <v>42938</v>
      </c>
      <c r="E1020" s="12">
        <v>42939</v>
      </c>
      <c r="F1020" s="12">
        <v>42940</v>
      </c>
      <c r="G1020">
        <v>2</v>
      </c>
      <c r="H1020">
        <v>7</v>
      </c>
      <c r="I1020" t="str">
        <f t="shared" si="15"/>
        <v>Shipped</v>
      </c>
    </row>
    <row r="1021" spans="1:9" x14ac:dyDescent="0.3">
      <c r="A1021">
        <v>1020</v>
      </c>
      <c r="B1021">
        <v>16</v>
      </c>
      <c r="C1021">
        <v>3</v>
      </c>
      <c r="D1021" s="12">
        <v>42939</v>
      </c>
      <c r="E1021" s="12">
        <v>42939</v>
      </c>
      <c r="F1021" s="12" t="s">
        <v>5611</v>
      </c>
      <c r="G1021">
        <v>2</v>
      </c>
      <c r="H1021">
        <v>6</v>
      </c>
      <c r="I1021" t="str">
        <f t="shared" si="15"/>
        <v>Pending</v>
      </c>
    </row>
    <row r="1022" spans="1:9" x14ac:dyDescent="0.3">
      <c r="A1022">
        <v>1021</v>
      </c>
      <c r="B1022">
        <v>125</v>
      </c>
      <c r="C1022">
        <v>4</v>
      </c>
      <c r="D1022" s="12">
        <v>42939</v>
      </c>
      <c r="E1022" s="12">
        <v>42940</v>
      </c>
      <c r="F1022" s="12">
        <v>42942</v>
      </c>
      <c r="G1022">
        <v>2</v>
      </c>
      <c r="H1022">
        <v>6</v>
      </c>
      <c r="I1022" t="str">
        <f t="shared" si="15"/>
        <v>Shipped</v>
      </c>
    </row>
    <row r="1023" spans="1:9" x14ac:dyDescent="0.3">
      <c r="A1023">
        <v>1022</v>
      </c>
      <c r="B1023">
        <v>353</v>
      </c>
      <c r="C1023">
        <v>4</v>
      </c>
      <c r="D1023" s="12">
        <v>42939</v>
      </c>
      <c r="E1023" s="12">
        <v>42942</v>
      </c>
      <c r="F1023" s="12">
        <v>42940</v>
      </c>
      <c r="G1023">
        <v>2</v>
      </c>
      <c r="H1023">
        <v>7</v>
      </c>
      <c r="I1023" t="str">
        <f t="shared" si="15"/>
        <v>Delivered</v>
      </c>
    </row>
    <row r="1024" spans="1:9" x14ac:dyDescent="0.3">
      <c r="A1024">
        <v>1023</v>
      </c>
      <c r="B1024">
        <v>356</v>
      </c>
      <c r="C1024">
        <v>4</v>
      </c>
      <c r="D1024" s="12">
        <v>42939</v>
      </c>
      <c r="E1024" s="12">
        <v>42942</v>
      </c>
      <c r="F1024" s="12">
        <v>42941</v>
      </c>
      <c r="G1024">
        <v>2</v>
      </c>
      <c r="H1024">
        <v>6</v>
      </c>
      <c r="I1024" t="str">
        <f t="shared" si="15"/>
        <v>Delivered</v>
      </c>
    </row>
    <row r="1025" spans="1:9" x14ac:dyDescent="0.3">
      <c r="A1025">
        <v>1024</v>
      </c>
      <c r="B1025">
        <v>837</v>
      </c>
      <c r="C1025">
        <v>4</v>
      </c>
      <c r="D1025" s="12">
        <v>42939</v>
      </c>
      <c r="E1025" s="12">
        <v>42941</v>
      </c>
      <c r="F1025" s="12">
        <v>42942</v>
      </c>
      <c r="G1025">
        <v>2</v>
      </c>
      <c r="H1025">
        <v>7</v>
      </c>
      <c r="I1025" t="str">
        <f t="shared" si="15"/>
        <v>Shipped</v>
      </c>
    </row>
    <row r="1026" spans="1:9" x14ac:dyDescent="0.3">
      <c r="A1026">
        <v>1025</v>
      </c>
      <c r="B1026">
        <v>1304</v>
      </c>
      <c r="C1026">
        <v>4</v>
      </c>
      <c r="D1026" s="12">
        <v>42939</v>
      </c>
      <c r="E1026" s="12">
        <v>42942</v>
      </c>
      <c r="F1026" s="12">
        <v>42942</v>
      </c>
      <c r="G1026">
        <v>2</v>
      </c>
      <c r="H1026">
        <v>6</v>
      </c>
      <c r="I1026" t="str">
        <f t="shared" si="15"/>
        <v>Shipped</v>
      </c>
    </row>
    <row r="1027" spans="1:9" x14ac:dyDescent="0.3">
      <c r="A1027">
        <v>1026</v>
      </c>
      <c r="B1027">
        <v>1370</v>
      </c>
      <c r="C1027">
        <v>4</v>
      </c>
      <c r="D1027" s="12">
        <v>42942</v>
      </c>
      <c r="E1027" s="12">
        <v>42944</v>
      </c>
      <c r="F1027" s="12">
        <v>42945</v>
      </c>
      <c r="G1027">
        <v>1</v>
      </c>
      <c r="H1027">
        <v>2</v>
      </c>
      <c r="I1027" t="str">
        <f t="shared" ref="I1027:I1090" si="16">IF(F1027="NA","Pending",IF(OR(E1027=F1027,E1027&lt;F1027),"Shipped","Delivered"))</f>
        <v>Shipped</v>
      </c>
    </row>
    <row r="1028" spans="1:9" x14ac:dyDescent="0.3">
      <c r="A1028">
        <v>1027</v>
      </c>
      <c r="B1028">
        <v>588</v>
      </c>
      <c r="C1028">
        <v>4</v>
      </c>
      <c r="D1028" s="12">
        <v>42942</v>
      </c>
      <c r="E1028" s="12">
        <v>42944</v>
      </c>
      <c r="F1028" s="12">
        <v>42944</v>
      </c>
      <c r="G1028">
        <v>2</v>
      </c>
      <c r="H1028">
        <v>6</v>
      </c>
      <c r="I1028" t="str">
        <f t="shared" si="16"/>
        <v>Shipped</v>
      </c>
    </row>
    <row r="1029" spans="1:9" x14ac:dyDescent="0.3">
      <c r="A1029">
        <v>1028</v>
      </c>
      <c r="B1029">
        <v>1273</v>
      </c>
      <c r="C1029">
        <v>4</v>
      </c>
      <c r="D1029" s="12">
        <v>42943</v>
      </c>
      <c r="E1029" s="12">
        <v>42944</v>
      </c>
      <c r="F1029" s="12">
        <v>42946</v>
      </c>
      <c r="G1029">
        <v>2</v>
      </c>
      <c r="H1029">
        <v>7</v>
      </c>
      <c r="I1029" t="str">
        <f t="shared" si="16"/>
        <v>Shipped</v>
      </c>
    </row>
    <row r="1030" spans="1:9" x14ac:dyDescent="0.3">
      <c r="A1030">
        <v>1029</v>
      </c>
      <c r="B1030">
        <v>407</v>
      </c>
      <c r="C1030">
        <v>4</v>
      </c>
      <c r="D1030" s="12">
        <v>42945</v>
      </c>
      <c r="E1030" s="12">
        <v>42946</v>
      </c>
      <c r="F1030" s="12">
        <v>42948</v>
      </c>
      <c r="G1030">
        <v>1</v>
      </c>
      <c r="H1030">
        <v>3</v>
      </c>
      <c r="I1030" t="str">
        <f t="shared" si="16"/>
        <v>Shipped</v>
      </c>
    </row>
    <row r="1031" spans="1:9" x14ac:dyDescent="0.3">
      <c r="A1031">
        <v>1030</v>
      </c>
      <c r="B1031">
        <v>161</v>
      </c>
      <c r="C1031">
        <v>4</v>
      </c>
      <c r="D1031" s="12">
        <v>42945</v>
      </c>
      <c r="E1031" s="12">
        <v>42946</v>
      </c>
      <c r="F1031" s="12">
        <v>42947</v>
      </c>
      <c r="G1031">
        <v>2</v>
      </c>
      <c r="H1031">
        <v>6</v>
      </c>
      <c r="I1031" t="str">
        <f t="shared" si="16"/>
        <v>Shipped</v>
      </c>
    </row>
    <row r="1032" spans="1:9" x14ac:dyDescent="0.3">
      <c r="A1032">
        <v>1031</v>
      </c>
      <c r="B1032">
        <v>1308</v>
      </c>
      <c r="C1032">
        <v>4</v>
      </c>
      <c r="D1032" s="12">
        <v>42946</v>
      </c>
      <c r="E1032" s="12">
        <v>42948</v>
      </c>
      <c r="F1032" s="12">
        <v>42949</v>
      </c>
      <c r="G1032">
        <v>1</v>
      </c>
      <c r="H1032">
        <v>2</v>
      </c>
      <c r="I1032" t="str">
        <f t="shared" si="16"/>
        <v>Shipped</v>
      </c>
    </row>
    <row r="1033" spans="1:9" x14ac:dyDescent="0.3">
      <c r="A1033">
        <v>1032</v>
      </c>
      <c r="B1033">
        <v>429</v>
      </c>
      <c r="C1033">
        <v>4</v>
      </c>
      <c r="D1033" s="12">
        <v>42946</v>
      </c>
      <c r="E1033" s="12">
        <v>42949</v>
      </c>
      <c r="F1033" s="12">
        <v>42948</v>
      </c>
      <c r="G1033">
        <v>2</v>
      </c>
      <c r="H1033">
        <v>6</v>
      </c>
      <c r="I1033" t="str">
        <f t="shared" si="16"/>
        <v>Delivered</v>
      </c>
    </row>
    <row r="1034" spans="1:9" x14ac:dyDescent="0.3">
      <c r="A1034">
        <v>1033</v>
      </c>
      <c r="B1034">
        <v>582</v>
      </c>
      <c r="C1034">
        <v>4</v>
      </c>
      <c r="D1034" s="12">
        <v>42946</v>
      </c>
      <c r="E1034" s="12">
        <v>42947</v>
      </c>
      <c r="F1034" s="12">
        <v>42949</v>
      </c>
      <c r="G1034">
        <v>2</v>
      </c>
      <c r="H1034">
        <v>7</v>
      </c>
      <c r="I1034" t="str">
        <f t="shared" si="16"/>
        <v>Shipped</v>
      </c>
    </row>
    <row r="1035" spans="1:9" x14ac:dyDescent="0.3">
      <c r="A1035">
        <v>1034</v>
      </c>
      <c r="B1035">
        <v>895</v>
      </c>
      <c r="C1035">
        <v>4</v>
      </c>
      <c r="D1035" s="12">
        <v>42946</v>
      </c>
      <c r="E1035" s="12">
        <v>42947</v>
      </c>
      <c r="F1035" s="12">
        <v>42947</v>
      </c>
      <c r="G1035">
        <v>2</v>
      </c>
      <c r="H1035">
        <v>7</v>
      </c>
      <c r="I1035" t="str">
        <f t="shared" si="16"/>
        <v>Shipped</v>
      </c>
    </row>
    <row r="1036" spans="1:9" x14ac:dyDescent="0.3">
      <c r="A1036">
        <v>1035</v>
      </c>
      <c r="B1036">
        <v>1283</v>
      </c>
      <c r="C1036">
        <v>4</v>
      </c>
      <c r="D1036" s="12">
        <v>42946</v>
      </c>
      <c r="E1036" s="12">
        <v>42949</v>
      </c>
      <c r="F1036" s="12">
        <v>42949</v>
      </c>
      <c r="G1036">
        <v>2</v>
      </c>
      <c r="H1036">
        <v>6</v>
      </c>
      <c r="I1036" t="str">
        <f t="shared" si="16"/>
        <v>Shipped</v>
      </c>
    </row>
    <row r="1037" spans="1:9" x14ac:dyDescent="0.3">
      <c r="A1037">
        <v>1036</v>
      </c>
      <c r="B1037">
        <v>1442</v>
      </c>
      <c r="C1037">
        <v>4</v>
      </c>
      <c r="D1037" s="12">
        <v>42946</v>
      </c>
      <c r="E1037" s="12">
        <v>42948</v>
      </c>
      <c r="F1037" s="12">
        <v>42947</v>
      </c>
      <c r="G1037">
        <v>2</v>
      </c>
      <c r="H1037">
        <v>6</v>
      </c>
      <c r="I1037" t="str">
        <f t="shared" si="16"/>
        <v>Delivered</v>
      </c>
    </row>
    <row r="1038" spans="1:9" x14ac:dyDescent="0.3">
      <c r="A1038">
        <v>1037</v>
      </c>
      <c r="B1038">
        <v>1229</v>
      </c>
      <c r="C1038">
        <v>4</v>
      </c>
      <c r="D1038" s="12">
        <v>42947</v>
      </c>
      <c r="E1038" s="12">
        <v>42949</v>
      </c>
      <c r="F1038" s="12">
        <v>42950</v>
      </c>
      <c r="G1038">
        <v>2</v>
      </c>
      <c r="H1038">
        <v>6</v>
      </c>
      <c r="I1038" t="str">
        <f t="shared" si="16"/>
        <v>Shipped</v>
      </c>
    </row>
    <row r="1039" spans="1:9" x14ac:dyDescent="0.3">
      <c r="A1039">
        <v>1038</v>
      </c>
      <c r="B1039">
        <v>1281</v>
      </c>
      <c r="C1039">
        <v>4</v>
      </c>
      <c r="D1039" s="12">
        <v>42947</v>
      </c>
      <c r="E1039" s="12">
        <v>42948</v>
      </c>
      <c r="F1039" s="12">
        <v>42950</v>
      </c>
      <c r="G1039">
        <v>2</v>
      </c>
      <c r="H1039">
        <v>7</v>
      </c>
      <c r="I1039" t="str">
        <f t="shared" si="16"/>
        <v>Shipped</v>
      </c>
    </row>
    <row r="1040" spans="1:9" x14ac:dyDescent="0.3">
      <c r="A1040">
        <v>1039</v>
      </c>
      <c r="B1040">
        <v>1077</v>
      </c>
      <c r="C1040">
        <v>4</v>
      </c>
      <c r="D1040" s="12">
        <v>42949</v>
      </c>
      <c r="E1040" s="12">
        <v>42951</v>
      </c>
      <c r="F1040" s="12">
        <v>42950</v>
      </c>
      <c r="G1040">
        <v>2</v>
      </c>
      <c r="H1040">
        <v>7</v>
      </c>
      <c r="I1040" t="str">
        <f t="shared" si="16"/>
        <v>Delivered</v>
      </c>
    </row>
    <row r="1041" spans="1:9" x14ac:dyDescent="0.3">
      <c r="A1041">
        <v>1040</v>
      </c>
      <c r="B1041">
        <v>1225</v>
      </c>
      <c r="C1041">
        <v>4</v>
      </c>
      <c r="D1041" s="12">
        <v>42951</v>
      </c>
      <c r="E1041" s="12">
        <v>42954</v>
      </c>
      <c r="F1041" s="12">
        <v>42952</v>
      </c>
      <c r="G1041">
        <v>1</v>
      </c>
      <c r="H1041">
        <v>2</v>
      </c>
      <c r="I1041" t="str">
        <f t="shared" si="16"/>
        <v>Delivered</v>
      </c>
    </row>
    <row r="1042" spans="1:9" x14ac:dyDescent="0.3">
      <c r="A1042">
        <v>1041</v>
      </c>
      <c r="B1042">
        <v>70</v>
      </c>
      <c r="C1042">
        <v>4</v>
      </c>
      <c r="D1042" s="12">
        <v>42951</v>
      </c>
      <c r="E1042" s="12">
        <v>42953</v>
      </c>
      <c r="F1042" s="12">
        <v>42952</v>
      </c>
      <c r="G1042">
        <v>2</v>
      </c>
      <c r="H1042">
        <v>7</v>
      </c>
      <c r="I1042" t="str">
        <f t="shared" si="16"/>
        <v>Delivered</v>
      </c>
    </row>
    <row r="1043" spans="1:9" x14ac:dyDescent="0.3">
      <c r="A1043">
        <v>1042</v>
      </c>
      <c r="B1043">
        <v>539</v>
      </c>
      <c r="C1043">
        <v>4</v>
      </c>
      <c r="D1043" s="12">
        <v>42953</v>
      </c>
      <c r="E1043" s="12">
        <v>42954</v>
      </c>
      <c r="F1043" s="12">
        <v>42954</v>
      </c>
      <c r="G1043">
        <v>2</v>
      </c>
      <c r="H1043">
        <v>7</v>
      </c>
      <c r="I1043" t="str">
        <f t="shared" si="16"/>
        <v>Shipped</v>
      </c>
    </row>
    <row r="1044" spans="1:9" x14ac:dyDescent="0.3">
      <c r="A1044">
        <v>1043</v>
      </c>
      <c r="B1044">
        <v>1235</v>
      </c>
      <c r="C1044">
        <v>4</v>
      </c>
      <c r="D1044" s="12">
        <v>42953</v>
      </c>
      <c r="E1044" s="12">
        <v>42956</v>
      </c>
      <c r="F1044" s="12">
        <v>42955</v>
      </c>
      <c r="G1044">
        <v>2</v>
      </c>
      <c r="H1044">
        <v>6</v>
      </c>
      <c r="I1044" t="str">
        <f t="shared" si="16"/>
        <v>Delivered</v>
      </c>
    </row>
    <row r="1045" spans="1:9" x14ac:dyDescent="0.3">
      <c r="A1045">
        <v>1044</v>
      </c>
      <c r="B1045">
        <v>1270</v>
      </c>
      <c r="C1045">
        <v>4</v>
      </c>
      <c r="D1045" s="12">
        <v>42954</v>
      </c>
      <c r="E1045" s="12">
        <v>42957</v>
      </c>
      <c r="F1045" s="12">
        <v>42955</v>
      </c>
      <c r="G1045">
        <v>2</v>
      </c>
      <c r="H1045">
        <v>7</v>
      </c>
      <c r="I1045" t="str">
        <f t="shared" si="16"/>
        <v>Delivered</v>
      </c>
    </row>
    <row r="1046" spans="1:9" x14ac:dyDescent="0.3">
      <c r="A1046">
        <v>1045</v>
      </c>
      <c r="B1046">
        <v>185</v>
      </c>
      <c r="C1046">
        <v>4</v>
      </c>
      <c r="D1046" s="12">
        <v>42954</v>
      </c>
      <c r="E1046" s="12">
        <v>42956</v>
      </c>
      <c r="F1046" s="12">
        <v>42957</v>
      </c>
      <c r="G1046">
        <v>3</v>
      </c>
      <c r="H1046">
        <v>9</v>
      </c>
      <c r="I1046" t="str">
        <f t="shared" si="16"/>
        <v>Shipped</v>
      </c>
    </row>
    <row r="1047" spans="1:9" x14ac:dyDescent="0.3">
      <c r="A1047">
        <v>1046</v>
      </c>
      <c r="B1047">
        <v>1134</v>
      </c>
      <c r="C1047">
        <v>4</v>
      </c>
      <c r="D1047" s="12">
        <v>42954</v>
      </c>
      <c r="E1047" s="12">
        <v>42956</v>
      </c>
      <c r="F1047" s="12">
        <v>42955</v>
      </c>
      <c r="G1047">
        <v>3</v>
      </c>
      <c r="H1047">
        <v>8</v>
      </c>
      <c r="I1047" t="str">
        <f t="shared" si="16"/>
        <v>Delivered</v>
      </c>
    </row>
    <row r="1048" spans="1:9" x14ac:dyDescent="0.3">
      <c r="A1048">
        <v>1047</v>
      </c>
      <c r="B1048">
        <v>116</v>
      </c>
      <c r="C1048">
        <v>3</v>
      </c>
      <c r="D1048" s="12">
        <v>42955</v>
      </c>
      <c r="E1048" s="12">
        <v>42955</v>
      </c>
      <c r="F1048" s="12" t="s">
        <v>5611</v>
      </c>
      <c r="G1048">
        <v>3</v>
      </c>
      <c r="H1048">
        <v>8</v>
      </c>
      <c r="I1048" t="str">
        <f t="shared" si="16"/>
        <v>Pending</v>
      </c>
    </row>
    <row r="1049" spans="1:9" x14ac:dyDescent="0.3">
      <c r="A1049">
        <v>1048</v>
      </c>
      <c r="B1049">
        <v>777</v>
      </c>
      <c r="C1049">
        <v>4</v>
      </c>
      <c r="D1049" s="12">
        <v>42955</v>
      </c>
      <c r="E1049" s="12">
        <v>42957</v>
      </c>
      <c r="F1049" s="12">
        <v>42956</v>
      </c>
      <c r="G1049">
        <v>2</v>
      </c>
      <c r="H1049">
        <v>7</v>
      </c>
      <c r="I1049" t="str">
        <f t="shared" si="16"/>
        <v>Delivered</v>
      </c>
    </row>
    <row r="1050" spans="1:9" x14ac:dyDescent="0.3">
      <c r="A1050">
        <v>1049</v>
      </c>
      <c r="B1050">
        <v>194</v>
      </c>
      <c r="C1050">
        <v>4</v>
      </c>
      <c r="D1050" s="12">
        <v>42956</v>
      </c>
      <c r="E1050" s="12">
        <v>42958</v>
      </c>
      <c r="F1050" s="12">
        <v>42957</v>
      </c>
      <c r="G1050">
        <v>1</v>
      </c>
      <c r="H1050">
        <v>2</v>
      </c>
      <c r="I1050" t="str">
        <f t="shared" si="16"/>
        <v>Delivered</v>
      </c>
    </row>
    <row r="1051" spans="1:9" x14ac:dyDescent="0.3">
      <c r="A1051">
        <v>1050</v>
      </c>
      <c r="B1051">
        <v>239</v>
      </c>
      <c r="C1051">
        <v>4</v>
      </c>
      <c r="D1051" s="12">
        <v>42956</v>
      </c>
      <c r="E1051" s="12">
        <v>42959</v>
      </c>
      <c r="F1051" s="12">
        <v>42959</v>
      </c>
      <c r="G1051">
        <v>1</v>
      </c>
      <c r="H1051">
        <v>3</v>
      </c>
      <c r="I1051" t="str">
        <f t="shared" si="16"/>
        <v>Shipped</v>
      </c>
    </row>
    <row r="1052" spans="1:9" x14ac:dyDescent="0.3">
      <c r="A1052">
        <v>1051</v>
      </c>
      <c r="B1052">
        <v>209</v>
      </c>
      <c r="C1052">
        <v>4</v>
      </c>
      <c r="D1052" s="12">
        <v>42957</v>
      </c>
      <c r="E1052" s="12">
        <v>42958</v>
      </c>
      <c r="F1052" s="12">
        <v>42958</v>
      </c>
      <c r="G1052">
        <v>2</v>
      </c>
      <c r="H1052">
        <v>7</v>
      </c>
      <c r="I1052" t="str">
        <f t="shared" si="16"/>
        <v>Shipped</v>
      </c>
    </row>
    <row r="1053" spans="1:9" x14ac:dyDescent="0.3">
      <c r="A1053">
        <v>1052</v>
      </c>
      <c r="B1053">
        <v>460</v>
      </c>
      <c r="C1053">
        <v>4</v>
      </c>
      <c r="D1053" s="12">
        <v>42957</v>
      </c>
      <c r="E1053" s="12">
        <v>42959</v>
      </c>
      <c r="F1053" s="12">
        <v>42960</v>
      </c>
      <c r="G1053">
        <v>2</v>
      </c>
      <c r="H1053">
        <v>6</v>
      </c>
      <c r="I1053" t="str">
        <f t="shared" si="16"/>
        <v>Shipped</v>
      </c>
    </row>
    <row r="1054" spans="1:9" x14ac:dyDescent="0.3">
      <c r="A1054">
        <v>1053</v>
      </c>
      <c r="B1054">
        <v>1439</v>
      </c>
      <c r="C1054">
        <v>4</v>
      </c>
      <c r="D1054" s="12">
        <v>42957</v>
      </c>
      <c r="E1054" s="12">
        <v>42958</v>
      </c>
      <c r="F1054" s="12">
        <v>42959</v>
      </c>
      <c r="G1054">
        <v>2</v>
      </c>
      <c r="H1054">
        <v>6</v>
      </c>
      <c r="I1054" t="str">
        <f t="shared" si="16"/>
        <v>Shipped</v>
      </c>
    </row>
    <row r="1055" spans="1:9" x14ac:dyDescent="0.3">
      <c r="A1055">
        <v>1054</v>
      </c>
      <c r="B1055">
        <v>189</v>
      </c>
      <c r="C1055">
        <v>4</v>
      </c>
      <c r="D1055" s="12">
        <v>42958</v>
      </c>
      <c r="E1055" s="12">
        <v>42959</v>
      </c>
      <c r="F1055" s="12">
        <v>42959</v>
      </c>
      <c r="G1055">
        <v>2</v>
      </c>
      <c r="H1055">
        <v>7</v>
      </c>
      <c r="I1055" t="str">
        <f t="shared" si="16"/>
        <v>Shipped</v>
      </c>
    </row>
    <row r="1056" spans="1:9" x14ac:dyDescent="0.3">
      <c r="A1056">
        <v>1055</v>
      </c>
      <c r="B1056">
        <v>140</v>
      </c>
      <c r="C1056">
        <v>4</v>
      </c>
      <c r="D1056" s="12">
        <v>42959</v>
      </c>
      <c r="E1056" s="12">
        <v>42962</v>
      </c>
      <c r="F1056" s="12">
        <v>42962</v>
      </c>
      <c r="G1056">
        <v>2</v>
      </c>
      <c r="H1056">
        <v>6</v>
      </c>
      <c r="I1056" t="str">
        <f t="shared" si="16"/>
        <v>Shipped</v>
      </c>
    </row>
    <row r="1057" spans="1:9" x14ac:dyDescent="0.3">
      <c r="A1057">
        <v>1056</v>
      </c>
      <c r="B1057">
        <v>325</v>
      </c>
      <c r="C1057">
        <v>4</v>
      </c>
      <c r="D1057" s="12">
        <v>42959</v>
      </c>
      <c r="E1057" s="12">
        <v>42962</v>
      </c>
      <c r="F1057" s="12">
        <v>42960</v>
      </c>
      <c r="G1057">
        <v>2</v>
      </c>
      <c r="H1057">
        <v>7</v>
      </c>
      <c r="I1057" t="str">
        <f t="shared" si="16"/>
        <v>Delivered</v>
      </c>
    </row>
    <row r="1058" spans="1:9" x14ac:dyDescent="0.3">
      <c r="A1058">
        <v>1057</v>
      </c>
      <c r="B1058">
        <v>456</v>
      </c>
      <c r="C1058">
        <v>4</v>
      </c>
      <c r="D1058" s="12">
        <v>42959</v>
      </c>
      <c r="E1058" s="12">
        <v>42962</v>
      </c>
      <c r="F1058" s="12">
        <v>42960</v>
      </c>
      <c r="G1058">
        <v>2</v>
      </c>
      <c r="H1058">
        <v>7</v>
      </c>
      <c r="I1058" t="str">
        <f t="shared" si="16"/>
        <v>Delivered</v>
      </c>
    </row>
    <row r="1059" spans="1:9" x14ac:dyDescent="0.3">
      <c r="A1059">
        <v>1058</v>
      </c>
      <c r="B1059">
        <v>782</v>
      </c>
      <c r="C1059">
        <v>4</v>
      </c>
      <c r="D1059" s="12">
        <v>42960</v>
      </c>
      <c r="E1059" s="12">
        <v>42963</v>
      </c>
      <c r="F1059" s="12">
        <v>42961</v>
      </c>
      <c r="G1059">
        <v>2</v>
      </c>
      <c r="H1059">
        <v>6</v>
      </c>
      <c r="I1059" t="str">
        <f t="shared" si="16"/>
        <v>Delivered</v>
      </c>
    </row>
    <row r="1060" spans="1:9" x14ac:dyDescent="0.3">
      <c r="A1060">
        <v>1059</v>
      </c>
      <c r="B1060">
        <v>6</v>
      </c>
      <c r="C1060">
        <v>4</v>
      </c>
      <c r="D1060" s="12">
        <v>42961</v>
      </c>
      <c r="E1060" s="12">
        <v>42964</v>
      </c>
      <c r="F1060" s="12">
        <v>42964</v>
      </c>
      <c r="G1060">
        <v>2</v>
      </c>
      <c r="H1060">
        <v>7</v>
      </c>
      <c r="I1060" t="str">
        <f t="shared" si="16"/>
        <v>Shipped</v>
      </c>
    </row>
    <row r="1061" spans="1:9" x14ac:dyDescent="0.3">
      <c r="A1061">
        <v>1060</v>
      </c>
      <c r="B1061">
        <v>182</v>
      </c>
      <c r="C1061">
        <v>4</v>
      </c>
      <c r="D1061" s="12">
        <v>42962</v>
      </c>
      <c r="E1061" s="12">
        <v>42965</v>
      </c>
      <c r="F1061" s="12">
        <v>42964</v>
      </c>
      <c r="G1061">
        <v>2</v>
      </c>
      <c r="H1061">
        <v>6</v>
      </c>
      <c r="I1061" t="str">
        <f t="shared" si="16"/>
        <v>Delivered</v>
      </c>
    </row>
    <row r="1062" spans="1:9" x14ac:dyDescent="0.3">
      <c r="A1062">
        <v>1061</v>
      </c>
      <c r="B1062">
        <v>655</v>
      </c>
      <c r="C1062">
        <v>4</v>
      </c>
      <c r="D1062" s="12">
        <v>42962</v>
      </c>
      <c r="E1062" s="12">
        <v>42965</v>
      </c>
      <c r="F1062" s="12">
        <v>42965</v>
      </c>
      <c r="G1062">
        <v>2</v>
      </c>
      <c r="H1062">
        <v>7</v>
      </c>
      <c r="I1062" t="str">
        <f t="shared" si="16"/>
        <v>Shipped</v>
      </c>
    </row>
    <row r="1063" spans="1:9" x14ac:dyDescent="0.3">
      <c r="A1063">
        <v>1062</v>
      </c>
      <c r="B1063">
        <v>1210</v>
      </c>
      <c r="C1063">
        <v>4</v>
      </c>
      <c r="D1063" s="12">
        <v>42962</v>
      </c>
      <c r="E1063" s="12">
        <v>42964</v>
      </c>
      <c r="F1063" s="12">
        <v>42965</v>
      </c>
      <c r="G1063">
        <v>2</v>
      </c>
      <c r="H1063">
        <v>6</v>
      </c>
      <c r="I1063" t="str">
        <f t="shared" si="16"/>
        <v>Shipped</v>
      </c>
    </row>
    <row r="1064" spans="1:9" x14ac:dyDescent="0.3">
      <c r="A1064">
        <v>1063</v>
      </c>
      <c r="B1064">
        <v>198</v>
      </c>
      <c r="C1064">
        <v>4</v>
      </c>
      <c r="D1064" s="12">
        <v>42963</v>
      </c>
      <c r="E1064" s="12">
        <v>42966</v>
      </c>
      <c r="F1064" s="12">
        <v>42966</v>
      </c>
      <c r="G1064">
        <v>3</v>
      </c>
      <c r="H1064">
        <v>8</v>
      </c>
      <c r="I1064" t="str">
        <f t="shared" si="16"/>
        <v>Shipped</v>
      </c>
    </row>
    <row r="1065" spans="1:9" x14ac:dyDescent="0.3">
      <c r="A1065">
        <v>1064</v>
      </c>
      <c r="B1065">
        <v>898</v>
      </c>
      <c r="C1065">
        <v>4</v>
      </c>
      <c r="D1065" s="12">
        <v>42963</v>
      </c>
      <c r="E1065" s="12">
        <v>42965</v>
      </c>
      <c r="F1065" s="12">
        <v>42966</v>
      </c>
      <c r="G1065">
        <v>3</v>
      </c>
      <c r="H1065">
        <v>9</v>
      </c>
      <c r="I1065" t="str">
        <f t="shared" si="16"/>
        <v>Shipped</v>
      </c>
    </row>
    <row r="1066" spans="1:9" x14ac:dyDescent="0.3">
      <c r="A1066">
        <v>1065</v>
      </c>
      <c r="B1066">
        <v>25</v>
      </c>
      <c r="C1066">
        <v>4</v>
      </c>
      <c r="D1066" s="12">
        <v>42964</v>
      </c>
      <c r="E1066" s="12">
        <v>42966</v>
      </c>
      <c r="F1066" s="12">
        <v>42966</v>
      </c>
      <c r="G1066">
        <v>2</v>
      </c>
      <c r="H1066">
        <v>7</v>
      </c>
      <c r="I1066" t="str">
        <f t="shared" si="16"/>
        <v>Shipped</v>
      </c>
    </row>
    <row r="1067" spans="1:9" x14ac:dyDescent="0.3">
      <c r="A1067">
        <v>1066</v>
      </c>
      <c r="B1067">
        <v>106</v>
      </c>
      <c r="C1067">
        <v>4</v>
      </c>
      <c r="D1067" s="12">
        <v>42964</v>
      </c>
      <c r="E1067" s="12">
        <v>42967</v>
      </c>
      <c r="F1067" s="12">
        <v>42966</v>
      </c>
      <c r="G1067">
        <v>2</v>
      </c>
      <c r="H1067">
        <v>7</v>
      </c>
      <c r="I1067" t="str">
        <f t="shared" si="16"/>
        <v>Delivered</v>
      </c>
    </row>
    <row r="1068" spans="1:9" x14ac:dyDescent="0.3">
      <c r="A1068">
        <v>1067</v>
      </c>
      <c r="B1068">
        <v>225</v>
      </c>
      <c r="C1068">
        <v>4</v>
      </c>
      <c r="D1068" s="12">
        <v>42964</v>
      </c>
      <c r="E1068" s="12">
        <v>42966</v>
      </c>
      <c r="F1068" s="12">
        <v>42966</v>
      </c>
      <c r="G1068">
        <v>2</v>
      </c>
      <c r="H1068">
        <v>7</v>
      </c>
      <c r="I1068" t="str">
        <f t="shared" si="16"/>
        <v>Shipped</v>
      </c>
    </row>
    <row r="1069" spans="1:9" x14ac:dyDescent="0.3">
      <c r="A1069">
        <v>1068</v>
      </c>
      <c r="B1069">
        <v>453</v>
      </c>
      <c r="C1069">
        <v>4</v>
      </c>
      <c r="D1069" s="12">
        <v>42964</v>
      </c>
      <c r="E1069" s="12">
        <v>42967</v>
      </c>
      <c r="F1069" s="12">
        <v>42966</v>
      </c>
      <c r="G1069">
        <v>2</v>
      </c>
      <c r="H1069">
        <v>7</v>
      </c>
      <c r="I1069" t="str">
        <f t="shared" si="16"/>
        <v>Delivered</v>
      </c>
    </row>
    <row r="1070" spans="1:9" x14ac:dyDescent="0.3">
      <c r="A1070">
        <v>1069</v>
      </c>
      <c r="B1070">
        <v>493</v>
      </c>
      <c r="C1070">
        <v>4</v>
      </c>
      <c r="D1070" s="12">
        <v>42964</v>
      </c>
      <c r="E1070" s="12">
        <v>42966</v>
      </c>
      <c r="F1070" s="12">
        <v>42965</v>
      </c>
      <c r="G1070">
        <v>2</v>
      </c>
      <c r="H1070">
        <v>6</v>
      </c>
      <c r="I1070" t="str">
        <f t="shared" si="16"/>
        <v>Delivered</v>
      </c>
    </row>
    <row r="1071" spans="1:9" x14ac:dyDescent="0.3">
      <c r="A1071">
        <v>1070</v>
      </c>
      <c r="B1071">
        <v>596</v>
      </c>
      <c r="C1071">
        <v>4</v>
      </c>
      <c r="D1071" s="12">
        <v>42964</v>
      </c>
      <c r="E1071" s="12">
        <v>42967</v>
      </c>
      <c r="F1071" s="12">
        <v>42965</v>
      </c>
      <c r="G1071">
        <v>2</v>
      </c>
      <c r="H1071">
        <v>7</v>
      </c>
      <c r="I1071" t="str">
        <f t="shared" si="16"/>
        <v>Delivered</v>
      </c>
    </row>
    <row r="1072" spans="1:9" x14ac:dyDescent="0.3">
      <c r="A1072">
        <v>1071</v>
      </c>
      <c r="B1072">
        <v>602</v>
      </c>
      <c r="C1072">
        <v>4</v>
      </c>
      <c r="D1072" s="12">
        <v>42964</v>
      </c>
      <c r="E1072" s="12">
        <v>42967</v>
      </c>
      <c r="F1072" s="12">
        <v>42965</v>
      </c>
      <c r="G1072">
        <v>3</v>
      </c>
      <c r="H1072">
        <v>8</v>
      </c>
      <c r="I1072" t="str">
        <f t="shared" si="16"/>
        <v>Delivered</v>
      </c>
    </row>
    <row r="1073" spans="1:9" x14ac:dyDescent="0.3">
      <c r="A1073">
        <v>1072</v>
      </c>
      <c r="B1073">
        <v>47</v>
      </c>
      <c r="C1073">
        <v>3</v>
      </c>
      <c r="D1073" s="12">
        <v>42965</v>
      </c>
      <c r="E1073" s="12">
        <v>42965</v>
      </c>
      <c r="F1073" s="12" t="s">
        <v>5611</v>
      </c>
      <c r="G1073">
        <v>1</v>
      </c>
      <c r="H1073">
        <v>3</v>
      </c>
      <c r="I1073" t="str">
        <f t="shared" si="16"/>
        <v>Pending</v>
      </c>
    </row>
    <row r="1074" spans="1:9" x14ac:dyDescent="0.3">
      <c r="A1074">
        <v>1073</v>
      </c>
      <c r="B1074">
        <v>911</v>
      </c>
      <c r="C1074">
        <v>4</v>
      </c>
      <c r="D1074" s="12">
        <v>42965</v>
      </c>
      <c r="E1074" s="12">
        <v>42966</v>
      </c>
      <c r="F1074" s="12">
        <v>42968</v>
      </c>
      <c r="G1074">
        <v>2</v>
      </c>
      <c r="H1074">
        <v>7</v>
      </c>
      <c r="I1074" t="str">
        <f t="shared" si="16"/>
        <v>Shipped</v>
      </c>
    </row>
    <row r="1075" spans="1:9" x14ac:dyDescent="0.3">
      <c r="A1075">
        <v>1074</v>
      </c>
      <c r="B1075">
        <v>11</v>
      </c>
      <c r="C1075">
        <v>3</v>
      </c>
      <c r="D1075" s="12">
        <v>42966</v>
      </c>
      <c r="E1075" s="12">
        <v>42966</v>
      </c>
      <c r="F1075" s="12" t="s">
        <v>5611</v>
      </c>
      <c r="G1075">
        <v>2</v>
      </c>
      <c r="H1075">
        <v>6</v>
      </c>
      <c r="I1075" t="str">
        <f t="shared" si="16"/>
        <v>Pending</v>
      </c>
    </row>
    <row r="1076" spans="1:9" x14ac:dyDescent="0.3">
      <c r="A1076">
        <v>1075</v>
      </c>
      <c r="B1076">
        <v>1003</v>
      </c>
      <c r="C1076">
        <v>4</v>
      </c>
      <c r="D1076" s="12">
        <v>42966</v>
      </c>
      <c r="E1076" s="12">
        <v>42968</v>
      </c>
      <c r="F1076" s="12">
        <v>42969</v>
      </c>
      <c r="G1076">
        <v>1</v>
      </c>
      <c r="H1076">
        <v>3</v>
      </c>
      <c r="I1076" t="str">
        <f t="shared" si="16"/>
        <v>Shipped</v>
      </c>
    </row>
    <row r="1077" spans="1:9" x14ac:dyDescent="0.3">
      <c r="A1077">
        <v>1076</v>
      </c>
      <c r="B1077">
        <v>42</v>
      </c>
      <c r="C1077">
        <v>4</v>
      </c>
      <c r="D1077" s="12">
        <v>42966</v>
      </c>
      <c r="E1077" s="12">
        <v>42969</v>
      </c>
      <c r="F1077" s="12">
        <v>42969</v>
      </c>
      <c r="G1077">
        <v>2</v>
      </c>
      <c r="H1077">
        <v>6</v>
      </c>
      <c r="I1077" t="str">
        <f t="shared" si="16"/>
        <v>Shipped</v>
      </c>
    </row>
    <row r="1078" spans="1:9" x14ac:dyDescent="0.3">
      <c r="A1078">
        <v>1077</v>
      </c>
      <c r="B1078">
        <v>412</v>
      </c>
      <c r="C1078">
        <v>4</v>
      </c>
      <c r="D1078" s="12">
        <v>42966</v>
      </c>
      <c r="E1078" s="12">
        <v>42967</v>
      </c>
      <c r="F1078" s="12">
        <v>42968</v>
      </c>
      <c r="G1078">
        <v>2</v>
      </c>
      <c r="H1078">
        <v>6</v>
      </c>
      <c r="I1078" t="str">
        <f t="shared" si="16"/>
        <v>Shipped</v>
      </c>
    </row>
    <row r="1079" spans="1:9" x14ac:dyDescent="0.3">
      <c r="A1079">
        <v>1078</v>
      </c>
      <c r="B1079">
        <v>793</v>
      </c>
      <c r="C1079">
        <v>4</v>
      </c>
      <c r="D1079" s="12">
        <v>42966</v>
      </c>
      <c r="E1079" s="12">
        <v>42968</v>
      </c>
      <c r="F1079" s="12">
        <v>42967</v>
      </c>
      <c r="G1079">
        <v>2</v>
      </c>
      <c r="H1079">
        <v>6</v>
      </c>
      <c r="I1079" t="str">
        <f t="shared" si="16"/>
        <v>Delivered</v>
      </c>
    </row>
    <row r="1080" spans="1:9" x14ac:dyDescent="0.3">
      <c r="A1080">
        <v>1079</v>
      </c>
      <c r="B1080">
        <v>812</v>
      </c>
      <c r="C1080">
        <v>4</v>
      </c>
      <c r="D1080" s="12">
        <v>42966</v>
      </c>
      <c r="E1080" s="12">
        <v>42967</v>
      </c>
      <c r="F1080" s="12">
        <v>42967</v>
      </c>
      <c r="G1080">
        <v>2</v>
      </c>
      <c r="H1080">
        <v>7</v>
      </c>
      <c r="I1080" t="str">
        <f t="shared" si="16"/>
        <v>Shipped</v>
      </c>
    </row>
    <row r="1081" spans="1:9" x14ac:dyDescent="0.3">
      <c r="A1081">
        <v>1080</v>
      </c>
      <c r="B1081">
        <v>1086</v>
      </c>
      <c r="C1081">
        <v>4</v>
      </c>
      <c r="D1081" s="12">
        <v>42966</v>
      </c>
      <c r="E1081" s="12">
        <v>42967</v>
      </c>
      <c r="F1081" s="12">
        <v>42967</v>
      </c>
      <c r="G1081">
        <v>2</v>
      </c>
      <c r="H1081">
        <v>7</v>
      </c>
      <c r="I1081" t="str">
        <f t="shared" si="16"/>
        <v>Shipped</v>
      </c>
    </row>
    <row r="1082" spans="1:9" x14ac:dyDescent="0.3">
      <c r="A1082">
        <v>1081</v>
      </c>
      <c r="B1082">
        <v>1106</v>
      </c>
      <c r="C1082">
        <v>4</v>
      </c>
      <c r="D1082" s="12">
        <v>42966</v>
      </c>
      <c r="E1082" s="12">
        <v>42969</v>
      </c>
      <c r="F1082" s="12">
        <v>42969</v>
      </c>
      <c r="G1082">
        <v>2</v>
      </c>
      <c r="H1082">
        <v>6</v>
      </c>
      <c r="I1082" t="str">
        <f t="shared" si="16"/>
        <v>Shipped</v>
      </c>
    </row>
    <row r="1083" spans="1:9" x14ac:dyDescent="0.3">
      <c r="A1083">
        <v>1082</v>
      </c>
      <c r="B1083">
        <v>1327</v>
      </c>
      <c r="C1083">
        <v>4</v>
      </c>
      <c r="D1083" s="12">
        <v>42967</v>
      </c>
      <c r="E1083" s="12">
        <v>42969</v>
      </c>
      <c r="F1083" s="12">
        <v>42968</v>
      </c>
      <c r="G1083">
        <v>2</v>
      </c>
      <c r="H1083">
        <v>6</v>
      </c>
      <c r="I1083" t="str">
        <f t="shared" si="16"/>
        <v>Delivered</v>
      </c>
    </row>
    <row r="1084" spans="1:9" x14ac:dyDescent="0.3">
      <c r="A1084">
        <v>1083</v>
      </c>
      <c r="B1084">
        <v>1372</v>
      </c>
      <c r="C1084">
        <v>4</v>
      </c>
      <c r="D1084" s="12">
        <v>42967</v>
      </c>
      <c r="E1084" s="12">
        <v>42970</v>
      </c>
      <c r="F1084" s="12">
        <v>42970</v>
      </c>
      <c r="G1084">
        <v>2</v>
      </c>
      <c r="H1084">
        <v>6</v>
      </c>
      <c r="I1084" t="str">
        <f t="shared" si="16"/>
        <v>Shipped</v>
      </c>
    </row>
    <row r="1085" spans="1:9" x14ac:dyDescent="0.3">
      <c r="A1085">
        <v>1084</v>
      </c>
      <c r="B1085">
        <v>2</v>
      </c>
      <c r="C1085">
        <v>4</v>
      </c>
      <c r="D1085" s="12">
        <v>42968</v>
      </c>
      <c r="E1085" s="12">
        <v>42971</v>
      </c>
      <c r="F1085" s="12">
        <v>42970</v>
      </c>
      <c r="G1085">
        <v>1</v>
      </c>
      <c r="H1085">
        <v>2</v>
      </c>
      <c r="I1085" t="str">
        <f t="shared" si="16"/>
        <v>Delivered</v>
      </c>
    </row>
    <row r="1086" spans="1:9" x14ac:dyDescent="0.3">
      <c r="A1086">
        <v>1085</v>
      </c>
      <c r="B1086">
        <v>305</v>
      </c>
      <c r="C1086">
        <v>4</v>
      </c>
      <c r="D1086" s="12">
        <v>42968</v>
      </c>
      <c r="E1086" s="12">
        <v>42970</v>
      </c>
      <c r="F1086" s="12">
        <v>42970</v>
      </c>
      <c r="G1086">
        <v>1</v>
      </c>
      <c r="H1086">
        <v>3</v>
      </c>
      <c r="I1086" t="str">
        <f t="shared" si="16"/>
        <v>Shipped</v>
      </c>
    </row>
    <row r="1087" spans="1:9" x14ac:dyDescent="0.3">
      <c r="A1087">
        <v>1086</v>
      </c>
      <c r="B1087">
        <v>220</v>
      </c>
      <c r="C1087">
        <v>4</v>
      </c>
      <c r="D1087" s="12">
        <v>42968</v>
      </c>
      <c r="E1087" s="12">
        <v>42970</v>
      </c>
      <c r="F1087" s="12">
        <v>42971</v>
      </c>
      <c r="G1087">
        <v>2</v>
      </c>
      <c r="H1087">
        <v>7</v>
      </c>
      <c r="I1087" t="str">
        <f t="shared" si="16"/>
        <v>Shipped</v>
      </c>
    </row>
    <row r="1088" spans="1:9" x14ac:dyDescent="0.3">
      <c r="A1088">
        <v>1087</v>
      </c>
      <c r="B1088">
        <v>675</v>
      </c>
      <c r="C1088">
        <v>4</v>
      </c>
      <c r="D1088" s="12">
        <v>42969</v>
      </c>
      <c r="E1088" s="12">
        <v>42970</v>
      </c>
      <c r="F1088" s="12">
        <v>42972</v>
      </c>
      <c r="G1088">
        <v>3</v>
      </c>
      <c r="H1088">
        <v>8</v>
      </c>
      <c r="I1088" t="str">
        <f t="shared" si="16"/>
        <v>Shipped</v>
      </c>
    </row>
    <row r="1089" spans="1:9" x14ac:dyDescent="0.3">
      <c r="A1089">
        <v>1088</v>
      </c>
      <c r="B1089">
        <v>1160</v>
      </c>
      <c r="C1089">
        <v>4</v>
      </c>
      <c r="D1089" s="12">
        <v>42969</v>
      </c>
      <c r="E1089" s="12">
        <v>42970</v>
      </c>
      <c r="F1089" s="12">
        <v>42970</v>
      </c>
      <c r="G1089">
        <v>3</v>
      </c>
      <c r="H1089">
        <v>8</v>
      </c>
      <c r="I1089" t="str">
        <f t="shared" si="16"/>
        <v>Shipped</v>
      </c>
    </row>
    <row r="1090" spans="1:9" x14ac:dyDescent="0.3">
      <c r="A1090">
        <v>1089</v>
      </c>
      <c r="B1090">
        <v>46</v>
      </c>
      <c r="C1090">
        <v>3</v>
      </c>
      <c r="D1090" s="12">
        <v>42970</v>
      </c>
      <c r="E1090" s="12">
        <v>42970</v>
      </c>
      <c r="F1090" s="12" t="s">
        <v>5611</v>
      </c>
      <c r="G1090">
        <v>1</v>
      </c>
      <c r="H1090">
        <v>2</v>
      </c>
      <c r="I1090" t="str">
        <f t="shared" si="16"/>
        <v>Pending</v>
      </c>
    </row>
    <row r="1091" spans="1:9" x14ac:dyDescent="0.3">
      <c r="A1091">
        <v>1090</v>
      </c>
      <c r="B1091">
        <v>1427</v>
      </c>
      <c r="C1091">
        <v>4</v>
      </c>
      <c r="D1091" s="12">
        <v>42971</v>
      </c>
      <c r="E1091" s="12">
        <v>42973</v>
      </c>
      <c r="F1091" s="12">
        <v>42973</v>
      </c>
      <c r="G1091">
        <v>1</v>
      </c>
      <c r="H1091">
        <v>2</v>
      </c>
      <c r="I1091" t="str">
        <f t="shared" ref="I1091:I1154" si="17">IF(F1091="NA","Pending",IF(OR(E1091=F1091,E1091&lt;F1091),"Shipped","Delivered"))</f>
        <v>Shipped</v>
      </c>
    </row>
    <row r="1092" spans="1:9" x14ac:dyDescent="0.3">
      <c r="A1092">
        <v>1091</v>
      </c>
      <c r="B1092">
        <v>1260</v>
      </c>
      <c r="C1092">
        <v>4</v>
      </c>
      <c r="D1092" s="12">
        <v>42971</v>
      </c>
      <c r="E1092" s="12">
        <v>42972</v>
      </c>
      <c r="F1092" s="12">
        <v>42972</v>
      </c>
      <c r="G1092">
        <v>2</v>
      </c>
      <c r="H1092">
        <v>7</v>
      </c>
      <c r="I1092" t="str">
        <f t="shared" si="17"/>
        <v>Shipped</v>
      </c>
    </row>
    <row r="1093" spans="1:9" x14ac:dyDescent="0.3">
      <c r="A1093">
        <v>1092</v>
      </c>
      <c r="B1093">
        <v>40</v>
      </c>
      <c r="C1093">
        <v>4</v>
      </c>
      <c r="D1093" s="12">
        <v>42972</v>
      </c>
      <c r="E1093" s="12">
        <v>42975</v>
      </c>
      <c r="F1093" s="12">
        <v>42974</v>
      </c>
      <c r="G1093">
        <v>1</v>
      </c>
      <c r="H1093">
        <v>2</v>
      </c>
      <c r="I1093" t="str">
        <f t="shared" si="17"/>
        <v>Delivered</v>
      </c>
    </row>
    <row r="1094" spans="1:9" x14ac:dyDescent="0.3">
      <c r="A1094">
        <v>1093</v>
      </c>
      <c r="B1094">
        <v>326</v>
      </c>
      <c r="C1094">
        <v>4</v>
      </c>
      <c r="D1094" s="12">
        <v>42972</v>
      </c>
      <c r="E1094" s="12">
        <v>42975</v>
      </c>
      <c r="F1094" s="12">
        <v>42973</v>
      </c>
      <c r="G1094">
        <v>1</v>
      </c>
      <c r="H1094">
        <v>3</v>
      </c>
      <c r="I1094" t="str">
        <f t="shared" si="17"/>
        <v>Delivered</v>
      </c>
    </row>
    <row r="1095" spans="1:9" x14ac:dyDescent="0.3">
      <c r="A1095">
        <v>1094</v>
      </c>
      <c r="B1095">
        <v>828</v>
      </c>
      <c r="C1095">
        <v>4</v>
      </c>
      <c r="D1095" s="12">
        <v>42972</v>
      </c>
      <c r="E1095" s="12">
        <v>42974</v>
      </c>
      <c r="F1095" s="12">
        <v>42975</v>
      </c>
      <c r="G1095">
        <v>2</v>
      </c>
      <c r="H1095">
        <v>6</v>
      </c>
      <c r="I1095" t="str">
        <f t="shared" si="17"/>
        <v>Shipped</v>
      </c>
    </row>
    <row r="1096" spans="1:9" x14ac:dyDescent="0.3">
      <c r="A1096">
        <v>1095</v>
      </c>
      <c r="B1096">
        <v>1382</v>
      </c>
      <c r="C1096">
        <v>4</v>
      </c>
      <c r="D1096" s="12">
        <v>42973</v>
      </c>
      <c r="E1096" s="12">
        <v>42975</v>
      </c>
      <c r="F1096" s="12">
        <v>42974</v>
      </c>
      <c r="G1096">
        <v>3</v>
      </c>
      <c r="H1096">
        <v>9</v>
      </c>
      <c r="I1096" t="str">
        <f t="shared" si="17"/>
        <v>Delivered</v>
      </c>
    </row>
    <row r="1097" spans="1:9" x14ac:dyDescent="0.3">
      <c r="A1097">
        <v>1096</v>
      </c>
      <c r="B1097">
        <v>589</v>
      </c>
      <c r="C1097">
        <v>4</v>
      </c>
      <c r="D1097" s="12">
        <v>42974</v>
      </c>
      <c r="E1097" s="12">
        <v>42976</v>
      </c>
      <c r="F1097" s="12">
        <v>42976</v>
      </c>
      <c r="G1097">
        <v>1</v>
      </c>
      <c r="H1097">
        <v>2</v>
      </c>
      <c r="I1097" t="str">
        <f t="shared" si="17"/>
        <v>Shipped</v>
      </c>
    </row>
    <row r="1098" spans="1:9" x14ac:dyDescent="0.3">
      <c r="A1098">
        <v>1097</v>
      </c>
      <c r="B1098">
        <v>1311</v>
      </c>
      <c r="C1098">
        <v>4</v>
      </c>
      <c r="D1098" s="12">
        <v>42974</v>
      </c>
      <c r="E1098" s="12">
        <v>42977</v>
      </c>
      <c r="F1098" s="12">
        <v>42975</v>
      </c>
      <c r="G1098">
        <v>2</v>
      </c>
      <c r="H1098">
        <v>6</v>
      </c>
      <c r="I1098" t="str">
        <f t="shared" si="17"/>
        <v>Delivered</v>
      </c>
    </row>
    <row r="1099" spans="1:9" x14ac:dyDescent="0.3">
      <c r="A1099">
        <v>1098</v>
      </c>
      <c r="B1099">
        <v>752</v>
      </c>
      <c r="C1099">
        <v>4</v>
      </c>
      <c r="D1099" s="12">
        <v>42975</v>
      </c>
      <c r="E1099" s="12">
        <v>42977</v>
      </c>
      <c r="F1099" s="12">
        <v>42977</v>
      </c>
      <c r="G1099">
        <v>1</v>
      </c>
      <c r="H1099">
        <v>2</v>
      </c>
      <c r="I1099" t="str">
        <f t="shared" si="17"/>
        <v>Shipped</v>
      </c>
    </row>
    <row r="1100" spans="1:9" x14ac:dyDescent="0.3">
      <c r="A1100">
        <v>1099</v>
      </c>
      <c r="B1100">
        <v>1128</v>
      </c>
      <c r="C1100">
        <v>4</v>
      </c>
      <c r="D1100" s="12">
        <v>42975</v>
      </c>
      <c r="E1100" s="12">
        <v>42976</v>
      </c>
      <c r="F1100" s="12">
        <v>42977</v>
      </c>
      <c r="G1100">
        <v>2</v>
      </c>
      <c r="H1100">
        <v>6</v>
      </c>
      <c r="I1100" t="str">
        <f t="shared" si="17"/>
        <v>Shipped</v>
      </c>
    </row>
    <row r="1101" spans="1:9" x14ac:dyDescent="0.3">
      <c r="A1101">
        <v>1100</v>
      </c>
      <c r="B1101">
        <v>1392</v>
      </c>
      <c r="C1101">
        <v>4</v>
      </c>
      <c r="D1101" s="12">
        <v>42975</v>
      </c>
      <c r="E1101" s="12">
        <v>42976</v>
      </c>
      <c r="F1101" s="12">
        <v>42976</v>
      </c>
      <c r="G1101">
        <v>2</v>
      </c>
      <c r="H1101">
        <v>7</v>
      </c>
      <c r="I1101" t="str">
        <f t="shared" si="17"/>
        <v>Shipped</v>
      </c>
    </row>
    <row r="1102" spans="1:9" x14ac:dyDescent="0.3">
      <c r="A1102">
        <v>1101</v>
      </c>
      <c r="B1102">
        <v>379</v>
      </c>
      <c r="C1102">
        <v>4</v>
      </c>
      <c r="D1102" s="12">
        <v>42976</v>
      </c>
      <c r="E1102" s="12">
        <v>42977</v>
      </c>
      <c r="F1102" s="12">
        <v>42977</v>
      </c>
      <c r="G1102">
        <v>2</v>
      </c>
      <c r="H1102">
        <v>7</v>
      </c>
      <c r="I1102" t="str">
        <f t="shared" si="17"/>
        <v>Shipped</v>
      </c>
    </row>
    <row r="1103" spans="1:9" x14ac:dyDescent="0.3">
      <c r="A1103">
        <v>1102</v>
      </c>
      <c r="B1103">
        <v>1317</v>
      </c>
      <c r="C1103">
        <v>4</v>
      </c>
      <c r="D1103" s="12">
        <v>42976</v>
      </c>
      <c r="E1103" s="12">
        <v>42978</v>
      </c>
      <c r="F1103" s="12">
        <v>42978</v>
      </c>
      <c r="G1103">
        <v>2</v>
      </c>
      <c r="H1103">
        <v>6</v>
      </c>
      <c r="I1103" t="str">
        <f t="shared" si="17"/>
        <v>Shipped</v>
      </c>
    </row>
    <row r="1104" spans="1:9" x14ac:dyDescent="0.3">
      <c r="A1104">
        <v>1103</v>
      </c>
      <c r="B1104">
        <v>1394</v>
      </c>
      <c r="C1104">
        <v>4</v>
      </c>
      <c r="D1104" s="12">
        <v>42978</v>
      </c>
      <c r="E1104" s="12">
        <v>42980</v>
      </c>
      <c r="F1104" s="12">
        <v>42980</v>
      </c>
      <c r="G1104">
        <v>2</v>
      </c>
      <c r="H1104">
        <v>7</v>
      </c>
      <c r="I1104" t="str">
        <f t="shared" si="17"/>
        <v>Shipped</v>
      </c>
    </row>
    <row r="1105" spans="1:9" x14ac:dyDescent="0.3">
      <c r="A1105">
        <v>1104</v>
      </c>
      <c r="B1105">
        <v>268</v>
      </c>
      <c r="C1105">
        <v>4</v>
      </c>
      <c r="D1105" s="12">
        <v>42979</v>
      </c>
      <c r="E1105" s="12">
        <v>42982</v>
      </c>
      <c r="F1105" s="12">
        <v>42981</v>
      </c>
      <c r="G1105">
        <v>2</v>
      </c>
      <c r="H1105">
        <v>6</v>
      </c>
      <c r="I1105" t="str">
        <f t="shared" si="17"/>
        <v>Delivered</v>
      </c>
    </row>
    <row r="1106" spans="1:9" x14ac:dyDescent="0.3">
      <c r="A1106">
        <v>1105</v>
      </c>
      <c r="B1106">
        <v>747</v>
      </c>
      <c r="C1106">
        <v>4</v>
      </c>
      <c r="D1106" s="12">
        <v>42979</v>
      </c>
      <c r="E1106" s="12">
        <v>42982</v>
      </c>
      <c r="F1106" s="12">
        <v>42981</v>
      </c>
      <c r="G1106">
        <v>3</v>
      </c>
      <c r="H1106">
        <v>8</v>
      </c>
      <c r="I1106" t="str">
        <f t="shared" si="17"/>
        <v>Delivered</v>
      </c>
    </row>
    <row r="1107" spans="1:9" x14ac:dyDescent="0.3">
      <c r="A1107">
        <v>1106</v>
      </c>
      <c r="B1107">
        <v>1009</v>
      </c>
      <c r="C1107">
        <v>4</v>
      </c>
      <c r="D1107" s="12">
        <v>42980</v>
      </c>
      <c r="E1107" s="12">
        <v>42982</v>
      </c>
      <c r="F1107" s="12">
        <v>42982</v>
      </c>
      <c r="G1107">
        <v>2</v>
      </c>
      <c r="H1107">
        <v>6</v>
      </c>
      <c r="I1107" t="str">
        <f t="shared" si="17"/>
        <v>Shipped</v>
      </c>
    </row>
    <row r="1108" spans="1:9" x14ac:dyDescent="0.3">
      <c r="A1108">
        <v>1107</v>
      </c>
      <c r="B1108">
        <v>1424</v>
      </c>
      <c r="C1108">
        <v>4</v>
      </c>
      <c r="D1108" s="12">
        <v>42980</v>
      </c>
      <c r="E1108" s="12">
        <v>42983</v>
      </c>
      <c r="F1108" s="12">
        <v>42983</v>
      </c>
      <c r="G1108">
        <v>2</v>
      </c>
      <c r="H1108">
        <v>7</v>
      </c>
      <c r="I1108" t="str">
        <f t="shared" si="17"/>
        <v>Shipped</v>
      </c>
    </row>
    <row r="1109" spans="1:9" x14ac:dyDescent="0.3">
      <c r="A1109">
        <v>1108</v>
      </c>
      <c r="B1109">
        <v>735</v>
      </c>
      <c r="C1109">
        <v>4</v>
      </c>
      <c r="D1109" s="12">
        <v>42981</v>
      </c>
      <c r="E1109" s="12">
        <v>42983</v>
      </c>
      <c r="F1109" s="12">
        <v>42982</v>
      </c>
      <c r="G1109">
        <v>1</v>
      </c>
      <c r="H1109">
        <v>3</v>
      </c>
      <c r="I1109" t="str">
        <f t="shared" si="17"/>
        <v>Delivered</v>
      </c>
    </row>
    <row r="1110" spans="1:9" x14ac:dyDescent="0.3">
      <c r="A1110">
        <v>1109</v>
      </c>
      <c r="B1110">
        <v>23</v>
      </c>
      <c r="C1110">
        <v>4</v>
      </c>
      <c r="D1110" s="12">
        <v>42981</v>
      </c>
      <c r="E1110" s="12">
        <v>42982</v>
      </c>
      <c r="F1110" s="12">
        <v>42982</v>
      </c>
      <c r="G1110">
        <v>2</v>
      </c>
      <c r="H1110">
        <v>6</v>
      </c>
      <c r="I1110" t="str">
        <f t="shared" si="17"/>
        <v>Shipped</v>
      </c>
    </row>
    <row r="1111" spans="1:9" x14ac:dyDescent="0.3">
      <c r="A1111">
        <v>1110</v>
      </c>
      <c r="B1111">
        <v>912</v>
      </c>
      <c r="C1111">
        <v>4</v>
      </c>
      <c r="D1111" s="12">
        <v>42982</v>
      </c>
      <c r="E1111" s="12">
        <v>42985</v>
      </c>
      <c r="F1111" s="12">
        <v>42985</v>
      </c>
      <c r="G1111">
        <v>2</v>
      </c>
      <c r="H1111">
        <v>6</v>
      </c>
      <c r="I1111" t="str">
        <f t="shared" si="17"/>
        <v>Shipped</v>
      </c>
    </row>
    <row r="1112" spans="1:9" x14ac:dyDescent="0.3">
      <c r="A1112">
        <v>1111</v>
      </c>
      <c r="B1112">
        <v>930</v>
      </c>
      <c r="C1112">
        <v>4</v>
      </c>
      <c r="D1112" s="12">
        <v>42982</v>
      </c>
      <c r="E1112" s="12">
        <v>42984</v>
      </c>
      <c r="F1112" s="12">
        <v>42983</v>
      </c>
      <c r="G1112">
        <v>2</v>
      </c>
      <c r="H1112">
        <v>6</v>
      </c>
      <c r="I1112" t="str">
        <f t="shared" si="17"/>
        <v>Delivered</v>
      </c>
    </row>
    <row r="1113" spans="1:9" x14ac:dyDescent="0.3">
      <c r="A1113">
        <v>1112</v>
      </c>
      <c r="B1113">
        <v>798</v>
      </c>
      <c r="C1113">
        <v>4</v>
      </c>
      <c r="D1113" s="12">
        <v>42983</v>
      </c>
      <c r="E1113" s="12">
        <v>42986</v>
      </c>
      <c r="F1113" s="12">
        <v>42985</v>
      </c>
      <c r="G1113">
        <v>2</v>
      </c>
      <c r="H1113">
        <v>7</v>
      </c>
      <c r="I1113" t="str">
        <f t="shared" si="17"/>
        <v>Delivered</v>
      </c>
    </row>
    <row r="1114" spans="1:9" x14ac:dyDescent="0.3">
      <c r="A1114">
        <v>1113</v>
      </c>
      <c r="B1114">
        <v>388</v>
      </c>
      <c r="C1114">
        <v>4</v>
      </c>
      <c r="D1114" s="12">
        <v>42984</v>
      </c>
      <c r="E1114" s="12">
        <v>42986</v>
      </c>
      <c r="F1114" s="12">
        <v>42985</v>
      </c>
      <c r="G1114">
        <v>2</v>
      </c>
      <c r="H1114">
        <v>7</v>
      </c>
      <c r="I1114" t="str">
        <f t="shared" si="17"/>
        <v>Delivered</v>
      </c>
    </row>
    <row r="1115" spans="1:9" x14ac:dyDescent="0.3">
      <c r="A1115">
        <v>1114</v>
      </c>
      <c r="B1115">
        <v>1036</v>
      </c>
      <c r="C1115">
        <v>4</v>
      </c>
      <c r="D1115" s="12">
        <v>42984</v>
      </c>
      <c r="E1115" s="12">
        <v>42986</v>
      </c>
      <c r="F1115" s="12">
        <v>42986</v>
      </c>
      <c r="G1115">
        <v>2</v>
      </c>
      <c r="H1115">
        <v>6</v>
      </c>
      <c r="I1115" t="str">
        <f t="shared" si="17"/>
        <v>Shipped</v>
      </c>
    </row>
    <row r="1116" spans="1:9" x14ac:dyDescent="0.3">
      <c r="A1116">
        <v>1115</v>
      </c>
      <c r="B1116">
        <v>1100</v>
      </c>
      <c r="C1116">
        <v>4</v>
      </c>
      <c r="D1116" s="12">
        <v>42985</v>
      </c>
      <c r="E1116" s="12">
        <v>42987</v>
      </c>
      <c r="F1116" s="12">
        <v>42987</v>
      </c>
      <c r="G1116">
        <v>2</v>
      </c>
      <c r="H1116">
        <v>6</v>
      </c>
      <c r="I1116" t="str">
        <f t="shared" si="17"/>
        <v>Shipped</v>
      </c>
    </row>
    <row r="1117" spans="1:9" x14ac:dyDescent="0.3">
      <c r="A1117">
        <v>1116</v>
      </c>
      <c r="B1117">
        <v>52</v>
      </c>
      <c r="C1117">
        <v>4</v>
      </c>
      <c r="D1117" s="12">
        <v>42986</v>
      </c>
      <c r="E1117" s="12">
        <v>42988</v>
      </c>
      <c r="F1117" s="12">
        <v>42988</v>
      </c>
      <c r="G1117">
        <v>2</v>
      </c>
      <c r="H1117">
        <v>7</v>
      </c>
      <c r="I1117" t="str">
        <f t="shared" si="17"/>
        <v>Shipped</v>
      </c>
    </row>
    <row r="1118" spans="1:9" x14ac:dyDescent="0.3">
      <c r="A1118">
        <v>1117</v>
      </c>
      <c r="B1118">
        <v>334</v>
      </c>
      <c r="C1118">
        <v>4</v>
      </c>
      <c r="D1118" s="12">
        <v>42986</v>
      </c>
      <c r="E1118" s="12">
        <v>42988</v>
      </c>
      <c r="F1118" s="12">
        <v>42988</v>
      </c>
      <c r="G1118">
        <v>2</v>
      </c>
      <c r="H1118">
        <v>6</v>
      </c>
      <c r="I1118" t="str">
        <f t="shared" si="17"/>
        <v>Shipped</v>
      </c>
    </row>
    <row r="1119" spans="1:9" x14ac:dyDescent="0.3">
      <c r="A1119">
        <v>1118</v>
      </c>
      <c r="B1119">
        <v>1023</v>
      </c>
      <c r="C1119">
        <v>4</v>
      </c>
      <c r="D1119" s="12">
        <v>42986</v>
      </c>
      <c r="E1119" s="12">
        <v>42989</v>
      </c>
      <c r="F1119" s="12">
        <v>42989</v>
      </c>
      <c r="G1119">
        <v>2</v>
      </c>
      <c r="H1119">
        <v>6</v>
      </c>
      <c r="I1119" t="str">
        <f t="shared" si="17"/>
        <v>Shipped</v>
      </c>
    </row>
    <row r="1120" spans="1:9" x14ac:dyDescent="0.3">
      <c r="A1120">
        <v>1119</v>
      </c>
      <c r="B1120">
        <v>749</v>
      </c>
      <c r="C1120">
        <v>4</v>
      </c>
      <c r="D1120" s="12">
        <v>42988</v>
      </c>
      <c r="E1120" s="12">
        <v>42990</v>
      </c>
      <c r="F1120" s="12">
        <v>42991</v>
      </c>
      <c r="G1120">
        <v>1</v>
      </c>
      <c r="H1120">
        <v>2</v>
      </c>
      <c r="I1120" t="str">
        <f t="shared" si="17"/>
        <v>Shipped</v>
      </c>
    </row>
    <row r="1121" spans="1:9" x14ac:dyDescent="0.3">
      <c r="A1121">
        <v>1120</v>
      </c>
      <c r="B1121">
        <v>1269</v>
      </c>
      <c r="C1121">
        <v>4</v>
      </c>
      <c r="D1121" s="12">
        <v>42988</v>
      </c>
      <c r="E1121" s="12">
        <v>42990</v>
      </c>
      <c r="F1121" s="12">
        <v>42991</v>
      </c>
      <c r="G1121">
        <v>2</v>
      </c>
      <c r="H1121">
        <v>7</v>
      </c>
      <c r="I1121" t="str">
        <f t="shared" si="17"/>
        <v>Shipped</v>
      </c>
    </row>
    <row r="1122" spans="1:9" x14ac:dyDescent="0.3">
      <c r="A1122">
        <v>1121</v>
      </c>
      <c r="B1122">
        <v>143</v>
      </c>
      <c r="C1122">
        <v>4</v>
      </c>
      <c r="D1122" s="12">
        <v>42989</v>
      </c>
      <c r="E1122" s="12">
        <v>42991</v>
      </c>
      <c r="F1122" s="12">
        <v>42990</v>
      </c>
      <c r="G1122">
        <v>2</v>
      </c>
      <c r="H1122">
        <v>7</v>
      </c>
      <c r="I1122" t="str">
        <f t="shared" si="17"/>
        <v>Delivered</v>
      </c>
    </row>
    <row r="1123" spans="1:9" x14ac:dyDescent="0.3">
      <c r="A1123">
        <v>1122</v>
      </c>
      <c r="B1123">
        <v>1132</v>
      </c>
      <c r="C1123">
        <v>4</v>
      </c>
      <c r="D1123" s="12">
        <v>42990</v>
      </c>
      <c r="E1123" s="12">
        <v>42992</v>
      </c>
      <c r="F1123" s="12">
        <v>42992</v>
      </c>
      <c r="G1123">
        <v>2</v>
      </c>
      <c r="H1123">
        <v>6</v>
      </c>
      <c r="I1123" t="str">
        <f t="shared" si="17"/>
        <v>Shipped</v>
      </c>
    </row>
    <row r="1124" spans="1:9" x14ac:dyDescent="0.3">
      <c r="A1124">
        <v>1123</v>
      </c>
      <c r="B1124">
        <v>598</v>
      </c>
      <c r="C1124">
        <v>4</v>
      </c>
      <c r="D1124" s="12">
        <v>42991</v>
      </c>
      <c r="E1124" s="12">
        <v>42992</v>
      </c>
      <c r="F1124" s="12">
        <v>42992</v>
      </c>
      <c r="G1124">
        <v>2</v>
      </c>
      <c r="H1124">
        <v>7</v>
      </c>
      <c r="I1124" t="str">
        <f t="shared" si="17"/>
        <v>Shipped</v>
      </c>
    </row>
    <row r="1125" spans="1:9" x14ac:dyDescent="0.3">
      <c r="A1125">
        <v>1124</v>
      </c>
      <c r="B1125">
        <v>275</v>
      </c>
      <c r="C1125">
        <v>4</v>
      </c>
      <c r="D1125" s="12">
        <v>42991</v>
      </c>
      <c r="E1125" s="12">
        <v>42992</v>
      </c>
      <c r="F1125" s="12">
        <v>42994</v>
      </c>
      <c r="G1125">
        <v>3</v>
      </c>
      <c r="H1125">
        <v>9</v>
      </c>
      <c r="I1125" t="str">
        <f t="shared" si="17"/>
        <v>Shipped</v>
      </c>
    </row>
    <row r="1126" spans="1:9" x14ac:dyDescent="0.3">
      <c r="A1126">
        <v>1125</v>
      </c>
      <c r="B1126">
        <v>945</v>
      </c>
      <c r="C1126">
        <v>4</v>
      </c>
      <c r="D1126" s="12">
        <v>42992</v>
      </c>
      <c r="E1126" s="12">
        <v>42993</v>
      </c>
      <c r="F1126" s="12">
        <v>42993</v>
      </c>
      <c r="G1126">
        <v>2</v>
      </c>
      <c r="H1126">
        <v>7</v>
      </c>
      <c r="I1126" t="str">
        <f t="shared" si="17"/>
        <v>Shipped</v>
      </c>
    </row>
    <row r="1127" spans="1:9" x14ac:dyDescent="0.3">
      <c r="A1127">
        <v>1126</v>
      </c>
      <c r="B1127">
        <v>1213</v>
      </c>
      <c r="C1127">
        <v>4</v>
      </c>
      <c r="D1127" s="12">
        <v>42992</v>
      </c>
      <c r="E1127" s="12">
        <v>42994</v>
      </c>
      <c r="F1127" s="12">
        <v>42993</v>
      </c>
      <c r="G1127">
        <v>3</v>
      </c>
      <c r="H1127">
        <v>8</v>
      </c>
      <c r="I1127" t="str">
        <f t="shared" si="17"/>
        <v>Delivered</v>
      </c>
    </row>
    <row r="1128" spans="1:9" x14ac:dyDescent="0.3">
      <c r="A1128">
        <v>1127</v>
      </c>
      <c r="B1128">
        <v>494</v>
      </c>
      <c r="C1128">
        <v>4</v>
      </c>
      <c r="D1128" s="12">
        <v>42993</v>
      </c>
      <c r="E1128" s="12">
        <v>42994</v>
      </c>
      <c r="F1128" s="12">
        <v>42994</v>
      </c>
      <c r="G1128">
        <v>2</v>
      </c>
      <c r="H1128">
        <v>7</v>
      </c>
      <c r="I1128" t="str">
        <f t="shared" si="17"/>
        <v>Shipped</v>
      </c>
    </row>
    <row r="1129" spans="1:9" x14ac:dyDescent="0.3">
      <c r="A1129">
        <v>1128</v>
      </c>
      <c r="B1129">
        <v>936</v>
      </c>
      <c r="C1129">
        <v>4</v>
      </c>
      <c r="D1129" s="12">
        <v>42993</v>
      </c>
      <c r="E1129" s="12">
        <v>42995</v>
      </c>
      <c r="F1129" s="12">
        <v>42994</v>
      </c>
      <c r="G1129">
        <v>2</v>
      </c>
      <c r="H1129">
        <v>6</v>
      </c>
      <c r="I1129" t="str">
        <f t="shared" si="17"/>
        <v>Delivered</v>
      </c>
    </row>
    <row r="1130" spans="1:9" x14ac:dyDescent="0.3">
      <c r="A1130">
        <v>1129</v>
      </c>
      <c r="B1130">
        <v>663</v>
      </c>
      <c r="C1130">
        <v>4</v>
      </c>
      <c r="D1130" s="12">
        <v>42995</v>
      </c>
      <c r="E1130" s="12">
        <v>42996</v>
      </c>
      <c r="F1130" s="12">
        <v>42998</v>
      </c>
      <c r="G1130">
        <v>2</v>
      </c>
      <c r="H1130">
        <v>6</v>
      </c>
      <c r="I1130" t="str">
        <f t="shared" si="17"/>
        <v>Shipped</v>
      </c>
    </row>
    <row r="1131" spans="1:9" x14ac:dyDescent="0.3">
      <c r="A1131">
        <v>1130</v>
      </c>
      <c r="B1131">
        <v>69</v>
      </c>
      <c r="C1131">
        <v>4</v>
      </c>
      <c r="D1131" s="12">
        <v>42996</v>
      </c>
      <c r="E1131" s="12">
        <v>42998</v>
      </c>
      <c r="F1131" s="12">
        <v>42998</v>
      </c>
      <c r="G1131">
        <v>1</v>
      </c>
      <c r="H1131">
        <v>3</v>
      </c>
      <c r="I1131" t="str">
        <f t="shared" si="17"/>
        <v>Shipped</v>
      </c>
    </row>
    <row r="1132" spans="1:9" x14ac:dyDescent="0.3">
      <c r="A1132">
        <v>1131</v>
      </c>
      <c r="B1132">
        <v>1178</v>
      </c>
      <c r="C1132">
        <v>4</v>
      </c>
      <c r="D1132" s="12">
        <v>42996</v>
      </c>
      <c r="E1132" s="12">
        <v>42998</v>
      </c>
      <c r="F1132" s="12">
        <v>42997</v>
      </c>
      <c r="G1132">
        <v>1</v>
      </c>
      <c r="H1132">
        <v>3</v>
      </c>
      <c r="I1132" t="str">
        <f t="shared" si="17"/>
        <v>Delivered</v>
      </c>
    </row>
    <row r="1133" spans="1:9" x14ac:dyDescent="0.3">
      <c r="A1133">
        <v>1132</v>
      </c>
      <c r="B1133">
        <v>351</v>
      </c>
      <c r="C1133">
        <v>4</v>
      </c>
      <c r="D1133" s="12">
        <v>42997</v>
      </c>
      <c r="E1133" s="12">
        <v>42998</v>
      </c>
      <c r="F1133" s="12">
        <v>42998</v>
      </c>
      <c r="G1133">
        <v>2</v>
      </c>
      <c r="H1133">
        <v>6</v>
      </c>
      <c r="I1133" t="str">
        <f t="shared" si="17"/>
        <v>Shipped</v>
      </c>
    </row>
    <row r="1134" spans="1:9" x14ac:dyDescent="0.3">
      <c r="A1134">
        <v>1133</v>
      </c>
      <c r="B1134">
        <v>517</v>
      </c>
      <c r="C1134">
        <v>4</v>
      </c>
      <c r="D1134" s="12">
        <v>42997</v>
      </c>
      <c r="E1134" s="12">
        <v>42999</v>
      </c>
      <c r="F1134" s="12">
        <v>42999</v>
      </c>
      <c r="G1134">
        <v>2</v>
      </c>
      <c r="H1134">
        <v>7</v>
      </c>
      <c r="I1134" t="str">
        <f t="shared" si="17"/>
        <v>Shipped</v>
      </c>
    </row>
    <row r="1135" spans="1:9" x14ac:dyDescent="0.3">
      <c r="A1135">
        <v>1134</v>
      </c>
      <c r="B1135">
        <v>978</v>
      </c>
      <c r="C1135">
        <v>4</v>
      </c>
      <c r="D1135" s="12">
        <v>42997</v>
      </c>
      <c r="E1135" s="12">
        <v>43000</v>
      </c>
      <c r="F1135" s="12">
        <v>42998</v>
      </c>
      <c r="G1135">
        <v>2</v>
      </c>
      <c r="H1135">
        <v>6</v>
      </c>
      <c r="I1135" t="str">
        <f t="shared" si="17"/>
        <v>Delivered</v>
      </c>
    </row>
    <row r="1136" spans="1:9" x14ac:dyDescent="0.3">
      <c r="A1136">
        <v>1135</v>
      </c>
      <c r="B1136">
        <v>1347</v>
      </c>
      <c r="C1136">
        <v>4</v>
      </c>
      <c r="D1136" s="12">
        <v>42997</v>
      </c>
      <c r="E1136" s="12">
        <v>42999</v>
      </c>
      <c r="F1136" s="12">
        <v>42998</v>
      </c>
      <c r="G1136">
        <v>2</v>
      </c>
      <c r="H1136">
        <v>6</v>
      </c>
      <c r="I1136" t="str">
        <f t="shared" si="17"/>
        <v>Delivered</v>
      </c>
    </row>
    <row r="1137" spans="1:9" x14ac:dyDescent="0.3">
      <c r="A1137">
        <v>1136</v>
      </c>
      <c r="B1137">
        <v>1050</v>
      </c>
      <c r="C1137">
        <v>4</v>
      </c>
      <c r="D1137" s="12">
        <v>42998</v>
      </c>
      <c r="E1137" s="12">
        <v>42999</v>
      </c>
      <c r="F1137" s="12">
        <v>42999</v>
      </c>
      <c r="G1137">
        <v>2</v>
      </c>
      <c r="H1137">
        <v>6</v>
      </c>
      <c r="I1137" t="str">
        <f t="shared" si="17"/>
        <v>Shipped</v>
      </c>
    </row>
    <row r="1138" spans="1:9" x14ac:dyDescent="0.3">
      <c r="A1138">
        <v>1137</v>
      </c>
      <c r="B1138">
        <v>810</v>
      </c>
      <c r="C1138">
        <v>4</v>
      </c>
      <c r="D1138" s="12">
        <v>42998</v>
      </c>
      <c r="E1138" s="12">
        <v>43001</v>
      </c>
      <c r="F1138" s="12">
        <v>43001</v>
      </c>
      <c r="G1138">
        <v>3</v>
      </c>
      <c r="H1138">
        <v>8</v>
      </c>
      <c r="I1138" t="str">
        <f t="shared" si="17"/>
        <v>Shipped</v>
      </c>
    </row>
    <row r="1139" spans="1:9" x14ac:dyDescent="0.3">
      <c r="A1139">
        <v>1138</v>
      </c>
      <c r="B1139">
        <v>254</v>
      </c>
      <c r="C1139">
        <v>4</v>
      </c>
      <c r="D1139" s="12">
        <v>42999</v>
      </c>
      <c r="E1139" s="12">
        <v>43001</v>
      </c>
      <c r="F1139" s="12">
        <v>43000</v>
      </c>
      <c r="G1139">
        <v>1</v>
      </c>
      <c r="H1139">
        <v>2</v>
      </c>
      <c r="I1139" t="str">
        <f t="shared" si="17"/>
        <v>Delivered</v>
      </c>
    </row>
    <row r="1140" spans="1:9" x14ac:dyDescent="0.3">
      <c r="A1140">
        <v>1139</v>
      </c>
      <c r="B1140">
        <v>1006</v>
      </c>
      <c r="C1140">
        <v>4</v>
      </c>
      <c r="D1140" s="12">
        <v>42999</v>
      </c>
      <c r="E1140" s="12">
        <v>43000</v>
      </c>
      <c r="F1140" s="12">
        <v>43001</v>
      </c>
      <c r="G1140">
        <v>1</v>
      </c>
      <c r="H1140">
        <v>2</v>
      </c>
      <c r="I1140" t="str">
        <f t="shared" si="17"/>
        <v>Shipped</v>
      </c>
    </row>
    <row r="1141" spans="1:9" x14ac:dyDescent="0.3">
      <c r="A1141">
        <v>1140</v>
      </c>
      <c r="B1141">
        <v>1063</v>
      </c>
      <c r="C1141">
        <v>4</v>
      </c>
      <c r="D1141" s="12">
        <v>42999</v>
      </c>
      <c r="E1141" s="12">
        <v>43000</v>
      </c>
      <c r="F1141" s="12">
        <v>43000</v>
      </c>
      <c r="G1141">
        <v>3</v>
      </c>
      <c r="H1141">
        <v>8</v>
      </c>
      <c r="I1141" t="str">
        <f t="shared" si="17"/>
        <v>Shipped</v>
      </c>
    </row>
    <row r="1142" spans="1:9" x14ac:dyDescent="0.3">
      <c r="A1142">
        <v>1141</v>
      </c>
      <c r="B1142">
        <v>1076</v>
      </c>
      <c r="C1142">
        <v>4</v>
      </c>
      <c r="D1142" s="12">
        <v>43000</v>
      </c>
      <c r="E1142" s="12">
        <v>43001</v>
      </c>
      <c r="F1142" s="12">
        <v>43002</v>
      </c>
      <c r="G1142">
        <v>1</v>
      </c>
      <c r="H1142">
        <v>2</v>
      </c>
      <c r="I1142" t="str">
        <f t="shared" si="17"/>
        <v>Shipped</v>
      </c>
    </row>
    <row r="1143" spans="1:9" x14ac:dyDescent="0.3">
      <c r="A1143">
        <v>1142</v>
      </c>
      <c r="B1143">
        <v>554</v>
      </c>
      <c r="C1143">
        <v>4</v>
      </c>
      <c r="D1143" s="12">
        <v>43001</v>
      </c>
      <c r="E1143" s="12">
        <v>43004</v>
      </c>
      <c r="F1143" s="12">
        <v>43004</v>
      </c>
      <c r="G1143">
        <v>1</v>
      </c>
      <c r="H1143">
        <v>3</v>
      </c>
      <c r="I1143" t="str">
        <f t="shared" si="17"/>
        <v>Shipped</v>
      </c>
    </row>
    <row r="1144" spans="1:9" x14ac:dyDescent="0.3">
      <c r="A1144">
        <v>1143</v>
      </c>
      <c r="B1144">
        <v>1087</v>
      </c>
      <c r="C1144">
        <v>4</v>
      </c>
      <c r="D1144" s="12">
        <v>43002</v>
      </c>
      <c r="E1144" s="12">
        <v>43004</v>
      </c>
      <c r="F1144" s="12">
        <v>43005</v>
      </c>
      <c r="G1144">
        <v>1</v>
      </c>
      <c r="H1144">
        <v>2</v>
      </c>
      <c r="I1144" t="str">
        <f t="shared" si="17"/>
        <v>Shipped</v>
      </c>
    </row>
    <row r="1145" spans="1:9" x14ac:dyDescent="0.3">
      <c r="A1145">
        <v>1144</v>
      </c>
      <c r="B1145">
        <v>1414</v>
      </c>
      <c r="C1145">
        <v>4</v>
      </c>
      <c r="D1145" s="12">
        <v>43002</v>
      </c>
      <c r="E1145" s="12">
        <v>43005</v>
      </c>
      <c r="F1145" s="12">
        <v>43005</v>
      </c>
      <c r="G1145">
        <v>2</v>
      </c>
      <c r="H1145">
        <v>7</v>
      </c>
      <c r="I1145" t="str">
        <f t="shared" si="17"/>
        <v>Shipped</v>
      </c>
    </row>
    <row r="1146" spans="1:9" x14ac:dyDescent="0.3">
      <c r="A1146">
        <v>1145</v>
      </c>
      <c r="B1146">
        <v>617</v>
      </c>
      <c r="C1146">
        <v>4</v>
      </c>
      <c r="D1146" s="12">
        <v>43003</v>
      </c>
      <c r="E1146" s="12">
        <v>43005</v>
      </c>
      <c r="F1146" s="12">
        <v>43004</v>
      </c>
      <c r="G1146">
        <v>2</v>
      </c>
      <c r="H1146">
        <v>6</v>
      </c>
      <c r="I1146" t="str">
        <f t="shared" si="17"/>
        <v>Delivered</v>
      </c>
    </row>
    <row r="1147" spans="1:9" x14ac:dyDescent="0.3">
      <c r="A1147">
        <v>1146</v>
      </c>
      <c r="B1147">
        <v>757</v>
      </c>
      <c r="C1147">
        <v>4</v>
      </c>
      <c r="D1147" s="12">
        <v>43003</v>
      </c>
      <c r="E1147" s="12">
        <v>43004</v>
      </c>
      <c r="F1147" s="12">
        <v>43006</v>
      </c>
      <c r="G1147">
        <v>2</v>
      </c>
      <c r="H1147">
        <v>7</v>
      </c>
      <c r="I1147" t="str">
        <f t="shared" si="17"/>
        <v>Shipped</v>
      </c>
    </row>
    <row r="1148" spans="1:9" x14ac:dyDescent="0.3">
      <c r="A1148">
        <v>1147</v>
      </c>
      <c r="B1148">
        <v>1344</v>
      </c>
      <c r="C1148">
        <v>4</v>
      </c>
      <c r="D1148" s="12">
        <v>43003</v>
      </c>
      <c r="E1148" s="12">
        <v>43004</v>
      </c>
      <c r="F1148" s="12">
        <v>43005</v>
      </c>
      <c r="G1148">
        <v>2</v>
      </c>
      <c r="H1148">
        <v>6</v>
      </c>
      <c r="I1148" t="str">
        <f t="shared" si="17"/>
        <v>Shipped</v>
      </c>
    </row>
    <row r="1149" spans="1:9" x14ac:dyDescent="0.3">
      <c r="A1149">
        <v>1148</v>
      </c>
      <c r="B1149">
        <v>1379</v>
      </c>
      <c r="C1149">
        <v>4</v>
      </c>
      <c r="D1149" s="12">
        <v>43003</v>
      </c>
      <c r="E1149" s="12">
        <v>43004</v>
      </c>
      <c r="F1149" s="12">
        <v>43005</v>
      </c>
      <c r="G1149">
        <v>2</v>
      </c>
      <c r="H1149">
        <v>7</v>
      </c>
      <c r="I1149" t="str">
        <f t="shared" si="17"/>
        <v>Shipped</v>
      </c>
    </row>
    <row r="1150" spans="1:9" x14ac:dyDescent="0.3">
      <c r="A1150">
        <v>1149</v>
      </c>
      <c r="B1150">
        <v>787</v>
      </c>
      <c r="C1150">
        <v>4</v>
      </c>
      <c r="D1150" s="12">
        <v>43005</v>
      </c>
      <c r="E1150" s="12">
        <v>43008</v>
      </c>
      <c r="F1150" s="12">
        <v>43008</v>
      </c>
      <c r="G1150">
        <v>2</v>
      </c>
      <c r="H1150">
        <v>7</v>
      </c>
      <c r="I1150" t="str">
        <f t="shared" si="17"/>
        <v>Shipped</v>
      </c>
    </row>
    <row r="1151" spans="1:9" x14ac:dyDescent="0.3">
      <c r="A1151">
        <v>1150</v>
      </c>
      <c r="B1151">
        <v>1183</v>
      </c>
      <c r="C1151">
        <v>4</v>
      </c>
      <c r="D1151" s="12">
        <v>43006</v>
      </c>
      <c r="E1151" s="12">
        <v>43009</v>
      </c>
      <c r="F1151" s="12">
        <v>43008</v>
      </c>
      <c r="G1151">
        <v>2</v>
      </c>
      <c r="H1151">
        <v>7</v>
      </c>
      <c r="I1151" t="str">
        <f t="shared" si="17"/>
        <v>Delivered</v>
      </c>
    </row>
    <row r="1152" spans="1:9" x14ac:dyDescent="0.3">
      <c r="A1152">
        <v>1151</v>
      </c>
      <c r="B1152">
        <v>708</v>
      </c>
      <c r="C1152">
        <v>4</v>
      </c>
      <c r="D1152" s="12">
        <v>43007</v>
      </c>
      <c r="E1152" s="12">
        <v>43008</v>
      </c>
      <c r="F1152" s="12">
        <v>43008</v>
      </c>
      <c r="G1152">
        <v>1</v>
      </c>
      <c r="H1152">
        <v>3</v>
      </c>
      <c r="I1152" t="str">
        <f t="shared" si="17"/>
        <v>Shipped</v>
      </c>
    </row>
    <row r="1153" spans="1:9" x14ac:dyDescent="0.3">
      <c r="A1153">
        <v>1152</v>
      </c>
      <c r="B1153">
        <v>1244</v>
      </c>
      <c r="C1153">
        <v>4</v>
      </c>
      <c r="D1153" s="12">
        <v>43007</v>
      </c>
      <c r="E1153" s="12">
        <v>43010</v>
      </c>
      <c r="F1153" s="12">
        <v>43009</v>
      </c>
      <c r="G1153">
        <v>2</v>
      </c>
      <c r="H1153">
        <v>6</v>
      </c>
      <c r="I1153" t="str">
        <f t="shared" si="17"/>
        <v>Delivered</v>
      </c>
    </row>
    <row r="1154" spans="1:9" x14ac:dyDescent="0.3">
      <c r="A1154">
        <v>1153</v>
      </c>
      <c r="B1154">
        <v>720</v>
      </c>
      <c r="C1154">
        <v>4</v>
      </c>
      <c r="D1154" s="12">
        <v>43008</v>
      </c>
      <c r="E1154" s="12">
        <v>43011</v>
      </c>
      <c r="F1154" s="12">
        <v>43011</v>
      </c>
      <c r="G1154">
        <v>2</v>
      </c>
      <c r="H1154">
        <v>7</v>
      </c>
      <c r="I1154" t="str">
        <f t="shared" si="17"/>
        <v>Shipped</v>
      </c>
    </row>
    <row r="1155" spans="1:9" x14ac:dyDescent="0.3">
      <c r="A1155">
        <v>1154</v>
      </c>
      <c r="B1155">
        <v>789</v>
      </c>
      <c r="C1155">
        <v>4</v>
      </c>
      <c r="D1155" s="12">
        <v>43008</v>
      </c>
      <c r="E1155" s="12">
        <v>43011</v>
      </c>
      <c r="F1155" s="12">
        <v>43011</v>
      </c>
      <c r="G1155">
        <v>2</v>
      </c>
      <c r="H1155">
        <v>7</v>
      </c>
      <c r="I1155" t="str">
        <f t="shared" ref="I1155:I1218" si="18">IF(F1155="NA","Pending",IF(OR(E1155=F1155,E1155&lt;F1155),"Shipped","Delivered"))</f>
        <v>Shipped</v>
      </c>
    </row>
    <row r="1156" spans="1:9" x14ac:dyDescent="0.3">
      <c r="A1156">
        <v>1155</v>
      </c>
      <c r="B1156">
        <v>865</v>
      </c>
      <c r="C1156">
        <v>4</v>
      </c>
      <c r="D1156" s="12">
        <v>43008</v>
      </c>
      <c r="E1156" s="12">
        <v>43009</v>
      </c>
      <c r="F1156" s="12">
        <v>43009</v>
      </c>
      <c r="G1156">
        <v>2</v>
      </c>
      <c r="H1156">
        <v>7</v>
      </c>
      <c r="I1156" t="str">
        <f t="shared" si="18"/>
        <v>Shipped</v>
      </c>
    </row>
    <row r="1157" spans="1:9" x14ac:dyDescent="0.3">
      <c r="A1157">
        <v>1156</v>
      </c>
      <c r="B1157">
        <v>869</v>
      </c>
      <c r="C1157">
        <v>4</v>
      </c>
      <c r="D1157" s="12">
        <v>43008</v>
      </c>
      <c r="E1157" s="12">
        <v>43011</v>
      </c>
      <c r="F1157" s="12">
        <v>43011</v>
      </c>
      <c r="G1157">
        <v>2</v>
      </c>
      <c r="H1157">
        <v>7</v>
      </c>
      <c r="I1157" t="str">
        <f t="shared" si="18"/>
        <v>Shipped</v>
      </c>
    </row>
    <row r="1158" spans="1:9" x14ac:dyDescent="0.3">
      <c r="A1158">
        <v>1157</v>
      </c>
      <c r="B1158">
        <v>24</v>
      </c>
      <c r="C1158">
        <v>4</v>
      </c>
      <c r="D1158" s="12">
        <v>43009</v>
      </c>
      <c r="E1158" s="12">
        <v>43011</v>
      </c>
      <c r="F1158" s="12">
        <v>43012</v>
      </c>
      <c r="G1158">
        <v>1</v>
      </c>
      <c r="H1158">
        <v>3</v>
      </c>
      <c r="I1158" t="str">
        <f t="shared" si="18"/>
        <v>Shipped</v>
      </c>
    </row>
    <row r="1159" spans="1:9" x14ac:dyDescent="0.3">
      <c r="A1159">
        <v>1158</v>
      </c>
      <c r="B1159">
        <v>889</v>
      </c>
      <c r="C1159">
        <v>4</v>
      </c>
      <c r="D1159" s="12">
        <v>43009</v>
      </c>
      <c r="E1159" s="12">
        <v>43011</v>
      </c>
      <c r="F1159" s="12">
        <v>43010</v>
      </c>
      <c r="G1159">
        <v>1</v>
      </c>
      <c r="H1159">
        <v>2</v>
      </c>
      <c r="I1159" t="str">
        <f t="shared" si="18"/>
        <v>Delivered</v>
      </c>
    </row>
    <row r="1160" spans="1:9" x14ac:dyDescent="0.3">
      <c r="A1160">
        <v>1159</v>
      </c>
      <c r="B1160">
        <v>1221</v>
      </c>
      <c r="C1160">
        <v>4</v>
      </c>
      <c r="D1160" s="12">
        <v>43009</v>
      </c>
      <c r="E1160" s="12">
        <v>43010</v>
      </c>
      <c r="F1160" s="12">
        <v>43011</v>
      </c>
      <c r="G1160">
        <v>1</v>
      </c>
      <c r="H1160">
        <v>3</v>
      </c>
      <c r="I1160" t="str">
        <f t="shared" si="18"/>
        <v>Shipped</v>
      </c>
    </row>
    <row r="1161" spans="1:9" x14ac:dyDescent="0.3">
      <c r="A1161">
        <v>1160</v>
      </c>
      <c r="B1161">
        <v>1262</v>
      </c>
      <c r="C1161">
        <v>4</v>
      </c>
      <c r="D1161" s="12">
        <v>43009</v>
      </c>
      <c r="E1161" s="12">
        <v>43010</v>
      </c>
      <c r="F1161" s="12">
        <v>43012</v>
      </c>
      <c r="G1161">
        <v>1</v>
      </c>
      <c r="H1161">
        <v>2</v>
      </c>
      <c r="I1161" t="str">
        <f t="shared" si="18"/>
        <v>Shipped</v>
      </c>
    </row>
    <row r="1162" spans="1:9" x14ac:dyDescent="0.3">
      <c r="A1162">
        <v>1161</v>
      </c>
      <c r="B1162">
        <v>41</v>
      </c>
      <c r="C1162">
        <v>4</v>
      </c>
      <c r="D1162" s="12">
        <v>43009</v>
      </c>
      <c r="E1162" s="12">
        <v>43012</v>
      </c>
      <c r="F1162" s="12">
        <v>43010</v>
      </c>
      <c r="G1162">
        <v>2</v>
      </c>
      <c r="H1162">
        <v>7</v>
      </c>
      <c r="I1162" t="str">
        <f t="shared" si="18"/>
        <v>Delivered</v>
      </c>
    </row>
    <row r="1163" spans="1:9" x14ac:dyDescent="0.3">
      <c r="A1163">
        <v>1162</v>
      </c>
      <c r="B1163">
        <v>888</v>
      </c>
      <c r="C1163">
        <v>4</v>
      </c>
      <c r="D1163" s="12">
        <v>43009</v>
      </c>
      <c r="E1163" s="12">
        <v>43011</v>
      </c>
      <c r="F1163" s="12">
        <v>43011</v>
      </c>
      <c r="G1163">
        <v>2</v>
      </c>
      <c r="H1163">
        <v>6</v>
      </c>
      <c r="I1163" t="str">
        <f t="shared" si="18"/>
        <v>Shipped</v>
      </c>
    </row>
    <row r="1164" spans="1:9" x14ac:dyDescent="0.3">
      <c r="A1164">
        <v>1163</v>
      </c>
      <c r="B1164">
        <v>934</v>
      </c>
      <c r="C1164">
        <v>4</v>
      </c>
      <c r="D1164" s="12">
        <v>43009</v>
      </c>
      <c r="E1164" s="12">
        <v>43010</v>
      </c>
      <c r="F1164" s="12">
        <v>43010</v>
      </c>
      <c r="G1164">
        <v>2</v>
      </c>
      <c r="H1164">
        <v>6</v>
      </c>
      <c r="I1164" t="str">
        <f t="shared" si="18"/>
        <v>Shipped</v>
      </c>
    </row>
    <row r="1165" spans="1:9" x14ac:dyDescent="0.3">
      <c r="A1165">
        <v>1164</v>
      </c>
      <c r="B1165">
        <v>1067</v>
      </c>
      <c r="C1165">
        <v>4</v>
      </c>
      <c r="D1165" s="12">
        <v>43009</v>
      </c>
      <c r="E1165" s="12">
        <v>43010</v>
      </c>
      <c r="F1165" s="12">
        <v>43011</v>
      </c>
      <c r="G1165">
        <v>2</v>
      </c>
      <c r="H1165">
        <v>6</v>
      </c>
      <c r="I1165" t="str">
        <f t="shared" si="18"/>
        <v>Shipped</v>
      </c>
    </row>
    <row r="1166" spans="1:9" x14ac:dyDescent="0.3">
      <c r="A1166">
        <v>1165</v>
      </c>
      <c r="B1166">
        <v>652</v>
      </c>
      <c r="C1166">
        <v>4</v>
      </c>
      <c r="D1166" s="12">
        <v>43010</v>
      </c>
      <c r="E1166" s="12">
        <v>43011</v>
      </c>
      <c r="F1166" s="12">
        <v>43013</v>
      </c>
      <c r="G1166">
        <v>2</v>
      </c>
      <c r="H1166">
        <v>7</v>
      </c>
      <c r="I1166" t="str">
        <f t="shared" si="18"/>
        <v>Shipped</v>
      </c>
    </row>
    <row r="1167" spans="1:9" x14ac:dyDescent="0.3">
      <c r="A1167">
        <v>1166</v>
      </c>
      <c r="B1167">
        <v>286</v>
      </c>
      <c r="C1167">
        <v>4</v>
      </c>
      <c r="D1167" s="12">
        <v>43011</v>
      </c>
      <c r="E1167" s="12">
        <v>43012</v>
      </c>
      <c r="F1167" s="12">
        <v>43012</v>
      </c>
      <c r="G1167">
        <v>2</v>
      </c>
      <c r="H1167">
        <v>7</v>
      </c>
      <c r="I1167" t="str">
        <f t="shared" si="18"/>
        <v>Shipped</v>
      </c>
    </row>
    <row r="1168" spans="1:9" x14ac:dyDescent="0.3">
      <c r="A1168">
        <v>1167</v>
      </c>
      <c r="B1168">
        <v>900</v>
      </c>
      <c r="C1168">
        <v>4</v>
      </c>
      <c r="D1168" s="12">
        <v>43012</v>
      </c>
      <c r="E1168" s="12">
        <v>43015</v>
      </c>
      <c r="F1168" s="12">
        <v>43014</v>
      </c>
      <c r="G1168">
        <v>1</v>
      </c>
      <c r="H1168">
        <v>2</v>
      </c>
      <c r="I1168" t="str">
        <f t="shared" si="18"/>
        <v>Delivered</v>
      </c>
    </row>
    <row r="1169" spans="1:9" x14ac:dyDescent="0.3">
      <c r="A1169">
        <v>1168</v>
      </c>
      <c r="B1169">
        <v>1031</v>
      </c>
      <c r="C1169">
        <v>4</v>
      </c>
      <c r="D1169" s="12">
        <v>43012</v>
      </c>
      <c r="E1169" s="12">
        <v>43013</v>
      </c>
      <c r="F1169" s="12">
        <v>43014</v>
      </c>
      <c r="G1169">
        <v>2</v>
      </c>
      <c r="H1169">
        <v>6</v>
      </c>
      <c r="I1169" t="str">
        <f t="shared" si="18"/>
        <v>Shipped</v>
      </c>
    </row>
    <row r="1170" spans="1:9" x14ac:dyDescent="0.3">
      <c r="A1170">
        <v>1169</v>
      </c>
      <c r="B1170">
        <v>1421</v>
      </c>
      <c r="C1170">
        <v>4</v>
      </c>
      <c r="D1170" s="12">
        <v>43012</v>
      </c>
      <c r="E1170" s="12">
        <v>43014</v>
      </c>
      <c r="F1170" s="12">
        <v>43015</v>
      </c>
      <c r="G1170">
        <v>2</v>
      </c>
      <c r="H1170">
        <v>7</v>
      </c>
      <c r="I1170" t="str">
        <f t="shared" si="18"/>
        <v>Shipped</v>
      </c>
    </row>
    <row r="1171" spans="1:9" x14ac:dyDescent="0.3">
      <c r="A1171">
        <v>1170</v>
      </c>
      <c r="B1171">
        <v>534</v>
      </c>
      <c r="C1171">
        <v>4</v>
      </c>
      <c r="D1171" s="12">
        <v>43013</v>
      </c>
      <c r="E1171" s="12">
        <v>43015</v>
      </c>
      <c r="F1171" s="12">
        <v>43014</v>
      </c>
      <c r="G1171">
        <v>2</v>
      </c>
      <c r="H1171">
        <v>6</v>
      </c>
      <c r="I1171" t="str">
        <f t="shared" si="18"/>
        <v>Delivered</v>
      </c>
    </row>
    <row r="1172" spans="1:9" x14ac:dyDescent="0.3">
      <c r="A1172">
        <v>1171</v>
      </c>
      <c r="B1172">
        <v>826</v>
      </c>
      <c r="C1172">
        <v>4</v>
      </c>
      <c r="D1172" s="12">
        <v>43013</v>
      </c>
      <c r="E1172" s="12">
        <v>43014</v>
      </c>
      <c r="F1172" s="12">
        <v>43016</v>
      </c>
      <c r="G1172">
        <v>2</v>
      </c>
      <c r="H1172">
        <v>6</v>
      </c>
      <c r="I1172" t="str">
        <f t="shared" si="18"/>
        <v>Shipped</v>
      </c>
    </row>
    <row r="1173" spans="1:9" x14ac:dyDescent="0.3">
      <c r="A1173">
        <v>1172</v>
      </c>
      <c r="B1173">
        <v>1339</v>
      </c>
      <c r="C1173">
        <v>4</v>
      </c>
      <c r="D1173" s="12">
        <v>43015</v>
      </c>
      <c r="E1173" s="12">
        <v>43018</v>
      </c>
      <c r="F1173" s="12">
        <v>43017</v>
      </c>
      <c r="G1173">
        <v>2</v>
      </c>
      <c r="H1173">
        <v>7</v>
      </c>
      <c r="I1173" t="str">
        <f t="shared" si="18"/>
        <v>Delivered</v>
      </c>
    </row>
    <row r="1174" spans="1:9" x14ac:dyDescent="0.3">
      <c r="A1174">
        <v>1173</v>
      </c>
      <c r="B1174">
        <v>548</v>
      </c>
      <c r="C1174">
        <v>4</v>
      </c>
      <c r="D1174" s="12">
        <v>43016</v>
      </c>
      <c r="E1174" s="12">
        <v>43018</v>
      </c>
      <c r="F1174" s="12">
        <v>43017</v>
      </c>
      <c r="G1174">
        <v>2</v>
      </c>
      <c r="H1174">
        <v>7</v>
      </c>
      <c r="I1174" t="str">
        <f t="shared" si="18"/>
        <v>Delivered</v>
      </c>
    </row>
    <row r="1175" spans="1:9" x14ac:dyDescent="0.3">
      <c r="A1175">
        <v>1174</v>
      </c>
      <c r="B1175">
        <v>1109</v>
      </c>
      <c r="C1175">
        <v>4</v>
      </c>
      <c r="D1175" s="12">
        <v>43016</v>
      </c>
      <c r="E1175" s="12">
        <v>43018</v>
      </c>
      <c r="F1175" s="12">
        <v>43019</v>
      </c>
      <c r="G1175">
        <v>2</v>
      </c>
      <c r="H1175">
        <v>6</v>
      </c>
      <c r="I1175" t="str">
        <f t="shared" si="18"/>
        <v>Shipped</v>
      </c>
    </row>
    <row r="1176" spans="1:9" x14ac:dyDescent="0.3">
      <c r="A1176">
        <v>1175</v>
      </c>
      <c r="B1176">
        <v>292</v>
      </c>
      <c r="C1176">
        <v>4</v>
      </c>
      <c r="D1176" s="12">
        <v>43017</v>
      </c>
      <c r="E1176" s="12">
        <v>43019</v>
      </c>
      <c r="F1176" s="12">
        <v>43020</v>
      </c>
      <c r="G1176">
        <v>2</v>
      </c>
      <c r="H1176">
        <v>6</v>
      </c>
      <c r="I1176" t="str">
        <f t="shared" si="18"/>
        <v>Shipped</v>
      </c>
    </row>
    <row r="1177" spans="1:9" x14ac:dyDescent="0.3">
      <c r="A1177">
        <v>1176</v>
      </c>
      <c r="B1177">
        <v>1111</v>
      </c>
      <c r="C1177">
        <v>4</v>
      </c>
      <c r="D1177" s="12">
        <v>43018</v>
      </c>
      <c r="E1177" s="12">
        <v>43021</v>
      </c>
      <c r="F1177" s="12">
        <v>43019</v>
      </c>
      <c r="G1177">
        <v>3</v>
      </c>
      <c r="H1177">
        <v>9</v>
      </c>
      <c r="I1177" t="str">
        <f t="shared" si="18"/>
        <v>Delivered</v>
      </c>
    </row>
    <row r="1178" spans="1:9" x14ac:dyDescent="0.3">
      <c r="A1178">
        <v>1177</v>
      </c>
      <c r="B1178">
        <v>21</v>
      </c>
      <c r="C1178">
        <v>3</v>
      </c>
      <c r="D1178" s="12">
        <v>43020</v>
      </c>
      <c r="E1178" s="12">
        <v>43020</v>
      </c>
      <c r="F1178" s="12" t="s">
        <v>5611</v>
      </c>
      <c r="G1178">
        <v>3</v>
      </c>
      <c r="H1178">
        <v>9</v>
      </c>
      <c r="I1178" t="str">
        <f t="shared" si="18"/>
        <v>Pending</v>
      </c>
    </row>
    <row r="1179" spans="1:9" x14ac:dyDescent="0.3">
      <c r="A1179">
        <v>1178</v>
      </c>
      <c r="B1179">
        <v>771</v>
      </c>
      <c r="C1179">
        <v>4</v>
      </c>
      <c r="D1179" s="12">
        <v>43020</v>
      </c>
      <c r="E1179" s="12">
        <v>43023</v>
      </c>
      <c r="F1179" s="12">
        <v>43021</v>
      </c>
      <c r="G1179">
        <v>2</v>
      </c>
      <c r="H1179">
        <v>6</v>
      </c>
      <c r="I1179" t="str">
        <f t="shared" si="18"/>
        <v>Delivered</v>
      </c>
    </row>
    <row r="1180" spans="1:9" x14ac:dyDescent="0.3">
      <c r="A1180">
        <v>1179</v>
      </c>
      <c r="B1180">
        <v>1150</v>
      </c>
      <c r="C1180">
        <v>4</v>
      </c>
      <c r="D1180" s="12">
        <v>43020</v>
      </c>
      <c r="E1180" s="12">
        <v>43023</v>
      </c>
      <c r="F1180" s="12">
        <v>43023</v>
      </c>
      <c r="G1180">
        <v>3</v>
      </c>
      <c r="H1180">
        <v>9</v>
      </c>
      <c r="I1180" t="str">
        <f t="shared" si="18"/>
        <v>Shipped</v>
      </c>
    </row>
    <row r="1181" spans="1:9" x14ac:dyDescent="0.3">
      <c r="A1181">
        <v>1180</v>
      </c>
      <c r="B1181">
        <v>1065</v>
      </c>
      <c r="C1181">
        <v>4</v>
      </c>
      <c r="D1181" s="12">
        <v>43021</v>
      </c>
      <c r="E1181" s="12">
        <v>43024</v>
      </c>
      <c r="F1181" s="12">
        <v>43024</v>
      </c>
      <c r="G1181">
        <v>1</v>
      </c>
      <c r="H1181">
        <v>3</v>
      </c>
      <c r="I1181" t="str">
        <f t="shared" si="18"/>
        <v>Shipped</v>
      </c>
    </row>
    <row r="1182" spans="1:9" x14ac:dyDescent="0.3">
      <c r="A1182">
        <v>1181</v>
      </c>
      <c r="B1182">
        <v>1022</v>
      </c>
      <c r="C1182">
        <v>4</v>
      </c>
      <c r="D1182" s="12">
        <v>43021</v>
      </c>
      <c r="E1182" s="12">
        <v>43024</v>
      </c>
      <c r="F1182" s="12">
        <v>43023</v>
      </c>
      <c r="G1182">
        <v>2</v>
      </c>
      <c r="H1182">
        <v>7</v>
      </c>
      <c r="I1182" t="str">
        <f t="shared" si="18"/>
        <v>Delivered</v>
      </c>
    </row>
    <row r="1183" spans="1:9" x14ac:dyDescent="0.3">
      <c r="A1183">
        <v>1182</v>
      </c>
      <c r="B1183">
        <v>1422</v>
      </c>
      <c r="C1183">
        <v>4</v>
      </c>
      <c r="D1183" s="12">
        <v>43021</v>
      </c>
      <c r="E1183" s="12">
        <v>43022</v>
      </c>
      <c r="F1183" s="12">
        <v>43024</v>
      </c>
      <c r="G1183">
        <v>2</v>
      </c>
      <c r="H1183">
        <v>7</v>
      </c>
      <c r="I1183" t="str">
        <f t="shared" si="18"/>
        <v>Shipped</v>
      </c>
    </row>
    <row r="1184" spans="1:9" x14ac:dyDescent="0.3">
      <c r="A1184">
        <v>1183</v>
      </c>
      <c r="B1184">
        <v>216</v>
      </c>
      <c r="C1184">
        <v>4</v>
      </c>
      <c r="D1184" s="12">
        <v>43022</v>
      </c>
      <c r="E1184" s="12">
        <v>43025</v>
      </c>
      <c r="F1184" s="12">
        <v>43025</v>
      </c>
      <c r="G1184">
        <v>2</v>
      </c>
      <c r="H1184">
        <v>6</v>
      </c>
      <c r="I1184" t="str">
        <f t="shared" si="18"/>
        <v>Shipped</v>
      </c>
    </row>
    <row r="1185" spans="1:9" x14ac:dyDescent="0.3">
      <c r="A1185">
        <v>1184</v>
      </c>
      <c r="B1185">
        <v>369</v>
      </c>
      <c r="C1185">
        <v>4</v>
      </c>
      <c r="D1185" s="12">
        <v>43022</v>
      </c>
      <c r="E1185" s="12">
        <v>43023</v>
      </c>
      <c r="F1185" s="12">
        <v>43024</v>
      </c>
      <c r="G1185">
        <v>2</v>
      </c>
      <c r="H1185">
        <v>6</v>
      </c>
      <c r="I1185" t="str">
        <f t="shared" si="18"/>
        <v>Shipped</v>
      </c>
    </row>
    <row r="1186" spans="1:9" x14ac:dyDescent="0.3">
      <c r="A1186">
        <v>1185</v>
      </c>
      <c r="B1186">
        <v>960</v>
      </c>
      <c r="C1186">
        <v>4</v>
      </c>
      <c r="D1186" s="12">
        <v>43022</v>
      </c>
      <c r="E1186" s="12">
        <v>43024</v>
      </c>
      <c r="F1186" s="12">
        <v>43025</v>
      </c>
      <c r="G1186">
        <v>2</v>
      </c>
      <c r="H1186">
        <v>6</v>
      </c>
      <c r="I1186" t="str">
        <f t="shared" si="18"/>
        <v>Shipped</v>
      </c>
    </row>
    <row r="1187" spans="1:9" x14ac:dyDescent="0.3">
      <c r="A1187">
        <v>1186</v>
      </c>
      <c r="B1187">
        <v>1120</v>
      </c>
      <c r="C1187">
        <v>4</v>
      </c>
      <c r="D1187" s="12">
        <v>43022</v>
      </c>
      <c r="E1187" s="12">
        <v>43024</v>
      </c>
      <c r="F1187" s="12">
        <v>43023</v>
      </c>
      <c r="G1187">
        <v>2</v>
      </c>
      <c r="H1187">
        <v>6</v>
      </c>
      <c r="I1187" t="str">
        <f t="shared" si="18"/>
        <v>Delivered</v>
      </c>
    </row>
    <row r="1188" spans="1:9" x14ac:dyDescent="0.3">
      <c r="A1188">
        <v>1187</v>
      </c>
      <c r="B1188">
        <v>486</v>
      </c>
      <c r="C1188">
        <v>4</v>
      </c>
      <c r="D1188" s="12">
        <v>43023</v>
      </c>
      <c r="E1188" s="12">
        <v>43026</v>
      </c>
      <c r="F1188" s="12">
        <v>43024</v>
      </c>
      <c r="G1188">
        <v>2</v>
      </c>
      <c r="H1188">
        <v>6</v>
      </c>
      <c r="I1188" t="str">
        <f t="shared" si="18"/>
        <v>Delivered</v>
      </c>
    </row>
    <row r="1189" spans="1:9" x14ac:dyDescent="0.3">
      <c r="A1189">
        <v>1188</v>
      </c>
      <c r="B1189">
        <v>647</v>
      </c>
      <c r="C1189">
        <v>4</v>
      </c>
      <c r="D1189" s="12">
        <v>43023</v>
      </c>
      <c r="E1189" s="12">
        <v>43026</v>
      </c>
      <c r="F1189" s="12">
        <v>43025</v>
      </c>
      <c r="G1189">
        <v>2</v>
      </c>
      <c r="H1189">
        <v>7</v>
      </c>
      <c r="I1189" t="str">
        <f t="shared" si="18"/>
        <v>Delivered</v>
      </c>
    </row>
    <row r="1190" spans="1:9" x14ac:dyDescent="0.3">
      <c r="A1190">
        <v>1189</v>
      </c>
      <c r="B1190">
        <v>1090</v>
      </c>
      <c r="C1190">
        <v>4</v>
      </c>
      <c r="D1190" s="12">
        <v>43023</v>
      </c>
      <c r="E1190" s="12">
        <v>43025</v>
      </c>
      <c r="F1190" s="12">
        <v>43026</v>
      </c>
      <c r="G1190">
        <v>2</v>
      </c>
      <c r="H1190">
        <v>6</v>
      </c>
      <c r="I1190" t="str">
        <f t="shared" si="18"/>
        <v>Shipped</v>
      </c>
    </row>
    <row r="1191" spans="1:9" x14ac:dyDescent="0.3">
      <c r="A1191">
        <v>1190</v>
      </c>
      <c r="B1191">
        <v>34</v>
      </c>
      <c r="C1191">
        <v>4</v>
      </c>
      <c r="D1191" s="12">
        <v>43024</v>
      </c>
      <c r="E1191" s="12">
        <v>43027</v>
      </c>
      <c r="F1191" s="12">
        <v>43025</v>
      </c>
      <c r="G1191">
        <v>2</v>
      </c>
      <c r="H1191">
        <v>6</v>
      </c>
      <c r="I1191" t="str">
        <f t="shared" si="18"/>
        <v>Delivered</v>
      </c>
    </row>
    <row r="1192" spans="1:9" x14ac:dyDescent="0.3">
      <c r="A1192">
        <v>1191</v>
      </c>
      <c r="B1192">
        <v>186</v>
      </c>
      <c r="C1192">
        <v>4</v>
      </c>
      <c r="D1192" s="12">
        <v>43025</v>
      </c>
      <c r="E1192" s="12">
        <v>43026</v>
      </c>
      <c r="F1192" s="12">
        <v>43026</v>
      </c>
      <c r="G1192">
        <v>2</v>
      </c>
      <c r="H1192">
        <v>6</v>
      </c>
      <c r="I1192" t="str">
        <f t="shared" si="18"/>
        <v>Shipped</v>
      </c>
    </row>
    <row r="1193" spans="1:9" x14ac:dyDescent="0.3">
      <c r="A1193">
        <v>1192</v>
      </c>
      <c r="B1193">
        <v>1114</v>
      </c>
      <c r="C1193">
        <v>4</v>
      </c>
      <c r="D1193" s="12">
        <v>43025</v>
      </c>
      <c r="E1193" s="12">
        <v>43027</v>
      </c>
      <c r="F1193" s="12">
        <v>43026</v>
      </c>
      <c r="G1193">
        <v>2</v>
      </c>
      <c r="H1193">
        <v>6</v>
      </c>
      <c r="I1193" t="str">
        <f t="shared" si="18"/>
        <v>Delivered</v>
      </c>
    </row>
    <row r="1194" spans="1:9" x14ac:dyDescent="0.3">
      <c r="A1194">
        <v>1193</v>
      </c>
      <c r="B1194">
        <v>1412</v>
      </c>
      <c r="C1194">
        <v>4</v>
      </c>
      <c r="D1194" s="12">
        <v>43025</v>
      </c>
      <c r="E1194" s="12">
        <v>43027</v>
      </c>
      <c r="F1194" s="12">
        <v>43027</v>
      </c>
      <c r="G1194">
        <v>2</v>
      </c>
      <c r="H1194">
        <v>7</v>
      </c>
      <c r="I1194" t="str">
        <f t="shared" si="18"/>
        <v>Shipped</v>
      </c>
    </row>
    <row r="1195" spans="1:9" x14ac:dyDescent="0.3">
      <c r="A1195">
        <v>1194</v>
      </c>
      <c r="B1195">
        <v>192</v>
      </c>
      <c r="C1195">
        <v>4</v>
      </c>
      <c r="D1195" s="12">
        <v>43027</v>
      </c>
      <c r="E1195" s="12">
        <v>43030</v>
      </c>
      <c r="F1195" s="12">
        <v>43030</v>
      </c>
      <c r="G1195">
        <v>1</v>
      </c>
      <c r="H1195">
        <v>2</v>
      </c>
      <c r="I1195" t="str">
        <f t="shared" si="18"/>
        <v>Shipped</v>
      </c>
    </row>
    <row r="1196" spans="1:9" x14ac:dyDescent="0.3">
      <c r="A1196">
        <v>1195</v>
      </c>
      <c r="B1196">
        <v>229</v>
      </c>
      <c r="C1196">
        <v>4</v>
      </c>
      <c r="D1196" s="12">
        <v>43027</v>
      </c>
      <c r="E1196" s="12">
        <v>43029</v>
      </c>
      <c r="F1196" s="12">
        <v>43029</v>
      </c>
      <c r="G1196">
        <v>2</v>
      </c>
      <c r="H1196">
        <v>7</v>
      </c>
      <c r="I1196" t="str">
        <f t="shared" si="18"/>
        <v>Shipped</v>
      </c>
    </row>
    <row r="1197" spans="1:9" x14ac:dyDescent="0.3">
      <c r="A1197">
        <v>1196</v>
      </c>
      <c r="B1197">
        <v>508</v>
      </c>
      <c r="C1197">
        <v>4</v>
      </c>
      <c r="D1197" s="12">
        <v>43027</v>
      </c>
      <c r="E1197" s="12">
        <v>43029</v>
      </c>
      <c r="F1197" s="12">
        <v>43028</v>
      </c>
      <c r="G1197">
        <v>2</v>
      </c>
      <c r="H1197">
        <v>6</v>
      </c>
      <c r="I1197" t="str">
        <f t="shared" si="18"/>
        <v>Delivered</v>
      </c>
    </row>
    <row r="1198" spans="1:9" x14ac:dyDescent="0.3">
      <c r="A1198">
        <v>1197</v>
      </c>
      <c r="B1198">
        <v>269</v>
      </c>
      <c r="C1198">
        <v>4</v>
      </c>
      <c r="D1198" s="12">
        <v>43029</v>
      </c>
      <c r="E1198" s="12">
        <v>43031</v>
      </c>
      <c r="F1198" s="12">
        <v>43031</v>
      </c>
      <c r="G1198">
        <v>2</v>
      </c>
      <c r="H1198">
        <v>6</v>
      </c>
      <c r="I1198" t="str">
        <f t="shared" si="18"/>
        <v>Shipped</v>
      </c>
    </row>
    <row r="1199" spans="1:9" x14ac:dyDescent="0.3">
      <c r="A1199">
        <v>1198</v>
      </c>
      <c r="B1199">
        <v>1289</v>
      </c>
      <c r="C1199">
        <v>4</v>
      </c>
      <c r="D1199" s="12">
        <v>43030</v>
      </c>
      <c r="E1199" s="12">
        <v>43032</v>
      </c>
      <c r="F1199" s="12">
        <v>43032</v>
      </c>
      <c r="G1199">
        <v>2</v>
      </c>
      <c r="H1199">
        <v>7</v>
      </c>
      <c r="I1199" t="str">
        <f t="shared" si="18"/>
        <v>Shipped</v>
      </c>
    </row>
    <row r="1200" spans="1:9" x14ac:dyDescent="0.3">
      <c r="A1200">
        <v>1199</v>
      </c>
      <c r="B1200">
        <v>318</v>
      </c>
      <c r="C1200">
        <v>4</v>
      </c>
      <c r="D1200" s="12">
        <v>43031</v>
      </c>
      <c r="E1200" s="12">
        <v>43032</v>
      </c>
      <c r="F1200" s="12">
        <v>43034</v>
      </c>
      <c r="G1200">
        <v>1</v>
      </c>
      <c r="H1200">
        <v>2</v>
      </c>
      <c r="I1200" t="str">
        <f t="shared" si="18"/>
        <v>Shipped</v>
      </c>
    </row>
    <row r="1201" spans="1:9" x14ac:dyDescent="0.3">
      <c r="A1201">
        <v>1200</v>
      </c>
      <c r="B1201">
        <v>48</v>
      </c>
      <c r="C1201">
        <v>4</v>
      </c>
      <c r="D1201" s="12">
        <v>43031</v>
      </c>
      <c r="E1201" s="12">
        <v>43033</v>
      </c>
      <c r="F1201" s="12">
        <v>43034</v>
      </c>
      <c r="G1201">
        <v>2</v>
      </c>
      <c r="H1201">
        <v>6</v>
      </c>
      <c r="I1201" t="str">
        <f t="shared" si="18"/>
        <v>Shipped</v>
      </c>
    </row>
    <row r="1202" spans="1:9" x14ac:dyDescent="0.3">
      <c r="A1202">
        <v>1201</v>
      </c>
      <c r="B1202">
        <v>201</v>
      </c>
      <c r="C1202">
        <v>4</v>
      </c>
      <c r="D1202" s="12">
        <v>43031</v>
      </c>
      <c r="E1202" s="12">
        <v>43032</v>
      </c>
      <c r="F1202" s="12">
        <v>43032</v>
      </c>
      <c r="G1202">
        <v>2</v>
      </c>
      <c r="H1202">
        <v>6</v>
      </c>
      <c r="I1202" t="str">
        <f t="shared" si="18"/>
        <v>Shipped</v>
      </c>
    </row>
    <row r="1203" spans="1:9" x14ac:dyDescent="0.3">
      <c r="A1203">
        <v>1202</v>
      </c>
      <c r="B1203">
        <v>593</v>
      </c>
      <c r="C1203">
        <v>4</v>
      </c>
      <c r="D1203" s="12">
        <v>43032</v>
      </c>
      <c r="E1203" s="12">
        <v>43033</v>
      </c>
      <c r="F1203" s="12">
        <v>43033</v>
      </c>
      <c r="G1203">
        <v>2</v>
      </c>
      <c r="H1203">
        <v>6</v>
      </c>
      <c r="I1203" t="str">
        <f t="shared" si="18"/>
        <v>Shipped</v>
      </c>
    </row>
    <row r="1204" spans="1:9" x14ac:dyDescent="0.3">
      <c r="A1204">
        <v>1203</v>
      </c>
      <c r="B1204">
        <v>1191</v>
      </c>
      <c r="C1204">
        <v>4</v>
      </c>
      <c r="D1204" s="12">
        <v>43033</v>
      </c>
      <c r="E1204" s="12">
        <v>43035</v>
      </c>
      <c r="F1204" s="12">
        <v>43034</v>
      </c>
      <c r="G1204">
        <v>2</v>
      </c>
      <c r="H1204">
        <v>7</v>
      </c>
      <c r="I1204" t="str">
        <f t="shared" si="18"/>
        <v>Delivered</v>
      </c>
    </row>
    <row r="1205" spans="1:9" x14ac:dyDescent="0.3">
      <c r="A1205">
        <v>1204</v>
      </c>
      <c r="B1205">
        <v>1277</v>
      </c>
      <c r="C1205">
        <v>4</v>
      </c>
      <c r="D1205" s="12">
        <v>43033</v>
      </c>
      <c r="E1205" s="12">
        <v>43036</v>
      </c>
      <c r="F1205" s="12">
        <v>43036</v>
      </c>
      <c r="G1205">
        <v>2</v>
      </c>
      <c r="H1205">
        <v>6</v>
      </c>
      <c r="I1205" t="str">
        <f t="shared" si="18"/>
        <v>Shipped</v>
      </c>
    </row>
    <row r="1206" spans="1:9" x14ac:dyDescent="0.3">
      <c r="A1206">
        <v>1205</v>
      </c>
      <c r="B1206">
        <v>1091</v>
      </c>
      <c r="C1206">
        <v>4</v>
      </c>
      <c r="D1206" s="12">
        <v>43034</v>
      </c>
      <c r="E1206" s="12">
        <v>43036</v>
      </c>
      <c r="F1206" s="12">
        <v>43036</v>
      </c>
      <c r="G1206">
        <v>1</v>
      </c>
      <c r="H1206">
        <v>2</v>
      </c>
      <c r="I1206" t="str">
        <f t="shared" si="18"/>
        <v>Shipped</v>
      </c>
    </row>
    <row r="1207" spans="1:9" x14ac:dyDescent="0.3">
      <c r="A1207">
        <v>1206</v>
      </c>
      <c r="B1207">
        <v>222</v>
      </c>
      <c r="C1207">
        <v>4</v>
      </c>
      <c r="D1207" s="12">
        <v>43034</v>
      </c>
      <c r="E1207" s="12">
        <v>43037</v>
      </c>
      <c r="F1207" s="12">
        <v>43037</v>
      </c>
      <c r="G1207">
        <v>2</v>
      </c>
      <c r="H1207">
        <v>6</v>
      </c>
      <c r="I1207" t="str">
        <f t="shared" si="18"/>
        <v>Shipped</v>
      </c>
    </row>
    <row r="1208" spans="1:9" x14ac:dyDescent="0.3">
      <c r="A1208">
        <v>1207</v>
      </c>
      <c r="B1208">
        <v>1002</v>
      </c>
      <c r="C1208">
        <v>4</v>
      </c>
      <c r="D1208" s="12">
        <v>43034</v>
      </c>
      <c r="E1208" s="12">
        <v>43036</v>
      </c>
      <c r="F1208" s="12">
        <v>43035</v>
      </c>
      <c r="G1208">
        <v>2</v>
      </c>
      <c r="H1208">
        <v>6</v>
      </c>
      <c r="I1208" t="str">
        <f t="shared" si="18"/>
        <v>Delivered</v>
      </c>
    </row>
    <row r="1209" spans="1:9" x14ac:dyDescent="0.3">
      <c r="A1209">
        <v>1208</v>
      </c>
      <c r="B1209">
        <v>1226</v>
      </c>
      <c r="C1209">
        <v>4</v>
      </c>
      <c r="D1209" s="12">
        <v>43034</v>
      </c>
      <c r="E1209" s="12">
        <v>43036</v>
      </c>
      <c r="F1209" s="12">
        <v>43035</v>
      </c>
      <c r="G1209">
        <v>2</v>
      </c>
      <c r="H1209">
        <v>7</v>
      </c>
      <c r="I1209" t="str">
        <f t="shared" si="18"/>
        <v>Delivered</v>
      </c>
    </row>
    <row r="1210" spans="1:9" x14ac:dyDescent="0.3">
      <c r="A1210">
        <v>1209</v>
      </c>
      <c r="B1210">
        <v>1342</v>
      </c>
      <c r="C1210">
        <v>4</v>
      </c>
      <c r="D1210" s="12">
        <v>43034</v>
      </c>
      <c r="E1210" s="12">
        <v>43035</v>
      </c>
      <c r="F1210" s="12">
        <v>43037</v>
      </c>
      <c r="G1210">
        <v>2</v>
      </c>
      <c r="H1210">
        <v>7</v>
      </c>
      <c r="I1210" t="str">
        <f t="shared" si="18"/>
        <v>Shipped</v>
      </c>
    </row>
    <row r="1211" spans="1:9" x14ac:dyDescent="0.3">
      <c r="A1211">
        <v>1210</v>
      </c>
      <c r="B1211">
        <v>730</v>
      </c>
      <c r="C1211">
        <v>4</v>
      </c>
      <c r="D1211" s="12">
        <v>43034</v>
      </c>
      <c r="E1211" s="12">
        <v>43035</v>
      </c>
      <c r="F1211" s="12">
        <v>43037</v>
      </c>
      <c r="G1211">
        <v>3</v>
      </c>
      <c r="H1211">
        <v>8</v>
      </c>
      <c r="I1211" t="str">
        <f t="shared" si="18"/>
        <v>Shipped</v>
      </c>
    </row>
    <row r="1212" spans="1:9" x14ac:dyDescent="0.3">
      <c r="A1212">
        <v>1211</v>
      </c>
      <c r="B1212">
        <v>19</v>
      </c>
      <c r="C1212">
        <v>4</v>
      </c>
      <c r="D1212" s="12">
        <v>43035</v>
      </c>
      <c r="E1212" s="12">
        <v>43036</v>
      </c>
      <c r="F1212" s="12">
        <v>43037</v>
      </c>
      <c r="G1212">
        <v>2</v>
      </c>
      <c r="H1212">
        <v>7</v>
      </c>
      <c r="I1212" t="str">
        <f t="shared" si="18"/>
        <v>Shipped</v>
      </c>
    </row>
    <row r="1213" spans="1:9" x14ac:dyDescent="0.3">
      <c r="A1213">
        <v>1212</v>
      </c>
      <c r="B1213">
        <v>213</v>
      </c>
      <c r="C1213">
        <v>4</v>
      </c>
      <c r="D1213" s="12">
        <v>43035</v>
      </c>
      <c r="E1213" s="12">
        <v>43038</v>
      </c>
      <c r="F1213" s="12">
        <v>43037</v>
      </c>
      <c r="G1213">
        <v>2</v>
      </c>
      <c r="H1213">
        <v>6</v>
      </c>
      <c r="I1213" t="str">
        <f t="shared" si="18"/>
        <v>Delivered</v>
      </c>
    </row>
    <row r="1214" spans="1:9" x14ac:dyDescent="0.3">
      <c r="A1214">
        <v>1213</v>
      </c>
      <c r="B1214">
        <v>669</v>
      </c>
      <c r="C1214">
        <v>4</v>
      </c>
      <c r="D1214" s="12">
        <v>43035</v>
      </c>
      <c r="E1214" s="12">
        <v>43037</v>
      </c>
      <c r="F1214" s="12">
        <v>43037</v>
      </c>
      <c r="G1214">
        <v>3</v>
      </c>
      <c r="H1214">
        <v>9</v>
      </c>
      <c r="I1214" t="str">
        <f t="shared" si="18"/>
        <v>Shipped</v>
      </c>
    </row>
    <row r="1215" spans="1:9" x14ac:dyDescent="0.3">
      <c r="A1215">
        <v>1214</v>
      </c>
      <c r="B1215">
        <v>783</v>
      </c>
      <c r="C1215">
        <v>4</v>
      </c>
      <c r="D1215" s="12">
        <v>43036</v>
      </c>
      <c r="E1215" s="12">
        <v>43037</v>
      </c>
      <c r="F1215" s="12">
        <v>43037</v>
      </c>
      <c r="G1215">
        <v>2</v>
      </c>
      <c r="H1215">
        <v>6</v>
      </c>
      <c r="I1215" t="str">
        <f t="shared" si="18"/>
        <v>Shipped</v>
      </c>
    </row>
    <row r="1216" spans="1:9" x14ac:dyDescent="0.3">
      <c r="A1216">
        <v>1215</v>
      </c>
      <c r="B1216">
        <v>807</v>
      </c>
      <c r="C1216">
        <v>4</v>
      </c>
      <c r="D1216" s="12">
        <v>43036</v>
      </c>
      <c r="E1216" s="12">
        <v>43039</v>
      </c>
      <c r="F1216" s="12">
        <v>43038</v>
      </c>
      <c r="G1216">
        <v>2</v>
      </c>
      <c r="H1216">
        <v>7</v>
      </c>
      <c r="I1216" t="str">
        <f t="shared" si="18"/>
        <v>Delivered</v>
      </c>
    </row>
    <row r="1217" spans="1:9" x14ac:dyDescent="0.3">
      <c r="A1217">
        <v>1216</v>
      </c>
      <c r="B1217">
        <v>886</v>
      </c>
      <c r="C1217">
        <v>4</v>
      </c>
      <c r="D1217" s="12">
        <v>43036</v>
      </c>
      <c r="E1217" s="12">
        <v>43038</v>
      </c>
      <c r="F1217" s="12">
        <v>43037</v>
      </c>
      <c r="G1217">
        <v>2</v>
      </c>
      <c r="H1217">
        <v>7</v>
      </c>
      <c r="I1217" t="str">
        <f t="shared" si="18"/>
        <v>Delivered</v>
      </c>
    </row>
    <row r="1218" spans="1:9" x14ac:dyDescent="0.3">
      <c r="A1218">
        <v>1217</v>
      </c>
      <c r="B1218">
        <v>1155</v>
      </c>
      <c r="C1218">
        <v>4</v>
      </c>
      <c r="D1218" s="12">
        <v>43036</v>
      </c>
      <c r="E1218" s="12">
        <v>43039</v>
      </c>
      <c r="F1218" s="12">
        <v>43038</v>
      </c>
      <c r="G1218">
        <v>2</v>
      </c>
      <c r="H1218">
        <v>7</v>
      </c>
      <c r="I1218" t="str">
        <f t="shared" si="18"/>
        <v>Delivered</v>
      </c>
    </row>
    <row r="1219" spans="1:9" x14ac:dyDescent="0.3">
      <c r="A1219">
        <v>1218</v>
      </c>
      <c r="B1219">
        <v>1017</v>
      </c>
      <c r="C1219">
        <v>4</v>
      </c>
      <c r="D1219" s="12">
        <v>43038</v>
      </c>
      <c r="E1219" s="12">
        <v>43040</v>
      </c>
      <c r="F1219" s="12">
        <v>43039</v>
      </c>
      <c r="G1219">
        <v>1</v>
      </c>
      <c r="H1219">
        <v>2</v>
      </c>
      <c r="I1219" t="str">
        <f t="shared" ref="I1219:I1282" si="19">IF(F1219="NA","Pending",IF(OR(E1219=F1219,E1219&lt;F1219),"Shipped","Delivered"))</f>
        <v>Delivered</v>
      </c>
    </row>
    <row r="1220" spans="1:9" x14ac:dyDescent="0.3">
      <c r="A1220">
        <v>1219</v>
      </c>
      <c r="B1220">
        <v>840</v>
      </c>
      <c r="C1220">
        <v>4</v>
      </c>
      <c r="D1220" s="12">
        <v>43038</v>
      </c>
      <c r="E1220" s="12">
        <v>43041</v>
      </c>
      <c r="F1220" s="12">
        <v>43041</v>
      </c>
      <c r="G1220">
        <v>2</v>
      </c>
      <c r="H1220">
        <v>7</v>
      </c>
      <c r="I1220" t="str">
        <f t="shared" si="19"/>
        <v>Shipped</v>
      </c>
    </row>
    <row r="1221" spans="1:9" x14ac:dyDescent="0.3">
      <c r="A1221">
        <v>1220</v>
      </c>
      <c r="B1221">
        <v>803</v>
      </c>
      <c r="C1221">
        <v>4</v>
      </c>
      <c r="D1221" s="12">
        <v>43039</v>
      </c>
      <c r="E1221" s="12">
        <v>43042</v>
      </c>
      <c r="F1221" s="12">
        <v>43042</v>
      </c>
      <c r="G1221">
        <v>2</v>
      </c>
      <c r="H1221">
        <v>6</v>
      </c>
      <c r="I1221" t="str">
        <f t="shared" si="19"/>
        <v>Shipped</v>
      </c>
    </row>
    <row r="1222" spans="1:9" x14ac:dyDescent="0.3">
      <c r="A1222">
        <v>1221</v>
      </c>
      <c r="B1222">
        <v>1290</v>
      </c>
      <c r="C1222">
        <v>4</v>
      </c>
      <c r="D1222" s="12">
        <v>43039</v>
      </c>
      <c r="E1222" s="12">
        <v>43041</v>
      </c>
      <c r="F1222" s="12">
        <v>43040</v>
      </c>
      <c r="G1222">
        <v>2</v>
      </c>
      <c r="H1222">
        <v>7</v>
      </c>
      <c r="I1222" t="str">
        <f t="shared" si="19"/>
        <v>Delivered</v>
      </c>
    </row>
    <row r="1223" spans="1:9" x14ac:dyDescent="0.3">
      <c r="A1223">
        <v>1222</v>
      </c>
      <c r="B1223">
        <v>482</v>
      </c>
      <c r="C1223">
        <v>4</v>
      </c>
      <c r="D1223" s="12">
        <v>43040</v>
      </c>
      <c r="E1223" s="12">
        <v>43043</v>
      </c>
      <c r="F1223" s="12">
        <v>43042</v>
      </c>
      <c r="G1223">
        <v>3</v>
      </c>
      <c r="H1223">
        <v>9</v>
      </c>
      <c r="I1223" t="str">
        <f t="shared" si="19"/>
        <v>Delivered</v>
      </c>
    </row>
    <row r="1224" spans="1:9" x14ac:dyDescent="0.3">
      <c r="A1224">
        <v>1223</v>
      </c>
      <c r="B1224">
        <v>1207</v>
      </c>
      <c r="C1224">
        <v>4</v>
      </c>
      <c r="D1224" s="12">
        <v>43041</v>
      </c>
      <c r="E1224" s="12">
        <v>43042</v>
      </c>
      <c r="F1224" s="12">
        <v>43042</v>
      </c>
      <c r="G1224">
        <v>2</v>
      </c>
      <c r="H1224">
        <v>6</v>
      </c>
      <c r="I1224" t="str">
        <f t="shared" si="19"/>
        <v>Shipped</v>
      </c>
    </row>
    <row r="1225" spans="1:9" x14ac:dyDescent="0.3">
      <c r="A1225">
        <v>1224</v>
      </c>
      <c r="B1225">
        <v>544</v>
      </c>
      <c r="C1225">
        <v>4</v>
      </c>
      <c r="D1225" s="12">
        <v>43042</v>
      </c>
      <c r="E1225" s="12">
        <v>43043</v>
      </c>
      <c r="F1225" s="12">
        <v>43043</v>
      </c>
      <c r="G1225">
        <v>2</v>
      </c>
      <c r="H1225">
        <v>6</v>
      </c>
      <c r="I1225" t="str">
        <f t="shared" si="19"/>
        <v>Shipped</v>
      </c>
    </row>
    <row r="1226" spans="1:9" x14ac:dyDescent="0.3">
      <c r="A1226">
        <v>1225</v>
      </c>
      <c r="B1226">
        <v>768</v>
      </c>
      <c r="C1226">
        <v>4</v>
      </c>
      <c r="D1226" s="12">
        <v>43043</v>
      </c>
      <c r="E1226" s="12">
        <v>43044</v>
      </c>
      <c r="F1226" s="12">
        <v>43046</v>
      </c>
      <c r="G1226">
        <v>1</v>
      </c>
      <c r="H1226">
        <v>2</v>
      </c>
      <c r="I1226" t="str">
        <f t="shared" si="19"/>
        <v>Shipped</v>
      </c>
    </row>
    <row r="1227" spans="1:9" x14ac:dyDescent="0.3">
      <c r="A1227">
        <v>1226</v>
      </c>
      <c r="B1227">
        <v>226</v>
      </c>
      <c r="C1227">
        <v>4</v>
      </c>
      <c r="D1227" s="12">
        <v>43043</v>
      </c>
      <c r="E1227" s="12">
        <v>43046</v>
      </c>
      <c r="F1227" s="12">
        <v>43045</v>
      </c>
      <c r="G1227">
        <v>2</v>
      </c>
      <c r="H1227">
        <v>7</v>
      </c>
      <c r="I1227" t="str">
        <f t="shared" si="19"/>
        <v>Delivered</v>
      </c>
    </row>
    <row r="1228" spans="1:9" x14ac:dyDescent="0.3">
      <c r="A1228">
        <v>1227</v>
      </c>
      <c r="B1228">
        <v>702</v>
      </c>
      <c r="C1228">
        <v>4</v>
      </c>
      <c r="D1228" s="12">
        <v>43043</v>
      </c>
      <c r="E1228" s="12">
        <v>43046</v>
      </c>
      <c r="F1228" s="12">
        <v>43045</v>
      </c>
      <c r="G1228">
        <v>2</v>
      </c>
      <c r="H1228">
        <v>6</v>
      </c>
      <c r="I1228" t="str">
        <f t="shared" si="19"/>
        <v>Delivered</v>
      </c>
    </row>
    <row r="1229" spans="1:9" x14ac:dyDescent="0.3">
      <c r="A1229">
        <v>1228</v>
      </c>
      <c r="B1229">
        <v>1041</v>
      </c>
      <c r="C1229">
        <v>4</v>
      </c>
      <c r="D1229" s="12">
        <v>43043</v>
      </c>
      <c r="E1229" s="12">
        <v>43045</v>
      </c>
      <c r="F1229" s="12">
        <v>43045</v>
      </c>
      <c r="G1229">
        <v>2</v>
      </c>
      <c r="H1229">
        <v>6</v>
      </c>
      <c r="I1229" t="str">
        <f t="shared" si="19"/>
        <v>Shipped</v>
      </c>
    </row>
    <row r="1230" spans="1:9" x14ac:dyDescent="0.3">
      <c r="A1230">
        <v>1229</v>
      </c>
      <c r="B1230">
        <v>89</v>
      </c>
      <c r="C1230">
        <v>4</v>
      </c>
      <c r="D1230" s="12">
        <v>43044</v>
      </c>
      <c r="E1230" s="12">
        <v>43047</v>
      </c>
      <c r="F1230" s="12">
        <v>43045</v>
      </c>
      <c r="G1230">
        <v>1</v>
      </c>
      <c r="H1230">
        <v>3</v>
      </c>
      <c r="I1230" t="str">
        <f t="shared" si="19"/>
        <v>Delivered</v>
      </c>
    </row>
    <row r="1231" spans="1:9" x14ac:dyDescent="0.3">
      <c r="A1231">
        <v>1230</v>
      </c>
      <c r="B1231">
        <v>1107</v>
      </c>
      <c r="C1231">
        <v>4</v>
      </c>
      <c r="D1231" s="12">
        <v>43044</v>
      </c>
      <c r="E1231" s="12">
        <v>43045</v>
      </c>
      <c r="F1231" s="12">
        <v>43046</v>
      </c>
      <c r="G1231">
        <v>2</v>
      </c>
      <c r="H1231">
        <v>6</v>
      </c>
      <c r="I1231" t="str">
        <f t="shared" si="19"/>
        <v>Shipped</v>
      </c>
    </row>
    <row r="1232" spans="1:9" x14ac:dyDescent="0.3">
      <c r="A1232">
        <v>1231</v>
      </c>
      <c r="B1232">
        <v>1180</v>
      </c>
      <c r="C1232">
        <v>4</v>
      </c>
      <c r="D1232" s="12">
        <v>43044</v>
      </c>
      <c r="E1232" s="12">
        <v>43046</v>
      </c>
      <c r="F1232" s="12">
        <v>43045</v>
      </c>
      <c r="G1232">
        <v>2</v>
      </c>
      <c r="H1232">
        <v>6</v>
      </c>
      <c r="I1232" t="str">
        <f t="shared" si="19"/>
        <v>Delivered</v>
      </c>
    </row>
    <row r="1233" spans="1:9" x14ac:dyDescent="0.3">
      <c r="A1233">
        <v>1232</v>
      </c>
      <c r="B1233">
        <v>665</v>
      </c>
      <c r="C1233">
        <v>4</v>
      </c>
      <c r="D1233" s="12">
        <v>43045</v>
      </c>
      <c r="E1233" s="12">
        <v>43046</v>
      </c>
      <c r="F1233" s="12">
        <v>43048</v>
      </c>
      <c r="G1233">
        <v>1</v>
      </c>
      <c r="H1233">
        <v>3</v>
      </c>
      <c r="I1233" t="str">
        <f t="shared" si="19"/>
        <v>Shipped</v>
      </c>
    </row>
    <row r="1234" spans="1:9" x14ac:dyDescent="0.3">
      <c r="A1234">
        <v>1233</v>
      </c>
      <c r="B1234">
        <v>462</v>
      </c>
      <c r="C1234">
        <v>4</v>
      </c>
      <c r="D1234" s="12">
        <v>43045</v>
      </c>
      <c r="E1234" s="12">
        <v>43046</v>
      </c>
      <c r="F1234" s="12">
        <v>43047</v>
      </c>
      <c r="G1234">
        <v>2</v>
      </c>
      <c r="H1234">
        <v>6</v>
      </c>
      <c r="I1234" t="str">
        <f t="shared" si="19"/>
        <v>Shipped</v>
      </c>
    </row>
    <row r="1235" spans="1:9" x14ac:dyDescent="0.3">
      <c r="A1235">
        <v>1234</v>
      </c>
      <c r="B1235">
        <v>19</v>
      </c>
      <c r="C1235">
        <v>3</v>
      </c>
      <c r="D1235" s="12">
        <v>43046</v>
      </c>
      <c r="E1235" s="12">
        <v>43046</v>
      </c>
      <c r="F1235" s="12" t="s">
        <v>5611</v>
      </c>
      <c r="G1235">
        <v>2</v>
      </c>
      <c r="H1235">
        <v>6</v>
      </c>
      <c r="I1235" t="str">
        <f t="shared" si="19"/>
        <v>Pending</v>
      </c>
    </row>
    <row r="1236" spans="1:9" x14ac:dyDescent="0.3">
      <c r="A1236">
        <v>1235</v>
      </c>
      <c r="B1236">
        <v>210</v>
      </c>
      <c r="C1236">
        <v>4</v>
      </c>
      <c r="D1236" s="12">
        <v>43046</v>
      </c>
      <c r="E1236" s="12">
        <v>43047</v>
      </c>
      <c r="F1236" s="12">
        <v>43048</v>
      </c>
      <c r="G1236">
        <v>2</v>
      </c>
      <c r="H1236">
        <v>6</v>
      </c>
      <c r="I1236" t="str">
        <f t="shared" si="19"/>
        <v>Shipped</v>
      </c>
    </row>
    <row r="1237" spans="1:9" x14ac:dyDescent="0.3">
      <c r="A1237">
        <v>1236</v>
      </c>
      <c r="B1237">
        <v>243</v>
      </c>
      <c r="C1237">
        <v>4</v>
      </c>
      <c r="D1237" s="12">
        <v>43047</v>
      </c>
      <c r="E1237" s="12">
        <v>43050</v>
      </c>
      <c r="F1237" s="12">
        <v>43048</v>
      </c>
      <c r="G1237">
        <v>2</v>
      </c>
      <c r="H1237">
        <v>7</v>
      </c>
      <c r="I1237" t="str">
        <f t="shared" si="19"/>
        <v>Delivered</v>
      </c>
    </row>
    <row r="1238" spans="1:9" x14ac:dyDescent="0.3">
      <c r="A1238">
        <v>1237</v>
      </c>
      <c r="B1238">
        <v>571</v>
      </c>
      <c r="C1238">
        <v>4</v>
      </c>
      <c r="D1238" s="12">
        <v>43048</v>
      </c>
      <c r="E1238" s="12">
        <v>43051</v>
      </c>
      <c r="F1238" s="12">
        <v>43050</v>
      </c>
      <c r="G1238">
        <v>1</v>
      </c>
      <c r="H1238">
        <v>2</v>
      </c>
      <c r="I1238" t="str">
        <f t="shared" si="19"/>
        <v>Delivered</v>
      </c>
    </row>
    <row r="1239" spans="1:9" x14ac:dyDescent="0.3">
      <c r="A1239">
        <v>1238</v>
      </c>
      <c r="B1239">
        <v>998</v>
      </c>
      <c r="C1239">
        <v>4</v>
      </c>
      <c r="D1239" s="12">
        <v>43048</v>
      </c>
      <c r="E1239" s="12">
        <v>43049</v>
      </c>
      <c r="F1239" s="12">
        <v>43050</v>
      </c>
      <c r="G1239">
        <v>2</v>
      </c>
      <c r="H1239">
        <v>6</v>
      </c>
      <c r="I1239" t="str">
        <f t="shared" si="19"/>
        <v>Shipped</v>
      </c>
    </row>
    <row r="1240" spans="1:9" x14ac:dyDescent="0.3">
      <c r="A1240">
        <v>1239</v>
      </c>
      <c r="B1240">
        <v>1197</v>
      </c>
      <c r="C1240">
        <v>4</v>
      </c>
      <c r="D1240" s="12">
        <v>43048</v>
      </c>
      <c r="E1240" s="12">
        <v>43049</v>
      </c>
      <c r="F1240" s="12">
        <v>43050</v>
      </c>
      <c r="G1240">
        <v>2</v>
      </c>
      <c r="H1240">
        <v>7</v>
      </c>
      <c r="I1240" t="str">
        <f t="shared" si="19"/>
        <v>Shipped</v>
      </c>
    </row>
    <row r="1241" spans="1:9" x14ac:dyDescent="0.3">
      <c r="A1241">
        <v>1240</v>
      </c>
      <c r="B1241">
        <v>903</v>
      </c>
      <c r="C1241">
        <v>4</v>
      </c>
      <c r="D1241" s="12">
        <v>43049</v>
      </c>
      <c r="E1241" s="12">
        <v>43050</v>
      </c>
      <c r="F1241" s="12">
        <v>43050</v>
      </c>
      <c r="G1241">
        <v>2</v>
      </c>
      <c r="H1241">
        <v>7</v>
      </c>
      <c r="I1241" t="str">
        <f t="shared" si="19"/>
        <v>Shipped</v>
      </c>
    </row>
    <row r="1242" spans="1:9" x14ac:dyDescent="0.3">
      <c r="A1242">
        <v>1241</v>
      </c>
      <c r="B1242">
        <v>1170</v>
      </c>
      <c r="C1242">
        <v>4</v>
      </c>
      <c r="D1242" s="12">
        <v>43049</v>
      </c>
      <c r="E1242" s="12">
        <v>43051</v>
      </c>
      <c r="F1242" s="12">
        <v>43050</v>
      </c>
      <c r="G1242">
        <v>2</v>
      </c>
      <c r="H1242">
        <v>7</v>
      </c>
      <c r="I1242" t="str">
        <f t="shared" si="19"/>
        <v>Delivered</v>
      </c>
    </row>
    <row r="1243" spans="1:9" x14ac:dyDescent="0.3">
      <c r="A1243">
        <v>1242</v>
      </c>
      <c r="B1243">
        <v>303</v>
      </c>
      <c r="C1243">
        <v>4</v>
      </c>
      <c r="D1243" s="12">
        <v>43050</v>
      </c>
      <c r="E1243" s="12">
        <v>43051</v>
      </c>
      <c r="F1243" s="12">
        <v>43051</v>
      </c>
      <c r="G1243">
        <v>2</v>
      </c>
      <c r="H1243">
        <v>6</v>
      </c>
      <c r="I1243" t="str">
        <f t="shared" si="19"/>
        <v>Shipped</v>
      </c>
    </row>
    <row r="1244" spans="1:9" x14ac:dyDescent="0.3">
      <c r="A1244">
        <v>1243</v>
      </c>
      <c r="B1244">
        <v>346</v>
      </c>
      <c r="C1244">
        <v>4</v>
      </c>
      <c r="D1244" s="12">
        <v>43050</v>
      </c>
      <c r="E1244" s="12">
        <v>43052</v>
      </c>
      <c r="F1244" s="12">
        <v>43053</v>
      </c>
      <c r="G1244">
        <v>2</v>
      </c>
      <c r="H1244">
        <v>6</v>
      </c>
      <c r="I1244" t="str">
        <f t="shared" si="19"/>
        <v>Shipped</v>
      </c>
    </row>
    <row r="1245" spans="1:9" x14ac:dyDescent="0.3">
      <c r="A1245">
        <v>1244</v>
      </c>
      <c r="B1245">
        <v>333</v>
      </c>
      <c r="C1245">
        <v>4</v>
      </c>
      <c r="D1245" s="12">
        <v>43051</v>
      </c>
      <c r="E1245" s="12">
        <v>43053</v>
      </c>
      <c r="F1245" s="12">
        <v>43052</v>
      </c>
      <c r="G1245">
        <v>2</v>
      </c>
      <c r="H1245">
        <v>6</v>
      </c>
      <c r="I1245" t="str">
        <f t="shared" si="19"/>
        <v>Delivered</v>
      </c>
    </row>
    <row r="1246" spans="1:9" x14ac:dyDescent="0.3">
      <c r="A1246">
        <v>1245</v>
      </c>
      <c r="B1246">
        <v>1166</v>
      </c>
      <c r="C1246">
        <v>4</v>
      </c>
      <c r="D1246" s="12">
        <v>43052</v>
      </c>
      <c r="E1246" s="12">
        <v>43055</v>
      </c>
      <c r="F1246" s="12">
        <v>43053</v>
      </c>
      <c r="G1246">
        <v>2</v>
      </c>
      <c r="H1246">
        <v>7</v>
      </c>
      <c r="I1246" t="str">
        <f t="shared" si="19"/>
        <v>Delivered</v>
      </c>
    </row>
    <row r="1247" spans="1:9" x14ac:dyDescent="0.3">
      <c r="A1247">
        <v>1246</v>
      </c>
      <c r="B1247">
        <v>1329</v>
      </c>
      <c r="C1247">
        <v>4</v>
      </c>
      <c r="D1247" s="12">
        <v>43052</v>
      </c>
      <c r="E1247" s="12">
        <v>43055</v>
      </c>
      <c r="F1247" s="12">
        <v>43055</v>
      </c>
      <c r="G1247">
        <v>2</v>
      </c>
      <c r="H1247">
        <v>7</v>
      </c>
      <c r="I1247" t="str">
        <f t="shared" si="19"/>
        <v>Shipped</v>
      </c>
    </row>
    <row r="1248" spans="1:9" x14ac:dyDescent="0.3">
      <c r="A1248">
        <v>1247</v>
      </c>
      <c r="B1248">
        <v>426</v>
      </c>
      <c r="C1248">
        <v>4</v>
      </c>
      <c r="D1248" s="12">
        <v>43055</v>
      </c>
      <c r="E1248" s="12">
        <v>43057</v>
      </c>
      <c r="F1248" s="12">
        <v>43056</v>
      </c>
      <c r="G1248">
        <v>1</v>
      </c>
      <c r="H1248">
        <v>2</v>
      </c>
      <c r="I1248" t="str">
        <f t="shared" si="19"/>
        <v>Delivered</v>
      </c>
    </row>
    <row r="1249" spans="1:9" x14ac:dyDescent="0.3">
      <c r="A1249">
        <v>1248</v>
      </c>
      <c r="B1249">
        <v>1367</v>
      </c>
      <c r="C1249">
        <v>4</v>
      </c>
      <c r="D1249" s="12">
        <v>43055</v>
      </c>
      <c r="E1249" s="12">
        <v>43056</v>
      </c>
      <c r="F1249" s="12">
        <v>43057</v>
      </c>
      <c r="G1249">
        <v>1</v>
      </c>
      <c r="H1249">
        <v>3</v>
      </c>
      <c r="I1249" t="str">
        <f t="shared" si="19"/>
        <v>Shipped</v>
      </c>
    </row>
    <row r="1250" spans="1:9" x14ac:dyDescent="0.3">
      <c r="A1250">
        <v>1249</v>
      </c>
      <c r="B1250">
        <v>545</v>
      </c>
      <c r="C1250">
        <v>4</v>
      </c>
      <c r="D1250" s="12">
        <v>43056</v>
      </c>
      <c r="E1250" s="12">
        <v>43057</v>
      </c>
      <c r="F1250" s="12">
        <v>43059</v>
      </c>
      <c r="G1250">
        <v>2</v>
      </c>
      <c r="H1250">
        <v>6</v>
      </c>
      <c r="I1250" t="str">
        <f t="shared" si="19"/>
        <v>Shipped</v>
      </c>
    </row>
    <row r="1251" spans="1:9" x14ac:dyDescent="0.3">
      <c r="A1251">
        <v>1250</v>
      </c>
      <c r="B1251">
        <v>1188</v>
      </c>
      <c r="C1251">
        <v>4</v>
      </c>
      <c r="D1251" s="12">
        <v>43056</v>
      </c>
      <c r="E1251" s="12">
        <v>43058</v>
      </c>
      <c r="F1251" s="12">
        <v>43057</v>
      </c>
      <c r="G1251">
        <v>2</v>
      </c>
      <c r="H1251">
        <v>6</v>
      </c>
      <c r="I1251" t="str">
        <f t="shared" si="19"/>
        <v>Delivered</v>
      </c>
    </row>
    <row r="1252" spans="1:9" x14ac:dyDescent="0.3">
      <c r="A1252">
        <v>1251</v>
      </c>
      <c r="B1252">
        <v>289</v>
      </c>
      <c r="C1252">
        <v>4</v>
      </c>
      <c r="D1252" s="12">
        <v>43056</v>
      </c>
      <c r="E1252" s="12">
        <v>43058</v>
      </c>
      <c r="F1252" s="12">
        <v>43058</v>
      </c>
      <c r="G1252">
        <v>3</v>
      </c>
      <c r="H1252">
        <v>9</v>
      </c>
      <c r="I1252" t="str">
        <f t="shared" si="19"/>
        <v>Shipped</v>
      </c>
    </row>
    <row r="1253" spans="1:9" x14ac:dyDescent="0.3">
      <c r="A1253">
        <v>1252</v>
      </c>
      <c r="B1253">
        <v>110</v>
      </c>
      <c r="C1253">
        <v>4</v>
      </c>
      <c r="D1253" s="12">
        <v>43057</v>
      </c>
      <c r="E1253" s="12">
        <v>43059</v>
      </c>
      <c r="F1253" s="12">
        <v>43060</v>
      </c>
      <c r="G1253">
        <v>1</v>
      </c>
      <c r="H1253">
        <v>3</v>
      </c>
      <c r="I1253" t="str">
        <f t="shared" si="19"/>
        <v>Shipped</v>
      </c>
    </row>
    <row r="1254" spans="1:9" x14ac:dyDescent="0.3">
      <c r="A1254">
        <v>1253</v>
      </c>
      <c r="B1254">
        <v>44</v>
      </c>
      <c r="C1254">
        <v>4</v>
      </c>
      <c r="D1254" s="12">
        <v>43057</v>
      </c>
      <c r="E1254" s="12">
        <v>43060</v>
      </c>
      <c r="F1254" s="12">
        <v>43060</v>
      </c>
      <c r="G1254">
        <v>2</v>
      </c>
      <c r="H1254">
        <v>6</v>
      </c>
      <c r="I1254" t="str">
        <f t="shared" si="19"/>
        <v>Shipped</v>
      </c>
    </row>
    <row r="1255" spans="1:9" x14ac:dyDescent="0.3">
      <c r="A1255">
        <v>1254</v>
      </c>
      <c r="B1255">
        <v>1098</v>
      </c>
      <c r="C1255">
        <v>4</v>
      </c>
      <c r="D1255" s="12">
        <v>43057</v>
      </c>
      <c r="E1255" s="12">
        <v>43058</v>
      </c>
      <c r="F1255" s="12">
        <v>43058</v>
      </c>
      <c r="G1255">
        <v>2</v>
      </c>
      <c r="H1255">
        <v>7</v>
      </c>
      <c r="I1255" t="str">
        <f t="shared" si="19"/>
        <v>Shipped</v>
      </c>
    </row>
    <row r="1256" spans="1:9" x14ac:dyDescent="0.3">
      <c r="A1256">
        <v>1255</v>
      </c>
      <c r="B1256">
        <v>375</v>
      </c>
      <c r="C1256">
        <v>4</v>
      </c>
      <c r="D1256" s="12">
        <v>43058</v>
      </c>
      <c r="E1256" s="12">
        <v>43059</v>
      </c>
      <c r="F1256" s="12">
        <v>43060</v>
      </c>
      <c r="G1256">
        <v>2</v>
      </c>
      <c r="H1256">
        <v>6</v>
      </c>
      <c r="I1256" t="str">
        <f t="shared" si="19"/>
        <v>Shipped</v>
      </c>
    </row>
    <row r="1257" spans="1:9" x14ac:dyDescent="0.3">
      <c r="A1257">
        <v>1256</v>
      </c>
      <c r="B1257">
        <v>458</v>
      </c>
      <c r="C1257">
        <v>4</v>
      </c>
      <c r="D1257" s="12">
        <v>43058</v>
      </c>
      <c r="E1257" s="12">
        <v>43059</v>
      </c>
      <c r="F1257" s="12">
        <v>43061</v>
      </c>
      <c r="G1257">
        <v>2</v>
      </c>
      <c r="H1257">
        <v>6</v>
      </c>
      <c r="I1257" t="str">
        <f t="shared" si="19"/>
        <v>Shipped</v>
      </c>
    </row>
    <row r="1258" spans="1:9" x14ac:dyDescent="0.3">
      <c r="A1258">
        <v>1257</v>
      </c>
      <c r="B1258">
        <v>1136</v>
      </c>
      <c r="C1258">
        <v>4</v>
      </c>
      <c r="D1258" s="12">
        <v>43058</v>
      </c>
      <c r="E1258" s="12">
        <v>43061</v>
      </c>
      <c r="F1258" s="12">
        <v>43059</v>
      </c>
      <c r="G1258">
        <v>2</v>
      </c>
      <c r="H1258">
        <v>7</v>
      </c>
      <c r="I1258" t="str">
        <f t="shared" si="19"/>
        <v>Delivered</v>
      </c>
    </row>
    <row r="1259" spans="1:9" x14ac:dyDescent="0.3">
      <c r="A1259">
        <v>1258</v>
      </c>
      <c r="B1259">
        <v>1099</v>
      </c>
      <c r="C1259">
        <v>4</v>
      </c>
      <c r="D1259" s="12">
        <v>43059</v>
      </c>
      <c r="E1259" s="12">
        <v>43060</v>
      </c>
      <c r="F1259" s="12">
        <v>43061</v>
      </c>
      <c r="G1259">
        <v>2</v>
      </c>
      <c r="H1259">
        <v>7</v>
      </c>
      <c r="I1259" t="str">
        <f t="shared" si="19"/>
        <v>Shipped</v>
      </c>
    </row>
    <row r="1260" spans="1:9" x14ac:dyDescent="0.3">
      <c r="A1260">
        <v>1259</v>
      </c>
      <c r="B1260">
        <v>4</v>
      </c>
      <c r="C1260">
        <v>3</v>
      </c>
      <c r="D1260" s="12">
        <v>43060</v>
      </c>
      <c r="E1260" s="12">
        <v>43060</v>
      </c>
      <c r="F1260" s="12" t="s">
        <v>5611</v>
      </c>
      <c r="G1260">
        <v>2</v>
      </c>
      <c r="H1260">
        <v>7</v>
      </c>
      <c r="I1260" t="str">
        <f t="shared" si="19"/>
        <v>Pending</v>
      </c>
    </row>
    <row r="1261" spans="1:9" x14ac:dyDescent="0.3">
      <c r="A1261">
        <v>1260</v>
      </c>
      <c r="B1261">
        <v>1117</v>
      </c>
      <c r="C1261">
        <v>4</v>
      </c>
      <c r="D1261" s="12">
        <v>43061</v>
      </c>
      <c r="E1261" s="12">
        <v>43062</v>
      </c>
      <c r="F1261" s="12">
        <v>43063</v>
      </c>
      <c r="G1261">
        <v>2</v>
      </c>
      <c r="H1261">
        <v>6</v>
      </c>
      <c r="I1261" t="str">
        <f t="shared" si="19"/>
        <v>Shipped</v>
      </c>
    </row>
    <row r="1262" spans="1:9" x14ac:dyDescent="0.3">
      <c r="A1262">
        <v>1261</v>
      </c>
      <c r="B1262">
        <v>435</v>
      </c>
      <c r="C1262">
        <v>4</v>
      </c>
      <c r="D1262" s="12">
        <v>43062</v>
      </c>
      <c r="E1262" s="12">
        <v>43064</v>
      </c>
      <c r="F1262" s="12">
        <v>43063</v>
      </c>
      <c r="G1262">
        <v>2</v>
      </c>
      <c r="H1262">
        <v>7</v>
      </c>
      <c r="I1262" t="str">
        <f t="shared" si="19"/>
        <v>Delivered</v>
      </c>
    </row>
    <row r="1263" spans="1:9" x14ac:dyDescent="0.3">
      <c r="A1263">
        <v>1262</v>
      </c>
      <c r="B1263">
        <v>509</v>
      </c>
      <c r="C1263">
        <v>4</v>
      </c>
      <c r="D1263" s="12">
        <v>43062</v>
      </c>
      <c r="E1263" s="12">
        <v>43065</v>
      </c>
      <c r="F1263" s="12">
        <v>43065</v>
      </c>
      <c r="G1263">
        <v>2</v>
      </c>
      <c r="H1263">
        <v>6</v>
      </c>
      <c r="I1263" t="str">
        <f t="shared" si="19"/>
        <v>Shipped</v>
      </c>
    </row>
    <row r="1264" spans="1:9" x14ac:dyDescent="0.3">
      <c r="A1264">
        <v>1263</v>
      </c>
      <c r="B1264">
        <v>1408</v>
      </c>
      <c r="C1264">
        <v>4</v>
      </c>
      <c r="D1264" s="12">
        <v>43062</v>
      </c>
      <c r="E1264" s="12">
        <v>43065</v>
      </c>
      <c r="F1264" s="12">
        <v>43065</v>
      </c>
      <c r="G1264">
        <v>2</v>
      </c>
      <c r="H1264">
        <v>6</v>
      </c>
      <c r="I1264" t="str">
        <f t="shared" si="19"/>
        <v>Shipped</v>
      </c>
    </row>
    <row r="1265" spans="1:9" x14ac:dyDescent="0.3">
      <c r="A1265">
        <v>1264</v>
      </c>
      <c r="B1265">
        <v>113</v>
      </c>
      <c r="C1265">
        <v>4</v>
      </c>
      <c r="D1265" s="12">
        <v>43063</v>
      </c>
      <c r="E1265" s="12">
        <v>43066</v>
      </c>
      <c r="F1265" s="12">
        <v>43064</v>
      </c>
      <c r="G1265">
        <v>2</v>
      </c>
      <c r="H1265">
        <v>6</v>
      </c>
      <c r="I1265" t="str">
        <f t="shared" si="19"/>
        <v>Delivered</v>
      </c>
    </row>
    <row r="1266" spans="1:9" x14ac:dyDescent="0.3">
      <c r="A1266">
        <v>1265</v>
      </c>
      <c r="B1266">
        <v>950</v>
      </c>
      <c r="C1266">
        <v>4</v>
      </c>
      <c r="D1266" s="12">
        <v>43063</v>
      </c>
      <c r="E1266" s="12">
        <v>43066</v>
      </c>
      <c r="F1266" s="12">
        <v>43066</v>
      </c>
      <c r="G1266">
        <v>2</v>
      </c>
      <c r="H1266">
        <v>7</v>
      </c>
      <c r="I1266" t="str">
        <f t="shared" si="19"/>
        <v>Shipped</v>
      </c>
    </row>
    <row r="1267" spans="1:9" x14ac:dyDescent="0.3">
      <c r="A1267">
        <v>1266</v>
      </c>
      <c r="B1267">
        <v>387</v>
      </c>
      <c r="C1267">
        <v>4</v>
      </c>
      <c r="D1267" s="12">
        <v>43064</v>
      </c>
      <c r="E1267" s="12">
        <v>43067</v>
      </c>
      <c r="F1267" s="12">
        <v>43066</v>
      </c>
      <c r="G1267">
        <v>2</v>
      </c>
      <c r="H1267">
        <v>6</v>
      </c>
      <c r="I1267" t="str">
        <f t="shared" si="19"/>
        <v>Delivered</v>
      </c>
    </row>
    <row r="1268" spans="1:9" x14ac:dyDescent="0.3">
      <c r="A1268">
        <v>1267</v>
      </c>
      <c r="B1268">
        <v>467</v>
      </c>
      <c r="C1268">
        <v>4</v>
      </c>
      <c r="D1268" s="12">
        <v>43064</v>
      </c>
      <c r="E1268" s="12">
        <v>43065</v>
      </c>
      <c r="F1268" s="12">
        <v>43065</v>
      </c>
      <c r="G1268">
        <v>2</v>
      </c>
      <c r="H1268">
        <v>6</v>
      </c>
      <c r="I1268" t="str">
        <f t="shared" si="19"/>
        <v>Shipped</v>
      </c>
    </row>
    <row r="1269" spans="1:9" x14ac:dyDescent="0.3">
      <c r="A1269">
        <v>1268</v>
      </c>
      <c r="B1269">
        <v>774</v>
      </c>
      <c r="C1269">
        <v>4</v>
      </c>
      <c r="D1269" s="12">
        <v>43065</v>
      </c>
      <c r="E1269" s="12">
        <v>43067</v>
      </c>
      <c r="F1269" s="12">
        <v>43068</v>
      </c>
      <c r="G1269">
        <v>1</v>
      </c>
      <c r="H1269">
        <v>3</v>
      </c>
      <c r="I1269" t="str">
        <f t="shared" si="19"/>
        <v>Shipped</v>
      </c>
    </row>
    <row r="1270" spans="1:9" x14ac:dyDescent="0.3">
      <c r="A1270">
        <v>1269</v>
      </c>
      <c r="B1270">
        <v>1236</v>
      </c>
      <c r="C1270">
        <v>4</v>
      </c>
      <c r="D1270" s="12">
        <v>43065</v>
      </c>
      <c r="E1270" s="12">
        <v>43068</v>
      </c>
      <c r="F1270" s="12">
        <v>43068</v>
      </c>
      <c r="G1270">
        <v>2</v>
      </c>
      <c r="H1270">
        <v>6</v>
      </c>
      <c r="I1270" t="str">
        <f t="shared" si="19"/>
        <v>Shipped</v>
      </c>
    </row>
    <row r="1271" spans="1:9" x14ac:dyDescent="0.3">
      <c r="A1271">
        <v>1270</v>
      </c>
      <c r="B1271">
        <v>1388</v>
      </c>
      <c r="C1271">
        <v>4</v>
      </c>
      <c r="D1271" s="12">
        <v>43065</v>
      </c>
      <c r="E1271" s="12">
        <v>43068</v>
      </c>
      <c r="F1271" s="12">
        <v>43068</v>
      </c>
      <c r="G1271">
        <v>2</v>
      </c>
      <c r="H1271">
        <v>6</v>
      </c>
      <c r="I1271" t="str">
        <f t="shared" si="19"/>
        <v>Shipped</v>
      </c>
    </row>
    <row r="1272" spans="1:9" x14ac:dyDescent="0.3">
      <c r="A1272">
        <v>1271</v>
      </c>
      <c r="B1272">
        <v>734</v>
      </c>
      <c r="C1272">
        <v>4</v>
      </c>
      <c r="D1272" s="12">
        <v>43066</v>
      </c>
      <c r="E1272" s="12">
        <v>43069</v>
      </c>
      <c r="F1272" s="12">
        <v>43069</v>
      </c>
      <c r="G1272">
        <v>2</v>
      </c>
      <c r="H1272">
        <v>6</v>
      </c>
      <c r="I1272" t="str">
        <f t="shared" si="19"/>
        <v>Shipped</v>
      </c>
    </row>
    <row r="1273" spans="1:9" x14ac:dyDescent="0.3">
      <c r="A1273">
        <v>1272</v>
      </c>
      <c r="B1273">
        <v>935</v>
      </c>
      <c r="C1273">
        <v>4</v>
      </c>
      <c r="D1273" s="12">
        <v>43066</v>
      </c>
      <c r="E1273" s="12">
        <v>43068</v>
      </c>
      <c r="F1273" s="12">
        <v>43069</v>
      </c>
      <c r="G1273">
        <v>2</v>
      </c>
      <c r="H1273">
        <v>6</v>
      </c>
      <c r="I1273" t="str">
        <f t="shared" si="19"/>
        <v>Shipped</v>
      </c>
    </row>
    <row r="1274" spans="1:9" x14ac:dyDescent="0.3">
      <c r="A1274">
        <v>1273</v>
      </c>
      <c r="B1274">
        <v>1268</v>
      </c>
      <c r="C1274">
        <v>4</v>
      </c>
      <c r="D1274" s="12">
        <v>43066</v>
      </c>
      <c r="E1274" s="12">
        <v>43068</v>
      </c>
      <c r="F1274" s="12">
        <v>43068</v>
      </c>
      <c r="G1274">
        <v>2</v>
      </c>
      <c r="H1274">
        <v>6</v>
      </c>
      <c r="I1274" t="str">
        <f t="shared" si="19"/>
        <v>Shipped</v>
      </c>
    </row>
    <row r="1275" spans="1:9" x14ac:dyDescent="0.3">
      <c r="A1275">
        <v>1274</v>
      </c>
      <c r="B1275">
        <v>1364</v>
      </c>
      <c r="C1275">
        <v>4</v>
      </c>
      <c r="D1275" s="12">
        <v>43067</v>
      </c>
      <c r="E1275" s="12">
        <v>43068</v>
      </c>
      <c r="F1275" s="12">
        <v>43070</v>
      </c>
      <c r="G1275">
        <v>2</v>
      </c>
      <c r="H1275">
        <v>7</v>
      </c>
      <c r="I1275" t="str">
        <f t="shared" si="19"/>
        <v>Shipped</v>
      </c>
    </row>
    <row r="1276" spans="1:9" x14ac:dyDescent="0.3">
      <c r="A1276">
        <v>1275</v>
      </c>
      <c r="B1276">
        <v>165</v>
      </c>
      <c r="C1276">
        <v>4</v>
      </c>
      <c r="D1276" s="12">
        <v>43068</v>
      </c>
      <c r="E1276" s="12">
        <v>43070</v>
      </c>
      <c r="F1276" s="12">
        <v>43069</v>
      </c>
      <c r="G1276">
        <v>1</v>
      </c>
      <c r="H1276">
        <v>2</v>
      </c>
      <c r="I1276" t="str">
        <f t="shared" si="19"/>
        <v>Delivered</v>
      </c>
    </row>
    <row r="1277" spans="1:9" x14ac:dyDescent="0.3">
      <c r="A1277">
        <v>1276</v>
      </c>
      <c r="B1277">
        <v>893</v>
      </c>
      <c r="C1277">
        <v>4</v>
      </c>
      <c r="D1277" s="12">
        <v>43069</v>
      </c>
      <c r="E1277" s="12">
        <v>43072</v>
      </c>
      <c r="F1277" s="12">
        <v>43071</v>
      </c>
      <c r="G1277">
        <v>2</v>
      </c>
      <c r="H1277">
        <v>6</v>
      </c>
      <c r="I1277" t="str">
        <f t="shared" si="19"/>
        <v>Delivered</v>
      </c>
    </row>
    <row r="1278" spans="1:9" x14ac:dyDescent="0.3">
      <c r="A1278">
        <v>1277</v>
      </c>
      <c r="B1278">
        <v>227</v>
      </c>
      <c r="C1278">
        <v>4</v>
      </c>
      <c r="D1278" s="12">
        <v>43070</v>
      </c>
      <c r="E1278" s="12">
        <v>43073</v>
      </c>
      <c r="F1278" s="12">
        <v>43071</v>
      </c>
      <c r="G1278">
        <v>2</v>
      </c>
      <c r="H1278">
        <v>6</v>
      </c>
      <c r="I1278" t="str">
        <f t="shared" si="19"/>
        <v>Delivered</v>
      </c>
    </row>
    <row r="1279" spans="1:9" x14ac:dyDescent="0.3">
      <c r="A1279">
        <v>1278</v>
      </c>
      <c r="B1279">
        <v>980</v>
      </c>
      <c r="C1279">
        <v>4</v>
      </c>
      <c r="D1279" s="12">
        <v>43070</v>
      </c>
      <c r="E1279" s="12">
        <v>43071</v>
      </c>
      <c r="F1279" s="12">
        <v>43073</v>
      </c>
      <c r="G1279">
        <v>2</v>
      </c>
      <c r="H1279">
        <v>7</v>
      </c>
      <c r="I1279" t="str">
        <f t="shared" si="19"/>
        <v>Shipped</v>
      </c>
    </row>
    <row r="1280" spans="1:9" x14ac:dyDescent="0.3">
      <c r="A1280">
        <v>1279</v>
      </c>
      <c r="B1280">
        <v>1014</v>
      </c>
      <c r="C1280">
        <v>4</v>
      </c>
      <c r="D1280" s="12">
        <v>43070</v>
      </c>
      <c r="E1280" s="12">
        <v>43073</v>
      </c>
      <c r="F1280" s="12">
        <v>43072</v>
      </c>
      <c r="G1280">
        <v>2</v>
      </c>
      <c r="H1280">
        <v>6</v>
      </c>
      <c r="I1280" t="str">
        <f t="shared" si="19"/>
        <v>Delivered</v>
      </c>
    </row>
    <row r="1281" spans="1:9" x14ac:dyDescent="0.3">
      <c r="A1281">
        <v>1280</v>
      </c>
      <c r="B1281">
        <v>123</v>
      </c>
      <c r="C1281">
        <v>4</v>
      </c>
      <c r="D1281" s="12">
        <v>43070</v>
      </c>
      <c r="E1281" s="12">
        <v>43072</v>
      </c>
      <c r="F1281" s="12">
        <v>43072</v>
      </c>
      <c r="G1281">
        <v>3</v>
      </c>
      <c r="H1281">
        <v>9</v>
      </c>
      <c r="I1281" t="str">
        <f t="shared" si="19"/>
        <v>Shipped</v>
      </c>
    </row>
    <row r="1282" spans="1:9" x14ac:dyDescent="0.3">
      <c r="A1282">
        <v>1281</v>
      </c>
      <c r="B1282">
        <v>1060</v>
      </c>
      <c r="C1282">
        <v>4</v>
      </c>
      <c r="D1282" s="12">
        <v>43071</v>
      </c>
      <c r="E1282" s="12">
        <v>43074</v>
      </c>
      <c r="F1282" s="12">
        <v>43074</v>
      </c>
      <c r="G1282">
        <v>2</v>
      </c>
      <c r="H1282">
        <v>6</v>
      </c>
      <c r="I1282" t="str">
        <f t="shared" si="19"/>
        <v>Shipped</v>
      </c>
    </row>
    <row r="1283" spans="1:9" x14ac:dyDescent="0.3">
      <c r="A1283">
        <v>1282</v>
      </c>
      <c r="B1283">
        <v>320</v>
      </c>
      <c r="C1283">
        <v>4</v>
      </c>
      <c r="D1283" s="12">
        <v>43072</v>
      </c>
      <c r="E1283" s="12">
        <v>43074</v>
      </c>
      <c r="F1283" s="12">
        <v>43074</v>
      </c>
      <c r="G1283">
        <v>2</v>
      </c>
      <c r="H1283">
        <v>6</v>
      </c>
      <c r="I1283" t="str">
        <f t="shared" ref="I1283:I1346" si="20">IF(F1283="NA","Pending",IF(OR(E1283=F1283,E1283&lt;F1283),"Shipped","Delivered"))</f>
        <v>Shipped</v>
      </c>
    </row>
    <row r="1284" spans="1:9" x14ac:dyDescent="0.3">
      <c r="A1284">
        <v>1283</v>
      </c>
      <c r="B1284">
        <v>85</v>
      </c>
      <c r="C1284">
        <v>4</v>
      </c>
      <c r="D1284" s="12">
        <v>43073</v>
      </c>
      <c r="E1284" s="12">
        <v>43076</v>
      </c>
      <c r="F1284" s="12">
        <v>43076</v>
      </c>
      <c r="G1284">
        <v>2</v>
      </c>
      <c r="H1284">
        <v>7</v>
      </c>
      <c r="I1284" t="str">
        <f t="shared" si="20"/>
        <v>Shipped</v>
      </c>
    </row>
    <row r="1285" spans="1:9" x14ac:dyDescent="0.3">
      <c r="A1285">
        <v>1284</v>
      </c>
      <c r="B1285">
        <v>128</v>
      </c>
      <c r="C1285">
        <v>4</v>
      </c>
      <c r="D1285" s="12">
        <v>43073</v>
      </c>
      <c r="E1285" s="12">
        <v>43075</v>
      </c>
      <c r="F1285" s="12">
        <v>43076</v>
      </c>
      <c r="G1285">
        <v>2</v>
      </c>
      <c r="H1285">
        <v>7</v>
      </c>
      <c r="I1285" t="str">
        <f t="shared" si="20"/>
        <v>Shipped</v>
      </c>
    </row>
    <row r="1286" spans="1:9" x14ac:dyDescent="0.3">
      <c r="A1286">
        <v>1285</v>
      </c>
      <c r="B1286">
        <v>262</v>
      </c>
      <c r="C1286">
        <v>4</v>
      </c>
      <c r="D1286" s="12">
        <v>43073</v>
      </c>
      <c r="E1286" s="12">
        <v>43076</v>
      </c>
      <c r="F1286" s="12">
        <v>43076</v>
      </c>
      <c r="G1286">
        <v>2</v>
      </c>
      <c r="H1286">
        <v>7</v>
      </c>
      <c r="I1286" t="str">
        <f t="shared" si="20"/>
        <v>Shipped</v>
      </c>
    </row>
    <row r="1287" spans="1:9" x14ac:dyDescent="0.3">
      <c r="A1287">
        <v>1286</v>
      </c>
      <c r="B1287">
        <v>1033</v>
      </c>
      <c r="C1287">
        <v>4</v>
      </c>
      <c r="D1287" s="12">
        <v>43073</v>
      </c>
      <c r="E1287" s="12">
        <v>43076</v>
      </c>
      <c r="F1287" s="12">
        <v>43075</v>
      </c>
      <c r="G1287">
        <v>2</v>
      </c>
      <c r="H1287">
        <v>7</v>
      </c>
      <c r="I1287" t="str">
        <f t="shared" si="20"/>
        <v>Delivered</v>
      </c>
    </row>
    <row r="1288" spans="1:9" x14ac:dyDescent="0.3">
      <c r="A1288">
        <v>1287</v>
      </c>
      <c r="B1288">
        <v>279</v>
      </c>
      <c r="C1288">
        <v>4</v>
      </c>
      <c r="D1288" s="12">
        <v>43076</v>
      </c>
      <c r="E1288" s="12">
        <v>43079</v>
      </c>
      <c r="F1288" s="12">
        <v>43078</v>
      </c>
      <c r="G1288">
        <v>1</v>
      </c>
      <c r="H1288">
        <v>3</v>
      </c>
      <c r="I1288" t="str">
        <f t="shared" si="20"/>
        <v>Delivered</v>
      </c>
    </row>
    <row r="1289" spans="1:9" x14ac:dyDescent="0.3">
      <c r="A1289">
        <v>1288</v>
      </c>
      <c r="B1289">
        <v>778</v>
      </c>
      <c r="C1289">
        <v>4</v>
      </c>
      <c r="D1289" s="12">
        <v>43076</v>
      </c>
      <c r="E1289" s="12">
        <v>43079</v>
      </c>
      <c r="F1289" s="12">
        <v>43078</v>
      </c>
      <c r="G1289">
        <v>3</v>
      </c>
      <c r="H1289">
        <v>9</v>
      </c>
      <c r="I1289" t="str">
        <f t="shared" si="20"/>
        <v>Delivered</v>
      </c>
    </row>
    <row r="1290" spans="1:9" x14ac:dyDescent="0.3">
      <c r="A1290">
        <v>1289</v>
      </c>
      <c r="B1290">
        <v>1292</v>
      </c>
      <c r="C1290">
        <v>4</v>
      </c>
      <c r="D1290" s="12">
        <v>43077</v>
      </c>
      <c r="E1290" s="12">
        <v>43080</v>
      </c>
      <c r="F1290" s="12">
        <v>43079</v>
      </c>
      <c r="G1290">
        <v>1</v>
      </c>
      <c r="H1290">
        <v>3</v>
      </c>
      <c r="I1290" t="str">
        <f t="shared" si="20"/>
        <v>Delivered</v>
      </c>
    </row>
    <row r="1291" spans="1:9" x14ac:dyDescent="0.3">
      <c r="A1291">
        <v>1290</v>
      </c>
      <c r="B1291">
        <v>967</v>
      </c>
      <c r="C1291">
        <v>4</v>
      </c>
      <c r="D1291" s="12">
        <v>43077</v>
      </c>
      <c r="E1291" s="12">
        <v>43079</v>
      </c>
      <c r="F1291" s="12">
        <v>43079</v>
      </c>
      <c r="G1291">
        <v>2</v>
      </c>
      <c r="H1291">
        <v>6</v>
      </c>
      <c r="I1291" t="str">
        <f t="shared" si="20"/>
        <v>Shipped</v>
      </c>
    </row>
    <row r="1292" spans="1:9" x14ac:dyDescent="0.3">
      <c r="A1292">
        <v>1291</v>
      </c>
      <c r="B1292">
        <v>1284</v>
      </c>
      <c r="C1292">
        <v>4</v>
      </c>
      <c r="D1292" s="12">
        <v>43078</v>
      </c>
      <c r="E1292" s="12">
        <v>43080</v>
      </c>
      <c r="F1292" s="12">
        <v>43081</v>
      </c>
      <c r="G1292">
        <v>2</v>
      </c>
      <c r="H1292">
        <v>6</v>
      </c>
      <c r="I1292" t="str">
        <f t="shared" si="20"/>
        <v>Shipped</v>
      </c>
    </row>
    <row r="1293" spans="1:9" x14ac:dyDescent="0.3">
      <c r="A1293">
        <v>1292</v>
      </c>
      <c r="B1293">
        <v>285</v>
      </c>
      <c r="C1293">
        <v>4</v>
      </c>
      <c r="D1293" s="12">
        <v>43079</v>
      </c>
      <c r="E1293" s="12">
        <v>43082</v>
      </c>
      <c r="F1293" s="12">
        <v>43080</v>
      </c>
      <c r="G1293">
        <v>2</v>
      </c>
      <c r="H1293">
        <v>6</v>
      </c>
      <c r="I1293" t="str">
        <f t="shared" si="20"/>
        <v>Delivered</v>
      </c>
    </row>
    <row r="1294" spans="1:9" x14ac:dyDescent="0.3">
      <c r="A1294">
        <v>1293</v>
      </c>
      <c r="B1294">
        <v>1401</v>
      </c>
      <c r="C1294">
        <v>4</v>
      </c>
      <c r="D1294" s="12">
        <v>43079</v>
      </c>
      <c r="E1294" s="12">
        <v>43081</v>
      </c>
      <c r="F1294" s="12">
        <v>43080</v>
      </c>
      <c r="G1294">
        <v>2</v>
      </c>
      <c r="H1294">
        <v>7</v>
      </c>
      <c r="I1294" t="str">
        <f t="shared" si="20"/>
        <v>Delivered</v>
      </c>
    </row>
    <row r="1295" spans="1:9" x14ac:dyDescent="0.3">
      <c r="A1295">
        <v>1294</v>
      </c>
      <c r="B1295">
        <v>947</v>
      </c>
      <c r="C1295">
        <v>4</v>
      </c>
      <c r="D1295" s="12">
        <v>43080</v>
      </c>
      <c r="E1295" s="12">
        <v>43082</v>
      </c>
      <c r="F1295" s="12">
        <v>43083</v>
      </c>
      <c r="G1295">
        <v>1</v>
      </c>
      <c r="H1295">
        <v>2</v>
      </c>
      <c r="I1295" t="str">
        <f t="shared" si="20"/>
        <v>Shipped</v>
      </c>
    </row>
    <row r="1296" spans="1:9" x14ac:dyDescent="0.3">
      <c r="A1296">
        <v>1295</v>
      </c>
      <c r="B1296">
        <v>37</v>
      </c>
      <c r="C1296">
        <v>4</v>
      </c>
      <c r="D1296" s="12">
        <v>43080</v>
      </c>
      <c r="E1296" s="12">
        <v>43081</v>
      </c>
      <c r="F1296" s="12">
        <v>43083</v>
      </c>
      <c r="G1296">
        <v>2</v>
      </c>
      <c r="H1296">
        <v>7</v>
      </c>
      <c r="I1296" t="str">
        <f t="shared" si="20"/>
        <v>Shipped</v>
      </c>
    </row>
    <row r="1297" spans="1:9" x14ac:dyDescent="0.3">
      <c r="A1297">
        <v>1296</v>
      </c>
      <c r="B1297">
        <v>231</v>
      </c>
      <c r="C1297">
        <v>4</v>
      </c>
      <c r="D1297" s="12">
        <v>43083</v>
      </c>
      <c r="E1297" s="12">
        <v>43086</v>
      </c>
      <c r="F1297" s="12">
        <v>43084</v>
      </c>
      <c r="G1297">
        <v>1</v>
      </c>
      <c r="H1297">
        <v>3</v>
      </c>
      <c r="I1297" t="str">
        <f t="shared" si="20"/>
        <v>Delivered</v>
      </c>
    </row>
    <row r="1298" spans="1:9" x14ac:dyDescent="0.3">
      <c r="A1298">
        <v>1297</v>
      </c>
      <c r="B1298">
        <v>108</v>
      </c>
      <c r="C1298">
        <v>4</v>
      </c>
      <c r="D1298" s="12">
        <v>43083</v>
      </c>
      <c r="E1298" s="12">
        <v>43086</v>
      </c>
      <c r="F1298" s="12">
        <v>43085</v>
      </c>
      <c r="G1298">
        <v>2</v>
      </c>
      <c r="H1298">
        <v>6</v>
      </c>
      <c r="I1298" t="str">
        <f t="shared" si="20"/>
        <v>Delivered</v>
      </c>
    </row>
    <row r="1299" spans="1:9" x14ac:dyDescent="0.3">
      <c r="A1299">
        <v>1298</v>
      </c>
      <c r="B1299">
        <v>533</v>
      </c>
      <c r="C1299">
        <v>4</v>
      </c>
      <c r="D1299" s="12">
        <v>43083</v>
      </c>
      <c r="E1299" s="12">
        <v>43086</v>
      </c>
      <c r="F1299" s="12">
        <v>43085</v>
      </c>
      <c r="G1299">
        <v>3</v>
      </c>
      <c r="H1299">
        <v>9</v>
      </c>
      <c r="I1299" t="str">
        <f t="shared" si="20"/>
        <v>Delivered</v>
      </c>
    </row>
    <row r="1300" spans="1:9" x14ac:dyDescent="0.3">
      <c r="A1300">
        <v>1299</v>
      </c>
      <c r="B1300">
        <v>1216</v>
      </c>
      <c r="C1300">
        <v>4</v>
      </c>
      <c r="D1300" s="12">
        <v>43084</v>
      </c>
      <c r="E1300" s="12">
        <v>43087</v>
      </c>
      <c r="F1300" s="12">
        <v>43085</v>
      </c>
      <c r="G1300">
        <v>1</v>
      </c>
      <c r="H1300">
        <v>2</v>
      </c>
      <c r="I1300" t="str">
        <f t="shared" si="20"/>
        <v>Delivered</v>
      </c>
    </row>
    <row r="1301" spans="1:9" x14ac:dyDescent="0.3">
      <c r="A1301">
        <v>1300</v>
      </c>
      <c r="B1301">
        <v>824</v>
      </c>
      <c r="C1301">
        <v>4</v>
      </c>
      <c r="D1301" s="12">
        <v>43084</v>
      </c>
      <c r="E1301" s="12">
        <v>43086</v>
      </c>
      <c r="F1301" s="12">
        <v>43086</v>
      </c>
      <c r="G1301">
        <v>2</v>
      </c>
      <c r="H1301">
        <v>6</v>
      </c>
      <c r="I1301" t="str">
        <f t="shared" si="20"/>
        <v>Shipped</v>
      </c>
    </row>
    <row r="1302" spans="1:9" x14ac:dyDescent="0.3">
      <c r="A1302">
        <v>1301</v>
      </c>
      <c r="B1302">
        <v>1088</v>
      </c>
      <c r="C1302">
        <v>4</v>
      </c>
      <c r="D1302" s="12">
        <v>43085</v>
      </c>
      <c r="E1302" s="12">
        <v>43088</v>
      </c>
      <c r="F1302" s="12">
        <v>43088</v>
      </c>
      <c r="G1302">
        <v>1</v>
      </c>
      <c r="H1302">
        <v>3</v>
      </c>
      <c r="I1302" t="str">
        <f t="shared" si="20"/>
        <v>Shipped</v>
      </c>
    </row>
    <row r="1303" spans="1:9" x14ac:dyDescent="0.3">
      <c r="A1303">
        <v>1302</v>
      </c>
      <c r="B1303">
        <v>322</v>
      </c>
      <c r="C1303">
        <v>4</v>
      </c>
      <c r="D1303" s="12">
        <v>43085</v>
      </c>
      <c r="E1303" s="12">
        <v>43087</v>
      </c>
      <c r="F1303" s="12">
        <v>43088</v>
      </c>
      <c r="G1303">
        <v>2</v>
      </c>
      <c r="H1303">
        <v>7</v>
      </c>
      <c r="I1303" t="str">
        <f t="shared" si="20"/>
        <v>Shipped</v>
      </c>
    </row>
    <row r="1304" spans="1:9" x14ac:dyDescent="0.3">
      <c r="A1304">
        <v>1303</v>
      </c>
      <c r="B1304">
        <v>878</v>
      </c>
      <c r="C1304">
        <v>4</v>
      </c>
      <c r="D1304" s="12">
        <v>43085</v>
      </c>
      <c r="E1304" s="12">
        <v>43088</v>
      </c>
      <c r="F1304" s="12">
        <v>43087</v>
      </c>
      <c r="G1304">
        <v>2</v>
      </c>
      <c r="H1304">
        <v>7</v>
      </c>
      <c r="I1304" t="str">
        <f t="shared" si="20"/>
        <v>Delivered</v>
      </c>
    </row>
    <row r="1305" spans="1:9" x14ac:dyDescent="0.3">
      <c r="A1305">
        <v>1304</v>
      </c>
      <c r="B1305">
        <v>1409</v>
      </c>
      <c r="C1305">
        <v>4</v>
      </c>
      <c r="D1305" s="12">
        <v>43085</v>
      </c>
      <c r="E1305" s="12">
        <v>43086</v>
      </c>
      <c r="F1305" s="12">
        <v>43086</v>
      </c>
      <c r="G1305">
        <v>2</v>
      </c>
      <c r="H1305">
        <v>6</v>
      </c>
      <c r="I1305" t="str">
        <f t="shared" si="20"/>
        <v>Shipped</v>
      </c>
    </row>
    <row r="1306" spans="1:9" x14ac:dyDescent="0.3">
      <c r="A1306">
        <v>1305</v>
      </c>
      <c r="B1306">
        <v>257</v>
      </c>
      <c r="C1306">
        <v>4</v>
      </c>
      <c r="D1306" s="12">
        <v>43086</v>
      </c>
      <c r="E1306" s="12">
        <v>43088</v>
      </c>
      <c r="F1306" s="12">
        <v>43087</v>
      </c>
      <c r="G1306">
        <v>2</v>
      </c>
      <c r="H1306">
        <v>7</v>
      </c>
      <c r="I1306" t="str">
        <f t="shared" si="20"/>
        <v>Delivered</v>
      </c>
    </row>
    <row r="1307" spans="1:9" x14ac:dyDescent="0.3">
      <c r="A1307">
        <v>1306</v>
      </c>
      <c r="B1307">
        <v>28</v>
      </c>
      <c r="C1307">
        <v>4</v>
      </c>
      <c r="D1307" s="12">
        <v>43089</v>
      </c>
      <c r="E1307" s="12">
        <v>43090</v>
      </c>
      <c r="F1307" s="12">
        <v>43091</v>
      </c>
      <c r="G1307">
        <v>2</v>
      </c>
      <c r="H1307">
        <v>6</v>
      </c>
      <c r="I1307" t="str">
        <f t="shared" si="20"/>
        <v>Shipped</v>
      </c>
    </row>
    <row r="1308" spans="1:9" x14ac:dyDescent="0.3">
      <c r="A1308">
        <v>1307</v>
      </c>
      <c r="B1308">
        <v>1384</v>
      </c>
      <c r="C1308">
        <v>4</v>
      </c>
      <c r="D1308" s="12">
        <v>43091</v>
      </c>
      <c r="E1308" s="12">
        <v>43092</v>
      </c>
      <c r="F1308" s="12">
        <v>43094</v>
      </c>
      <c r="G1308">
        <v>1</v>
      </c>
      <c r="H1308">
        <v>2</v>
      </c>
      <c r="I1308" t="str">
        <f t="shared" si="20"/>
        <v>Shipped</v>
      </c>
    </row>
    <row r="1309" spans="1:9" x14ac:dyDescent="0.3">
      <c r="A1309">
        <v>1308</v>
      </c>
      <c r="B1309">
        <v>713</v>
      </c>
      <c r="C1309">
        <v>4</v>
      </c>
      <c r="D1309" s="12">
        <v>43091</v>
      </c>
      <c r="E1309" s="12">
        <v>43093</v>
      </c>
      <c r="F1309" s="12">
        <v>43093</v>
      </c>
      <c r="G1309">
        <v>2</v>
      </c>
      <c r="H1309">
        <v>7</v>
      </c>
      <c r="I1309" t="str">
        <f t="shared" si="20"/>
        <v>Shipped</v>
      </c>
    </row>
    <row r="1310" spans="1:9" x14ac:dyDescent="0.3">
      <c r="A1310">
        <v>1309</v>
      </c>
      <c r="B1310">
        <v>821</v>
      </c>
      <c r="C1310">
        <v>4</v>
      </c>
      <c r="D1310" s="12">
        <v>43091</v>
      </c>
      <c r="E1310" s="12">
        <v>43094</v>
      </c>
      <c r="F1310" s="12">
        <v>43093</v>
      </c>
      <c r="G1310">
        <v>2</v>
      </c>
      <c r="H1310">
        <v>6</v>
      </c>
      <c r="I1310" t="str">
        <f t="shared" si="20"/>
        <v>Delivered</v>
      </c>
    </row>
    <row r="1311" spans="1:9" x14ac:dyDescent="0.3">
      <c r="A1311">
        <v>1310</v>
      </c>
      <c r="B1311">
        <v>444</v>
      </c>
      <c r="C1311">
        <v>4</v>
      </c>
      <c r="D1311" s="12">
        <v>43093</v>
      </c>
      <c r="E1311" s="12">
        <v>43094</v>
      </c>
      <c r="F1311" s="12">
        <v>43095</v>
      </c>
      <c r="G1311">
        <v>1</v>
      </c>
      <c r="H1311">
        <v>3</v>
      </c>
      <c r="I1311" t="str">
        <f t="shared" si="20"/>
        <v>Shipped</v>
      </c>
    </row>
    <row r="1312" spans="1:9" x14ac:dyDescent="0.3">
      <c r="A1312">
        <v>1311</v>
      </c>
      <c r="B1312">
        <v>1021</v>
      </c>
      <c r="C1312">
        <v>4</v>
      </c>
      <c r="D1312" s="12">
        <v>43093</v>
      </c>
      <c r="E1312" s="12">
        <v>43095</v>
      </c>
      <c r="F1312" s="12">
        <v>43096</v>
      </c>
      <c r="G1312">
        <v>2</v>
      </c>
      <c r="H1312">
        <v>6</v>
      </c>
      <c r="I1312" t="str">
        <f t="shared" si="20"/>
        <v>Shipped</v>
      </c>
    </row>
    <row r="1313" spans="1:9" x14ac:dyDescent="0.3">
      <c r="A1313">
        <v>1312</v>
      </c>
      <c r="B1313">
        <v>311</v>
      </c>
      <c r="C1313">
        <v>4</v>
      </c>
      <c r="D1313" s="12">
        <v>43094</v>
      </c>
      <c r="E1313" s="12">
        <v>43097</v>
      </c>
      <c r="F1313" s="12">
        <v>43095</v>
      </c>
      <c r="G1313">
        <v>1</v>
      </c>
      <c r="H1313">
        <v>3</v>
      </c>
      <c r="I1313" t="str">
        <f t="shared" si="20"/>
        <v>Delivered</v>
      </c>
    </row>
    <row r="1314" spans="1:9" x14ac:dyDescent="0.3">
      <c r="A1314">
        <v>1313</v>
      </c>
      <c r="B1314">
        <v>1294</v>
      </c>
      <c r="C1314">
        <v>4</v>
      </c>
      <c r="D1314" s="12">
        <v>43094</v>
      </c>
      <c r="E1314" s="12">
        <v>43096</v>
      </c>
      <c r="F1314" s="12">
        <v>43096</v>
      </c>
      <c r="G1314">
        <v>1</v>
      </c>
      <c r="H1314">
        <v>3</v>
      </c>
      <c r="I1314" t="str">
        <f t="shared" si="20"/>
        <v>Shipped</v>
      </c>
    </row>
    <row r="1315" spans="1:9" x14ac:dyDescent="0.3">
      <c r="A1315">
        <v>1314</v>
      </c>
      <c r="B1315">
        <v>1027</v>
      </c>
      <c r="C1315">
        <v>4</v>
      </c>
      <c r="D1315" s="12">
        <v>43094</v>
      </c>
      <c r="E1315" s="12">
        <v>43095</v>
      </c>
      <c r="F1315" s="12">
        <v>43097</v>
      </c>
      <c r="G1315">
        <v>2</v>
      </c>
      <c r="H1315">
        <v>7</v>
      </c>
      <c r="I1315" t="str">
        <f t="shared" si="20"/>
        <v>Shipped</v>
      </c>
    </row>
    <row r="1316" spans="1:9" x14ac:dyDescent="0.3">
      <c r="A1316">
        <v>1315</v>
      </c>
      <c r="B1316">
        <v>931</v>
      </c>
      <c r="C1316">
        <v>4</v>
      </c>
      <c r="D1316" s="12">
        <v>43094</v>
      </c>
      <c r="E1316" s="12">
        <v>43096</v>
      </c>
      <c r="F1316" s="12">
        <v>43097</v>
      </c>
      <c r="G1316">
        <v>3</v>
      </c>
      <c r="H1316">
        <v>9</v>
      </c>
      <c r="I1316" t="str">
        <f t="shared" si="20"/>
        <v>Shipped</v>
      </c>
    </row>
    <row r="1317" spans="1:9" x14ac:dyDescent="0.3">
      <c r="A1317">
        <v>1316</v>
      </c>
      <c r="B1317">
        <v>846</v>
      </c>
      <c r="C1317">
        <v>4</v>
      </c>
      <c r="D1317" s="12">
        <v>43095</v>
      </c>
      <c r="E1317" s="12">
        <v>43098</v>
      </c>
      <c r="F1317" s="12">
        <v>43096</v>
      </c>
      <c r="G1317">
        <v>1</v>
      </c>
      <c r="H1317">
        <v>3</v>
      </c>
      <c r="I1317" t="str">
        <f t="shared" si="20"/>
        <v>Delivered</v>
      </c>
    </row>
    <row r="1318" spans="1:9" x14ac:dyDescent="0.3">
      <c r="A1318">
        <v>1317</v>
      </c>
      <c r="B1318">
        <v>418</v>
      </c>
      <c r="C1318">
        <v>4</v>
      </c>
      <c r="D1318" s="12">
        <v>43096</v>
      </c>
      <c r="E1318" s="12">
        <v>43097</v>
      </c>
      <c r="F1318" s="12">
        <v>43098</v>
      </c>
      <c r="G1318">
        <v>1</v>
      </c>
      <c r="H1318">
        <v>3</v>
      </c>
      <c r="I1318" t="str">
        <f t="shared" si="20"/>
        <v>Shipped</v>
      </c>
    </row>
    <row r="1319" spans="1:9" x14ac:dyDescent="0.3">
      <c r="A1319">
        <v>1318</v>
      </c>
      <c r="B1319">
        <v>75</v>
      </c>
      <c r="C1319">
        <v>4</v>
      </c>
      <c r="D1319" s="12">
        <v>43096</v>
      </c>
      <c r="E1319" s="12">
        <v>43099</v>
      </c>
      <c r="F1319" s="12">
        <v>43098</v>
      </c>
      <c r="G1319">
        <v>2</v>
      </c>
      <c r="H1319">
        <v>6</v>
      </c>
      <c r="I1319" t="str">
        <f t="shared" si="20"/>
        <v>Delivered</v>
      </c>
    </row>
    <row r="1320" spans="1:9" x14ac:dyDescent="0.3">
      <c r="A1320">
        <v>1319</v>
      </c>
      <c r="B1320">
        <v>604</v>
      </c>
      <c r="C1320">
        <v>4</v>
      </c>
      <c r="D1320" s="12">
        <v>43096</v>
      </c>
      <c r="E1320" s="12">
        <v>43099</v>
      </c>
      <c r="F1320" s="12">
        <v>43099</v>
      </c>
      <c r="G1320">
        <v>2</v>
      </c>
      <c r="H1320">
        <v>6</v>
      </c>
      <c r="I1320" t="str">
        <f t="shared" si="20"/>
        <v>Shipped</v>
      </c>
    </row>
    <row r="1321" spans="1:9" x14ac:dyDescent="0.3">
      <c r="A1321">
        <v>1320</v>
      </c>
      <c r="B1321">
        <v>244</v>
      </c>
      <c r="C1321">
        <v>4</v>
      </c>
      <c r="D1321" s="12">
        <v>43097</v>
      </c>
      <c r="E1321" s="12">
        <v>43099</v>
      </c>
      <c r="F1321" s="12">
        <v>43098</v>
      </c>
      <c r="G1321">
        <v>1</v>
      </c>
      <c r="H1321">
        <v>3</v>
      </c>
      <c r="I1321" t="str">
        <f t="shared" si="20"/>
        <v>Delivered</v>
      </c>
    </row>
    <row r="1322" spans="1:9" x14ac:dyDescent="0.3">
      <c r="A1322">
        <v>1321</v>
      </c>
      <c r="B1322">
        <v>217</v>
      </c>
      <c r="C1322">
        <v>4</v>
      </c>
      <c r="D1322" s="12">
        <v>43099</v>
      </c>
      <c r="E1322" s="12">
        <v>43100</v>
      </c>
      <c r="F1322" s="12">
        <v>43100</v>
      </c>
      <c r="G1322">
        <v>1</v>
      </c>
      <c r="H1322">
        <v>3</v>
      </c>
      <c r="I1322" t="str">
        <f t="shared" si="20"/>
        <v>Shipped</v>
      </c>
    </row>
    <row r="1323" spans="1:9" x14ac:dyDescent="0.3">
      <c r="A1323">
        <v>1322</v>
      </c>
      <c r="B1323">
        <v>39</v>
      </c>
      <c r="C1323">
        <v>4</v>
      </c>
      <c r="D1323" s="12">
        <v>43100</v>
      </c>
      <c r="E1323" s="12">
        <v>43103</v>
      </c>
      <c r="F1323" s="12">
        <v>43102</v>
      </c>
      <c r="G1323">
        <v>2</v>
      </c>
      <c r="H1323">
        <v>7</v>
      </c>
      <c r="I1323" t="str">
        <f t="shared" si="20"/>
        <v>Delivered</v>
      </c>
    </row>
    <row r="1324" spans="1:9" x14ac:dyDescent="0.3">
      <c r="A1324">
        <v>1323</v>
      </c>
      <c r="B1324">
        <v>273</v>
      </c>
      <c r="C1324">
        <v>4</v>
      </c>
      <c r="D1324" s="12">
        <v>43100</v>
      </c>
      <c r="E1324" s="12">
        <v>43101</v>
      </c>
      <c r="F1324" s="12">
        <v>43101</v>
      </c>
      <c r="G1324">
        <v>2</v>
      </c>
      <c r="H1324">
        <v>6</v>
      </c>
      <c r="I1324" t="str">
        <f t="shared" si="20"/>
        <v>Shipped</v>
      </c>
    </row>
    <row r="1325" spans="1:9" x14ac:dyDescent="0.3">
      <c r="A1325">
        <v>1324</v>
      </c>
      <c r="B1325">
        <v>862</v>
      </c>
      <c r="C1325">
        <v>4</v>
      </c>
      <c r="D1325" s="12">
        <v>43101</v>
      </c>
      <c r="E1325" s="12">
        <v>43104</v>
      </c>
      <c r="F1325" s="12">
        <v>43103</v>
      </c>
      <c r="G1325">
        <v>2</v>
      </c>
      <c r="H1325">
        <v>6</v>
      </c>
      <c r="I1325" t="str">
        <f t="shared" si="20"/>
        <v>Delivered</v>
      </c>
    </row>
    <row r="1326" spans="1:9" x14ac:dyDescent="0.3">
      <c r="A1326">
        <v>1325</v>
      </c>
      <c r="B1326">
        <v>68</v>
      </c>
      <c r="C1326">
        <v>4</v>
      </c>
      <c r="D1326" s="12">
        <v>43101</v>
      </c>
      <c r="E1326" s="12">
        <v>43102</v>
      </c>
      <c r="F1326" s="12">
        <v>43103</v>
      </c>
      <c r="G1326">
        <v>3</v>
      </c>
      <c r="H1326">
        <v>8</v>
      </c>
      <c r="I1326" t="str">
        <f t="shared" si="20"/>
        <v>Shipped</v>
      </c>
    </row>
    <row r="1327" spans="1:9" x14ac:dyDescent="0.3">
      <c r="A1327">
        <v>1326</v>
      </c>
      <c r="B1327">
        <v>567</v>
      </c>
      <c r="C1327">
        <v>4</v>
      </c>
      <c r="D1327" s="12">
        <v>43101</v>
      </c>
      <c r="E1327" s="12">
        <v>43103</v>
      </c>
      <c r="F1327" s="12">
        <v>43102</v>
      </c>
      <c r="G1327">
        <v>3</v>
      </c>
      <c r="H1327">
        <v>9</v>
      </c>
      <c r="I1327" t="str">
        <f t="shared" si="20"/>
        <v>Delivered</v>
      </c>
    </row>
    <row r="1328" spans="1:9" x14ac:dyDescent="0.3">
      <c r="A1328">
        <v>1327</v>
      </c>
      <c r="B1328">
        <v>1026</v>
      </c>
      <c r="C1328">
        <v>4</v>
      </c>
      <c r="D1328" s="12">
        <v>43102</v>
      </c>
      <c r="E1328" s="12">
        <v>43103</v>
      </c>
      <c r="F1328" s="12">
        <v>43105</v>
      </c>
      <c r="G1328">
        <v>2</v>
      </c>
      <c r="H1328">
        <v>6</v>
      </c>
      <c r="I1328" t="str">
        <f t="shared" si="20"/>
        <v>Shipped</v>
      </c>
    </row>
    <row r="1329" spans="1:9" x14ac:dyDescent="0.3">
      <c r="A1329">
        <v>1328</v>
      </c>
      <c r="B1329">
        <v>1083</v>
      </c>
      <c r="C1329">
        <v>4</v>
      </c>
      <c r="D1329" s="12">
        <v>43102</v>
      </c>
      <c r="E1329" s="12">
        <v>43103</v>
      </c>
      <c r="F1329" s="12">
        <v>43103</v>
      </c>
      <c r="G1329">
        <v>2</v>
      </c>
      <c r="H1329">
        <v>6</v>
      </c>
      <c r="I1329" t="str">
        <f t="shared" si="20"/>
        <v>Shipped</v>
      </c>
    </row>
    <row r="1330" spans="1:9" x14ac:dyDescent="0.3">
      <c r="A1330">
        <v>1329</v>
      </c>
      <c r="B1330">
        <v>443</v>
      </c>
      <c r="C1330">
        <v>4</v>
      </c>
      <c r="D1330" s="12">
        <v>43104</v>
      </c>
      <c r="E1330" s="12">
        <v>43105</v>
      </c>
      <c r="F1330" s="12">
        <v>43106</v>
      </c>
      <c r="G1330">
        <v>1</v>
      </c>
      <c r="H1330">
        <v>3</v>
      </c>
      <c r="I1330" t="str">
        <f t="shared" si="20"/>
        <v>Shipped</v>
      </c>
    </row>
    <row r="1331" spans="1:9" x14ac:dyDescent="0.3">
      <c r="A1331">
        <v>1330</v>
      </c>
      <c r="B1331">
        <v>761</v>
      </c>
      <c r="C1331">
        <v>4</v>
      </c>
      <c r="D1331" s="12">
        <v>43104</v>
      </c>
      <c r="E1331" s="12">
        <v>43105</v>
      </c>
      <c r="F1331" s="12">
        <v>43107</v>
      </c>
      <c r="G1331">
        <v>2</v>
      </c>
      <c r="H1331">
        <v>7</v>
      </c>
      <c r="I1331" t="str">
        <f t="shared" si="20"/>
        <v>Shipped</v>
      </c>
    </row>
    <row r="1332" spans="1:9" x14ac:dyDescent="0.3">
      <c r="A1332">
        <v>1331</v>
      </c>
      <c r="B1332">
        <v>1122</v>
      </c>
      <c r="C1332">
        <v>4</v>
      </c>
      <c r="D1332" s="12">
        <v>43105</v>
      </c>
      <c r="E1332" s="12">
        <v>43106</v>
      </c>
      <c r="F1332" s="12">
        <v>43108</v>
      </c>
      <c r="G1332">
        <v>2</v>
      </c>
      <c r="H1332">
        <v>6</v>
      </c>
      <c r="I1332" t="str">
        <f t="shared" si="20"/>
        <v>Shipped</v>
      </c>
    </row>
    <row r="1333" spans="1:9" x14ac:dyDescent="0.3">
      <c r="A1333">
        <v>1332</v>
      </c>
      <c r="B1333">
        <v>256</v>
      </c>
      <c r="C1333">
        <v>4</v>
      </c>
      <c r="D1333" s="12">
        <v>43106</v>
      </c>
      <c r="E1333" s="12">
        <v>43107</v>
      </c>
      <c r="F1333" s="12">
        <v>43109</v>
      </c>
      <c r="G1333">
        <v>2</v>
      </c>
      <c r="H1333">
        <v>7</v>
      </c>
      <c r="I1333" t="str">
        <f t="shared" si="20"/>
        <v>Shipped</v>
      </c>
    </row>
    <row r="1334" spans="1:9" x14ac:dyDescent="0.3">
      <c r="A1334">
        <v>1333</v>
      </c>
      <c r="B1334">
        <v>203</v>
      </c>
      <c r="C1334">
        <v>4</v>
      </c>
      <c r="D1334" s="12">
        <v>43106</v>
      </c>
      <c r="E1334" s="12">
        <v>43107</v>
      </c>
      <c r="F1334" s="12">
        <v>43107</v>
      </c>
      <c r="G1334">
        <v>3</v>
      </c>
      <c r="H1334">
        <v>8</v>
      </c>
      <c r="I1334" t="str">
        <f t="shared" si="20"/>
        <v>Shipped</v>
      </c>
    </row>
    <row r="1335" spans="1:9" x14ac:dyDescent="0.3">
      <c r="A1335">
        <v>1334</v>
      </c>
      <c r="B1335">
        <v>425</v>
      </c>
      <c r="C1335">
        <v>4</v>
      </c>
      <c r="D1335" s="12">
        <v>43107</v>
      </c>
      <c r="E1335" s="12">
        <v>43109</v>
      </c>
      <c r="F1335" s="12">
        <v>43110</v>
      </c>
      <c r="G1335">
        <v>2</v>
      </c>
      <c r="H1335">
        <v>6</v>
      </c>
      <c r="I1335" t="str">
        <f t="shared" si="20"/>
        <v>Shipped</v>
      </c>
    </row>
    <row r="1336" spans="1:9" x14ac:dyDescent="0.3">
      <c r="A1336">
        <v>1335</v>
      </c>
      <c r="B1336">
        <v>955</v>
      </c>
      <c r="C1336">
        <v>4</v>
      </c>
      <c r="D1336" s="12">
        <v>43107</v>
      </c>
      <c r="E1336" s="12">
        <v>43108</v>
      </c>
      <c r="F1336" s="12">
        <v>43108</v>
      </c>
      <c r="G1336">
        <v>2</v>
      </c>
      <c r="H1336">
        <v>7</v>
      </c>
      <c r="I1336" t="str">
        <f t="shared" si="20"/>
        <v>Shipped</v>
      </c>
    </row>
    <row r="1337" spans="1:9" x14ac:dyDescent="0.3">
      <c r="A1337">
        <v>1336</v>
      </c>
      <c r="B1337">
        <v>904</v>
      </c>
      <c r="C1337">
        <v>4</v>
      </c>
      <c r="D1337" s="12">
        <v>43109</v>
      </c>
      <c r="E1337" s="12">
        <v>43110</v>
      </c>
      <c r="F1337" s="12">
        <v>43112</v>
      </c>
      <c r="G1337">
        <v>1</v>
      </c>
      <c r="H1337">
        <v>2</v>
      </c>
      <c r="I1337" t="str">
        <f t="shared" si="20"/>
        <v>Shipped</v>
      </c>
    </row>
    <row r="1338" spans="1:9" x14ac:dyDescent="0.3">
      <c r="A1338">
        <v>1337</v>
      </c>
      <c r="B1338">
        <v>970</v>
      </c>
      <c r="C1338">
        <v>4</v>
      </c>
      <c r="D1338" s="12">
        <v>43109</v>
      </c>
      <c r="E1338" s="12">
        <v>43112</v>
      </c>
      <c r="F1338" s="12">
        <v>43112</v>
      </c>
      <c r="G1338">
        <v>2</v>
      </c>
      <c r="H1338">
        <v>7</v>
      </c>
      <c r="I1338" t="str">
        <f t="shared" si="20"/>
        <v>Shipped</v>
      </c>
    </row>
    <row r="1339" spans="1:9" x14ac:dyDescent="0.3">
      <c r="A1339">
        <v>1338</v>
      </c>
      <c r="B1339">
        <v>905</v>
      </c>
      <c r="C1339">
        <v>4</v>
      </c>
      <c r="D1339" s="12">
        <v>43110</v>
      </c>
      <c r="E1339" s="12">
        <v>43111</v>
      </c>
      <c r="F1339" s="12">
        <v>43113</v>
      </c>
      <c r="G1339">
        <v>2</v>
      </c>
      <c r="H1339">
        <v>6</v>
      </c>
      <c r="I1339" t="str">
        <f t="shared" si="20"/>
        <v>Shipped</v>
      </c>
    </row>
    <row r="1340" spans="1:9" x14ac:dyDescent="0.3">
      <c r="A1340">
        <v>1339</v>
      </c>
      <c r="B1340">
        <v>580</v>
      </c>
      <c r="C1340">
        <v>4</v>
      </c>
      <c r="D1340" s="12">
        <v>43111</v>
      </c>
      <c r="E1340" s="12">
        <v>43114</v>
      </c>
      <c r="F1340" s="12">
        <v>43113</v>
      </c>
      <c r="G1340">
        <v>1</v>
      </c>
      <c r="H1340">
        <v>3</v>
      </c>
      <c r="I1340" t="str">
        <f t="shared" si="20"/>
        <v>Delivered</v>
      </c>
    </row>
    <row r="1341" spans="1:9" x14ac:dyDescent="0.3">
      <c r="A1341">
        <v>1340</v>
      </c>
      <c r="B1341">
        <v>1066</v>
      </c>
      <c r="C1341">
        <v>4</v>
      </c>
      <c r="D1341" s="12">
        <v>43112</v>
      </c>
      <c r="E1341" s="12">
        <v>43113</v>
      </c>
      <c r="F1341" s="12">
        <v>43113</v>
      </c>
      <c r="G1341">
        <v>1</v>
      </c>
      <c r="H1341">
        <v>3</v>
      </c>
      <c r="I1341" t="str">
        <f t="shared" si="20"/>
        <v>Shipped</v>
      </c>
    </row>
    <row r="1342" spans="1:9" x14ac:dyDescent="0.3">
      <c r="A1342">
        <v>1341</v>
      </c>
      <c r="B1342">
        <v>1258</v>
      </c>
      <c r="C1342">
        <v>4</v>
      </c>
      <c r="D1342" s="12">
        <v>43112</v>
      </c>
      <c r="E1342" s="12">
        <v>43113</v>
      </c>
      <c r="F1342" s="12">
        <v>43114</v>
      </c>
      <c r="G1342">
        <v>2</v>
      </c>
      <c r="H1342">
        <v>7</v>
      </c>
      <c r="I1342" t="str">
        <f t="shared" si="20"/>
        <v>Shipped</v>
      </c>
    </row>
    <row r="1343" spans="1:9" x14ac:dyDescent="0.3">
      <c r="A1343">
        <v>1342</v>
      </c>
      <c r="B1343">
        <v>1393</v>
      </c>
      <c r="C1343">
        <v>4</v>
      </c>
      <c r="D1343" s="12">
        <v>43112</v>
      </c>
      <c r="E1343" s="12">
        <v>43113</v>
      </c>
      <c r="F1343" s="12">
        <v>43115</v>
      </c>
      <c r="G1343">
        <v>2</v>
      </c>
      <c r="H1343">
        <v>7</v>
      </c>
      <c r="I1343" t="str">
        <f t="shared" si="20"/>
        <v>Shipped</v>
      </c>
    </row>
    <row r="1344" spans="1:9" x14ac:dyDescent="0.3">
      <c r="A1344">
        <v>1343</v>
      </c>
      <c r="B1344">
        <v>594</v>
      </c>
      <c r="C1344">
        <v>4</v>
      </c>
      <c r="D1344" s="12">
        <v>43113</v>
      </c>
      <c r="E1344" s="12">
        <v>43115</v>
      </c>
      <c r="F1344" s="12">
        <v>43114</v>
      </c>
      <c r="G1344">
        <v>2</v>
      </c>
      <c r="H1344">
        <v>6</v>
      </c>
      <c r="I1344" t="str">
        <f t="shared" si="20"/>
        <v>Delivered</v>
      </c>
    </row>
    <row r="1345" spans="1:9" x14ac:dyDescent="0.3">
      <c r="A1345">
        <v>1344</v>
      </c>
      <c r="B1345">
        <v>916</v>
      </c>
      <c r="C1345">
        <v>4</v>
      </c>
      <c r="D1345" s="12">
        <v>43113</v>
      </c>
      <c r="E1345" s="12">
        <v>43116</v>
      </c>
      <c r="F1345" s="12">
        <v>43115</v>
      </c>
      <c r="G1345">
        <v>2</v>
      </c>
      <c r="H1345">
        <v>6</v>
      </c>
      <c r="I1345" t="str">
        <f t="shared" si="20"/>
        <v>Delivered</v>
      </c>
    </row>
    <row r="1346" spans="1:9" x14ac:dyDescent="0.3">
      <c r="A1346">
        <v>1345</v>
      </c>
      <c r="B1346">
        <v>1037</v>
      </c>
      <c r="C1346">
        <v>4</v>
      </c>
      <c r="D1346" s="12">
        <v>43114</v>
      </c>
      <c r="E1346" s="12">
        <v>43115</v>
      </c>
      <c r="F1346" s="12">
        <v>43115</v>
      </c>
      <c r="G1346">
        <v>2</v>
      </c>
      <c r="H1346">
        <v>6</v>
      </c>
      <c r="I1346" t="str">
        <f t="shared" si="20"/>
        <v>Shipped</v>
      </c>
    </row>
    <row r="1347" spans="1:9" x14ac:dyDescent="0.3">
      <c r="A1347">
        <v>1346</v>
      </c>
      <c r="B1347">
        <v>136</v>
      </c>
      <c r="C1347">
        <v>4</v>
      </c>
      <c r="D1347" s="12">
        <v>43114</v>
      </c>
      <c r="E1347" s="12">
        <v>43115</v>
      </c>
      <c r="F1347" s="12">
        <v>43115</v>
      </c>
      <c r="G1347">
        <v>3</v>
      </c>
      <c r="H1347">
        <v>8</v>
      </c>
      <c r="I1347" t="str">
        <f t="shared" ref="I1347:I1410" si="21">IF(F1347="NA","Pending",IF(OR(E1347=F1347,E1347&lt;F1347),"Shipped","Delivered"))</f>
        <v>Shipped</v>
      </c>
    </row>
    <row r="1348" spans="1:9" x14ac:dyDescent="0.3">
      <c r="A1348">
        <v>1347</v>
      </c>
      <c r="B1348">
        <v>247</v>
      </c>
      <c r="C1348">
        <v>4</v>
      </c>
      <c r="D1348" s="12">
        <v>43115</v>
      </c>
      <c r="E1348" s="12">
        <v>43118</v>
      </c>
      <c r="F1348" s="12">
        <v>43118</v>
      </c>
      <c r="G1348">
        <v>1</v>
      </c>
      <c r="H1348">
        <v>2</v>
      </c>
      <c r="I1348" t="str">
        <f t="shared" si="21"/>
        <v>Shipped</v>
      </c>
    </row>
    <row r="1349" spans="1:9" x14ac:dyDescent="0.3">
      <c r="A1349">
        <v>1348</v>
      </c>
      <c r="B1349">
        <v>1214</v>
      </c>
      <c r="C1349">
        <v>4</v>
      </c>
      <c r="D1349" s="12">
        <v>43115</v>
      </c>
      <c r="E1349" s="12">
        <v>43117</v>
      </c>
      <c r="F1349" s="12">
        <v>43117</v>
      </c>
      <c r="G1349">
        <v>1</v>
      </c>
      <c r="H1349">
        <v>2</v>
      </c>
      <c r="I1349" t="str">
        <f t="shared" si="21"/>
        <v>Shipped</v>
      </c>
    </row>
    <row r="1350" spans="1:9" x14ac:dyDescent="0.3">
      <c r="A1350">
        <v>1349</v>
      </c>
      <c r="B1350">
        <v>464</v>
      </c>
      <c r="C1350">
        <v>4</v>
      </c>
      <c r="D1350" s="12">
        <v>43115</v>
      </c>
      <c r="E1350" s="12">
        <v>43117</v>
      </c>
      <c r="F1350" s="12">
        <v>43116</v>
      </c>
      <c r="G1350">
        <v>2</v>
      </c>
      <c r="H1350">
        <v>6</v>
      </c>
      <c r="I1350" t="str">
        <f t="shared" si="21"/>
        <v>Delivered</v>
      </c>
    </row>
    <row r="1351" spans="1:9" x14ac:dyDescent="0.3">
      <c r="A1351">
        <v>1350</v>
      </c>
      <c r="B1351">
        <v>637</v>
      </c>
      <c r="C1351">
        <v>4</v>
      </c>
      <c r="D1351" s="12">
        <v>43115</v>
      </c>
      <c r="E1351" s="12">
        <v>43118</v>
      </c>
      <c r="F1351" s="12">
        <v>43117</v>
      </c>
      <c r="G1351">
        <v>2</v>
      </c>
      <c r="H1351">
        <v>7</v>
      </c>
      <c r="I1351" t="str">
        <f t="shared" si="21"/>
        <v>Delivered</v>
      </c>
    </row>
    <row r="1352" spans="1:9" x14ac:dyDescent="0.3">
      <c r="A1352">
        <v>1351</v>
      </c>
      <c r="B1352">
        <v>1016</v>
      </c>
      <c r="C1352">
        <v>4</v>
      </c>
      <c r="D1352" s="12">
        <v>43116</v>
      </c>
      <c r="E1352" s="12">
        <v>43119</v>
      </c>
      <c r="F1352" s="12">
        <v>43119</v>
      </c>
      <c r="G1352">
        <v>2</v>
      </c>
      <c r="H1352">
        <v>7</v>
      </c>
      <c r="I1352" t="str">
        <f t="shared" si="21"/>
        <v>Shipped</v>
      </c>
    </row>
    <row r="1353" spans="1:9" x14ac:dyDescent="0.3">
      <c r="A1353">
        <v>1352</v>
      </c>
      <c r="B1353">
        <v>1433</v>
      </c>
      <c r="C1353">
        <v>4</v>
      </c>
      <c r="D1353" s="12">
        <v>43116</v>
      </c>
      <c r="E1353" s="12">
        <v>43118</v>
      </c>
      <c r="F1353" s="12">
        <v>43118</v>
      </c>
      <c r="G1353">
        <v>2</v>
      </c>
      <c r="H1353">
        <v>6</v>
      </c>
      <c r="I1353" t="str">
        <f t="shared" si="21"/>
        <v>Shipped</v>
      </c>
    </row>
    <row r="1354" spans="1:9" x14ac:dyDescent="0.3">
      <c r="A1354">
        <v>1353</v>
      </c>
      <c r="B1354">
        <v>502</v>
      </c>
      <c r="C1354">
        <v>4</v>
      </c>
      <c r="D1354" s="12">
        <v>43117</v>
      </c>
      <c r="E1354" s="12">
        <v>43119</v>
      </c>
      <c r="F1354" s="12">
        <v>43118</v>
      </c>
      <c r="G1354">
        <v>2</v>
      </c>
      <c r="H1354">
        <v>6</v>
      </c>
      <c r="I1354" t="str">
        <f t="shared" si="21"/>
        <v>Delivered</v>
      </c>
    </row>
    <row r="1355" spans="1:9" x14ac:dyDescent="0.3">
      <c r="A1355">
        <v>1354</v>
      </c>
      <c r="B1355">
        <v>476</v>
      </c>
      <c r="C1355">
        <v>4</v>
      </c>
      <c r="D1355" s="12">
        <v>43119</v>
      </c>
      <c r="E1355" s="12">
        <v>43120</v>
      </c>
      <c r="F1355" s="12">
        <v>43121</v>
      </c>
      <c r="G1355">
        <v>1</v>
      </c>
      <c r="H1355">
        <v>3</v>
      </c>
      <c r="I1355" t="str">
        <f t="shared" si="21"/>
        <v>Shipped</v>
      </c>
    </row>
    <row r="1356" spans="1:9" x14ac:dyDescent="0.3">
      <c r="A1356">
        <v>1355</v>
      </c>
      <c r="B1356">
        <v>1010</v>
      </c>
      <c r="C1356">
        <v>4</v>
      </c>
      <c r="D1356" s="12">
        <v>43119</v>
      </c>
      <c r="E1356" s="12">
        <v>43121</v>
      </c>
      <c r="F1356" s="12">
        <v>43120</v>
      </c>
      <c r="G1356">
        <v>2</v>
      </c>
      <c r="H1356">
        <v>7</v>
      </c>
      <c r="I1356" t="str">
        <f t="shared" si="21"/>
        <v>Delivered</v>
      </c>
    </row>
    <row r="1357" spans="1:9" x14ac:dyDescent="0.3">
      <c r="A1357">
        <v>1356</v>
      </c>
      <c r="B1357">
        <v>1161</v>
      </c>
      <c r="C1357">
        <v>4</v>
      </c>
      <c r="D1357" s="12">
        <v>43119</v>
      </c>
      <c r="E1357" s="12">
        <v>43121</v>
      </c>
      <c r="F1357" s="12">
        <v>43122</v>
      </c>
      <c r="G1357">
        <v>2</v>
      </c>
      <c r="H1357">
        <v>6</v>
      </c>
      <c r="I1357" t="str">
        <f t="shared" si="21"/>
        <v>Shipped</v>
      </c>
    </row>
    <row r="1358" spans="1:9" x14ac:dyDescent="0.3">
      <c r="A1358">
        <v>1357</v>
      </c>
      <c r="B1358">
        <v>440</v>
      </c>
      <c r="C1358">
        <v>4</v>
      </c>
      <c r="D1358" s="12">
        <v>43120</v>
      </c>
      <c r="E1358" s="12">
        <v>43123</v>
      </c>
      <c r="F1358" s="12">
        <v>43121</v>
      </c>
      <c r="G1358">
        <v>2</v>
      </c>
      <c r="H1358">
        <v>6</v>
      </c>
      <c r="I1358" t="str">
        <f t="shared" si="21"/>
        <v>Delivered</v>
      </c>
    </row>
    <row r="1359" spans="1:9" x14ac:dyDescent="0.3">
      <c r="A1359">
        <v>1358</v>
      </c>
      <c r="B1359">
        <v>253</v>
      </c>
      <c r="C1359">
        <v>4</v>
      </c>
      <c r="D1359" s="12">
        <v>43121</v>
      </c>
      <c r="E1359" s="12">
        <v>43123</v>
      </c>
      <c r="F1359" s="12">
        <v>43124</v>
      </c>
      <c r="G1359">
        <v>1</v>
      </c>
      <c r="H1359">
        <v>2</v>
      </c>
      <c r="I1359" t="str">
        <f t="shared" si="21"/>
        <v>Shipped</v>
      </c>
    </row>
    <row r="1360" spans="1:9" x14ac:dyDescent="0.3">
      <c r="A1360">
        <v>1359</v>
      </c>
      <c r="B1360">
        <v>1008</v>
      </c>
      <c r="C1360">
        <v>4</v>
      </c>
      <c r="D1360" s="12">
        <v>43121</v>
      </c>
      <c r="E1360" s="12">
        <v>43122</v>
      </c>
      <c r="F1360" s="12">
        <v>43122</v>
      </c>
      <c r="G1360">
        <v>3</v>
      </c>
      <c r="H1360">
        <v>9</v>
      </c>
      <c r="I1360" t="str">
        <f t="shared" si="21"/>
        <v>Shipped</v>
      </c>
    </row>
    <row r="1361" spans="1:9" x14ac:dyDescent="0.3">
      <c r="A1361">
        <v>1360</v>
      </c>
      <c r="B1361">
        <v>71</v>
      </c>
      <c r="C1361">
        <v>4</v>
      </c>
      <c r="D1361" s="12">
        <v>43122</v>
      </c>
      <c r="E1361" s="12">
        <v>43125</v>
      </c>
      <c r="F1361" s="12">
        <v>43124</v>
      </c>
      <c r="G1361">
        <v>2</v>
      </c>
      <c r="H1361">
        <v>6</v>
      </c>
      <c r="I1361" t="str">
        <f t="shared" si="21"/>
        <v>Delivered</v>
      </c>
    </row>
    <row r="1362" spans="1:9" x14ac:dyDescent="0.3">
      <c r="A1362">
        <v>1361</v>
      </c>
      <c r="B1362">
        <v>1084</v>
      </c>
      <c r="C1362">
        <v>4</v>
      </c>
      <c r="D1362" s="12">
        <v>43122</v>
      </c>
      <c r="E1362" s="12">
        <v>43124</v>
      </c>
      <c r="F1362" s="12">
        <v>43123</v>
      </c>
      <c r="G1362">
        <v>2</v>
      </c>
      <c r="H1362">
        <v>7</v>
      </c>
      <c r="I1362" t="str">
        <f t="shared" si="21"/>
        <v>Delivered</v>
      </c>
    </row>
    <row r="1363" spans="1:9" x14ac:dyDescent="0.3">
      <c r="A1363">
        <v>1362</v>
      </c>
      <c r="B1363">
        <v>310</v>
      </c>
      <c r="C1363">
        <v>4</v>
      </c>
      <c r="D1363" s="12">
        <v>43123</v>
      </c>
      <c r="E1363" s="12">
        <v>43124</v>
      </c>
      <c r="F1363" s="12">
        <v>43125</v>
      </c>
      <c r="G1363">
        <v>2</v>
      </c>
      <c r="H1363">
        <v>6</v>
      </c>
      <c r="I1363" t="str">
        <f t="shared" si="21"/>
        <v>Shipped</v>
      </c>
    </row>
    <row r="1364" spans="1:9" x14ac:dyDescent="0.3">
      <c r="A1364">
        <v>1363</v>
      </c>
      <c r="B1364">
        <v>860</v>
      </c>
      <c r="C1364">
        <v>4</v>
      </c>
      <c r="D1364" s="12">
        <v>43124</v>
      </c>
      <c r="E1364" s="12">
        <v>43125</v>
      </c>
      <c r="F1364" s="12">
        <v>43125</v>
      </c>
      <c r="G1364">
        <v>2</v>
      </c>
      <c r="H1364">
        <v>6</v>
      </c>
      <c r="I1364" t="str">
        <f t="shared" si="21"/>
        <v>Shipped</v>
      </c>
    </row>
    <row r="1365" spans="1:9" x14ac:dyDescent="0.3">
      <c r="A1365">
        <v>1364</v>
      </c>
      <c r="B1365">
        <v>122</v>
      </c>
      <c r="C1365">
        <v>4</v>
      </c>
      <c r="D1365" s="12">
        <v>43125</v>
      </c>
      <c r="E1365" s="12">
        <v>43128</v>
      </c>
      <c r="F1365" s="12">
        <v>43128</v>
      </c>
      <c r="G1365">
        <v>2</v>
      </c>
      <c r="H1365">
        <v>6</v>
      </c>
      <c r="I1365" t="str">
        <f t="shared" si="21"/>
        <v>Shipped</v>
      </c>
    </row>
    <row r="1366" spans="1:9" x14ac:dyDescent="0.3">
      <c r="A1366">
        <v>1365</v>
      </c>
      <c r="B1366">
        <v>689</v>
      </c>
      <c r="C1366">
        <v>4</v>
      </c>
      <c r="D1366" s="12">
        <v>43125</v>
      </c>
      <c r="E1366" s="12">
        <v>43128</v>
      </c>
      <c r="F1366" s="12">
        <v>43127</v>
      </c>
      <c r="G1366">
        <v>2</v>
      </c>
      <c r="H1366">
        <v>7</v>
      </c>
      <c r="I1366" t="str">
        <f t="shared" si="21"/>
        <v>Delivered</v>
      </c>
    </row>
    <row r="1367" spans="1:9" x14ac:dyDescent="0.3">
      <c r="A1367">
        <v>1366</v>
      </c>
      <c r="B1367">
        <v>1441</v>
      </c>
      <c r="C1367">
        <v>4</v>
      </c>
      <c r="D1367" s="12">
        <v>43126</v>
      </c>
      <c r="E1367" s="12">
        <v>43127</v>
      </c>
      <c r="F1367" s="12">
        <v>43128</v>
      </c>
      <c r="G1367">
        <v>2</v>
      </c>
      <c r="H1367">
        <v>6</v>
      </c>
      <c r="I1367" t="str">
        <f t="shared" si="21"/>
        <v>Shipped</v>
      </c>
    </row>
    <row r="1368" spans="1:9" x14ac:dyDescent="0.3">
      <c r="A1368">
        <v>1367</v>
      </c>
      <c r="B1368">
        <v>1118</v>
      </c>
      <c r="C1368">
        <v>4</v>
      </c>
      <c r="D1368" s="12">
        <v>43127</v>
      </c>
      <c r="E1368" s="12">
        <v>43128</v>
      </c>
      <c r="F1368" s="12">
        <v>43128</v>
      </c>
      <c r="G1368">
        <v>1</v>
      </c>
      <c r="H1368">
        <v>3</v>
      </c>
      <c r="I1368" t="str">
        <f t="shared" si="21"/>
        <v>Shipped</v>
      </c>
    </row>
    <row r="1369" spans="1:9" x14ac:dyDescent="0.3">
      <c r="A1369">
        <v>1368</v>
      </c>
      <c r="B1369">
        <v>765</v>
      </c>
      <c r="C1369">
        <v>4</v>
      </c>
      <c r="D1369" s="12">
        <v>43127</v>
      </c>
      <c r="E1369" s="12">
        <v>43128</v>
      </c>
      <c r="F1369" s="12">
        <v>43129</v>
      </c>
      <c r="G1369">
        <v>2</v>
      </c>
      <c r="H1369">
        <v>6</v>
      </c>
      <c r="I1369" t="str">
        <f t="shared" si="21"/>
        <v>Shipped</v>
      </c>
    </row>
    <row r="1370" spans="1:9" x14ac:dyDescent="0.3">
      <c r="A1370">
        <v>1369</v>
      </c>
      <c r="B1370">
        <v>92</v>
      </c>
      <c r="C1370">
        <v>4</v>
      </c>
      <c r="D1370" s="12">
        <v>43128</v>
      </c>
      <c r="E1370" s="12">
        <v>43130</v>
      </c>
      <c r="F1370" s="12">
        <v>43130</v>
      </c>
      <c r="G1370">
        <v>2</v>
      </c>
      <c r="H1370">
        <v>6</v>
      </c>
      <c r="I1370" t="str">
        <f t="shared" si="21"/>
        <v>Shipped</v>
      </c>
    </row>
    <row r="1371" spans="1:9" x14ac:dyDescent="0.3">
      <c r="A1371">
        <v>1370</v>
      </c>
      <c r="B1371">
        <v>115</v>
      </c>
      <c r="C1371">
        <v>4</v>
      </c>
      <c r="D1371" s="12">
        <v>43128</v>
      </c>
      <c r="E1371" s="12">
        <v>43129</v>
      </c>
      <c r="F1371" s="12">
        <v>43129</v>
      </c>
      <c r="G1371">
        <v>2</v>
      </c>
      <c r="H1371">
        <v>7</v>
      </c>
      <c r="I1371" t="str">
        <f t="shared" si="21"/>
        <v>Shipped</v>
      </c>
    </row>
    <row r="1372" spans="1:9" x14ac:dyDescent="0.3">
      <c r="A1372">
        <v>1371</v>
      </c>
      <c r="B1372">
        <v>937</v>
      </c>
      <c r="C1372">
        <v>4</v>
      </c>
      <c r="D1372" s="12">
        <v>43129</v>
      </c>
      <c r="E1372" s="12">
        <v>43130</v>
      </c>
      <c r="F1372" s="12">
        <v>43132</v>
      </c>
      <c r="G1372">
        <v>2</v>
      </c>
      <c r="H1372">
        <v>7</v>
      </c>
      <c r="I1372" t="str">
        <f t="shared" si="21"/>
        <v>Shipped</v>
      </c>
    </row>
    <row r="1373" spans="1:9" x14ac:dyDescent="0.3">
      <c r="A1373">
        <v>1372</v>
      </c>
      <c r="B1373">
        <v>1013</v>
      </c>
      <c r="C1373">
        <v>4</v>
      </c>
      <c r="D1373" s="12">
        <v>43129</v>
      </c>
      <c r="E1373" s="12">
        <v>43132</v>
      </c>
      <c r="F1373" s="12">
        <v>43130</v>
      </c>
      <c r="G1373">
        <v>2</v>
      </c>
      <c r="H1373">
        <v>6</v>
      </c>
      <c r="I1373" t="str">
        <f t="shared" si="21"/>
        <v>Delivered</v>
      </c>
    </row>
    <row r="1374" spans="1:9" x14ac:dyDescent="0.3">
      <c r="A1374">
        <v>1373</v>
      </c>
      <c r="B1374">
        <v>427</v>
      </c>
      <c r="C1374">
        <v>4</v>
      </c>
      <c r="D1374" s="12">
        <v>43129</v>
      </c>
      <c r="E1374" s="12">
        <v>43131</v>
      </c>
      <c r="F1374" s="12">
        <v>43131</v>
      </c>
      <c r="G1374">
        <v>3</v>
      </c>
      <c r="H1374">
        <v>9</v>
      </c>
      <c r="I1374" t="str">
        <f t="shared" si="21"/>
        <v>Shipped</v>
      </c>
    </row>
    <row r="1375" spans="1:9" x14ac:dyDescent="0.3">
      <c r="A1375">
        <v>1374</v>
      </c>
      <c r="B1375">
        <v>1330</v>
      </c>
      <c r="C1375">
        <v>4</v>
      </c>
      <c r="D1375" s="12">
        <v>43130</v>
      </c>
      <c r="E1375" s="12">
        <v>43132</v>
      </c>
      <c r="F1375" s="12">
        <v>43132</v>
      </c>
      <c r="G1375">
        <v>1</v>
      </c>
      <c r="H1375">
        <v>3</v>
      </c>
      <c r="I1375" t="str">
        <f t="shared" si="21"/>
        <v>Shipped</v>
      </c>
    </row>
    <row r="1376" spans="1:9" x14ac:dyDescent="0.3">
      <c r="A1376">
        <v>1375</v>
      </c>
      <c r="B1376">
        <v>312</v>
      </c>
      <c r="C1376">
        <v>4</v>
      </c>
      <c r="D1376" s="12">
        <v>43130</v>
      </c>
      <c r="E1376" s="12">
        <v>43132</v>
      </c>
      <c r="F1376" s="12">
        <v>43132</v>
      </c>
      <c r="G1376">
        <v>3</v>
      </c>
      <c r="H1376">
        <v>8</v>
      </c>
      <c r="I1376" t="str">
        <f t="shared" si="21"/>
        <v>Shipped</v>
      </c>
    </row>
    <row r="1377" spans="1:9" x14ac:dyDescent="0.3">
      <c r="A1377">
        <v>1376</v>
      </c>
      <c r="B1377">
        <v>1186</v>
      </c>
      <c r="C1377">
        <v>4</v>
      </c>
      <c r="D1377" s="12">
        <v>43132</v>
      </c>
      <c r="E1377" s="12">
        <v>43133</v>
      </c>
      <c r="F1377" s="12">
        <v>43134</v>
      </c>
      <c r="G1377">
        <v>1</v>
      </c>
      <c r="H1377">
        <v>2</v>
      </c>
      <c r="I1377" t="str">
        <f t="shared" si="21"/>
        <v>Shipped</v>
      </c>
    </row>
    <row r="1378" spans="1:9" x14ac:dyDescent="0.3">
      <c r="A1378">
        <v>1377</v>
      </c>
      <c r="B1378">
        <v>1007</v>
      </c>
      <c r="C1378">
        <v>4</v>
      </c>
      <c r="D1378" s="12">
        <v>43132</v>
      </c>
      <c r="E1378" s="12">
        <v>43134</v>
      </c>
      <c r="F1378" s="12">
        <v>43134</v>
      </c>
      <c r="G1378">
        <v>2</v>
      </c>
      <c r="H1378">
        <v>7</v>
      </c>
      <c r="I1378" t="str">
        <f t="shared" si="21"/>
        <v>Shipped</v>
      </c>
    </row>
    <row r="1379" spans="1:9" x14ac:dyDescent="0.3">
      <c r="A1379">
        <v>1378</v>
      </c>
      <c r="B1379">
        <v>983</v>
      </c>
      <c r="C1379">
        <v>4</v>
      </c>
      <c r="D1379" s="12">
        <v>43133</v>
      </c>
      <c r="E1379" s="12">
        <v>43136</v>
      </c>
      <c r="F1379" s="12">
        <v>43135</v>
      </c>
      <c r="G1379">
        <v>1</v>
      </c>
      <c r="H1379">
        <v>2</v>
      </c>
      <c r="I1379" t="str">
        <f t="shared" si="21"/>
        <v>Delivered</v>
      </c>
    </row>
    <row r="1380" spans="1:9" x14ac:dyDescent="0.3">
      <c r="A1380">
        <v>1379</v>
      </c>
      <c r="B1380">
        <v>1256</v>
      </c>
      <c r="C1380">
        <v>4</v>
      </c>
      <c r="D1380" s="12">
        <v>43133</v>
      </c>
      <c r="E1380" s="12">
        <v>43136</v>
      </c>
      <c r="F1380" s="12">
        <v>43136</v>
      </c>
      <c r="G1380">
        <v>2</v>
      </c>
      <c r="H1380">
        <v>6</v>
      </c>
      <c r="I1380" t="str">
        <f t="shared" si="21"/>
        <v>Shipped</v>
      </c>
    </row>
    <row r="1381" spans="1:9" x14ac:dyDescent="0.3">
      <c r="A1381">
        <v>1380</v>
      </c>
      <c r="B1381">
        <v>818</v>
      </c>
      <c r="C1381">
        <v>4</v>
      </c>
      <c r="D1381" s="12">
        <v>43136</v>
      </c>
      <c r="E1381" s="12">
        <v>43139</v>
      </c>
      <c r="F1381" s="12">
        <v>43139</v>
      </c>
      <c r="G1381">
        <v>1</v>
      </c>
      <c r="H1381">
        <v>3</v>
      </c>
      <c r="I1381" t="str">
        <f t="shared" si="21"/>
        <v>Shipped</v>
      </c>
    </row>
    <row r="1382" spans="1:9" x14ac:dyDescent="0.3">
      <c r="A1382">
        <v>1381</v>
      </c>
      <c r="B1382">
        <v>680</v>
      </c>
      <c r="C1382">
        <v>4</v>
      </c>
      <c r="D1382" s="12">
        <v>43136</v>
      </c>
      <c r="E1382" s="12">
        <v>43137</v>
      </c>
      <c r="F1382" s="12">
        <v>43139</v>
      </c>
      <c r="G1382">
        <v>2</v>
      </c>
      <c r="H1382">
        <v>7</v>
      </c>
      <c r="I1382" t="str">
        <f t="shared" si="21"/>
        <v>Shipped</v>
      </c>
    </row>
    <row r="1383" spans="1:9" x14ac:dyDescent="0.3">
      <c r="A1383">
        <v>1382</v>
      </c>
      <c r="B1383">
        <v>1303</v>
      </c>
      <c r="C1383">
        <v>4</v>
      </c>
      <c r="D1383" s="12">
        <v>43137</v>
      </c>
      <c r="E1383" s="12">
        <v>43140</v>
      </c>
      <c r="F1383" s="12">
        <v>43139</v>
      </c>
      <c r="G1383">
        <v>2</v>
      </c>
      <c r="H1383">
        <v>6</v>
      </c>
      <c r="I1383" t="str">
        <f t="shared" si="21"/>
        <v>Delivered</v>
      </c>
    </row>
    <row r="1384" spans="1:9" x14ac:dyDescent="0.3">
      <c r="A1384">
        <v>1383</v>
      </c>
      <c r="B1384">
        <v>488</v>
      </c>
      <c r="C1384">
        <v>4</v>
      </c>
      <c r="D1384" s="12">
        <v>43138</v>
      </c>
      <c r="E1384" s="12">
        <v>43139</v>
      </c>
      <c r="F1384" s="12">
        <v>43139</v>
      </c>
      <c r="G1384">
        <v>1</v>
      </c>
      <c r="H1384">
        <v>3</v>
      </c>
      <c r="I1384" t="str">
        <f t="shared" si="21"/>
        <v>Shipped</v>
      </c>
    </row>
    <row r="1385" spans="1:9" x14ac:dyDescent="0.3">
      <c r="A1385">
        <v>1384</v>
      </c>
      <c r="B1385">
        <v>1126</v>
      </c>
      <c r="C1385">
        <v>4</v>
      </c>
      <c r="D1385" s="12">
        <v>43139</v>
      </c>
      <c r="E1385" s="12">
        <v>43141</v>
      </c>
      <c r="F1385" s="12">
        <v>43140</v>
      </c>
      <c r="G1385">
        <v>2</v>
      </c>
      <c r="H1385">
        <v>7</v>
      </c>
      <c r="I1385" t="str">
        <f t="shared" si="21"/>
        <v>Delivered</v>
      </c>
    </row>
    <row r="1386" spans="1:9" x14ac:dyDescent="0.3">
      <c r="A1386">
        <v>1385</v>
      </c>
      <c r="B1386">
        <v>866</v>
      </c>
      <c r="C1386">
        <v>4</v>
      </c>
      <c r="D1386" s="12">
        <v>43139</v>
      </c>
      <c r="E1386" s="12">
        <v>43142</v>
      </c>
      <c r="F1386" s="12">
        <v>43140</v>
      </c>
      <c r="G1386">
        <v>3</v>
      </c>
      <c r="H1386">
        <v>9</v>
      </c>
      <c r="I1386" t="str">
        <f t="shared" si="21"/>
        <v>Delivered</v>
      </c>
    </row>
    <row r="1387" spans="1:9" x14ac:dyDescent="0.3">
      <c r="A1387">
        <v>1386</v>
      </c>
      <c r="B1387">
        <v>1254</v>
      </c>
      <c r="C1387">
        <v>4</v>
      </c>
      <c r="D1387" s="12">
        <v>43140</v>
      </c>
      <c r="E1387" s="12">
        <v>43141</v>
      </c>
      <c r="F1387" s="12">
        <v>43142</v>
      </c>
      <c r="G1387">
        <v>1</v>
      </c>
      <c r="H1387">
        <v>2</v>
      </c>
      <c r="I1387" t="str">
        <f t="shared" si="21"/>
        <v>Shipped</v>
      </c>
    </row>
    <row r="1388" spans="1:9" x14ac:dyDescent="0.3">
      <c r="A1388">
        <v>1387</v>
      </c>
      <c r="B1388">
        <v>11</v>
      </c>
      <c r="C1388">
        <v>4</v>
      </c>
      <c r="D1388" s="12">
        <v>43140</v>
      </c>
      <c r="E1388" s="12">
        <v>43142</v>
      </c>
      <c r="F1388" s="12">
        <v>43142</v>
      </c>
      <c r="G1388">
        <v>2</v>
      </c>
      <c r="H1388">
        <v>7</v>
      </c>
      <c r="I1388" t="str">
        <f t="shared" si="21"/>
        <v>Shipped</v>
      </c>
    </row>
    <row r="1389" spans="1:9" x14ac:dyDescent="0.3">
      <c r="A1389">
        <v>1388</v>
      </c>
      <c r="B1389">
        <v>323</v>
      </c>
      <c r="C1389">
        <v>4</v>
      </c>
      <c r="D1389" s="12">
        <v>43140</v>
      </c>
      <c r="E1389" s="12">
        <v>43143</v>
      </c>
      <c r="F1389" s="12">
        <v>43143</v>
      </c>
      <c r="G1389">
        <v>2</v>
      </c>
      <c r="H1389">
        <v>7</v>
      </c>
      <c r="I1389" t="str">
        <f t="shared" si="21"/>
        <v>Shipped</v>
      </c>
    </row>
    <row r="1390" spans="1:9" x14ac:dyDescent="0.3">
      <c r="A1390">
        <v>1389</v>
      </c>
      <c r="B1390">
        <v>491</v>
      </c>
      <c r="C1390">
        <v>4</v>
      </c>
      <c r="D1390" s="12">
        <v>43142</v>
      </c>
      <c r="E1390" s="12">
        <v>43143</v>
      </c>
      <c r="F1390" s="12">
        <v>43145</v>
      </c>
      <c r="G1390">
        <v>2</v>
      </c>
      <c r="H1390">
        <v>7</v>
      </c>
      <c r="I1390" t="str">
        <f t="shared" si="21"/>
        <v>Shipped</v>
      </c>
    </row>
    <row r="1391" spans="1:9" x14ac:dyDescent="0.3">
      <c r="A1391">
        <v>1390</v>
      </c>
      <c r="B1391">
        <v>63</v>
      </c>
      <c r="C1391">
        <v>4</v>
      </c>
      <c r="D1391" s="12">
        <v>43143</v>
      </c>
      <c r="E1391" s="12">
        <v>43144</v>
      </c>
      <c r="F1391" s="12">
        <v>43144</v>
      </c>
      <c r="G1391">
        <v>2</v>
      </c>
      <c r="H1391">
        <v>7</v>
      </c>
      <c r="I1391" t="str">
        <f t="shared" si="21"/>
        <v>Shipped</v>
      </c>
    </row>
    <row r="1392" spans="1:9" x14ac:dyDescent="0.3">
      <c r="A1392">
        <v>1391</v>
      </c>
      <c r="B1392">
        <v>914</v>
      </c>
      <c r="C1392">
        <v>4</v>
      </c>
      <c r="D1392" s="12">
        <v>43144</v>
      </c>
      <c r="E1392" s="12">
        <v>43145</v>
      </c>
      <c r="F1392" s="12">
        <v>43145</v>
      </c>
      <c r="G1392">
        <v>2</v>
      </c>
      <c r="H1392">
        <v>7</v>
      </c>
      <c r="I1392" t="str">
        <f t="shared" si="21"/>
        <v>Shipped</v>
      </c>
    </row>
    <row r="1393" spans="1:9" x14ac:dyDescent="0.3">
      <c r="A1393">
        <v>1392</v>
      </c>
      <c r="B1393">
        <v>1187</v>
      </c>
      <c r="C1393">
        <v>4</v>
      </c>
      <c r="D1393" s="12">
        <v>43144</v>
      </c>
      <c r="E1393" s="12">
        <v>43145</v>
      </c>
      <c r="F1393" s="12">
        <v>43145</v>
      </c>
      <c r="G1393">
        <v>2</v>
      </c>
      <c r="H1393">
        <v>6</v>
      </c>
      <c r="I1393" t="str">
        <f t="shared" si="21"/>
        <v>Shipped</v>
      </c>
    </row>
    <row r="1394" spans="1:9" x14ac:dyDescent="0.3">
      <c r="A1394">
        <v>1393</v>
      </c>
      <c r="B1394">
        <v>547</v>
      </c>
      <c r="C1394">
        <v>4</v>
      </c>
      <c r="D1394" s="12">
        <v>43145</v>
      </c>
      <c r="E1394" s="12">
        <v>43146</v>
      </c>
      <c r="F1394" s="12">
        <v>43146</v>
      </c>
      <c r="G1394">
        <v>2</v>
      </c>
      <c r="H1394">
        <v>7</v>
      </c>
      <c r="I1394" t="str">
        <f t="shared" si="21"/>
        <v>Shipped</v>
      </c>
    </row>
    <row r="1395" spans="1:9" x14ac:dyDescent="0.3">
      <c r="A1395">
        <v>1394</v>
      </c>
      <c r="B1395">
        <v>906</v>
      </c>
      <c r="C1395">
        <v>4</v>
      </c>
      <c r="D1395" s="12">
        <v>43145</v>
      </c>
      <c r="E1395" s="12">
        <v>43147</v>
      </c>
      <c r="F1395" s="12">
        <v>43147</v>
      </c>
      <c r="G1395">
        <v>3</v>
      </c>
      <c r="H1395">
        <v>8</v>
      </c>
      <c r="I1395" t="str">
        <f t="shared" si="21"/>
        <v>Shipped</v>
      </c>
    </row>
    <row r="1396" spans="1:9" x14ac:dyDescent="0.3">
      <c r="A1396">
        <v>1395</v>
      </c>
      <c r="B1396">
        <v>1052</v>
      </c>
      <c r="C1396">
        <v>4</v>
      </c>
      <c r="D1396" s="12">
        <v>43146</v>
      </c>
      <c r="E1396" s="12">
        <v>43149</v>
      </c>
      <c r="F1396" s="12">
        <v>43147</v>
      </c>
      <c r="G1396">
        <v>1</v>
      </c>
      <c r="H1396">
        <v>3</v>
      </c>
      <c r="I1396" t="str">
        <f t="shared" si="21"/>
        <v>Delivered</v>
      </c>
    </row>
    <row r="1397" spans="1:9" x14ac:dyDescent="0.3">
      <c r="A1397">
        <v>1396</v>
      </c>
      <c r="B1397">
        <v>856</v>
      </c>
      <c r="C1397">
        <v>4</v>
      </c>
      <c r="D1397" s="12">
        <v>43146</v>
      </c>
      <c r="E1397" s="12">
        <v>43149</v>
      </c>
      <c r="F1397" s="12">
        <v>43147</v>
      </c>
      <c r="G1397">
        <v>2</v>
      </c>
      <c r="H1397">
        <v>7</v>
      </c>
      <c r="I1397" t="str">
        <f t="shared" si="21"/>
        <v>Delivered</v>
      </c>
    </row>
    <row r="1398" spans="1:9" x14ac:dyDescent="0.3">
      <c r="A1398">
        <v>1397</v>
      </c>
      <c r="B1398">
        <v>920</v>
      </c>
      <c r="C1398">
        <v>4</v>
      </c>
      <c r="D1398" s="12">
        <v>43146</v>
      </c>
      <c r="E1398" s="12">
        <v>43148</v>
      </c>
      <c r="F1398" s="12">
        <v>43147</v>
      </c>
      <c r="G1398">
        <v>2</v>
      </c>
      <c r="H1398">
        <v>6</v>
      </c>
      <c r="I1398" t="str">
        <f t="shared" si="21"/>
        <v>Delivered</v>
      </c>
    </row>
    <row r="1399" spans="1:9" x14ac:dyDescent="0.3">
      <c r="A1399">
        <v>1398</v>
      </c>
      <c r="B1399">
        <v>1383</v>
      </c>
      <c r="C1399">
        <v>4</v>
      </c>
      <c r="D1399" s="12">
        <v>43147</v>
      </c>
      <c r="E1399" s="12">
        <v>43150</v>
      </c>
      <c r="F1399" s="12">
        <v>43150</v>
      </c>
      <c r="G1399">
        <v>1</v>
      </c>
      <c r="H1399">
        <v>3</v>
      </c>
      <c r="I1399" t="str">
        <f t="shared" si="21"/>
        <v>Shipped</v>
      </c>
    </row>
    <row r="1400" spans="1:9" x14ac:dyDescent="0.3">
      <c r="A1400">
        <v>1399</v>
      </c>
      <c r="B1400">
        <v>146</v>
      </c>
      <c r="C1400">
        <v>4</v>
      </c>
      <c r="D1400" s="12">
        <v>43147</v>
      </c>
      <c r="E1400" s="12">
        <v>43149</v>
      </c>
      <c r="F1400" s="12">
        <v>43149</v>
      </c>
      <c r="G1400">
        <v>2</v>
      </c>
      <c r="H1400">
        <v>6</v>
      </c>
      <c r="I1400" t="str">
        <f t="shared" si="21"/>
        <v>Shipped</v>
      </c>
    </row>
    <row r="1401" spans="1:9" x14ac:dyDescent="0.3">
      <c r="A1401">
        <v>1400</v>
      </c>
      <c r="B1401">
        <v>987</v>
      </c>
      <c r="C1401">
        <v>4</v>
      </c>
      <c r="D1401" s="12">
        <v>43148</v>
      </c>
      <c r="E1401" s="12">
        <v>43149</v>
      </c>
      <c r="F1401" s="12">
        <v>43149</v>
      </c>
      <c r="G1401">
        <v>2</v>
      </c>
      <c r="H1401">
        <v>6</v>
      </c>
      <c r="I1401" t="str">
        <f t="shared" si="21"/>
        <v>Shipped</v>
      </c>
    </row>
    <row r="1402" spans="1:9" x14ac:dyDescent="0.3">
      <c r="A1402">
        <v>1401</v>
      </c>
      <c r="B1402">
        <v>15</v>
      </c>
      <c r="C1402">
        <v>4</v>
      </c>
      <c r="D1402" s="12">
        <v>43149</v>
      </c>
      <c r="E1402" s="12">
        <v>43150</v>
      </c>
      <c r="F1402" s="12">
        <v>43151</v>
      </c>
      <c r="G1402">
        <v>2</v>
      </c>
      <c r="H1402">
        <v>7</v>
      </c>
      <c r="I1402" t="str">
        <f t="shared" si="21"/>
        <v>Shipped</v>
      </c>
    </row>
    <row r="1403" spans="1:9" x14ac:dyDescent="0.3">
      <c r="A1403">
        <v>1402</v>
      </c>
      <c r="B1403">
        <v>1171</v>
      </c>
      <c r="C1403">
        <v>4</v>
      </c>
      <c r="D1403" s="12">
        <v>43150</v>
      </c>
      <c r="E1403" s="12">
        <v>43152</v>
      </c>
      <c r="F1403" s="12">
        <v>43152</v>
      </c>
      <c r="G1403">
        <v>2</v>
      </c>
      <c r="H1403">
        <v>6</v>
      </c>
      <c r="I1403" t="str">
        <f t="shared" si="21"/>
        <v>Shipped</v>
      </c>
    </row>
    <row r="1404" spans="1:9" x14ac:dyDescent="0.3">
      <c r="A1404">
        <v>1403</v>
      </c>
      <c r="B1404">
        <v>452</v>
      </c>
      <c r="C1404">
        <v>4</v>
      </c>
      <c r="D1404" s="12">
        <v>43152</v>
      </c>
      <c r="E1404" s="12">
        <v>43153</v>
      </c>
      <c r="F1404" s="12">
        <v>43153</v>
      </c>
      <c r="G1404">
        <v>2</v>
      </c>
      <c r="H1404">
        <v>7</v>
      </c>
      <c r="I1404" t="str">
        <f t="shared" si="21"/>
        <v>Shipped</v>
      </c>
    </row>
    <row r="1405" spans="1:9" x14ac:dyDescent="0.3">
      <c r="A1405">
        <v>1404</v>
      </c>
      <c r="B1405">
        <v>1240</v>
      </c>
      <c r="C1405">
        <v>4</v>
      </c>
      <c r="D1405" s="12">
        <v>43154</v>
      </c>
      <c r="E1405" s="12">
        <v>43157</v>
      </c>
      <c r="F1405" s="12">
        <v>43155</v>
      </c>
      <c r="G1405">
        <v>1</v>
      </c>
      <c r="H1405">
        <v>3</v>
      </c>
      <c r="I1405" t="str">
        <f t="shared" si="21"/>
        <v>Delivered</v>
      </c>
    </row>
    <row r="1406" spans="1:9" x14ac:dyDescent="0.3">
      <c r="A1406">
        <v>1405</v>
      </c>
      <c r="B1406">
        <v>100</v>
      </c>
      <c r="C1406">
        <v>4</v>
      </c>
      <c r="D1406" s="12">
        <v>43156</v>
      </c>
      <c r="E1406" s="12">
        <v>43159</v>
      </c>
      <c r="F1406" s="12">
        <v>43158</v>
      </c>
      <c r="G1406">
        <v>2</v>
      </c>
      <c r="H1406">
        <v>6</v>
      </c>
      <c r="I1406" t="str">
        <f t="shared" si="21"/>
        <v>Delivered</v>
      </c>
    </row>
    <row r="1407" spans="1:9" x14ac:dyDescent="0.3">
      <c r="A1407">
        <v>1406</v>
      </c>
      <c r="B1407">
        <v>1053</v>
      </c>
      <c r="C1407">
        <v>4</v>
      </c>
      <c r="D1407" s="12">
        <v>43156</v>
      </c>
      <c r="E1407" s="12">
        <v>43158</v>
      </c>
      <c r="F1407" s="12">
        <v>43158</v>
      </c>
      <c r="G1407">
        <v>2</v>
      </c>
      <c r="H1407">
        <v>7</v>
      </c>
      <c r="I1407" t="str">
        <f t="shared" si="21"/>
        <v>Shipped</v>
      </c>
    </row>
    <row r="1408" spans="1:9" x14ac:dyDescent="0.3">
      <c r="A1408">
        <v>1407</v>
      </c>
      <c r="B1408">
        <v>18</v>
      </c>
      <c r="C1408">
        <v>3</v>
      </c>
      <c r="D1408" s="12">
        <v>43157</v>
      </c>
      <c r="E1408" s="12">
        <v>43157</v>
      </c>
      <c r="F1408" s="12" t="s">
        <v>5611</v>
      </c>
      <c r="G1408">
        <v>2</v>
      </c>
      <c r="H1408">
        <v>6</v>
      </c>
      <c r="I1408" t="str">
        <f t="shared" si="21"/>
        <v>Pending</v>
      </c>
    </row>
    <row r="1409" spans="1:9" x14ac:dyDescent="0.3">
      <c r="A1409">
        <v>1408</v>
      </c>
      <c r="B1409">
        <v>1172</v>
      </c>
      <c r="C1409">
        <v>4</v>
      </c>
      <c r="D1409" s="12">
        <v>43157</v>
      </c>
      <c r="E1409" s="12">
        <v>43158</v>
      </c>
      <c r="F1409" s="12">
        <v>43160</v>
      </c>
      <c r="G1409">
        <v>2</v>
      </c>
      <c r="H1409">
        <v>6</v>
      </c>
      <c r="I1409" t="str">
        <f t="shared" si="21"/>
        <v>Shipped</v>
      </c>
    </row>
    <row r="1410" spans="1:9" x14ac:dyDescent="0.3">
      <c r="A1410">
        <v>1409</v>
      </c>
      <c r="B1410">
        <v>21</v>
      </c>
      <c r="C1410">
        <v>4</v>
      </c>
      <c r="D1410" s="12">
        <v>43157</v>
      </c>
      <c r="E1410" s="12">
        <v>43159</v>
      </c>
      <c r="F1410" s="12">
        <v>43159</v>
      </c>
      <c r="G1410">
        <v>3</v>
      </c>
      <c r="H1410">
        <v>8</v>
      </c>
      <c r="I1410" t="str">
        <f t="shared" si="21"/>
        <v>Shipped</v>
      </c>
    </row>
    <row r="1411" spans="1:9" x14ac:dyDescent="0.3">
      <c r="A1411">
        <v>1410</v>
      </c>
      <c r="B1411">
        <v>1005</v>
      </c>
      <c r="C1411">
        <v>4</v>
      </c>
      <c r="D1411" s="12">
        <v>43158</v>
      </c>
      <c r="E1411" s="12">
        <v>43159</v>
      </c>
      <c r="F1411" s="12">
        <v>43159</v>
      </c>
      <c r="G1411">
        <v>2</v>
      </c>
      <c r="H1411">
        <v>7</v>
      </c>
      <c r="I1411" t="str">
        <f t="shared" ref="I1411:I1474" si="22">IF(F1411="NA","Pending",IF(OR(E1411=F1411,E1411&lt;F1411),"Shipped","Delivered"))</f>
        <v>Shipped</v>
      </c>
    </row>
    <row r="1412" spans="1:9" x14ac:dyDescent="0.3">
      <c r="A1412">
        <v>1411</v>
      </c>
      <c r="B1412">
        <v>109</v>
      </c>
      <c r="C1412">
        <v>4</v>
      </c>
      <c r="D1412" s="12">
        <v>43160</v>
      </c>
      <c r="E1412" s="12">
        <v>43161</v>
      </c>
      <c r="F1412" s="12">
        <v>43161</v>
      </c>
      <c r="G1412">
        <v>1</v>
      </c>
      <c r="H1412">
        <v>2</v>
      </c>
      <c r="I1412" t="str">
        <f t="shared" si="22"/>
        <v>Shipped</v>
      </c>
    </row>
    <row r="1413" spans="1:9" x14ac:dyDescent="0.3">
      <c r="A1413">
        <v>1412</v>
      </c>
      <c r="B1413">
        <v>1043</v>
      </c>
      <c r="C1413">
        <v>4</v>
      </c>
      <c r="D1413" s="12">
        <v>43160</v>
      </c>
      <c r="E1413" s="12">
        <v>43161</v>
      </c>
      <c r="F1413" s="12">
        <v>43163</v>
      </c>
      <c r="G1413">
        <v>2</v>
      </c>
      <c r="H1413">
        <v>7</v>
      </c>
      <c r="I1413" t="str">
        <f t="shared" si="22"/>
        <v>Shipped</v>
      </c>
    </row>
    <row r="1414" spans="1:9" x14ac:dyDescent="0.3">
      <c r="A1414">
        <v>1413</v>
      </c>
      <c r="B1414">
        <v>56</v>
      </c>
      <c r="C1414">
        <v>4</v>
      </c>
      <c r="D1414" s="12">
        <v>43160</v>
      </c>
      <c r="E1414" s="12">
        <v>43162</v>
      </c>
      <c r="F1414" s="12">
        <v>43163</v>
      </c>
      <c r="G1414">
        <v>3</v>
      </c>
      <c r="H1414">
        <v>8</v>
      </c>
      <c r="I1414" t="str">
        <f t="shared" si="22"/>
        <v>Shipped</v>
      </c>
    </row>
    <row r="1415" spans="1:9" x14ac:dyDescent="0.3">
      <c r="A1415">
        <v>1414</v>
      </c>
      <c r="B1415">
        <v>293</v>
      </c>
      <c r="C1415">
        <v>4</v>
      </c>
      <c r="D1415" s="12">
        <v>43162</v>
      </c>
      <c r="E1415" s="12">
        <v>43164</v>
      </c>
      <c r="F1415" s="12">
        <v>43165</v>
      </c>
      <c r="G1415">
        <v>2</v>
      </c>
      <c r="H1415">
        <v>7</v>
      </c>
      <c r="I1415" t="str">
        <f t="shared" si="22"/>
        <v>Shipped</v>
      </c>
    </row>
    <row r="1416" spans="1:9" x14ac:dyDescent="0.3">
      <c r="A1416">
        <v>1415</v>
      </c>
      <c r="B1416">
        <v>839</v>
      </c>
      <c r="C1416">
        <v>4</v>
      </c>
      <c r="D1416" s="12">
        <v>43162</v>
      </c>
      <c r="E1416" s="12">
        <v>43163</v>
      </c>
      <c r="F1416" s="12">
        <v>43164</v>
      </c>
      <c r="G1416">
        <v>2</v>
      </c>
      <c r="H1416">
        <v>7</v>
      </c>
      <c r="I1416" t="str">
        <f t="shared" si="22"/>
        <v>Shipped</v>
      </c>
    </row>
    <row r="1417" spans="1:9" x14ac:dyDescent="0.3">
      <c r="A1417">
        <v>1416</v>
      </c>
      <c r="B1417">
        <v>566</v>
      </c>
      <c r="C1417">
        <v>4</v>
      </c>
      <c r="D1417" s="12">
        <v>43162</v>
      </c>
      <c r="E1417" s="12">
        <v>43163</v>
      </c>
      <c r="F1417" s="12">
        <v>43165</v>
      </c>
      <c r="G1417">
        <v>3</v>
      </c>
      <c r="H1417">
        <v>8</v>
      </c>
      <c r="I1417" t="str">
        <f t="shared" si="22"/>
        <v>Shipped</v>
      </c>
    </row>
    <row r="1418" spans="1:9" x14ac:dyDescent="0.3">
      <c r="A1418">
        <v>1417</v>
      </c>
      <c r="B1418">
        <v>300</v>
      </c>
      <c r="C1418">
        <v>4</v>
      </c>
      <c r="D1418" s="12">
        <v>43163</v>
      </c>
      <c r="E1418" s="12">
        <v>43165</v>
      </c>
      <c r="F1418" s="12">
        <v>43166</v>
      </c>
      <c r="G1418">
        <v>1</v>
      </c>
      <c r="H1418">
        <v>2</v>
      </c>
      <c r="I1418" t="str">
        <f t="shared" si="22"/>
        <v>Shipped</v>
      </c>
    </row>
    <row r="1419" spans="1:9" x14ac:dyDescent="0.3">
      <c r="A1419">
        <v>1418</v>
      </c>
      <c r="B1419">
        <v>364</v>
      </c>
      <c r="C1419">
        <v>4</v>
      </c>
      <c r="D1419" s="12">
        <v>43163</v>
      </c>
      <c r="E1419" s="12">
        <v>43164</v>
      </c>
      <c r="F1419" s="12">
        <v>43166</v>
      </c>
      <c r="G1419">
        <v>2</v>
      </c>
      <c r="H1419">
        <v>6</v>
      </c>
      <c r="I1419" t="str">
        <f t="shared" si="22"/>
        <v>Shipped</v>
      </c>
    </row>
    <row r="1420" spans="1:9" x14ac:dyDescent="0.3">
      <c r="A1420">
        <v>1419</v>
      </c>
      <c r="B1420">
        <v>474</v>
      </c>
      <c r="C1420">
        <v>4</v>
      </c>
      <c r="D1420" s="12">
        <v>43163</v>
      </c>
      <c r="E1420" s="12">
        <v>43166</v>
      </c>
      <c r="F1420" s="12">
        <v>43166</v>
      </c>
      <c r="G1420">
        <v>2</v>
      </c>
      <c r="H1420">
        <v>6</v>
      </c>
      <c r="I1420" t="str">
        <f t="shared" si="22"/>
        <v>Shipped</v>
      </c>
    </row>
    <row r="1421" spans="1:9" x14ac:dyDescent="0.3">
      <c r="A1421">
        <v>1420</v>
      </c>
      <c r="B1421">
        <v>838</v>
      </c>
      <c r="C1421">
        <v>4</v>
      </c>
      <c r="D1421" s="12">
        <v>43163</v>
      </c>
      <c r="E1421" s="12">
        <v>43164</v>
      </c>
      <c r="F1421" s="12">
        <v>43166</v>
      </c>
      <c r="G1421">
        <v>2</v>
      </c>
      <c r="H1421">
        <v>7</v>
      </c>
      <c r="I1421" t="str">
        <f t="shared" si="22"/>
        <v>Shipped</v>
      </c>
    </row>
    <row r="1422" spans="1:9" x14ac:dyDescent="0.3">
      <c r="A1422">
        <v>1421</v>
      </c>
      <c r="B1422">
        <v>1176</v>
      </c>
      <c r="C1422">
        <v>4</v>
      </c>
      <c r="D1422" s="12">
        <v>43164</v>
      </c>
      <c r="E1422" s="12">
        <v>43166</v>
      </c>
      <c r="F1422" s="12">
        <v>43166</v>
      </c>
      <c r="G1422">
        <v>2</v>
      </c>
      <c r="H1422">
        <v>7</v>
      </c>
      <c r="I1422" t="str">
        <f t="shared" si="22"/>
        <v>Shipped</v>
      </c>
    </row>
    <row r="1423" spans="1:9" x14ac:dyDescent="0.3">
      <c r="A1423">
        <v>1422</v>
      </c>
      <c r="B1423">
        <v>599</v>
      </c>
      <c r="C1423">
        <v>4</v>
      </c>
      <c r="D1423" s="12">
        <v>43164</v>
      </c>
      <c r="E1423" s="12">
        <v>43165</v>
      </c>
      <c r="F1423" s="12">
        <v>43167</v>
      </c>
      <c r="G1423">
        <v>3</v>
      </c>
      <c r="H1423">
        <v>8</v>
      </c>
      <c r="I1423" t="str">
        <f t="shared" si="22"/>
        <v>Shipped</v>
      </c>
    </row>
    <row r="1424" spans="1:9" x14ac:dyDescent="0.3">
      <c r="A1424">
        <v>1423</v>
      </c>
      <c r="B1424">
        <v>1231</v>
      </c>
      <c r="C1424">
        <v>4</v>
      </c>
      <c r="D1424" s="12">
        <v>43165</v>
      </c>
      <c r="E1424" s="12">
        <v>43166</v>
      </c>
      <c r="F1424" s="12">
        <v>43166</v>
      </c>
      <c r="G1424">
        <v>1</v>
      </c>
      <c r="H1424">
        <v>2</v>
      </c>
      <c r="I1424" t="str">
        <f t="shared" si="22"/>
        <v>Shipped</v>
      </c>
    </row>
    <row r="1425" spans="1:9" x14ac:dyDescent="0.3">
      <c r="A1425">
        <v>1424</v>
      </c>
      <c r="B1425">
        <v>1445</v>
      </c>
      <c r="C1425">
        <v>4</v>
      </c>
      <c r="D1425" s="12">
        <v>43166</v>
      </c>
      <c r="E1425" s="12">
        <v>43169</v>
      </c>
      <c r="F1425" s="12">
        <v>43169</v>
      </c>
      <c r="G1425">
        <v>1</v>
      </c>
      <c r="H1425">
        <v>2</v>
      </c>
      <c r="I1425" t="str">
        <f t="shared" si="22"/>
        <v>Shipped</v>
      </c>
    </row>
    <row r="1426" spans="1:9" x14ac:dyDescent="0.3">
      <c r="A1426">
        <v>1425</v>
      </c>
      <c r="B1426">
        <v>126</v>
      </c>
      <c r="C1426">
        <v>4</v>
      </c>
      <c r="D1426" s="12">
        <v>43166</v>
      </c>
      <c r="E1426" s="12">
        <v>43168</v>
      </c>
      <c r="F1426" s="12">
        <v>43168</v>
      </c>
      <c r="G1426">
        <v>2</v>
      </c>
      <c r="H1426">
        <v>6</v>
      </c>
      <c r="I1426" t="str">
        <f t="shared" si="22"/>
        <v>Shipped</v>
      </c>
    </row>
    <row r="1427" spans="1:9" x14ac:dyDescent="0.3">
      <c r="A1427">
        <v>1426</v>
      </c>
      <c r="B1427">
        <v>938</v>
      </c>
      <c r="C1427">
        <v>4</v>
      </c>
      <c r="D1427" s="12">
        <v>43166</v>
      </c>
      <c r="E1427" s="12">
        <v>43167</v>
      </c>
      <c r="F1427" s="12">
        <v>43169</v>
      </c>
      <c r="G1427">
        <v>2</v>
      </c>
      <c r="H1427">
        <v>6</v>
      </c>
      <c r="I1427" t="str">
        <f t="shared" si="22"/>
        <v>Shipped</v>
      </c>
    </row>
    <row r="1428" spans="1:9" x14ac:dyDescent="0.3">
      <c r="A1428">
        <v>1427</v>
      </c>
      <c r="B1428">
        <v>999</v>
      </c>
      <c r="C1428">
        <v>4</v>
      </c>
      <c r="D1428" s="12">
        <v>43166</v>
      </c>
      <c r="E1428" s="12">
        <v>43167</v>
      </c>
      <c r="F1428" s="12">
        <v>43167</v>
      </c>
      <c r="G1428">
        <v>2</v>
      </c>
      <c r="H1428">
        <v>6</v>
      </c>
      <c r="I1428" t="str">
        <f t="shared" si="22"/>
        <v>Shipped</v>
      </c>
    </row>
    <row r="1429" spans="1:9" x14ac:dyDescent="0.3">
      <c r="A1429">
        <v>1428</v>
      </c>
      <c r="B1429">
        <v>195</v>
      </c>
      <c r="C1429">
        <v>4</v>
      </c>
      <c r="D1429" s="12">
        <v>43167</v>
      </c>
      <c r="E1429" s="12">
        <v>43169</v>
      </c>
      <c r="F1429" s="12">
        <v>43170</v>
      </c>
      <c r="G1429">
        <v>2</v>
      </c>
      <c r="H1429">
        <v>7</v>
      </c>
      <c r="I1429" t="str">
        <f t="shared" si="22"/>
        <v>Shipped</v>
      </c>
    </row>
    <row r="1430" spans="1:9" x14ac:dyDescent="0.3">
      <c r="A1430">
        <v>1429</v>
      </c>
      <c r="B1430">
        <v>1116</v>
      </c>
      <c r="C1430">
        <v>4</v>
      </c>
      <c r="D1430" s="12">
        <v>43167</v>
      </c>
      <c r="E1430" s="12">
        <v>43168</v>
      </c>
      <c r="F1430" s="12">
        <v>43168</v>
      </c>
      <c r="G1430">
        <v>2</v>
      </c>
      <c r="H1430">
        <v>6</v>
      </c>
      <c r="I1430" t="str">
        <f t="shared" si="22"/>
        <v>Shipped</v>
      </c>
    </row>
    <row r="1431" spans="1:9" x14ac:dyDescent="0.3">
      <c r="A1431">
        <v>1430</v>
      </c>
      <c r="B1431">
        <v>1239</v>
      </c>
      <c r="C1431">
        <v>4</v>
      </c>
      <c r="D1431" s="12">
        <v>43169</v>
      </c>
      <c r="E1431" s="12">
        <v>43172</v>
      </c>
      <c r="F1431" s="12">
        <v>43170</v>
      </c>
      <c r="G1431">
        <v>2</v>
      </c>
      <c r="H1431">
        <v>7</v>
      </c>
      <c r="I1431" t="str">
        <f t="shared" si="22"/>
        <v>Delivered</v>
      </c>
    </row>
    <row r="1432" spans="1:9" x14ac:dyDescent="0.3">
      <c r="A1432">
        <v>1431</v>
      </c>
      <c r="B1432">
        <v>308</v>
      </c>
      <c r="C1432">
        <v>4</v>
      </c>
      <c r="D1432" s="12">
        <v>43170</v>
      </c>
      <c r="E1432" s="12">
        <v>43171</v>
      </c>
      <c r="F1432" s="12">
        <v>43173</v>
      </c>
      <c r="G1432">
        <v>2</v>
      </c>
      <c r="H1432">
        <v>6</v>
      </c>
      <c r="I1432" t="str">
        <f t="shared" si="22"/>
        <v>Shipped</v>
      </c>
    </row>
    <row r="1433" spans="1:9" x14ac:dyDescent="0.3">
      <c r="A1433">
        <v>1432</v>
      </c>
      <c r="B1433">
        <v>483</v>
      </c>
      <c r="C1433">
        <v>4</v>
      </c>
      <c r="D1433" s="12">
        <v>43170</v>
      </c>
      <c r="E1433" s="12">
        <v>43171</v>
      </c>
      <c r="F1433" s="12">
        <v>43173</v>
      </c>
      <c r="G1433">
        <v>2</v>
      </c>
      <c r="H1433">
        <v>6</v>
      </c>
      <c r="I1433" t="str">
        <f t="shared" si="22"/>
        <v>Shipped</v>
      </c>
    </row>
    <row r="1434" spans="1:9" x14ac:dyDescent="0.3">
      <c r="A1434">
        <v>1433</v>
      </c>
      <c r="B1434">
        <v>1142</v>
      </c>
      <c r="C1434">
        <v>4</v>
      </c>
      <c r="D1434" s="12">
        <v>43170</v>
      </c>
      <c r="E1434" s="12">
        <v>43172</v>
      </c>
      <c r="F1434" s="12">
        <v>43171</v>
      </c>
      <c r="G1434">
        <v>2</v>
      </c>
      <c r="H1434">
        <v>7</v>
      </c>
      <c r="I1434" t="str">
        <f t="shared" si="22"/>
        <v>Delivered</v>
      </c>
    </row>
    <row r="1435" spans="1:9" x14ac:dyDescent="0.3">
      <c r="A1435">
        <v>1434</v>
      </c>
      <c r="B1435">
        <v>595</v>
      </c>
      <c r="C1435">
        <v>4</v>
      </c>
      <c r="D1435" s="12">
        <v>43173</v>
      </c>
      <c r="E1435" s="12">
        <v>43175</v>
      </c>
      <c r="F1435" s="12">
        <v>43175</v>
      </c>
      <c r="G1435">
        <v>2</v>
      </c>
      <c r="H1435">
        <v>6</v>
      </c>
      <c r="I1435" t="str">
        <f t="shared" si="22"/>
        <v>Shipped</v>
      </c>
    </row>
    <row r="1436" spans="1:9" x14ac:dyDescent="0.3">
      <c r="A1436">
        <v>1435</v>
      </c>
      <c r="B1436">
        <v>744</v>
      </c>
      <c r="C1436">
        <v>4</v>
      </c>
      <c r="D1436" s="12">
        <v>43173</v>
      </c>
      <c r="E1436" s="12">
        <v>43174</v>
      </c>
      <c r="F1436" s="12">
        <v>43175</v>
      </c>
      <c r="G1436">
        <v>2</v>
      </c>
      <c r="H1436">
        <v>6</v>
      </c>
      <c r="I1436" t="str">
        <f t="shared" si="22"/>
        <v>Shipped</v>
      </c>
    </row>
    <row r="1437" spans="1:9" x14ac:dyDescent="0.3">
      <c r="A1437">
        <v>1436</v>
      </c>
      <c r="B1437">
        <v>1044</v>
      </c>
      <c r="C1437">
        <v>4</v>
      </c>
      <c r="D1437" s="12">
        <v>43173</v>
      </c>
      <c r="E1437" s="12">
        <v>43176</v>
      </c>
      <c r="F1437" s="12">
        <v>43175</v>
      </c>
      <c r="G1437">
        <v>2</v>
      </c>
      <c r="H1437">
        <v>6</v>
      </c>
      <c r="I1437" t="str">
        <f t="shared" si="22"/>
        <v>Delivered</v>
      </c>
    </row>
    <row r="1438" spans="1:9" x14ac:dyDescent="0.3">
      <c r="A1438">
        <v>1437</v>
      </c>
      <c r="B1438">
        <v>518</v>
      </c>
      <c r="C1438">
        <v>4</v>
      </c>
      <c r="D1438" s="12">
        <v>43174</v>
      </c>
      <c r="E1438" s="12">
        <v>43175</v>
      </c>
      <c r="F1438" s="12">
        <v>43175</v>
      </c>
      <c r="G1438">
        <v>1</v>
      </c>
      <c r="H1438">
        <v>2</v>
      </c>
      <c r="I1438" t="str">
        <f t="shared" si="22"/>
        <v>Shipped</v>
      </c>
    </row>
    <row r="1439" spans="1:9" x14ac:dyDescent="0.3">
      <c r="A1439">
        <v>1438</v>
      </c>
      <c r="B1439">
        <v>263</v>
      </c>
      <c r="C1439">
        <v>4</v>
      </c>
      <c r="D1439" s="12">
        <v>43174</v>
      </c>
      <c r="E1439" s="12">
        <v>43176</v>
      </c>
      <c r="F1439" s="12">
        <v>43175</v>
      </c>
      <c r="G1439">
        <v>2</v>
      </c>
      <c r="H1439">
        <v>6</v>
      </c>
      <c r="I1439" t="str">
        <f t="shared" si="22"/>
        <v>Delivered</v>
      </c>
    </row>
    <row r="1440" spans="1:9" x14ac:dyDescent="0.3">
      <c r="A1440">
        <v>1439</v>
      </c>
      <c r="B1440">
        <v>463</v>
      </c>
      <c r="C1440">
        <v>4</v>
      </c>
      <c r="D1440" s="12">
        <v>43174</v>
      </c>
      <c r="E1440" s="12">
        <v>43175</v>
      </c>
      <c r="F1440" s="12">
        <v>43176</v>
      </c>
      <c r="G1440">
        <v>2</v>
      </c>
      <c r="H1440">
        <v>7</v>
      </c>
      <c r="I1440" t="str">
        <f t="shared" si="22"/>
        <v>Shipped</v>
      </c>
    </row>
    <row r="1441" spans="1:9" x14ac:dyDescent="0.3">
      <c r="A1441">
        <v>1440</v>
      </c>
      <c r="B1441">
        <v>859</v>
      </c>
      <c r="C1441">
        <v>4</v>
      </c>
      <c r="D1441" s="12">
        <v>43174</v>
      </c>
      <c r="E1441" s="12">
        <v>43177</v>
      </c>
      <c r="F1441" s="12">
        <v>43175</v>
      </c>
      <c r="G1441">
        <v>3</v>
      </c>
      <c r="H1441">
        <v>8</v>
      </c>
      <c r="I1441" t="str">
        <f t="shared" si="22"/>
        <v>Delivered</v>
      </c>
    </row>
    <row r="1442" spans="1:9" x14ac:dyDescent="0.3">
      <c r="A1442">
        <v>1441</v>
      </c>
      <c r="B1442">
        <v>982</v>
      </c>
      <c r="C1442">
        <v>4</v>
      </c>
      <c r="D1442" s="12">
        <v>43174</v>
      </c>
      <c r="E1442" s="12">
        <v>43175</v>
      </c>
      <c r="F1442" s="12">
        <v>43177</v>
      </c>
      <c r="G1442">
        <v>3</v>
      </c>
      <c r="H1442">
        <v>8</v>
      </c>
      <c r="I1442" t="str">
        <f t="shared" si="22"/>
        <v>Shipped</v>
      </c>
    </row>
    <row r="1443" spans="1:9" x14ac:dyDescent="0.3">
      <c r="A1443">
        <v>1442</v>
      </c>
      <c r="B1443">
        <v>478</v>
      </c>
      <c r="C1443">
        <v>4</v>
      </c>
      <c r="D1443" s="12">
        <v>43175</v>
      </c>
      <c r="E1443" s="12">
        <v>43176</v>
      </c>
      <c r="F1443" s="12">
        <v>43176</v>
      </c>
      <c r="G1443">
        <v>2</v>
      </c>
      <c r="H1443">
        <v>7</v>
      </c>
      <c r="I1443" t="str">
        <f t="shared" si="22"/>
        <v>Shipped</v>
      </c>
    </row>
    <row r="1444" spans="1:9" x14ac:dyDescent="0.3">
      <c r="A1444">
        <v>1443</v>
      </c>
      <c r="B1444">
        <v>972</v>
      </c>
      <c r="C1444">
        <v>4</v>
      </c>
      <c r="D1444" s="12">
        <v>43175</v>
      </c>
      <c r="E1444" s="12">
        <v>43176</v>
      </c>
      <c r="F1444" s="12">
        <v>43176</v>
      </c>
      <c r="G1444">
        <v>2</v>
      </c>
      <c r="H1444">
        <v>7</v>
      </c>
      <c r="I1444" t="str">
        <f t="shared" si="22"/>
        <v>Shipped</v>
      </c>
    </row>
    <row r="1445" spans="1:9" x14ac:dyDescent="0.3">
      <c r="A1445">
        <v>1444</v>
      </c>
      <c r="B1445">
        <v>1154</v>
      </c>
      <c r="C1445">
        <v>4</v>
      </c>
      <c r="D1445" s="12">
        <v>43175</v>
      </c>
      <c r="E1445" s="12">
        <v>43176</v>
      </c>
      <c r="F1445" s="12">
        <v>43178</v>
      </c>
      <c r="G1445">
        <v>2</v>
      </c>
      <c r="H1445">
        <v>6</v>
      </c>
      <c r="I1445" t="str">
        <f t="shared" si="22"/>
        <v>Shipped</v>
      </c>
    </row>
    <row r="1446" spans="1:9" x14ac:dyDescent="0.3">
      <c r="A1446">
        <v>1445</v>
      </c>
      <c r="B1446">
        <v>515</v>
      </c>
      <c r="C1446">
        <v>4</v>
      </c>
      <c r="D1446" s="12">
        <v>43176</v>
      </c>
      <c r="E1446" s="12">
        <v>43177</v>
      </c>
      <c r="F1446" s="12">
        <v>43179</v>
      </c>
      <c r="G1446">
        <v>2</v>
      </c>
      <c r="H1446">
        <v>7</v>
      </c>
      <c r="I1446" t="str">
        <f t="shared" si="22"/>
        <v>Shipped</v>
      </c>
    </row>
    <row r="1447" spans="1:9" x14ac:dyDescent="0.3">
      <c r="A1447">
        <v>1446</v>
      </c>
      <c r="B1447">
        <v>820</v>
      </c>
      <c r="C1447">
        <v>4</v>
      </c>
      <c r="D1447" s="12">
        <v>43176</v>
      </c>
      <c r="E1447" s="12">
        <v>43177</v>
      </c>
      <c r="F1447" s="12">
        <v>43177</v>
      </c>
      <c r="G1447">
        <v>2</v>
      </c>
      <c r="H1447">
        <v>6</v>
      </c>
      <c r="I1447" t="str">
        <f t="shared" si="22"/>
        <v>Shipped</v>
      </c>
    </row>
    <row r="1448" spans="1:9" x14ac:dyDescent="0.3">
      <c r="A1448">
        <v>1447</v>
      </c>
      <c r="B1448">
        <v>1419</v>
      </c>
      <c r="C1448">
        <v>4</v>
      </c>
      <c r="D1448" s="12">
        <v>43177</v>
      </c>
      <c r="E1448" s="12">
        <v>43179</v>
      </c>
      <c r="F1448" s="12">
        <v>43179</v>
      </c>
      <c r="G1448">
        <v>1</v>
      </c>
      <c r="H1448">
        <v>3</v>
      </c>
      <c r="I1448" t="str">
        <f t="shared" si="22"/>
        <v>Shipped</v>
      </c>
    </row>
    <row r="1449" spans="1:9" x14ac:dyDescent="0.3">
      <c r="A1449">
        <v>1448</v>
      </c>
      <c r="B1449">
        <v>228</v>
      </c>
      <c r="C1449">
        <v>4</v>
      </c>
      <c r="D1449" s="12">
        <v>43177</v>
      </c>
      <c r="E1449" s="12">
        <v>43178</v>
      </c>
      <c r="F1449" s="12">
        <v>43180</v>
      </c>
      <c r="G1449">
        <v>2</v>
      </c>
      <c r="H1449">
        <v>6</v>
      </c>
      <c r="I1449" t="str">
        <f t="shared" si="22"/>
        <v>Shipped</v>
      </c>
    </row>
    <row r="1450" spans="1:9" x14ac:dyDescent="0.3">
      <c r="A1450">
        <v>1449</v>
      </c>
      <c r="B1450">
        <v>330</v>
      </c>
      <c r="C1450">
        <v>4</v>
      </c>
      <c r="D1450" s="12">
        <v>43177</v>
      </c>
      <c r="E1450" s="12">
        <v>43178</v>
      </c>
      <c r="F1450" s="12">
        <v>43179</v>
      </c>
      <c r="G1450">
        <v>2</v>
      </c>
      <c r="H1450">
        <v>7</v>
      </c>
      <c r="I1450" t="str">
        <f t="shared" si="22"/>
        <v>Shipped</v>
      </c>
    </row>
    <row r="1451" spans="1:9" x14ac:dyDescent="0.3">
      <c r="A1451">
        <v>1450</v>
      </c>
      <c r="B1451">
        <v>296</v>
      </c>
      <c r="C1451">
        <v>4</v>
      </c>
      <c r="D1451" s="12">
        <v>43178</v>
      </c>
      <c r="E1451" s="12">
        <v>43179</v>
      </c>
      <c r="F1451" s="12">
        <v>43181</v>
      </c>
      <c r="G1451">
        <v>2</v>
      </c>
      <c r="H1451">
        <v>7</v>
      </c>
      <c r="I1451" t="str">
        <f t="shared" si="22"/>
        <v>Shipped</v>
      </c>
    </row>
    <row r="1452" spans="1:9" x14ac:dyDescent="0.3">
      <c r="A1452">
        <v>1451</v>
      </c>
      <c r="B1452">
        <v>822</v>
      </c>
      <c r="C1452">
        <v>4</v>
      </c>
      <c r="D1452" s="12">
        <v>43178</v>
      </c>
      <c r="E1452" s="12">
        <v>43181</v>
      </c>
      <c r="F1452" s="12">
        <v>43179</v>
      </c>
      <c r="G1452">
        <v>2</v>
      </c>
      <c r="H1452">
        <v>6</v>
      </c>
      <c r="I1452" t="str">
        <f t="shared" si="22"/>
        <v>Delivered</v>
      </c>
    </row>
    <row r="1453" spans="1:9" x14ac:dyDescent="0.3">
      <c r="A1453">
        <v>1452</v>
      </c>
      <c r="B1453">
        <v>287</v>
      </c>
      <c r="C1453">
        <v>4</v>
      </c>
      <c r="D1453" s="12">
        <v>43179</v>
      </c>
      <c r="E1453" s="12">
        <v>43182</v>
      </c>
      <c r="F1453" s="12">
        <v>43182</v>
      </c>
      <c r="G1453">
        <v>1</v>
      </c>
      <c r="H1453">
        <v>3</v>
      </c>
      <c r="I1453" t="str">
        <f t="shared" si="22"/>
        <v>Shipped</v>
      </c>
    </row>
    <row r="1454" spans="1:9" x14ac:dyDescent="0.3">
      <c r="A1454">
        <v>1453</v>
      </c>
      <c r="B1454">
        <v>601</v>
      </c>
      <c r="C1454">
        <v>4</v>
      </c>
      <c r="D1454" s="12">
        <v>43179</v>
      </c>
      <c r="E1454" s="12">
        <v>43182</v>
      </c>
      <c r="F1454" s="12">
        <v>43181</v>
      </c>
      <c r="G1454">
        <v>1</v>
      </c>
      <c r="H1454">
        <v>3</v>
      </c>
      <c r="I1454" t="str">
        <f t="shared" si="22"/>
        <v>Delivered</v>
      </c>
    </row>
    <row r="1455" spans="1:9" x14ac:dyDescent="0.3">
      <c r="A1455">
        <v>1454</v>
      </c>
      <c r="B1455">
        <v>395</v>
      </c>
      <c r="C1455">
        <v>4</v>
      </c>
      <c r="D1455" s="12">
        <v>43179</v>
      </c>
      <c r="E1455" s="12">
        <v>43180</v>
      </c>
      <c r="F1455" s="12">
        <v>43181</v>
      </c>
      <c r="G1455">
        <v>2</v>
      </c>
      <c r="H1455">
        <v>6</v>
      </c>
      <c r="I1455" t="str">
        <f t="shared" si="22"/>
        <v>Shipped</v>
      </c>
    </row>
    <row r="1456" spans="1:9" x14ac:dyDescent="0.3">
      <c r="A1456">
        <v>1455</v>
      </c>
      <c r="B1456">
        <v>405</v>
      </c>
      <c r="C1456">
        <v>4</v>
      </c>
      <c r="D1456" s="12">
        <v>43179</v>
      </c>
      <c r="E1456" s="12">
        <v>43181</v>
      </c>
      <c r="F1456" s="12">
        <v>43180</v>
      </c>
      <c r="G1456">
        <v>2</v>
      </c>
      <c r="H1456">
        <v>6</v>
      </c>
      <c r="I1456" t="str">
        <f t="shared" si="22"/>
        <v>Delivered</v>
      </c>
    </row>
    <row r="1457" spans="1:9" x14ac:dyDescent="0.3">
      <c r="A1457">
        <v>1456</v>
      </c>
      <c r="B1457">
        <v>754</v>
      </c>
      <c r="C1457">
        <v>4</v>
      </c>
      <c r="D1457" s="12">
        <v>43179</v>
      </c>
      <c r="E1457" s="12">
        <v>43180</v>
      </c>
      <c r="F1457" s="12">
        <v>43182</v>
      </c>
      <c r="G1457">
        <v>2</v>
      </c>
      <c r="H1457">
        <v>7</v>
      </c>
      <c r="I1457" t="str">
        <f t="shared" si="22"/>
        <v>Shipped</v>
      </c>
    </row>
    <row r="1458" spans="1:9" x14ac:dyDescent="0.3">
      <c r="A1458">
        <v>1457</v>
      </c>
      <c r="B1458">
        <v>1411</v>
      </c>
      <c r="C1458">
        <v>4</v>
      </c>
      <c r="D1458" s="12">
        <v>43179</v>
      </c>
      <c r="E1458" s="12">
        <v>43182</v>
      </c>
      <c r="F1458" s="12">
        <v>43182</v>
      </c>
      <c r="G1458">
        <v>2</v>
      </c>
      <c r="H1458">
        <v>6</v>
      </c>
      <c r="I1458" t="str">
        <f t="shared" si="22"/>
        <v>Shipped</v>
      </c>
    </row>
    <row r="1459" spans="1:9" x14ac:dyDescent="0.3">
      <c r="A1459">
        <v>1458</v>
      </c>
      <c r="B1459">
        <v>1029</v>
      </c>
      <c r="C1459">
        <v>4</v>
      </c>
      <c r="D1459" s="12">
        <v>43179</v>
      </c>
      <c r="E1459" s="12">
        <v>43181</v>
      </c>
      <c r="F1459" s="12">
        <v>43180</v>
      </c>
      <c r="G1459">
        <v>3</v>
      </c>
      <c r="H1459">
        <v>8</v>
      </c>
      <c r="I1459" t="str">
        <f t="shared" si="22"/>
        <v>Delivered</v>
      </c>
    </row>
    <row r="1460" spans="1:9" x14ac:dyDescent="0.3">
      <c r="A1460">
        <v>1459</v>
      </c>
      <c r="B1460">
        <v>9</v>
      </c>
      <c r="C1460">
        <v>4</v>
      </c>
      <c r="D1460" s="12">
        <v>43180</v>
      </c>
      <c r="E1460" s="12">
        <v>43181</v>
      </c>
      <c r="F1460" s="12">
        <v>43181</v>
      </c>
      <c r="G1460">
        <v>2</v>
      </c>
      <c r="H1460">
        <v>7</v>
      </c>
      <c r="I1460" t="str">
        <f t="shared" si="22"/>
        <v>Shipped</v>
      </c>
    </row>
    <row r="1461" spans="1:9" x14ac:dyDescent="0.3">
      <c r="A1461">
        <v>1460</v>
      </c>
      <c r="B1461">
        <v>1131</v>
      </c>
      <c r="C1461">
        <v>4</v>
      </c>
      <c r="D1461" s="12">
        <v>43180</v>
      </c>
      <c r="E1461" s="12">
        <v>43182</v>
      </c>
      <c r="F1461" s="12">
        <v>43182</v>
      </c>
      <c r="G1461">
        <v>2</v>
      </c>
      <c r="H1461">
        <v>7</v>
      </c>
      <c r="I1461" t="str">
        <f t="shared" si="22"/>
        <v>Shipped</v>
      </c>
    </row>
    <row r="1462" spans="1:9" x14ac:dyDescent="0.3">
      <c r="A1462">
        <v>1461</v>
      </c>
      <c r="B1462">
        <v>139</v>
      </c>
      <c r="C1462">
        <v>4</v>
      </c>
      <c r="D1462" s="12">
        <v>43181</v>
      </c>
      <c r="E1462" s="12">
        <v>43184</v>
      </c>
      <c r="F1462" s="12">
        <v>43182</v>
      </c>
      <c r="G1462">
        <v>2</v>
      </c>
      <c r="H1462">
        <v>6</v>
      </c>
      <c r="I1462" t="str">
        <f t="shared" si="22"/>
        <v>Delivered</v>
      </c>
    </row>
    <row r="1463" spans="1:9" x14ac:dyDescent="0.3">
      <c r="A1463">
        <v>1462</v>
      </c>
      <c r="B1463">
        <v>1101</v>
      </c>
      <c r="C1463">
        <v>4</v>
      </c>
      <c r="D1463" s="12">
        <v>43181</v>
      </c>
      <c r="E1463" s="12">
        <v>43183</v>
      </c>
      <c r="F1463" s="12">
        <v>43183</v>
      </c>
      <c r="G1463">
        <v>2</v>
      </c>
      <c r="H1463">
        <v>6</v>
      </c>
      <c r="I1463" t="str">
        <f t="shared" si="22"/>
        <v>Shipped</v>
      </c>
    </row>
    <row r="1464" spans="1:9" x14ac:dyDescent="0.3">
      <c r="A1464">
        <v>1463</v>
      </c>
      <c r="B1464">
        <v>692</v>
      </c>
      <c r="C1464">
        <v>4</v>
      </c>
      <c r="D1464" s="12">
        <v>43182</v>
      </c>
      <c r="E1464" s="12">
        <v>43183</v>
      </c>
      <c r="F1464" s="12">
        <v>43183</v>
      </c>
      <c r="G1464">
        <v>2</v>
      </c>
      <c r="H1464">
        <v>7</v>
      </c>
      <c r="I1464" t="str">
        <f t="shared" si="22"/>
        <v>Shipped</v>
      </c>
    </row>
    <row r="1465" spans="1:9" x14ac:dyDescent="0.3">
      <c r="A1465">
        <v>1464</v>
      </c>
      <c r="B1465">
        <v>1279</v>
      </c>
      <c r="C1465">
        <v>4</v>
      </c>
      <c r="D1465" s="12">
        <v>43183</v>
      </c>
      <c r="E1465" s="12">
        <v>43184</v>
      </c>
      <c r="F1465" s="12">
        <v>43184</v>
      </c>
      <c r="G1465">
        <v>2</v>
      </c>
      <c r="H1465">
        <v>7</v>
      </c>
      <c r="I1465" t="str">
        <f t="shared" si="22"/>
        <v>Shipped</v>
      </c>
    </row>
    <row r="1466" spans="1:9" x14ac:dyDescent="0.3">
      <c r="A1466">
        <v>1465</v>
      </c>
      <c r="B1466">
        <v>623</v>
      </c>
      <c r="C1466">
        <v>4</v>
      </c>
      <c r="D1466" s="12">
        <v>43184</v>
      </c>
      <c r="E1466" s="12">
        <v>43187</v>
      </c>
      <c r="F1466" s="12">
        <v>43187</v>
      </c>
      <c r="G1466">
        <v>2</v>
      </c>
      <c r="H1466">
        <v>7</v>
      </c>
      <c r="I1466" t="str">
        <f t="shared" si="22"/>
        <v>Shipped</v>
      </c>
    </row>
    <row r="1467" spans="1:9" x14ac:dyDescent="0.3">
      <c r="A1467">
        <v>1466</v>
      </c>
      <c r="B1467">
        <v>738</v>
      </c>
      <c r="C1467">
        <v>4</v>
      </c>
      <c r="D1467" s="12">
        <v>43185</v>
      </c>
      <c r="E1467" s="12">
        <v>43188</v>
      </c>
      <c r="F1467" s="12">
        <v>43187</v>
      </c>
      <c r="G1467">
        <v>1</v>
      </c>
      <c r="H1467">
        <v>3</v>
      </c>
      <c r="I1467" t="str">
        <f t="shared" si="22"/>
        <v>Delivered</v>
      </c>
    </row>
    <row r="1468" spans="1:9" x14ac:dyDescent="0.3">
      <c r="A1468">
        <v>1467</v>
      </c>
      <c r="B1468">
        <v>152</v>
      </c>
      <c r="C1468">
        <v>4</v>
      </c>
      <c r="D1468" s="12">
        <v>43185</v>
      </c>
      <c r="E1468" s="12">
        <v>43186</v>
      </c>
      <c r="F1468" s="12">
        <v>43188</v>
      </c>
      <c r="G1468">
        <v>2</v>
      </c>
      <c r="H1468">
        <v>7</v>
      </c>
      <c r="I1468" t="str">
        <f t="shared" si="22"/>
        <v>Shipped</v>
      </c>
    </row>
    <row r="1469" spans="1:9" x14ac:dyDescent="0.3">
      <c r="A1469">
        <v>1468</v>
      </c>
      <c r="B1469">
        <v>3</v>
      </c>
      <c r="C1469">
        <v>4</v>
      </c>
      <c r="D1469" s="12">
        <v>43186</v>
      </c>
      <c r="E1469" s="12">
        <v>43189</v>
      </c>
      <c r="F1469" s="12">
        <v>43188</v>
      </c>
      <c r="G1469">
        <v>1</v>
      </c>
      <c r="H1469">
        <v>2</v>
      </c>
      <c r="I1469" t="str">
        <f t="shared" si="22"/>
        <v>Delivered</v>
      </c>
    </row>
    <row r="1470" spans="1:9" x14ac:dyDescent="0.3">
      <c r="A1470">
        <v>1469</v>
      </c>
      <c r="B1470">
        <v>1135</v>
      </c>
      <c r="C1470">
        <v>4</v>
      </c>
      <c r="D1470" s="12">
        <v>43186</v>
      </c>
      <c r="E1470" s="12">
        <v>43187</v>
      </c>
      <c r="F1470" s="12">
        <v>43189</v>
      </c>
      <c r="G1470">
        <v>3</v>
      </c>
      <c r="H1470">
        <v>8</v>
      </c>
      <c r="I1470" t="str">
        <f t="shared" si="22"/>
        <v>Shipped</v>
      </c>
    </row>
    <row r="1471" spans="1:9" x14ac:dyDescent="0.3">
      <c r="A1471">
        <v>1470</v>
      </c>
      <c r="B1471">
        <v>505</v>
      </c>
      <c r="C1471">
        <v>4</v>
      </c>
      <c r="D1471" s="12">
        <v>43187</v>
      </c>
      <c r="E1471" s="12">
        <v>43190</v>
      </c>
      <c r="F1471" s="12">
        <v>43190</v>
      </c>
      <c r="G1471">
        <v>2</v>
      </c>
      <c r="H1471">
        <v>7</v>
      </c>
      <c r="I1471" t="str">
        <f t="shared" si="22"/>
        <v>Shipped</v>
      </c>
    </row>
    <row r="1472" spans="1:9" x14ac:dyDescent="0.3">
      <c r="A1472">
        <v>1471</v>
      </c>
      <c r="B1472">
        <v>1310</v>
      </c>
      <c r="C1472">
        <v>4</v>
      </c>
      <c r="D1472" s="12">
        <v>43187</v>
      </c>
      <c r="E1472" s="12">
        <v>43189</v>
      </c>
      <c r="F1472" s="12">
        <v>43188</v>
      </c>
      <c r="G1472">
        <v>2</v>
      </c>
      <c r="H1472">
        <v>7</v>
      </c>
      <c r="I1472" t="str">
        <f t="shared" si="22"/>
        <v>Delivered</v>
      </c>
    </row>
    <row r="1473" spans="1:9" x14ac:dyDescent="0.3">
      <c r="A1473">
        <v>1472</v>
      </c>
      <c r="B1473">
        <v>114</v>
      </c>
      <c r="C1473">
        <v>4</v>
      </c>
      <c r="D1473" s="12">
        <v>43188</v>
      </c>
      <c r="E1473" s="12">
        <v>43189</v>
      </c>
      <c r="F1473" s="12">
        <v>43190</v>
      </c>
      <c r="G1473">
        <v>2</v>
      </c>
      <c r="H1473">
        <v>6</v>
      </c>
      <c r="I1473" t="str">
        <f t="shared" si="22"/>
        <v>Shipped</v>
      </c>
    </row>
    <row r="1474" spans="1:9" x14ac:dyDescent="0.3">
      <c r="A1474">
        <v>1473</v>
      </c>
      <c r="B1474">
        <v>302</v>
      </c>
      <c r="C1474">
        <v>4</v>
      </c>
      <c r="D1474" s="12">
        <v>43189</v>
      </c>
      <c r="E1474" s="12">
        <v>43191</v>
      </c>
      <c r="F1474" s="12">
        <v>43192</v>
      </c>
      <c r="G1474">
        <v>1</v>
      </c>
      <c r="H1474">
        <v>2</v>
      </c>
      <c r="I1474" t="str">
        <f t="shared" si="22"/>
        <v>Shipped</v>
      </c>
    </row>
    <row r="1475" spans="1:9" x14ac:dyDescent="0.3">
      <c r="A1475">
        <v>1474</v>
      </c>
      <c r="B1475">
        <v>816</v>
      </c>
      <c r="C1475">
        <v>4</v>
      </c>
      <c r="D1475" s="12">
        <v>43189</v>
      </c>
      <c r="E1475" s="12">
        <v>43191</v>
      </c>
      <c r="F1475" s="12">
        <v>43192</v>
      </c>
      <c r="G1475">
        <v>1</v>
      </c>
      <c r="H1475">
        <v>3</v>
      </c>
      <c r="I1475" t="str">
        <f t="shared" ref="I1475:I1538" si="23">IF(F1475="NA","Pending",IF(OR(E1475=F1475,E1475&lt;F1475),"Shipped","Delivered"))</f>
        <v>Shipped</v>
      </c>
    </row>
    <row r="1476" spans="1:9" x14ac:dyDescent="0.3">
      <c r="A1476">
        <v>1475</v>
      </c>
      <c r="B1476">
        <v>112</v>
      </c>
      <c r="C1476">
        <v>4</v>
      </c>
      <c r="D1476" s="12">
        <v>43189</v>
      </c>
      <c r="E1476" s="12">
        <v>43191</v>
      </c>
      <c r="F1476" s="12">
        <v>43190</v>
      </c>
      <c r="G1476">
        <v>2</v>
      </c>
      <c r="H1476">
        <v>6</v>
      </c>
      <c r="I1476" t="str">
        <f t="shared" si="23"/>
        <v>Delivered</v>
      </c>
    </row>
    <row r="1477" spans="1:9" x14ac:dyDescent="0.3">
      <c r="A1477">
        <v>1476</v>
      </c>
      <c r="B1477">
        <v>35</v>
      </c>
      <c r="C1477">
        <v>4</v>
      </c>
      <c r="D1477" s="12">
        <v>43190</v>
      </c>
      <c r="E1477" s="12">
        <v>43191</v>
      </c>
      <c r="F1477" s="12">
        <v>43191</v>
      </c>
      <c r="G1477">
        <v>2</v>
      </c>
      <c r="H1477">
        <v>7</v>
      </c>
      <c r="I1477" t="str">
        <f t="shared" si="23"/>
        <v>Shipped</v>
      </c>
    </row>
    <row r="1478" spans="1:9" x14ac:dyDescent="0.3">
      <c r="A1478">
        <v>1477</v>
      </c>
      <c r="B1478">
        <v>180</v>
      </c>
      <c r="C1478">
        <v>4</v>
      </c>
      <c r="D1478" s="12">
        <v>43190</v>
      </c>
      <c r="E1478" s="12">
        <v>43193</v>
      </c>
      <c r="F1478" s="12">
        <v>43191</v>
      </c>
      <c r="G1478">
        <v>2</v>
      </c>
      <c r="H1478">
        <v>6</v>
      </c>
      <c r="I1478" t="str">
        <f t="shared" si="23"/>
        <v>Delivered</v>
      </c>
    </row>
    <row r="1479" spans="1:9" x14ac:dyDescent="0.3">
      <c r="A1479">
        <v>1478</v>
      </c>
      <c r="B1479">
        <v>392</v>
      </c>
      <c r="C1479">
        <v>4</v>
      </c>
      <c r="D1479" s="12">
        <v>43190</v>
      </c>
      <c r="E1479" s="12">
        <v>43192</v>
      </c>
      <c r="F1479" s="12">
        <v>43192</v>
      </c>
      <c r="G1479">
        <v>2</v>
      </c>
      <c r="H1479">
        <v>6</v>
      </c>
      <c r="I1479" t="str">
        <f t="shared" si="23"/>
        <v>Shipped</v>
      </c>
    </row>
    <row r="1480" spans="1:9" x14ac:dyDescent="0.3">
      <c r="A1480">
        <v>1479</v>
      </c>
      <c r="B1480">
        <v>23</v>
      </c>
      <c r="C1480">
        <v>2</v>
      </c>
      <c r="D1480" s="12">
        <v>43191</v>
      </c>
      <c r="E1480" s="12">
        <v>43191</v>
      </c>
      <c r="F1480" s="12" t="s">
        <v>5611</v>
      </c>
      <c r="G1480">
        <v>2</v>
      </c>
      <c r="H1480">
        <v>7</v>
      </c>
      <c r="I1480" t="str">
        <f t="shared" si="23"/>
        <v>Pending</v>
      </c>
    </row>
    <row r="1481" spans="1:9" x14ac:dyDescent="0.3">
      <c r="A1481">
        <v>1480</v>
      </c>
      <c r="B1481">
        <v>27</v>
      </c>
      <c r="C1481">
        <v>2</v>
      </c>
      <c r="D1481" s="12">
        <v>43191</v>
      </c>
      <c r="E1481" s="12">
        <v>43191</v>
      </c>
      <c r="F1481" s="12" t="s">
        <v>5611</v>
      </c>
      <c r="G1481">
        <v>2</v>
      </c>
      <c r="H1481">
        <v>7</v>
      </c>
      <c r="I1481" t="str">
        <f t="shared" si="23"/>
        <v>Pending</v>
      </c>
    </row>
    <row r="1482" spans="1:9" x14ac:dyDescent="0.3">
      <c r="A1482">
        <v>1481</v>
      </c>
      <c r="B1482">
        <v>62</v>
      </c>
      <c r="C1482">
        <v>1</v>
      </c>
      <c r="D1482" s="12">
        <v>43191</v>
      </c>
      <c r="E1482" s="12">
        <v>43191</v>
      </c>
      <c r="F1482" s="12" t="s">
        <v>5611</v>
      </c>
      <c r="G1482">
        <v>2</v>
      </c>
      <c r="H1482">
        <v>6</v>
      </c>
      <c r="I1482" t="str">
        <f t="shared" si="23"/>
        <v>Pending</v>
      </c>
    </row>
    <row r="1483" spans="1:9" x14ac:dyDescent="0.3">
      <c r="A1483">
        <v>1482</v>
      </c>
      <c r="B1483">
        <v>94</v>
      </c>
      <c r="C1483">
        <v>1</v>
      </c>
      <c r="D1483" s="12">
        <v>43191</v>
      </c>
      <c r="E1483" s="12">
        <v>43191</v>
      </c>
      <c r="F1483" s="12" t="s">
        <v>5611</v>
      </c>
      <c r="G1483">
        <v>2</v>
      </c>
      <c r="H1483">
        <v>7</v>
      </c>
      <c r="I1483" t="str">
        <f t="shared" si="23"/>
        <v>Pending</v>
      </c>
    </row>
    <row r="1484" spans="1:9" x14ac:dyDescent="0.3">
      <c r="A1484">
        <v>1483</v>
      </c>
      <c r="B1484">
        <v>15</v>
      </c>
      <c r="C1484">
        <v>1</v>
      </c>
      <c r="D1484" s="12">
        <v>43192</v>
      </c>
      <c r="E1484" s="12">
        <v>43192</v>
      </c>
      <c r="F1484" s="12" t="s">
        <v>5611</v>
      </c>
      <c r="G1484">
        <v>2</v>
      </c>
      <c r="H1484">
        <v>7</v>
      </c>
      <c r="I1484" t="str">
        <f t="shared" si="23"/>
        <v>Pending</v>
      </c>
    </row>
    <row r="1485" spans="1:9" x14ac:dyDescent="0.3">
      <c r="A1485">
        <v>1484</v>
      </c>
      <c r="B1485">
        <v>35</v>
      </c>
      <c r="C1485">
        <v>2</v>
      </c>
      <c r="D1485" s="12">
        <v>43192</v>
      </c>
      <c r="E1485" s="12">
        <v>43192</v>
      </c>
      <c r="F1485" s="12" t="s">
        <v>5611</v>
      </c>
      <c r="G1485">
        <v>2</v>
      </c>
      <c r="H1485">
        <v>6</v>
      </c>
      <c r="I1485" t="str">
        <f t="shared" si="23"/>
        <v>Pending</v>
      </c>
    </row>
    <row r="1486" spans="1:9" x14ac:dyDescent="0.3">
      <c r="A1486">
        <v>1485</v>
      </c>
      <c r="B1486">
        <v>51</v>
      </c>
      <c r="C1486">
        <v>2</v>
      </c>
      <c r="D1486" s="12">
        <v>43192</v>
      </c>
      <c r="E1486" s="12">
        <v>43192</v>
      </c>
      <c r="F1486" s="12" t="s">
        <v>5611</v>
      </c>
      <c r="G1486">
        <v>2</v>
      </c>
      <c r="H1486">
        <v>7</v>
      </c>
      <c r="I1486" t="str">
        <f t="shared" si="23"/>
        <v>Pending</v>
      </c>
    </row>
    <row r="1487" spans="1:9" x14ac:dyDescent="0.3">
      <c r="A1487">
        <v>1486</v>
      </c>
      <c r="B1487">
        <v>84</v>
      </c>
      <c r="C1487">
        <v>2</v>
      </c>
      <c r="D1487" s="12">
        <v>43192</v>
      </c>
      <c r="E1487" s="12">
        <v>43192</v>
      </c>
      <c r="F1487" s="12" t="s">
        <v>5611</v>
      </c>
      <c r="G1487">
        <v>2</v>
      </c>
      <c r="H1487">
        <v>7</v>
      </c>
      <c r="I1487" t="str">
        <f t="shared" si="23"/>
        <v>Pending</v>
      </c>
    </row>
    <row r="1488" spans="1:9" x14ac:dyDescent="0.3">
      <c r="A1488">
        <v>1487</v>
      </c>
      <c r="B1488">
        <v>33</v>
      </c>
      <c r="C1488">
        <v>1</v>
      </c>
      <c r="D1488" s="12">
        <v>43193</v>
      </c>
      <c r="E1488" s="12">
        <v>43193</v>
      </c>
      <c r="F1488" s="12" t="s">
        <v>5611</v>
      </c>
      <c r="G1488">
        <v>1</v>
      </c>
      <c r="H1488">
        <v>3</v>
      </c>
      <c r="I1488" t="str">
        <f t="shared" si="23"/>
        <v>Pending</v>
      </c>
    </row>
    <row r="1489" spans="1:9" x14ac:dyDescent="0.3">
      <c r="A1489">
        <v>1488</v>
      </c>
      <c r="B1489">
        <v>181</v>
      </c>
      <c r="C1489">
        <v>2</v>
      </c>
      <c r="D1489" s="12">
        <v>43193</v>
      </c>
      <c r="E1489" s="12">
        <v>43193</v>
      </c>
      <c r="F1489" s="12" t="s">
        <v>5611</v>
      </c>
      <c r="G1489">
        <v>1</v>
      </c>
      <c r="H1489">
        <v>3</v>
      </c>
      <c r="I1489" t="str">
        <f t="shared" si="23"/>
        <v>Pending</v>
      </c>
    </row>
    <row r="1490" spans="1:9" x14ac:dyDescent="0.3">
      <c r="A1490">
        <v>1489</v>
      </c>
      <c r="B1490">
        <v>194</v>
      </c>
      <c r="C1490">
        <v>1</v>
      </c>
      <c r="D1490" s="12">
        <v>43193</v>
      </c>
      <c r="E1490" s="12">
        <v>43193</v>
      </c>
      <c r="F1490" s="12" t="s">
        <v>5611</v>
      </c>
      <c r="G1490">
        <v>1</v>
      </c>
      <c r="H1490">
        <v>3</v>
      </c>
      <c r="I1490" t="str">
        <f t="shared" si="23"/>
        <v>Pending</v>
      </c>
    </row>
    <row r="1491" spans="1:9" x14ac:dyDescent="0.3">
      <c r="A1491">
        <v>1490</v>
      </c>
      <c r="B1491">
        <v>217</v>
      </c>
      <c r="C1491">
        <v>2</v>
      </c>
      <c r="D1491" s="12">
        <v>43193</v>
      </c>
      <c r="E1491" s="12">
        <v>43193</v>
      </c>
      <c r="F1491" s="12" t="s">
        <v>5611</v>
      </c>
      <c r="G1491">
        <v>1</v>
      </c>
      <c r="H1491">
        <v>3</v>
      </c>
      <c r="I1491" t="str">
        <f t="shared" si="23"/>
        <v>Pending</v>
      </c>
    </row>
    <row r="1492" spans="1:9" x14ac:dyDescent="0.3">
      <c r="A1492">
        <v>1491</v>
      </c>
      <c r="B1492">
        <v>82</v>
      </c>
      <c r="C1492">
        <v>1</v>
      </c>
      <c r="D1492" s="12">
        <v>43194</v>
      </c>
      <c r="E1492" s="12">
        <v>43194</v>
      </c>
      <c r="F1492" s="12" t="s">
        <v>5611</v>
      </c>
      <c r="G1492">
        <v>1</v>
      </c>
      <c r="H1492">
        <v>3</v>
      </c>
      <c r="I1492" t="str">
        <f t="shared" si="23"/>
        <v>Pending</v>
      </c>
    </row>
    <row r="1493" spans="1:9" x14ac:dyDescent="0.3">
      <c r="A1493">
        <v>1492</v>
      </c>
      <c r="B1493">
        <v>41</v>
      </c>
      <c r="C1493">
        <v>1</v>
      </c>
      <c r="D1493" s="12">
        <v>43194</v>
      </c>
      <c r="E1493" s="12">
        <v>43194</v>
      </c>
      <c r="F1493" s="12" t="s">
        <v>5611</v>
      </c>
      <c r="G1493">
        <v>2</v>
      </c>
      <c r="H1493">
        <v>7</v>
      </c>
      <c r="I1493" t="str">
        <f t="shared" si="23"/>
        <v>Pending</v>
      </c>
    </row>
    <row r="1494" spans="1:9" x14ac:dyDescent="0.3">
      <c r="A1494">
        <v>1493</v>
      </c>
      <c r="B1494">
        <v>64</v>
      </c>
      <c r="C1494">
        <v>2</v>
      </c>
      <c r="D1494" s="12">
        <v>43194</v>
      </c>
      <c r="E1494" s="12">
        <v>43194</v>
      </c>
      <c r="F1494" s="12" t="s">
        <v>5611</v>
      </c>
      <c r="G1494">
        <v>3</v>
      </c>
      <c r="H1494">
        <v>8</v>
      </c>
      <c r="I1494" t="str">
        <f t="shared" si="23"/>
        <v>Pending</v>
      </c>
    </row>
    <row r="1495" spans="1:9" x14ac:dyDescent="0.3">
      <c r="A1495">
        <v>1494</v>
      </c>
      <c r="B1495">
        <v>69</v>
      </c>
      <c r="C1495">
        <v>2</v>
      </c>
      <c r="D1495" s="12">
        <v>43195</v>
      </c>
      <c r="E1495" s="12">
        <v>43195</v>
      </c>
      <c r="F1495" s="12" t="s">
        <v>5611</v>
      </c>
      <c r="G1495">
        <v>1</v>
      </c>
      <c r="H1495">
        <v>3</v>
      </c>
      <c r="I1495" t="str">
        <f t="shared" si="23"/>
        <v>Pending</v>
      </c>
    </row>
    <row r="1496" spans="1:9" x14ac:dyDescent="0.3">
      <c r="A1496">
        <v>1495</v>
      </c>
      <c r="B1496">
        <v>86</v>
      </c>
      <c r="C1496">
        <v>2</v>
      </c>
      <c r="D1496" s="12">
        <v>43195</v>
      </c>
      <c r="E1496" s="12">
        <v>43195</v>
      </c>
      <c r="F1496" s="12" t="s">
        <v>5611</v>
      </c>
      <c r="G1496">
        <v>2</v>
      </c>
      <c r="H1496">
        <v>7</v>
      </c>
      <c r="I1496" t="str">
        <f t="shared" si="23"/>
        <v>Pending</v>
      </c>
    </row>
    <row r="1497" spans="1:9" x14ac:dyDescent="0.3">
      <c r="A1497">
        <v>1496</v>
      </c>
      <c r="B1497">
        <v>3</v>
      </c>
      <c r="C1497">
        <v>1</v>
      </c>
      <c r="D1497" s="12">
        <v>43196</v>
      </c>
      <c r="E1497" s="12">
        <v>43196</v>
      </c>
      <c r="F1497" s="12" t="s">
        <v>5611</v>
      </c>
      <c r="G1497">
        <v>1</v>
      </c>
      <c r="H1497">
        <v>3</v>
      </c>
      <c r="I1497" t="str">
        <f t="shared" si="23"/>
        <v>Pending</v>
      </c>
    </row>
    <row r="1498" spans="1:9" x14ac:dyDescent="0.3">
      <c r="A1498">
        <v>1497</v>
      </c>
      <c r="B1498">
        <v>31</v>
      </c>
      <c r="C1498">
        <v>2</v>
      </c>
      <c r="D1498" s="12">
        <v>43196</v>
      </c>
      <c r="E1498" s="12">
        <v>43196</v>
      </c>
      <c r="F1498" s="12" t="s">
        <v>5611</v>
      </c>
      <c r="G1498">
        <v>1</v>
      </c>
      <c r="H1498">
        <v>2</v>
      </c>
      <c r="I1498" t="str">
        <f t="shared" si="23"/>
        <v>Pending</v>
      </c>
    </row>
    <row r="1499" spans="1:9" x14ac:dyDescent="0.3">
      <c r="A1499">
        <v>1498</v>
      </c>
      <c r="B1499">
        <v>81</v>
      </c>
      <c r="C1499">
        <v>1</v>
      </c>
      <c r="D1499" s="12">
        <v>43196</v>
      </c>
      <c r="E1499" s="12">
        <v>43196</v>
      </c>
      <c r="F1499" s="12" t="s">
        <v>5611</v>
      </c>
      <c r="G1499">
        <v>1</v>
      </c>
      <c r="H1499">
        <v>2</v>
      </c>
      <c r="I1499" t="str">
        <f t="shared" si="23"/>
        <v>Pending</v>
      </c>
    </row>
    <row r="1500" spans="1:9" x14ac:dyDescent="0.3">
      <c r="A1500">
        <v>1499</v>
      </c>
      <c r="B1500">
        <v>120</v>
      </c>
      <c r="C1500">
        <v>2</v>
      </c>
      <c r="D1500" s="12">
        <v>43196</v>
      </c>
      <c r="E1500" s="12">
        <v>43196</v>
      </c>
      <c r="F1500" s="12" t="s">
        <v>5611</v>
      </c>
      <c r="G1500">
        <v>1</v>
      </c>
      <c r="H1500">
        <v>2</v>
      </c>
      <c r="I1500" t="str">
        <f t="shared" si="23"/>
        <v>Pending</v>
      </c>
    </row>
    <row r="1501" spans="1:9" x14ac:dyDescent="0.3">
      <c r="A1501">
        <v>1500</v>
      </c>
      <c r="B1501">
        <v>151</v>
      </c>
      <c r="C1501">
        <v>2</v>
      </c>
      <c r="D1501" s="12">
        <v>43196</v>
      </c>
      <c r="E1501" s="12">
        <v>43196</v>
      </c>
      <c r="F1501" s="12" t="s">
        <v>5611</v>
      </c>
      <c r="G1501">
        <v>1</v>
      </c>
      <c r="H1501">
        <v>3</v>
      </c>
      <c r="I1501" t="str">
        <f t="shared" si="23"/>
        <v>Pending</v>
      </c>
    </row>
    <row r="1502" spans="1:9" x14ac:dyDescent="0.3">
      <c r="A1502">
        <v>1501</v>
      </c>
      <c r="B1502">
        <v>52</v>
      </c>
      <c r="C1502">
        <v>1</v>
      </c>
      <c r="D1502" s="12">
        <v>43196</v>
      </c>
      <c r="E1502" s="12">
        <v>43196</v>
      </c>
      <c r="F1502" s="12" t="s">
        <v>5611</v>
      </c>
      <c r="G1502">
        <v>2</v>
      </c>
      <c r="H1502">
        <v>6</v>
      </c>
      <c r="I1502" t="str">
        <f t="shared" si="23"/>
        <v>Pending</v>
      </c>
    </row>
    <row r="1503" spans="1:9" x14ac:dyDescent="0.3">
      <c r="A1503">
        <v>1502</v>
      </c>
      <c r="B1503">
        <v>83</v>
      </c>
      <c r="C1503">
        <v>2</v>
      </c>
      <c r="D1503" s="12">
        <v>43196</v>
      </c>
      <c r="E1503" s="12">
        <v>43196</v>
      </c>
      <c r="F1503" s="12" t="s">
        <v>5611</v>
      </c>
      <c r="G1503">
        <v>2</v>
      </c>
      <c r="H1503">
        <v>6</v>
      </c>
      <c r="I1503" t="str">
        <f t="shared" si="23"/>
        <v>Pending</v>
      </c>
    </row>
    <row r="1504" spans="1:9" x14ac:dyDescent="0.3">
      <c r="A1504">
        <v>1503</v>
      </c>
      <c r="B1504">
        <v>208</v>
      </c>
      <c r="C1504">
        <v>2</v>
      </c>
      <c r="D1504" s="12">
        <v>43197</v>
      </c>
      <c r="E1504" s="12">
        <v>43197</v>
      </c>
      <c r="F1504" s="12" t="s">
        <v>5611</v>
      </c>
      <c r="G1504">
        <v>1</v>
      </c>
      <c r="H1504">
        <v>3</v>
      </c>
      <c r="I1504" t="str">
        <f t="shared" si="23"/>
        <v>Pending</v>
      </c>
    </row>
    <row r="1505" spans="1:9" x14ac:dyDescent="0.3">
      <c r="A1505">
        <v>1504</v>
      </c>
      <c r="B1505">
        <v>237</v>
      </c>
      <c r="C1505">
        <v>2</v>
      </c>
      <c r="D1505" s="12">
        <v>43198</v>
      </c>
      <c r="E1505" s="12">
        <v>43198</v>
      </c>
      <c r="F1505" s="12" t="s">
        <v>5611</v>
      </c>
      <c r="G1505">
        <v>1</v>
      </c>
      <c r="H1505">
        <v>2</v>
      </c>
      <c r="I1505" t="str">
        <f t="shared" si="23"/>
        <v>Pending</v>
      </c>
    </row>
    <row r="1506" spans="1:9" x14ac:dyDescent="0.3">
      <c r="A1506">
        <v>1505</v>
      </c>
      <c r="B1506">
        <v>22</v>
      </c>
      <c r="C1506">
        <v>1</v>
      </c>
      <c r="D1506" s="12">
        <v>43198</v>
      </c>
      <c r="E1506" s="12">
        <v>43198</v>
      </c>
      <c r="F1506" s="12" t="s">
        <v>5611</v>
      </c>
      <c r="G1506">
        <v>2</v>
      </c>
      <c r="H1506">
        <v>7</v>
      </c>
      <c r="I1506" t="str">
        <f t="shared" si="23"/>
        <v>Pending</v>
      </c>
    </row>
    <row r="1507" spans="1:9" x14ac:dyDescent="0.3">
      <c r="A1507">
        <v>1506</v>
      </c>
      <c r="B1507">
        <v>75</v>
      </c>
      <c r="C1507">
        <v>1</v>
      </c>
      <c r="D1507" s="12">
        <v>43198</v>
      </c>
      <c r="E1507" s="12">
        <v>43198</v>
      </c>
      <c r="F1507" s="12" t="s">
        <v>5611</v>
      </c>
      <c r="G1507">
        <v>2</v>
      </c>
      <c r="H1507">
        <v>7</v>
      </c>
      <c r="I1507" t="str">
        <f t="shared" si="23"/>
        <v>Pending</v>
      </c>
    </row>
    <row r="1508" spans="1:9" x14ac:dyDescent="0.3">
      <c r="A1508">
        <v>1507</v>
      </c>
      <c r="B1508">
        <v>85</v>
      </c>
      <c r="C1508">
        <v>2</v>
      </c>
      <c r="D1508" s="12">
        <v>43198</v>
      </c>
      <c r="E1508" s="12">
        <v>43198</v>
      </c>
      <c r="F1508" s="12" t="s">
        <v>5611</v>
      </c>
      <c r="G1508">
        <v>2</v>
      </c>
      <c r="H1508">
        <v>6</v>
      </c>
      <c r="I1508" t="str">
        <f t="shared" si="23"/>
        <v>Pending</v>
      </c>
    </row>
    <row r="1509" spans="1:9" x14ac:dyDescent="0.3">
      <c r="A1509">
        <v>1508</v>
      </c>
      <c r="B1509">
        <v>92</v>
      </c>
      <c r="C1509">
        <v>2</v>
      </c>
      <c r="D1509" s="12">
        <v>43198</v>
      </c>
      <c r="E1509" s="12">
        <v>43198</v>
      </c>
      <c r="F1509" s="12" t="s">
        <v>5611</v>
      </c>
      <c r="G1509">
        <v>2</v>
      </c>
      <c r="H1509">
        <v>6</v>
      </c>
      <c r="I1509" t="str">
        <f t="shared" si="23"/>
        <v>Pending</v>
      </c>
    </row>
    <row r="1510" spans="1:9" x14ac:dyDescent="0.3">
      <c r="A1510">
        <v>1509</v>
      </c>
      <c r="B1510">
        <v>2</v>
      </c>
      <c r="C1510">
        <v>1</v>
      </c>
      <c r="D1510" s="12">
        <v>43199</v>
      </c>
      <c r="E1510" s="12">
        <v>43199</v>
      </c>
      <c r="F1510" s="12" t="s">
        <v>5611</v>
      </c>
      <c r="G1510">
        <v>1</v>
      </c>
      <c r="H1510">
        <v>3</v>
      </c>
      <c r="I1510" t="str">
        <f t="shared" si="23"/>
        <v>Pending</v>
      </c>
    </row>
    <row r="1511" spans="1:9" x14ac:dyDescent="0.3">
      <c r="A1511">
        <v>1510</v>
      </c>
      <c r="B1511">
        <v>16</v>
      </c>
      <c r="C1511">
        <v>2</v>
      </c>
      <c r="D1511" s="12">
        <v>43199</v>
      </c>
      <c r="E1511" s="12">
        <v>43199</v>
      </c>
      <c r="F1511" s="12" t="s">
        <v>5611</v>
      </c>
      <c r="G1511">
        <v>2</v>
      </c>
      <c r="H1511">
        <v>6</v>
      </c>
      <c r="I1511" t="str">
        <f t="shared" si="23"/>
        <v>Pending</v>
      </c>
    </row>
    <row r="1512" spans="1:9" x14ac:dyDescent="0.3">
      <c r="A1512">
        <v>1511</v>
      </c>
      <c r="B1512">
        <v>25</v>
      </c>
      <c r="C1512">
        <v>1</v>
      </c>
      <c r="D1512" s="12">
        <v>43199</v>
      </c>
      <c r="E1512" s="12">
        <v>43199</v>
      </c>
      <c r="F1512" s="12" t="s">
        <v>5611</v>
      </c>
      <c r="G1512">
        <v>2</v>
      </c>
      <c r="H1512">
        <v>6</v>
      </c>
      <c r="I1512" t="str">
        <f t="shared" si="23"/>
        <v>Pending</v>
      </c>
    </row>
    <row r="1513" spans="1:9" x14ac:dyDescent="0.3">
      <c r="A1513">
        <v>1512</v>
      </c>
      <c r="B1513">
        <v>68</v>
      </c>
      <c r="C1513">
        <v>1</v>
      </c>
      <c r="D1513" s="12">
        <v>43199</v>
      </c>
      <c r="E1513" s="12">
        <v>43199</v>
      </c>
      <c r="F1513" s="12" t="s">
        <v>5611</v>
      </c>
      <c r="G1513">
        <v>3</v>
      </c>
      <c r="H1513">
        <v>9</v>
      </c>
      <c r="I1513" t="str">
        <f t="shared" si="23"/>
        <v>Pending</v>
      </c>
    </row>
    <row r="1514" spans="1:9" x14ac:dyDescent="0.3">
      <c r="A1514">
        <v>1513</v>
      </c>
      <c r="B1514">
        <v>32</v>
      </c>
      <c r="C1514">
        <v>2</v>
      </c>
      <c r="D1514" s="12">
        <v>43200</v>
      </c>
      <c r="E1514" s="12">
        <v>43200</v>
      </c>
      <c r="F1514" s="12" t="s">
        <v>5611</v>
      </c>
      <c r="G1514">
        <v>1</v>
      </c>
      <c r="H1514">
        <v>2</v>
      </c>
      <c r="I1514" t="str">
        <f t="shared" si="23"/>
        <v>Pending</v>
      </c>
    </row>
    <row r="1515" spans="1:9" x14ac:dyDescent="0.3">
      <c r="A1515">
        <v>1514</v>
      </c>
      <c r="B1515">
        <v>87</v>
      </c>
      <c r="C1515">
        <v>2</v>
      </c>
      <c r="D1515" s="12">
        <v>43200</v>
      </c>
      <c r="E1515" s="12">
        <v>43200</v>
      </c>
      <c r="F1515" s="12" t="s">
        <v>5611</v>
      </c>
      <c r="G1515">
        <v>1</v>
      </c>
      <c r="H1515">
        <v>3</v>
      </c>
      <c r="I1515" t="str">
        <f t="shared" si="23"/>
        <v>Pending</v>
      </c>
    </row>
    <row r="1516" spans="1:9" x14ac:dyDescent="0.3">
      <c r="A1516">
        <v>1515</v>
      </c>
      <c r="B1516">
        <v>61</v>
      </c>
      <c r="C1516">
        <v>1</v>
      </c>
      <c r="D1516" s="12">
        <v>43200</v>
      </c>
      <c r="E1516" s="12">
        <v>43200</v>
      </c>
      <c r="F1516" s="12" t="s">
        <v>5611</v>
      </c>
      <c r="G1516">
        <v>3</v>
      </c>
      <c r="H1516">
        <v>9</v>
      </c>
      <c r="I1516" t="str">
        <f t="shared" si="23"/>
        <v>Pending</v>
      </c>
    </row>
    <row r="1517" spans="1:9" x14ac:dyDescent="0.3">
      <c r="A1517">
        <v>1516</v>
      </c>
      <c r="B1517">
        <v>47</v>
      </c>
      <c r="C1517">
        <v>2</v>
      </c>
      <c r="D1517" s="12">
        <v>43201</v>
      </c>
      <c r="E1517" s="12">
        <v>43201</v>
      </c>
      <c r="F1517" s="12" t="s">
        <v>5611</v>
      </c>
      <c r="G1517">
        <v>1</v>
      </c>
      <c r="H1517">
        <v>3</v>
      </c>
      <c r="I1517" t="str">
        <f t="shared" si="23"/>
        <v>Pending</v>
      </c>
    </row>
    <row r="1518" spans="1:9" x14ac:dyDescent="0.3">
      <c r="A1518">
        <v>1517</v>
      </c>
      <c r="B1518">
        <v>97</v>
      </c>
      <c r="C1518">
        <v>1</v>
      </c>
      <c r="D1518" s="12">
        <v>43201</v>
      </c>
      <c r="E1518" s="12">
        <v>43201</v>
      </c>
      <c r="F1518" s="12" t="s">
        <v>5611</v>
      </c>
      <c r="G1518">
        <v>1</v>
      </c>
      <c r="H1518">
        <v>2</v>
      </c>
      <c r="I1518" t="str">
        <f t="shared" si="23"/>
        <v>Pending</v>
      </c>
    </row>
    <row r="1519" spans="1:9" x14ac:dyDescent="0.3">
      <c r="A1519">
        <v>1518</v>
      </c>
      <c r="B1519">
        <v>175</v>
      </c>
      <c r="C1519">
        <v>1</v>
      </c>
      <c r="D1519" s="12">
        <v>43201</v>
      </c>
      <c r="E1519" s="12">
        <v>43201</v>
      </c>
      <c r="F1519" s="12" t="s">
        <v>5611</v>
      </c>
      <c r="G1519">
        <v>1</v>
      </c>
      <c r="H1519">
        <v>2</v>
      </c>
      <c r="I1519" t="str">
        <f t="shared" si="23"/>
        <v>Pending</v>
      </c>
    </row>
    <row r="1520" spans="1:9" x14ac:dyDescent="0.3">
      <c r="A1520">
        <v>1519</v>
      </c>
      <c r="B1520">
        <v>26</v>
      </c>
      <c r="C1520">
        <v>2</v>
      </c>
      <c r="D1520" s="12">
        <v>43201</v>
      </c>
      <c r="E1520" s="12">
        <v>43201</v>
      </c>
      <c r="F1520" s="12" t="s">
        <v>5611</v>
      </c>
      <c r="G1520">
        <v>2</v>
      </c>
      <c r="H1520">
        <v>7</v>
      </c>
      <c r="I1520" t="str">
        <f t="shared" si="23"/>
        <v>Pending</v>
      </c>
    </row>
    <row r="1521" spans="1:9" x14ac:dyDescent="0.3">
      <c r="A1521">
        <v>1520</v>
      </c>
      <c r="B1521">
        <v>66</v>
      </c>
      <c r="C1521">
        <v>2</v>
      </c>
      <c r="D1521" s="12">
        <v>43201</v>
      </c>
      <c r="E1521" s="12">
        <v>43201</v>
      </c>
      <c r="F1521" s="12" t="s">
        <v>5611</v>
      </c>
      <c r="G1521">
        <v>3</v>
      </c>
      <c r="H1521">
        <v>8</v>
      </c>
      <c r="I1521" t="str">
        <f t="shared" si="23"/>
        <v>Pending</v>
      </c>
    </row>
    <row r="1522" spans="1:9" x14ac:dyDescent="0.3">
      <c r="A1522">
        <v>1521</v>
      </c>
      <c r="B1522">
        <v>53</v>
      </c>
      <c r="C1522">
        <v>1</v>
      </c>
      <c r="D1522" s="12">
        <v>43202</v>
      </c>
      <c r="E1522" s="12">
        <v>43202</v>
      </c>
      <c r="F1522" s="12" t="s">
        <v>5611</v>
      </c>
      <c r="G1522">
        <v>1</v>
      </c>
      <c r="H1522">
        <v>3</v>
      </c>
      <c r="I1522" t="str">
        <f t="shared" si="23"/>
        <v>Pending</v>
      </c>
    </row>
    <row r="1523" spans="1:9" x14ac:dyDescent="0.3">
      <c r="A1523">
        <v>1522</v>
      </c>
      <c r="B1523">
        <v>78</v>
      </c>
      <c r="C1523">
        <v>1</v>
      </c>
      <c r="D1523" s="12">
        <v>43202</v>
      </c>
      <c r="E1523" s="12">
        <v>43202</v>
      </c>
      <c r="F1523" s="12" t="s">
        <v>5611</v>
      </c>
      <c r="G1523">
        <v>1</v>
      </c>
      <c r="H1523">
        <v>3</v>
      </c>
      <c r="I1523" t="str">
        <f t="shared" si="23"/>
        <v>Pending</v>
      </c>
    </row>
    <row r="1524" spans="1:9" x14ac:dyDescent="0.3">
      <c r="A1524">
        <v>1523</v>
      </c>
      <c r="B1524">
        <v>8</v>
      </c>
      <c r="C1524">
        <v>1</v>
      </c>
      <c r="D1524" s="12">
        <v>43202</v>
      </c>
      <c r="E1524" s="12">
        <v>43202</v>
      </c>
      <c r="F1524" s="12" t="s">
        <v>5611</v>
      </c>
      <c r="G1524">
        <v>2</v>
      </c>
      <c r="H1524">
        <v>7</v>
      </c>
      <c r="I1524" t="str">
        <f t="shared" si="23"/>
        <v>Pending</v>
      </c>
    </row>
    <row r="1525" spans="1:9" x14ac:dyDescent="0.3">
      <c r="A1525">
        <v>1524</v>
      </c>
      <c r="B1525">
        <v>37</v>
      </c>
      <c r="C1525">
        <v>1</v>
      </c>
      <c r="D1525" s="12">
        <v>43202</v>
      </c>
      <c r="E1525" s="12">
        <v>43202</v>
      </c>
      <c r="F1525" s="12" t="s">
        <v>5611</v>
      </c>
      <c r="G1525">
        <v>2</v>
      </c>
      <c r="H1525">
        <v>6</v>
      </c>
      <c r="I1525" t="str">
        <f t="shared" si="23"/>
        <v>Pending</v>
      </c>
    </row>
    <row r="1526" spans="1:9" x14ac:dyDescent="0.3">
      <c r="A1526">
        <v>1525</v>
      </c>
      <c r="B1526">
        <v>38</v>
      </c>
      <c r="C1526">
        <v>2</v>
      </c>
      <c r="D1526" s="12">
        <v>43202</v>
      </c>
      <c r="E1526" s="12">
        <v>43202</v>
      </c>
      <c r="F1526" s="12" t="s">
        <v>5611</v>
      </c>
      <c r="G1526">
        <v>2</v>
      </c>
      <c r="H1526">
        <v>7</v>
      </c>
      <c r="I1526" t="str">
        <f t="shared" si="23"/>
        <v>Pending</v>
      </c>
    </row>
    <row r="1527" spans="1:9" x14ac:dyDescent="0.3">
      <c r="A1527">
        <v>1526</v>
      </c>
      <c r="B1527">
        <v>59</v>
      </c>
      <c r="C1527">
        <v>2</v>
      </c>
      <c r="D1527" s="12">
        <v>43202</v>
      </c>
      <c r="E1527" s="12">
        <v>43202</v>
      </c>
      <c r="F1527" s="12" t="s">
        <v>5611</v>
      </c>
      <c r="G1527">
        <v>2</v>
      </c>
      <c r="H1527">
        <v>7</v>
      </c>
      <c r="I1527" t="str">
        <f t="shared" si="23"/>
        <v>Pending</v>
      </c>
    </row>
    <row r="1528" spans="1:9" x14ac:dyDescent="0.3">
      <c r="A1528">
        <v>1527</v>
      </c>
      <c r="B1528">
        <v>13</v>
      </c>
      <c r="C1528">
        <v>2</v>
      </c>
      <c r="D1528" s="12">
        <v>43202</v>
      </c>
      <c r="E1528" s="12">
        <v>43202</v>
      </c>
      <c r="F1528" s="12" t="s">
        <v>5611</v>
      </c>
      <c r="G1528">
        <v>3</v>
      </c>
      <c r="H1528">
        <v>9</v>
      </c>
      <c r="I1528" t="str">
        <f t="shared" si="23"/>
        <v>Pending</v>
      </c>
    </row>
    <row r="1529" spans="1:9" x14ac:dyDescent="0.3">
      <c r="A1529">
        <v>1528</v>
      </c>
      <c r="B1529">
        <v>20</v>
      </c>
      <c r="C1529">
        <v>1</v>
      </c>
      <c r="D1529" s="12">
        <v>43202</v>
      </c>
      <c r="E1529" s="12">
        <v>43202</v>
      </c>
      <c r="F1529" s="12" t="s">
        <v>5611</v>
      </c>
      <c r="G1529">
        <v>3</v>
      </c>
      <c r="H1529">
        <v>8</v>
      </c>
      <c r="I1529" t="str">
        <f t="shared" si="23"/>
        <v>Pending</v>
      </c>
    </row>
    <row r="1530" spans="1:9" x14ac:dyDescent="0.3">
      <c r="A1530">
        <v>1529</v>
      </c>
      <c r="B1530">
        <v>50</v>
      </c>
      <c r="C1530">
        <v>1</v>
      </c>
      <c r="D1530" s="12">
        <v>43202</v>
      </c>
      <c r="E1530" s="12">
        <v>43202</v>
      </c>
      <c r="F1530" s="12" t="s">
        <v>5611</v>
      </c>
      <c r="G1530">
        <v>3</v>
      </c>
      <c r="H1530">
        <v>8</v>
      </c>
      <c r="I1530" t="str">
        <f t="shared" si="23"/>
        <v>Pending</v>
      </c>
    </row>
    <row r="1531" spans="1:9" x14ac:dyDescent="0.3">
      <c r="A1531">
        <v>1530</v>
      </c>
      <c r="B1531">
        <v>110</v>
      </c>
      <c r="C1531">
        <v>1</v>
      </c>
      <c r="D1531" s="12">
        <v>43203</v>
      </c>
      <c r="E1531" s="12">
        <v>43203</v>
      </c>
      <c r="F1531" s="12" t="s">
        <v>5611</v>
      </c>
      <c r="G1531">
        <v>1</v>
      </c>
      <c r="H1531">
        <v>2</v>
      </c>
      <c r="I1531" t="str">
        <f t="shared" si="23"/>
        <v>Pending</v>
      </c>
    </row>
    <row r="1532" spans="1:9" x14ac:dyDescent="0.3">
      <c r="A1532">
        <v>1531</v>
      </c>
      <c r="B1532">
        <v>233</v>
      </c>
      <c r="C1532">
        <v>1</v>
      </c>
      <c r="D1532" s="12">
        <v>43203</v>
      </c>
      <c r="E1532" s="12">
        <v>43203</v>
      </c>
      <c r="F1532" s="12" t="s">
        <v>5611</v>
      </c>
      <c r="G1532">
        <v>1</v>
      </c>
      <c r="H1532">
        <v>2</v>
      </c>
      <c r="I1532" t="str">
        <f t="shared" si="23"/>
        <v>Pending</v>
      </c>
    </row>
    <row r="1533" spans="1:9" x14ac:dyDescent="0.3">
      <c r="A1533">
        <v>1532</v>
      </c>
      <c r="B1533">
        <v>7</v>
      </c>
      <c r="C1533">
        <v>2</v>
      </c>
      <c r="D1533" s="12">
        <v>43203</v>
      </c>
      <c r="E1533" s="12">
        <v>43203</v>
      </c>
      <c r="F1533" s="12" t="s">
        <v>5611</v>
      </c>
      <c r="G1533">
        <v>2</v>
      </c>
      <c r="H1533">
        <v>7</v>
      </c>
      <c r="I1533" t="str">
        <f t="shared" si="23"/>
        <v>Pending</v>
      </c>
    </row>
    <row r="1534" spans="1:9" x14ac:dyDescent="0.3">
      <c r="A1534">
        <v>1533</v>
      </c>
      <c r="B1534">
        <v>28</v>
      </c>
      <c r="C1534">
        <v>2</v>
      </c>
      <c r="D1534" s="12">
        <v>43203</v>
      </c>
      <c r="E1534" s="12">
        <v>43203</v>
      </c>
      <c r="F1534" s="12" t="s">
        <v>5611</v>
      </c>
      <c r="G1534">
        <v>2</v>
      </c>
      <c r="H1534">
        <v>6</v>
      </c>
      <c r="I1534" t="str">
        <f t="shared" si="23"/>
        <v>Pending</v>
      </c>
    </row>
    <row r="1535" spans="1:9" x14ac:dyDescent="0.3">
      <c r="A1535">
        <v>1534</v>
      </c>
      <c r="B1535">
        <v>18</v>
      </c>
      <c r="C1535">
        <v>2</v>
      </c>
      <c r="D1535" s="12">
        <v>43204</v>
      </c>
      <c r="E1535" s="12">
        <v>43204</v>
      </c>
      <c r="F1535" s="12" t="s">
        <v>5611</v>
      </c>
      <c r="G1535">
        <v>2</v>
      </c>
      <c r="H1535">
        <v>7</v>
      </c>
      <c r="I1535" t="str">
        <f t="shared" si="23"/>
        <v>Pending</v>
      </c>
    </row>
    <row r="1536" spans="1:9" x14ac:dyDescent="0.3">
      <c r="A1536">
        <v>1535</v>
      </c>
      <c r="B1536">
        <v>19</v>
      </c>
      <c r="C1536">
        <v>2</v>
      </c>
      <c r="D1536" s="12">
        <v>43204</v>
      </c>
      <c r="E1536" s="12">
        <v>43204</v>
      </c>
      <c r="F1536" s="12" t="s">
        <v>5611</v>
      </c>
      <c r="G1536">
        <v>2</v>
      </c>
      <c r="H1536">
        <v>7</v>
      </c>
      <c r="I1536" t="str">
        <f t="shared" si="23"/>
        <v>Pending</v>
      </c>
    </row>
    <row r="1537" spans="1:9" x14ac:dyDescent="0.3">
      <c r="A1537">
        <v>1536</v>
      </c>
      <c r="B1537">
        <v>34</v>
      </c>
      <c r="C1537">
        <v>2</v>
      </c>
      <c r="D1537" s="12">
        <v>43204</v>
      </c>
      <c r="E1537" s="12">
        <v>43204</v>
      </c>
      <c r="F1537" s="12" t="s">
        <v>5611</v>
      </c>
      <c r="G1537">
        <v>2</v>
      </c>
      <c r="H1537">
        <v>7</v>
      </c>
      <c r="I1537" t="str">
        <f t="shared" si="23"/>
        <v>Pending</v>
      </c>
    </row>
    <row r="1538" spans="1:9" x14ac:dyDescent="0.3">
      <c r="A1538">
        <v>1537</v>
      </c>
      <c r="B1538">
        <v>36</v>
      </c>
      <c r="C1538">
        <v>1</v>
      </c>
      <c r="D1538" s="12">
        <v>43205</v>
      </c>
      <c r="E1538" s="12">
        <v>43205</v>
      </c>
      <c r="F1538" s="12" t="s">
        <v>5611</v>
      </c>
      <c r="G1538">
        <v>2</v>
      </c>
      <c r="H1538">
        <v>6</v>
      </c>
      <c r="I1538" t="str">
        <f t="shared" si="23"/>
        <v>Pending</v>
      </c>
    </row>
    <row r="1539" spans="1:9" x14ac:dyDescent="0.3">
      <c r="A1539">
        <v>1538</v>
      </c>
      <c r="B1539">
        <v>79</v>
      </c>
      <c r="C1539">
        <v>2</v>
      </c>
      <c r="D1539" s="12">
        <v>43205</v>
      </c>
      <c r="E1539" s="12">
        <v>43205</v>
      </c>
      <c r="F1539" s="12" t="s">
        <v>5611</v>
      </c>
      <c r="G1539">
        <v>2</v>
      </c>
      <c r="H1539">
        <v>6</v>
      </c>
      <c r="I1539" t="str">
        <f t="shared" ref="I1539:I1602" si="24">IF(F1539="NA","Pending",IF(OR(E1539=F1539,E1539&lt;F1539),"Shipped","Delivered"))</f>
        <v>Pending</v>
      </c>
    </row>
    <row r="1540" spans="1:9" x14ac:dyDescent="0.3">
      <c r="A1540">
        <v>1539</v>
      </c>
      <c r="B1540">
        <v>116</v>
      </c>
      <c r="C1540">
        <v>1</v>
      </c>
      <c r="D1540" s="12">
        <v>43205</v>
      </c>
      <c r="E1540" s="12">
        <v>43205</v>
      </c>
      <c r="F1540" s="12" t="s">
        <v>5611</v>
      </c>
      <c r="G1540">
        <v>3</v>
      </c>
      <c r="H1540">
        <v>9</v>
      </c>
      <c r="I1540" t="str">
        <f t="shared" si="24"/>
        <v>Pending</v>
      </c>
    </row>
    <row r="1541" spans="1:9" x14ac:dyDescent="0.3">
      <c r="A1541">
        <v>1540</v>
      </c>
      <c r="B1541">
        <v>187</v>
      </c>
      <c r="C1541">
        <v>1</v>
      </c>
      <c r="D1541" s="12">
        <v>43206</v>
      </c>
      <c r="E1541" s="12">
        <v>43206</v>
      </c>
      <c r="F1541" s="12" t="s">
        <v>5611</v>
      </c>
      <c r="G1541">
        <v>1</v>
      </c>
      <c r="H1541">
        <v>2</v>
      </c>
      <c r="I1541" t="str">
        <f t="shared" si="24"/>
        <v>Pending</v>
      </c>
    </row>
    <row r="1542" spans="1:9" x14ac:dyDescent="0.3">
      <c r="A1542">
        <v>1541</v>
      </c>
      <c r="B1542">
        <v>10</v>
      </c>
      <c r="C1542">
        <v>2</v>
      </c>
      <c r="D1542" s="12">
        <v>43206</v>
      </c>
      <c r="E1542" s="12">
        <v>43206</v>
      </c>
      <c r="F1542" s="12" t="s">
        <v>5611</v>
      </c>
      <c r="G1542">
        <v>2</v>
      </c>
      <c r="H1542">
        <v>7</v>
      </c>
      <c r="I1542" t="str">
        <f t="shared" si="24"/>
        <v>Pending</v>
      </c>
    </row>
    <row r="1543" spans="1:9" x14ac:dyDescent="0.3">
      <c r="A1543">
        <v>1542</v>
      </c>
      <c r="B1543">
        <v>58</v>
      </c>
      <c r="C1543">
        <v>2</v>
      </c>
      <c r="D1543" s="12">
        <v>43206</v>
      </c>
      <c r="E1543" s="12">
        <v>43206</v>
      </c>
      <c r="F1543" s="12" t="s">
        <v>5611</v>
      </c>
      <c r="G1543">
        <v>2</v>
      </c>
      <c r="H1543">
        <v>6</v>
      </c>
      <c r="I1543" t="str">
        <f t="shared" si="24"/>
        <v>Pending</v>
      </c>
    </row>
    <row r="1544" spans="1:9" x14ac:dyDescent="0.3">
      <c r="A1544">
        <v>1543</v>
      </c>
      <c r="B1544">
        <v>76</v>
      </c>
      <c r="C1544">
        <v>1</v>
      </c>
      <c r="D1544" s="12">
        <v>43206</v>
      </c>
      <c r="E1544" s="12">
        <v>43206</v>
      </c>
      <c r="F1544" s="12" t="s">
        <v>5611</v>
      </c>
      <c r="G1544">
        <v>2</v>
      </c>
      <c r="H1544">
        <v>6</v>
      </c>
      <c r="I1544" t="str">
        <f t="shared" si="24"/>
        <v>Pending</v>
      </c>
    </row>
    <row r="1545" spans="1:9" x14ac:dyDescent="0.3">
      <c r="A1545">
        <v>1544</v>
      </c>
      <c r="B1545">
        <v>5</v>
      </c>
      <c r="C1545">
        <v>1</v>
      </c>
      <c r="D1545" s="12">
        <v>43207</v>
      </c>
      <c r="E1545" s="12">
        <v>43207</v>
      </c>
      <c r="F1545" s="12" t="s">
        <v>5611</v>
      </c>
      <c r="G1545">
        <v>1</v>
      </c>
      <c r="H1545">
        <v>2</v>
      </c>
      <c r="I1545" t="str">
        <f t="shared" si="24"/>
        <v>Pending</v>
      </c>
    </row>
    <row r="1546" spans="1:9" x14ac:dyDescent="0.3">
      <c r="A1546">
        <v>1545</v>
      </c>
      <c r="B1546">
        <v>67</v>
      </c>
      <c r="C1546">
        <v>1</v>
      </c>
      <c r="D1546" s="12">
        <v>43207</v>
      </c>
      <c r="E1546" s="12">
        <v>43207</v>
      </c>
      <c r="F1546" s="12" t="s">
        <v>5611</v>
      </c>
      <c r="G1546">
        <v>1</v>
      </c>
      <c r="H1546">
        <v>3</v>
      </c>
      <c r="I1546" t="str">
        <f t="shared" si="24"/>
        <v>Pending</v>
      </c>
    </row>
    <row r="1547" spans="1:9" x14ac:dyDescent="0.3">
      <c r="A1547">
        <v>1546</v>
      </c>
      <c r="B1547">
        <v>91</v>
      </c>
      <c r="C1547">
        <v>2</v>
      </c>
      <c r="D1547" s="12">
        <v>43207</v>
      </c>
      <c r="E1547" s="12">
        <v>43207</v>
      </c>
      <c r="F1547" s="12" t="s">
        <v>5611</v>
      </c>
      <c r="G1547">
        <v>1</v>
      </c>
      <c r="H1547">
        <v>3</v>
      </c>
      <c r="I1547" t="str">
        <f t="shared" si="24"/>
        <v>Pending</v>
      </c>
    </row>
    <row r="1548" spans="1:9" x14ac:dyDescent="0.3">
      <c r="A1548">
        <v>1547</v>
      </c>
      <c r="B1548">
        <v>169</v>
      </c>
      <c r="C1548">
        <v>1</v>
      </c>
      <c r="D1548" s="12">
        <v>43207</v>
      </c>
      <c r="E1548" s="12">
        <v>43207</v>
      </c>
      <c r="F1548" s="12" t="s">
        <v>5611</v>
      </c>
      <c r="G1548">
        <v>1</v>
      </c>
      <c r="H1548">
        <v>3</v>
      </c>
      <c r="I1548" t="str">
        <f t="shared" si="24"/>
        <v>Pending</v>
      </c>
    </row>
    <row r="1549" spans="1:9" x14ac:dyDescent="0.3">
      <c r="A1549">
        <v>1548</v>
      </c>
      <c r="B1549">
        <v>170</v>
      </c>
      <c r="C1549">
        <v>1</v>
      </c>
      <c r="D1549" s="12">
        <v>43207</v>
      </c>
      <c r="E1549" s="12">
        <v>43207</v>
      </c>
      <c r="F1549" s="12" t="s">
        <v>5611</v>
      </c>
      <c r="G1549">
        <v>1</v>
      </c>
      <c r="H1549">
        <v>2</v>
      </c>
      <c r="I1549" t="str">
        <f t="shared" si="24"/>
        <v>Pending</v>
      </c>
    </row>
    <row r="1550" spans="1:9" x14ac:dyDescent="0.3">
      <c r="A1550">
        <v>1549</v>
      </c>
      <c r="B1550">
        <v>17</v>
      </c>
      <c r="C1550">
        <v>1</v>
      </c>
      <c r="D1550" s="12">
        <v>43207</v>
      </c>
      <c r="E1550" s="12">
        <v>43207</v>
      </c>
      <c r="F1550" s="12" t="s">
        <v>5611</v>
      </c>
      <c r="G1550">
        <v>2</v>
      </c>
      <c r="H1550">
        <v>7</v>
      </c>
      <c r="I1550" t="str">
        <f t="shared" si="24"/>
        <v>Pending</v>
      </c>
    </row>
    <row r="1551" spans="1:9" x14ac:dyDescent="0.3">
      <c r="A1551">
        <v>1550</v>
      </c>
      <c r="B1551">
        <v>39</v>
      </c>
      <c r="C1551">
        <v>1</v>
      </c>
      <c r="D1551" s="12">
        <v>43207</v>
      </c>
      <c r="E1551" s="12">
        <v>43207</v>
      </c>
      <c r="F1551" s="12" t="s">
        <v>5611</v>
      </c>
      <c r="G1551">
        <v>2</v>
      </c>
      <c r="H1551">
        <v>6</v>
      </c>
      <c r="I1551" t="str">
        <f t="shared" si="24"/>
        <v>Pending</v>
      </c>
    </row>
    <row r="1552" spans="1:9" x14ac:dyDescent="0.3">
      <c r="A1552">
        <v>1551</v>
      </c>
      <c r="B1552">
        <v>70</v>
      </c>
      <c r="C1552">
        <v>1</v>
      </c>
      <c r="D1552" s="12">
        <v>43207</v>
      </c>
      <c r="E1552" s="12">
        <v>43207</v>
      </c>
      <c r="F1552" s="12" t="s">
        <v>5611</v>
      </c>
      <c r="G1552">
        <v>2</v>
      </c>
      <c r="H1552">
        <v>7</v>
      </c>
      <c r="I1552" t="str">
        <f t="shared" si="24"/>
        <v>Pending</v>
      </c>
    </row>
    <row r="1553" spans="1:9" x14ac:dyDescent="0.3">
      <c r="A1553">
        <v>1552</v>
      </c>
      <c r="B1553">
        <v>73</v>
      </c>
      <c r="C1553">
        <v>1</v>
      </c>
      <c r="D1553" s="12">
        <v>43207</v>
      </c>
      <c r="E1553" s="12">
        <v>43207</v>
      </c>
      <c r="F1553" s="12" t="s">
        <v>5611</v>
      </c>
      <c r="G1553">
        <v>2</v>
      </c>
      <c r="H1553">
        <v>7</v>
      </c>
      <c r="I1553" t="str">
        <f t="shared" si="24"/>
        <v>Pending</v>
      </c>
    </row>
    <row r="1554" spans="1:9" x14ac:dyDescent="0.3">
      <c r="A1554">
        <v>1553</v>
      </c>
      <c r="B1554">
        <v>30</v>
      </c>
      <c r="C1554">
        <v>2</v>
      </c>
      <c r="D1554" s="12">
        <v>43208</v>
      </c>
      <c r="E1554" s="12">
        <v>43208</v>
      </c>
      <c r="F1554" s="12" t="s">
        <v>5611</v>
      </c>
      <c r="G1554">
        <v>1</v>
      </c>
      <c r="H1554">
        <v>3</v>
      </c>
      <c r="I1554" t="str">
        <f t="shared" si="24"/>
        <v>Pending</v>
      </c>
    </row>
    <row r="1555" spans="1:9" x14ac:dyDescent="0.3">
      <c r="A1555">
        <v>1554</v>
      </c>
      <c r="B1555">
        <v>172</v>
      </c>
      <c r="C1555">
        <v>1</v>
      </c>
      <c r="D1555" s="12">
        <v>43208</v>
      </c>
      <c r="E1555" s="12">
        <v>43208</v>
      </c>
      <c r="F1555" s="12" t="s">
        <v>5611</v>
      </c>
      <c r="G1555">
        <v>1</v>
      </c>
      <c r="H1555">
        <v>3</v>
      </c>
      <c r="I1555" t="str">
        <f t="shared" si="24"/>
        <v>Pending</v>
      </c>
    </row>
    <row r="1556" spans="1:9" x14ac:dyDescent="0.3">
      <c r="A1556">
        <v>1555</v>
      </c>
      <c r="B1556">
        <v>1</v>
      </c>
      <c r="C1556">
        <v>1</v>
      </c>
      <c r="D1556" s="12">
        <v>43208</v>
      </c>
      <c r="E1556" s="12">
        <v>43208</v>
      </c>
      <c r="F1556" s="12" t="s">
        <v>5611</v>
      </c>
      <c r="G1556">
        <v>2</v>
      </c>
      <c r="H1556">
        <v>7</v>
      </c>
      <c r="I1556" t="str">
        <f t="shared" si="24"/>
        <v>Pending</v>
      </c>
    </row>
    <row r="1557" spans="1:9" x14ac:dyDescent="0.3">
      <c r="A1557">
        <v>1556</v>
      </c>
      <c r="B1557">
        <v>4</v>
      </c>
      <c r="C1557">
        <v>2</v>
      </c>
      <c r="D1557" s="12">
        <v>43208</v>
      </c>
      <c r="E1557" s="12">
        <v>43208</v>
      </c>
      <c r="F1557" s="12" t="s">
        <v>5611</v>
      </c>
      <c r="G1557">
        <v>2</v>
      </c>
      <c r="H1557">
        <v>6</v>
      </c>
      <c r="I1557" t="str">
        <f t="shared" si="24"/>
        <v>Pending</v>
      </c>
    </row>
    <row r="1558" spans="1:9" x14ac:dyDescent="0.3">
      <c r="A1558">
        <v>1557</v>
      </c>
      <c r="B1558">
        <v>121</v>
      </c>
      <c r="C1558">
        <v>2</v>
      </c>
      <c r="D1558" s="12">
        <v>43209</v>
      </c>
      <c r="E1558" s="12">
        <v>43209</v>
      </c>
      <c r="F1558" s="12" t="s">
        <v>5611</v>
      </c>
      <c r="G1558">
        <v>1</v>
      </c>
      <c r="H1558">
        <v>3</v>
      </c>
      <c r="I1558" t="str">
        <f t="shared" si="24"/>
        <v>Pending</v>
      </c>
    </row>
    <row r="1559" spans="1:9" x14ac:dyDescent="0.3">
      <c r="A1559">
        <v>1558</v>
      </c>
      <c r="B1559">
        <v>63</v>
      </c>
      <c r="C1559">
        <v>1</v>
      </c>
      <c r="D1559" s="12">
        <v>43209</v>
      </c>
      <c r="E1559" s="12">
        <v>43209</v>
      </c>
      <c r="F1559" s="12" t="s">
        <v>5611</v>
      </c>
      <c r="G1559">
        <v>2</v>
      </c>
      <c r="H1559">
        <v>6</v>
      </c>
      <c r="I1559" t="str">
        <f t="shared" si="24"/>
        <v>Pending</v>
      </c>
    </row>
    <row r="1560" spans="1:9" x14ac:dyDescent="0.3">
      <c r="A1560">
        <v>1559</v>
      </c>
      <c r="B1560">
        <v>42</v>
      </c>
      <c r="C1560">
        <v>2</v>
      </c>
      <c r="D1560" s="12">
        <v>43210</v>
      </c>
      <c r="E1560" s="12">
        <v>43210</v>
      </c>
      <c r="F1560" s="12" t="s">
        <v>5611</v>
      </c>
      <c r="G1560">
        <v>2</v>
      </c>
      <c r="H1560">
        <v>6</v>
      </c>
      <c r="I1560" t="str">
        <f t="shared" si="24"/>
        <v>Pending</v>
      </c>
    </row>
    <row r="1561" spans="1:9" x14ac:dyDescent="0.3">
      <c r="A1561">
        <v>1560</v>
      </c>
      <c r="B1561">
        <v>57</v>
      </c>
      <c r="C1561">
        <v>1</v>
      </c>
      <c r="D1561" s="12">
        <v>43210</v>
      </c>
      <c r="E1561" s="12">
        <v>43210</v>
      </c>
      <c r="F1561" s="12" t="s">
        <v>5611</v>
      </c>
      <c r="G1561">
        <v>2</v>
      </c>
      <c r="H1561">
        <v>7</v>
      </c>
      <c r="I1561" t="str">
        <f t="shared" si="24"/>
        <v>Pending</v>
      </c>
    </row>
    <row r="1562" spans="1:9" x14ac:dyDescent="0.3">
      <c r="A1562">
        <v>1561</v>
      </c>
      <c r="B1562">
        <v>65</v>
      </c>
      <c r="C1562">
        <v>2</v>
      </c>
      <c r="D1562" s="12">
        <v>43210</v>
      </c>
      <c r="E1562" s="12">
        <v>43210</v>
      </c>
      <c r="F1562" s="12" t="s">
        <v>5611</v>
      </c>
      <c r="G1562">
        <v>2</v>
      </c>
      <c r="H1562">
        <v>7</v>
      </c>
      <c r="I1562" t="str">
        <f t="shared" si="24"/>
        <v>Pending</v>
      </c>
    </row>
    <row r="1563" spans="1:9" x14ac:dyDescent="0.3">
      <c r="A1563">
        <v>1562</v>
      </c>
      <c r="B1563">
        <v>88</v>
      </c>
      <c r="C1563">
        <v>1</v>
      </c>
      <c r="D1563" s="12">
        <v>43210</v>
      </c>
      <c r="E1563" s="12">
        <v>43210</v>
      </c>
      <c r="F1563" s="12" t="s">
        <v>5611</v>
      </c>
      <c r="G1563">
        <v>2</v>
      </c>
      <c r="H1563">
        <v>7</v>
      </c>
      <c r="I1563" t="str">
        <f t="shared" si="24"/>
        <v>Pending</v>
      </c>
    </row>
    <row r="1564" spans="1:9" x14ac:dyDescent="0.3">
      <c r="A1564">
        <v>1563</v>
      </c>
      <c r="B1564">
        <v>77</v>
      </c>
      <c r="C1564">
        <v>2</v>
      </c>
      <c r="D1564" s="12">
        <v>43210</v>
      </c>
      <c r="E1564" s="12">
        <v>43210</v>
      </c>
      <c r="F1564" s="12" t="s">
        <v>5611</v>
      </c>
      <c r="G1564">
        <v>3</v>
      </c>
      <c r="H1564">
        <v>9</v>
      </c>
      <c r="I1564" t="str">
        <f t="shared" si="24"/>
        <v>Pending</v>
      </c>
    </row>
    <row r="1565" spans="1:9" x14ac:dyDescent="0.3">
      <c r="A1565">
        <v>1564</v>
      </c>
      <c r="B1565">
        <v>46</v>
      </c>
      <c r="C1565">
        <v>1</v>
      </c>
      <c r="D1565" s="12">
        <v>43211</v>
      </c>
      <c r="E1565" s="12">
        <v>43211</v>
      </c>
      <c r="F1565" s="12" t="s">
        <v>5611</v>
      </c>
      <c r="G1565">
        <v>1</v>
      </c>
      <c r="H1565">
        <v>3</v>
      </c>
      <c r="I1565" t="str">
        <f t="shared" si="24"/>
        <v>Pending</v>
      </c>
    </row>
    <row r="1566" spans="1:9" x14ac:dyDescent="0.3">
      <c r="A1566">
        <v>1565</v>
      </c>
      <c r="B1566">
        <v>60</v>
      </c>
      <c r="C1566">
        <v>2</v>
      </c>
      <c r="D1566" s="12">
        <v>43211</v>
      </c>
      <c r="E1566" s="12">
        <v>43211</v>
      </c>
      <c r="F1566" s="12" t="s">
        <v>5611</v>
      </c>
      <c r="G1566">
        <v>1</v>
      </c>
      <c r="H1566">
        <v>2</v>
      </c>
      <c r="I1566" t="str">
        <f t="shared" si="24"/>
        <v>Pending</v>
      </c>
    </row>
    <row r="1567" spans="1:9" x14ac:dyDescent="0.3">
      <c r="A1567">
        <v>1566</v>
      </c>
      <c r="B1567">
        <v>72</v>
      </c>
      <c r="C1567">
        <v>1</v>
      </c>
      <c r="D1567" s="12">
        <v>43211</v>
      </c>
      <c r="E1567" s="12">
        <v>43211</v>
      </c>
      <c r="F1567" s="12" t="s">
        <v>5611</v>
      </c>
      <c r="G1567">
        <v>1</v>
      </c>
      <c r="H1567">
        <v>3</v>
      </c>
      <c r="I1567" t="str">
        <f t="shared" si="24"/>
        <v>Pending</v>
      </c>
    </row>
    <row r="1568" spans="1:9" x14ac:dyDescent="0.3">
      <c r="A1568">
        <v>1567</v>
      </c>
      <c r="B1568">
        <v>89</v>
      </c>
      <c r="C1568">
        <v>2</v>
      </c>
      <c r="D1568" s="12">
        <v>43211</v>
      </c>
      <c r="E1568" s="12">
        <v>43211</v>
      </c>
      <c r="F1568" s="12" t="s">
        <v>5611</v>
      </c>
      <c r="G1568">
        <v>1</v>
      </c>
      <c r="H1568">
        <v>2</v>
      </c>
      <c r="I1568" t="str">
        <f t="shared" si="24"/>
        <v>Pending</v>
      </c>
    </row>
    <row r="1569" spans="1:9" x14ac:dyDescent="0.3">
      <c r="A1569">
        <v>1568</v>
      </c>
      <c r="B1569">
        <v>192</v>
      </c>
      <c r="C1569">
        <v>2</v>
      </c>
      <c r="D1569" s="12">
        <v>43211</v>
      </c>
      <c r="E1569" s="12">
        <v>43211</v>
      </c>
      <c r="F1569" s="12" t="s">
        <v>5611</v>
      </c>
      <c r="G1569">
        <v>1</v>
      </c>
      <c r="H1569">
        <v>3</v>
      </c>
      <c r="I1569" t="str">
        <f t="shared" si="24"/>
        <v>Pending</v>
      </c>
    </row>
    <row r="1570" spans="1:9" x14ac:dyDescent="0.3">
      <c r="A1570">
        <v>1569</v>
      </c>
      <c r="B1570">
        <v>29</v>
      </c>
      <c r="C1570">
        <v>2</v>
      </c>
      <c r="D1570" s="12">
        <v>43212</v>
      </c>
      <c r="E1570" s="12">
        <v>43212</v>
      </c>
      <c r="F1570" s="12" t="s">
        <v>5611</v>
      </c>
      <c r="G1570">
        <v>2</v>
      </c>
      <c r="H1570">
        <v>7</v>
      </c>
      <c r="I1570" t="str">
        <f t="shared" si="24"/>
        <v>Pending</v>
      </c>
    </row>
    <row r="1571" spans="1:9" x14ac:dyDescent="0.3">
      <c r="A1571">
        <v>1570</v>
      </c>
      <c r="B1571">
        <v>54</v>
      </c>
      <c r="C1571">
        <v>2</v>
      </c>
      <c r="D1571" s="12">
        <v>43212</v>
      </c>
      <c r="E1571" s="12">
        <v>43212</v>
      </c>
      <c r="F1571" s="12" t="s">
        <v>5611</v>
      </c>
      <c r="G1571">
        <v>2</v>
      </c>
      <c r="H1571">
        <v>7</v>
      </c>
      <c r="I1571" t="str">
        <f t="shared" si="24"/>
        <v>Pending</v>
      </c>
    </row>
    <row r="1572" spans="1:9" x14ac:dyDescent="0.3">
      <c r="A1572">
        <v>1571</v>
      </c>
      <c r="B1572">
        <v>80</v>
      </c>
      <c r="C1572">
        <v>1</v>
      </c>
      <c r="D1572" s="12">
        <v>43212</v>
      </c>
      <c r="E1572" s="12">
        <v>43212</v>
      </c>
      <c r="F1572" s="12" t="s">
        <v>5611</v>
      </c>
      <c r="G1572">
        <v>2</v>
      </c>
      <c r="H1572">
        <v>7</v>
      </c>
      <c r="I1572" t="str">
        <f t="shared" si="24"/>
        <v>Pending</v>
      </c>
    </row>
    <row r="1573" spans="1:9" x14ac:dyDescent="0.3">
      <c r="A1573">
        <v>1572</v>
      </c>
      <c r="B1573">
        <v>14</v>
      </c>
      <c r="C1573">
        <v>1</v>
      </c>
      <c r="D1573" s="12">
        <v>43212</v>
      </c>
      <c r="E1573" s="12">
        <v>43212</v>
      </c>
      <c r="F1573" s="12" t="s">
        <v>5611</v>
      </c>
      <c r="G1573">
        <v>3</v>
      </c>
      <c r="H1573">
        <v>9</v>
      </c>
      <c r="I1573" t="str">
        <f t="shared" si="24"/>
        <v>Pending</v>
      </c>
    </row>
    <row r="1574" spans="1:9" x14ac:dyDescent="0.3">
      <c r="A1574">
        <v>1573</v>
      </c>
      <c r="B1574">
        <v>24</v>
      </c>
      <c r="C1574">
        <v>2</v>
      </c>
      <c r="D1574" s="12">
        <v>43213</v>
      </c>
      <c r="E1574" s="12">
        <v>43213</v>
      </c>
      <c r="F1574" s="12" t="s">
        <v>5611</v>
      </c>
      <c r="G1574">
        <v>1</v>
      </c>
      <c r="H1574">
        <v>2</v>
      </c>
      <c r="I1574" t="str">
        <f t="shared" si="24"/>
        <v>Pending</v>
      </c>
    </row>
    <row r="1575" spans="1:9" x14ac:dyDescent="0.3">
      <c r="A1575">
        <v>1574</v>
      </c>
      <c r="B1575">
        <v>124</v>
      </c>
      <c r="C1575">
        <v>1</v>
      </c>
      <c r="D1575" s="12">
        <v>43213</v>
      </c>
      <c r="E1575" s="12">
        <v>43213</v>
      </c>
      <c r="F1575" s="12" t="s">
        <v>5611</v>
      </c>
      <c r="G1575">
        <v>1</v>
      </c>
      <c r="H1575">
        <v>2</v>
      </c>
      <c r="I1575" t="str">
        <f t="shared" si="24"/>
        <v>Pending</v>
      </c>
    </row>
    <row r="1576" spans="1:9" x14ac:dyDescent="0.3">
      <c r="A1576">
        <v>1575</v>
      </c>
      <c r="B1576">
        <v>224</v>
      </c>
      <c r="C1576">
        <v>2</v>
      </c>
      <c r="D1576" s="12">
        <v>43213</v>
      </c>
      <c r="E1576" s="12">
        <v>43213</v>
      </c>
      <c r="F1576" s="12" t="s">
        <v>5611</v>
      </c>
      <c r="G1576">
        <v>1</v>
      </c>
      <c r="H1576">
        <v>3</v>
      </c>
      <c r="I1576" t="str">
        <f t="shared" si="24"/>
        <v>Pending</v>
      </c>
    </row>
    <row r="1577" spans="1:9" x14ac:dyDescent="0.3">
      <c r="A1577">
        <v>1576</v>
      </c>
      <c r="B1577">
        <v>12</v>
      </c>
      <c r="C1577">
        <v>2</v>
      </c>
      <c r="D1577" s="12">
        <v>43213</v>
      </c>
      <c r="E1577" s="12">
        <v>43213</v>
      </c>
      <c r="F1577" s="12" t="s">
        <v>5611</v>
      </c>
      <c r="G1577">
        <v>2</v>
      </c>
      <c r="H1577">
        <v>7</v>
      </c>
      <c r="I1577" t="str">
        <f t="shared" si="24"/>
        <v>Pending</v>
      </c>
    </row>
    <row r="1578" spans="1:9" x14ac:dyDescent="0.3">
      <c r="A1578">
        <v>1577</v>
      </c>
      <c r="B1578">
        <v>48</v>
      </c>
      <c r="C1578">
        <v>1</v>
      </c>
      <c r="D1578" s="12">
        <v>43213</v>
      </c>
      <c r="E1578" s="12">
        <v>43213</v>
      </c>
      <c r="F1578" s="12" t="s">
        <v>5611</v>
      </c>
      <c r="G1578">
        <v>2</v>
      </c>
      <c r="H1578">
        <v>7</v>
      </c>
      <c r="I1578" t="str">
        <f t="shared" si="24"/>
        <v>Pending</v>
      </c>
    </row>
    <row r="1579" spans="1:9" x14ac:dyDescent="0.3">
      <c r="A1579">
        <v>1578</v>
      </c>
      <c r="B1579">
        <v>93</v>
      </c>
      <c r="C1579">
        <v>2</v>
      </c>
      <c r="D1579" s="12">
        <v>43213</v>
      </c>
      <c r="E1579" s="12">
        <v>43213</v>
      </c>
      <c r="F1579" s="12" t="s">
        <v>5611</v>
      </c>
      <c r="G1579">
        <v>2</v>
      </c>
      <c r="H1579">
        <v>7</v>
      </c>
      <c r="I1579" t="str">
        <f t="shared" si="24"/>
        <v>Pending</v>
      </c>
    </row>
    <row r="1580" spans="1:9" x14ac:dyDescent="0.3">
      <c r="A1580">
        <v>1579</v>
      </c>
      <c r="B1580">
        <v>104</v>
      </c>
      <c r="C1580">
        <v>2</v>
      </c>
      <c r="D1580" s="12">
        <v>43214</v>
      </c>
      <c r="E1580" s="12">
        <v>43214</v>
      </c>
      <c r="F1580" s="12" t="s">
        <v>5611</v>
      </c>
      <c r="G1580">
        <v>1</v>
      </c>
      <c r="H1580">
        <v>2</v>
      </c>
      <c r="I1580" t="str">
        <f t="shared" si="24"/>
        <v>Pending</v>
      </c>
    </row>
    <row r="1581" spans="1:9" x14ac:dyDescent="0.3">
      <c r="A1581">
        <v>1580</v>
      </c>
      <c r="B1581">
        <v>191</v>
      </c>
      <c r="C1581">
        <v>2</v>
      </c>
      <c r="D1581" s="12">
        <v>43214</v>
      </c>
      <c r="E1581" s="12">
        <v>43214</v>
      </c>
      <c r="F1581" s="12" t="s">
        <v>5611</v>
      </c>
      <c r="G1581">
        <v>1</v>
      </c>
      <c r="H1581">
        <v>2</v>
      </c>
      <c r="I1581" t="str">
        <f t="shared" si="24"/>
        <v>Pending</v>
      </c>
    </row>
    <row r="1582" spans="1:9" x14ac:dyDescent="0.3">
      <c r="A1582">
        <v>1581</v>
      </c>
      <c r="B1582">
        <v>188</v>
      </c>
      <c r="C1582">
        <v>2</v>
      </c>
      <c r="D1582" s="12">
        <v>43215</v>
      </c>
      <c r="E1582" s="12">
        <v>43215</v>
      </c>
      <c r="F1582" s="12" t="s">
        <v>5611</v>
      </c>
      <c r="G1582">
        <v>1</v>
      </c>
      <c r="H1582">
        <v>2</v>
      </c>
      <c r="I1582" t="str">
        <f t="shared" si="24"/>
        <v>Pending</v>
      </c>
    </row>
    <row r="1583" spans="1:9" x14ac:dyDescent="0.3">
      <c r="A1583">
        <v>1582</v>
      </c>
      <c r="B1583">
        <v>240</v>
      </c>
      <c r="C1583">
        <v>1</v>
      </c>
      <c r="D1583" s="12">
        <v>43215</v>
      </c>
      <c r="E1583" s="12">
        <v>43215</v>
      </c>
      <c r="F1583" s="12" t="s">
        <v>5611</v>
      </c>
      <c r="G1583">
        <v>1</v>
      </c>
      <c r="H1583">
        <v>3</v>
      </c>
      <c r="I1583" t="str">
        <f t="shared" si="24"/>
        <v>Pending</v>
      </c>
    </row>
    <row r="1584" spans="1:9" x14ac:dyDescent="0.3">
      <c r="A1584">
        <v>1583</v>
      </c>
      <c r="B1584">
        <v>44</v>
      </c>
      <c r="C1584">
        <v>1</v>
      </c>
      <c r="D1584" s="12">
        <v>43215</v>
      </c>
      <c r="E1584" s="12">
        <v>43215</v>
      </c>
      <c r="F1584" s="12" t="s">
        <v>5611</v>
      </c>
      <c r="G1584">
        <v>2</v>
      </c>
      <c r="H1584">
        <v>6</v>
      </c>
      <c r="I1584" t="str">
        <f t="shared" si="24"/>
        <v>Pending</v>
      </c>
    </row>
    <row r="1585" spans="1:9" x14ac:dyDescent="0.3">
      <c r="A1585">
        <v>1584</v>
      </c>
      <c r="B1585">
        <v>109</v>
      </c>
      <c r="C1585">
        <v>2</v>
      </c>
      <c r="D1585" s="12">
        <v>43216</v>
      </c>
      <c r="E1585" s="12">
        <v>43216</v>
      </c>
      <c r="F1585" s="12" t="s">
        <v>5611</v>
      </c>
      <c r="G1585">
        <v>1</v>
      </c>
      <c r="H1585">
        <v>3</v>
      </c>
      <c r="I1585" t="str">
        <f t="shared" si="24"/>
        <v>Pending</v>
      </c>
    </row>
    <row r="1586" spans="1:9" x14ac:dyDescent="0.3">
      <c r="A1586">
        <v>1585</v>
      </c>
      <c r="B1586">
        <v>157</v>
      </c>
      <c r="C1586">
        <v>1</v>
      </c>
      <c r="D1586" s="12">
        <v>43216</v>
      </c>
      <c r="E1586" s="12">
        <v>43216</v>
      </c>
      <c r="F1586" s="12" t="s">
        <v>5611</v>
      </c>
      <c r="G1586">
        <v>1</v>
      </c>
      <c r="H1586">
        <v>3</v>
      </c>
      <c r="I1586" t="str">
        <f t="shared" si="24"/>
        <v>Pending</v>
      </c>
    </row>
    <row r="1587" spans="1:9" x14ac:dyDescent="0.3">
      <c r="A1587">
        <v>1586</v>
      </c>
      <c r="B1587">
        <v>176</v>
      </c>
      <c r="C1587">
        <v>1</v>
      </c>
      <c r="D1587" s="12">
        <v>43216</v>
      </c>
      <c r="E1587" s="12">
        <v>43216</v>
      </c>
      <c r="F1587" s="12" t="s">
        <v>5611</v>
      </c>
      <c r="G1587">
        <v>1</v>
      </c>
      <c r="H1587">
        <v>2</v>
      </c>
      <c r="I1587" t="str">
        <f t="shared" si="24"/>
        <v>Pending</v>
      </c>
    </row>
    <row r="1588" spans="1:9" x14ac:dyDescent="0.3">
      <c r="A1588">
        <v>1587</v>
      </c>
      <c r="B1588">
        <v>231</v>
      </c>
      <c r="C1588">
        <v>2</v>
      </c>
      <c r="D1588" s="12">
        <v>43216</v>
      </c>
      <c r="E1588" s="12">
        <v>43216</v>
      </c>
      <c r="F1588" s="12" t="s">
        <v>5611</v>
      </c>
      <c r="G1588">
        <v>1</v>
      </c>
      <c r="H1588">
        <v>2</v>
      </c>
      <c r="I1588" t="str">
        <f t="shared" si="24"/>
        <v>Pending</v>
      </c>
    </row>
    <row r="1589" spans="1:9" x14ac:dyDescent="0.3">
      <c r="A1589">
        <v>1588</v>
      </c>
      <c r="B1589">
        <v>11</v>
      </c>
      <c r="C1589">
        <v>1</v>
      </c>
      <c r="D1589" s="12">
        <v>43216</v>
      </c>
      <c r="E1589" s="12">
        <v>43216</v>
      </c>
      <c r="F1589" s="12" t="s">
        <v>5611</v>
      </c>
      <c r="G1589">
        <v>2</v>
      </c>
      <c r="H1589">
        <v>6</v>
      </c>
      <c r="I1589" t="str">
        <f t="shared" si="24"/>
        <v>Pending</v>
      </c>
    </row>
    <row r="1590" spans="1:9" x14ac:dyDescent="0.3">
      <c r="A1590">
        <v>1589</v>
      </c>
      <c r="B1590">
        <v>40</v>
      </c>
      <c r="C1590">
        <v>2</v>
      </c>
      <c r="D1590" s="12">
        <v>43217</v>
      </c>
      <c r="E1590" s="12">
        <v>43217</v>
      </c>
      <c r="F1590" s="12" t="s">
        <v>5611</v>
      </c>
      <c r="G1590">
        <v>1</v>
      </c>
      <c r="H1590">
        <v>3</v>
      </c>
      <c r="I1590" t="str">
        <f t="shared" si="24"/>
        <v>Pending</v>
      </c>
    </row>
    <row r="1591" spans="1:9" x14ac:dyDescent="0.3">
      <c r="A1591">
        <v>1590</v>
      </c>
      <c r="B1591">
        <v>138</v>
      </c>
      <c r="C1591">
        <v>1</v>
      </c>
      <c r="D1591" s="12">
        <v>43217</v>
      </c>
      <c r="E1591" s="12">
        <v>43217</v>
      </c>
      <c r="F1591" s="12" t="s">
        <v>5611</v>
      </c>
      <c r="G1591">
        <v>1</v>
      </c>
      <c r="H1591">
        <v>3</v>
      </c>
      <c r="I1591" t="str">
        <f t="shared" si="24"/>
        <v>Pending</v>
      </c>
    </row>
    <row r="1592" spans="1:9" x14ac:dyDescent="0.3">
      <c r="A1592">
        <v>1591</v>
      </c>
      <c r="B1592">
        <v>165</v>
      </c>
      <c r="C1592">
        <v>2</v>
      </c>
      <c r="D1592" s="12">
        <v>43217</v>
      </c>
      <c r="E1592" s="12">
        <v>43217</v>
      </c>
      <c r="F1592" s="12" t="s">
        <v>5611</v>
      </c>
      <c r="G1592">
        <v>1</v>
      </c>
      <c r="H1592">
        <v>2</v>
      </c>
      <c r="I1592" t="str">
        <f t="shared" si="24"/>
        <v>Pending</v>
      </c>
    </row>
    <row r="1593" spans="1:9" x14ac:dyDescent="0.3">
      <c r="A1593">
        <v>1592</v>
      </c>
      <c r="B1593">
        <v>6</v>
      </c>
      <c r="C1593">
        <v>2</v>
      </c>
      <c r="D1593" s="12">
        <v>43217</v>
      </c>
      <c r="E1593" s="12">
        <v>43217</v>
      </c>
      <c r="F1593" s="12" t="s">
        <v>5611</v>
      </c>
      <c r="G1593">
        <v>2</v>
      </c>
      <c r="H1593">
        <v>7</v>
      </c>
      <c r="I1593" t="str">
        <f t="shared" si="24"/>
        <v>Pending</v>
      </c>
    </row>
    <row r="1594" spans="1:9" x14ac:dyDescent="0.3">
      <c r="A1594">
        <v>1593</v>
      </c>
      <c r="B1594">
        <v>9</v>
      </c>
      <c r="C1594">
        <v>1</v>
      </c>
      <c r="D1594" s="12">
        <v>43217</v>
      </c>
      <c r="E1594" s="12">
        <v>43217</v>
      </c>
      <c r="F1594" s="12" t="s">
        <v>5611</v>
      </c>
      <c r="G1594">
        <v>2</v>
      </c>
      <c r="H1594">
        <v>6</v>
      </c>
      <c r="I1594" t="str">
        <f t="shared" si="24"/>
        <v>Pending</v>
      </c>
    </row>
    <row r="1595" spans="1:9" x14ac:dyDescent="0.3">
      <c r="A1595">
        <v>1594</v>
      </c>
      <c r="B1595">
        <v>45</v>
      </c>
      <c r="C1595">
        <v>1</v>
      </c>
      <c r="D1595" s="12">
        <v>43218</v>
      </c>
      <c r="E1595" s="12">
        <v>43218</v>
      </c>
      <c r="F1595" s="12" t="s">
        <v>5611</v>
      </c>
      <c r="G1595">
        <v>2</v>
      </c>
      <c r="H1595">
        <v>7</v>
      </c>
      <c r="I1595" t="str">
        <f t="shared" si="24"/>
        <v>Pending</v>
      </c>
    </row>
    <row r="1596" spans="1:9" x14ac:dyDescent="0.3">
      <c r="A1596">
        <v>1595</v>
      </c>
      <c r="B1596">
        <v>71</v>
      </c>
      <c r="C1596">
        <v>2</v>
      </c>
      <c r="D1596" s="12">
        <v>43218</v>
      </c>
      <c r="E1596" s="12">
        <v>43218</v>
      </c>
      <c r="F1596" s="12" t="s">
        <v>5611</v>
      </c>
      <c r="G1596">
        <v>2</v>
      </c>
      <c r="H1596">
        <v>7</v>
      </c>
      <c r="I1596" t="str">
        <f t="shared" si="24"/>
        <v>Pending</v>
      </c>
    </row>
    <row r="1597" spans="1:9" x14ac:dyDescent="0.3">
      <c r="A1597">
        <v>1596</v>
      </c>
      <c r="B1597">
        <v>21</v>
      </c>
      <c r="C1597">
        <v>2</v>
      </c>
      <c r="D1597" s="12">
        <v>43218</v>
      </c>
      <c r="E1597" s="12">
        <v>43218</v>
      </c>
      <c r="F1597" s="12" t="s">
        <v>5611</v>
      </c>
      <c r="G1597">
        <v>3</v>
      </c>
      <c r="H1597">
        <v>8</v>
      </c>
      <c r="I1597" t="str">
        <f t="shared" si="24"/>
        <v>Pending</v>
      </c>
    </row>
    <row r="1598" spans="1:9" x14ac:dyDescent="0.3">
      <c r="A1598">
        <v>1597</v>
      </c>
      <c r="B1598">
        <v>56</v>
      </c>
      <c r="C1598">
        <v>1</v>
      </c>
      <c r="D1598" s="12">
        <v>43218</v>
      </c>
      <c r="E1598" s="12">
        <v>43218</v>
      </c>
      <c r="F1598" s="12" t="s">
        <v>5611</v>
      </c>
      <c r="G1598">
        <v>3</v>
      </c>
      <c r="H1598">
        <v>9</v>
      </c>
      <c r="I1598" t="str">
        <f t="shared" si="24"/>
        <v>Pending</v>
      </c>
    </row>
    <row r="1599" spans="1:9" x14ac:dyDescent="0.3">
      <c r="A1599">
        <v>1598</v>
      </c>
      <c r="B1599">
        <v>239</v>
      </c>
      <c r="C1599">
        <v>2</v>
      </c>
      <c r="D1599" s="12">
        <v>43219</v>
      </c>
      <c r="E1599" s="12">
        <v>43219</v>
      </c>
      <c r="F1599" s="12" t="s">
        <v>5611</v>
      </c>
      <c r="G1599">
        <v>1</v>
      </c>
      <c r="H1599">
        <v>3</v>
      </c>
      <c r="I1599" t="str">
        <f t="shared" si="24"/>
        <v>Pending</v>
      </c>
    </row>
    <row r="1600" spans="1:9" x14ac:dyDescent="0.3">
      <c r="A1600">
        <v>1599</v>
      </c>
      <c r="B1600">
        <v>49</v>
      </c>
      <c r="C1600">
        <v>1</v>
      </c>
      <c r="D1600" s="12">
        <v>43219</v>
      </c>
      <c r="E1600" s="12">
        <v>43219</v>
      </c>
      <c r="F1600" s="12" t="s">
        <v>5611</v>
      </c>
      <c r="G1600">
        <v>2</v>
      </c>
      <c r="H1600">
        <v>7</v>
      </c>
      <c r="I1600" t="str">
        <f t="shared" si="24"/>
        <v>Pending</v>
      </c>
    </row>
    <row r="1601" spans="1:9" x14ac:dyDescent="0.3">
      <c r="A1601">
        <v>1600</v>
      </c>
      <c r="B1601">
        <v>90</v>
      </c>
      <c r="C1601">
        <v>1</v>
      </c>
      <c r="D1601" s="12">
        <v>43219</v>
      </c>
      <c r="E1601" s="12">
        <v>43219</v>
      </c>
      <c r="F1601" s="12" t="s">
        <v>5611</v>
      </c>
      <c r="G1601">
        <v>2</v>
      </c>
      <c r="H1601">
        <v>6</v>
      </c>
      <c r="I1601" t="str">
        <f t="shared" si="24"/>
        <v>Pending</v>
      </c>
    </row>
    <row r="1602" spans="1:9" x14ac:dyDescent="0.3">
      <c r="A1602">
        <v>1601</v>
      </c>
      <c r="B1602">
        <v>43</v>
      </c>
      <c r="C1602">
        <v>1</v>
      </c>
      <c r="D1602" s="12">
        <v>43219</v>
      </c>
      <c r="E1602" s="12">
        <v>43219</v>
      </c>
      <c r="F1602" s="12" t="s">
        <v>5611</v>
      </c>
      <c r="G1602">
        <v>3</v>
      </c>
      <c r="H1602">
        <v>8</v>
      </c>
      <c r="I1602" t="str">
        <f t="shared" si="24"/>
        <v>Pending</v>
      </c>
    </row>
    <row r="1603" spans="1:9" x14ac:dyDescent="0.3">
      <c r="A1603">
        <v>1602</v>
      </c>
      <c r="B1603">
        <v>55</v>
      </c>
      <c r="C1603">
        <v>1</v>
      </c>
      <c r="D1603" s="12">
        <v>43220</v>
      </c>
      <c r="E1603" s="12">
        <v>43220</v>
      </c>
      <c r="F1603" s="12" t="s">
        <v>5611</v>
      </c>
      <c r="G1603">
        <v>2</v>
      </c>
      <c r="H1603">
        <v>6</v>
      </c>
      <c r="I1603" t="str">
        <f t="shared" ref="I1603:I1616" si="25">IF(F1603="NA","Pending",IF(OR(E1603=F1603,E1603&lt;F1603),"Shipped","Delivered"))</f>
        <v>Pending</v>
      </c>
    </row>
    <row r="1604" spans="1:9" x14ac:dyDescent="0.3">
      <c r="A1604">
        <v>1603</v>
      </c>
      <c r="B1604">
        <v>74</v>
      </c>
      <c r="C1604">
        <v>2</v>
      </c>
      <c r="D1604" s="12">
        <v>43220</v>
      </c>
      <c r="E1604" s="12">
        <v>43220</v>
      </c>
      <c r="F1604" s="12" t="s">
        <v>5611</v>
      </c>
      <c r="G1604">
        <v>2</v>
      </c>
      <c r="H1604">
        <v>6</v>
      </c>
      <c r="I1604" t="str">
        <f t="shared" si="25"/>
        <v>Pending</v>
      </c>
    </row>
    <row r="1605" spans="1:9" x14ac:dyDescent="0.3">
      <c r="A1605">
        <v>1604</v>
      </c>
      <c r="B1605">
        <v>7</v>
      </c>
      <c r="C1605">
        <v>3</v>
      </c>
      <c r="D1605" s="12">
        <v>43268</v>
      </c>
      <c r="E1605" s="12">
        <v>43268</v>
      </c>
      <c r="F1605" s="12" t="s">
        <v>5611</v>
      </c>
      <c r="G1605">
        <v>2</v>
      </c>
      <c r="H1605">
        <v>7</v>
      </c>
      <c r="I1605" t="str">
        <f t="shared" si="25"/>
        <v>Pending</v>
      </c>
    </row>
    <row r="1606" spans="1:9" x14ac:dyDescent="0.3">
      <c r="A1606">
        <v>1605</v>
      </c>
      <c r="B1606">
        <v>123</v>
      </c>
      <c r="C1606">
        <v>3</v>
      </c>
      <c r="D1606" s="12">
        <v>43282</v>
      </c>
      <c r="E1606" s="12">
        <v>43282</v>
      </c>
      <c r="F1606" s="12" t="s">
        <v>5611</v>
      </c>
      <c r="G1606">
        <v>3</v>
      </c>
      <c r="H1606">
        <v>8</v>
      </c>
      <c r="I1606" t="str">
        <f t="shared" si="25"/>
        <v>Pending</v>
      </c>
    </row>
    <row r="1607" spans="1:9" x14ac:dyDescent="0.3">
      <c r="A1607">
        <v>1606</v>
      </c>
      <c r="B1607">
        <v>119</v>
      </c>
      <c r="C1607">
        <v>3</v>
      </c>
      <c r="D1607" s="12">
        <v>43291</v>
      </c>
      <c r="E1607" s="12">
        <v>43291</v>
      </c>
      <c r="F1607" s="12" t="s">
        <v>5611</v>
      </c>
      <c r="G1607">
        <v>3</v>
      </c>
      <c r="H1607">
        <v>8</v>
      </c>
      <c r="I1607" t="str">
        <f t="shared" si="25"/>
        <v>Pending</v>
      </c>
    </row>
    <row r="1608" spans="1:9" x14ac:dyDescent="0.3">
      <c r="A1608">
        <v>1607</v>
      </c>
      <c r="B1608">
        <v>33</v>
      </c>
      <c r="C1608">
        <v>3</v>
      </c>
      <c r="D1608" s="12">
        <v>43292</v>
      </c>
      <c r="E1608" s="12">
        <v>43292</v>
      </c>
      <c r="F1608" s="12" t="s">
        <v>5611</v>
      </c>
      <c r="G1608">
        <v>1</v>
      </c>
      <c r="H1608">
        <v>2</v>
      </c>
      <c r="I1608" t="str">
        <f t="shared" si="25"/>
        <v>Pending</v>
      </c>
    </row>
    <row r="1609" spans="1:9" x14ac:dyDescent="0.3">
      <c r="A1609">
        <v>1608</v>
      </c>
      <c r="B1609">
        <v>53</v>
      </c>
      <c r="C1609">
        <v>3</v>
      </c>
      <c r="D1609" s="12">
        <v>43293</v>
      </c>
      <c r="E1609" s="12">
        <v>43293</v>
      </c>
      <c r="F1609" s="12" t="s">
        <v>5611</v>
      </c>
      <c r="G1609">
        <v>1</v>
      </c>
      <c r="H1609">
        <v>2</v>
      </c>
      <c r="I1609" t="str">
        <f t="shared" si="25"/>
        <v>Pending</v>
      </c>
    </row>
    <row r="1610" spans="1:9" x14ac:dyDescent="0.3">
      <c r="A1610">
        <v>1609</v>
      </c>
      <c r="B1610">
        <v>10</v>
      </c>
      <c r="C1610">
        <v>3</v>
      </c>
      <c r="D1610" s="12">
        <v>43335</v>
      </c>
      <c r="E1610" s="12">
        <v>43335</v>
      </c>
      <c r="F1610" s="12" t="s">
        <v>5611</v>
      </c>
      <c r="G1610">
        <v>2</v>
      </c>
      <c r="H1610">
        <v>7</v>
      </c>
      <c r="I1610" t="str">
        <f t="shared" si="25"/>
        <v>Pending</v>
      </c>
    </row>
    <row r="1611" spans="1:9" x14ac:dyDescent="0.3">
      <c r="A1611">
        <v>1610</v>
      </c>
      <c r="B1611">
        <v>15</v>
      </c>
      <c r="C1611">
        <v>3</v>
      </c>
      <c r="D1611" s="12">
        <v>43337</v>
      </c>
      <c r="E1611" s="12">
        <v>43337</v>
      </c>
      <c r="F1611" s="12" t="s">
        <v>5611</v>
      </c>
      <c r="G1611">
        <v>2</v>
      </c>
      <c r="H1611">
        <v>7</v>
      </c>
      <c r="I1611" t="str">
        <f t="shared" si="25"/>
        <v>Pending</v>
      </c>
    </row>
    <row r="1612" spans="1:9" x14ac:dyDescent="0.3">
      <c r="A1612">
        <v>1611</v>
      </c>
      <c r="B1612">
        <v>6</v>
      </c>
      <c r="C1612">
        <v>3</v>
      </c>
      <c r="D1612" s="12">
        <v>43349</v>
      </c>
      <c r="E1612" s="12">
        <v>43349</v>
      </c>
      <c r="F1612" s="12" t="s">
        <v>5611</v>
      </c>
      <c r="G1612">
        <v>2</v>
      </c>
      <c r="H1612">
        <v>7</v>
      </c>
      <c r="I1612" t="str">
        <f t="shared" si="25"/>
        <v>Pending</v>
      </c>
    </row>
    <row r="1613" spans="1:9" x14ac:dyDescent="0.3">
      <c r="A1613">
        <v>1612</v>
      </c>
      <c r="B1613">
        <v>3</v>
      </c>
      <c r="C1613">
        <v>3</v>
      </c>
      <c r="D1613" s="12">
        <v>43394</v>
      </c>
      <c r="E1613" s="12">
        <v>43394</v>
      </c>
      <c r="F1613" s="12" t="s">
        <v>5611</v>
      </c>
      <c r="G1613">
        <v>1</v>
      </c>
      <c r="H1613">
        <v>3</v>
      </c>
      <c r="I1613" t="str">
        <f t="shared" si="25"/>
        <v>Pending</v>
      </c>
    </row>
    <row r="1614" spans="1:9" x14ac:dyDescent="0.3">
      <c r="A1614">
        <v>1613</v>
      </c>
      <c r="B1614">
        <v>1</v>
      </c>
      <c r="C1614">
        <v>3</v>
      </c>
      <c r="D1614" s="12">
        <v>43422</v>
      </c>
      <c r="E1614" s="12">
        <v>43422</v>
      </c>
      <c r="F1614" s="12" t="s">
        <v>5611</v>
      </c>
      <c r="G1614">
        <v>2</v>
      </c>
      <c r="H1614">
        <v>6</v>
      </c>
      <c r="I1614" t="str">
        <f t="shared" si="25"/>
        <v>Pending</v>
      </c>
    </row>
    <row r="1615" spans="1:9" x14ac:dyDescent="0.3">
      <c r="A1615">
        <v>1614</v>
      </c>
      <c r="B1615">
        <v>135</v>
      </c>
      <c r="C1615">
        <v>3</v>
      </c>
      <c r="D1615" s="12">
        <v>43432</v>
      </c>
      <c r="E1615" s="12">
        <v>43432</v>
      </c>
      <c r="F1615" s="12" t="s">
        <v>5611</v>
      </c>
      <c r="G1615">
        <v>3</v>
      </c>
      <c r="H1615">
        <v>8</v>
      </c>
      <c r="I1615" t="str">
        <f t="shared" si="25"/>
        <v>Pending</v>
      </c>
    </row>
    <row r="1616" spans="1:9" x14ac:dyDescent="0.3">
      <c r="A1616">
        <v>1615</v>
      </c>
      <c r="B1616">
        <v>136</v>
      </c>
      <c r="C1616">
        <v>3</v>
      </c>
      <c r="D1616" s="12">
        <v>43462</v>
      </c>
      <c r="E1616" s="12">
        <v>43462</v>
      </c>
      <c r="F1616" s="12" t="s">
        <v>5611</v>
      </c>
      <c r="G1616">
        <v>3</v>
      </c>
      <c r="H1616">
        <v>8</v>
      </c>
      <c r="I1616" t="str">
        <f t="shared" si="25"/>
        <v>Pending</v>
      </c>
    </row>
    <row r="1617" spans="4:6" x14ac:dyDescent="0.3">
      <c r="D1617" s="2"/>
      <c r="E1617" s="2"/>
      <c r="F1617" s="2"/>
    </row>
  </sheetData>
  <phoneticPr fontId="6" type="noConversion"/>
  <dataValidations count="1">
    <dataValidation type="list" allowBlank="1" showInputMessage="1" showErrorMessage="1" sqref="I2:I1617" xr:uid="{87074C9D-BB41-4AD8-88CB-5CDD560D257F}">
      <formula1>"Shipped,Delivered,Pending"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5169-471E-4ACB-933E-AA0DE11C42F0}">
  <dimension ref="A3:B11"/>
  <sheetViews>
    <sheetView workbookViewId="0">
      <selection activeCell="G19" sqref="G19"/>
    </sheetView>
  </sheetViews>
  <sheetFormatPr defaultRowHeight="14.4" x14ac:dyDescent="0.3"/>
  <cols>
    <col min="1" max="1" width="16.6640625" bestFit="1" customWidth="1"/>
    <col min="2" max="2" width="16.5546875" bestFit="1" customWidth="1"/>
    <col min="3" max="3" width="14.6640625" bestFit="1" customWidth="1"/>
  </cols>
  <sheetData>
    <row r="3" spans="1:2" x14ac:dyDescent="0.3">
      <c r="A3" s="6" t="s">
        <v>5613</v>
      </c>
      <c r="B3" t="s">
        <v>5615</v>
      </c>
    </row>
    <row r="4" spans="1:2" x14ac:dyDescent="0.3">
      <c r="A4" s="7" t="s">
        <v>13</v>
      </c>
      <c r="B4">
        <v>292189.19820000121</v>
      </c>
    </row>
    <row r="5" spans="1:2" x14ac:dyDescent="0.3">
      <c r="A5" s="7" t="s">
        <v>14</v>
      </c>
      <c r="B5">
        <v>394020.09810000093</v>
      </c>
    </row>
    <row r="6" spans="1:2" x14ac:dyDescent="0.3">
      <c r="A6" s="7" t="s">
        <v>15</v>
      </c>
      <c r="B6">
        <v>995032.62370000151</v>
      </c>
    </row>
    <row r="7" spans="1:2" x14ac:dyDescent="0.3">
      <c r="A7" s="7" t="s">
        <v>16</v>
      </c>
      <c r="B7">
        <v>711011.8359000003</v>
      </c>
    </row>
    <row r="8" spans="1:2" x14ac:dyDescent="0.3">
      <c r="A8" s="7" t="s">
        <v>17</v>
      </c>
      <c r="B8">
        <v>916684.78000000073</v>
      </c>
    </row>
    <row r="9" spans="1:2" x14ac:dyDescent="0.3">
      <c r="A9" s="7" t="s">
        <v>18</v>
      </c>
      <c r="B9">
        <v>2715079.5336999968</v>
      </c>
    </row>
    <row r="10" spans="1:2" x14ac:dyDescent="0.3">
      <c r="A10" s="7" t="s">
        <v>19</v>
      </c>
      <c r="B10">
        <v>1665098.487999998</v>
      </c>
    </row>
    <row r="11" spans="1:2" x14ac:dyDescent="0.3">
      <c r="A11" s="7" t="s">
        <v>5614</v>
      </c>
      <c r="B11">
        <v>7689116.557599999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723"/>
  <sheetViews>
    <sheetView workbookViewId="0"/>
  </sheetViews>
  <sheetFormatPr defaultRowHeight="14.4" x14ac:dyDescent="0.3"/>
  <cols>
    <col min="1" max="1" width="12.5546875" bestFit="1" customWidth="1"/>
    <col min="2" max="2" width="11.77734375" bestFit="1" customWidth="1"/>
    <col min="3" max="3" width="14.6640625" bestFit="1" customWidth="1"/>
    <col min="4" max="4" width="47.33203125" bestFit="1" customWidth="1"/>
    <col min="5" max="5" width="14.5546875" customWidth="1"/>
    <col min="6" max="6" width="18.6640625" bestFit="1" customWidth="1"/>
    <col min="7" max="7" width="12.5546875" bestFit="1" customWidth="1"/>
    <col min="8" max="8" width="12.88671875" bestFit="1" customWidth="1"/>
    <col min="9" max="9" width="12.6640625" style="5" bestFit="1" customWidth="1"/>
    <col min="10" max="10" width="14.44140625" bestFit="1" customWidth="1"/>
    <col min="11" max="11" width="12.6640625" bestFit="1" customWidth="1"/>
    <col min="12" max="12" width="17.33203125" bestFit="1" customWidth="1"/>
    <col min="14" max="14" width="16.33203125" bestFit="1" customWidth="1"/>
  </cols>
  <sheetData>
    <row r="1" spans="1:13" x14ac:dyDescent="0.3">
      <c r="A1" s="1" t="s">
        <v>5259</v>
      </c>
      <c r="B1" s="1" t="s">
        <v>5266</v>
      </c>
      <c r="C1" s="1" t="s">
        <v>5267</v>
      </c>
      <c r="D1" s="3" t="s">
        <v>5271</v>
      </c>
      <c r="E1" s="1" t="s">
        <v>11</v>
      </c>
      <c r="F1" s="1" t="s">
        <v>12</v>
      </c>
      <c r="G1" s="1" t="s">
        <v>5268</v>
      </c>
      <c r="H1" s="1" t="s">
        <v>5269</v>
      </c>
      <c r="I1" s="4" t="s">
        <v>5270</v>
      </c>
      <c r="J1" s="3" t="s">
        <v>5612</v>
      </c>
      <c r="K1" s="3" t="s">
        <v>5619</v>
      </c>
    </row>
    <row r="2" spans="1:13" x14ac:dyDescent="0.3">
      <c r="A2">
        <v>1</v>
      </c>
      <c r="B2">
        <v>1</v>
      </c>
      <c r="C2">
        <v>20</v>
      </c>
      <c r="D2" t="str">
        <f>VLOOKUP($C2,products!$A$1:$F$322,MATCH(order_items!$D$1,products!$A$1:$F$1,0),FALSE)</f>
        <v>Electra Townie Original 7D EQ - Women's - 2016</v>
      </c>
      <c r="E2">
        <f>VLOOKUP($C2,products!$A$1:$F$322,MATCH(order_items!$E$1,products!$A$1:$F$1,0),FALSE)</f>
        <v>3</v>
      </c>
      <c r="F2" t="str">
        <f>VLOOKUP($E2,categories!$A$1:$B$8,MATCH(order_items!$F$1,categories!$A$1:$B$1,0),FALSE)</f>
        <v>Cruisers Bicycles</v>
      </c>
      <c r="G2">
        <v>1</v>
      </c>
      <c r="H2">
        <v>599.99</v>
      </c>
      <c r="I2" s="5">
        <v>0.2</v>
      </c>
      <c r="J2">
        <f t="shared" ref="J2:J65" si="0">G2*H2*(1-I2)</f>
        <v>479.99200000000002</v>
      </c>
      <c r="K2" s="9">
        <f t="shared" ref="K2:K65" si="1">($H2-$M$7)/$M$9</f>
        <v>-0.45297423894164529</v>
      </c>
    </row>
    <row r="3" spans="1:13" x14ac:dyDescent="0.3">
      <c r="A3">
        <v>1</v>
      </c>
      <c r="B3">
        <v>2</v>
      </c>
      <c r="C3">
        <v>8</v>
      </c>
      <c r="D3" t="str">
        <f>VLOOKUP($C3,products!$A$1:$F$322,MATCH(order_items!$D$1,products!$A$1:$F$1,0),FALSE)</f>
        <v>Trek Remedy 29 Carbon Frameset - 2016</v>
      </c>
      <c r="E3">
        <f>VLOOKUP($C3,products!$A$1:$F$322,MATCH(order_items!$E$1,products!$A$1:$F$1,0),FALSE)</f>
        <v>6</v>
      </c>
      <c r="F3" t="str">
        <f>VLOOKUP($E3,categories!$A$1:$B$8,MATCH(order_items!$F$1,categories!$A$1:$B$1,0),FALSE)</f>
        <v>Mountain Bikes</v>
      </c>
      <c r="G3">
        <v>2</v>
      </c>
      <c r="H3">
        <v>1799.99</v>
      </c>
      <c r="I3" s="5">
        <v>7.0000000000000007E-2</v>
      </c>
      <c r="J3">
        <f t="shared" si="0"/>
        <v>3347.9813999999997</v>
      </c>
      <c r="K3" s="9">
        <f t="shared" si="1"/>
        <v>0.43416992947174166</v>
      </c>
    </row>
    <row r="4" spans="1:13" x14ac:dyDescent="0.3">
      <c r="A4">
        <v>1</v>
      </c>
      <c r="B4">
        <v>3</v>
      </c>
      <c r="C4">
        <v>10</v>
      </c>
      <c r="D4" t="str">
        <f>VLOOKUP($C4,products!$A$1:$F$322,MATCH(order_items!$D$1,products!$A$1:$F$1,0),FALSE)</f>
        <v>Surly Straggler - 2016</v>
      </c>
      <c r="E4">
        <f>VLOOKUP($C4,products!$A$1:$F$322,MATCH(order_items!$E$1,products!$A$1:$F$1,0),FALSE)</f>
        <v>4</v>
      </c>
      <c r="F4" t="str">
        <f>VLOOKUP($E4,categories!$A$1:$B$8,MATCH(order_items!$F$1,categories!$A$1:$B$1,0),FALSE)</f>
        <v>Cyclocross Bicycles</v>
      </c>
      <c r="G4">
        <v>2</v>
      </c>
      <c r="H4">
        <v>1549</v>
      </c>
      <c r="I4" s="5">
        <v>0.05</v>
      </c>
      <c r="J4">
        <f t="shared" si="0"/>
        <v>2943.1</v>
      </c>
      <c r="K4" s="9">
        <f t="shared" si="1"/>
        <v>0.24861633378001166</v>
      </c>
    </row>
    <row r="5" spans="1:13" x14ac:dyDescent="0.3">
      <c r="A5">
        <v>1</v>
      </c>
      <c r="B5">
        <v>4</v>
      </c>
      <c r="C5">
        <v>16</v>
      </c>
      <c r="D5" t="str">
        <f>VLOOKUP($C5,products!$A$1:$F$322,MATCH(order_items!$D$1,products!$A$1:$F$1,0),FALSE)</f>
        <v>Electra Townie Original 7D EQ - 2016</v>
      </c>
      <c r="E5">
        <f>VLOOKUP($C5,products!$A$1:$F$322,MATCH(order_items!$E$1,products!$A$1:$F$1,0),FALSE)</f>
        <v>3</v>
      </c>
      <c r="F5" t="str">
        <f>VLOOKUP($E5,categories!$A$1:$B$8,MATCH(order_items!$F$1,categories!$A$1:$B$1,0),FALSE)</f>
        <v>Cruisers Bicycles</v>
      </c>
      <c r="G5">
        <v>2</v>
      </c>
      <c r="H5">
        <v>599.99</v>
      </c>
      <c r="I5" s="5">
        <v>0.05</v>
      </c>
      <c r="J5">
        <f t="shared" si="0"/>
        <v>1139.981</v>
      </c>
      <c r="K5" s="9">
        <f t="shared" si="1"/>
        <v>-0.45297423894164529</v>
      </c>
      <c r="L5" s="8" t="s">
        <v>5616</v>
      </c>
    </row>
    <row r="6" spans="1:13" x14ac:dyDescent="0.3">
      <c r="A6">
        <v>1</v>
      </c>
      <c r="B6">
        <v>5</v>
      </c>
      <c r="C6">
        <v>4</v>
      </c>
      <c r="D6" t="str">
        <f>VLOOKUP($C6,products!$A$1:$F$322,MATCH(order_items!$D$1,products!$A$1:$F$1,0),FALSE)</f>
        <v>Trek Fuel EX 8 29 - 2016</v>
      </c>
      <c r="E6">
        <f>VLOOKUP($C6,products!$A$1:$F$322,MATCH(order_items!$E$1,products!$A$1:$F$1,0),FALSE)</f>
        <v>6</v>
      </c>
      <c r="F6" t="str">
        <f>VLOOKUP($E6,categories!$A$1:$B$8,MATCH(order_items!$F$1,categories!$A$1:$B$1,0),FALSE)</f>
        <v>Mountain Bikes</v>
      </c>
      <c r="G6">
        <v>1</v>
      </c>
      <c r="H6">
        <v>2899.99</v>
      </c>
      <c r="I6" s="5">
        <v>0.2</v>
      </c>
      <c r="J6">
        <f t="shared" si="0"/>
        <v>2319.9919999999997</v>
      </c>
      <c r="K6" s="9">
        <f t="shared" si="1"/>
        <v>1.2473854171840129</v>
      </c>
    </row>
    <row r="7" spans="1:13" x14ac:dyDescent="0.3">
      <c r="A7">
        <v>2</v>
      </c>
      <c r="B7">
        <v>1</v>
      </c>
      <c r="C7">
        <v>20</v>
      </c>
      <c r="D7" t="str">
        <f>VLOOKUP($C7,products!$A$1:$F$322,MATCH(order_items!$D$1,products!$A$1:$F$1,0),FALSE)</f>
        <v>Electra Townie Original 7D EQ - Women's - 2016</v>
      </c>
      <c r="E7">
        <f>VLOOKUP($C7,products!$A$1:$F$322,MATCH(order_items!$E$1,products!$A$1:$F$1,0),FALSE)</f>
        <v>3</v>
      </c>
      <c r="F7" t="str">
        <f>VLOOKUP($E7,categories!$A$1:$B$8,MATCH(order_items!$F$1,categories!$A$1:$B$1,0),FALSE)</f>
        <v>Cruisers Bicycles</v>
      </c>
      <c r="G7">
        <v>1</v>
      </c>
      <c r="H7">
        <v>599.99</v>
      </c>
      <c r="I7" s="5">
        <v>7.0000000000000007E-2</v>
      </c>
      <c r="J7">
        <f t="shared" si="0"/>
        <v>557.99069999999995</v>
      </c>
      <c r="K7" s="9">
        <f t="shared" si="1"/>
        <v>-0.45297423894164529</v>
      </c>
      <c r="L7" s="8" t="s">
        <v>5617</v>
      </c>
      <c r="M7">
        <f>AVERAGE(H:H)</f>
        <v>1212.7078716646704</v>
      </c>
    </row>
    <row r="8" spans="1:13" x14ac:dyDescent="0.3">
      <c r="A8">
        <v>2</v>
      </c>
      <c r="B8">
        <v>2</v>
      </c>
      <c r="C8">
        <v>16</v>
      </c>
      <c r="D8" t="str">
        <f>VLOOKUP($C8,products!$A$1:$F$322,MATCH(order_items!$D$1,products!$A$1:$F$1,0),FALSE)</f>
        <v>Electra Townie Original 7D EQ - 2016</v>
      </c>
      <c r="E8">
        <f>VLOOKUP($C8,products!$A$1:$F$322,MATCH(order_items!$E$1,products!$A$1:$F$1,0),FALSE)</f>
        <v>3</v>
      </c>
      <c r="F8" t="str">
        <f>VLOOKUP($E8,categories!$A$1:$B$8,MATCH(order_items!$F$1,categories!$A$1:$B$1,0),FALSE)</f>
        <v>Cruisers Bicycles</v>
      </c>
      <c r="G8">
        <v>2</v>
      </c>
      <c r="H8">
        <v>599.99</v>
      </c>
      <c r="I8" s="5">
        <v>0.05</v>
      </c>
      <c r="J8">
        <f t="shared" si="0"/>
        <v>1139.981</v>
      </c>
      <c r="K8" s="9">
        <f t="shared" si="1"/>
        <v>-0.45297423894164529</v>
      </c>
    </row>
    <row r="9" spans="1:13" x14ac:dyDescent="0.3">
      <c r="A9">
        <v>3</v>
      </c>
      <c r="B9">
        <v>1</v>
      </c>
      <c r="C9">
        <v>3</v>
      </c>
      <c r="D9" t="str">
        <f>VLOOKUP($C9,products!$A$1:$F$322,MATCH(order_items!$D$1,products!$A$1:$F$1,0),FALSE)</f>
        <v>Surly Wednesday Frameset - 2016</v>
      </c>
      <c r="E9">
        <f>VLOOKUP($C9,products!$A$1:$F$322,MATCH(order_items!$E$1,products!$A$1:$F$1,0),FALSE)</f>
        <v>6</v>
      </c>
      <c r="F9" t="str">
        <f>VLOOKUP($E9,categories!$A$1:$B$8,MATCH(order_items!$F$1,categories!$A$1:$B$1,0),FALSE)</f>
        <v>Mountain Bikes</v>
      </c>
      <c r="G9">
        <v>1</v>
      </c>
      <c r="H9">
        <v>999.99</v>
      </c>
      <c r="I9" s="5">
        <v>0.05</v>
      </c>
      <c r="J9">
        <f t="shared" si="0"/>
        <v>949.9905</v>
      </c>
      <c r="K9" s="9">
        <f t="shared" si="1"/>
        <v>-0.15725951613718298</v>
      </c>
      <c r="L9" s="8" t="s">
        <v>5618</v>
      </c>
      <c r="M9">
        <f>_xlfn.STDEV.P(H:H)</f>
        <v>1352.6550054949244</v>
      </c>
    </row>
    <row r="10" spans="1:13" x14ac:dyDescent="0.3">
      <c r="A10">
        <v>3</v>
      </c>
      <c r="B10">
        <v>2</v>
      </c>
      <c r="C10">
        <v>20</v>
      </c>
      <c r="D10" t="str">
        <f>VLOOKUP($C10,products!$A$1:$F$322,MATCH(order_items!$D$1,products!$A$1:$F$1,0),FALSE)</f>
        <v>Electra Townie Original 7D EQ - Women's - 2016</v>
      </c>
      <c r="E10">
        <f>VLOOKUP($C10,products!$A$1:$F$322,MATCH(order_items!$E$1,products!$A$1:$F$1,0),FALSE)</f>
        <v>3</v>
      </c>
      <c r="F10" t="str">
        <f>VLOOKUP($E10,categories!$A$1:$B$8,MATCH(order_items!$F$1,categories!$A$1:$B$1,0),FALSE)</f>
        <v>Cruisers Bicycles</v>
      </c>
      <c r="G10">
        <v>1</v>
      </c>
      <c r="H10">
        <v>599.99</v>
      </c>
      <c r="I10" s="5">
        <v>0.05</v>
      </c>
      <c r="J10">
        <f t="shared" si="0"/>
        <v>569.9905</v>
      </c>
      <c r="K10" s="9">
        <f t="shared" si="1"/>
        <v>-0.45297423894164529</v>
      </c>
    </row>
    <row r="11" spans="1:13" x14ac:dyDescent="0.3">
      <c r="A11">
        <v>4</v>
      </c>
      <c r="B11">
        <v>1</v>
      </c>
      <c r="C11">
        <v>2</v>
      </c>
      <c r="D11" t="str">
        <f>VLOOKUP($C11,products!$A$1:$F$322,MATCH(order_items!$D$1,products!$A$1:$F$1,0),FALSE)</f>
        <v>Ritchey Timberwolf Frameset - 2016</v>
      </c>
      <c r="E11">
        <f>VLOOKUP($C11,products!$A$1:$F$322,MATCH(order_items!$E$1,products!$A$1:$F$1,0),FALSE)</f>
        <v>6</v>
      </c>
      <c r="F11" t="str">
        <f>VLOOKUP($E11,categories!$A$1:$B$8,MATCH(order_items!$F$1,categories!$A$1:$B$1,0),FALSE)</f>
        <v>Mountain Bikes</v>
      </c>
      <c r="G11">
        <v>2</v>
      </c>
      <c r="H11">
        <v>749.99</v>
      </c>
      <c r="I11" s="5">
        <v>0.1</v>
      </c>
      <c r="J11">
        <f t="shared" si="0"/>
        <v>1349.982</v>
      </c>
      <c r="K11" s="9">
        <f t="shared" si="1"/>
        <v>-0.34208121788997192</v>
      </c>
      <c r="L11" s="8" t="s">
        <v>5620</v>
      </c>
    </row>
    <row r="12" spans="1:13" x14ac:dyDescent="0.3">
      <c r="A12">
        <v>5</v>
      </c>
      <c r="B12">
        <v>1</v>
      </c>
      <c r="C12">
        <v>10</v>
      </c>
      <c r="D12" t="str">
        <f>VLOOKUP($C12,products!$A$1:$F$322,MATCH(order_items!$D$1,products!$A$1:$F$1,0),FALSE)</f>
        <v>Surly Straggler - 2016</v>
      </c>
      <c r="E12">
        <f>VLOOKUP($C12,products!$A$1:$F$322,MATCH(order_items!$E$1,products!$A$1:$F$1,0),FALSE)</f>
        <v>4</v>
      </c>
      <c r="F12" t="str">
        <f>VLOOKUP($E12,categories!$A$1:$B$8,MATCH(order_items!$F$1,categories!$A$1:$B$1,0),FALSE)</f>
        <v>Cyclocross Bicycles</v>
      </c>
      <c r="G12">
        <v>2</v>
      </c>
      <c r="H12">
        <v>1549</v>
      </c>
      <c r="I12" s="5">
        <v>0.05</v>
      </c>
      <c r="J12">
        <f t="shared" si="0"/>
        <v>2943.1</v>
      </c>
      <c r="K12" s="9">
        <f t="shared" si="1"/>
        <v>0.24861633378001166</v>
      </c>
      <c r="L12" s="10"/>
    </row>
    <row r="13" spans="1:13" x14ac:dyDescent="0.3">
      <c r="A13">
        <v>5</v>
      </c>
      <c r="B13">
        <v>2</v>
      </c>
      <c r="C13">
        <v>17</v>
      </c>
      <c r="D13" t="str">
        <f>VLOOKUP($C13,products!$A$1:$F$322,MATCH(order_items!$D$1,products!$A$1:$F$1,0),FALSE)</f>
        <v>Pure Cycles Vine 8-Speed - 2016</v>
      </c>
      <c r="E13">
        <f>VLOOKUP($C13,products!$A$1:$F$322,MATCH(order_items!$E$1,products!$A$1:$F$1,0),FALSE)</f>
        <v>3</v>
      </c>
      <c r="F13" t="str">
        <f>VLOOKUP($E13,categories!$A$1:$B$8,MATCH(order_items!$F$1,categories!$A$1:$B$1,0),FALSE)</f>
        <v>Cruisers Bicycles</v>
      </c>
      <c r="G13">
        <v>1</v>
      </c>
      <c r="H13">
        <v>429</v>
      </c>
      <c r="I13" s="5">
        <v>7.0000000000000007E-2</v>
      </c>
      <c r="J13">
        <f t="shared" si="0"/>
        <v>398.96999999999997</v>
      </c>
      <c r="K13" s="9">
        <f t="shared" si="1"/>
        <v>-0.57938489007248284</v>
      </c>
    </row>
    <row r="14" spans="1:13" x14ac:dyDescent="0.3">
      <c r="A14">
        <v>5</v>
      </c>
      <c r="B14">
        <v>3</v>
      </c>
      <c r="C14">
        <v>26</v>
      </c>
      <c r="D14" t="str">
        <f>VLOOKUP($C14,products!$A$1:$F$322,MATCH(order_items!$D$1,products!$A$1:$F$1,0),FALSE)</f>
        <v>Electra Townie Original 7D EQ - 2016</v>
      </c>
      <c r="E14">
        <f>VLOOKUP($C14,products!$A$1:$F$322,MATCH(order_items!$E$1,products!$A$1:$F$1,0),FALSE)</f>
        <v>2</v>
      </c>
      <c r="F14" t="str">
        <f>VLOOKUP($E14,categories!$A$1:$B$8,MATCH(order_items!$F$1,categories!$A$1:$B$1,0),FALSE)</f>
        <v>Comfort Bicycles</v>
      </c>
      <c r="G14">
        <v>1</v>
      </c>
      <c r="H14">
        <v>599.99</v>
      </c>
      <c r="I14" s="5">
        <v>7.0000000000000007E-2</v>
      </c>
      <c r="J14">
        <f t="shared" si="0"/>
        <v>557.99069999999995</v>
      </c>
      <c r="K14" s="9">
        <f t="shared" si="1"/>
        <v>-0.45297423894164529</v>
      </c>
    </row>
    <row r="15" spans="1:13" x14ac:dyDescent="0.3">
      <c r="A15">
        <v>6</v>
      </c>
      <c r="B15">
        <v>1</v>
      </c>
      <c r="C15">
        <v>18</v>
      </c>
      <c r="D15" t="str">
        <f>VLOOKUP($C15,products!$A$1:$F$322,MATCH(order_items!$D$1,products!$A$1:$F$1,0),FALSE)</f>
        <v>Pure Cycles Western 3-Speed - Women's - 2015/2016</v>
      </c>
      <c r="E15">
        <f>VLOOKUP($C15,products!$A$1:$F$322,MATCH(order_items!$E$1,products!$A$1:$F$1,0),FALSE)</f>
        <v>3</v>
      </c>
      <c r="F15" t="str">
        <f>VLOOKUP($E15,categories!$A$1:$B$8,MATCH(order_items!$F$1,categories!$A$1:$B$1,0),FALSE)</f>
        <v>Cruisers Bicycles</v>
      </c>
      <c r="G15">
        <v>1</v>
      </c>
      <c r="H15">
        <v>449</v>
      </c>
      <c r="I15" s="5">
        <v>7.0000000000000007E-2</v>
      </c>
      <c r="J15">
        <f t="shared" si="0"/>
        <v>417.57</v>
      </c>
      <c r="K15" s="9">
        <f t="shared" si="1"/>
        <v>-0.56459915393225968</v>
      </c>
    </row>
    <row r="16" spans="1:13" x14ac:dyDescent="0.3">
      <c r="A16">
        <v>6</v>
      </c>
      <c r="B16">
        <v>2</v>
      </c>
      <c r="C16">
        <v>12</v>
      </c>
      <c r="D16" t="str">
        <f>VLOOKUP($C16,products!$A$1:$F$322,MATCH(order_items!$D$1,products!$A$1:$F$1,0),FALSE)</f>
        <v>Electra Townie Original 21D - 2016</v>
      </c>
      <c r="E16">
        <f>VLOOKUP($C16,products!$A$1:$F$322,MATCH(order_items!$E$1,products!$A$1:$F$1,0),FALSE)</f>
        <v>3</v>
      </c>
      <c r="F16" t="str">
        <f>VLOOKUP($E16,categories!$A$1:$B$8,MATCH(order_items!$F$1,categories!$A$1:$B$1,0),FALSE)</f>
        <v>Cruisers Bicycles</v>
      </c>
      <c r="G16">
        <v>2</v>
      </c>
      <c r="H16">
        <v>549.99</v>
      </c>
      <c r="I16" s="5">
        <v>0.05</v>
      </c>
      <c r="J16">
        <f t="shared" si="0"/>
        <v>1044.981</v>
      </c>
      <c r="K16" s="9">
        <f t="shared" si="1"/>
        <v>-0.48993857929220308</v>
      </c>
    </row>
    <row r="17" spans="1:11" x14ac:dyDescent="0.3">
      <c r="A17">
        <v>6</v>
      </c>
      <c r="B17">
        <v>3</v>
      </c>
      <c r="C17">
        <v>20</v>
      </c>
      <c r="D17" t="str">
        <f>VLOOKUP($C17,products!$A$1:$F$322,MATCH(order_items!$D$1,products!$A$1:$F$1,0),FALSE)</f>
        <v>Electra Townie Original 7D EQ - Women's - 2016</v>
      </c>
      <c r="E17">
        <f>VLOOKUP($C17,products!$A$1:$F$322,MATCH(order_items!$E$1,products!$A$1:$F$1,0),FALSE)</f>
        <v>3</v>
      </c>
      <c r="F17" t="str">
        <f>VLOOKUP($E17,categories!$A$1:$B$8,MATCH(order_items!$F$1,categories!$A$1:$B$1,0),FALSE)</f>
        <v>Cruisers Bicycles</v>
      </c>
      <c r="G17">
        <v>1</v>
      </c>
      <c r="H17">
        <v>599.99</v>
      </c>
      <c r="I17" s="5">
        <v>0.1</v>
      </c>
      <c r="J17">
        <f t="shared" si="0"/>
        <v>539.99099999999999</v>
      </c>
      <c r="K17" s="9">
        <f t="shared" si="1"/>
        <v>-0.45297423894164529</v>
      </c>
    </row>
    <row r="18" spans="1:11" x14ac:dyDescent="0.3">
      <c r="A18">
        <v>6</v>
      </c>
      <c r="B18">
        <v>4</v>
      </c>
      <c r="C18">
        <v>3</v>
      </c>
      <c r="D18" t="str">
        <f>VLOOKUP($C18,products!$A$1:$F$322,MATCH(order_items!$D$1,products!$A$1:$F$1,0),FALSE)</f>
        <v>Surly Wednesday Frameset - 2016</v>
      </c>
      <c r="E18">
        <f>VLOOKUP($C18,products!$A$1:$F$322,MATCH(order_items!$E$1,products!$A$1:$F$1,0),FALSE)</f>
        <v>6</v>
      </c>
      <c r="F18" t="str">
        <f>VLOOKUP($E18,categories!$A$1:$B$8,MATCH(order_items!$F$1,categories!$A$1:$B$1,0),FALSE)</f>
        <v>Mountain Bikes</v>
      </c>
      <c r="G18">
        <v>2</v>
      </c>
      <c r="H18">
        <v>999.99</v>
      </c>
      <c r="I18" s="5">
        <v>7.0000000000000007E-2</v>
      </c>
      <c r="J18">
        <f t="shared" si="0"/>
        <v>1859.9813999999999</v>
      </c>
      <c r="K18" s="9">
        <f t="shared" si="1"/>
        <v>-0.15725951613718298</v>
      </c>
    </row>
    <row r="19" spans="1:11" x14ac:dyDescent="0.3">
      <c r="A19">
        <v>6</v>
      </c>
      <c r="B19">
        <v>5</v>
      </c>
      <c r="C19">
        <v>9</v>
      </c>
      <c r="D19" t="str">
        <f>VLOOKUP($C19,products!$A$1:$F$322,MATCH(order_items!$D$1,products!$A$1:$F$1,0),FALSE)</f>
        <v>Trek Conduit+ - 2016</v>
      </c>
      <c r="E19">
        <f>VLOOKUP($C19,products!$A$1:$F$322,MATCH(order_items!$E$1,products!$A$1:$F$1,0),FALSE)</f>
        <v>5</v>
      </c>
      <c r="F19" t="str">
        <f>VLOOKUP($E19,categories!$A$1:$B$8,MATCH(order_items!$F$1,categories!$A$1:$B$1,0),FALSE)</f>
        <v>Electric Bikes</v>
      </c>
      <c r="G19">
        <v>2</v>
      </c>
      <c r="H19">
        <v>2999.99</v>
      </c>
      <c r="I19" s="5">
        <v>7.0000000000000007E-2</v>
      </c>
      <c r="J19">
        <f t="shared" si="0"/>
        <v>5579.9813999999997</v>
      </c>
      <c r="K19" s="9">
        <f t="shared" si="1"/>
        <v>1.3213140978851283</v>
      </c>
    </row>
    <row r="20" spans="1:11" x14ac:dyDescent="0.3">
      <c r="A20">
        <v>7</v>
      </c>
      <c r="B20">
        <v>1</v>
      </c>
      <c r="C20">
        <v>15</v>
      </c>
      <c r="D20" t="str">
        <f>VLOOKUP($C20,products!$A$1:$F$322,MATCH(order_items!$D$1,products!$A$1:$F$1,0),FALSE)</f>
        <v>Electra Moto 1 - 2016</v>
      </c>
      <c r="E20">
        <f>VLOOKUP($C20,products!$A$1:$F$322,MATCH(order_items!$E$1,products!$A$1:$F$1,0),FALSE)</f>
        <v>3</v>
      </c>
      <c r="F20" t="str">
        <f>VLOOKUP($E20,categories!$A$1:$B$8,MATCH(order_items!$F$1,categories!$A$1:$B$1,0),FALSE)</f>
        <v>Cruisers Bicycles</v>
      </c>
      <c r="G20">
        <v>1</v>
      </c>
      <c r="H20">
        <v>529.99</v>
      </c>
      <c r="I20" s="5">
        <v>7.0000000000000007E-2</v>
      </c>
      <c r="J20">
        <f t="shared" si="0"/>
        <v>492.89069999999998</v>
      </c>
      <c r="K20" s="9">
        <f t="shared" si="1"/>
        <v>-0.50472431543242624</v>
      </c>
    </row>
    <row r="21" spans="1:11" x14ac:dyDescent="0.3">
      <c r="A21">
        <v>7</v>
      </c>
      <c r="B21">
        <v>2</v>
      </c>
      <c r="C21">
        <v>3</v>
      </c>
      <c r="D21" t="str">
        <f>VLOOKUP($C21,products!$A$1:$F$322,MATCH(order_items!$D$1,products!$A$1:$F$1,0),FALSE)</f>
        <v>Surly Wednesday Frameset - 2016</v>
      </c>
      <c r="E21">
        <f>VLOOKUP($C21,products!$A$1:$F$322,MATCH(order_items!$E$1,products!$A$1:$F$1,0),FALSE)</f>
        <v>6</v>
      </c>
      <c r="F21" t="str">
        <f>VLOOKUP($E21,categories!$A$1:$B$8,MATCH(order_items!$F$1,categories!$A$1:$B$1,0),FALSE)</f>
        <v>Mountain Bikes</v>
      </c>
      <c r="G21">
        <v>1</v>
      </c>
      <c r="H21">
        <v>999.99</v>
      </c>
      <c r="I21" s="5">
        <v>0.1</v>
      </c>
      <c r="J21">
        <f t="shared" si="0"/>
        <v>899.99099999999999</v>
      </c>
      <c r="K21" s="9">
        <f t="shared" si="1"/>
        <v>-0.15725951613718298</v>
      </c>
    </row>
    <row r="22" spans="1:11" x14ac:dyDescent="0.3">
      <c r="A22">
        <v>7</v>
      </c>
      <c r="B22">
        <v>3</v>
      </c>
      <c r="C22">
        <v>17</v>
      </c>
      <c r="D22" t="str">
        <f>VLOOKUP($C22,products!$A$1:$F$322,MATCH(order_items!$D$1,products!$A$1:$F$1,0),FALSE)</f>
        <v>Pure Cycles Vine 8-Speed - 2016</v>
      </c>
      <c r="E22">
        <f>VLOOKUP($C22,products!$A$1:$F$322,MATCH(order_items!$E$1,products!$A$1:$F$1,0),FALSE)</f>
        <v>3</v>
      </c>
      <c r="F22" t="str">
        <f>VLOOKUP($E22,categories!$A$1:$B$8,MATCH(order_items!$F$1,categories!$A$1:$B$1,0),FALSE)</f>
        <v>Cruisers Bicycles</v>
      </c>
      <c r="G22">
        <v>2</v>
      </c>
      <c r="H22">
        <v>429</v>
      </c>
      <c r="I22" s="5">
        <v>0.1</v>
      </c>
      <c r="J22">
        <f t="shared" si="0"/>
        <v>772.2</v>
      </c>
      <c r="K22" s="9">
        <f t="shared" si="1"/>
        <v>-0.57938489007248284</v>
      </c>
    </row>
    <row r="23" spans="1:11" x14ac:dyDescent="0.3">
      <c r="A23">
        <v>8</v>
      </c>
      <c r="B23">
        <v>1</v>
      </c>
      <c r="C23">
        <v>22</v>
      </c>
      <c r="D23" t="str">
        <f>VLOOKUP($C23,products!$A$1:$F$322,MATCH(order_items!$D$1,products!$A$1:$F$1,0),FALSE)</f>
        <v>Electra Girl's Hawaii 1 (16-inch) - 2015/2016</v>
      </c>
      <c r="E23">
        <f>VLOOKUP($C23,products!$A$1:$F$322,MATCH(order_items!$E$1,products!$A$1:$F$1,0),FALSE)</f>
        <v>1</v>
      </c>
      <c r="F23" t="str">
        <f>VLOOKUP($E23,categories!$A$1:$B$8,MATCH(order_items!$F$1,categories!$A$1:$B$1,0),FALSE)</f>
        <v>Children Bicycles</v>
      </c>
      <c r="G23">
        <v>1</v>
      </c>
      <c r="H23">
        <v>269.99</v>
      </c>
      <c r="I23" s="5">
        <v>0.05</v>
      </c>
      <c r="J23">
        <f t="shared" si="0"/>
        <v>256.4905</v>
      </c>
      <c r="K23" s="9">
        <f t="shared" si="1"/>
        <v>-0.69693888525532666</v>
      </c>
    </row>
    <row r="24" spans="1:11" x14ac:dyDescent="0.3">
      <c r="A24">
        <v>8</v>
      </c>
      <c r="B24">
        <v>2</v>
      </c>
      <c r="C24">
        <v>20</v>
      </c>
      <c r="D24" t="str">
        <f>VLOOKUP($C24,products!$A$1:$F$322,MATCH(order_items!$D$1,products!$A$1:$F$1,0),FALSE)</f>
        <v>Electra Townie Original 7D EQ - Women's - 2016</v>
      </c>
      <c r="E24">
        <f>VLOOKUP($C24,products!$A$1:$F$322,MATCH(order_items!$E$1,products!$A$1:$F$1,0),FALSE)</f>
        <v>3</v>
      </c>
      <c r="F24" t="str">
        <f>VLOOKUP($E24,categories!$A$1:$B$8,MATCH(order_items!$F$1,categories!$A$1:$B$1,0),FALSE)</f>
        <v>Cruisers Bicycles</v>
      </c>
      <c r="G24">
        <v>2</v>
      </c>
      <c r="H24">
        <v>599.99</v>
      </c>
      <c r="I24" s="5">
        <v>7.0000000000000007E-2</v>
      </c>
      <c r="J24">
        <f t="shared" si="0"/>
        <v>1115.9813999999999</v>
      </c>
      <c r="K24" s="9">
        <f t="shared" si="1"/>
        <v>-0.45297423894164529</v>
      </c>
    </row>
    <row r="25" spans="1:11" x14ac:dyDescent="0.3">
      <c r="A25">
        <v>9</v>
      </c>
      <c r="B25">
        <v>1</v>
      </c>
      <c r="C25">
        <v>7</v>
      </c>
      <c r="D25" t="str">
        <f>VLOOKUP($C25,products!$A$1:$F$322,MATCH(order_items!$D$1,products!$A$1:$F$1,0),FALSE)</f>
        <v>Trek Slash 8 27.5 - 2016</v>
      </c>
      <c r="E25">
        <f>VLOOKUP($C25,products!$A$1:$F$322,MATCH(order_items!$E$1,products!$A$1:$F$1,0),FALSE)</f>
        <v>6</v>
      </c>
      <c r="F25" t="str">
        <f>VLOOKUP($E25,categories!$A$1:$B$8,MATCH(order_items!$F$1,categories!$A$1:$B$1,0),FALSE)</f>
        <v>Mountain Bikes</v>
      </c>
      <c r="G25">
        <v>2</v>
      </c>
      <c r="H25">
        <v>3999.99</v>
      </c>
      <c r="I25" s="5">
        <v>0.1</v>
      </c>
      <c r="J25">
        <f t="shared" si="0"/>
        <v>7199.982</v>
      </c>
      <c r="K25" s="9">
        <f t="shared" si="1"/>
        <v>2.0606009048962846</v>
      </c>
    </row>
    <row r="26" spans="1:11" x14ac:dyDescent="0.3">
      <c r="A26">
        <v>10</v>
      </c>
      <c r="B26">
        <v>1</v>
      </c>
      <c r="C26">
        <v>14</v>
      </c>
      <c r="D26" t="str">
        <f>VLOOKUP($C26,products!$A$1:$F$322,MATCH(order_items!$D$1,products!$A$1:$F$1,0),FALSE)</f>
        <v>Electra Girl's Hawaii 1 (16-inch) - 2015/2016</v>
      </c>
      <c r="E26">
        <f>VLOOKUP($C26,products!$A$1:$F$322,MATCH(order_items!$E$1,products!$A$1:$F$1,0),FALSE)</f>
        <v>3</v>
      </c>
      <c r="F26" t="str">
        <f>VLOOKUP($E26,categories!$A$1:$B$8,MATCH(order_items!$F$1,categories!$A$1:$B$1,0),FALSE)</f>
        <v>Cruisers Bicycles</v>
      </c>
      <c r="G26">
        <v>1</v>
      </c>
      <c r="H26">
        <v>269.99</v>
      </c>
      <c r="I26" s="5">
        <v>0.1</v>
      </c>
      <c r="J26">
        <f t="shared" si="0"/>
        <v>242.99100000000001</v>
      </c>
      <c r="K26" s="9">
        <f t="shared" si="1"/>
        <v>-0.69693888525532666</v>
      </c>
    </row>
    <row r="27" spans="1:11" x14ac:dyDescent="0.3">
      <c r="A27">
        <v>11</v>
      </c>
      <c r="B27">
        <v>1</v>
      </c>
      <c r="C27">
        <v>8</v>
      </c>
      <c r="D27" t="str">
        <f>VLOOKUP($C27,products!$A$1:$F$322,MATCH(order_items!$D$1,products!$A$1:$F$1,0),FALSE)</f>
        <v>Trek Remedy 29 Carbon Frameset - 2016</v>
      </c>
      <c r="E27">
        <f>VLOOKUP($C27,products!$A$1:$F$322,MATCH(order_items!$E$1,products!$A$1:$F$1,0),FALSE)</f>
        <v>6</v>
      </c>
      <c r="F27" t="str">
        <f>VLOOKUP($E27,categories!$A$1:$B$8,MATCH(order_items!$F$1,categories!$A$1:$B$1,0),FALSE)</f>
        <v>Mountain Bikes</v>
      </c>
      <c r="G27">
        <v>1</v>
      </c>
      <c r="H27">
        <v>1799.99</v>
      </c>
      <c r="I27" s="5">
        <v>0.05</v>
      </c>
      <c r="J27">
        <f t="shared" si="0"/>
        <v>1709.9904999999999</v>
      </c>
      <c r="K27" s="9">
        <f t="shared" si="1"/>
        <v>0.43416992947174166</v>
      </c>
    </row>
    <row r="28" spans="1:11" x14ac:dyDescent="0.3">
      <c r="A28">
        <v>11</v>
      </c>
      <c r="B28">
        <v>2</v>
      </c>
      <c r="C28">
        <v>22</v>
      </c>
      <c r="D28" t="str">
        <f>VLOOKUP($C28,products!$A$1:$F$322,MATCH(order_items!$D$1,products!$A$1:$F$1,0),FALSE)</f>
        <v>Electra Girl's Hawaii 1 (16-inch) - 2015/2016</v>
      </c>
      <c r="E28">
        <f>VLOOKUP($C28,products!$A$1:$F$322,MATCH(order_items!$E$1,products!$A$1:$F$1,0),FALSE)</f>
        <v>1</v>
      </c>
      <c r="F28" t="str">
        <f>VLOOKUP($E28,categories!$A$1:$B$8,MATCH(order_items!$F$1,categories!$A$1:$B$1,0),FALSE)</f>
        <v>Children Bicycles</v>
      </c>
      <c r="G28">
        <v>2</v>
      </c>
      <c r="H28">
        <v>269.99</v>
      </c>
      <c r="I28" s="5">
        <v>0.1</v>
      </c>
      <c r="J28">
        <f t="shared" si="0"/>
        <v>485.98200000000003</v>
      </c>
      <c r="K28" s="9">
        <f t="shared" si="1"/>
        <v>-0.69693888525532666</v>
      </c>
    </row>
    <row r="29" spans="1:11" x14ac:dyDescent="0.3">
      <c r="A29">
        <v>11</v>
      </c>
      <c r="B29">
        <v>3</v>
      </c>
      <c r="C29">
        <v>16</v>
      </c>
      <c r="D29" t="str">
        <f>VLOOKUP($C29,products!$A$1:$F$322,MATCH(order_items!$D$1,products!$A$1:$F$1,0),FALSE)</f>
        <v>Electra Townie Original 7D EQ - 2016</v>
      </c>
      <c r="E29">
        <f>VLOOKUP($C29,products!$A$1:$F$322,MATCH(order_items!$E$1,products!$A$1:$F$1,0),FALSE)</f>
        <v>3</v>
      </c>
      <c r="F29" t="str">
        <f>VLOOKUP($E29,categories!$A$1:$B$8,MATCH(order_items!$F$1,categories!$A$1:$B$1,0),FALSE)</f>
        <v>Cruisers Bicycles</v>
      </c>
      <c r="G29">
        <v>2</v>
      </c>
      <c r="H29">
        <v>599.99</v>
      </c>
      <c r="I29" s="5">
        <v>0.2</v>
      </c>
      <c r="J29">
        <f t="shared" si="0"/>
        <v>959.98400000000004</v>
      </c>
      <c r="K29" s="9">
        <f t="shared" si="1"/>
        <v>-0.45297423894164529</v>
      </c>
    </row>
    <row r="30" spans="1:11" x14ac:dyDescent="0.3">
      <c r="A30">
        <v>12</v>
      </c>
      <c r="B30">
        <v>1</v>
      </c>
      <c r="C30">
        <v>4</v>
      </c>
      <c r="D30" t="str">
        <f>VLOOKUP($C30,products!$A$1:$F$322,MATCH(order_items!$D$1,products!$A$1:$F$1,0),FALSE)</f>
        <v>Trek Fuel EX 8 29 - 2016</v>
      </c>
      <c r="E30">
        <f>VLOOKUP($C30,products!$A$1:$F$322,MATCH(order_items!$E$1,products!$A$1:$F$1,0),FALSE)</f>
        <v>6</v>
      </c>
      <c r="F30" t="str">
        <f>VLOOKUP($E30,categories!$A$1:$B$8,MATCH(order_items!$F$1,categories!$A$1:$B$1,0),FALSE)</f>
        <v>Mountain Bikes</v>
      </c>
      <c r="G30">
        <v>2</v>
      </c>
      <c r="H30">
        <v>2899.99</v>
      </c>
      <c r="I30" s="5">
        <v>0.1</v>
      </c>
      <c r="J30">
        <f t="shared" si="0"/>
        <v>5219.982</v>
      </c>
      <c r="K30" s="9">
        <f t="shared" si="1"/>
        <v>1.2473854171840129</v>
      </c>
    </row>
    <row r="31" spans="1:11" x14ac:dyDescent="0.3">
      <c r="A31">
        <v>12</v>
      </c>
      <c r="B31">
        <v>2</v>
      </c>
      <c r="C31">
        <v>11</v>
      </c>
      <c r="D31" t="str">
        <f>VLOOKUP($C31,products!$A$1:$F$322,MATCH(order_items!$D$1,products!$A$1:$F$1,0),FALSE)</f>
        <v>Surly Straggler 650b - 2016</v>
      </c>
      <c r="E31">
        <f>VLOOKUP($C31,products!$A$1:$F$322,MATCH(order_items!$E$1,products!$A$1:$F$1,0),FALSE)</f>
        <v>4</v>
      </c>
      <c r="F31" t="str">
        <f>VLOOKUP($E31,categories!$A$1:$B$8,MATCH(order_items!$F$1,categories!$A$1:$B$1,0),FALSE)</f>
        <v>Cyclocross Bicycles</v>
      </c>
      <c r="G31">
        <v>1</v>
      </c>
      <c r="H31">
        <v>1680.99</v>
      </c>
      <c r="I31" s="5">
        <v>0.05</v>
      </c>
      <c r="J31">
        <f t="shared" si="0"/>
        <v>1596.9404999999999</v>
      </c>
      <c r="K31" s="9">
        <f t="shared" si="1"/>
        <v>0.3461947994374141</v>
      </c>
    </row>
    <row r="32" spans="1:11" x14ac:dyDescent="0.3">
      <c r="A32">
        <v>13</v>
      </c>
      <c r="B32">
        <v>1</v>
      </c>
      <c r="C32">
        <v>13</v>
      </c>
      <c r="D32" t="str">
        <f>VLOOKUP($C32,products!$A$1:$F$322,MATCH(order_items!$D$1,products!$A$1:$F$1,0),FALSE)</f>
        <v>Electra Cruiser 1 (24-Inch) - 2016</v>
      </c>
      <c r="E32">
        <f>VLOOKUP($C32,products!$A$1:$F$322,MATCH(order_items!$E$1,products!$A$1:$F$1,0),FALSE)</f>
        <v>3</v>
      </c>
      <c r="F32" t="str">
        <f>VLOOKUP($E32,categories!$A$1:$B$8,MATCH(order_items!$F$1,categories!$A$1:$B$1,0),FALSE)</f>
        <v>Cruisers Bicycles</v>
      </c>
      <c r="G32">
        <v>1</v>
      </c>
      <c r="H32">
        <v>269.99</v>
      </c>
      <c r="I32" s="5">
        <v>0.1</v>
      </c>
      <c r="J32">
        <f t="shared" si="0"/>
        <v>242.99100000000001</v>
      </c>
      <c r="K32" s="9">
        <f t="shared" si="1"/>
        <v>-0.69693888525532666</v>
      </c>
    </row>
    <row r="33" spans="1:11" x14ac:dyDescent="0.3">
      <c r="A33">
        <v>13</v>
      </c>
      <c r="B33">
        <v>2</v>
      </c>
      <c r="C33">
        <v>17</v>
      </c>
      <c r="D33" t="str">
        <f>VLOOKUP($C33,products!$A$1:$F$322,MATCH(order_items!$D$1,products!$A$1:$F$1,0),FALSE)</f>
        <v>Pure Cycles Vine 8-Speed - 2016</v>
      </c>
      <c r="E33">
        <f>VLOOKUP($C33,products!$A$1:$F$322,MATCH(order_items!$E$1,products!$A$1:$F$1,0),FALSE)</f>
        <v>3</v>
      </c>
      <c r="F33" t="str">
        <f>VLOOKUP($E33,categories!$A$1:$B$8,MATCH(order_items!$F$1,categories!$A$1:$B$1,0),FALSE)</f>
        <v>Cruisers Bicycles</v>
      </c>
      <c r="G33">
        <v>2</v>
      </c>
      <c r="H33">
        <v>429</v>
      </c>
      <c r="I33" s="5">
        <v>0.05</v>
      </c>
      <c r="J33">
        <f t="shared" si="0"/>
        <v>815.09999999999991</v>
      </c>
      <c r="K33" s="9">
        <f t="shared" si="1"/>
        <v>-0.57938489007248284</v>
      </c>
    </row>
    <row r="34" spans="1:11" x14ac:dyDescent="0.3">
      <c r="A34">
        <v>13</v>
      </c>
      <c r="B34">
        <v>3</v>
      </c>
      <c r="C34">
        <v>20</v>
      </c>
      <c r="D34" t="str">
        <f>VLOOKUP($C34,products!$A$1:$F$322,MATCH(order_items!$D$1,products!$A$1:$F$1,0),FALSE)</f>
        <v>Electra Townie Original 7D EQ - Women's - 2016</v>
      </c>
      <c r="E34">
        <f>VLOOKUP($C34,products!$A$1:$F$322,MATCH(order_items!$E$1,products!$A$1:$F$1,0),FALSE)</f>
        <v>3</v>
      </c>
      <c r="F34" t="str">
        <f>VLOOKUP($E34,categories!$A$1:$B$8,MATCH(order_items!$F$1,categories!$A$1:$B$1,0),FALSE)</f>
        <v>Cruisers Bicycles</v>
      </c>
      <c r="G34">
        <v>2</v>
      </c>
      <c r="H34">
        <v>599.99</v>
      </c>
      <c r="I34" s="5">
        <v>0.1</v>
      </c>
      <c r="J34">
        <f t="shared" si="0"/>
        <v>1079.982</v>
      </c>
      <c r="K34" s="9">
        <f t="shared" si="1"/>
        <v>-0.45297423894164529</v>
      </c>
    </row>
    <row r="35" spans="1:11" x14ac:dyDescent="0.3">
      <c r="A35">
        <v>13</v>
      </c>
      <c r="B35">
        <v>4</v>
      </c>
      <c r="C35">
        <v>16</v>
      </c>
      <c r="D35" t="str">
        <f>VLOOKUP($C35,products!$A$1:$F$322,MATCH(order_items!$D$1,products!$A$1:$F$1,0),FALSE)</f>
        <v>Electra Townie Original 7D EQ - 2016</v>
      </c>
      <c r="E35">
        <f>VLOOKUP($C35,products!$A$1:$F$322,MATCH(order_items!$E$1,products!$A$1:$F$1,0),FALSE)</f>
        <v>3</v>
      </c>
      <c r="F35" t="str">
        <f>VLOOKUP($E35,categories!$A$1:$B$8,MATCH(order_items!$F$1,categories!$A$1:$B$1,0),FALSE)</f>
        <v>Cruisers Bicycles</v>
      </c>
      <c r="G35">
        <v>2</v>
      </c>
      <c r="H35">
        <v>599.99</v>
      </c>
      <c r="I35" s="5">
        <v>0.05</v>
      </c>
      <c r="J35">
        <f t="shared" si="0"/>
        <v>1139.981</v>
      </c>
      <c r="K35" s="9">
        <f t="shared" si="1"/>
        <v>-0.45297423894164529</v>
      </c>
    </row>
    <row r="36" spans="1:11" x14ac:dyDescent="0.3">
      <c r="A36">
        <v>14</v>
      </c>
      <c r="B36">
        <v>1</v>
      </c>
      <c r="C36">
        <v>6</v>
      </c>
      <c r="D36" t="str">
        <f>VLOOKUP($C36,products!$A$1:$F$322,MATCH(order_items!$D$1,products!$A$1:$F$1,0),FALSE)</f>
        <v>Surly Ice Cream Truck Frameset - 2016</v>
      </c>
      <c r="E36">
        <f>VLOOKUP($C36,products!$A$1:$F$322,MATCH(order_items!$E$1,products!$A$1:$F$1,0),FALSE)</f>
        <v>6</v>
      </c>
      <c r="F36" t="str">
        <f>VLOOKUP($E36,categories!$A$1:$B$8,MATCH(order_items!$F$1,categories!$A$1:$B$1,0),FALSE)</f>
        <v>Mountain Bikes</v>
      </c>
      <c r="G36">
        <v>1</v>
      </c>
      <c r="H36">
        <v>469.99</v>
      </c>
      <c r="I36" s="5">
        <v>7.0000000000000007E-2</v>
      </c>
      <c r="J36">
        <f t="shared" si="0"/>
        <v>437.09069999999997</v>
      </c>
      <c r="K36" s="9">
        <f t="shared" si="1"/>
        <v>-0.5490815238530955</v>
      </c>
    </row>
    <row r="37" spans="1:11" x14ac:dyDescent="0.3">
      <c r="A37">
        <v>15</v>
      </c>
      <c r="B37">
        <v>1</v>
      </c>
      <c r="C37">
        <v>12</v>
      </c>
      <c r="D37" t="str">
        <f>VLOOKUP($C37,products!$A$1:$F$322,MATCH(order_items!$D$1,products!$A$1:$F$1,0),FALSE)</f>
        <v>Electra Townie Original 21D - 2016</v>
      </c>
      <c r="E37">
        <f>VLOOKUP($C37,products!$A$1:$F$322,MATCH(order_items!$E$1,products!$A$1:$F$1,0),FALSE)</f>
        <v>3</v>
      </c>
      <c r="F37" t="str">
        <f>VLOOKUP($E37,categories!$A$1:$B$8,MATCH(order_items!$F$1,categories!$A$1:$B$1,0),FALSE)</f>
        <v>Cruisers Bicycles</v>
      </c>
      <c r="G37">
        <v>2</v>
      </c>
      <c r="H37">
        <v>549.99</v>
      </c>
      <c r="I37" s="5">
        <v>7.0000000000000007E-2</v>
      </c>
      <c r="J37">
        <f t="shared" si="0"/>
        <v>1022.9813999999999</v>
      </c>
      <c r="K37" s="9">
        <f t="shared" si="1"/>
        <v>-0.48993857929220308</v>
      </c>
    </row>
    <row r="38" spans="1:11" x14ac:dyDescent="0.3">
      <c r="A38">
        <v>15</v>
      </c>
      <c r="B38">
        <v>2</v>
      </c>
      <c r="C38">
        <v>8</v>
      </c>
      <c r="D38" t="str">
        <f>VLOOKUP($C38,products!$A$1:$F$322,MATCH(order_items!$D$1,products!$A$1:$F$1,0),FALSE)</f>
        <v>Trek Remedy 29 Carbon Frameset - 2016</v>
      </c>
      <c r="E38">
        <f>VLOOKUP($C38,products!$A$1:$F$322,MATCH(order_items!$E$1,products!$A$1:$F$1,0),FALSE)</f>
        <v>6</v>
      </c>
      <c r="F38" t="str">
        <f>VLOOKUP($E38,categories!$A$1:$B$8,MATCH(order_items!$F$1,categories!$A$1:$B$1,0),FALSE)</f>
        <v>Mountain Bikes</v>
      </c>
      <c r="G38">
        <v>1</v>
      </c>
      <c r="H38">
        <v>1799.99</v>
      </c>
      <c r="I38" s="5">
        <v>7.0000000000000007E-2</v>
      </c>
      <c r="J38">
        <f t="shared" si="0"/>
        <v>1673.9906999999998</v>
      </c>
      <c r="K38" s="9">
        <f t="shared" si="1"/>
        <v>0.43416992947174166</v>
      </c>
    </row>
    <row r="39" spans="1:11" x14ac:dyDescent="0.3">
      <c r="A39">
        <v>15</v>
      </c>
      <c r="B39">
        <v>3</v>
      </c>
      <c r="C39">
        <v>18</v>
      </c>
      <c r="D39" t="str">
        <f>VLOOKUP($C39,products!$A$1:$F$322,MATCH(order_items!$D$1,products!$A$1:$F$1,0),FALSE)</f>
        <v>Pure Cycles Western 3-Speed - Women's - 2015/2016</v>
      </c>
      <c r="E39">
        <f>VLOOKUP($C39,products!$A$1:$F$322,MATCH(order_items!$E$1,products!$A$1:$F$1,0),FALSE)</f>
        <v>3</v>
      </c>
      <c r="F39" t="str">
        <f>VLOOKUP($E39,categories!$A$1:$B$8,MATCH(order_items!$F$1,categories!$A$1:$B$1,0),FALSE)</f>
        <v>Cruisers Bicycles</v>
      </c>
      <c r="G39">
        <v>2</v>
      </c>
      <c r="H39">
        <v>449</v>
      </c>
      <c r="I39" s="5">
        <v>0.05</v>
      </c>
      <c r="J39">
        <f t="shared" si="0"/>
        <v>853.09999999999991</v>
      </c>
      <c r="K39" s="9">
        <f t="shared" si="1"/>
        <v>-0.56459915393225968</v>
      </c>
    </row>
    <row r="40" spans="1:11" x14ac:dyDescent="0.3">
      <c r="A40">
        <v>15</v>
      </c>
      <c r="B40">
        <v>4</v>
      </c>
      <c r="C40">
        <v>23</v>
      </c>
      <c r="D40" t="str">
        <f>VLOOKUP($C40,products!$A$1:$F$322,MATCH(order_items!$D$1,products!$A$1:$F$1,0),FALSE)</f>
        <v>Electra Girl's Hawaii 1 (20-inch) - 2015/2016</v>
      </c>
      <c r="E40">
        <f>VLOOKUP($C40,products!$A$1:$F$322,MATCH(order_items!$E$1,products!$A$1:$F$1,0),FALSE)</f>
        <v>1</v>
      </c>
      <c r="F40" t="str">
        <f>VLOOKUP($E40,categories!$A$1:$B$8,MATCH(order_items!$F$1,categories!$A$1:$B$1,0),FALSE)</f>
        <v>Children Bicycles</v>
      </c>
      <c r="G40">
        <v>2</v>
      </c>
      <c r="H40">
        <v>299.99</v>
      </c>
      <c r="I40" s="5">
        <v>0.2</v>
      </c>
      <c r="J40">
        <f t="shared" si="0"/>
        <v>479.98400000000004</v>
      </c>
      <c r="K40" s="9">
        <f t="shared" si="1"/>
        <v>-0.67476028104499197</v>
      </c>
    </row>
    <row r="41" spans="1:11" x14ac:dyDescent="0.3">
      <c r="A41">
        <v>16</v>
      </c>
      <c r="B41">
        <v>1</v>
      </c>
      <c r="C41">
        <v>8</v>
      </c>
      <c r="D41" t="str">
        <f>VLOOKUP($C41,products!$A$1:$F$322,MATCH(order_items!$D$1,products!$A$1:$F$1,0),FALSE)</f>
        <v>Trek Remedy 29 Carbon Frameset - 2016</v>
      </c>
      <c r="E41">
        <f>VLOOKUP($C41,products!$A$1:$F$322,MATCH(order_items!$E$1,products!$A$1:$F$1,0),FALSE)</f>
        <v>6</v>
      </c>
      <c r="F41" t="str">
        <f>VLOOKUP($E41,categories!$A$1:$B$8,MATCH(order_items!$F$1,categories!$A$1:$B$1,0),FALSE)</f>
        <v>Mountain Bikes</v>
      </c>
      <c r="G41">
        <v>1</v>
      </c>
      <c r="H41">
        <v>1799.99</v>
      </c>
      <c r="I41" s="5">
        <v>0.2</v>
      </c>
      <c r="J41">
        <f t="shared" si="0"/>
        <v>1439.9920000000002</v>
      </c>
      <c r="K41" s="9">
        <f t="shared" si="1"/>
        <v>0.43416992947174166</v>
      </c>
    </row>
    <row r="42" spans="1:11" x14ac:dyDescent="0.3">
      <c r="A42">
        <v>16</v>
      </c>
      <c r="B42">
        <v>2</v>
      </c>
      <c r="C42">
        <v>21</v>
      </c>
      <c r="D42" t="str">
        <f>VLOOKUP($C42,products!$A$1:$F$322,MATCH(order_items!$D$1,products!$A$1:$F$1,0),FALSE)</f>
        <v>Electra Cruiser 1 (24-Inch) - 2016</v>
      </c>
      <c r="E42">
        <f>VLOOKUP($C42,products!$A$1:$F$322,MATCH(order_items!$E$1,products!$A$1:$F$1,0),FALSE)</f>
        <v>1</v>
      </c>
      <c r="F42" t="str">
        <f>VLOOKUP($E42,categories!$A$1:$B$8,MATCH(order_items!$F$1,categories!$A$1:$B$1,0),FALSE)</f>
        <v>Children Bicycles</v>
      </c>
      <c r="G42">
        <v>1</v>
      </c>
      <c r="H42">
        <v>269.99</v>
      </c>
      <c r="I42" s="5">
        <v>0.05</v>
      </c>
      <c r="J42">
        <f t="shared" si="0"/>
        <v>256.4905</v>
      </c>
      <c r="K42" s="9">
        <f t="shared" si="1"/>
        <v>-0.69693888525532666</v>
      </c>
    </row>
    <row r="43" spans="1:11" x14ac:dyDescent="0.3">
      <c r="A43">
        <v>16</v>
      </c>
      <c r="B43">
        <v>3</v>
      </c>
      <c r="C43">
        <v>13</v>
      </c>
      <c r="D43" t="str">
        <f>VLOOKUP($C43,products!$A$1:$F$322,MATCH(order_items!$D$1,products!$A$1:$F$1,0),FALSE)</f>
        <v>Electra Cruiser 1 (24-Inch) - 2016</v>
      </c>
      <c r="E43">
        <f>VLOOKUP($C43,products!$A$1:$F$322,MATCH(order_items!$E$1,products!$A$1:$F$1,0),FALSE)</f>
        <v>3</v>
      </c>
      <c r="F43" t="str">
        <f>VLOOKUP($E43,categories!$A$1:$B$8,MATCH(order_items!$F$1,categories!$A$1:$B$1,0),FALSE)</f>
        <v>Cruisers Bicycles</v>
      </c>
      <c r="G43">
        <v>2</v>
      </c>
      <c r="H43">
        <v>269.99</v>
      </c>
      <c r="I43" s="5">
        <v>7.0000000000000007E-2</v>
      </c>
      <c r="J43">
        <f t="shared" si="0"/>
        <v>502.1814</v>
      </c>
      <c r="K43" s="9">
        <f t="shared" si="1"/>
        <v>-0.69693888525532666</v>
      </c>
    </row>
    <row r="44" spans="1:11" x14ac:dyDescent="0.3">
      <c r="A44">
        <v>16</v>
      </c>
      <c r="B44">
        <v>4</v>
      </c>
      <c r="C44">
        <v>14</v>
      </c>
      <c r="D44" t="str">
        <f>VLOOKUP($C44,products!$A$1:$F$322,MATCH(order_items!$D$1,products!$A$1:$F$1,0),FALSE)</f>
        <v>Electra Girl's Hawaii 1 (16-inch) - 2015/2016</v>
      </c>
      <c r="E44">
        <f>VLOOKUP($C44,products!$A$1:$F$322,MATCH(order_items!$E$1,products!$A$1:$F$1,0),FALSE)</f>
        <v>3</v>
      </c>
      <c r="F44" t="str">
        <f>VLOOKUP($E44,categories!$A$1:$B$8,MATCH(order_items!$F$1,categories!$A$1:$B$1,0),FALSE)</f>
        <v>Cruisers Bicycles</v>
      </c>
      <c r="G44">
        <v>1</v>
      </c>
      <c r="H44">
        <v>269.99</v>
      </c>
      <c r="I44" s="5">
        <v>7.0000000000000007E-2</v>
      </c>
      <c r="J44">
        <f t="shared" si="0"/>
        <v>251.0907</v>
      </c>
      <c r="K44" s="9">
        <f t="shared" si="1"/>
        <v>-0.69693888525532666</v>
      </c>
    </row>
    <row r="45" spans="1:11" x14ac:dyDescent="0.3">
      <c r="A45">
        <v>17</v>
      </c>
      <c r="B45">
        <v>1</v>
      </c>
      <c r="C45">
        <v>8</v>
      </c>
      <c r="D45" t="str">
        <f>VLOOKUP($C45,products!$A$1:$F$322,MATCH(order_items!$D$1,products!$A$1:$F$1,0),FALSE)</f>
        <v>Trek Remedy 29 Carbon Frameset - 2016</v>
      </c>
      <c r="E45">
        <f>VLOOKUP($C45,products!$A$1:$F$322,MATCH(order_items!$E$1,products!$A$1:$F$1,0),FALSE)</f>
        <v>6</v>
      </c>
      <c r="F45" t="str">
        <f>VLOOKUP($E45,categories!$A$1:$B$8,MATCH(order_items!$F$1,categories!$A$1:$B$1,0),FALSE)</f>
        <v>Mountain Bikes</v>
      </c>
      <c r="G45">
        <v>1</v>
      </c>
      <c r="H45">
        <v>1799.99</v>
      </c>
      <c r="I45" s="5">
        <v>7.0000000000000007E-2</v>
      </c>
      <c r="J45">
        <f t="shared" si="0"/>
        <v>1673.9906999999998</v>
      </c>
      <c r="K45" s="9">
        <f t="shared" si="1"/>
        <v>0.43416992947174166</v>
      </c>
    </row>
    <row r="46" spans="1:11" x14ac:dyDescent="0.3">
      <c r="A46">
        <v>17</v>
      </c>
      <c r="B46">
        <v>2</v>
      </c>
      <c r="C46">
        <v>23</v>
      </c>
      <c r="D46" t="str">
        <f>VLOOKUP($C46,products!$A$1:$F$322,MATCH(order_items!$D$1,products!$A$1:$F$1,0),FALSE)</f>
        <v>Electra Girl's Hawaii 1 (20-inch) - 2015/2016</v>
      </c>
      <c r="E46">
        <f>VLOOKUP($C46,products!$A$1:$F$322,MATCH(order_items!$E$1,products!$A$1:$F$1,0),FALSE)</f>
        <v>1</v>
      </c>
      <c r="F46" t="str">
        <f>VLOOKUP($E46,categories!$A$1:$B$8,MATCH(order_items!$F$1,categories!$A$1:$B$1,0),FALSE)</f>
        <v>Children Bicycles</v>
      </c>
      <c r="G46">
        <v>1</v>
      </c>
      <c r="H46">
        <v>299.99</v>
      </c>
      <c r="I46" s="5">
        <v>0.1</v>
      </c>
      <c r="J46">
        <f t="shared" si="0"/>
        <v>269.99100000000004</v>
      </c>
      <c r="K46" s="9">
        <f t="shared" si="1"/>
        <v>-0.67476028104499197</v>
      </c>
    </row>
    <row r="47" spans="1:11" x14ac:dyDescent="0.3">
      <c r="A47">
        <v>17</v>
      </c>
      <c r="B47">
        <v>3</v>
      </c>
      <c r="C47">
        <v>5</v>
      </c>
      <c r="D47" t="str">
        <f>VLOOKUP($C47,products!$A$1:$F$322,MATCH(order_items!$D$1,products!$A$1:$F$1,0),FALSE)</f>
        <v>Heller Shagamaw Frame - 2016</v>
      </c>
      <c r="E47">
        <f>VLOOKUP($C47,products!$A$1:$F$322,MATCH(order_items!$E$1,products!$A$1:$F$1,0),FALSE)</f>
        <v>6</v>
      </c>
      <c r="F47" t="str">
        <f>VLOOKUP($E47,categories!$A$1:$B$8,MATCH(order_items!$F$1,categories!$A$1:$B$1,0),FALSE)</f>
        <v>Mountain Bikes</v>
      </c>
      <c r="G47">
        <v>1</v>
      </c>
      <c r="H47">
        <v>1320.99</v>
      </c>
      <c r="I47" s="5">
        <v>0.1</v>
      </c>
      <c r="J47">
        <f t="shared" si="0"/>
        <v>1188.8910000000001</v>
      </c>
      <c r="K47" s="9">
        <f t="shared" si="1"/>
        <v>8.0051548913398024E-2</v>
      </c>
    </row>
    <row r="48" spans="1:11" x14ac:dyDescent="0.3">
      <c r="A48">
        <v>17</v>
      </c>
      <c r="B48">
        <v>4</v>
      </c>
      <c r="C48">
        <v>20</v>
      </c>
      <c r="D48" t="str">
        <f>VLOOKUP($C48,products!$A$1:$F$322,MATCH(order_items!$D$1,products!$A$1:$F$1,0),FALSE)</f>
        <v>Electra Townie Original 7D EQ - Women's - 2016</v>
      </c>
      <c r="E48">
        <f>VLOOKUP($C48,products!$A$1:$F$322,MATCH(order_items!$E$1,products!$A$1:$F$1,0),FALSE)</f>
        <v>3</v>
      </c>
      <c r="F48" t="str">
        <f>VLOOKUP($E48,categories!$A$1:$B$8,MATCH(order_items!$F$1,categories!$A$1:$B$1,0),FALSE)</f>
        <v>Cruisers Bicycles</v>
      </c>
      <c r="G48">
        <v>2</v>
      </c>
      <c r="H48">
        <v>599.99</v>
      </c>
      <c r="I48" s="5">
        <v>0.2</v>
      </c>
      <c r="J48">
        <f t="shared" si="0"/>
        <v>959.98400000000004</v>
      </c>
      <c r="K48" s="9">
        <f t="shared" si="1"/>
        <v>-0.45297423894164529</v>
      </c>
    </row>
    <row r="49" spans="1:11" x14ac:dyDescent="0.3">
      <c r="A49">
        <v>18</v>
      </c>
      <c r="B49">
        <v>1</v>
      </c>
      <c r="C49">
        <v>2</v>
      </c>
      <c r="D49" t="str">
        <f>VLOOKUP($C49,products!$A$1:$F$322,MATCH(order_items!$D$1,products!$A$1:$F$1,0),FALSE)</f>
        <v>Ritchey Timberwolf Frameset - 2016</v>
      </c>
      <c r="E49">
        <f>VLOOKUP($C49,products!$A$1:$F$322,MATCH(order_items!$E$1,products!$A$1:$F$1,0),FALSE)</f>
        <v>6</v>
      </c>
      <c r="F49" t="str">
        <f>VLOOKUP($E49,categories!$A$1:$B$8,MATCH(order_items!$F$1,categories!$A$1:$B$1,0),FALSE)</f>
        <v>Mountain Bikes</v>
      </c>
      <c r="G49">
        <v>2</v>
      </c>
      <c r="H49">
        <v>749.99</v>
      </c>
      <c r="I49" s="5">
        <v>0.2</v>
      </c>
      <c r="J49">
        <f t="shared" si="0"/>
        <v>1199.9840000000002</v>
      </c>
      <c r="K49" s="9">
        <f t="shared" si="1"/>
        <v>-0.34208121788997192</v>
      </c>
    </row>
    <row r="50" spans="1:11" x14ac:dyDescent="0.3">
      <c r="A50">
        <v>18</v>
      </c>
      <c r="B50">
        <v>2</v>
      </c>
      <c r="C50">
        <v>22</v>
      </c>
      <c r="D50" t="str">
        <f>VLOOKUP($C50,products!$A$1:$F$322,MATCH(order_items!$D$1,products!$A$1:$F$1,0),FALSE)</f>
        <v>Electra Girl's Hawaii 1 (16-inch) - 2015/2016</v>
      </c>
      <c r="E50">
        <f>VLOOKUP($C50,products!$A$1:$F$322,MATCH(order_items!$E$1,products!$A$1:$F$1,0),FALSE)</f>
        <v>1</v>
      </c>
      <c r="F50" t="str">
        <f>VLOOKUP($E50,categories!$A$1:$B$8,MATCH(order_items!$F$1,categories!$A$1:$B$1,0),FALSE)</f>
        <v>Children Bicycles</v>
      </c>
      <c r="G50">
        <v>1</v>
      </c>
      <c r="H50">
        <v>269.99</v>
      </c>
      <c r="I50" s="5">
        <v>0.05</v>
      </c>
      <c r="J50">
        <f t="shared" si="0"/>
        <v>256.4905</v>
      </c>
      <c r="K50" s="9">
        <f t="shared" si="1"/>
        <v>-0.69693888525532666</v>
      </c>
    </row>
    <row r="51" spans="1:11" x14ac:dyDescent="0.3">
      <c r="A51">
        <v>18</v>
      </c>
      <c r="B51">
        <v>3</v>
      </c>
      <c r="C51">
        <v>7</v>
      </c>
      <c r="D51" t="str">
        <f>VLOOKUP($C51,products!$A$1:$F$322,MATCH(order_items!$D$1,products!$A$1:$F$1,0),FALSE)</f>
        <v>Trek Slash 8 27.5 - 2016</v>
      </c>
      <c r="E51">
        <f>VLOOKUP($C51,products!$A$1:$F$322,MATCH(order_items!$E$1,products!$A$1:$F$1,0),FALSE)</f>
        <v>6</v>
      </c>
      <c r="F51" t="str">
        <f>VLOOKUP($E51,categories!$A$1:$B$8,MATCH(order_items!$F$1,categories!$A$1:$B$1,0),FALSE)</f>
        <v>Mountain Bikes</v>
      </c>
      <c r="G51">
        <v>1</v>
      </c>
      <c r="H51">
        <v>3999.99</v>
      </c>
      <c r="I51" s="5">
        <v>0.1</v>
      </c>
      <c r="J51">
        <f t="shared" si="0"/>
        <v>3599.991</v>
      </c>
      <c r="K51" s="9">
        <f t="shared" si="1"/>
        <v>2.0606009048962846</v>
      </c>
    </row>
    <row r="52" spans="1:11" x14ac:dyDescent="0.3">
      <c r="A52">
        <v>18</v>
      </c>
      <c r="B52">
        <v>4</v>
      </c>
      <c r="C52">
        <v>25</v>
      </c>
      <c r="D52" t="str">
        <f>VLOOKUP($C52,products!$A$1:$F$322,MATCH(order_items!$D$1,products!$A$1:$F$1,0),FALSE)</f>
        <v>Electra Townie Original 7D - 2015/2016</v>
      </c>
      <c r="E52">
        <f>VLOOKUP($C52,products!$A$1:$F$322,MATCH(order_items!$E$1,products!$A$1:$F$1,0),FALSE)</f>
        <v>2</v>
      </c>
      <c r="F52" t="str">
        <f>VLOOKUP($E52,categories!$A$1:$B$8,MATCH(order_items!$F$1,categories!$A$1:$B$1,0),FALSE)</f>
        <v>Comfort Bicycles</v>
      </c>
      <c r="G52">
        <v>2</v>
      </c>
      <c r="H52">
        <v>499.99</v>
      </c>
      <c r="I52" s="5">
        <v>0.05</v>
      </c>
      <c r="J52">
        <f t="shared" si="0"/>
        <v>949.98099999999999</v>
      </c>
      <c r="K52" s="9">
        <f t="shared" si="1"/>
        <v>-0.52690291964276081</v>
      </c>
    </row>
    <row r="53" spans="1:11" x14ac:dyDescent="0.3">
      <c r="A53">
        <v>18</v>
      </c>
      <c r="B53">
        <v>5</v>
      </c>
      <c r="C53">
        <v>9</v>
      </c>
      <c r="D53" t="str">
        <f>VLOOKUP($C53,products!$A$1:$F$322,MATCH(order_items!$D$1,products!$A$1:$F$1,0),FALSE)</f>
        <v>Trek Conduit+ - 2016</v>
      </c>
      <c r="E53">
        <f>VLOOKUP($C53,products!$A$1:$F$322,MATCH(order_items!$E$1,products!$A$1:$F$1,0),FALSE)</f>
        <v>5</v>
      </c>
      <c r="F53" t="str">
        <f>VLOOKUP($E53,categories!$A$1:$B$8,MATCH(order_items!$F$1,categories!$A$1:$B$1,0),FALSE)</f>
        <v>Electric Bikes</v>
      </c>
      <c r="G53">
        <v>2</v>
      </c>
      <c r="H53">
        <v>2999.99</v>
      </c>
      <c r="I53" s="5">
        <v>0.1</v>
      </c>
      <c r="J53">
        <f t="shared" si="0"/>
        <v>5399.982</v>
      </c>
      <c r="K53" s="9">
        <f t="shared" si="1"/>
        <v>1.3213140978851283</v>
      </c>
    </row>
    <row r="54" spans="1:11" x14ac:dyDescent="0.3">
      <c r="A54">
        <v>19</v>
      </c>
      <c r="B54">
        <v>1</v>
      </c>
      <c r="C54">
        <v>10</v>
      </c>
      <c r="D54" t="str">
        <f>VLOOKUP($C54,products!$A$1:$F$322,MATCH(order_items!$D$1,products!$A$1:$F$1,0),FALSE)</f>
        <v>Surly Straggler - 2016</v>
      </c>
      <c r="E54">
        <f>VLOOKUP($C54,products!$A$1:$F$322,MATCH(order_items!$E$1,products!$A$1:$F$1,0),FALSE)</f>
        <v>4</v>
      </c>
      <c r="F54" t="str">
        <f>VLOOKUP($E54,categories!$A$1:$B$8,MATCH(order_items!$F$1,categories!$A$1:$B$1,0),FALSE)</f>
        <v>Cyclocross Bicycles</v>
      </c>
      <c r="G54">
        <v>1</v>
      </c>
      <c r="H54">
        <v>1549</v>
      </c>
      <c r="I54" s="5">
        <v>7.0000000000000007E-2</v>
      </c>
      <c r="J54">
        <f t="shared" si="0"/>
        <v>1440.57</v>
      </c>
      <c r="K54" s="9">
        <f t="shared" si="1"/>
        <v>0.24861633378001166</v>
      </c>
    </row>
    <row r="55" spans="1:11" x14ac:dyDescent="0.3">
      <c r="A55">
        <v>19</v>
      </c>
      <c r="B55">
        <v>2</v>
      </c>
      <c r="C55">
        <v>9</v>
      </c>
      <c r="D55" t="str">
        <f>VLOOKUP($C55,products!$A$1:$F$322,MATCH(order_items!$D$1,products!$A$1:$F$1,0),FALSE)</f>
        <v>Trek Conduit+ - 2016</v>
      </c>
      <c r="E55">
        <f>VLOOKUP($C55,products!$A$1:$F$322,MATCH(order_items!$E$1,products!$A$1:$F$1,0),FALSE)</f>
        <v>5</v>
      </c>
      <c r="F55" t="str">
        <f>VLOOKUP($E55,categories!$A$1:$B$8,MATCH(order_items!$F$1,categories!$A$1:$B$1,0),FALSE)</f>
        <v>Electric Bikes</v>
      </c>
      <c r="G55">
        <v>2</v>
      </c>
      <c r="H55">
        <v>2999.99</v>
      </c>
      <c r="I55" s="5">
        <v>0.2</v>
      </c>
      <c r="J55">
        <f t="shared" si="0"/>
        <v>4799.9839999999995</v>
      </c>
      <c r="K55" s="9">
        <f t="shared" si="1"/>
        <v>1.3213140978851283</v>
      </c>
    </row>
    <row r="56" spans="1:11" x14ac:dyDescent="0.3">
      <c r="A56">
        <v>20</v>
      </c>
      <c r="B56">
        <v>1</v>
      </c>
      <c r="C56">
        <v>9</v>
      </c>
      <c r="D56" t="str">
        <f>VLOOKUP($C56,products!$A$1:$F$322,MATCH(order_items!$D$1,products!$A$1:$F$1,0),FALSE)</f>
        <v>Trek Conduit+ - 2016</v>
      </c>
      <c r="E56">
        <f>VLOOKUP($C56,products!$A$1:$F$322,MATCH(order_items!$E$1,products!$A$1:$F$1,0),FALSE)</f>
        <v>5</v>
      </c>
      <c r="F56" t="str">
        <f>VLOOKUP($E56,categories!$A$1:$B$8,MATCH(order_items!$F$1,categories!$A$1:$B$1,0),FALSE)</f>
        <v>Electric Bikes</v>
      </c>
      <c r="G56">
        <v>1</v>
      </c>
      <c r="H56">
        <v>2999.99</v>
      </c>
      <c r="I56" s="5">
        <v>7.0000000000000007E-2</v>
      </c>
      <c r="J56">
        <f t="shared" si="0"/>
        <v>2789.9906999999998</v>
      </c>
      <c r="K56" s="9">
        <f t="shared" si="1"/>
        <v>1.3213140978851283</v>
      </c>
    </row>
    <row r="57" spans="1:11" x14ac:dyDescent="0.3">
      <c r="A57">
        <v>20</v>
      </c>
      <c r="B57">
        <v>2</v>
      </c>
      <c r="C57">
        <v>10</v>
      </c>
      <c r="D57" t="str">
        <f>VLOOKUP($C57,products!$A$1:$F$322,MATCH(order_items!$D$1,products!$A$1:$F$1,0),FALSE)</f>
        <v>Surly Straggler - 2016</v>
      </c>
      <c r="E57">
        <f>VLOOKUP($C57,products!$A$1:$F$322,MATCH(order_items!$E$1,products!$A$1:$F$1,0),FALSE)</f>
        <v>4</v>
      </c>
      <c r="F57" t="str">
        <f>VLOOKUP($E57,categories!$A$1:$B$8,MATCH(order_items!$F$1,categories!$A$1:$B$1,0),FALSE)</f>
        <v>Cyclocross Bicycles</v>
      </c>
      <c r="G57">
        <v>2</v>
      </c>
      <c r="H57">
        <v>1549</v>
      </c>
      <c r="I57" s="5">
        <v>7.0000000000000007E-2</v>
      </c>
      <c r="J57">
        <f t="shared" si="0"/>
        <v>2881.14</v>
      </c>
      <c r="K57" s="9">
        <f t="shared" si="1"/>
        <v>0.24861633378001166</v>
      </c>
    </row>
    <row r="58" spans="1:11" x14ac:dyDescent="0.3">
      <c r="A58">
        <v>21</v>
      </c>
      <c r="B58">
        <v>1</v>
      </c>
      <c r="C58">
        <v>14</v>
      </c>
      <c r="D58" t="str">
        <f>VLOOKUP($C58,products!$A$1:$F$322,MATCH(order_items!$D$1,products!$A$1:$F$1,0),FALSE)</f>
        <v>Electra Girl's Hawaii 1 (16-inch) - 2015/2016</v>
      </c>
      <c r="E58">
        <f>VLOOKUP($C58,products!$A$1:$F$322,MATCH(order_items!$E$1,products!$A$1:$F$1,0),FALSE)</f>
        <v>3</v>
      </c>
      <c r="F58" t="str">
        <f>VLOOKUP($E58,categories!$A$1:$B$8,MATCH(order_items!$F$1,categories!$A$1:$B$1,0),FALSE)</f>
        <v>Cruisers Bicycles</v>
      </c>
      <c r="G58">
        <v>1</v>
      </c>
      <c r="H58">
        <v>269.99</v>
      </c>
      <c r="I58" s="5">
        <v>0.05</v>
      </c>
      <c r="J58">
        <f t="shared" si="0"/>
        <v>256.4905</v>
      </c>
      <c r="K58" s="9">
        <f t="shared" si="1"/>
        <v>-0.69693888525532666</v>
      </c>
    </row>
    <row r="59" spans="1:11" x14ac:dyDescent="0.3">
      <c r="A59">
        <v>21</v>
      </c>
      <c r="B59">
        <v>2</v>
      </c>
      <c r="C59">
        <v>17</v>
      </c>
      <c r="D59" t="str">
        <f>VLOOKUP($C59,products!$A$1:$F$322,MATCH(order_items!$D$1,products!$A$1:$F$1,0),FALSE)</f>
        <v>Pure Cycles Vine 8-Speed - 2016</v>
      </c>
      <c r="E59">
        <f>VLOOKUP($C59,products!$A$1:$F$322,MATCH(order_items!$E$1,products!$A$1:$F$1,0),FALSE)</f>
        <v>3</v>
      </c>
      <c r="F59" t="str">
        <f>VLOOKUP($E59,categories!$A$1:$B$8,MATCH(order_items!$F$1,categories!$A$1:$B$1,0),FALSE)</f>
        <v>Cruisers Bicycles</v>
      </c>
      <c r="G59">
        <v>1</v>
      </c>
      <c r="H59">
        <v>429</v>
      </c>
      <c r="I59" s="5">
        <v>0.1</v>
      </c>
      <c r="J59">
        <f t="shared" si="0"/>
        <v>386.1</v>
      </c>
      <c r="K59" s="9">
        <f t="shared" si="1"/>
        <v>-0.57938489007248284</v>
      </c>
    </row>
    <row r="60" spans="1:11" x14ac:dyDescent="0.3">
      <c r="A60">
        <v>21</v>
      </c>
      <c r="B60">
        <v>3</v>
      </c>
      <c r="C60">
        <v>10</v>
      </c>
      <c r="D60" t="str">
        <f>VLOOKUP($C60,products!$A$1:$F$322,MATCH(order_items!$D$1,products!$A$1:$F$1,0),FALSE)</f>
        <v>Surly Straggler - 2016</v>
      </c>
      <c r="E60">
        <f>VLOOKUP($C60,products!$A$1:$F$322,MATCH(order_items!$E$1,products!$A$1:$F$1,0),FALSE)</f>
        <v>4</v>
      </c>
      <c r="F60" t="str">
        <f>VLOOKUP($E60,categories!$A$1:$B$8,MATCH(order_items!$F$1,categories!$A$1:$B$1,0),FALSE)</f>
        <v>Cyclocross Bicycles</v>
      </c>
      <c r="G60">
        <v>1</v>
      </c>
      <c r="H60">
        <v>1549</v>
      </c>
      <c r="I60" s="5">
        <v>7.0000000000000007E-2</v>
      </c>
      <c r="J60">
        <f t="shared" si="0"/>
        <v>1440.57</v>
      </c>
      <c r="K60" s="9">
        <f t="shared" si="1"/>
        <v>0.24861633378001166</v>
      </c>
    </row>
    <row r="61" spans="1:11" x14ac:dyDescent="0.3">
      <c r="A61">
        <v>22</v>
      </c>
      <c r="B61">
        <v>1</v>
      </c>
      <c r="C61">
        <v>15</v>
      </c>
      <c r="D61" t="str">
        <f>VLOOKUP($C61,products!$A$1:$F$322,MATCH(order_items!$D$1,products!$A$1:$F$1,0),FALSE)</f>
        <v>Electra Moto 1 - 2016</v>
      </c>
      <c r="E61">
        <f>VLOOKUP($C61,products!$A$1:$F$322,MATCH(order_items!$E$1,products!$A$1:$F$1,0),FALSE)</f>
        <v>3</v>
      </c>
      <c r="F61" t="str">
        <f>VLOOKUP($E61,categories!$A$1:$B$8,MATCH(order_items!$F$1,categories!$A$1:$B$1,0),FALSE)</f>
        <v>Cruisers Bicycles</v>
      </c>
      <c r="G61">
        <v>2</v>
      </c>
      <c r="H61">
        <v>529.99</v>
      </c>
      <c r="I61" s="5">
        <v>0.2</v>
      </c>
      <c r="J61">
        <f t="shared" si="0"/>
        <v>847.98400000000004</v>
      </c>
      <c r="K61" s="9">
        <f t="shared" si="1"/>
        <v>-0.50472431543242624</v>
      </c>
    </row>
    <row r="62" spans="1:11" x14ac:dyDescent="0.3">
      <c r="A62">
        <v>22</v>
      </c>
      <c r="B62">
        <v>2</v>
      </c>
      <c r="C62">
        <v>22</v>
      </c>
      <c r="D62" t="str">
        <f>VLOOKUP($C62,products!$A$1:$F$322,MATCH(order_items!$D$1,products!$A$1:$F$1,0),FALSE)</f>
        <v>Electra Girl's Hawaii 1 (16-inch) - 2015/2016</v>
      </c>
      <c r="E62">
        <f>VLOOKUP($C62,products!$A$1:$F$322,MATCH(order_items!$E$1,products!$A$1:$F$1,0),FALSE)</f>
        <v>1</v>
      </c>
      <c r="F62" t="str">
        <f>VLOOKUP($E62,categories!$A$1:$B$8,MATCH(order_items!$F$1,categories!$A$1:$B$1,0),FALSE)</f>
        <v>Children Bicycles</v>
      </c>
      <c r="G62">
        <v>1</v>
      </c>
      <c r="H62">
        <v>269.99</v>
      </c>
      <c r="I62" s="5">
        <v>0.05</v>
      </c>
      <c r="J62">
        <f t="shared" si="0"/>
        <v>256.4905</v>
      </c>
      <c r="K62" s="9">
        <f t="shared" si="1"/>
        <v>-0.69693888525532666</v>
      </c>
    </row>
    <row r="63" spans="1:11" x14ac:dyDescent="0.3">
      <c r="A63">
        <v>23</v>
      </c>
      <c r="B63">
        <v>1</v>
      </c>
      <c r="C63">
        <v>4</v>
      </c>
      <c r="D63" t="str">
        <f>VLOOKUP($C63,products!$A$1:$F$322,MATCH(order_items!$D$1,products!$A$1:$F$1,0),FALSE)</f>
        <v>Trek Fuel EX 8 29 - 2016</v>
      </c>
      <c r="E63">
        <f>VLOOKUP($C63,products!$A$1:$F$322,MATCH(order_items!$E$1,products!$A$1:$F$1,0),FALSE)</f>
        <v>6</v>
      </c>
      <c r="F63" t="str">
        <f>VLOOKUP($E63,categories!$A$1:$B$8,MATCH(order_items!$F$1,categories!$A$1:$B$1,0),FALSE)</f>
        <v>Mountain Bikes</v>
      </c>
      <c r="G63">
        <v>2</v>
      </c>
      <c r="H63">
        <v>2899.99</v>
      </c>
      <c r="I63" s="5">
        <v>0.05</v>
      </c>
      <c r="J63">
        <f t="shared" si="0"/>
        <v>5509.9809999999998</v>
      </c>
      <c r="K63" s="9">
        <f t="shared" si="1"/>
        <v>1.2473854171840129</v>
      </c>
    </row>
    <row r="64" spans="1:11" x14ac:dyDescent="0.3">
      <c r="A64">
        <v>23</v>
      </c>
      <c r="B64">
        <v>2</v>
      </c>
      <c r="C64">
        <v>23</v>
      </c>
      <c r="D64" t="str">
        <f>VLOOKUP($C64,products!$A$1:$F$322,MATCH(order_items!$D$1,products!$A$1:$F$1,0),FALSE)</f>
        <v>Electra Girl's Hawaii 1 (20-inch) - 2015/2016</v>
      </c>
      <c r="E64">
        <f>VLOOKUP($C64,products!$A$1:$F$322,MATCH(order_items!$E$1,products!$A$1:$F$1,0),FALSE)</f>
        <v>1</v>
      </c>
      <c r="F64" t="str">
        <f>VLOOKUP($E64,categories!$A$1:$B$8,MATCH(order_items!$F$1,categories!$A$1:$B$1,0),FALSE)</f>
        <v>Children Bicycles</v>
      </c>
      <c r="G64">
        <v>2</v>
      </c>
      <c r="H64">
        <v>299.99</v>
      </c>
      <c r="I64" s="5">
        <v>0.1</v>
      </c>
      <c r="J64">
        <f t="shared" si="0"/>
        <v>539.98200000000008</v>
      </c>
      <c r="K64" s="9">
        <f t="shared" si="1"/>
        <v>-0.67476028104499197</v>
      </c>
    </row>
    <row r="65" spans="1:11" x14ac:dyDescent="0.3">
      <c r="A65">
        <v>23</v>
      </c>
      <c r="B65">
        <v>3</v>
      </c>
      <c r="C65">
        <v>13</v>
      </c>
      <c r="D65" t="str">
        <f>VLOOKUP($C65,products!$A$1:$F$322,MATCH(order_items!$D$1,products!$A$1:$F$1,0),FALSE)</f>
        <v>Electra Cruiser 1 (24-Inch) - 2016</v>
      </c>
      <c r="E65">
        <f>VLOOKUP($C65,products!$A$1:$F$322,MATCH(order_items!$E$1,products!$A$1:$F$1,0),FALSE)</f>
        <v>3</v>
      </c>
      <c r="F65" t="str">
        <f>VLOOKUP($E65,categories!$A$1:$B$8,MATCH(order_items!$F$1,categories!$A$1:$B$1,0),FALSE)</f>
        <v>Cruisers Bicycles</v>
      </c>
      <c r="G65">
        <v>1</v>
      </c>
      <c r="H65">
        <v>269.99</v>
      </c>
      <c r="I65" s="5">
        <v>0.2</v>
      </c>
      <c r="J65">
        <f t="shared" si="0"/>
        <v>215.99200000000002</v>
      </c>
      <c r="K65" s="9">
        <f t="shared" si="1"/>
        <v>-0.69693888525532666</v>
      </c>
    </row>
    <row r="66" spans="1:11" x14ac:dyDescent="0.3">
      <c r="A66">
        <v>24</v>
      </c>
      <c r="B66">
        <v>1</v>
      </c>
      <c r="C66">
        <v>3</v>
      </c>
      <c r="D66" t="str">
        <f>VLOOKUP($C66,products!$A$1:$F$322,MATCH(order_items!$D$1,products!$A$1:$F$1,0),FALSE)</f>
        <v>Surly Wednesday Frameset - 2016</v>
      </c>
      <c r="E66">
        <f>VLOOKUP($C66,products!$A$1:$F$322,MATCH(order_items!$E$1,products!$A$1:$F$1,0),FALSE)</f>
        <v>6</v>
      </c>
      <c r="F66" t="str">
        <f>VLOOKUP($E66,categories!$A$1:$B$8,MATCH(order_items!$F$1,categories!$A$1:$B$1,0),FALSE)</f>
        <v>Mountain Bikes</v>
      </c>
      <c r="G66">
        <v>2</v>
      </c>
      <c r="H66">
        <v>999.99</v>
      </c>
      <c r="I66" s="5">
        <v>0.1</v>
      </c>
      <c r="J66">
        <f t="shared" ref="J66:J129" si="2">G66*H66*(1-I66)</f>
        <v>1799.982</v>
      </c>
      <c r="K66" s="9">
        <f t="shared" ref="K66:K129" si="3">($H66-$M$7)/$M$9</f>
        <v>-0.15725951613718298</v>
      </c>
    </row>
    <row r="67" spans="1:11" x14ac:dyDescent="0.3">
      <c r="A67">
        <v>24</v>
      </c>
      <c r="B67">
        <v>2</v>
      </c>
      <c r="C67">
        <v>18</v>
      </c>
      <c r="D67" t="str">
        <f>VLOOKUP($C67,products!$A$1:$F$322,MATCH(order_items!$D$1,products!$A$1:$F$1,0),FALSE)</f>
        <v>Pure Cycles Western 3-Speed - Women's - 2015/2016</v>
      </c>
      <c r="E67">
        <f>VLOOKUP($C67,products!$A$1:$F$322,MATCH(order_items!$E$1,products!$A$1:$F$1,0),FALSE)</f>
        <v>3</v>
      </c>
      <c r="F67" t="str">
        <f>VLOOKUP($E67,categories!$A$1:$B$8,MATCH(order_items!$F$1,categories!$A$1:$B$1,0),FALSE)</f>
        <v>Cruisers Bicycles</v>
      </c>
      <c r="G67">
        <v>2</v>
      </c>
      <c r="H67">
        <v>449</v>
      </c>
      <c r="I67" s="5">
        <v>7.0000000000000007E-2</v>
      </c>
      <c r="J67">
        <f t="shared" si="2"/>
        <v>835.14</v>
      </c>
      <c r="K67" s="9">
        <f t="shared" si="3"/>
        <v>-0.56459915393225968</v>
      </c>
    </row>
    <row r="68" spans="1:11" x14ac:dyDescent="0.3">
      <c r="A68">
        <v>25</v>
      </c>
      <c r="B68">
        <v>1</v>
      </c>
      <c r="C68">
        <v>23</v>
      </c>
      <c r="D68" t="str">
        <f>VLOOKUP($C68,products!$A$1:$F$322,MATCH(order_items!$D$1,products!$A$1:$F$1,0),FALSE)</f>
        <v>Electra Girl's Hawaii 1 (20-inch) - 2015/2016</v>
      </c>
      <c r="E68">
        <f>VLOOKUP($C68,products!$A$1:$F$322,MATCH(order_items!$E$1,products!$A$1:$F$1,0),FALSE)</f>
        <v>1</v>
      </c>
      <c r="F68" t="str">
        <f>VLOOKUP($E68,categories!$A$1:$B$8,MATCH(order_items!$F$1,categories!$A$1:$B$1,0),FALSE)</f>
        <v>Children Bicycles</v>
      </c>
      <c r="G68">
        <v>2</v>
      </c>
      <c r="H68">
        <v>299.99</v>
      </c>
      <c r="I68" s="5">
        <v>0.2</v>
      </c>
      <c r="J68">
        <f t="shared" si="2"/>
        <v>479.98400000000004</v>
      </c>
      <c r="K68" s="9">
        <f t="shared" si="3"/>
        <v>-0.67476028104499197</v>
      </c>
    </row>
    <row r="69" spans="1:11" x14ac:dyDescent="0.3">
      <c r="A69">
        <v>25</v>
      </c>
      <c r="B69">
        <v>2</v>
      </c>
      <c r="C69">
        <v>10</v>
      </c>
      <c r="D69" t="str">
        <f>VLOOKUP($C69,products!$A$1:$F$322,MATCH(order_items!$D$1,products!$A$1:$F$1,0),FALSE)</f>
        <v>Surly Straggler - 2016</v>
      </c>
      <c r="E69">
        <f>VLOOKUP($C69,products!$A$1:$F$322,MATCH(order_items!$E$1,products!$A$1:$F$1,0),FALSE)</f>
        <v>4</v>
      </c>
      <c r="F69" t="str">
        <f>VLOOKUP($E69,categories!$A$1:$B$8,MATCH(order_items!$F$1,categories!$A$1:$B$1,0),FALSE)</f>
        <v>Cyclocross Bicycles</v>
      </c>
      <c r="G69">
        <v>2</v>
      </c>
      <c r="H69">
        <v>1549</v>
      </c>
      <c r="I69" s="5">
        <v>0.2</v>
      </c>
      <c r="J69">
        <f t="shared" si="2"/>
        <v>2478.4</v>
      </c>
      <c r="K69" s="9">
        <f t="shared" si="3"/>
        <v>0.24861633378001166</v>
      </c>
    </row>
    <row r="70" spans="1:11" x14ac:dyDescent="0.3">
      <c r="A70">
        <v>25</v>
      </c>
      <c r="B70">
        <v>3</v>
      </c>
      <c r="C70">
        <v>22</v>
      </c>
      <c r="D70" t="str">
        <f>VLOOKUP($C70,products!$A$1:$F$322,MATCH(order_items!$D$1,products!$A$1:$F$1,0),FALSE)</f>
        <v>Electra Girl's Hawaii 1 (16-inch) - 2015/2016</v>
      </c>
      <c r="E70">
        <f>VLOOKUP($C70,products!$A$1:$F$322,MATCH(order_items!$E$1,products!$A$1:$F$1,0),FALSE)</f>
        <v>1</v>
      </c>
      <c r="F70" t="str">
        <f>VLOOKUP($E70,categories!$A$1:$B$8,MATCH(order_items!$F$1,categories!$A$1:$B$1,0),FALSE)</f>
        <v>Children Bicycles</v>
      </c>
      <c r="G70">
        <v>1</v>
      </c>
      <c r="H70">
        <v>269.99</v>
      </c>
      <c r="I70" s="5">
        <v>0.2</v>
      </c>
      <c r="J70">
        <f t="shared" si="2"/>
        <v>215.99200000000002</v>
      </c>
      <c r="K70" s="9">
        <f t="shared" si="3"/>
        <v>-0.69693888525532666</v>
      </c>
    </row>
    <row r="71" spans="1:11" x14ac:dyDescent="0.3">
      <c r="A71">
        <v>25</v>
      </c>
      <c r="B71">
        <v>4</v>
      </c>
      <c r="C71">
        <v>14</v>
      </c>
      <c r="D71" t="str">
        <f>VLOOKUP($C71,products!$A$1:$F$322,MATCH(order_items!$D$1,products!$A$1:$F$1,0),FALSE)</f>
        <v>Electra Girl's Hawaii 1 (16-inch) - 2015/2016</v>
      </c>
      <c r="E71">
        <f>VLOOKUP($C71,products!$A$1:$F$322,MATCH(order_items!$E$1,products!$A$1:$F$1,0),FALSE)</f>
        <v>3</v>
      </c>
      <c r="F71" t="str">
        <f>VLOOKUP($E71,categories!$A$1:$B$8,MATCH(order_items!$F$1,categories!$A$1:$B$1,0),FALSE)</f>
        <v>Cruisers Bicycles</v>
      </c>
      <c r="G71">
        <v>1</v>
      </c>
      <c r="H71">
        <v>269.99</v>
      </c>
      <c r="I71" s="5">
        <v>0.2</v>
      </c>
      <c r="J71">
        <f t="shared" si="2"/>
        <v>215.99200000000002</v>
      </c>
      <c r="K71" s="9">
        <f t="shared" si="3"/>
        <v>-0.69693888525532666</v>
      </c>
    </row>
    <row r="72" spans="1:11" x14ac:dyDescent="0.3">
      <c r="A72">
        <v>25</v>
      </c>
      <c r="B72">
        <v>5</v>
      </c>
      <c r="C72">
        <v>21</v>
      </c>
      <c r="D72" t="str">
        <f>VLOOKUP($C72,products!$A$1:$F$322,MATCH(order_items!$D$1,products!$A$1:$F$1,0),FALSE)</f>
        <v>Electra Cruiser 1 (24-Inch) - 2016</v>
      </c>
      <c r="E72">
        <f>VLOOKUP($C72,products!$A$1:$F$322,MATCH(order_items!$E$1,products!$A$1:$F$1,0),FALSE)</f>
        <v>1</v>
      </c>
      <c r="F72" t="str">
        <f>VLOOKUP($E72,categories!$A$1:$B$8,MATCH(order_items!$F$1,categories!$A$1:$B$1,0),FALSE)</f>
        <v>Children Bicycles</v>
      </c>
      <c r="G72">
        <v>1</v>
      </c>
      <c r="H72">
        <v>269.99</v>
      </c>
      <c r="I72" s="5">
        <v>0.1</v>
      </c>
      <c r="J72">
        <f t="shared" si="2"/>
        <v>242.99100000000001</v>
      </c>
      <c r="K72" s="9">
        <f t="shared" si="3"/>
        <v>-0.69693888525532666</v>
      </c>
    </row>
    <row r="73" spans="1:11" x14ac:dyDescent="0.3">
      <c r="A73">
        <v>26</v>
      </c>
      <c r="B73">
        <v>1</v>
      </c>
      <c r="C73">
        <v>7</v>
      </c>
      <c r="D73" t="str">
        <f>VLOOKUP($C73,products!$A$1:$F$322,MATCH(order_items!$D$1,products!$A$1:$F$1,0),FALSE)</f>
        <v>Trek Slash 8 27.5 - 2016</v>
      </c>
      <c r="E73">
        <f>VLOOKUP($C73,products!$A$1:$F$322,MATCH(order_items!$E$1,products!$A$1:$F$1,0),FALSE)</f>
        <v>6</v>
      </c>
      <c r="F73" t="str">
        <f>VLOOKUP($E73,categories!$A$1:$B$8,MATCH(order_items!$F$1,categories!$A$1:$B$1,0),FALSE)</f>
        <v>Mountain Bikes</v>
      </c>
      <c r="G73">
        <v>1</v>
      </c>
      <c r="H73">
        <v>3999.99</v>
      </c>
      <c r="I73" s="5">
        <v>0.05</v>
      </c>
      <c r="J73">
        <f t="shared" si="2"/>
        <v>3799.9904999999994</v>
      </c>
      <c r="K73" s="9">
        <f t="shared" si="3"/>
        <v>2.0606009048962846</v>
      </c>
    </row>
    <row r="74" spans="1:11" x14ac:dyDescent="0.3">
      <c r="A74">
        <v>26</v>
      </c>
      <c r="B74">
        <v>2</v>
      </c>
      <c r="C74">
        <v>2</v>
      </c>
      <c r="D74" t="str">
        <f>VLOOKUP($C74,products!$A$1:$F$322,MATCH(order_items!$D$1,products!$A$1:$F$1,0),FALSE)</f>
        <v>Ritchey Timberwolf Frameset - 2016</v>
      </c>
      <c r="E74">
        <f>VLOOKUP($C74,products!$A$1:$F$322,MATCH(order_items!$E$1,products!$A$1:$F$1,0),FALSE)</f>
        <v>6</v>
      </c>
      <c r="F74" t="str">
        <f>VLOOKUP($E74,categories!$A$1:$B$8,MATCH(order_items!$F$1,categories!$A$1:$B$1,0),FALSE)</f>
        <v>Mountain Bikes</v>
      </c>
      <c r="G74">
        <v>1</v>
      </c>
      <c r="H74">
        <v>749.99</v>
      </c>
      <c r="I74" s="5">
        <v>0.2</v>
      </c>
      <c r="J74">
        <f t="shared" si="2"/>
        <v>599.99200000000008</v>
      </c>
      <c r="K74" s="9">
        <f t="shared" si="3"/>
        <v>-0.34208121788997192</v>
      </c>
    </row>
    <row r="75" spans="1:11" x14ac:dyDescent="0.3">
      <c r="A75">
        <v>26</v>
      </c>
      <c r="B75">
        <v>3</v>
      </c>
      <c r="C75">
        <v>12</v>
      </c>
      <c r="D75" t="str">
        <f>VLOOKUP($C75,products!$A$1:$F$322,MATCH(order_items!$D$1,products!$A$1:$F$1,0),FALSE)</f>
        <v>Electra Townie Original 21D - 2016</v>
      </c>
      <c r="E75">
        <f>VLOOKUP($C75,products!$A$1:$F$322,MATCH(order_items!$E$1,products!$A$1:$F$1,0),FALSE)</f>
        <v>3</v>
      </c>
      <c r="F75" t="str">
        <f>VLOOKUP($E75,categories!$A$1:$B$8,MATCH(order_items!$F$1,categories!$A$1:$B$1,0),FALSE)</f>
        <v>Cruisers Bicycles</v>
      </c>
      <c r="G75">
        <v>1</v>
      </c>
      <c r="H75">
        <v>549.99</v>
      </c>
      <c r="I75" s="5">
        <v>0.2</v>
      </c>
      <c r="J75">
        <f t="shared" si="2"/>
        <v>439.99200000000002</v>
      </c>
      <c r="K75" s="9">
        <f t="shared" si="3"/>
        <v>-0.48993857929220308</v>
      </c>
    </row>
    <row r="76" spans="1:11" x14ac:dyDescent="0.3">
      <c r="A76">
        <v>26</v>
      </c>
      <c r="B76">
        <v>4</v>
      </c>
      <c r="C76">
        <v>21</v>
      </c>
      <c r="D76" t="str">
        <f>VLOOKUP($C76,products!$A$1:$F$322,MATCH(order_items!$D$1,products!$A$1:$F$1,0),FALSE)</f>
        <v>Electra Cruiser 1 (24-Inch) - 2016</v>
      </c>
      <c r="E76">
        <f>VLOOKUP($C76,products!$A$1:$F$322,MATCH(order_items!$E$1,products!$A$1:$F$1,0),FALSE)</f>
        <v>1</v>
      </c>
      <c r="F76" t="str">
        <f>VLOOKUP($E76,categories!$A$1:$B$8,MATCH(order_items!$F$1,categories!$A$1:$B$1,0),FALSE)</f>
        <v>Children Bicycles</v>
      </c>
      <c r="G76">
        <v>2</v>
      </c>
      <c r="H76">
        <v>269.99</v>
      </c>
      <c r="I76" s="5">
        <v>7.0000000000000007E-2</v>
      </c>
      <c r="J76">
        <f t="shared" si="2"/>
        <v>502.1814</v>
      </c>
      <c r="K76" s="9">
        <f t="shared" si="3"/>
        <v>-0.69693888525532666</v>
      </c>
    </row>
    <row r="77" spans="1:11" x14ac:dyDescent="0.3">
      <c r="A77">
        <v>27</v>
      </c>
      <c r="B77">
        <v>1</v>
      </c>
      <c r="C77">
        <v>5</v>
      </c>
      <c r="D77" t="str">
        <f>VLOOKUP($C77,products!$A$1:$F$322,MATCH(order_items!$D$1,products!$A$1:$F$1,0),FALSE)</f>
        <v>Heller Shagamaw Frame - 2016</v>
      </c>
      <c r="E77">
        <f>VLOOKUP($C77,products!$A$1:$F$322,MATCH(order_items!$E$1,products!$A$1:$F$1,0),FALSE)</f>
        <v>6</v>
      </c>
      <c r="F77" t="str">
        <f>VLOOKUP($E77,categories!$A$1:$B$8,MATCH(order_items!$F$1,categories!$A$1:$B$1,0),FALSE)</f>
        <v>Mountain Bikes</v>
      </c>
      <c r="G77">
        <v>1</v>
      </c>
      <c r="H77">
        <v>1320.99</v>
      </c>
      <c r="I77" s="5">
        <v>0.2</v>
      </c>
      <c r="J77">
        <f t="shared" si="2"/>
        <v>1056.7920000000001</v>
      </c>
      <c r="K77" s="9">
        <f t="shared" si="3"/>
        <v>8.0051548913398024E-2</v>
      </c>
    </row>
    <row r="78" spans="1:11" x14ac:dyDescent="0.3">
      <c r="A78">
        <v>27</v>
      </c>
      <c r="B78">
        <v>2</v>
      </c>
      <c r="C78">
        <v>19</v>
      </c>
      <c r="D78" t="str">
        <f>VLOOKUP($C78,products!$A$1:$F$322,MATCH(order_items!$D$1,products!$A$1:$F$1,0),FALSE)</f>
        <v>Pure Cycles William 3-Speed - 2016</v>
      </c>
      <c r="E78">
        <f>VLOOKUP($C78,products!$A$1:$F$322,MATCH(order_items!$E$1,products!$A$1:$F$1,0),FALSE)</f>
        <v>3</v>
      </c>
      <c r="F78" t="str">
        <f>VLOOKUP($E78,categories!$A$1:$B$8,MATCH(order_items!$F$1,categories!$A$1:$B$1,0),FALSE)</f>
        <v>Cruisers Bicycles</v>
      </c>
      <c r="G78">
        <v>1</v>
      </c>
      <c r="H78">
        <v>449</v>
      </c>
      <c r="I78" s="5">
        <v>0.2</v>
      </c>
      <c r="J78">
        <f t="shared" si="2"/>
        <v>359.20000000000005</v>
      </c>
      <c r="K78" s="9">
        <f t="shared" si="3"/>
        <v>-0.56459915393225968</v>
      </c>
    </row>
    <row r="79" spans="1:11" x14ac:dyDescent="0.3">
      <c r="A79">
        <v>27</v>
      </c>
      <c r="B79">
        <v>3</v>
      </c>
      <c r="C79">
        <v>26</v>
      </c>
      <c r="D79" t="str">
        <f>VLOOKUP($C79,products!$A$1:$F$322,MATCH(order_items!$D$1,products!$A$1:$F$1,0),FALSE)</f>
        <v>Electra Townie Original 7D EQ - 2016</v>
      </c>
      <c r="E79">
        <f>VLOOKUP($C79,products!$A$1:$F$322,MATCH(order_items!$E$1,products!$A$1:$F$1,0),FALSE)</f>
        <v>2</v>
      </c>
      <c r="F79" t="str">
        <f>VLOOKUP($E79,categories!$A$1:$B$8,MATCH(order_items!$F$1,categories!$A$1:$B$1,0),FALSE)</f>
        <v>Comfort Bicycles</v>
      </c>
      <c r="G79">
        <v>2</v>
      </c>
      <c r="H79">
        <v>599.99</v>
      </c>
      <c r="I79" s="5">
        <v>7.0000000000000007E-2</v>
      </c>
      <c r="J79">
        <f t="shared" si="2"/>
        <v>1115.9813999999999</v>
      </c>
      <c r="K79" s="9">
        <f t="shared" si="3"/>
        <v>-0.45297423894164529</v>
      </c>
    </row>
    <row r="80" spans="1:11" x14ac:dyDescent="0.3">
      <c r="A80">
        <v>27</v>
      </c>
      <c r="B80">
        <v>4</v>
      </c>
      <c r="C80">
        <v>8</v>
      </c>
      <c r="D80" t="str">
        <f>VLOOKUP($C80,products!$A$1:$F$322,MATCH(order_items!$D$1,products!$A$1:$F$1,0),FALSE)</f>
        <v>Trek Remedy 29 Carbon Frameset - 2016</v>
      </c>
      <c r="E80">
        <f>VLOOKUP($C80,products!$A$1:$F$322,MATCH(order_items!$E$1,products!$A$1:$F$1,0),FALSE)</f>
        <v>6</v>
      </c>
      <c r="F80" t="str">
        <f>VLOOKUP($E80,categories!$A$1:$B$8,MATCH(order_items!$F$1,categories!$A$1:$B$1,0),FALSE)</f>
        <v>Mountain Bikes</v>
      </c>
      <c r="G80">
        <v>1</v>
      </c>
      <c r="H80">
        <v>1799.99</v>
      </c>
      <c r="I80" s="5">
        <v>7.0000000000000007E-2</v>
      </c>
      <c r="J80">
        <f t="shared" si="2"/>
        <v>1673.9906999999998</v>
      </c>
      <c r="K80" s="9">
        <f t="shared" si="3"/>
        <v>0.43416992947174166</v>
      </c>
    </row>
    <row r="81" spans="1:11" x14ac:dyDescent="0.3">
      <c r="A81">
        <v>28</v>
      </c>
      <c r="B81">
        <v>1</v>
      </c>
      <c r="C81">
        <v>5</v>
      </c>
      <c r="D81" t="str">
        <f>VLOOKUP($C81,products!$A$1:$F$322,MATCH(order_items!$D$1,products!$A$1:$F$1,0),FALSE)</f>
        <v>Heller Shagamaw Frame - 2016</v>
      </c>
      <c r="E81">
        <f>VLOOKUP($C81,products!$A$1:$F$322,MATCH(order_items!$E$1,products!$A$1:$F$1,0),FALSE)</f>
        <v>6</v>
      </c>
      <c r="F81" t="str">
        <f>VLOOKUP($E81,categories!$A$1:$B$8,MATCH(order_items!$F$1,categories!$A$1:$B$1,0),FALSE)</f>
        <v>Mountain Bikes</v>
      </c>
      <c r="G81">
        <v>1</v>
      </c>
      <c r="H81">
        <v>1320.99</v>
      </c>
      <c r="I81" s="5">
        <v>0.05</v>
      </c>
      <c r="J81">
        <f t="shared" si="2"/>
        <v>1254.9404999999999</v>
      </c>
      <c r="K81" s="9">
        <f t="shared" si="3"/>
        <v>8.0051548913398024E-2</v>
      </c>
    </row>
    <row r="82" spans="1:11" x14ac:dyDescent="0.3">
      <c r="A82">
        <v>28</v>
      </c>
      <c r="B82">
        <v>2</v>
      </c>
      <c r="C82">
        <v>7</v>
      </c>
      <c r="D82" t="str">
        <f>VLOOKUP($C82,products!$A$1:$F$322,MATCH(order_items!$D$1,products!$A$1:$F$1,0),FALSE)</f>
        <v>Trek Slash 8 27.5 - 2016</v>
      </c>
      <c r="E82">
        <f>VLOOKUP($C82,products!$A$1:$F$322,MATCH(order_items!$E$1,products!$A$1:$F$1,0),FALSE)</f>
        <v>6</v>
      </c>
      <c r="F82" t="str">
        <f>VLOOKUP($E82,categories!$A$1:$B$8,MATCH(order_items!$F$1,categories!$A$1:$B$1,0),FALSE)</f>
        <v>Mountain Bikes</v>
      </c>
      <c r="G82">
        <v>2</v>
      </c>
      <c r="H82">
        <v>3999.99</v>
      </c>
      <c r="I82" s="5">
        <v>0.2</v>
      </c>
      <c r="J82">
        <f t="shared" si="2"/>
        <v>6399.9840000000004</v>
      </c>
      <c r="K82" s="9">
        <f t="shared" si="3"/>
        <v>2.0606009048962846</v>
      </c>
    </row>
    <row r="83" spans="1:11" x14ac:dyDescent="0.3">
      <c r="A83">
        <v>28</v>
      </c>
      <c r="B83">
        <v>3</v>
      </c>
      <c r="C83">
        <v>14</v>
      </c>
      <c r="D83" t="str">
        <f>VLOOKUP($C83,products!$A$1:$F$322,MATCH(order_items!$D$1,products!$A$1:$F$1,0),FALSE)</f>
        <v>Electra Girl's Hawaii 1 (16-inch) - 2015/2016</v>
      </c>
      <c r="E83">
        <f>VLOOKUP($C83,products!$A$1:$F$322,MATCH(order_items!$E$1,products!$A$1:$F$1,0),FALSE)</f>
        <v>3</v>
      </c>
      <c r="F83" t="str">
        <f>VLOOKUP($E83,categories!$A$1:$B$8,MATCH(order_items!$F$1,categories!$A$1:$B$1,0),FALSE)</f>
        <v>Cruisers Bicycles</v>
      </c>
      <c r="G83">
        <v>2</v>
      </c>
      <c r="H83">
        <v>269.99</v>
      </c>
      <c r="I83" s="5">
        <v>0.1</v>
      </c>
      <c r="J83">
        <f t="shared" si="2"/>
        <v>485.98200000000003</v>
      </c>
      <c r="K83" s="9">
        <f t="shared" si="3"/>
        <v>-0.69693888525532666</v>
      </c>
    </row>
    <row r="84" spans="1:11" x14ac:dyDescent="0.3">
      <c r="A84">
        <v>28</v>
      </c>
      <c r="B84">
        <v>4</v>
      </c>
      <c r="C84">
        <v>6</v>
      </c>
      <c r="D84" t="str">
        <f>VLOOKUP($C84,products!$A$1:$F$322,MATCH(order_items!$D$1,products!$A$1:$F$1,0),FALSE)</f>
        <v>Surly Ice Cream Truck Frameset - 2016</v>
      </c>
      <c r="E84">
        <f>VLOOKUP($C84,products!$A$1:$F$322,MATCH(order_items!$E$1,products!$A$1:$F$1,0),FALSE)</f>
        <v>6</v>
      </c>
      <c r="F84" t="str">
        <f>VLOOKUP($E84,categories!$A$1:$B$8,MATCH(order_items!$F$1,categories!$A$1:$B$1,0),FALSE)</f>
        <v>Mountain Bikes</v>
      </c>
      <c r="G84">
        <v>1</v>
      </c>
      <c r="H84">
        <v>469.99</v>
      </c>
      <c r="I84" s="5">
        <v>0.05</v>
      </c>
      <c r="J84">
        <f t="shared" si="2"/>
        <v>446.4905</v>
      </c>
      <c r="K84" s="9">
        <f t="shared" si="3"/>
        <v>-0.5490815238530955</v>
      </c>
    </row>
    <row r="85" spans="1:11" x14ac:dyDescent="0.3">
      <c r="A85">
        <v>29</v>
      </c>
      <c r="B85">
        <v>1</v>
      </c>
      <c r="C85">
        <v>24</v>
      </c>
      <c r="D85" t="str">
        <f>VLOOKUP($C85,products!$A$1:$F$322,MATCH(order_items!$D$1,products!$A$1:$F$1,0),FALSE)</f>
        <v>Electra Townie Original 21D - 2016</v>
      </c>
      <c r="E85">
        <f>VLOOKUP($C85,products!$A$1:$F$322,MATCH(order_items!$E$1,products!$A$1:$F$1,0),FALSE)</f>
        <v>2</v>
      </c>
      <c r="F85" t="str">
        <f>VLOOKUP($E85,categories!$A$1:$B$8,MATCH(order_items!$F$1,categories!$A$1:$B$1,0),FALSE)</f>
        <v>Comfort Bicycles</v>
      </c>
      <c r="G85">
        <v>2</v>
      </c>
      <c r="H85">
        <v>549.99</v>
      </c>
      <c r="I85" s="5">
        <v>0.05</v>
      </c>
      <c r="J85">
        <f t="shared" si="2"/>
        <v>1044.981</v>
      </c>
      <c r="K85" s="9">
        <f t="shared" si="3"/>
        <v>-0.48993857929220308</v>
      </c>
    </row>
    <row r="86" spans="1:11" x14ac:dyDescent="0.3">
      <c r="A86">
        <v>29</v>
      </c>
      <c r="B86">
        <v>2</v>
      </c>
      <c r="C86">
        <v>6</v>
      </c>
      <c r="D86" t="str">
        <f>VLOOKUP($C86,products!$A$1:$F$322,MATCH(order_items!$D$1,products!$A$1:$F$1,0),FALSE)</f>
        <v>Surly Ice Cream Truck Frameset - 2016</v>
      </c>
      <c r="E86">
        <f>VLOOKUP($C86,products!$A$1:$F$322,MATCH(order_items!$E$1,products!$A$1:$F$1,0),FALSE)</f>
        <v>6</v>
      </c>
      <c r="F86" t="str">
        <f>VLOOKUP($E86,categories!$A$1:$B$8,MATCH(order_items!$F$1,categories!$A$1:$B$1,0),FALSE)</f>
        <v>Mountain Bikes</v>
      </c>
      <c r="G86">
        <v>1</v>
      </c>
      <c r="H86">
        <v>469.99</v>
      </c>
      <c r="I86" s="5">
        <v>0.2</v>
      </c>
      <c r="J86">
        <f t="shared" si="2"/>
        <v>375.99200000000002</v>
      </c>
      <c r="K86" s="9">
        <f t="shared" si="3"/>
        <v>-0.5490815238530955</v>
      </c>
    </row>
    <row r="87" spans="1:11" x14ac:dyDescent="0.3">
      <c r="A87">
        <v>29</v>
      </c>
      <c r="B87">
        <v>3</v>
      </c>
      <c r="C87">
        <v>21</v>
      </c>
      <c r="D87" t="str">
        <f>VLOOKUP($C87,products!$A$1:$F$322,MATCH(order_items!$D$1,products!$A$1:$F$1,0),FALSE)</f>
        <v>Electra Cruiser 1 (24-Inch) - 2016</v>
      </c>
      <c r="E87">
        <f>VLOOKUP($C87,products!$A$1:$F$322,MATCH(order_items!$E$1,products!$A$1:$F$1,0),FALSE)</f>
        <v>1</v>
      </c>
      <c r="F87" t="str">
        <f>VLOOKUP($E87,categories!$A$1:$B$8,MATCH(order_items!$F$1,categories!$A$1:$B$1,0),FALSE)</f>
        <v>Children Bicycles</v>
      </c>
      <c r="G87">
        <v>2</v>
      </c>
      <c r="H87">
        <v>269.99</v>
      </c>
      <c r="I87" s="5">
        <v>0.1</v>
      </c>
      <c r="J87">
        <f t="shared" si="2"/>
        <v>485.98200000000003</v>
      </c>
      <c r="K87" s="9">
        <f t="shared" si="3"/>
        <v>-0.69693888525532666</v>
      </c>
    </row>
    <row r="88" spans="1:11" x14ac:dyDescent="0.3">
      <c r="A88">
        <v>29</v>
      </c>
      <c r="B88">
        <v>4</v>
      </c>
      <c r="C88">
        <v>8</v>
      </c>
      <c r="D88" t="str">
        <f>VLOOKUP($C88,products!$A$1:$F$322,MATCH(order_items!$D$1,products!$A$1:$F$1,0),FALSE)</f>
        <v>Trek Remedy 29 Carbon Frameset - 2016</v>
      </c>
      <c r="E88">
        <f>VLOOKUP($C88,products!$A$1:$F$322,MATCH(order_items!$E$1,products!$A$1:$F$1,0),FALSE)</f>
        <v>6</v>
      </c>
      <c r="F88" t="str">
        <f>VLOOKUP($E88,categories!$A$1:$B$8,MATCH(order_items!$F$1,categories!$A$1:$B$1,0),FALSE)</f>
        <v>Mountain Bikes</v>
      </c>
      <c r="G88">
        <v>1</v>
      </c>
      <c r="H88">
        <v>1799.99</v>
      </c>
      <c r="I88" s="5">
        <v>0.2</v>
      </c>
      <c r="J88">
        <f t="shared" si="2"/>
        <v>1439.9920000000002</v>
      </c>
      <c r="K88" s="9">
        <f t="shared" si="3"/>
        <v>0.43416992947174166</v>
      </c>
    </row>
    <row r="89" spans="1:11" x14ac:dyDescent="0.3">
      <c r="A89">
        <v>29</v>
      </c>
      <c r="B89">
        <v>5</v>
      </c>
      <c r="C89">
        <v>14</v>
      </c>
      <c r="D89" t="str">
        <f>VLOOKUP($C89,products!$A$1:$F$322,MATCH(order_items!$D$1,products!$A$1:$F$1,0),FALSE)</f>
        <v>Electra Girl's Hawaii 1 (16-inch) - 2015/2016</v>
      </c>
      <c r="E89">
        <f>VLOOKUP($C89,products!$A$1:$F$322,MATCH(order_items!$E$1,products!$A$1:$F$1,0),FALSE)</f>
        <v>3</v>
      </c>
      <c r="F89" t="str">
        <f>VLOOKUP($E89,categories!$A$1:$B$8,MATCH(order_items!$F$1,categories!$A$1:$B$1,0),FALSE)</f>
        <v>Cruisers Bicycles</v>
      </c>
      <c r="G89">
        <v>2</v>
      </c>
      <c r="H89">
        <v>269.99</v>
      </c>
      <c r="I89" s="5">
        <v>0.05</v>
      </c>
      <c r="J89">
        <f t="shared" si="2"/>
        <v>512.98099999999999</v>
      </c>
      <c r="K89" s="9">
        <f t="shared" si="3"/>
        <v>-0.69693888525532666</v>
      </c>
    </row>
    <row r="90" spans="1:11" x14ac:dyDescent="0.3">
      <c r="A90">
        <v>30</v>
      </c>
      <c r="B90">
        <v>1</v>
      </c>
      <c r="C90">
        <v>26</v>
      </c>
      <c r="D90" t="str">
        <f>VLOOKUP($C90,products!$A$1:$F$322,MATCH(order_items!$D$1,products!$A$1:$F$1,0),FALSE)</f>
        <v>Electra Townie Original 7D EQ - 2016</v>
      </c>
      <c r="E90">
        <f>VLOOKUP($C90,products!$A$1:$F$322,MATCH(order_items!$E$1,products!$A$1:$F$1,0),FALSE)</f>
        <v>2</v>
      </c>
      <c r="F90" t="str">
        <f>VLOOKUP($E90,categories!$A$1:$B$8,MATCH(order_items!$F$1,categories!$A$1:$B$1,0),FALSE)</f>
        <v>Comfort Bicycles</v>
      </c>
      <c r="G90">
        <v>1</v>
      </c>
      <c r="H90">
        <v>599.99</v>
      </c>
      <c r="I90" s="5">
        <v>0.05</v>
      </c>
      <c r="J90">
        <f t="shared" si="2"/>
        <v>569.9905</v>
      </c>
      <c r="K90" s="9">
        <f t="shared" si="3"/>
        <v>-0.45297423894164529</v>
      </c>
    </row>
    <row r="91" spans="1:11" x14ac:dyDescent="0.3">
      <c r="A91">
        <v>30</v>
      </c>
      <c r="B91">
        <v>2</v>
      </c>
      <c r="C91">
        <v>17</v>
      </c>
      <c r="D91" t="str">
        <f>VLOOKUP($C91,products!$A$1:$F$322,MATCH(order_items!$D$1,products!$A$1:$F$1,0),FALSE)</f>
        <v>Pure Cycles Vine 8-Speed - 2016</v>
      </c>
      <c r="E91">
        <f>VLOOKUP($C91,products!$A$1:$F$322,MATCH(order_items!$E$1,products!$A$1:$F$1,0),FALSE)</f>
        <v>3</v>
      </c>
      <c r="F91" t="str">
        <f>VLOOKUP($E91,categories!$A$1:$B$8,MATCH(order_items!$F$1,categories!$A$1:$B$1,0),FALSE)</f>
        <v>Cruisers Bicycles</v>
      </c>
      <c r="G91">
        <v>1</v>
      </c>
      <c r="H91">
        <v>429</v>
      </c>
      <c r="I91" s="5">
        <v>7.0000000000000007E-2</v>
      </c>
      <c r="J91">
        <f t="shared" si="2"/>
        <v>398.96999999999997</v>
      </c>
      <c r="K91" s="9">
        <f t="shared" si="3"/>
        <v>-0.57938489007248284</v>
      </c>
    </row>
    <row r="92" spans="1:11" x14ac:dyDescent="0.3">
      <c r="A92">
        <v>30</v>
      </c>
      <c r="B92">
        <v>3</v>
      </c>
      <c r="C92">
        <v>19</v>
      </c>
      <c r="D92" t="str">
        <f>VLOOKUP($C92,products!$A$1:$F$322,MATCH(order_items!$D$1,products!$A$1:$F$1,0),FALSE)</f>
        <v>Pure Cycles William 3-Speed - 2016</v>
      </c>
      <c r="E92">
        <f>VLOOKUP($C92,products!$A$1:$F$322,MATCH(order_items!$E$1,products!$A$1:$F$1,0),FALSE)</f>
        <v>3</v>
      </c>
      <c r="F92" t="str">
        <f>VLOOKUP($E92,categories!$A$1:$B$8,MATCH(order_items!$F$1,categories!$A$1:$B$1,0),FALSE)</f>
        <v>Cruisers Bicycles</v>
      </c>
      <c r="G92">
        <v>1</v>
      </c>
      <c r="H92">
        <v>449</v>
      </c>
      <c r="I92" s="5">
        <v>0.1</v>
      </c>
      <c r="J92">
        <f t="shared" si="2"/>
        <v>404.1</v>
      </c>
      <c r="K92" s="9">
        <f t="shared" si="3"/>
        <v>-0.56459915393225968</v>
      </c>
    </row>
    <row r="93" spans="1:11" x14ac:dyDescent="0.3">
      <c r="A93">
        <v>30</v>
      </c>
      <c r="B93">
        <v>4</v>
      </c>
      <c r="C93">
        <v>4</v>
      </c>
      <c r="D93" t="str">
        <f>VLOOKUP($C93,products!$A$1:$F$322,MATCH(order_items!$D$1,products!$A$1:$F$1,0),FALSE)</f>
        <v>Trek Fuel EX 8 29 - 2016</v>
      </c>
      <c r="E93">
        <f>VLOOKUP($C93,products!$A$1:$F$322,MATCH(order_items!$E$1,products!$A$1:$F$1,0),FALSE)</f>
        <v>6</v>
      </c>
      <c r="F93" t="str">
        <f>VLOOKUP($E93,categories!$A$1:$B$8,MATCH(order_items!$F$1,categories!$A$1:$B$1,0),FALSE)</f>
        <v>Mountain Bikes</v>
      </c>
      <c r="G93">
        <v>1</v>
      </c>
      <c r="H93">
        <v>2899.99</v>
      </c>
      <c r="I93" s="5">
        <v>0.1</v>
      </c>
      <c r="J93">
        <f t="shared" si="2"/>
        <v>2609.991</v>
      </c>
      <c r="K93" s="9">
        <f t="shared" si="3"/>
        <v>1.2473854171840129</v>
      </c>
    </row>
    <row r="94" spans="1:11" x14ac:dyDescent="0.3">
      <c r="A94">
        <v>30</v>
      </c>
      <c r="B94">
        <v>5</v>
      </c>
      <c r="C94">
        <v>7</v>
      </c>
      <c r="D94" t="str">
        <f>VLOOKUP($C94,products!$A$1:$F$322,MATCH(order_items!$D$1,products!$A$1:$F$1,0),FALSE)</f>
        <v>Trek Slash 8 27.5 - 2016</v>
      </c>
      <c r="E94">
        <f>VLOOKUP($C94,products!$A$1:$F$322,MATCH(order_items!$E$1,products!$A$1:$F$1,0),FALSE)</f>
        <v>6</v>
      </c>
      <c r="F94" t="str">
        <f>VLOOKUP($E94,categories!$A$1:$B$8,MATCH(order_items!$F$1,categories!$A$1:$B$1,0),FALSE)</f>
        <v>Mountain Bikes</v>
      </c>
      <c r="G94">
        <v>2</v>
      </c>
      <c r="H94">
        <v>3999.99</v>
      </c>
      <c r="I94" s="5">
        <v>0.1</v>
      </c>
      <c r="J94">
        <f t="shared" si="2"/>
        <v>7199.982</v>
      </c>
      <c r="K94" s="9">
        <f t="shared" si="3"/>
        <v>2.0606009048962846</v>
      </c>
    </row>
    <row r="95" spans="1:11" x14ac:dyDescent="0.3">
      <c r="A95">
        <v>31</v>
      </c>
      <c r="B95">
        <v>1</v>
      </c>
      <c r="C95">
        <v>11</v>
      </c>
      <c r="D95" t="str">
        <f>VLOOKUP($C95,products!$A$1:$F$322,MATCH(order_items!$D$1,products!$A$1:$F$1,0),FALSE)</f>
        <v>Surly Straggler 650b - 2016</v>
      </c>
      <c r="E95">
        <f>VLOOKUP($C95,products!$A$1:$F$322,MATCH(order_items!$E$1,products!$A$1:$F$1,0),FALSE)</f>
        <v>4</v>
      </c>
      <c r="F95" t="str">
        <f>VLOOKUP($E95,categories!$A$1:$B$8,MATCH(order_items!$F$1,categories!$A$1:$B$1,0),FALSE)</f>
        <v>Cyclocross Bicycles</v>
      </c>
      <c r="G95">
        <v>2</v>
      </c>
      <c r="H95">
        <v>1680.99</v>
      </c>
      <c r="I95" s="5">
        <v>0.05</v>
      </c>
      <c r="J95">
        <f t="shared" si="2"/>
        <v>3193.8809999999999</v>
      </c>
      <c r="K95" s="9">
        <f t="shared" si="3"/>
        <v>0.3461947994374141</v>
      </c>
    </row>
    <row r="96" spans="1:11" x14ac:dyDescent="0.3">
      <c r="A96">
        <v>31</v>
      </c>
      <c r="B96">
        <v>2</v>
      </c>
      <c r="C96">
        <v>9</v>
      </c>
      <c r="D96" t="str">
        <f>VLOOKUP($C96,products!$A$1:$F$322,MATCH(order_items!$D$1,products!$A$1:$F$1,0),FALSE)</f>
        <v>Trek Conduit+ - 2016</v>
      </c>
      <c r="E96">
        <f>VLOOKUP($C96,products!$A$1:$F$322,MATCH(order_items!$E$1,products!$A$1:$F$1,0),FALSE)</f>
        <v>5</v>
      </c>
      <c r="F96" t="str">
        <f>VLOOKUP($E96,categories!$A$1:$B$8,MATCH(order_items!$F$1,categories!$A$1:$B$1,0),FALSE)</f>
        <v>Electric Bikes</v>
      </c>
      <c r="G96">
        <v>2</v>
      </c>
      <c r="H96">
        <v>2999.99</v>
      </c>
      <c r="I96" s="5">
        <v>0.2</v>
      </c>
      <c r="J96">
        <f t="shared" si="2"/>
        <v>4799.9839999999995</v>
      </c>
      <c r="K96" s="9">
        <f t="shared" si="3"/>
        <v>1.3213140978851283</v>
      </c>
    </row>
    <row r="97" spans="1:11" x14ac:dyDescent="0.3">
      <c r="A97">
        <v>32</v>
      </c>
      <c r="B97">
        <v>1</v>
      </c>
      <c r="C97">
        <v>8</v>
      </c>
      <c r="D97" t="str">
        <f>VLOOKUP($C97,products!$A$1:$F$322,MATCH(order_items!$D$1,products!$A$1:$F$1,0),FALSE)</f>
        <v>Trek Remedy 29 Carbon Frameset - 2016</v>
      </c>
      <c r="E97">
        <f>VLOOKUP($C97,products!$A$1:$F$322,MATCH(order_items!$E$1,products!$A$1:$F$1,0),FALSE)</f>
        <v>6</v>
      </c>
      <c r="F97" t="str">
        <f>VLOOKUP($E97,categories!$A$1:$B$8,MATCH(order_items!$F$1,categories!$A$1:$B$1,0),FALSE)</f>
        <v>Mountain Bikes</v>
      </c>
      <c r="G97">
        <v>2</v>
      </c>
      <c r="H97">
        <v>1799.99</v>
      </c>
      <c r="I97" s="5">
        <v>7.0000000000000007E-2</v>
      </c>
      <c r="J97">
        <f t="shared" si="2"/>
        <v>3347.9813999999997</v>
      </c>
      <c r="K97" s="9">
        <f t="shared" si="3"/>
        <v>0.43416992947174166</v>
      </c>
    </row>
    <row r="98" spans="1:11" x14ac:dyDescent="0.3">
      <c r="A98">
        <v>32</v>
      </c>
      <c r="B98">
        <v>2</v>
      </c>
      <c r="C98">
        <v>12</v>
      </c>
      <c r="D98" t="str">
        <f>VLOOKUP($C98,products!$A$1:$F$322,MATCH(order_items!$D$1,products!$A$1:$F$1,0),FALSE)</f>
        <v>Electra Townie Original 21D - 2016</v>
      </c>
      <c r="E98">
        <f>VLOOKUP($C98,products!$A$1:$F$322,MATCH(order_items!$E$1,products!$A$1:$F$1,0),FALSE)</f>
        <v>3</v>
      </c>
      <c r="F98" t="str">
        <f>VLOOKUP($E98,categories!$A$1:$B$8,MATCH(order_items!$F$1,categories!$A$1:$B$1,0),FALSE)</f>
        <v>Cruisers Bicycles</v>
      </c>
      <c r="G98">
        <v>2</v>
      </c>
      <c r="H98">
        <v>549.99</v>
      </c>
      <c r="I98" s="5">
        <v>7.0000000000000007E-2</v>
      </c>
      <c r="J98">
        <f t="shared" si="2"/>
        <v>1022.9813999999999</v>
      </c>
      <c r="K98" s="9">
        <f t="shared" si="3"/>
        <v>-0.48993857929220308</v>
      </c>
    </row>
    <row r="99" spans="1:11" x14ac:dyDescent="0.3">
      <c r="A99">
        <v>32</v>
      </c>
      <c r="B99">
        <v>3</v>
      </c>
      <c r="C99">
        <v>25</v>
      </c>
      <c r="D99" t="str">
        <f>VLOOKUP($C99,products!$A$1:$F$322,MATCH(order_items!$D$1,products!$A$1:$F$1,0),FALSE)</f>
        <v>Electra Townie Original 7D - 2015/2016</v>
      </c>
      <c r="E99">
        <f>VLOOKUP($C99,products!$A$1:$F$322,MATCH(order_items!$E$1,products!$A$1:$F$1,0),FALSE)</f>
        <v>2</v>
      </c>
      <c r="F99" t="str">
        <f>VLOOKUP($E99,categories!$A$1:$B$8,MATCH(order_items!$F$1,categories!$A$1:$B$1,0),FALSE)</f>
        <v>Comfort Bicycles</v>
      </c>
      <c r="G99">
        <v>2</v>
      </c>
      <c r="H99">
        <v>499.99</v>
      </c>
      <c r="I99" s="5">
        <v>0.1</v>
      </c>
      <c r="J99">
        <f t="shared" si="2"/>
        <v>899.98200000000008</v>
      </c>
      <c r="K99" s="9">
        <f t="shared" si="3"/>
        <v>-0.52690291964276081</v>
      </c>
    </row>
    <row r="100" spans="1:11" x14ac:dyDescent="0.3">
      <c r="A100">
        <v>33</v>
      </c>
      <c r="B100">
        <v>1</v>
      </c>
      <c r="C100">
        <v>23</v>
      </c>
      <c r="D100" t="str">
        <f>VLOOKUP($C100,products!$A$1:$F$322,MATCH(order_items!$D$1,products!$A$1:$F$1,0),FALSE)</f>
        <v>Electra Girl's Hawaii 1 (20-inch) - 2015/2016</v>
      </c>
      <c r="E100">
        <f>VLOOKUP($C100,products!$A$1:$F$322,MATCH(order_items!$E$1,products!$A$1:$F$1,0),FALSE)</f>
        <v>1</v>
      </c>
      <c r="F100" t="str">
        <f>VLOOKUP($E100,categories!$A$1:$B$8,MATCH(order_items!$F$1,categories!$A$1:$B$1,0),FALSE)</f>
        <v>Children Bicycles</v>
      </c>
      <c r="G100">
        <v>2</v>
      </c>
      <c r="H100">
        <v>299.99</v>
      </c>
      <c r="I100" s="5">
        <v>7.0000000000000007E-2</v>
      </c>
      <c r="J100">
        <f t="shared" si="2"/>
        <v>557.98140000000001</v>
      </c>
      <c r="K100" s="9">
        <f t="shared" si="3"/>
        <v>-0.67476028104499197</v>
      </c>
    </row>
    <row r="101" spans="1:11" x14ac:dyDescent="0.3">
      <c r="A101">
        <v>33</v>
      </c>
      <c r="B101">
        <v>2</v>
      </c>
      <c r="C101">
        <v>7</v>
      </c>
      <c r="D101" t="str">
        <f>VLOOKUP($C101,products!$A$1:$F$322,MATCH(order_items!$D$1,products!$A$1:$F$1,0),FALSE)</f>
        <v>Trek Slash 8 27.5 - 2016</v>
      </c>
      <c r="E101">
        <f>VLOOKUP($C101,products!$A$1:$F$322,MATCH(order_items!$E$1,products!$A$1:$F$1,0),FALSE)</f>
        <v>6</v>
      </c>
      <c r="F101" t="str">
        <f>VLOOKUP($E101,categories!$A$1:$B$8,MATCH(order_items!$F$1,categories!$A$1:$B$1,0),FALSE)</f>
        <v>Mountain Bikes</v>
      </c>
      <c r="G101">
        <v>1</v>
      </c>
      <c r="H101">
        <v>3999.99</v>
      </c>
      <c r="I101" s="5">
        <v>0.1</v>
      </c>
      <c r="J101">
        <f t="shared" si="2"/>
        <v>3599.991</v>
      </c>
      <c r="K101" s="9">
        <f t="shared" si="3"/>
        <v>2.0606009048962846</v>
      </c>
    </row>
    <row r="102" spans="1:11" x14ac:dyDescent="0.3">
      <c r="A102">
        <v>34</v>
      </c>
      <c r="B102">
        <v>1</v>
      </c>
      <c r="C102">
        <v>8</v>
      </c>
      <c r="D102" t="str">
        <f>VLOOKUP($C102,products!$A$1:$F$322,MATCH(order_items!$D$1,products!$A$1:$F$1,0),FALSE)</f>
        <v>Trek Remedy 29 Carbon Frameset - 2016</v>
      </c>
      <c r="E102">
        <f>VLOOKUP($C102,products!$A$1:$F$322,MATCH(order_items!$E$1,products!$A$1:$F$1,0),FALSE)</f>
        <v>6</v>
      </c>
      <c r="F102" t="str">
        <f>VLOOKUP($E102,categories!$A$1:$B$8,MATCH(order_items!$F$1,categories!$A$1:$B$1,0),FALSE)</f>
        <v>Mountain Bikes</v>
      </c>
      <c r="G102">
        <v>2</v>
      </c>
      <c r="H102">
        <v>1799.99</v>
      </c>
      <c r="I102" s="5">
        <v>7.0000000000000007E-2</v>
      </c>
      <c r="J102">
        <f t="shared" si="2"/>
        <v>3347.9813999999997</v>
      </c>
      <c r="K102" s="9">
        <f t="shared" si="3"/>
        <v>0.43416992947174166</v>
      </c>
    </row>
    <row r="103" spans="1:11" x14ac:dyDescent="0.3">
      <c r="A103">
        <v>34</v>
      </c>
      <c r="B103">
        <v>2</v>
      </c>
      <c r="C103">
        <v>10</v>
      </c>
      <c r="D103" t="str">
        <f>VLOOKUP($C103,products!$A$1:$F$322,MATCH(order_items!$D$1,products!$A$1:$F$1,0),FALSE)</f>
        <v>Surly Straggler - 2016</v>
      </c>
      <c r="E103">
        <f>VLOOKUP($C103,products!$A$1:$F$322,MATCH(order_items!$E$1,products!$A$1:$F$1,0),FALSE)</f>
        <v>4</v>
      </c>
      <c r="F103" t="str">
        <f>VLOOKUP($E103,categories!$A$1:$B$8,MATCH(order_items!$F$1,categories!$A$1:$B$1,0),FALSE)</f>
        <v>Cyclocross Bicycles</v>
      </c>
      <c r="G103">
        <v>2</v>
      </c>
      <c r="H103">
        <v>1549</v>
      </c>
      <c r="I103" s="5">
        <v>0.1</v>
      </c>
      <c r="J103">
        <f t="shared" si="2"/>
        <v>2788.2000000000003</v>
      </c>
      <c r="K103" s="9">
        <f t="shared" si="3"/>
        <v>0.24861633378001166</v>
      </c>
    </row>
    <row r="104" spans="1:11" x14ac:dyDescent="0.3">
      <c r="A104">
        <v>34</v>
      </c>
      <c r="B104">
        <v>3</v>
      </c>
      <c r="C104">
        <v>17</v>
      </c>
      <c r="D104" t="str">
        <f>VLOOKUP($C104,products!$A$1:$F$322,MATCH(order_items!$D$1,products!$A$1:$F$1,0),FALSE)</f>
        <v>Pure Cycles Vine 8-Speed - 2016</v>
      </c>
      <c r="E104">
        <f>VLOOKUP($C104,products!$A$1:$F$322,MATCH(order_items!$E$1,products!$A$1:$F$1,0),FALSE)</f>
        <v>3</v>
      </c>
      <c r="F104" t="str">
        <f>VLOOKUP($E104,categories!$A$1:$B$8,MATCH(order_items!$F$1,categories!$A$1:$B$1,0),FALSE)</f>
        <v>Cruisers Bicycles</v>
      </c>
      <c r="G104">
        <v>2</v>
      </c>
      <c r="H104">
        <v>429</v>
      </c>
      <c r="I104" s="5">
        <v>0.2</v>
      </c>
      <c r="J104">
        <f t="shared" si="2"/>
        <v>686.40000000000009</v>
      </c>
      <c r="K104" s="9">
        <f t="shared" si="3"/>
        <v>-0.57938489007248284</v>
      </c>
    </row>
    <row r="105" spans="1:11" x14ac:dyDescent="0.3">
      <c r="A105">
        <v>35</v>
      </c>
      <c r="B105">
        <v>1</v>
      </c>
      <c r="C105">
        <v>18</v>
      </c>
      <c r="D105" t="str">
        <f>VLOOKUP($C105,products!$A$1:$F$322,MATCH(order_items!$D$1,products!$A$1:$F$1,0),FALSE)</f>
        <v>Pure Cycles Western 3-Speed - Women's - 2015/2016</v>
      </c>
      <c r="E105">
        <f>VLOOKUP($C105,products!$A$1:$F$322,MATCH(order_items!$E$1,products!$A$1:$F$1,0),FALSE)</f>
        <v>3</v>
      </c>
      <c r="F105" t="str">
        <f>VLOOKUP($E105,categories!$A$1:$B$8,MATCH(order_items!$F$1,categories!$A$1:$B$1,0),FALSE)</f>
        <v>Cruisers Bicycles</v>
      </c>
      <c r="G105">
        <v>1</v>
      </c>
      <c r="H105">
        <v>449</v>
      </c>
      <c r="I105" s="5">
        <v>0.05</v>
      </c>
      <c r="J105">
        <f t="shared" si="2"/>
        <v>426.54999999999995</v>
      </c>
      <c r="K105" s="9">
        <f t="shared" si="3"/>
        <v>-0.56459915393225968</v>
      </c>
    </row>
    <row r="106" spans="1:11" x14ac:dyDescent="0.3">
      <c r="A106">
        <v>35</v>
      </c>
      <c r="B106">
        <v>2</v>
      </c>
      <c r="C106">
        <v>20</v>
      </c>
      <c r="D106" t="str">
        <f>VLOOKUP($C106,products!$A$1:$F$322,MATCH(order_items!$D$1,products!$A$1:$F$1,0),FALSE)</f>
        <v>Electra Townie Original 7D EQ - Women's - 2016</v>
      </c>
      <c r="E106">
        <f>VLOOKUP($C106,products!$A$1:$F$322,MATCH(order_items!$E$1,products!$A$1:$F$1,0),FALSE)</f>
        <v>3</v>
      </c>
      <c r="F106" t="str">
        <f>VLOOKUP($E106,categories!$A$1:$B$8,MATCH(order_items!$F$1,categories!$A$1:$B$1,0),FALSE)</f>
        <v>Cruisers Bicycles</v>
      </c>
      <c r="G106">
        <v>2</v>
      </c>
      <c r="H106">
        <v>599.99</v>
      </c>
      <c r="I106" s="5">
        <v>0.05</v>
      </c>
      <c r="J106">
        <f t="shared" si="2"/>
        <v>1139.981</v>
      </c>
      <c r="K106" s="9">
        <f t="shared" si="3"/>
        <v>-0.45297423894164529</v>
      </c>
    </row>
    <row r="107" spans="1:11" x14ac:dyDescent="0.3">
      <c r="A107">
        <v>35</v>
      </c>
      <c r="B107">
        <v>3</v>
      </c>
      <c r="C107">
        <v>5</v>
      </c>
      <c r="D107" t="str">
        <f>VLOOKUP($C107,products!$A$1:$F$322,MATCH(order_items!$D$1,products!$A$1:$F$1,0),FALSE)</f>
        <v>Heller Shagamaw Frame - 2016</v>
      </c>
      <c r="E107">
        <f>VLOOKUP($C107,products!$A$1:$F$322,MATCH(order_items!$E$1,products!$A$1:$F$1,0),FALSE)</f>
        <v>6</v>
      </c>
      <c r="F107" t="str">
        <f>VLOOKUP($E107,categories!$A$1:$B$8,MATCH(order_items!$F$1,categories!$A$1:$B$1,0),FALSE)</f>
        <v>Mountain Bikes</v>
      </c>
      <c r="G107">
        <v>1</v>
      </c>
      <c r="H107">
        <v>1320.99</v>
      </c>
      <c r="I107" s="5">
        <v>0.2</v>
      </c>
      <c r="J107">
        <f t="shared" si="2"/>
        <v>1056.7920000000001</v>
      </c>
      <c r="K107" s="9">
        <f t="shared" si="3"/>
        <v>8.0051548913398024E-2</v>
      </c>
    </row>
    <row r="108" spans="1:11" x14ac:dyDescent="0.3">
      <c r="A108">
        <v>35</v>
      </c>
      <c r="B108">
        <v>4</v>
      </c>
      <c r="C108">
        <v>21</v>
      </c>
      <c r="D108" t="str">
        <f>VLOOKUP($C108,products!$A$1:$F$322,MATCH(order_items!$D$1,products!$A$1:$F$1,0),FALSE)</f>
        <v>Electra Cruiser 1 (24-Inch) - 2016</v>
      </c>
      <c r="E108">
        <f>VLOOKUP($C108,products!$A$1:$F$322,MATCH(order_items!$E$1,products!$A$1:$F$1,0),FALSE)</f>
        <v>1</v>
      </c>
      <c r="F108" t="str">
        <f>VLOOKUP($E108,categories!$A$1:$B$8,MATCH(order_items!$F$1,categories!$A$1:$B$1,0),FALSE)</f>
        <v>Children Bicycles</v>
      </c>
      <c r="G108">
        <v>2</v>
      </c>
      <c r="H108">
        <v>269.99</v>
      </c>
      <c r="I108" s="5">
        <v>7.0000000000000007E-2</v>
      </c>
      <c r="J108">
        <f t="shared" si="2"/>
        <v>502.1814</v>
      </c>
      <c r="K108" s="9">
        <f t="shared" si="3"/>
        <v>-0.69693888525532666</v>
      </c>
    </row>
    <row r="109" spans="1:11" x14ac:dyDescent="0.3">
      <c r="A109">
        <v>35</v>
      </c>
      <c r="B109">
        <v>5</v>
      </c>
      <c r="C109">
        <v>22</v>
      </c>
      <c r="D109" t="str">
        <f>VLOOKUP($C109,products!$A$1:$F$322,MATCH(order_items!$D$1,products!$A$1:$F$1,0),FALSE)</f>
        <v>Electra Girl's Hawaii 1 (16-inch) - 2015/2016</v>
      </c>
      <c r="E109">
        <f>VLOOKUP($C109,products!$A$1:$F$322,MATCH(order_items!$E$1,products!$A$1:$F$1,0),FALSE)</f>
        <v>1</v>
      </c>
      <c r="F109" t="str">
        <f>VLOOKUP($E109,categories!$A$1:$B$8,MATCH(order_items!$F$1,categories!$A$1:$B$1,0),FALSE)</f>
        <v>Children Bicycles</v>
      </c>
      <c r="G109">
        <v>1</v>
      </c>
      <c r="H109">
        <v>269.99</v>
      </c>
      <c r="I109" s="5">
        <v>7.0000000000000007E-2</v>
      </c>
      <c r="J109">
        <f t="shared" si="2"/>
        <v>251.0907</v>
      </c>
      <c r="K109" s="9">
        <f t="shared" si="3"/>
        <v>-0.69693888525532666</v>
      </c>
    </row>
    <row r="110" spans="1:11" x14ac:dyDescent="0.3">
      <c r="A110">
        <v>36</v>
      </c>
      <c r="B110">
        <v>1</v>
      </c>
      <c r="C110">
        <v>9</v>
      </c>
      <c r="D110" t="str">
        <f>VLOOKUP($C110,products!$A$1:$F$322,MATCH(order_items!$D$1,products!$A$1:$F$1,0),FALSE)</f>
        <v>Trek Conduit+ - 2016</v>
      </c>
      <c r="E110">
        <f>VLOOKUP($C110,products!$A$1:$F$322,MATCH(order_items!$E$1,products!$A$1:$F$1,0),FALSE)</f>
        <v>5</v>
      </c>
      <c r="F110" t="str">
        <f>VLOOKUP($E110,categories!$A$1:$B$8,MATCH(order_items!$F$1,categories!$A$1:$B$1,0),FALSE)</f>
        <v>Electric Bikes</v>
      </c>
      <c r="G110">
        <v>1</v>
      </c>
      <c r="H110">
        <v>2999.99</v>
      </c>
      <c r="I110" s="5">
        <v>7.0000000000000007E-2</v>
      </c>
      <c r="J110">
        <f t="shared" si="2"/>
        <v>2789.9906999999998</v>
      </c>
      <c r="K110" s="9">
        <f t="shared" si="3"/>
        <v>1.3213140978851283</v>
      </c>
    </row>
    <row r="111" spans="1:11" x14ac:dyDescent="0.3">
      <c r="A111">
        <v>36</v>
      </c>
      <c r="B111">
        <v>2</v>
      </c>
      <c r="C111">
        <v>5</v>
      </c>
      <c r="D111" t="str">
        <f>VLOOKUP($C111,products!$A$1:$F$322,MATCH(order_items!$D$1,products!$A$1:$F$1,0),FALSE)</f>
        <v>Heller Shagamaw Frame - 2016</v>
      </c>
      <c r="E111">
        <f>VLOOKUP($C111,products!$A$1:$F$322,MATCH(order_items!$E$1,products!$A$1:$F$1,0),FALSE)</f>
        <v>6</v>
      </c>
      <c r="F111" t="str">
        <f>VLOOKUP($E111,categories!$A$1:$B$8,MATCH(order_items!$F$1,categories!$A$1:$B$1,0),FALSE)</f>
        <v>Mountain Bikes</v>
      </c>
      <c r="G111">
        <v>1</v>
      </c>
      <c r="H111">
        <v>1320.99</v>
      </c>
      <c r="I111" s="5">
        <v>0.05</v>
      </c>
      <c r="J111">
        <f t="shared" si="2"/>
        <v>1254.9404999999999</v>
      </c>
      <c r="K111" s="9">
        <f t="shared" si="3"/>
        <v>8.0051548913398024E-2</v>
      </c>
    </row>
    <row r="112" spans="1:11" x14ac:dyDescent="0.3">
      <c r="A112">
        <v>36</v>
      </c>
      <c r="B112">
        <v>3</v>
      </c>
      <c r="C112">
        <v>3</v>
      </c>
      <c r="D112" t="str">
        <f>VLOOKUP($C112,products!$A$1:$F$322,MATCH(order_items!$D$1,products!$A$1:$F$1,0),FALSE)</f>
        <v>Surly Wednesday Frameset - 2016</v>
      </c>
      <c r="E112">
        <f>VLOOKUP($C112,products!$A$1:$F$322,MATCH(order_items!$E$1,products!$A$1:$F$1,0),FALSE)</f>
        <v>6</v>
      </c>
      <c r="F112" t="str">
        <f>VLOOKUP($E112,categories!$A$1:$B$8,MATCH(order_items!$F$1,categories!$A$1:$B$1,0),FALSE)</f>
        <v>Mountain Bikes</v>
      </c>
      <c r="G112">
        <v>2</v>
      </c>
      <c r="H112">
        <v>999.99</v>
      </c>
      <c r="I112" s="5">
        <v>0.2</v>
      </c>
      <c r="J112">
        <f t="shared" si="2"/>
        <v>1599.9840000000002</v>
      </c>
      <c r="K112" s="9">
        <f t="shared" si="3"/>
        <v>-0.15725951613718298</v>
      </c>
    </row>
    <row r="113" spans="1:11" x14ac:dyDescent="0.3">
      <c r="A113">
        <v>37</v>
      </c>
      <c r="B113">
        <v>1</v>
      </c>
      <c r="C113">
        <v>16</v>
      </c>
      <c r="D113" t="str">
        <f>VLOOKUP($C113,products!$A$1:$F$322,MATCH(order_items!$D$1,products!$A$1:$F$1,0),FALSE)</f>
        <v>Electra Townie Original 7D EQ - 2016</v>
      </c>
      <c r="E113">
        <f>VLOOKUP($C113,products!$A$1:$F$322,MATCH(order_items!$E$1,products!$A$1:$F$1,0),FALSE)</f>
        <v>3</v>
      </c>
      <c r="F113" t="str">
        <f>VLOOKUP($E113,categories!$A$1:$B$8,MATCH(order_items!$F$1,categories!$A$1:$B$1,0),FALSE)</f>
        <v>Cruisers Bicycles</v>
      </c>
      <c r="G113">
        <v>2</v>
      </c>
      <c r="H113">
        <v>599.99</v>
      </c>
      <c r="I113" s="5">
        <v>0.05</v>
      </c>
      <c r="J113">
        <f t="shared" si="2"/>
        <v>1139.981</v>
      </c>
      <c r="K113" s="9">
        <f t="shared" si="3"/>
        <v>-0.45297423894164529</v>
      </c>
    </row>
    <row r="114" spans="1:11" x14ac:dyDescent="0.3">
      <c r="A114">
        <v>38</v>
      </c>
      <c r="B114">
        <v>1</v>
      </c>
      <c r="C114">
        <v>7</v>
      </c>
      <c r="D114" t="str">
        <f>VLOOKUP($C114,products!$A$1:$F$322,MATCH(order_items!$D$1,products!$A$1:$F$1,0),FALSE)</f>
        <v>Trek Slash 8 27.5 - 2016</v>
      </c>
      <c r="E114">
        <f>VLOOKUP($C114,products!$A$1:$F$322,MATCH(order_items!$E$1,products!$A$1:$F$1,0),FALSE)</f>
        <v>6</v>
      </c>
      <c r="F114" t="str">
        <f>VLOOKUP($E114,categories!$A$1:$B$8,MATCH(order_items!$F$1,categories!$A$1:$B$1,0),FALSE)</f>
        <v>Mountain Bikes</v>
      </c>
      <c r="G114">
        <v>2</v>
      </c>
      <c r="H114">
        <v>3999.99</v>
      </c>
      <c r="I114" s="5">
        <v>0.05</v>
      </c>
      <c r="J114">
        <f t="shared" si="2"/>
        <v>7599.9809999999989</v>
      </c>
      <c r="K114" s="9">
        <f t="shared" si="3"/>
        <v>2.0606009048962846</v>
      </c>
    </row>
    <row r="115" spans="1:11" x14ac:dyDescent="0.3">
      <c r="A115">
        <v>38</v>
      </c>
      <c r="B115">
        <v>2</v>
      </c>
      <c r="C115">
        <v>23</v>
      </c>
      <c r="D115" t="str">
        <f>VLOOKUP($C115,products!$A$1:$F$322,MATCH(order_items!$D$1,products!$A$1:$F$1,0),FALSE)</f>
        <v>Electra Girl's Hawaii 1 (20-inch) - 2015/2016</v>
      </c>
      <c r="E115">
        <f>VLOOKUP($C115,products!$A$1:$F$322,MATCH(order_items!$E$1,products!$A$1:$F$1,0),FALSE)</f>
        <v>1</v>
      </c>
      <c r="F115" t="str">
        <f>VLOOKUP($E115,categories!$A$1:$B$8,MATCH(order_items!$F$1,categories!$A$1:$B$1,0),FALSE)</f>
        <v>Children Bicycles</v>
      </c>
      <c r="G115">
        <v>1</v>
      </c>
      <c r="H115">
        <v>299.99</v>
      </c>
      <c r="I115" s="5">
        <v>7.0000000000000007E-2</v>
      </c>
      <c r="J115">
        <f t="shared" si="2"/>
        <v>278.9907</v>
      </c>
      <c r="K115" s="9">
        <f t="shared" si="3"/>
        <v>-0.67476028104499197</v>
      </c>
    </row>
    <row r="116" spans="1:11" x14ac:dyDescent="0.3">
      <c r="A116">
        <v>38</v>
      </c>
      <c r="B116">
        <v>3</v>
      </c>
      <c r="C116">
        <v>25</v>
      </c>
      <c r="D116" t="str">
        <f>VLOOKUP($C116,products!$A$1:$F$322,MATCH(order_items!$D$1,products!$A$1:$F$1,0),FALSE)</f>
        <v>Electra Townie Original 7D - 2015/2016</v>
      </c>
      <c r="E116">
        <f>VLOOKUP($C116,products!$A$1:$F$322,MATCH(order_items!$E$1,products!$A$1:$F$1,0),FALSE)</f>
        <v>2</v>
      </c>
      <c r="F116" t="str">
        <f>VLOOKUP($E116,categories!$A$1:$B$8,MATCH(order_items!$F$1,categories!$A$1:$B$1,0),FALSE)</f>
        <v>Comfort Bicycles</v>
      </c>
      <c r="G116">
        <v>1</v>
      </c>
      <c r="H116">
        <v>499.99</v>
      </c>
      <c r="I116" s="5">
        <v>0.2</v>
      </c>
      <c r="J116">
        <f t="shared" si="2"/>
        <v>399.99200000000002</v>
      </c>
      <c r="K116" s="9">
        <f t="shared" si="3"/>
        <v>-0.52690291964276081</v>
      </c>
    </row>
    <row r="117" spans="1:11" x14ac:dyDescent="0.3">
      <c r="A117">
        <v>38</v>
      </c>
      <c r="B117">
        <v>4</v>
      </c>
      <c r="C117">
        <v>10</v>
      </c>
      <c r="D117" t="str">
        <f>VLOOKUP($C117,products!$A$1:$F$322,MATCH(order_items!$D$1,products!$A$1:$F$1,0),FALSE)</f>
        <v>Surly Straggler - 2016</v>
      </c>
      <c r="E117">
        <f>VLOOKUP($C117,products!$A$1:$F$322,MATCH(order_items!$E$1,products!$A$1:$F$1,0),FALSE)</f>
        <v>4</v>
      </c>
      <c r="F117" t="str">
        <f>VLOOKUP($E117,categories!$A$1:$B$8,MATCH(order_items!$F$1,categories!$A$1:$B$1,0),FALSE)</f>
        <v>Cyclocross Bicycles</v>
      </c>
      <c r="G117">
        <v>2</v>
      </c>
      <c r="H117">
        <v>1549</v>
      </c>
      <c r="I117" s="5">
        <v>0.1</v>
      </c>
      <c r="J117">
        <f t="shared" si="2"/>
        <v>2788.2000000000003</v>
      </c>
      <c r="K117" s="9">
        <f t="shared" si="3"/>
        <v>0.24861633378001166</v>
      </c>
    </row>
    <row r="118" spans="1:11" x14ac:dyDescent="0.3">
      <c r="A118">
        <v>38</v>
      </c>
      <c r="B118">
        <v>5</v>
      </c>
      <c r="C118">
        <v>24</v>
      </c>
      <c r="D118" t="str">
        <f>VLOOKUP($C118,products!$A$1:$F$322,MATCH(order_items!$D$1,products!$A$1:$F$1,0),FALSE)</f>
        <v>Electra Townie Original 21D - 2016</v>
      </c>
      <c r="E118">
        <f>VLOOKUP($C118,products!$A$1:$F$322,MATCH(order_items!$E$1,products!$A$1:$F$1,0),FALSE)</f>
        <v>2</v>
      </c>
      <c r="F118" t="str">
        <f>VLOOKUP($E118,categories!$A$1:$B$8,MATCH(order_items!$F$1,categories!$A$1:$B$1,0),FALSE)</f>
        <v>Comfort Bicycles</v>
      </c>
      <c r="G118">
        <v>1</v>
      </c>
      <c r="H118">
        <v>549.99</v>
      </c>
      <c r="I118" s="5">
        <v>7.0000000000000007E-2</v>
      </c>
      <c r="J118">
        <f t="shared" si="2"/>
        <v>511.49069999999995</v>
      </c>
      <c r="K118" s="9">
        <f t="shared" si="3"/>
        <v>-0.48993857929220308</v>
      </c>
    </row>
    <row r="119" spans="1:11" x14ac:dyDescent="0.3">
      <c r="A119">
        <v>39</v>
      </c>
      <c r="B119">
        <v>1</v>
      </c>
      <c r="C119">
        <v>22</v>
      </c>
      <c r="D119" t="str">
        <f>VLOOKUP($C119,products!$A$1:$F$322,MATCH(order_items!$D$1,products!$A$1:$F$1,0),FALSE)</f>
        <v>Electra Girl's Hawaii 1 (16-inch) - 2015/2016</v>
      </c>
      <c r="E119">
        <f>VLOOKUP($C119,products!$A$1:$F$322,MATCH(order_items!$E$1,products!$A$1:$F$1,0),FALSE)</f>
        <v>1</v>
      </c>
      <c r="F119" t="str">
        <f>VLOOKUP($E119,categories!$A$1:$B$8,MATCH(order_items!$F$1,categories!$A$1:$B$1,0),FALSE)</f>
        <v>Children Bicycles</v>
      </c>
      <c r="G119">
        <v>2</v>
      </c>
      <c r="H119">
        <v>269.99</v>
      </c>
      <c r="I119" s="5">
        <v>0.2</v>
      </c>
      <c r="J119">
        <f t="shared" si="2"/>
        <v>431.98400000000004</v>
      </c>
      <c r="K119" s="9">
        <f t="shared" si="3"/>
        <v>-0.69693888525532666</v>
      </c>
    </row>
    <row r="120" spans="1:11" x14ac:dyDescent="0.3">
      <c r="A120">
        <v>39</v>
      </c>
      <c r="B120">
        <v>2</v>
      </c>
      <c r="C120">
        <v>16</v>
      </c>
      <c r="D120" t="str">
        <f>VLOOKUP($C120,products!$A$1:$F$322,MATCH(order_items!$D$1,products!$A$1:$F$1,0),FALSE)</f>
        <v>Electra Townie Original 7D EQ - 2016</v>
      </c>
      <c r="E120">
        <f>VLOOKUP($C120,products!$A$1:$F$322,MATCH(order_items!$E$1,products!$A$1:$F$1,0),FALSE)</f>
        <v>3</v>
      </c>
      <c r="F120" t="str">
        <f>VLOOKUP($E120,categories!$A$1:$B$8,MATCH(order_items!$F$1,categories!$A$1:$B$1,0),FALSE)</f>
        <v>Cruisers Bicycles</v>
      </c>
      <c r="G120">
        <v>2</v>
      </c>
      <c r="H120">
        <v>599.99</v>
      </c>
      <c r="I120" s="5">
        <v>0.2</v>
      </c>
      <c r="J120">
        <f t="shared" si="2"/>
        <v>959.98400000000004</v>
      </c>
      <c r="K120" s="9">
        <f t="shared" si="3"/>
        <v>-0.45297423894164529</v>
      </c>
    </row>
    <row r="121" spans="1:11" x14ac:dyDescent="0.3">
      <c r="A121">
        <v>39</v>
      </c>
      <c r="B121">
        <v>3</v>
      </c>
      <c r="C121">
        <v>3</v>
      </c>
      <c r="D121" t="str">
        <f>VLOOKUP($C121,products!$A$1:$F$322,MATCH(order_items!$D$1,products!$A$1:$F$1,0),FALSE)</f>
        <v>Surly Wednesday Frameset - 2016</v>
      </c>
      <c r="E121">
        <f>VLOOKUP($C121,products!$A$1:$F$322,MATCH(order_items!$E$1,products!$A$1:$F$1,0),FALSE)</f>
        <v>6</v>
      </c>
      <c r="F121" t="str">
        <f>VLOOKUP($E121,categories!$A$1:$B$8,MATCH(order_items!$F$1,categories!$A$1:$B$1,0),FALSE)</f>
        <v>Mountain Bikes</v>
      </c>
      <c r="G121">
        <v>2</v>
      </c>
      <c r="H121">
        <v>999.99</v>
      </c>
      <c r="I121" s="5">
        <v>0.05</v>
      </c>
      <c r="J121">
        <f t="shared" si="2"/>
        <v>1899.981</v>
      </c>
      <c r="K121" s="9">
        <f t="shared" si="3"/>
        <v>-0.15725951613718298</v>
      </c>
    </row>
    <row r="122" spans="1:11" x14ac:dyDescent="0.3">
      <c r="A122">
        <v>39</v>
      </c>
      <c r="B122">
        <v>4</v>
      </c>
      <c r="C122">
        <v>15</v>
      </c>
      <c r="D122" t="str">
        <f>VLOOKUP($C122,products!$A$1:$F$322,MATCH(order_items!$D$1,products!$A$1:$F$1,0),FALSE)</f>
        <v>Electra Moto 1 - 2016</v>
      </c>
      <c r="E122">
        <f>VLOOKUP($C122,products!$A$1:$F$322,MATCH(order_items!$E$1,products!$A$1:$F$1,0),FALSE)</f>
        <v>3</v>
      </c>
      <c r="F122" t="str">
        <f>VLOOKUP($E122,categories!$A$1:$B$8,MATCH(order_items!$F$1,categories!$A$1:$B$1,0),FALSE)</f>
        <v>Cruisers Bicycles</v>
      </c>
      <c r="G122">
        <v>1</v>
      </c>
      <c r="H122">
        <v>529.99</v>
      </c>
      <c r="I122" s="5">
        <v>0.1</v>
      </c>
      <c r="J122">
        <f t="shared" si="2"/>
        <v>476.99100000000004</v>
      </c>
      <c r="K122" s="9">
        <f t="shared" si="3"/>
        <v>-0.50472431543242624</v>
      </c>
    </row>
    <row r="123" spans="1:11" x14ac:dyDescent="0.3">
      <c r="A123">
        <v>40</v>
      </c>
      <c r="B123">
        <v>1</v>
      </c>
      <c r="C123">
        <v>17</v>
      </c>
      <c r="D123" t="str">
        <f>VLOOKUP($C123,products!$A$1:$F$322,MATCH(order_items!$D$1,products!$A$1:$F$1,0),FALSE)</f>
        <v>Pure Cycles Vine 8-Speed - 2016</v>
      </c>
      <c r="E123">
        <f>VLOOKUP($C123,products!$A$1:$F$322,MATCH(order_items!$E$1,products!$A$1:$F$1,0),FALSE)</f>
        <v>3</v>
      </c>
      <c r="F123" t="str">
        <f>VLOOKUP($E123,categories!$A$1:$B$8,MATCH(order_items!$F$1,categories!$A$1:$B$1,0),FALSE)</f>
        <v>Cruisers Bicycles</v>
      </c>
      <c r="G123">
        <v>1</v>
      </c>
      <c r="H123">
        <v>429</v>
      </c>
      <c r="I123" s="5">
        <v>0.2</v>
      </c>
      <c r="J123">
        <f t="shared" si="2"/>
        <v>343.20000000000005</v>
      </c>
      <c r="K123" s="9">
        <f t="shared" si="3"/>
        <v>-0.57938489007248284</v>
      </c>
    </row>
    <row r="124" spans="1:11" x14ac:dyDescent="0.3">
      <c r="A124">
        <v>40</v>
      </c>
      <c r="B124">
        <v>2</v>
      </c>
      <c r="C124">
        <v>8</v>
      </c>
      <c r="D124" t="str">
        <f>VLOOKUP($C124,products!$A$1:$F$322,MATCH(order_items!$D$1,products!$A$1:$F$1,0),FALSE)</f>
        <v>Trek Remedy 29 Carbon Frameset - 2016</v>
      </c>
      <c r="E124">
        <f>VLOOKUP($C124,products!$A$1:$F$322,MATCH(order_items!$E$1,products!$A$1:$F$1,0),FALSE)</f>
        <v>6</v>
      </c>
      <c r="F124" t="str">
        <f>VLOOKUP($E124,categories!$A$1:$B$8,MATCH(order_items!$F$1,categories!$A$1:$B$1,0),FALSE)</f>
        <v>Mountain Bikes</v>
      </c>
      <c r="G124">
        <v>2</v>
      </c>
      <c r="H124">
        <v>1799.99</v>
      </c>
      <c r="I124" s="5">
        <v>0.2</v>
      </c>
      <c r="J124">
        <f t="shared" si="2"/>
        <v>2879.9840000000004</v>
      </c>
      <c r="K124" s="9">
        <f t="shared" si="3"/>
        <v>0.43416992947174166</v>
      </c>
    </row>
    <row r="125" spans="1:11" x14ac:dyDescent="0.3">
      <c r="A125">
        <v>41</v>
      </c>
      <c r="B125">
        <v>1</v>
      </c>
      <c r="C125">
        <v>5</v>
      </c>
      <c r="D125" t="str">
        <f>VLOOKUP($C125,products!$A$1:$F$322,MATCH(order_items!$D$1,products!$A$1:$F$1,0),FALSE)</f>
        <v>Heller Shagamaw Frame - 2016</v>
      </c>
      <c r="E125">
        <f>VLOOKUP($C125,products!$A$1:$F$322,MATCH(order_items!$E$1,products!$A$1:$F$1,0),FALSE)</f>
        <v>6</v>
      </c>
      <c r="F125" t="str">
        <f>VLOOKUP($E125,categories!$A$1:$B$8,MATCH(order_items!$F$1,categories!$A$1:$B$1,0),FALSE)</f>
        <v>Mountain Bikes</v>
      </c>
      <c r="G125">
        <v>1</v>
      </c>
      <c r="H125">
        <v>1320.99</v>
      </c>
      <c r="I125" s="5">
        <v>0.1</v>
      </c>
      <c r="J125">
        <f t="shared" si="2"/>
        <v>1188.8910000000001</v>
      </c>
      <c r="K125" s="9">
        <f t="shared" si="3"/>
        <v>8.0051548913398024E-2</v>
      </c>
    </row>
    <row r="126" spans="1:11" x14ac:dyDescent="0.3">
      <c r="A126">
        <v>41</v>
      </c>
      <c r="B126">
        <v>2</v>
      </c>
      <c r="C126">
        <v>19</v>
      </c>
      <c r="D126" t="str">
        <f>VLOOKUP($C126,products!$A$1:$F$322,MATCH(order_items!$D$1,products!$A$1:$F$1,0),FALSE)</f>
        <v>Pure Cycles William 3-Speed - 2016</v>
      </c>
      <c r="E126">
        <f>VLOOKUP($C126,products!$A$1:$F$322,MATCH(order_items!$E$1,products!$A$1:$F$1,0),FALSE)</f>
        <v>3</v>
      </c>
      <c r="F126" t="str">
        <f>VLOOKUP($E126,categories!$A$1:$B$8,MATCH(order_items!$F$1,categories!$A$1:$B$1,0),FALSE)</f>
        <v>Cruisers Bicycles</v>
      </c>
      <c r="G126">
        <v>2</v>
      </c>
      <c r="H126">
        <v>449</v>
      </c>
      <c r="I126" s="5">
        <v>0.2</v>
      </c>
      <c r="J126">
        <f t="shared" si="2"/>
        <v>718.40000000000009</v>
      </c>
      <c r="K126" s="9">
        <f t="shared" si="3"/>
        <v>-0.56459915393225968</v>
      </c>
    </row>
    <row r="127" spans="1:11" x14ac:dyDescent="0.3">
      <c r="A127">
        <v>41</v>
      </c>
      <c r="B127">
        <v>3</v>
      </c>
      <c r="C127">
        <v>26</v>
      </c>
      <c r="D127" t="str">
        <f>VLOOKUP($C127,products!$A$1:$F$322,MATCH(order_items!$D$1,products!$A$1:$F$1,0),FALSE)</f>
        <v>Electra Townie Original 7D EQ - 2016</v>
      </c>
      <c r="E127">
        <f>VLOOKUP($C127,products!$A$1:$F$322,MATCH(order_items!$E$1,products!$A$1:$F$1,0),FALSE)</f>
        <v>2</v>
      </c>
      <c r="F127" t="str">
        <f>VLOOKUP($E127,categories!$A$1:$B$8,MATCH(order_items!$F$1,categories!$A$1:$B$1,0),FALSE)</f>
        <v>Comfort Bicycles</v>
      </c>
      <c r="G127">
        <v>2</v>
      </c>
      <c r="H127">
        <v>599.99</v>
      </c>
      <c r="I127" s="5">
        <v>0.2</v>
      </c>
      <c r="J127">
        <f t="shared" si="2"/>
        <v>959.98400000000004</v>
      </c>
      <c r="K127" s="9">
        <f t="shared" si="3"/>
        <v>-0.45297423894164529</v>
      </c>
    </row>
    <row r="128" spans="1:11" x14ac:dyDescent="0.3">
      <c r="A128">
        <v>42</v>
      </c>
      <c r="B128">
        <v>1</v>
      </c>
      <c r="C128">
        <v>19</v>
      </c>
      <c r="D128" t="str">
        <f>VLOOKUP($C128,products!$A$1:$F$322,MATCH(order_items!$D$1,products!$A$1:$F$1,0),FALSE)</f>
        <v>Pure Cycles William 3-Speed - 2016</v>
      </c>
      <c r="E128">
        <f>VLOOKUP($C128,products!$A$1:$F$322,MATCH(order_items!$E$1,products!$A$1:$F$1,0),FALSE)</f>
        <v>3</v>
      </c>
      <c r="F128" t="str">
        <f>VLOOKUP($E128,categories!$A$1:$B$8,MATCH(order_items!$F$1,categories!$A$1:$B$1,0),FALSE)</f>
        <v>Cruisers Bicycles</v>
      </c>
      <c r="G128">
        <v>1</v>
      </c>
      <c r="H128">
        <v>449</v>
      </c>
      <c r="I128" s="5">
        <v>0.05</v>
      </c>
      <c r="J128">
        <f t="shared" si="2"/>
        <v>426.54999999999995</v>
      </c>
      <c r="K128" s="9">
        <f t="shared" si="3"/>
        <v>-0.56459915393225968</v>
      </c>
    </row>
    <row r="129" spans="1:11" x14ac:dyDescent="0.3">
      <c r="A129">
        <v>43</v>
      </c>
      <c r="B129">
        <v>1</v>
      </c>
      <c r="C129">
        <v>13</v>
      </c>
      <c r="D129" t="str">
        <f>VLOOKUP($C129,products!$A$1:$F$322,MATCH(order_items!$D$1,products!$A$1:$F$1,0),FALSE)</f>
        <v>Electra Cruiser 1 (24-Inch) - 2016</v>
      </c>
      <c r="E129">
        <f>VLOOKUP($C129,products!$A$1:$F$322,MATCH(order_items!$E$1,products!$A$1:$F$1,0),FALSE)</f>
        <v>3</v>
      </c>
      <c r="F129" t="str">
        <f>VLOOKUP($E129,categories!$A$1:$B$8,MATCH(order_items!$F$1,categories!$A$1:$B$1,0),FALSE)</f>
        <v>Cruisers Bicycles</v>
      </c>
      <c r="G129">
        <v>2</v>
      </c>
      <c r="H129">
        <v>269.99</v>
      </c>
      <c r="I129" s="5">
        <v>0.1</v>
      </c>
      <c r="J129">
        <f t="shared" si="2"/>
        <v>485.98200000000003</v>
      </c>
      <c r="K129" s="9">
        <f t="shared" si="3"/>
        <v>-0.69693888525532666</v>
      </c>
    </row>
    <row r="130" spans="1:11" x14ac:dyDescent="0.3">
      <c r="A130">
        <v>43</v>
      </c>
      <c r="B130">
        <v>2</v>
      </c>
      <c r="C130">
        <v>12</v>
      </c>
      <c r="D130" t="str">
        <f>VLOOKUP($C130,products!$A$1:$F$322,MATCH(order_items!$D$1,products!$A$1:$F$1,0),FALSE)</f>
        <v>Electra Townie Original 21D - 2016</v>
      </c>
      <c r="E130">
        <f>VLOOKUP($C130,products!$A$1:$F$322,MATCH(order_items!$E$1,products!$A$1:$F$1,0),FALSE)</f>
        <v>3</v>
      </c>
      <c r="F130" t="str">
        <f>VLOOKUP($E130,categories!$A$1:$B$8,MATCH(order_items!$F$1,categories!$A$1:$B$1,0),FALSE)</f>
        <v>Cruisers Bicycles</v>
      </c>
      <c r="G130">
        <v>2</v>
      </c>
      <c r="H130">
        <v>549.99</v>
      </c>
      <c r="I130" s="5">
        <v>0.05</v>
      </c>
      <c r="J130">
        <f t="shared" ref="J130:J193" si="4">G130*H130*(1-I130)</f>
        <v>1044.981</v>
      </c>
      <c r="K130" s="9">
        <f t="shared" ref="K130:K193" si="5">($H130-$M$7)/$M$9</f>
        <v>-0.48993857929220308</v>
      </c>
    </row>
    <row r="131" spans="1:11" x14ac:dyDescent="0.3">
      <c r="A131">
        <v>44</v>
      </c>
      <c r="B131">
        <v>1</v>
      </c>
      <c r="C131">
        <v>7</v>
      </c>
      <c r="D131" t="str">
        <f>VLOOKUP($C131,products!$A$1:$F$322,MATCH(order_items!$D$1,products!$A$1:$F$1,0),FALSE)</f>
        <v>Trek Slash 8 27.5 - 2016</v>
      </c>
      <c r="E131">
        <f>VLOOKUP($C131,products!$A$1:$F$322,MATCH(order_items!$E$1,products!$A$1:$F$1,0),FALSE)</f>
        <v>6</v>
      </c>
      <c r="F131" t="str">
        <f>VLOOKUP($E131,categories!$A$1:$B$8,MATCH(order_items!$F$1,categories!$A$1:$B$1,0),FALSE)</f>
        <v>Mountain Bikes</v>
      </c>
      <c r="G131">
        <v>1</v>
      </c>
      <c r="H131">
        <v>3999.99</v>
      </c>
      <c r="I131" s="5">
        <v>0.1</v>
      </c>
      <c r="J131">
        <f t="shared" si="4"/>
        <v>3599.991</v>
      </c>
      <c r="K131" s="9">
        <f t="shared" si="5"/>
        <v>2.0606009048962846</v>
      </c>
    </row>
    <row r="132" spans="1:11" x14ac:dyDescent="0.3">
      <c r="A132">
        <v>44</v>
      </c>
      <c r="B132">
        <v>2</v>
      </c>
      <c r="C132">
        <v>16</v>
      </c>
      <c r="D132" t="str">
        <f>VLOOKUP($C132,products!$A$1:$F$322,MATCH(order_items!$D$1,products!$A$1:$F$1,0),FALSE)</f>
        <v>Electra Townie Original 7D EQ - 2016</v>
      </c>
      <c r="E132">
        <f>VLOOKUP($C132,products!$A$1:$F$322,MATCH(order_items!$E$1,products!$A$1:$F$1,0),FALSE)</f>
        <v>3</v>
      </c>
      <c r="F132" t="str">
        <f>VLOOKUP($E132,categories!$A$1:$B$8,MATCH(order_items!$F$1,categories!$A$1:$B$1,0),FALSE)</f>
        <v>Cruisers Bicycles</v>
      </c>
      <c r="G132">
        <v>1</v>
      </c>
      <c r="H132">
        <v>599.99</v>
      </c>
      <c r="I132" s="5">
        <v>0.05</v>
      </c>
      <c r="J132">
        <f t="shared" si="4"/>
        <v>569.9905</v>
      </c>
      <c r="K132" s="9">
        <f t="shared" si="5"/>
        <v>-0.45297423894164529</v>
      </c>
    </row>
    <row r="133" spans="1:11" x14ac:dyDescent="0.3">
      <c r="A133">
        <v>45</v>
      </c>
      <c r="B133">
        <v>1</v>
      </c>
      <c r="C133">
        <v>4</v>
      </c>
      <c r="D133" t="str">
        <f>VLOOKUP($C133,products!$A$1:$F$322,MATCH(order_items!$D$1,products!$A$1:$F$1,0),FALSE)</f>
        <v>Trek Fuel EX 8 29 - 2016</v>
      </c>
      <c r="E133">
        <f>VLOOKUP($C133,products!$A$1:$F$322,MATCH(order_items!$E$1,products!$A$1:$F$1,0),FALSE)</f>
        <v>6</v>
      </c>
      <c r="F133" t="str">
        <f>VLOOKUP($E133,categories!$A$1:$B$8,MATCH(order_items!$F$1,categories!$A$1:$B$1,0),FALSE)</f>
        <v>Mountain Bikes</v>
      </c>
      <c r="G133">
        <v>2</v>
      </c>
      <c r="H133">
        <v>2899.99</v>
      </c>
      <c r="I133" s="5">
        <v>0.2</v>
      </c>
      <c r="J133">
        <f t="shared" si="4"/>
        <v>4639.9839999999995</v>
      </c>
      <c r="K133" s="9">
        <f t="shared" si="5"/>
        <v>1.2473854171840129</v>
      </c>
    </row>
    <row r="134" spans="1:11" x14ac:dyDescent="0.3">
      <c r="A134">
        <v>45</v>
      </c>
      <c r="B134">
        <v>2</v>
      </c>
      <c r="C134">
        <v>22</v>
      </c>
      <c r="D134" t="str">
        <f>VLOOKUP($C134,products!$A$1:$F$322,MATCH(order_items!$D$1,products!$A$1:$F$1,0),FALSE)</f>
        <v>Electra Girl's Hawaii 1 (16-inch) - 2015/2016</v>
      </c>
      <c r="E134">
        <f>VLOOKUP($C134,products!$A$1:$F$322,MATCH(order_items!$E$1,products!$A$1:$F$1,0),FALSE)</f>
        <v>1</v>
      </c>
      <c r="F134" t="str">
        <f>VLOOKUP($E134,categories!$A$1:$B$8,MATCH(order_items!$F$1,categories!$A$1:$B$1,0),FALSE)</f>
        <v>Children Bicycles</v>
      </c>
      <c r="G134">
        <v>1</v>
      </c>
      <c r="H134">
        <v>269.99</v>
      </c>
      <c r="I134" s="5">
        <v>7.0000000000000007E-2</v>
      </c>
      <c r="J134">
        <f t="shared" si="4"/>
        <v>251.0907</v>
      </c>
      <c r="K134" s="9">
        <f t="shared" si="5"/>
        <v>-0.69693888525532666</v>
      </c>
    </row>
    <row r="135" spans="1:11" x14ac:dyDescent="0.3">
      <c r="A135">
        <v>45</v>
      </c>
      <c r="B135">
        <v>3</v>
      </c>
      <c r="C135">
        <v>21</v>
      </c>
      <c r="D135" t="str">
        <f>VLOOKUP($C135,products!$A$1:$F$322,MATCH(order_items!$D$1,products!$A$1:$F$1,0),FALSE)</f>
        <v>Electra Cruiser 1 (24-Inch) - 2016</v>
      </c>
      <c r="E135">
        <f>VLOOKUP($C135,products!$A$1:$F$322,MATCH(order_items!$E$1,products!$A$1:$F$1,0),FALSE)</f>
        <v>1</v>
      </c>
      <c r="F135" t="str">
        <f>VLOOKUP($E135,categories!$A$1:$B$8,MATCH(order_items!$F$1,categories!$A$1:$B$1,0),FALSE)</f>
        <v>Children Bicycles</v>
      </c>
      <c r="G135">
        <v>2</v>
      </c>
      <c r="H135">
        <v>269.99</v>
      </c>
      <c r="I135" s="5">
        <v>0.05</v>
      </c>
      <c r="J135">
        <f t="shared" si="4"/>
        <v>512.98099999999999</v>
      </c>
      <c r="K135" s="9">
        <f t="shared" si="5"/>
        <v>-0.69693888525532666</v>
      </c>
    </row>
    <row r="136" spans="1:11" x14ac:dyDescent="0.3">
      <c r="A136">
        <v>46</v>
      </c>
      <c r="B136">
        <v>1</v>
      </c>
      <c r="C136">
        <v>17</v>
      </c>
      <c r="D136" t="str">
        <f>VLOOKUP($C136,products!$A$1:$F$322,MATCH(order_items!$D$1,products!$A$1:$F$1,0),FALSE)</f>
        <v>Pure Cycles Vine 8-Speed - 2016</v>
      </c>
      <c r="E136">
        <f>VLOOKUP($C136,products!$A$1:$F$322,MATCH(order_items!$E$1,products!$A$1:$F$1,0),FALSE)</f>
        <v>3</v>
      </c>
      <c r="F136" t="str">
        <f>VLOOKUP($E136,categories!$A$1:$B$8,MATCH(order_items!$F$1,categories!$A$1:$B$1,0),FALSE)</f>
        <v>Cruisers Bicycles</v>
      </c>
      <c r="G136">
        <v>1</v>
      </c>
      <c r="H136">
        <v>429</v>
      </c>
      <c r="I136" s="5">
        <v>0.1</v>
      </c>
      <c r="J136">
        <f t="shared" si="4"/>
        <v>386.1</v>
      </c>
      <c r="K136" s="9">
        <f t="shared" si="5"/>
        <v>-0.57938489007248284</v>
      </c>
    </row>
    <row r="137" spans="1:11" x14ac:dyDescent="0.3">
      <c r="A137">
        <v>47</v>
      </c>
      <c r="B137">
        <v>1</v>
      </c>
      <c r="C137">
        <v>6</v>
      </c>
      <c r="D137" t="str">
        <f>VLOOKUP($C137,products!$A$1:$F$322,MATCH(order_items!$D$1,products!$A$1:$F$1,0),FALSE)</f>
        <v>Surly Ice Cream Truck Frameset - 2016</v>
      </c>
      <c r="E137">
        <f>VLOOKUP($C137,products!$A$1:$F$322,MATCH(order_items!$E$1,products!$A$1:$F$1,0),FALSE)</f>
        <v>6</v>
      </c>
      <c r="F137" t="str">
        <f>VLOOKUP($E137,categories!$A$1:$B$8,MATCH(order_items!$F$1,categories!$A$1:$B$1,0),FALSE)</f>
        <v>Mountain Bikes</v>
      </c>
      <c r="G137">
        <v>1</v>
      </c>
      <c r="H137">
        <v>469.99</v>
      </c>
      <c r="I137" s="5">
        <v>0.05</v>
      </c>
      <c r="J137">
        <f t="shared" si="4"/>
        <v>446.4905</v>
      </c>
      <c r="K137" s="9">
        <f t="shared" si="5"/>
        <v>-0.5490815238530955</v>
      </c>
    </row>
    <row r="138" spans="1:11" x14ac:dyDescent="0.3">
      <c r="A138">
        <v>47</v>
      </c>
      <c r="B138">
        <v>2</v>
      </c>
      <c r="C138">
        <v>15</v>
      </c>
      <c r="D138" t="str">
        <f>VLOOKUP($C138,products!$A$1:$F$322,MATCH(order_items!$D$1,products!$A$1:$F$1,0),FALSE)</f>
        <v>Electra Moto 1 - 2016</v>
      </c>
      <c r="E138">
        <f>VLOOKUP($C138,products!$A$1:$F$322,MATCH(order_items!$E$1,products!$A$1:$F$1,0),FALSE)</f>
        <v>3</v>
      </c>
      <c r="F138" t="str">
        <f>VLOOKUP($E138,categories!$A$1:$B$8,MATCH(order_items!$F$1,categories!$A$1:$B$1,0),FALSE)</f>
        <v>Cruisers Bicycles</v>
      </c>
      <c r="G138">
        <v>1</v>
      </c>
      <c r="H138">
        <v>529.99</v>
      </c>
      <c r="I138" s="5">
        <v>0.1</v>
      </c>
      <c r="J138">
        <f t="shared" si="4"/>
        <v>476.99100000000004</v>
      </c>
      <c r="K138" s="9">
        <f t="shared" si="5"/>
        <v>-0.50472431543242624</v>
      </c>
    </row>
    <row r="139" spans="1:11" x14ac:dyDescent="0.3">
      <c r="A139">
        <v>47</v>
      </c>
      <c r="B139">
        <v>3</v>
      </c>
      <c r="C139">
        <v>25</v>
      </c>
      <c r="D139" t="str">
        <f>VLOOKUP($C139,products!$A$1:$F$322,MATCH(order_items!$D$1,products!$A$1:$F$1,0),FALSE)</f>
        <v>Electra Townie Original 7D - 2015/2016</v>
      </c>
      <c r="E139">
        <f>VLOOKUP($C139,products!$A$1:$F$322,MATCH(order_items!$E$1,products!$A$1:$F$1,0),FALSE)</f>
        <v>2</v>
      </c>
      <c r="F139" t="str">
        <f>VLOOKUP($E139,categories!$A$1:$B$8,MATCH(order_items!$F$1,categories!$A$1:$B$1,0),FALSE)</f>
        <v>Comfort Bicycles</v>
      </c>
      <c r="G139">
        <v>2</v>
      </c>
      <c r="H139">
        <v>499.99</v>
      </c>
      <c r="I139" s="5">
        <v>7.0000000000000007E-2</v>
      </c>
      <c r="J139">
        <f t="shared" si="4"/>
        <v>929.98140000000001</v>
      </c>
      <c r="K139" s="9">
        <f t="shared" si="5"/>
        <v>-0.52690291964276081</v>
      </c>
    </row>
    <row r="140" spans="1:11" x14ac:dyDescent="0.3">
      <c r="A140">
        <v>47</v>
      </c>
      <c r="B140">
        <v>4</v>
      </c>
      <c r="C140">
        <v>13</v>
      </c>
      <c r="D140" t="str">
        <f>VLOOKUP($C140,products!$A$1:$F$322,MATCH(order_items!$D$1,products!$A$1:$F$1,0),FALSE)</f>
        <v>Electra Cruiser 1 (24-Inch) - 2016</v>
      </c>
      <c r="E140">
        <f>VLOOKUP($C140,products!$A$1:$F$322,MATCH(order_items!$E$1,products!$A$1:$F$1,0),FALSE)</f>
        <v>3</v>
      </c>
      <c r="F140" t="str">
        <f>VLOOKUP($E140,categories!$A$1:$B$8,MATCH(order_items!$F$1,categories!$A$1:$B$1,0),FALSE)</f>
        <v>Cruisers Bicycles</v>
      </c>
      <c r="G140">
        <v>1</v>
      </c>
      <c r="H140">
        <v>269.99</v>
      </c>
      <c r="I140" s="5">
        <v>0.2</v>
      </c>
      <c r="J140">
        <f t="shared" si="4"/>
        <v>215.99200000000002</v>
      </c>
      <c r="K140" s="9">
        <f t="shared" si="5"/>
        <v>-0.69693888525532666</v>
      </c>
    </row>
    <row r="141" spans="1:11" x14ac:dyDescent="0.3">
      <c r="A141">
        <v>48</v>
      </c>
      <c r="B141">
        <v>1</v>
      </c>
      <c r="C141">
        <v>11</v>
      </c>
      <c r="D141" t="str">
        <f>VLOOKUP($C141,products!$A$1:$F$322,MATCH(order_items!$D$1,products!$A$1:$F$1,0),FALSE)</f>
        <v>Surly Straggler 650b - 2016</v>
      </c>
      <c r="E141">
        <f>VLOOKUP($C141,products!$A$1:$F$322,MATCH(order_items!$E$1,products!$A$1:$F$1,0),FALSE)</f>
        <v>4</v>
      </c>
      <c r="F141" t="str">
        <f>VLOOKUP($E141,categories!$A$1:$B$8,MATCH(order_items!$F$1,categories!$A$1:$B$1,0),FALSE)</f>
        <v>Cyclocross Bicycles</v>
      </c>
      <c r="G141">
        <v>1</v>
      </c>
      <c r="H141">
        <v>1680.99</v>
      </c>
      <c r="I141" s="5">
        <v>0.1</v>
      </c>
      <c r="J141">
        <f t="shared" si="4"/>
        <v>1512.8910000000001</v>
      </c>
      <c r="K141" s="9">
        <f t="shared" si="5"/>
        <v>0.3461947994374141</v>
      </c>
    </row>
    <row r="142" spans="1:11" x14ac:dyDescent="0.3">
      <c r="A142">
        <v>48</v>
      </c>
      <c r="B142">
        <v>2</v>
      </c>
      <c r="C142">
        <v>4</v>
      </c>
      <c r="D142" t="str">
        <f>VLOOKUP($C142,products!$A$1:$F$322,MATCH(order_items!$D$1,products!$A$1:$F$1,0),FALSE)</f>
        <v>Trek Fuel EX 8 29 - 2016</v>
      </c>
      <c r="E142">
        <f>VLOOKUP($C142,products!$A$1:$F$322,MATCH(order_items!$E$1,products!$A$1:$F$1,0),FALSE)</f>
        <v>6</v>
      </c>
      <c r="F142" t="str">
        <f>VLOOKUP($E142,categories!$A$1:$B$8,MATCH(order_items!$F$1,categories!$A$1:$B$1,0),FALSE)</f>
        <v>Mountain Bikes</v>
      </c>
      <c r="G142">
        <v>1</v>
      </c>
      <c r="H142">
        <v>2899.99</v>
      </c>
      <c r="I142" s="5">
        <v>0.2</v>
      </c>
      <c r="J142">
        <f t="shared" si="4"/>
        <v>2319.9919999999997</v>
      </c>
      <c r="K142" s="9">
        <f t="shared" si="5"/>
        <v>1.2473854171840129</v>
      </c>
    </row>
    <row r="143" spans="1:11" x14ac:dyDescent="0.3">
      <c r="A143">
        <v>48</v>
      </c>
      <c r="B143">
        <v>3</v>
      </c>
      <c r="C143">
        <v>5</v>
      </c>
      <c r="D143" t="str">
        <f>VLOOKUP($C143,products!$A$1:$F$322,MATCH(order_items!$D$1,products!$A$1:$F$1,0),FALSE)</f>
        <v>Heller Shagamaw Frame - 2016</v>
      </c>
      <c r="E143">
        <f>VLOOKUP($C143,products!$A$1:$F$322,MATCH(order_items!$E$1,products!$A$1:$F$1,0),FALSE)</f>
        <v>6</v>
      </c>
      <c r="F143" t="str">
        <f>VLOOKUP($E143,categories!$A$1:$B$8,MATCH(order_items!$F$1,categories!$A$1:$B$1,0),FALSE)</f>
        <v>Mountain Bikes</v>
      </c>
      <c r="G143">
        <v>2</v>
      </c>
      <c r="H143">
        <v>1320.99</v>
      </c>
      <c r="I143" s="5">
        <v>0.1</v>
      </c>
      <c r="J143">
        <f t="shared" si="4"/>
        <v>2377.7820000000002</v>
      </c>
      <c r="K143" s="9">
        <f t="shared" si="5"/>
        <v>8.0051548913398024E-2</v>
      </c>
    </row>
    <row r="144" spans="1:11" x14ac:dyDescent="0.3">
      <c r="A144">
        <v>48</v>
      </c>
      <c r="B144">
        <v>4</v>
      </c>
      <c r="C144">
        <v>14</v>
      </c>
      <c r="D144" t="str">
        <f>VLOOKUP($C144,products!$A$1:$F$322,MATCH(order_items!$D$1,products!$A$1:$F$1,0),FALSE)</f>
        <v>Electra Girl's Hawaii 1 (16-inch) - 2015/2016</v>
      </c>
      <c r="E144">
        <f>VLOOKUP($C144,products!$A$1:$F$322,MATCH(order_items!$E$1,products!$A$1:$F$1,0),FALSE)</f>
        <v>3</v>
      </c>
      <c r="F144" t="str">
        <f>VLOOKUP($E144,categories!$A$1:$B$8,MATCH(order_items!$F$1,categories!$A$1:$B$1,0),FALSE)</f>
        <v>Cruisers Bicycles</v>
      </c>
      <c r="G144">
        <v>2</v>
      </c>
      <c r="H144">
        <v>269.99</v>
      </c>
      <c r="I144" s="5">
        <v>7.0000000000000007E-2</v>
      </c>
      <c r="J144">
        <f t="shared" si="4"/>
        <v>502.1814</v>
      </c>
      <c r="K144" s="9">
        <f t="shared" si="5"/>
        <v>-0.69693888525532666</v>
      </c>
    </row>
    <row r="145" spans="1:11" x14ac:dyDescent="0.3">
      <c r="A145">
        <v>49</v>
      </c>
      <c r="B145">
        <v>1</v>
      </c>
      <c r="C145">
        <v>13</v>
      </c>
      <c r="D145" t="str">
        <f>VLOOKUP($C145,products!$A$1:$F$322,MATCH(order_items!$D$1,products!$A$1:$F$1,0),FALSE)</f>
        <v>Electra Cruiser 1 (24-Inch) - 2016</v>
      </c>
      <c r="E145">
        <f>VLOOKUP($C145,products!$A$1:$F$322,MATCH(order_items!$E$1,products!$A$1:$F$1,0),FALSE)</f>
        <v>3</v>
      </c>
      <c r="F145" t="str">
        <f>VLOOKUP($E145,categories!$A$1:$B$8,MATCH(order_items!$F$1,categories!$A$1:$B$1,0),FALSE)</f>
        <v>Cruisers Bicycles</v>
      </c>
      <c r="G145">
        <v>2</v>
      </c>
      <c r="H145">
        <v>269.99</v>
      </c>
      <c r="I145" s="5">
        <v>7.0000000000000007E-2</v>
      </c>
      <c r="J145">
        <f t="shared" si="4"/>
        <v>502.1814</v>
      </c>
      <c r="K145" s="9">
        <f t="shared" si="5"/>
        <v>-0.69693888525532666</v>
      </c>
    </row>
    <row r="146" spans="1:11" x14ac:dyDescent="0.3">
      <c r="A146">
        <v>50</v>
      </c>
      <c r="B146">
        <v>1</v>
      </c>
      <c r="C146">
        <v>3</v>
      </c>
      <c r="D146" t="str">
        <f>VLOOKUP($C146,products!$A$1:$F$322,MATCH(order_items!$D$1,products!$A$1:$F$1,0),FALSE)</f>
        <v>Surly Wednesday Frameset - 2016</v>
      </c>
      <c r="E146">
        <f>VLOOKUP($C146,products!$A$1:$F$322,MATCH(order_items!$E$1,products!$A$1:$F$1,0),FALSE)</f>
        <v>6</v>
      </c>
      <c r="F146" t="str">
        <f>VLOOKUP($E146,categories!$A$1:$B$8,MATCH(order_items!$F$1,categories!$A$1:$B$1,0),FALSE)</f>
        <v>Mountain Bikes</v>
      </c>
      <c r="G146">
        <v>1</v>
      </c>
      <c r="H146">
        <v>999.99</v>
      </c>
      <c r="I146" s="5">
        <v>0.05</v>
      </c>
      <c r="J146">
        <f t="shared" si="4"/>
        <v>949.9905</v>
      </c>
      <c r="K146" s="9">
        <f t="shared" si="5"/>
        <v>-0.15725951613718298</v>
      </c>
    </row>
    <row r="147" spans="1:11" x14ac:dyDescent="0.3">
      <c r="A147">
        <v>50</v>
      </c>
      <c r="B147">
        <v>2</v>
      </c>
      <c r="C147">
        <v>26</v>
      </c>
      <c r="D147" t="str">
        <f>VLOOKUP($C147,products!$A$1:$F$322,MATCH(order_items!$D$1,products!$A$1:$F$1,0),FALSE)</f>
        <v>Electra Townie Original 7D EQ - 2016</v>
      </c>
      <c r="E147">
        <f>VLOOKUP($C147,products!$A$1:$F$322,MATCH(order_items!$E$1,products!$A$1:$F$1,0),FALSE)</f>
        <v>2</v>
      </c>
      <c r="F147" t="str">
        <f>VLOOKUP($E147,categories!$A$1:$B$8,MATCH(order_items!$F$1,categories!$A$1:$B$1,0),FALSE)</f>
        <v>Comfort Bicycles</v>
      </c>
      <c r="G147">
        <v>2</v>
      </c>
      <c r="H147">
        <v>599.99</v>
      </c>
      <c r="I147" s="5">
        <v>7.0000000000000007E-2</v>
      </c>
      <c r="J147">
        <f t="shared" si="4"/>
        <v>1115.9813999999999</v>
      </c>
      <c r="K147" s="9">
        <f t="shared" si="5"/>
        <v>-0.45297423894164529</v>
      </c>
    </row>
    <row r="148" spans="1:11" x14ac:dyDescent="0.3">
      <c r="A148">
        <v>50</v>
      </c>
      <c r="B148">
        <v>3</v>
      </c>
      <c r="C148">
        <v>13</v>
      </c>
      <c r="D148" t="str">
        <f>VLOOKUP($C148,products!$A$1:$F$322,MATCH(order_items!$D$1,products!$A$1:$F$1,0),FALSE)</f>
        <v>Electra Cruiser 1 (24-Inch) - 2016</v>
      </c>
      <c r="E148">
        <f>VLOOKUP($C148,products!$A$1:$F$322,MATCH(order_items!$E$1,products!$A$1:$F$1,0),FALSE)</f>
        <v>3</v>
      </c>
      <c r="F148" t="str">
        <f>VLOOKUP($E148,categories!$A$1:$B$8,MATCH(order_items!$F$1,categories!$A$1:$B$1,0),FALSE)</f>
        <v>Cruisers Bicycles</v>
      </c>
      <c r="G148">
        <v>2</v>
      </c>
      <c r="H148">
        <v>269.99</v>
      </c>
      <c r="I148" s="5">
        <v>0.2</v>
      </c>
      <c r="J148">
        <f t="shared" si="4"/>
        <v>431.98400000000004</v>
      </c>
      <c r="K148" s="9">
        <f t="shared" si="5"/>
        <v>-0.69693888525532666</v>
      </c>
    </row>
    <row r="149" spans="1:11" x14ac:dyDescent="0.3">
      <c r="A149">
        <v>51</v>
      </c>
      <c r="B149">
        <v>1</v>
      </c>
      <c r="C149">
        <v>13</v>
      </c>
      <c r="D149" t="str">
        <f>VLOOKUP($C149,products!$A$1:$F$322,MATCH(order_items!$D$1,products!$A$1:$F$1,0),FALSE)</f>
        <v>Electra Cruiser 1 (24-Inch) - 2016</v>
      </c>
      <c r="E149">
        <f>VLOOKUP($C149,products!$A$1:$F$322,MATCH(order_items!$E$1,products!$A$1:$F$1,0),FALSE)</f>
        <v>3</v>
      </c>
      <c r="F149" t="str">
        <f>VLOOKUP($E149,categories!$A$1:$B$8,MATCH(order_items!$F$1,categories!$A$1:$B$1,0),FALSE)</f>
        <v>Cruisers Bicycles</v>
      </c>
      <c r="G149">
        <v>1</v>
      </c>
      <c r="H149">
        <v>269.99</v>
      </c>
      <c r="I149" s="5">
        <v>0.05</v>
      </c>
      <c r="J149">
        <f t="shared" si="4"/>
        <v>256.4905</v>
      </c>
      <c r="K149" s="9">
        <f t="shared" si="5"/>
        <v>-0.69693888525532666</v>
      </c>
    </row>
    <row r="150" spans="1:11" x14ac:dyDescent="0.3">
      <c r="A150">
        <v>51</v>
      </c>
      <c r="B150">
        <v>2</v>
      </c>
      <c r="C150">
        <v>20</v>
      </c>
      <c r="D150" t="str">
        <f>VLOOKUP($C150,products!$A$1:$F$322,MATCH(order_items!$D$1,products!$A$1:$F$1,0),FALSE)</f>
        <v>Electra Townie Original 7D EQ - Women's - 2016</v>
      </c>
      <c r="E150">
        <f>VLOOKUP($C150,products!$A$1:$F$322,MATCH(order_items!$E$1,products!$A$1:$F$1,0),FALSE)</f>
        <v>3</v>
      </c>
      <c r="F150" t="str">
        <f>VLOOKUP($E150,categories!$A$1:$B$8,MATCH(order_items!$F$1,categories!$A$1:$B$1,0),FALSE)</f>
        <v>Cruisers Bicycles</v>
      </c>
      <c r="G150">
        <v>1</v>
      </c>
      <c r="H150">
        <v>599.99</v>
      </c>
      <c r="I150" s="5">
        <v>0.05</v>
      </c>
      <c r="J150">
        <f t="shared" si="4"/>
        <v>569.9905</v>
      </c>
      <c r="K150" s="9">
        <f t="shared" si="5"/>
        <v>-0.45297423894164529</v>
      </c>
    </row>
    <row r="151" spans="1:11" x14ac:dyDescent="0.3">
      <c r="A151">
        <v>51</v>
      </c>
      <c r="B151">
        <v>3</v>
      </c>
      <c r="C151">
        <v>26</v>
      </c>
      <c r="D151" t="str">
        <f>VLOOKUP($C151,products!$A$1:$F$322,MATCH(order_items!$D$1,products!$A$1:$F$1,0),FALSE)</f>
        <v>Electra Townie Original 7D EQ - 2016</v>
      </c>
      <c r="E151">
        <f>VLOOKUP($C151,products!$A$1:$F$322,MATCH(order_items!$E$1,products!$A$1:$F$1,0),FALSE)</f>
        <v>2</v>
      </c>
      <c r="F151" t="str">
        <f>VLOOKUP($E151,categories!$A$1:$B$8,MATCH(order_items!$F$1,categories!$A$1:$B$1,0),FALSE)</f>
        <v>Comfort Bicycles</v>
      </c>
      <c r="G151">
        <v>2</v>
      </c>
      <c r="H151">
        <v>599.99</v>
      </c>
      <c r="I151" s="5">
        <v>0.2</v>
      </c>
      <c r="J151">
        <f t="shared" si="4"/>
        <v>959.98400000000004</v>
      </c>
      <c r="K151" s="9">
        <f t="shared" si="5"/>
        <v>-0.45297423894164529</v>
      </c>
    </row>
    <row r="152" spans="1:11" x14ac:dyDescent="0.3">
      <c r="A152">
        <v>52</v>
      </c>
      <c r="B152">
        <v>1</v>
      </c>
      <c r="C152">
        <v>25</v>
      </c>
      <c r="D152" t="str">
        <f>VLOOKUP($C152,products!$A$1:$F$322,MATCH(order_items!$D$1,products!$A$1:$F$1,0),FALSE)</f>
        <v>Electra Townie Original 7D - 2015/2016</v>
      </c>
      <c r="E152">
        <f>VLOOKUP($C152,products!$A$1:$F$322,MATCH(order_items!$E$1,products!$A$1:$F$1,0),FALSE)</f>
        <v>2</v>
      </c>
      <c r="F152" t="str">
        <f>VLOOKUP($E152,categories!$A$1:$B$8,MATCH(order_items!$F$1,categories!$A$1:$B$1,0),FALSE)</f>
        <v>Comfort Bicycles</v>
      </c>
      <c r="G152">
        <v>1</v>
      </c>
      <c r="H152">
        <v>499.99</v>
      </c>
      <c r="I152" s="5">
        <v>7.0000000000000007E-2</v>
      </c>
      <c r="J152">
        <f t="shared" si="4"/>
        <v>464.9907</v>
      </c>
      <c r="K152" s="9">
        <f t="shared" si="5"/>
        <v>-0.52690291964276081</v>
      </c>
    </row>
    <row r="153" spans="1:11" x14ac:dyDescent="0.3">
      <c r="A153">
        <v>53</v>
      </c>
      <c r="B153">
        <v>1</v>
      </c>
      <c r="C153">
        <v>8</v>
      </c>
      <c r="D153" t="str">
        <f>VLOOKUP($C153,products!$A$1:$F$322,MATCH(order_items!$D$1,products!$A$1:$F$1,0),FALSE)</f>
        <v>Trek Remedy 29 Carbon Frameset - 2016</v>
      </c>
      <c r="E153">
        <f>VLOOKUP($C153,products!$A$1:$F$322,MATCH(order_items!$E$1,products!$A$1:$F$1,0),FALSE)</f>
        <v>6</v>
      </c>
      <c r="F153" t="str">
        <f>VLOOKUP($E153,categories!$A$1:$B$8,MATCH(order_items!$F$1,categories!$A$1:$B$1,0),FALSE)</f>
        <v>Mountain Bikes</v>
      </c>
      <c r="G153">
        <v>2</v>
      </c>
      <c r="H153">
        <v>1799.99</v>
      </c>
      <c r="I153" s="5">
        <v>0.2</v>
      </c>
      <c r="J153">
        <f t="shared" si="4"/>
        <v>2879.9840000000004</v>
      </c>
      <c r="K153" s="9">
        <f t="shared" si="5"/>
        <v>0.43416992947174166</v>
      </c>
    </row>
    <row r="154" spans="1:11" x14ac:dyDescent="0.3">
      <c r="A154">
        <v>53</v>
      </c>
      <c r="B154">
        <v>2</v>
      </c>
      <c r="C154">
        <v>23</v>
      </c>
      <c r="D154" t="str">
        <f>VLOOKUP($C154,products!$A$1:$F$322,MATCH(order_items!$D$1,products!$A$1:$F$1,0),FALSE)</f>
        <v>Electra Girl's Hawaii 1 (20-inch) - 2015/2016</v>
      </c>
      <c r="E154">
        <f>VLOOKUP($C154,products!$A$1:$F$322,MATCH(order_items!$E$1,products!$A$1:$F$1,0),FALSE)</f>
        <v>1</v>
      </c>
      <c r="F154" t="str">
        <f>VLOOKUP($E154,categories!$A$1:$B$8,MATCH(order_items!$F$1,categories!$A$1:$B$1,0),FALSE)</f>
        <v>Children Bicycles</v>
      </c>
      <c r="G154">
        <v>2</v>
      </c>
      <c r="H154">
        <v>299.99</v>
      </c>
      <c r="I154" s="5">
        <v>0.05</v>
      </c>
      <c r="J154">
        <f t="shared" si="4"/>
        <v>569.98099999999999</v>
      </c>
      <c r="K154" s="9">
        <f t="shared" si="5"/>
        <v>-0.67476028104499197</v>
      </c>
    </row>
    <row r="155" spans="1:11" x14ac:dyDescent="0.3">
      <c r="A155">
        <v>53</v>
      </c>
      <c r="B155">
        <v>3</v>
      </c>
      <c r="C155">
        <v>14</v>
      </c>
      <c r="D155" t="str">
        <f>VLOOKUP($C155,products!$A$1:$F$322,MATCH(order_items!$D$1,products!$A$1:$F$1,0),FALSE)</f>
        <v>Electra Girl's Hawaii 1 (16-inch) - 2015/2016</v>
      </c>
      <c r="E155">
        <f>VLOOKUP($C155,products!$A$1:$F$322,MATCH(order_items!$E$1,products!$A$1:$F$1,0),FALSE)</f>
        <v>3</v>
      </c>
      <c r="F155" t="str">
        <f>VLOOKUP($E155,categories!$A$1:$B$8,MATCH(order_items!$F$1,categories!$A$1:$B$1,0),FALSE)</f>
        <v>Cruisers Bicycles</v>
      </c>
      <c r="G155">
        <v>2</v>
      </c>
      <c r="H155">
        <v>269.99</v>
      </c>
      <c r="I155" s="5">
        <v>0.2</v>
      </c>
      <c r="J155">
        <f t="shared" si="4"/>
        <v>431.98400000000004</v>
      </c>
      <c r="K155" s="9">
        <f t="shared" si="5"/>
        <v>-0.69693888525532666</v>
      </c>
    </row>
    <row r="156" spans="1:11" x14ac:dyDescent="0.3">
      <c r="A156">
        <v>53</v>
      </c>
      <c r="B156">
        <v>4</v>
      </c>
      <c r="C156">
        <v>25</v>
      </c>
      <c r="D156" t="str">
        <f>VLOOKUP($C156,products!$A$1:$F$322,MATCH(order_items!$D$1,products!$A$1:$F$1,0),FALSE)</f>
        <v>Electra Townie Original 7D - 2015/2016</v>
      </c>
      <c r="E156">
        <f>VLOOKUP($C156,products!$A$1:$F$322,MATCH(order_items!$E$1,products!$A$1:$F$1,0),FALSE)</f>
        <v>2</v>
      </c>
      <c r="F156" t="str">
        <f>VLOOKUP($E156,categories!$A$1:$B$8,MATCH(order_items!$F$1,categories!$A$1:$B$1,0),FALSE)</f>
        <v>Comfort Bicycles</v>
      </c>
      <c r="G156">
        <v>2</v>
      </c>
      <c r="H156">
        <v>499.99</v>
      </c>
      <c r="I156" s="5">
        <v>0.1</v>
      </c>
      <c r="J156">
        <f t="shared" si="4"/>
        <v>899.98200000000008</v>
      </c>
      <c r="K156" s="9">
        <f t="shared" si="5"/>
        <v>-0.52690291964276081</v>
      </c>
    </row>
    <row r="157" spans="1:11" x14ac:dyDescent="0.3">
      <c r="A157">
        <v>54</v>
      </c>
      <c r="B157">
        <v>1</v>
      </c>
      <c r="C157">
        <v>26</v>
      </c>
      <c r="D157" t="str">
        <f>VLOOKUP($C157,products!$A$1:$F$322,MATCH(order_items!$D$1,products!$A$1:$F$1,0),FALSE)</f>
        <v>Electra Townie Original 7D EQ - 2016</v>
      </c>
      <c r="E157">
        <f>VLOOKUP($C157,products!$A$1:$F$322,MATCH(order_items!$E$1,products!$A$1:$F$1,0),FALSE)</f>
        <v>2</v>
      </c>
      <c r="F157" t="str">
        <f>VLOOKUP($E157,categories!$A$1:$B$8,MATCH(order_items!$F$1,categories!$A$1:$B$1,0),FALSE)</f>
        <v>Comfort Bicycles</v>
      </c>
      <c r="G157">
        <v>2</v>
      </c>
      <c r="H157">
        <v>599.99</v>
      </c>
      <c r="I157" s="5">
        <v>0.2</v>
      </c>
      <c r="J157">
        <f t="shared" si="4"/>
        <v>959.98400000000004</v>
      </c>
      <c r="K157" s="9">
        <f t="shared" si="5"/>
        <v>-0.45297423894164529</v>
      </c>
    </row>
    <row r="158" spans="1:11" x14ac:dyDescent="0.3">
      <c r="A158">
        <v>54</v>
      </c>
      <c r="B158">
        <v>2</v>
      </c>
      <c r="C158">
        <v>3</v>
      </c>
      <c r="D158" t="str">
        <f>VLOOKUP($C158,products!$A$1:$F$322,MATCH(order_items!$D$1,products!$A$1:$F$1,0),FALSE)</f>
        <v>Surly Wednesday Frameset - 2016</v>
      </c>
      <c r="E158">
        <f>VLOOKUP($C158,products!$A$1:$F$322,MATCH(order_items!$E$1,products!$A$1:$F$1,0),FALSE)</f>
        <v>6</v>
      </c>
      <c r="F158" t="str">
        <f>VLOOKUP($E158,categories!$A$1:$B$8,MATCH(order_items!$F$1,categories!$A$1:$B$1,0),FALSE)</f>
        <v>Mountain Bikes</v>
      </c>
      <c r="G158">
        <v>1</v>
      </c>
      <c r="H158">
        <v>999.99</v>
      </c>
      <c r="I158" s="5">
        <v>0.2</v>
      </c>
      <c r="J158">
        <f t="shared" si="4"/>
        <v>799.99200000000008</v>
      </c>
      <c r="K158" s="9">
        <f t="shared" si="5"/>
        <v>-0.15725951613718298</v>
      </c>
    </row>
    <row r="159" spans="1:11" x14ac:dyDescent="0.3">
      <c r="A159">
        <v>55</v>
      </c>
      <c r="B159">
        <v>1</v>
      </c>
      <c r="C159">
        <v>21</v>
      </c>
      <c r="D159" t="str">
        <f>VLOOKUP($C159,products!$A$1:$F$322,MATCH(order_items!$D$1,products!$A$1:$F$1,0),FALSE)</f>
        <v>Electra Cruiser 1 (24-Inch) - 2016</v>
      </c>
      <c r="E159">
        <f>VLOOKUP($C159,products!$A$1:$F$322,MATCH(order_items!$E$1,products!$A$1:$F$1,0),FALSE)</f>
        <v>1</v>
      </c>
      <c r="F159" t="str">
        <f>VLOOKUP($E159,categories!$A$1:$B$8,MATCH(order_items!$F$1,categories!$A$1:$B$1,0),FALSE)</f>
        <v>Children Bicycles</v>
      </c>
      <c r="G159">
        <v>1</v>
      </c>
      <c r="H159">
        <v>269.99</v>
      </c>
      <c r="I159" s="5">
        <v>0.05</v>
      </c>
      <c r="J159">
        <f t="shared" si="4"/>
        <v>256.4905</v>
      </c>
      <c r="K159" s="9">
        <f t="shared" si="5"/>
        <v>-0.69693888525532666</v>
      </c>
    </row>
    <row r="160" spans="1:11" x14ac:dyDescent="0.3">
      <c r="A160">
        <v>55</v>
      </c>
      <c r="B160">
        <v>2</v>
      </c>
      <c r="C160">
        <v>25</v>
      </c>
      <c r="D160" t="str">
        <f>VLOOKUP($C160,products!$A$1:$F$322,MATCH(order_items!$D$1,products!$A$1:$F$1,0),FALSE)</f>
        <v>Electra Townie Original 7D - 2015/2016</v>
      </c>
      <c r="E160">
        <f>VLOOKUP($C160,products!$A$1:$F$322,MATCH(order_items!$E$1,products!$A$1:$F$1,0),FALSE)</f>
        <v>2</v>
      </c>
      <c r="F160" t="str">
        <f>VLOOKUP($E160,categories!$A$1:$B$8,MATCH(order_items!$F$1,categories!$A$1:$B$1,0),FALSE)</f>
        <v>Comfort Bicycles</v>
      </c>
      <c r="G160">
        <v>2</v>
      </c>
      <c r="H160">
        <v>499.99</v>
      </c>
      <c r="I160" s="5">
        <v>0.2</v>
      </c>
      <c r="J160">
        <f t="shared" si="4"/>
        <v>799.98400000000004</v>
      </c>
      <c r="K160" s="9">
        <f t="shared" si="5"/>
        <v>-0.52690291964276081</v>
      </c>
    </row>
    <row r="161" spans="1:11" x14ac:dyDescent="0.3">
      <c r="A161">
        <v>55</v>
      </c>
      <c r="B161">
        <v>3</v>
      </c>
      <c r="C161">
        <v>15</v>
      </c>
      <c r="D161" t="str">
        <f>VLOOKUP($C161,products!$A$1:$F$322,MATCH(order_items!$D$1,products!$A$1:$F$1,0),FALSE)</f>
        <v>Electra Moto 1 - 2016</v>
      </c>
      <c r="E161">
        <f>VLOOKUP($C161,products!$A$1:$F$322,MATCH(order_items!$E$1,products!$A$1:$F$1,0),FALSE)</f>
        <v>3</v>
      </c>
      <c r="F161" t="str">
        <f>VLOOKUP($E161,categories!$A$1:$B$8,MATCH(order_items!$F$1,categories!$A$1:$B$1,0),FALSE)</f>
        <v>Cruisers Bicycles</v>
      </c>
      <c r="G161">
        <v>2</v>
      </c>
      <c r="H161">
        <v>529.99</v>
      </c>
      <c r="I161" s="5">
        <v>0.2</v>
      </c>
      <c r="J161">
        <f t="shared" si="4"/>
        <v>847.98400000000004</v>
      </c>
      <c r="K161" s="9">
        <f t="shared" si="5"/>
        <v>-0.50472431543242624</v>
      </c>
    </row>
    <row r="162" spans="1:11" x14ac:dyDescent="0.3">
      <c r="A162">
        <v>56</v>
      </c>
      <c r="B162">
        <v>1</v>
      </c>
      <c r="C162">
        <v>20</v>
      </c>
      <c r="D162" t="str">
        <f>VLOOKUP($C162,products!$A$1:$F$322,MATCH(order_items!$D$1,products!$A$1:$F$1,0),FALSE)</f>
        <v>Electra Townie Original 7D EQ - Women's - 2016</v>
      </c>
      <c r="E162">
        <f>VLOOKUP($C162,products!$A$1:$F$322,MATCH(order_items!$E$1,products!$A$1:$F$1,0),FALSE)</f>
        <v>3</v>
      </c>
      <c r="F162" t="str">
        <f>VLOOKUP($E162,categories!$A$1:$B$8,MATCH(order_items!$F$1,categories!$A$1:$B$1,0),FALSE)</f>
        <v>Cruisers Bicycles</v>
      </c>
      <c r="G162">
        <v>2</v>
      </c>
      <c r="H162">
        <v>599.99</v>
      </c>
      <c r="I162" s="5">
        <v>7.0000000000000007E-2</v>
      </c>
      <c r="J162">
        <f t="shared" si="4"/>
        <v>1115.9813999999999</v>
      </c>
      <c r="K162" s="9">
        <f t="shared" si="5"/>
        <v>-0.45297423894164529</v>
      </c>
    </row>
    <row r="163" spans="1:11" x14ac:dyDescent="0.3">
      <c r="A163">
        <v>57</v>
      </c>
      <c r="B163">
        <v>1</v>
      </c>
      <c r="C163">
        <v>23</v>
      </c>
      <c r="D163" t="str">
        <f>VLOOKUP($C163,products!$A$1:$F$322,MATCH(order_items!$D$1,products!$A$1:$F$1,0),FALSE)</f>
        <v>Electra Girl's Hawaii 1 (20-inch) - 2015/2016</v>
      </c>
      <c r="E163">
        <f>VLOOKUP($C163,products!$A$1:$F$322,MATCH(order_items!$E$1,products!$A$1:$F$1,0),FALSE)</f>
        <v>1</v>
      </c>
      <c r="F163" t="str">
        <f>VLOOKUP($E163,categories!$A$1:$B$8,MATCH(order_items!$F$1,categories!$A$1:$B$1,0),FALSE)</f>
        <v>Children Bicycles</v>
      </c>
      <c r="G163">
        <v>2</v>
      </c>
      <c r="H163">
        <v>299.99</v>
      </c>
      <c r="I163" s="5">
        <v>0.1</v>
      </c>
      <c r="J163">
        <f t="shared" si="4"/>
        <v>539.98200000000008</v>
      </c>
      <c r="K163" s="9">
        <f t="shared" si="5"/>
        <v>-0.67476028104499197</v>
      </c>
    </row>
    <row r="164" spans="1:11" x14ac:dyDescent="0.3">
      <c r="A164">
        <v>57</v>
      </c>
      <c r="B164">
        <v>2</v>
      </c>
      <c r="C164">
        <v>19</v>
      </c>
      <c r="D164" t="str">
        <f>VLOOKUP($C164,products!$A$1:$F$322,MATCH(order_items!$D$1,products!$A$1:$F$1,0),FALSE)</f>
        <v>Pure Cycles William 3-Speed - 2016</v>
      </c>
      <c r="E164">
        <f>VLOOKUP($C164,products!$A$1:$F$322,MATCH(order_items!$E$1,products!$A$1:$F$1,0),FALSE)</f>
        <v>3</v>
      </c>
      <c r="F164" t="str">
        <f>VLOOKUP($E164,categories!$A$1:$B$8,MATCH(order_items!$F$1,categories!$A$1:$B$1,0),FALSE)</f>
        <v>Cruisers Bicycles</v>
      </c>
      <c r="G164">
        <v>2</v>
      </c>
      <c r="H164">
        <v>449</v>
      </c>
      <c r="I164" s="5">
        <v>0.2</v>
      </c>
      <c r="J164">
        <f t="shared" si="4"/>
        <v>718.40000000000009</v>
      </c>
      <c r="K164" s="9">
        <f t="shared" si="5"/>
        <v>-0.56459915393225968</v>
      </c>
    </row>
    <row r="165" spans="1:11" x14ac:dyDescent="0.3">
      <c r="A165">
        <v>57</v>
      </c>
      <c r="B165">
        <v>3</v>
      </c>
      <c r="C165">
        <v>13</v>
      </c>
      <c r="D165" t="str">
        <f>VLOOKUP($C165,products!$A$1:$F$322,MATCH(order_items!$D$1,products!$A$1:$F$1,0),FALSE)</f>
        <v>Electra Cruiser 1 (24-Inch) - 2016</v>
      </c>
      <c r="E165">
        <f>VLOOKUP($C165,products!$A$1:$F$322,MATCH(order_items!$E$1,products!$A$1:$F$1,0),FALSE)</f>
        <v>3</v>
      </c>
      <c r="F165" t="str">
        <f>VLOOKUP($E165,categories!$A$1:$B$8,MATCH(order_items!$F$1,categories!$A$1:$B$1,0),FALSE)</f>
        <v>Cruisers Bicycles</v>
      </c>
      <c r="G165">
        <v>1</v>
      </c>
      <c r="H165">
        <v>269.99</v>
      </c>
      <c r="I165" s="5">
        <v>7.0000000000000007E-2</v>
      </c>
      <c r="J165">
        <f t="shared" si="4"/>
        <v>251.0907</v>
      </c>
      <c r="K165" s="9">
        <f t="shared" si="5"/>
        <v>-0.69693888525532666</v>
      </c>
    </row>
    <row r="166" spans="1:11" x14ac:dyDescent="0.3">
      <c r="A166">
        <v>58</v>
      </c>
      <c r="B166">
        <v>1</v>
      </c>
      <c r="C166">
        <v>14</v>
      </c>
      <c r="D166" t="str">
        <f>VLOOKUP($C166,products!$A$1:$F$322,MATCH(order_items!$D$1,products!$A$1:$F$1,0),FALSE)</f>
        <v>Electra Girl's Hawaii 1 (16-inch) - 2015/2016</v>
      </c>
      <c r="E166">
        <f>VLOOKUP($C166,products!$A$1:$F$322,MATCH(order_items!$E$1,products!$A$1:$F$1,0),FALSE)</f>
        <v>3</v>
      </c>
      <c r="F166" t="str">
        <f>VLOOKUP($E166,categories!$A$1:$B$8,MATCH(order_items!$F$1,categories!$A$1:$B$1,0),FALSE)</f>
        <v>Cruisers Bicycles</v>
      </c>
      <c r="G166">
        <v>2</v>
      </c>
      <c r="H166">
        <v>269.99</v>
      </c>
      <c r="I166" s="5">
        <v>0.05</v>
      </c>
      <c r="J166">
        <f t="shared" si="4"/>
        <v>512.98099999999999</v>
      </c>
      <c r="K166" s="9">
        <f t="shared" si="5"/>
        <v>-0.69693888525532666</v>
      </c>
    </row>
    <row r="167" spans="1:11" x14ac:dyDescent="0.3">
      <c r="A167">
        <v>58</v>
      </c>
      <c r="B167">
        <v>2</v>
      </c>
      <c r="C167">
        <v>18</v>
      </c>
      <c r="D167" t="str">
        <f>VLOOKUP($C167,products!$A$1:$F$322,MATCH(order_items!$D$1,products!$A$1:$F$1,0),FALSE)</f>
        <v>Pure Cycles Western 3-Speed - Women's - 2015/2016</v>
      </c>
      <c r="E167">
        <f>VLOOKUP($C167,products!$A$1:$F$322,MATCH(order_items!$E$1,products!$A$1:$F$1,0),FALSE)</f>
        <v>3</v>
      </c>
      <c r="F167" t="str">
        <f>VLOOKUP($E167,categories!$A$1:$B$8,MATCH(order_items!$F$1,categories!$A$1:$B$1,0),FALSE)</f>
        <v>Cruisers Bicycles</v>
      </c>
      <c r="G167">
        <v>1</v>
      </c>
      <c r="H167">
        <v>449</v>
      </c>
      <c r="I167" s="5">
        <v>7.0000000000000007E-2</v>
      </c>
      <c r="J167">
        <f t="shared" si="4"/>
        <v>417.57</v>
      </c>
      <c r="K167" s="9">
        <f t="shared" si="5"/>
        <v>-0.56459915393225968</v>
      </c>
    </row>
    <row r="168" spans="1:11" x14ac:dyDescent="0.3">
      <c r="A168">
        <v>58</v>
      </c>
      <c r="B168">
        <v>3</v>
      </c>
      <c r="C168">
        <v>23</v>
      </c>
      <c r="D168" t="str">
        <f>VLOOKUP($C168,products!$A$1:$F$322,MATCH(order_items!$D$1,products!$A$1:$F$1,0),FALSE)</f>
        <v>Electra Girl's Hawaii 1 (20-inch) - 2015/2016</v>
      </c>
      <c r="E168">
        <f>VLOOKUP($C168,products!$A$1:$F$322,MATCH(order_items!$E$1,products!$A$1:$F$1,0),FALSE)</f>
        <v>1</v>
      </c>
      <c r="F168" t="str">
        <f>VLOOKUP($E168,categories!$A$1:$B$8,MATCH(order_items!$F$1,categories!$A$1:$B$1,0),FALSE)</f>
        <v>Children Bicycles</v>
      </c>
      <c r="G168">
        <v>1</v>
      </c>
      <c r="H168">
        <v>299.99</v>
      </c>
      <c r="I168" s="5">
        <v>0.1</v>
      </c>
      <c r="J168">
        <f t="shared" si="4"/>
        <v>269.99100000000004</v>
      </c>
      <c r="K168" s="9">
        <f t="shared" si="5"/>
        <v>-0.67476028104499197</v>
      </c>
    </row>
    <row r="169" spans="1:11" x14ac:dyDescent="0.3">
      <c r="A169">
        <v>59</v>
      </c>
      <c r="B169">
        <v>1</v>
      </c>
      <c r="C169">
        <v>21</v>
      </c>
      <c r="D169" t="str">
        <f>VLOOKUP($C169,products!$A$1:$F$322,MATCH(order_items!$D$1,products!$A$1:$F$1,0),FALSE)</f>
        <v>Electra Cruiser 1 (24-Inch) - 2016</v>
      </c>
      <c r="E169">
        <f>VLOOKUP($C169,products!$A$1:$F$322,MATCH(order_items!$E$1,products!$A$1:$F$1,0),FALSE)</f>
        <v>1</v>
      </c>
      <c r="F169" t="str">
        <f>VLOOKUP($E169,categories!$A$1:$B$8,MATCH(order_items!$F$1,categories!$A$1:$B$1,0),FALSE)</f>
        <v>Children Bicycles</v>
      </c>
      <c r="G169">
        <v>1</v>
      </c>
      <c r="H169">
        <v>269.99</v>
      </c>
      <c r="I169" s="5">
        <v>0.05</v>
      </c>
      <c r="J169">
        <f t="shared" si="4"/>
        <v>256.4905</v>
      </c>
      <c r="K169" s="9">
        <f t="shared" si="5"/>
        <v>-0.69693888525532666</v>
      </c>
    </row>
    <row r="170" spans="1:11" x14ac:dyDescent="0.3">
      <c r="A170">
        <v>59</v>
      </c>
      <c r="B170">
        <v>2</v>
      </c>
      <c r="C170">
        <v>2</v>
      </c>
      <c r="D170" t="str">
        <f>VLOOKUP($C170,products!$A$1:$F$322,MATCH(order_items!$D$1,products!$A$1:$F$1,0),FALSE)</f>
        <v>Ritchey Timberwolf Frameset - 2016</v>
      </c>
      <c r="E170">
        <f>VLOOKUP($C170,products!$A$1:$F$322,MATCH(order_items!$E$1,products!$A$1:$F$1,0),FALSE)</f>
        <v>6</v>
      </c>
      <c r="F170" t="str">
        <f>VLOOKUP($E170,categories!$A$1:$B$8,MATCH(order_items!$F$1,categories!$A$1:$B$1,0),FALSE)</f>
        <v>Mountain Bikes</v>
      </c>
      <c r="G170">
        <v>1</v>
      </c>
      <c r="H170">
        <v>749.99</v>
      </c>
      <c r="I170" s="5">
        <v>0.1</v>
      </c>
      <c r="J170">
        <f t="shared" si="4"/>
        <v>674.99099999999999</v>
      </c>
      <c r="K170" s="9">
        <f t="shared" si="5"/>
        <v>-0.34208121788997192</v>
      </c>
    </row>
    <row r="171" spans="1:11" x14ac:dyDescent="0.3">
      <c r="A171">
        <v>59</v>
      </c>
      <c r="B171">
        <v>3</v>
      </c>
      <c r="C171">
        <v>17</v>
      </c>
      <c r="D171" t="str">
        <f>VLOOKUP($C171,products!$A$1:$F$322,MATCH(order_items!$D$1,products!$A$1:$F$1,0),FALSE)</f>
        <v>Pure Cycles Vine 8-Speed - 2016</v>
      </c>
      <c r="E171">
        <f>VLOOKUP($C171,products!$A$1:$F$322,MATCH(order_items!$E$1,products!$A$1:$F$1,0),FALSE)</f>
        <v>3</v>
      </c>
      <c r="F171" t="str">
        <f>VLOOKUP($E171,categories!$A$1:$B$8,MATCH(order_items!$F$1,categories!$A$1:$B$1,0),FALSE)</f>
        <v>Cruisers Bicycles</v>
      </c>
      <c r="G171">
        <v>2</v>
      </c>
      <c r="H171">
        <v>429</v>
      </c>
      <c r="I171" s="5">
        <v>0.1</v>
      </c>
      <c r="J171">
        <f t="shared" si="4"/>
        <v>772.2</v>
      </c>
      <c r="K171" s="9">
        <f t="shared" si="5"/>
        <v>-0.57938489007248284</v>
      </c>
    </row>
    <row r="172" spans="1:11" x14ac:dyDescent="0.3">
      <c r="A172">
        <v>60</v>
      </c>
      <c r="B172">
        <v>1</v>
      </c>
      <c r="C172">
        <v>14</v>
      </c>
      <c r="D172" t="str">
        <f>VLOOKUP($C172,products!$A$1:$F$322,MATCH(order_items!$D$1,products!$A$1:$F$1,0),FALSE)</f>
        <v>Electra Girl's Hawaii 1 (16-inch) - 2015/2016</v>
      </c>
      <c r="E172">
        <f>VLOOKUP($C172,products!$A$1:$F$322,MATCH(order_items!$E$1,products!$A$1:$F$1,0),FALSE)</f>
        <v>3</v>
      </c>
      <c r="F172" t="str">
        <f>VLOOKUP($E172,categories!$A$1:$B$8,MATCH(order_items!$F$1,categories!$A$1:$B$1,0),FALSE)</f>
        <v>Cruisers Bicycles</v>
      </c>
      <c r="G172">
        <v>2</v>
      </c>
      <c r="H172">
        <v>269.99</v>
      </c>
      <c r="I172" s="5">
        <v>0.05</v>
      </c>
      <c r="J172">
        <f t="shared" si="4"/>
        <v>512.98099999999999</v>
      </c>
      <c r="K172" s="9">
        <f t="shared" si="5"/>
        <v>-0.69693888525532666</v>
      </c>
    </row>
    <row r="173" spans="1:11" x14ac:dyDescent="0.3">
      <c r="A173">
        <v>60</v>
      </c>
      <c r="B173">
        <v>2</v>
      </c>
      <c r="C173">
        <v>4</v>
      </c>
      <c r="D173" t="str">
        <f>VLOOKUP($C173,products!$A$1:$F$322,MATCH(order_items!$D$1,products!$A$1:$F$1,0),FALSE)</f>
        <v>Trek Fuel EX 8 29 - 2016</v>
      </c>
      <c r="E173">
        <f>VLOOKUP($C173,products!$A$1:$F$322,MATCH(order_items!$E$1,products!$A$1:$F$1,0),FALSE)</f>
        <v>6</v>
      </c>
      <c r="F173" t="str">
        <f>VLOOKUP($E173,categories!$A$1:$B$8,MATCH(order_items!$F$1,categories!$A$1:$B$1,0),FALSE)</f>
        <v>Mountain Bikes</v>
      </c>
      <c r="G173">
        <v>1</v>
      </c>
      <c r="H173">
        <v>2899.99</v>
      </c>
      <c r="I173" s="5">
        <v>0.1</v>
      </c>
      <c r="J173">
        <f t="shared" si="4"/>
        <v>2609.991</v>
      </c>
      <c r="K173" s="9">
        <f t="shared" si="5"/>
        <v>1.2473854171840129</v>
      </c>
    </row>
    <row r="174" spans="1:11" x14ac:dyDescent="0.3">
      <c r="A174">
        <v>60</v>
      </c>
      <c r="B174">
        <v>3</v>
      </c>
      <c r="C174">
        <v>15</v>
      </c>
      <c r="D174" t="str">
        <f>VLOOKUP($C174,products!$A$1:$F$322,MATCH(order_items!$D$1,products!$A$1:$F$1,0),FALSE)</f>
        <v>Electra Moto 1 - 2016</v>
      </c>
      <c r="E174">
        <f>VLOOKUP($C174,products!$A$1:$F$322,MATCH(order_items!$E$1,products!$A$1:$F$1,0),FALSE)</f>
        <v>3</v>
      </c>
      <c r="F174" t="str">
        <f>VLOOKUP($E174,categories!$A$1:$B$8,MATCH(order_items!$F$1,categories!$A$1:$B$1,0),FALSE)</f>
        <v>Cruisers Bicycles</v>
      </c>
      <c r="G174">
        <v>1</v>
      </c>
      <c r="H174">
        <v>529.99</v>
      </c>
      <c r="I174" s="5">
        <v>7.0000000000000007E-2</v>
      </c>
      <c r="J174">
        <f t="shared" si="4"/>
        <v>492.89069999999998</v>
      </c>
      <c r="K174" s="9">
        <f t="shared" si="5"/>
        <v>-0.50472431543242624</v>
      </c>
    </row>
    <row r="175" spans="1:11" x14ac:dyDescent="0.3">
      <c r="A175">
        <v>60</v>
      </c>
      <c r="B175">
        <v>4</v>
      </c>
      <c r="C175">
        <v>22</v>
      </c>
      <c r="D175" t="str">
        <f>VLOOKUP($C175,products!$A$1:$F$322,MATCH(order_items!$D$1,products!$A$1:$F$1,0),FALSE)</f>
        <v>Electra Girl's Hawaii 1 (16-inch) - 2015/2016</v>
      </c>
      <c r="E175">
        <f>VLOOKUP($C175,products!$A$1:$F$322,MATCH(order_items!$E$1,products!$A$1:$F$1,0),FALSE)</f>
        <v>1</v>
      </c>
      <c r="F175" t="str">
        <f>VLOOKUP($E175,categories!$A$1:$B$8,MATCH(order_items!$F$1,categories!$A$1:$B$1,0),FALSE)</f>
        <v>Children Bicycles</v>
      </c>
      <c r="G175">
        <v>1</v>
      </c>
      <c r="H175">
        <v>269.99</v>
      </c>
      <c r="I175" s="5">
        <v>0.2</v>
      </c>
      <c r="J175">
        <f t="shared" si="4"/>
        <v>215.99200000000002</v>
      </c>
      <c r="K175" s="9">
        <f t="shared" si="5"/>
        <v>-0.69693888525532666</v>
      </c>
    </row>
    <row r="176" spans="1:11" x14ac:dyDescent="0.3">
      <c r="A176">
        <v>61</v>
      </c>
      <c r="B176">
        <v>1</v>
      </c>
      <c r="C176">
        <v>25</v>
      </c>
      <c r="D176" t="str">
        <f>VLOOKUP($C176,products!$A$1:$F$322,MATCH(order_items!$D$1,products!$A$1:$F$1,0),FALSE)</f>
        <v>Electra Townie Original 7D - 2015/2016</v>
      </c>
      <c r="E176">
        <f>VLOOKUP($C176,products!$A$1:$F$322,MATCH(order_items!$E$1,products!$A$1:$F$1,0),FALSE)</f>
        <v>2</v>
      </c>
      <c r="F176" t="str">
        <f>VLOOKUP($E176,categories!$A$1:$B$8,MATCH(order_items!$F$1,categories!$A$1:$B$1,0),FALSE)</f>
        <v>Comfort Bicycles</v>
      </c>
      <c r="G176">
        <v>1</v>
      </c>
      <c r="H176">
        <v>499.99</v>
      </c>
      <c r="I176" s="5">
        <v>0.1</v>
      </c>
      <c r="J176">
        <f t="shared" si="4"/>
        <v>449.99100000000004</v>
      </c>
      <c r="K176" s="9">
        <f t="shared" si="5"/>
        <v>-0.52690291964276081</v>
      </c>
    </row>
    <row r="177" spans="1:11" x14ac:dyDescent="0.3">
      <c r="A177">
        <v>61</v>
      </c>
      <c r="B177">
        <v>2</v>
      </c>
      <c r="C177">
        <v>15</v>
      </c>
      <c r="D177" t="str">
        <f>VLOOKUP($C177,products!$A$1:$F$322,MATCH(order_items!$D$1,products!$A$1:$F$1,0),FALSE)</f>
        <v>Electra Moto 1 - 2016</v>
      </c>
      <c r="E177">
        <f>VLOOKUP($C177,products!$A$1:$F$322,MATCH(order_items!$E$1,products!$A$1:$F$1,0),FALSE)</f>
        <v>3</v>
      </c>
      <c r="F177" t="str">
        <f>VLOOKUP($E177,categories!$A$1:$B$8,MATCH(order_items!$F$1,categories!$A$1:$B$1,0),FALSE)</f>
        <v>Cruisers Bicycles</v>
      </c>
      <c r="G177">
        <v>2</v>
      </c>
      <c r="H177">
        <v>529.99</v>
      </c>
      <c r="I177" s="5">
        <v>0.05</v>
      </c>
      <c r="J177">
        <f t="shared" si="4"/>
        <v>1006.981</v>
      </c>
      <c r="K177" s="9">
        <f t="shared" si="5"/>
        <v>-0.50472431543242624</v>
      </c>
    </row>
    <row r="178" spans="1:11" x14ac:dyDescent="0.3">
      <c r="A178">
        <v>61</v>
      </c>
      <c r="B178">
        <v>3</v>
      </c>
      <c r="C178">
        <v>5</v>
      </c>
      <c r="D178" t="str">
        <f>VLOOKUP($C178,products!$A$1:$F$322,MATCH(order_items!$D$1,products!$A$1:$F$1,0),FALSE)</f>
        <v>Heller Shagamaw Frame - 2016</v>
      </c>
      <c r="E178">
        <f>VLOOKUP($C178,products!$A$1:$F$322,MATCH(order_items!$E$1,products!$A$1:$F$1,0),FALSE)</f>
        <v>6</v>
      </c>
      <c r="F178" t="str">
        <f>VLOOKUP($E178,categories!$A$1:$B$8,MATCH(order_items!$F$1,categories!$A$1:$B$1,0),FALSE)</f>
        <v>Mountain Bikes</v>
      </c>
      <c r="G178">
        <v>2</v>
      </c>
      <c r="H178">
        <v>1320.99</v>
      </c>
      <c r="I178" s="5">
        <v>0.2</v>
      </c>
      <c r="J178">
        <f t="shared" si="4"/>
        <v>2113.5840000000003</v>
      </c>
      <c r="K178" s="9">
        <f t="shared" si="5"/>
        <v>8.0051548913398024E-2</v>
      </c>
    </row>
    <row r="179" spans="1:11" x14ac:dyDescent="0.3">
      <c r="A179">
        <v>62</v>
      </c>
      <c r="B179">
        <v>1</v>
      </c>
      <c r="C179">
        <v>14</v>
      </c>
      <c r="D179" t="str">
        <f>VLOOKUP($C179,products!$A$1:$F$322,MATCH(order_items!$D$1,products!$A$1:$F$1,0),FALSE)</f>
        <v>Electra Girl's Hawaii 1 (16-inch) - 2015/2016</v>
      </c>
      <c r="E179">
        <f>VLOOKUP($C179,products!$A$1:$F$322,MATCH(order_items!$E$1,products!$A$1:$F$1,0),FALSE)</f>
        <v>3</v>
      </c>
      <c r="F179" t="str">
        <f>VLOOKUP($E179,categories!$A$1:$B$8,MATCH(order_items!$F$1,categories!$A$1:$B$1,0),FALSE)</f>
        <v>Cruisers Bicycles</v>
      </c>
      <c r="G179">
        <v>1</v>
      </c>
      <c r="H179">
        <v>269.99</v>
      </c>
      <c r="I179" s="5">
        <v>7.0000000000000007E-2</v>
      </c>
      <c r="J179">
        <f t="shared" si="4"/>
        <v>251.0907</v>
      </c>
      <c r="K179" s="9">
        <f t="shared" si="5"/>
        <v>-0.69693888525532666</v>
      </c>
    </row>
    <row r="180" spans="1:11" x14ac:dyDescent="0.3">
      <c r="A180">
        <v>62</v>
      </c>
      <c r="B180">
        <v>2</v>
      </c>
      <c r="C180">
        <v>8</v>
      </c>
      <c r="D180" t="str">
        <f>VLOOKUP($C180,products!$A$1:$F$322,MATCH(order_items!$D$1,products!$A$1:$F$1,0),FALSE)</f>
        <v>Trek Remedy 29 Carbon Frameset - 2016</v>
      </c>
      <c r="E180">
        <f>VLOOKUP($C180,products!$A$1:$F$322,MATCH(order_items!$E$1,products!$A$1:$F$1,0),FALSE)</f>
        <v>6</v>
      </c>
      <c r="F180" t="str">
        <f>VLOOKUP($E180,categories!$A$1:$B$8,MATCH(order_items!$F$1,categories!$A$1:$B$1,0),FALSE)</f>
        <v>Mountain Bikes</v>
      </c>
      <c r="G180">
        <v>2</v>
      </c>
      <c r="H180">
        <v>1799.99</v>
      </c>
      <c r="I180" s="5">
        <v>0.1</v>
      </c>
      <c r="J180">
        <f t="shared" si="4"/>
        <v>3239.982</v>
      </c>
      <c r="K180" s="9">
        <f t="shared" si="5"/>
        <v>0.43416992947174166</v>
      </c>
    </row>
    <row r="181" spans="1:11" x14ac:dyDescent="0.3">
      <c r="A181">
        <v>62</v>
      </c>
      <c r="B181">
        <v>3</v>
      </c>
      <c r="C181">
        <v>22</v>
      </c>
      <c r="D181" t="str">
        <f>VLOOKUP($C181,products!$A$1:$F$322,MATCH(order_items!$D$1,products!$A$1:$F$1,0),FALSE)</f>
        <v>Electra Girl's Hawaii 1 (16-inch) - 2015/2016</v>
      </c>
      <c r="E181">
        <f>VLOOKUP($C181,products!$A$1:$F$322,MATCH(order_items!$E$1,products!$A$1:$F$1,0),FALSE)</f>
        <v>1</v>
      </c>
      <c r="F181" t="str">
        <f>VLOOKUP($E181,categories!$A$1:$B$8,MATCH(order_items!$F$1,categories!$A$1:$B$1,0),FALSE)</f>
        <v>Children Bicycles</v>
      </c>
      <c r="G181">
        <v>2</v>
      </c>
      <c r="H181">
        <v>269.99</v>
      </c>
      <c r="I181" s="5">
        <v>0.1</v>
      </c>
      <c r="J181">
        <f t="shared" si="4"/>
        <v>485.98200000000003</v>
      </c>
      <c r="K181" s="9">
        <f t="shared" si="5"/>
        <v>-0.69693888525532666</v>
      </c>
    </row>
    <row r="182" spans="1:11" x14ac:dyDescent="0.3">
      <c r="A182">
        <v>63</v>
      </c>
      <c r="B182">
        <v>1</v>
      </c>
      <c r="C182">
        <v>25</v>
      </c>
      <c r="D182" t="str">
        <f>VLOOKUP($C182,products!$A$1:$F$322,MATCH(order_items!$D$1,products!$A$1:$F$1,0),FALSE)</f>
        <v>Electra Townie Original 7D - 2015/2016</v>
      </c>
      <c r="E182">
        <f>VLOOKUP($C182,products!$A$1:$F$322,MATCH(order_items!$E$1,products!$A$1:$F$1,0),FALSE)</f>
        <v>2</v>
      </c>
      <c r="F182" t="str">
        <f>VLOOKUP($E182,categories!$A$1:$B$8,MATCH(order_items!$F$1,categories!$A$1:$B$1,0),FALSE)</f>
        <v>Comfort Bicycles</v>
      </c>
      <c r="G182">
        <v>2</v>
      </c>
      <c r="H182">
        <v>499.99</v>
      </c>
      <c r="I182" s="5">
        <v>0.1</v>
      </c>
      <c r="J182">
        <f t="shared" si="4"/>
        <v>899.98200000000008</v>
      </c>
      <c r="K182" s="9">
        <f t="shared" si="5"/>
        <v>-0.52690291964276081</v>
      </c>
    </row>
    <row r="183" spans="1:11" x14ac:dyDescent="0.3">
      <c r="A183">
        <v>63</v>
      </c>
      <c r="B183">
        <v>2</v>
      </c>
      <c r="C183">
        <v>19</v>
      </c>
      <c r="D183" t="str">
        <f>VLOOKUP($C183,products!$A$1:$F$322,MATCH(order_items!$D$1,products!$A$1:$F$1,0),FALSE)</f>
        <v>Pure Cycles William 3-Speed - 2016</v>
      </c>
      <c r="E183">
        <f>VLOOKUP($C183,products!$A$1:$F$322,MATCH(order_items!$E$1,products!$A$1:$F$1,0),FALSE)</f>
        <v>3</v>
      </c>
      <c r="F183" t="str">
        <f>VLOOKUP($E183,categories!$A$1:$B$8,MATCH(order_items!$F$1,categories!$A$1:$B$1,0),FALSE)</f>
        <v>Cruisers Bicycles</v>
      </c>
      <c r="G183">
        <v>2</v>
      </c>
      <c r="H183">
        <v>449</v>
      </c>
      <c r="I183" s="5">
        <v>0.05</v>
      </c>
      <c r="J183">
        <f t="shared" si="4"/>
        <v>853.09999999999991</v>
      </c>
      <c r="K183" s="9">
        <f t="shared" si="5"/>
        <v>-0.56459915393225968</v>
      </c>
    </row>
    <row r="184" spans="1:11" x14ac:dyDescent="0.3">
      <c r="A184">
        <v>63</v>
      </c>
      <c r="B184">
        <v>3</v>
      </c>
      <c r="C184">
        <v>3</v>
      </c>
      <c r="D184" t="str">
        <f>VLOOKUP($C184,products!$A$1:$F$322,MATCH(order_items!$D$1,products!$A$1:$F$1,0),FALSE)</f>
        <v>Surly Wednesday Frameset - 2016</v>
      </c>
      <c r="E184">
        <f>VLOOKUP($C184,products!$A$1:$F$322,MATCH(order_items!$E$1,products!$A$1:$F$1,0),FALSE)</f>
        <v>6</v>
      </c>
      <c r="F184" t="str">
        <f>VLOOKUP($E184,categories!$A$1:$B$8,MATCH(order_items!$F$1,categories!$A$1:$B$1,0),FALSE)</f>
        <v>Mountain Bikes</v>
      </c>
      <c r="G184">
        <v>1</v>
      </c>
      <c r="H184">
        <v>999.99</v>
      </c>
      <c r="I184" s="5">
        <v>0.1</v>
      </c>
      <c r="J184">
        <f t="shared" si="4"/>
        <v>899.99099999999999</v>
      </c>
      <c r="K184" s="9">
        <f t="shared" si="5"/>
        <v>-0.15725951613718298</v>
      </c>
    </row>
    <row r="185" spans="1:11" x14ac:dyDescent="0.3">
      <c r="A185">
        <v>64</v>
      </c>
      <c r="B185">
        <v>1</v>
      </c>
      <c r="C185">
        <v>25</v>
      </c>
      <c r="D185" t="str">
        <f>VLOOKUP($C185,products!$A$1:$F$322,MATCH(order_items!$D$1,products!$A$1:$F$1,0),FALSE)</f>
        <v>Electra Townie Original 7D - 2015/2016</v>
      </c>
      <c r="E185">
        <f>VLOOKUP($C185,products!$A$1:$F$322,MATCH(order_items!$E$1,products!$A$1:$F$1,0),FALSE)</f>
        <v>2</v>
      </c>
      <c r="F185" t="str">
        <f>VLOOKUP($E185,categories!$A$1:$B$8,MATCH(order_items!$F$1,categories!$A$1:$B$1,0),FALSE)</f>
        <v>Comfort Bicycles</v>
      </c>
      <c r="G185">
        <v>2</v>
      </c>
      <c r="H185">
        <v>499.99</v>
      </c>
      <c r="I185" s="5">
        <v>0.1</v>
      </c>
      <c r="J185">
        <f t="shared" si="4"/>
        <v>899.98200000000008</v>
      </c>
      <c r="K185" s="9">
        <f t="shared" si="5"/>
        <v>-0.52690291964276081</v>
      </c>
    </row>
    <row r="186" spans="1:11" x14ac:dyDescent="0.3">
      <c r="A186">
        <v>64</v>
      </c>
      <c r="B186">
        <v>2</v>
      </c>
      <c r="C186">
        <v>22</v>
      </c>
      <c r="D186" t="str">
        <f>VLOOKUP($C186,products!$A$1:$F$322,MATCH(order_items!$D$1,products!$A$1:$F$1,0),FALSE)</f>
        <v>Electra Girl's Hawaii 1 (16-inch) - 2015/2016</v>
      </c>
      <c r="E186">
        <f>VLOOKUP($C186,products!$A$1:$F$322,MATCH(order_items!$E$1,products!$A$1:$F$1,0),FALSE)</f>
        <v>1</v>
      </c>
      <c r="F186" t="str">
        <f>VLOOKUP($E186,categories!$A$1:$B$8,MATCH(order_items!$F$1,categories!$A$1:$B$1,0),FALSE)</f>
        <v>Children Bicycles</v>
      </c>
      <c r="G186">
        <v>2</v>
      </c>
      <c r="H186">
        <v>269.99</v>
      </c>
      <c r="I186" s="5">
        <v>0.2</v>
      </c>
      <c r="J186">
        <f t="shared" si="4"/>
        <v>431.98400000000004</v>
      </c>
      <c r="K186" s="9">
        <f t="shared" si="5"/>
        <v>-0.69693888525532666</v>
      </c>
    </row>
    <row r="187" spans="1:11" x14ac:dyDescent="0.3">
      <c r="A187">
        <v>64</v>
      </c>
      <c r="B187">
        <v>3</v>
      </c>
      <c r="C187">
        <v>23</v>
      </c>
      <c r="D187" t="str">
        <f>VLOOKUP($C187,products!$A$1:$F$322,MATCH(order_items!$D$1,products!$A$1:$F$1,0),FALSE)</f>
        <v>Electra Girl's Hawaii 1 (20-inch) - 2015/2016</v>
      </c>
      <c r="E187">
        <f>VLOOKUP($C187,products!$A$1:$F$322,MATCH(order_items!$E$1,products!$A$1:$F$1,0),FALSE)</f>
        <v>1</v>
      </c>
      <c r="F187" t="str">
        <f>VLOOKUP($E187,categories!$A$1:$B$8,MATCH(order_items!$F$1,categories!$A$1:$B$1,0),FALSE)</f>
        <v>Children Bicycles</v>
      </c>
      <c r="G187">
        <v>2</v>
      </c>
      <c r="H187">
        <v>299.99</v>
      </c>
      <c r="I187" s="5">
        <v>0.2</v>
      </c>
      <c r="J187">
        <f t="shared" si="4"/>
        <v>479.98400000000004</v>
      </c>
      <c r="K187" s="9">
        <f t="shared" si="5"/>
        <v>-0.67476028104499197</v>
      </c>
    </row>
    <row r="188" spans="1:11" x14ac:dyDescent="0.3">
      <c r="A188">
        <v>64</v>
      </c>
      <c r="B188">
        <v>4</v>
      </c>
      <c r="C188">
        <v>24</v>
      </c>
      <c r="D188" t="str">
        <f>VLOOKUP($C188,products!$A$1:$F$322,MATCH(order_items!$D$1,products!$A$1:$F$1,0),FALSE)</f>
        <v>Electra Townie Original 21D - 2016</v>
      </c>
      <c r="E188">
        <f>VLOOKUP($C188,products!$A$1:$F$322,MATCH(order_items!$E$1,products!$A$1:$F$1,0),FALSE)</f>
        <v>2</v>
      </c>
      <c r="F188" t="str">
        <f>VLOOKUP($E188,categories!$A$1:$B$8,MATCH(order_items!$F$1,categories!$A$1:$B$1,0),FALSE)</f>
        <v>Comfort Bicycles</v>
      </c>
      <c r="G188">
        <v>2</v>
      </c>
      <c r="H188">
        <v>549.99</v>
      </c>
      <c r="I188" s="5">
        <v>0.1</v>
      </c>
      <c r="J188">
        <f t="shared" si="4"/>
        <v>989.98200000000008</v>
      </c>
      <c r="K188" s="9">
        <f t="shared" si="5"/>
        <v>-0.48993857929220308</v>
      </c>
    </row>
    <row r="189" spans="1:11" x14ac:dyDescent="0.3">
      <c r="A189">
        <v>65</v>
      </c>
      <c r="B189">
        <v>1</v>
      </c>
      <c r="C189">
        <v>12</v>
      </c>
      <c r="D189" t="str">
        <f>VLOOKUP($C189,products!$A$1:$F$322,MATCH(order_items!$D$1,products!$A$1:$F$1,0),FALSE)</f>
        <v>Electra Townie Original 21D - 2016</v>
      </c>
      <c r="E189">
        <f>VLOOKUP($C189,products!$A$1:$F$322,MATCH(order_items!$E$1,products!$A$1:$F$1,0),FALSE)</f>
        <v>3</v>
      </c>
      <c r="F189" t="str">
        <f>VLOOKUP($E189,categories!$A$1:$B$8,MATCH(order_items!$F$1,categories!$A$1:$B$1,0),FALSE)</f>
        <v>Cruisers Bicycles</v>
      </c>
      <c r="G189">
        <v>1</v>
      </c>
      <c r="H189">
        <v>549.99</v>
      </c>
      <c r="I189" s="5">
        <v>0.1</v>
      </c>
      <c r="J189">
        <f t="shared" si="4"/>
        <v>494.99100000000004</v>
      </c>
      <c r="K189" s="9">
        <f t="shared" si="5"/>
        <v>-0.48993857929220308</v>
      </c>
    </row>
    <row r="190" spans="1:11" x14ac:dyDescent="0.3">
      <c r="A190">
        <v>66</v>
      </c>
      <c r="B190">
        <v>1</v>
      </c>
      <c r="C190">
        <v>2</v>
      </c>
      <c r="D190" t="str">
        <f>VLOOKUP($C190,products!$A$1:$F$322,MATCH(order_items!$D$1,products!$A$1:$F$1,0),FALSE)</f>
        <v>Ritchey Timberwolf Frameset - 2016</v>
      </c>
      <c r="E190">
        <f>VLOOKUP($C190,products!$A$1:$F$322,MATCH(order_items!$E$1,products!$A$1:$F$1,0),FALSE)</f>
        <v>6</v>
      </c>
      <c r="F190" t="str">
        <f>VLOOKUP($E190,categories!$A$1:$B$8,MATCH(order_items!$F$1,categories!$A$1:$B$1,0),FALSE)</f>
        <v>Mountain Bikes</v>
      </c>
      <c r="G190">
        <v>1</v>
      </c>
      <c r="H190">
        <v>749.99</v>
      </c>
      <c r="I190" s="5">
        <v>0.2</v>
      </c>
      <c r="J190">
        <f t="shared" si="4"/>
        <v>599.99200000000008</v>
      </c>
      <c r="K190" s="9">
        <f t="shared" si="5"/>
        <v>-0.34208121788997192</v>
      </c>
    </row>
    <row r="191" spans="1:11" x14ac:dyDescent="0.3">
      <c r="A191">
        <v>66</v>
      </c>
      <c r="B191">
        <v>2</v>
      </c>
      <c r="C191">
        <v>23</v>
      </c>
      <c r="D191" t="str">
        <f>VLOOKUP($C191,products!$A$1:$F$322,MATCH(order_items!$D$1,products!$A$1:$F$1,0),FALSE)</f>
        <v>Electra Girl's Hawaii 1 (20-inch) - 2015/2016</v>
      </c>
      <c r="E191">
        <f>VLOOKUP($C191,products!$A$1:$F$322,MATCH(order_items!$E$1,products!$A$1:$F$1,0),FALSE)</f>
        <v>1</v>
      </c>
      <c r="F191" t="str">
        <f>VLOOKUP($E191,categories!$A$1:$B$8,MATCH(order_items!$F$1,categories!$A$1:$B$1,0),FALSE)</f>
        <v>Children Bicycles</v>
      </c>
      <c r="G191">
        <v>1</v>
      </c>
      <c r="H191">
        <v>299.99</v>
      </c>
      <c r="I191" s="5">
        <v>7.0000000000000007E-2</v>
      </c>
      <c r="J191">
        <f t="shared" si="4"/>
        <v>278.9907</v>
      </c>
      <c r="K191" s="9">
        <f t="shared" si="5"/>
        <v>-0.67476028104499197</v>
      </c>
    </row>
    <row r="192" spans="1:11" x14ac:dyDescent="0.3">
      <c r="A192">
        <v>66</v>
      </c>
      <c r="B192">
        <v>3</v>
      </c>
      <c r="C192">
        <v>12</v>
      </c>
      <c r="D192" t="str">
        <f>VLOOKUP($C192,products!$A$1:$F$322,MATCH(order_items!$D$1,products!$A$1:$F$1,0),FALSE)</f>
        <v>Electra Townie Original 21D - 2016</v>
      </c>
      <c r="E192">
        <f>VLOOKUP($C192,products!$A$1:$F$322,MATCH(order_items!$E$1,products!$A$1:$F$1,0),FALSE)</f>
        <v>3</v>
      </c>
      <c r="F192" t="str">
        <f>VLOOKUP($E192,categories!$A$1:$B$8,MATCH(order_items!$F$1,categories!$A$1:$B$1,0),FALSE)</f>
        <v>Cruisers Bicycles</v>
      </c>
      <c r="G192">
        <v>1</v>
      </c>
      <c r="H192">
        <v>549.99</v>
      </c>
      <c r="I192" s="5">
        <v>7.0000000000000007E-2</v>
      </c>
      <c r="J192">
        <f t="shared" si="4"/>
        <v>511.49069999999995</v>
      </c>
      <c r="K192" s="9">
        <f t="shared" si="5"/>
        <v>-0.48993857929220308</v>
      </c>
    </row>
    <row r="193" spans="1:11" x14ac:dyDescent="0.3">
      <c r="A193">
        <v>67</v>
      </c>
      <c r="B193">
        <v>1</v>
      </c>
      <c r="C193">
        <v>23</v>
      </c>
      <c r="D193" t="str">
        <f>VLOOKUP($C193,products!$A$1:$F$322,MATCH(order_items!$D$1,products!$A$1:$F$1,0),FALSE)</f>
        <v>Electra Girl's Hawaii 1 (20-inch) - 2015/2016</v>
      </c>
      <c r="E193">
        <f>VLOOKUP($C193,products!$A$1:$F$322,MATCH(order_items!$E$1,products!$A$1:$F$1,0),FALSE)</f>
        <v>1</v>
      </c>
      <c r="F193" t="str">
        <f>VLOOKUP($E193,categories!$A$1:$B$8,MATCH(order_items!$F$1,categories!$A$1:$B$1,0),FALSE)</f>
        <v>Children Bicycles</v>
      </c>
      <c r="G193">
        <v>2</v>
      </c>
      <c r="H193">
        <v>299.99</v>
      </c>
      <c r="I193" s="5">
        <v>0.2</v>
      </c>
      <c r="J193">
        <f t="shared" si="4"/>
        <v>479.98400000000004</v>
      </c>
      <c r="K193" s="9">
        <f t="shared" si="5"/>
        <v>-0.67476028104499197</v>
      </c>
    </row>
    <row r="194" spans="1:11" x14ac:dyDescent="0.3">
      <c r="A194">
        <v>67</v>
      </c>
      <c r="B194">
        <v>2</v>
      </c>
      <c r="C194">
        <v>12</v>
      </c>
      <c r="D194" t="str">
        <f>VLOOKUP($C194,products!$A$1:$F$322,MATCH(order_items!$D$1,products!$A$1:$F$1,0),FALSE)</f>
        <v>Electra Townie Original 21D - 2016</v>
      </c>
      <c r="E194">
        <f>VLOOKUP($C194,products!$A$1:$F$322,MATCH(order_items!$E$1,products!$A$1:$F$1,0),FALSE)</f>
        <v>3</v>
      </c>
      <c r="F194" t="str">
        <f>VLOOKUP($E194,categories!$A$1:$B$8,MATCH(order_items!$F$1,categories!$A$1:$B$1,0),FALSE)</f>
        <v>Cruisers Bicycles</v>
      </c>
      <c r="G194">
        <v>2</v>
      </c>
      <c r="H194">
        <v>549.99</v>
      </c>
      <c r="I194" s="5">
        <v>0.1</v>
      </c>
      <c r="J194">
        <f t="shared" ref="J194:J257" si="6">G194*H194*(1-I194)</f>
        <v>989.98200000000008</v>
      </c>
      <c r="K194" s="9">
        <f t="shared" ref="K194:K257" si="7">($H194-$M$7)/$M$9</f>
        <v>-0.48993857929220308</v>
      </c>
    </row>
    <row r="195" spans="1:11" x14ac:dyDescent="0.3">
      <c r="A195">
        <v>67</v>
      </c>
      <c r="B195">
        <v>3</v>
      </c>
      <c r="C195">
        <v>21</v>
      </c>
      <c r="D195" t="str">
        <f>VLOOKUP($C195,products!$A$1:$F$322,MATCH(order_items!$D$1,products!$A$1:$F$1,0),FALSE)</f>
        <v>Electra Cruiser 1 (24-Inch) - 2016</v>
      </c>
      <c r="E195">
        <f>VLOOKUP($C195,products!$A$1:$F$322,MATCH(order_items!$E$1,products!$A$1:$F$1,0),FALSE)</f>
        <v>1</v>
      </c>
      <c r="F195" t="str">
        <f>VLOOKUP($E195,categories!$A$1:$B$8,MATCH(order_items!$F$1,categories!$A$1:$B$1,0),FALSE)</f>
        <v>Children Bicycles</v>
      </c>
      <c r="G195">
        <v>1</v>
      </c>
      <c r="H195">
        <v>269.99</v>
      </c>
      <c r="I195" s="5">
        <v>0.2</v>
      </c>
      <c r="J195">
        <f t="shared" si="6"/>
        <v>215.99200000000002</v>
      </c>
      <c r="K195" s="9">
        <f t="shared" si="7"/>
        <v>-0.69693888525532666</v>
      </c>
    </row>
    <row r="196" spans="1:11" x14ac:dyDescent="0.3">
      <c r="A196">
        <v>67</v>
      </c>
      <c r="B196">
        <v>4</v>
      </c>
      <c r="C196">
        <v>5</v>
      </c>
      <c r="D196" t="str">
        <f>VLOOKUP($C196,products!$A$1:$F$322,MATCH(order_items!$D$1,products!$A$1:$F$1,0),FALSE)</f>
        <v>Heller Shagamaw Frame - 2016</v>
      </c>
      <c r="E196">
        <f>VLOOKUP($C196,products!$A$1:$F$322,MATCH(order_items!$E$1,products!$A$1:$F$1,0),FALSE)</f>
        <v>6</v>
      </c>
      <c r="F196" t="str">
        <f>VLOOKUP($E196,categories!$A$1:$B$8,MATCH(order_items!$F$1,categories!$A$1:$B$1,0),FALSE)</f>
        <v>Mountain Bikes</v>
      </c>
      <c r="G196">
        <v>2</v>
      </c>
      <c r="H196">
        <v>1320.99</v>
      </c>
      <c r="I196" s="5">
        <v>0.1</v>
      </c>
      <c r="J196">
        <f t="shared" si="6"/>
        <v>2377.7820000000002</v>
      </c>
      <c r="K196" s="9">
        <f t="shared" si="7"/>
        <v>8.0051548913398024E-2</v>
      </c>
    </row>
    <row r="197" spans="1:11" x14ac:dyDescent="0.3">
      <c r="A197">
        <v>67</v>
      </c>
      <c r="B197">
        <v>5</v>
      </c>
      <c r="C197">
        <v>19</v>
      </c>
      <c r="D197" t="str">
        <f>VLOOKUP($C197,products!$A$1:$F$322,MATCH(order_items!$D$1,products!$A$1:$F$1,0),FALSE)</f>
        <v>Pure Cycles William 3-Speed - 2016</v>
      </c>
      <c r="E197">
        <f>VLOOKUP($C197,products!$A$1:$F$322,MATCH(order_items!$E$1,products!$A$1:$F$1,0),FALSE)</f>
        <v>3</v>
      </c>
      <c r="F197" t="str">
        <f>VLOOKUP($E197,categories!$A$1:$B$8,MATCH(order_items!$F$1,categories!$A$1:$B$1,0),FALSE)</f>
        <v>Cruisers Bicycles</v>
      </c>
      <c r="G197">
        <v>1</v>
      </c>
      <c r="H197">
        <v>449</v>
      </c>
      <c r="I197" s="5">
        <v>0.2</v>
      </c>
      <c r="J197">
        <f t="shared" si="6"/>
        <v>359.20000000000005</v>
      </c>
      <c r="K197" s="9">
        <f t="shared" si="7"/>
        <v>-0.56459915393225968</v>
      </c>
    </row>
    <row r="198" spans="1:11" x14ac:dyDescent="0.3">
      <c r="A198">
        <v>68</v>
      </c>
      <c r="B198">
        <v>1</v>
      </c>
      <c r="C198">
        <v>13</v>
      </c>
      <c r="D198" t="str">
        <f>VLOOKUP($C198,products!$A$1:$F$322,MATCH(order_items!$D$1,products!$A$1:$F$1,0),FALSE)</f>
        <v>Electra Cruiser 1 (24-Inch) - 2016</v>
      </c>
      <c r="E198">
        <f>VLOOKUP($C198,products!$A$1:$F$322,MATCH(order_items!$E$1,products!$A$1:$F$1,0),FALSE)</f>
        <v>3</v>
      </c>
      <c r="F198" t="str">
        <f>VLOOKUP($E198,categories!$A$1:$B$8,MATCH(order_items!$F$1,categories!$A$1:$B$1,0),FALSE)</f>
        <v>Cruisers Bicycles</v>
      </c>
      <c r="G198">
        <v>2</v>
      </c>
      <c r="H198">
        <v>269.99</v>
      </c>
      <c r="I198" s="5">
        <v>7.0000000000000007E-2</v>
      </c>
      <c r="J198">
        <f t="shared" si="6"/>
        <v>502.1814</v>
      </c>
      <c r="K198" s="9">
        <f t="shared" si="7"/>
        <v>-0.69693888525532666</v>
      </c>
    </row>
    <row r="199" spans="1:11" x14ac:dyDescent="0.3">
      <c r="A199">
        <v>68</v>
      </c>
      <c r="B199">
        <v>2</v>
      </c>
      <c r="C199">
        <v>17</v>
      </c>
      <c r="D199" t="str">
        <f>VLOOKUP($C199,products!$A$1:$F$322,MATCH(order_items!$D$1,products!$A$1:$F$1,0),FALSE)</f>
        <v>Pure Cycles Vine 8-Speed - 2016</v>
      </c>
      <c r="E199">
        <f>VLOOKUP($C199,products!$A$1:$F$322,MATCH(order_items!$E$1,products!$A$1:$F$1,0),FALSE)</f>
        <v>3</v>
      </c>
      <c r="F199" t="str">
        <f>VLOOKUP($E199,categories!$A$1:$B$8,MATCH(order_items!$F$1,categories!$A$1:$B$1,0),FALSE)</f>
        <v>Cruisers Bicycles</v>
      </c>
      <c r="G199">
        <v>1</v>
      </c>
      <c r="H199">
        <v>429</v>
      </c>
      <c r="I199" s="5">
        <v>0.1</v>
      </c>
      <c r="J199">
        <f t="shared" si="6"/>
        <v>386.1</v>
      </c>
      <c r="K199" s="9">
        <f t="shared" si="7"/>
        <v>-0.57938489007248284</v>
      </c>
    </row>
    <row r="200" spans="1:11" x14ac:dyDescent="0.3">
      <c r="A200">
        <v>69</v>
      </c>
      <c r="B200">
        <v>1</v>
      </c>
      <c r="C200">
        <v>22</v>
      </c>
      <c r="D200" t="str">
        <f>VLOOKUP($C200,products!$A$1:$F$322,MATCH(order_items!$D$1,products!$A$1:$F$1,0),FALSE)</f>
        <v>Electra Girl's Hawaii 1 (16-inch) - 2015/2016</v>
      </c>
      <c r="E200">
        <f>VLOOKUP($C200,products!$A$1:$F$322,MATCH(order_items!$E$1,products!$A$1:$F$1,0),FALSE)</f>
        <v>1</v>
      </c>
      <c r="F200" t="str">
        <f>VLOOKUP($E200,categories!$A$1:$B$8,MATCH(order_items!$F$1,categories!$A$1:$B$1,0),FALSE)</f>
        <v>Children Bicycles</v>
      </c>
      <c r="G200">
        <v>2</v>
      </c>
      <c r="H200">
        <v>269.99</v>
      </c>
      <c r="I200" s="5">
        <v>0.1</v>
      </c>
      <c r="J200">
        <f t="shared" si="6"/>
        <v>485.98200000000003</v>
      </c>
      <c r="K200" s="9">
        <f t="shared" si="7"/>
        <v>-0.69693888525532666</v>
      </c>
    </row>
    <row r="201" spans="1:11" x14ac:dyDescent="0.3">
      <c r="A201">
        <v>69</v>
      </c>
      <c r="B201">
        <v>2</v>
      </c>
      <c r="C201">
        <v>5</v>
      </c>
      <c r="D201" t="str">
        <f>VLOOKUP($C201,products!$A$1:$F$322,MATCH(order_items!$D$1,products!$A$1:$F$1,0),FALSE)</f>
        <v>Heller Shagamaw Frame - 2016</v>
      </c>
      <c r="E201">
        <f>VLOOKUP($C201,products!$A$1:$F$322,MATCH(order_items!$E$1,products!$A$1:$F$1,0),FALSE)</f>
        <v>6</v>
      </c>
      <c r="F201" t="str">
        <f>VLOOKUP($E201,categories!$A$1:$B$8,MATCH(order_items!$F$1,categories!$A$1:$B$1,0),FALSE)</f>
        <v>Mountain Bikes</v>
      </c>
      <c r="G201">
        <v>1</v>
      </c>
      <c r="H201">
        <v>1320.99</v>
      </c>
      <c r="I201" s="5">
        <v>0.2</v>
      </c>
      <c r="J201">
        <f t="shared" si="6"/>
        <v>1056.7920000000001</v>
      </c>
      <c r="K201" s="9">
        <f t="shared" si="7"/>
        <v>8.0051548913398024E-2</v>
      </c>
    </row>
    <row r="202" spans="1:11" x14ac:dyDescent="0.3">
      <c r="A202">
        <v>69</v>
      </c>
      <c r="B202">
        <v>3</v>
      </c>
      <c r="C202">
        <v>10</v>
      </c>
      <c r="D202" t="str">
        <f>VLOOKUP($C202,products!$A$1:$F$322,MATCH(order_items!$D$1,products!$A$1:$F$1,0),FALSE)</f>
        <v>Surly Straggler - 2016</v>
      </c>
      <c r="E202">
        <f>VLOOKUP($C202,products!$A$1:$F$322,MATCH(order_items!$E$1,products!$A$1:$F$1,0),FALSE)</f>
        <v>4</v>
      </c>
      <c r="F202" t="str">
        <f>VLOOKUP($E202,categories!$A$1:$B$8,MATCH(order_items!$F$1,categories!$A$1:$B$1,0),FALSE)</f>
        <v>Cyclocross Bicycles</v>
      </c>
      <c r="G202">
        <v>1</v>
      </c>
      <c r="H202">
        <v>1549</v>
      </c>
      <c r="I202" s="5">
        <v>0.05</v>
      </c>
      <c r="J202">
        <f t="shared" si="6"/>
        <v>1471.55</v>
      </c>
      <c r="K202" s="9">
        <f t="shared" si="7"/>
        <v>0.24861633378001166</v>
      </c>
    </row>
    <row r="203" spans="1:11" x14ac:dyDescent="0.3">
      <c r="A203">
        <v>70</v>
      </c>
      <c r="B203">
        <v>1</v>
      </c>
      <c r="C203">
        <v>3</v>
      </c>
      <c r="D203" t="str">
        <f>VLOOKUP($C203,products!$A$1:$F$322,MATCH(order_items!$D$1,products!$A$1:$F$1,0),FALSE)</f>
        <v>Surly Wednesday Frameset - 2016</v>
      </c>
      <c r="E203">
        <f>VLOOKUP($C203,products!$A$1:$F$322,MATCH(order_items!$E$1,products!$A$1:$F$1,0),FALSE)</f>
        <v>6</v>
      </c>
      <c r="F203" t="str">
        <f>VLOOKUP($E203,categories!$A$1:$B$8,MATCH(order_items!$F$1,categories!$A$1:$B$1,0),FALSE)</f>
        <v>Mountain Bikes</v>
      </c>
      <c r="G203">
        <v>2</v>
      </c>
      <c r="H203">
        <v>999.99</v>
      </c>
      <c r="I203" s="5">
        <v>0.05</v>
      </c>
      <c r="J203">
        <f t="shared" si="6"/>
        <v>1899.981</v>
      </c>
      <c r="K203" s="9">
        <f t="shared" si="7"/>
        <v>-0.15725951613718298</v>
      </c>
    </row>
    <row r="204" spans="1:11" x14ac:dyDescent="0.3">
      <c r="A204">
        <v>70</v>
      </c>
      <c r="B204">
        <v>2</v>
      </c>
      <c r="C204">
        <v>18</v>
      </c>
      <c r="D204" t="str">
        <f>VLOOKUP($C204,products!$A$1:$F$322,MATCH(order_items!$D$1,products!$A$1:$F$1,0),FALSE)</f>
        <v>Pure Cycles Western 3-Speed - Women's - 2015/2016</v>
      </c>
      <c r="E204">
        <f>VLOOKUP($C204,products!$A$1:$F$322,MATCH(order_items!$E$1,products!$A$1:$F$1,0),FALSE)</f>
        <v>3</v>
      </c>
      <c r="F204" t="str">
        <f>VLOOKUP($E204,categories!$A$1:$B$8,MATCH(order_items!$F$1,categories!$A$1:$B$1,0),FALSE)</f>
        <v>Cruisers Bicycles</v>
      </c>
      <c r="G204">
        <v>1</v>
      </c>
      <c r="H204">
        <v>449</v>
      </c>
      <c r="I204" s="5">
        <v>0.2</v>
      </c>
      <c r="J204">
        <f t="shared" si="6"/>
        <v>359.20000000000005</v>
      </c>
      <c r="K204" s="9">
        <f t="shared" si="7"/>
        <v>-0.56459915393225968</v>
      </c>
    </row>
    <row r="205" spans="1:11" x14ac:dyDescent="0.3">
      <c r="A205">
        <v>70</v>
      </c>
      <c r="B205">
        <v>3</v>
      </c>
      <c r="C205">
        <v>20</v>
      </c>
      <c r="D205" t="str">
        <f>VLOOKUP($C205,products!$A$1:$F$322,MATCH(order_items!$D$1,products!$A$1:$F$1,0),FALSE)</f>
        <v>Electra Townie Original 7D EQ - Women's - 2016</v>
      </c>
      <c r="E205">
        <f>VLOOKUP($C205,products!$A$1:$F$322,MATCH(order_items!$E$1,products!$A$1:$F$1,0),FALSE)</f>
        <v>3</v>
      </c>
      <c r="F205" t="str">
        <f>VLOOKUP($E205,categories!$A$1:$B$8,MATCH(order_items!$F$1,categories!$A$1:$B$1,0),FALSE)</f>
        <v>Cruisers Bicycles</v>
      </c>
      <c r="G205">
        <v>1</v>
      </c>
      <c r="H205">
        <v>599.99</v>
      </c>
      <c r="I205" s="5">
        <v>0.05</v>
      </c>
      <c r="J205">
        <f t="shared" si="6"/>
        <v>569.9905</v>
      </c>
      <c r="K205" s="9">
        <f t="shared" si="7"/>
        <v>-0.45297423894164529</v>
      </c>
    </row>
    <row r="206" spans="1:11" x14ac:dyDescent="0.3">
      <c r="A206">
        <v>71</v>
      </c>
      <c r="B206">
        <v>1</v>
      </c>
      <c r="C206">
        <v>26</v>
      </c>
      <c r="D206" t="str">
        <f>VLOOKUP($C206,products!$A$1:$F$322,MATCH(order_items!$D$1,products!$A$1:$F$1,0),FALSE)</f>
        <v>Electra Townie Original 7D EQ - 2016</v>
      </c>
      <c r="E206">
        <f>VLOOKUP($C206,products!$A$1:$F$322,MATCH(order_items!$E$1,products!$A$1:$F$1,0),FALSE)</f>
        <v>2</v>
      </c>
      <c r="F206" t="str">
        <f>VLOOKUP($E206,categories!$A$1:$B$8,MATCH(order_items!$F$1,categories!$A$1:$B$1,0),FALSE)</f>
        <v>Comfort Bicycles</v>
      </c>
      <c r="G206">
        <v>2</v>
      </c>
      <c r="H206">
        <v>599.99</v>
      </c>
      <c r="I206" s="5">
        <v>0.05</v>
      </c>
      <c r="J206">
        <f t="shared" si="6"/>
        <v>1139.981</v>
      </c>
      <c r="K206" s="9">
        <f t="shared" si="7"/>
        <v>-0.45297423894164529</v>
      </c>
    </row>
    <row r="207" spans="1:11" x14ac:dyDescent="0.3">
      <c r="A207">
        <v>71</v>
      </c>
      <c r="B207">
        <v>2</v>
      </c>
      <c r="C207">
        <v>24</v>
      </c>
      <c r="D207" t="str">
        <f>VLOOKUP($C207,products!$A$1:$F$322,MATCH(order_items!$D$1,products!$A$1:$F$1,0),FALSE)</f>
        <v>Electra Townie Original 21D - 2016</v>
      </c>
      <c r="E207">
        <f>VLOOKUP($C207,products!$A$1:$F$322,MATCH(order_items!$E$1,products!$A$1:$F$1,0),FALSE)</f>
        <v>2</v>
      </c>
      <c r="F207" t="str">
        <f>VLOOKUP($E207,categories!$A$1:$B$8,MATCH(order_items!$F$1,categories!$A$1:$B$1,0),FALSE)</f>
        <v>Comfort Bicycles</v>
      </c>
      <c r="G207">
        <v>1</v>
      </c>
      <c r="H207">
        <v>549.99</v>
      </c>
      <c r="I207" s="5">
        <v>0.2</v>
      </c>
      <c r="J207">
        <f t="shared" si="6"/>
        <v>439.99200000000002</v>
      </c>
      <c r="K207" s="9">
        <f t="shared" si="7"/>
        <v>-0.48993857929220308</v>
      </c>
    </row>
    <row r="208" spans="1:11" x14ac:dyDescent="0.3">
      <c r="A208">
        <v>71</v>
      </c>
      <c r="B208">
        <v>3</v>
      </c>
      <c r="C208">
        <v>18</v>
      </c>
      <c r="D208" t="str">
        <f>VLOOKUP($C208,products!$A$1:$F$322,MATCH(order_items!$D$1,products!$A$1:$F$1,0),FALSE)</f>
        <v>Pure Cycles Western 3-Speed - Women's - 2015/2016</v>
      </c>
      <c r="E208">
        <f>VLOOKUP($C208,products!$A$1:$F$322,MATCH(order_items!$E$1,products!$A$1:$F$1,0),FALSE)</f>
        <v>3</v>
      </c>
      <c r="F208" t="str">
        <f>VLOOKUP($E208,categories!$A$1:$B$8,MATCH(order_items!$F$1,categories!$A$1:$B$1,0),FALSE)</f>
        <v>Cruisers Bicycles</v>
      </c>
      <c r="G208">
        <v>1</v>
      </c>
      <c r="H208">
        <v>449</v>
      </c>
      <c r="I208" s="5">
        <v>0.1</v>
      </c>
      <c r="J208">
        <f t="shared" si="6"/>
        <v>404.1</v>
      </c>
      <c r="K208" s="9">
        <f t="shared" si="7"/>
        <v>-0.56459915393225968</v>
      </c>
    </row>
    <row r="209" spans="1:11" x14ac:dyDescent="0.3">
      <c r="A209">
        <v>72</v>
      </c>
      <c r="B209">
        <v>1</v>
      </c>
      <c r="C209">
        <v>17</v>
      </c>
      <c r="D209" t="str">
        <f>VLOOKUP($C209,products!$A$1:$F$322,MATCH(order_items!$D$1,products!$A$1:$F$1,0),FALSE)</f>
        <v>Pure Cycles Vine 8-Speed - 2016</v>
      </c>
      <c r="E209">
        <f>VLOOKUP($C209,products!$A$1:$F$322,MATCH(order_items!$E$1,products!$A$1:$F$1,0),FALSE)</f>
        <v>3</v>
      </c>
      <c r="F209" t="str">
        <f>VLOOKUP($E209,categories!$A$1:$B$8,MATCH(order_items!$F$1,categories!$A$1:$B$1,0),FALSE)</f>
        <v>Cruisers Bicycles</v>
      </c>
      <c r="G209">
        <v>2</v>
      </c>
      <c r="H209">
        <v>429</v>
      </c>
      <c r="I209" s="5">
        <v>7.0000000000000007E-2</v>
      </c>
      <c r="J209">
        <f t="shared" si="6"/>
        <v>797.93999999999994</v>
      </c>
      <c r="K209" s="9">
        <f t="shared" si="7"/>
        <v>-0.57938489007248284</v>
      </c>
    </row>
    <row r="210" spans="1:11" x14ac:dyDescent="0.3">
      <c r="A210">
        <v>72</v>
      </c>
      <c r="B210">
        <v>2</v>
      </c>
      <c r="C210">
        <v>12</v>
      </c>
      <c r="D210" t="str">
        <f>VLOOKUP($C210,products!$A$1:$F$322,MATCH(order_items!$D$1,products!$A$1:$F$1,0),FALSE)</f>
        <v>Electra Townie Original 21D - 2016</v>
      </c>
      <c r="E210">
        <f>VLOOKUP($C210,products!$A$1:$F$322,MATCH(order_items!$E$1,products!$A$1:$F$1,0),FALSE)</f>
        <v>3</v>
      </c>
      <c r="F210" t="str">
        <f>VLOOKUP($E210,categories!$A$1:$B$8,MATCH(order_items!$F$1,categories!$A$1:$B$1,0),FALSE)</f>
        <v>Cruisers Bicycles</v>
      </c>
      <c r="G210">
        <v>1</v>
      </c>
      <c r="H210">
        <v>549.99</v>
      </c>
      <c r="I210" s="5">
        <v>0.05</v>
      </c>
      <c r="J210">
        <f t="shared" si="6"/>
        <v>522.4905</v>
      </c>
      <c r="K210" s="9">
        <f t="shared" si="7"/>
        <v>-0.48993857929220308</v>
      </c>
    </row>
    <row r="211" spans="1:11" x14ac:dyDescent="0.3">
      <c r="A211">
        <v>72</v>
      </c>
      <c r="B211">
        <v>3</v>
      </c>
      <c r="C211">
        <v>13</v>
      </c>
      <c r="D211" t="str">
        <f>VLOOKUP($C211,products!$A$1:$F$322,MATCH(order_items!$D$1,products!$A$1:$F$1,0),FALSE)</f>
        <v>Electra Cruiser 1 (24-Inch) - 2016</v>
      </c>
      <c r="E211">
        <f>VLOOKUP($C211,products!$A$1:$F$322,MATCH(order_items!$E$1,products!$A$1:$F$1,0),FALSE)</f>
        <v>3</v>
      </c>
      <c r="F211" t="str">
        <f>VLOOKUP($E211,categories!$A$1:$B$8,MATCH(order_items!$F$1,categories!$A$1:$B$1,0),FALSE)</f>
        <v>Cruisers Bicycles</v>
      </c>
      <c r="G211">
        <v>2</v>
      </c>
      <c r="H211">
        <v>269.99</v>
      </c>
      <c r="I211" s="5">
        <v>0.1</v>
      </c>
      <c r="J211">
        <f t="shared" si="6"/>
        <v>485.98200000000003</v>
      </c>
      <c r="K211" s="9">
        <f t="shared" si="7"/>
        <v>-0.69693888525532666</v>
      </c>
    </row>
    <row r="212" spans="1:11" x14ac:dyDescent="0.3">
      <c r="A212">
        <v>73</v>
      </c>
      <c r="B212">
        <v>1</v>
      </c>
      <c r="C212">
        <v>22</v>
      </c>
      <c r="D212" t="str">
        <f>VLOOKUP($C212,products!$A$1:$F$322,MATCH(order_items!$D$1,products!$A$1:$F$1,0),FALSE)</f>
        <v>Electra Girl's Hawaii 1 (16-inch) - 2015/2016</v>
      </c>
      <c r="E212">
        <f>VLOOKUP($C212,products!$A$1:$F$322,MATCH(order_items!$E$1,products!$A$1:$F$1,0),FALSE)</f>
        <v>1</v>
      </c>
      <c r="F212" t="str">
        <f>VLOOKUP($E212,categories!$A$1:$B$8,MATCH(order_items!$F$1,categories!$A$1:$B$1,0),FALSE)</f>
        <v>Children Bicycles</v>
      </c>
      <c r="G212">
        <v>1</v>
      </c>
      <c r="H212">
        <v>269.99</v>
      </c>
      <c r="I212" s="5">
        <v>7.0000000000000007E-2</v>
      </c>
      <c r="J212">
        <f t="shared" si="6"/>
        <v>251.0907</v>
      </c>
      <c r="K212" s="9">
        <f t="shared" si="7"/>
        <v>-0.69693888525532666</v>
      </c>
    </row>
    <row r="213" spans="1:11" x14ac:dyDescent="0.3">
      <c r="A213">
        <v>73</v>
      </c>
      <c r="B213">
        <v>2</v>
      </c>
      <c r="C213">
        <v>26</v>
      </c>
      <c r="D213" t="str">
        <f>VLOOKUP($C213,products!$A$1:$F$322,MATCH(order_items!$D$1,products!$A$1:$F$1,0),FALSE)</f>
        <v>Electra Townie Original 7D EQ - 2016</v>
      </c>
      <c r="E213">
        <f>VLOOKUP($C213,products!$A$1:$F$322,MATCH(order_items!$E$1,products!$A$1:$F$1,0),FALSE)</f>
        <v>2</v>
      </c>
      <c r="F213" t="str">
        <f>VLOOKUP($E213,categories!$A$1:$B$8,MATCH(order_items!$F$1,categories!$A$1:$B$1,0),FALSE)</f>
        <v>Comfort Bicycles</v>
      </c>
      <c r="G213">
        <v>2</v>
      </c>
      <c r="H213">
        <v>599.99</v>
      </c>
      <c r="I213" s="5">
        <v>0.05</v>
      </c>
      <c r="J213">
        <f t="shared" si="6"/>
        <v>1139.981</v>
      </c>
      <c r="K213" s="9">
        <f t="shared" si="7"/>
        <v>-0.45297423894164529</v>
      </c>
    </row>
    <row r="214" spans="1:11" x14ac:dyDescent="0.3">
      <c r="A214">
        <v>73</v>
      </c>
      <c r="B214">
        <v>3</v>
      </c>
      <c r="C214">
        <v>3</v>
      </c>
      <c r="D214" t="str">
        <f>VLOOKUP($C214,products!$A$1:$F$322,MATCH(order_items!$D$1,products!$A$1:$F$1,0),FALSE)</f>
        <v>Surly Wednesday Frameset - 2016</v>
      </c>
      <c r="E214">
        <f>VLOOKUP($C214,products!$A$1:$F$322,MATCH(order_items!$E$1,products!$A$1:$F$1,0),FALSE)</f>
        <v>6</v>
      </c>
      <c r="F214" t="str">
        <f>VLOOKUP($E214,categories!$A$1:$B$8,MATCH(order_items!$F$1,categories!$A$1:$B$1,0),FALSE)</f>
        <v>Mountain Bikes</v>
      </c>
      <c r="G214">
        <v>2</v>
      </c>
      <c r="H214">
        <v>999.99</v>
      </c>
      <c r="I214" s="5">
        <v>7.0000000000000007E-2</v>
      </c>
      <c r="J214">
        <f t="shared" si="6"/>
        <v>1859.9813999999999</v>
      </c>
      <c r="K214" s="9">
        <f t="shared" si="7"/>
        <v>-0.15725951613718298</v>
      </c>
    </row>
    <row r="215" spans="1:11" x14ac:dyDescent="0.3">
      <c r="A215">
        <v>73</v>
      </c>
      <c r="B215">
        <v>4</v>
      </c>
      <c r="C215">
        <v>25</v>
      </c>
      <c r="D215" t="str">
        <f>VLOOKUP($C215,products!$A$1:$F$322,MATCH(order_items!$D$1,products!$A$1:$F$1,0),FALSE)</f>
        <v>Electra Townie Original 7D - 2015/2016</v>
      </c>
      <c r="E215">
        <f>VLOOKUP($C215,products!$A$1:$F$322,MATCH(order_items!$E$1,products!$A$1:$F$1,0),FALSE)</f>
        <v>2</v>
      </c>
      <c r="F215" t="str">
        <f>VLOOKUP($E215,categories!$A$1:$B$8,MATCH(order_items!$F$1,categories!$A$1:$B$1,0),FALSE)</f>
        <v>Comfort Bicycles</v>
      </c>
      <c r="G215">
        <v>1</v>
      </c>
      <c r="H215">
        <v>499.99</v>
      </c>
      <c r="I215" s="5">
        <v>7.0000000000000007E-2</v>
      </c>
      <c r="J215">
        <f t="shared" si="6"/>
        <v>464.9907</v>
      </c>
      <c r="K215" s="9">
        <f t="shared" si="7"/>
        <v>-0.52690291964276081</v>
      </c>
    </row>
    <row r="216" spans="1:11" x14ac:dyDescent="0.3">
      <c r="A216">
        <v>73</v>
      </c>
      <c r="B216">
        <v>5</v>
      </c>
      <c r="C216">
        <v>23</v>
      </c>
      <c r="D216" t="str">
        <f>VLOOKUP($C216,products!$A$1:$F$322,MATCH(order_items!$D$1,products!$A$1:$F$1,0),FALSE)</f>
        <v>Electra Girl's Hawaii 1 (20-inch) - 2015/2016</v>
      </c>
      <c r="E216">
        <f>VLOOKUP($C216,products!$A$1:$F$322,MATCH(order_items!$E$1,products!$A$1:$F$1,0),FALSE)</f>
        <v>1</v>
      </c>
      <c r="F216" t="str">
        <f>VLOOKUP($E216,categories!$A$1:$B$8,MATCH(order_items!$F$1,categories!$A$1:$B$1,0),FALSE)</f>
        <v>Children Bicycles</v>
      </c>
      <c r="G216">
        <v>2</v>
      </c>
      <c r="H216">
        <v>299.99</v>
      </c>
      <c r="I216" s="5">
        <v>0.2</v>
      </c>
      <c r="J216">
        <f t="shared" si="6"/>
        <v>479.98400000000004</v>
      </c>
      <c r="K216" s="9">
        <f t="shared" si="7"/>
        <v>-0.67476028104499197</v>
      </c>
    </row>
    <row r="217" spans="1:11" x14ac:dyDescent="0.3">
      <c r="A217">
        <v>74</v>
      </c>
      <c r="B217">
        <v>1</v>
      </c>
      <c r="C217">
        <v>16</v>
      </c>
      <c r="D217" t="str">
        <f>VLOOKUP($C217,products!$A$1:$F$322,MATCH(order_items!$D$1,products!$A$1:$F$1,0),FALSE)</f>
        <v>Electra Townie Original 7D EQ - 2016</v>
      </c>
      <c r="E217">
        <f>VLOOKUP($C217,products!$A$1:$F$322,MATCH(order_items!$E$1,products!$A$1:$F$1,0),FALSE)</f>
        <v>3</v>
      </c>
      <c r="F217" t="str">
        <f>VLOOKUP($E217,categories!$A$1:$B$8,MATCH(order_items!$F$1,categories!$A$1:$B$1,0),FALSE)</f>
        <v>Cruisers Bicycles</v>
      </c>
      <c r="G217">
        <v>2</v>
      </c>
      <c r="H217">
        <v>599.99</v>
      </c>
      <c r="I217" s="5">
        <v>0.05</v>
      </c>
      <c r="J217">
        <f t="shared" si="6"/>
        <v>1139.981</v>
      </c>
      <c r="K217" s="9">
        <f t="shared" si="7"/>
        <v>-0.45297423894164529</v>
      </c>
    </row>
    <row r="218" spans="1:11" x14ac:dyDescent="0.3">
      <c r="A218">
        <v>74</v>
      </c>
      <c r="B218">
        <v>2</v>
      </c>
      <c r="C218">
        <v>6</v>
      </c>
      <c r="D218" t="str">
        <f>VLOOKUP($C218,products!$A$1:$F$322,MATCH(order_items!$D$1,products!$A$1:$F$1,0),FALSE)</f>
        <v>Surly Ice Cream Truck Frameset - 2016</v>
      </c>
      <c r="E218">
        <f>VLOOKUP($C218,products!$A$1:$F$322,MATCH(order_items!$E$1,products!$A$1:$F$1,0),FALSE)</f>
        <v>6</v>
      </c>
      <c r="F218" t="str">
        <f>VLOOKUP($E218,categories!$A$1:$B$8,MATCH(order_items!$F$1,categories!$A$1:$B$1,0),FALSE)</f>
        <v>Mountain Bikes</v>
      </c>
      <c r="G218">
        <v>1</v>
      </c>
      <c r="H218">
        <v>469.99</v>
      </c>
      <c r="I218" s="5">
        <v>7.0000000000000007E-2</v>
      </c>
      <c r="J218">
        <f t="shared" si="6"/>
        <v>437.09069999999997</v>
      </c>
      <c r="K218" s="9">
        <f t="shared" si="7"/>
        <v>-0.5490815238530955</v>
      </c>
    </row>
    <row r="219" spans="1:11" x14ac:dyDescent="0.3">
      <c r="A219">
        <v>75</v>
      </c>
      <c r="B219">
        <v>1</v>
      </c>
      <c r="C219">
        <v>3</v>
      </c>
      <c r="D219" t="str">
        <f>VLOOKUP($C219,products!$A$1:$F$322,MATCH(order_items!$D$1,products!$A$1:$F$1,0),FALSE)</f>
        <v>Surly Wednesday Frameset - 2016</v>
      </c>
      <c r="E219">
        <f>VLOOKUP($C219,products!$A$1:$F$322,MATCH(order_items!$E$1,products!$A$1:$F$1,0),FALSE)</f>
        <v>6</v>
      </c>
      <c r="F219" t="str">
        <f>VLOOKUP($E219,categories!$A$1:$B$8,MATCH(order_items!$F$1,categories!$A$1:$B$1,0),FALSE)</f>
        <v>Mountain Bikes</v>
      </c>
      <c r="G219">
        <v>1</v>
      </c>
      <c r="H219">
        <v>999.99</v>
      </c>
      <c r="I219" s="5">
        <v>0.1</v>
      </c>
      <c r="J219">
        <f t="shared" si="6"/>
        <v>899.99099999999999</v>
      </c>
      <c r="K219" s="9">
        <f t="shared" si="7"/>
        <v>-0.15725951613718298</v>
      </c>
    </row>
    <row r="220" spans="1:11" x14ac:dyDescent="0.3">
      <c r="A220">
        <v>75</v>
      </c>
      <c r="B220">
        <v>2</v>
      </c>
      <c r="C220">
        <v>7</v>
      </c>
      <c r="D220" t="str">
        <f>VLOOKUP($C220,products!$A$1:$F$322,MATCH(order_items!$D$1,products!$A$1:$F$1,0),FALSE)</f>
        <v>Trek Slash 8 27.5 - 2016</v>
      </c>
      <c r="E220">
        <f>VLOOKUP($C220,products!$A$1:$F$322,MATCH(order_items!$E$1,products!$A$1:$F$1,0),FALSE)</f>
        <v>6</v>
      </c>
      <c r="F220" t="str">
        <f>VLOOKUP($E220,categories!$A$1:$B$8,MATCH(order_items!$F$1,categories!$A$1:$B$1,0),FALSE)</f>
        <v>Mountain Bikes</v>
      </c>
      <c r="G220">
        <v>2</v>
      </c>
      <c r="H220">
        <v>3999.99</v>
      </c>
      <c r="I220" s="5">
        <v>7.0000000000000007E-2</v>
      </c>
      <c r="J220">
        <f t="shared" si="6"/>
        <v>7439.9813999999988</v>
      </c>
      <c r="K220" s="9">
        <f t="shared" si="7"/>
        <v>2.0606009048962846</v>
      </c>
    </row>
    <row r="221" spans="1:11" x14ac:dyDescent="0.3">
      <c r="A221">
        <v>75</v>
      </c>
      <c r="B221">
        <v>3</v>
      </c>
      <c r="C221">
        <v>15</v>
      </c>
      <c r="D221" t="str">
        <f>VLOOKUP($C221,products!$A$1:$F$322,MATCH(order_items!$D$1,products!$A$1:$F$1,0),FALSE)</f>
        <v>Electra Moto 1 - 2016</v>
      </c>
      <c r="E221">
        <f>VLOOKUP($C221,products!$A$1:$F$322,MATCH(order_items!$E$1,products!$A$1:$F$1,0),FALSE)</f>
        <v>3</v>
      </c>
      <c r="F221" t="str">
        <f>VLOOKUP($E221,categories!$A$1:$B$8,MATCH(order_items!$F$1,categories!$A$1:$B$1,0),FALSE)</f>
        <v>Cruisers Bicycles</v>
      </c>
      <c r="G221">
        <v>1</v>
      </c>
      <c r="H221">
        <v>529.99</v>
      </c>
      <c r="I221" s="5">
        <v>0.2</v>
      </c>
      <c r="J221">
        <f t="shared" si="6"/>
        <v>423.99200000000002</v>
      </c>
      <c r="K221" s="9">
        <f t="shared" si="7"/>
        <v>-0.50472431543242624</v>
      </c>
    </row>
    <row r="222" spans="1:11" x14ac:dyDescent="0.3">
      <c r="A222">
        <v>76</v>
      </c>
      <c r="B222">
        <v>1</v>
      </c>
      <c r="C222">
        <v>12</v>
      </c>
      <c r="D222" t="str">
        <f>VLOOKUP($C222,products!$A$1:$F$322,MATCH(order_items!$D$1,products!$A$1:$F$1,0),FALSE)</f>
        <v>Electra Townie Original 21D - 2016</v>
      </c>
      <c r="E222">
        <f>VLOOKUP($C222,products!$A$1:$F$322,MATCH(order_items!$E$1,products!$A$1:$F$1,0),FALSE)</f>
        <v>3</v>
      </c>
      <c r="F222" t="str">
        <f>VLOOKUP($E222,categories!$A$1:$B$8,MATCH(order_items!$F$1,categories!$A$1:$B$1,0),FALSE)</f>
        <v>Cruisers Bicycles</v>
      </c>
      <c r="G222">
        <v>1</v>
      </c>
      <c r="H222">
        <v>549.99</v>
      </c>
      <c r="I222" s="5">
        <v>0.05</v>
      </c>
      <c r="J222">
        <f t="shared" si="6"/>
        <v>522.4905</v>
      </c>
      <c r="K222" s="9">
        <f t="shared" si="7"/>
        <v>-0.48993857929220308</v>
      </c>
    </row>
    <row r="223" spans="1:11" x14ac:dyDescent="0.3">
      <c r="A223">
        <v>76</v>
      </c>
      <c r="B223">
        <v>2</v>
      </c>
      <c r="C223">
        <v>11</v>
      </c>
      <c r="D223" t="str">
        <f>VLOOKUP($C223,products!$A$1:$F$322,MATCH(order_items!$D$1,products!$A$1:$F$1,0),FALSE)</f>
        <v>Surly Straggler 650b - 2016</v>
      </c>
      <c r="E223">
        <f>VLOOKUP($C223,products!$A$1:$F$322,MATCH(order_items!$E$1,products!$A$1:$F$1,0),FALSE)</f>
        <v>4</v>
      </c>
      <c r="F223" t="str">
        <f>VLOOKUP($E223,categories!$A$1:$B$8,MATCH(order_items!$F$1,categories!$A$1:$B$1,0),FALSE)</f>
        <v>Cyclocross Bicycles</v>
      </c>
      <c r="G223">
        <v>2</v>
      </c>
      <c r="H223">
        <v>1680.99</v>
      </c>
      <c r="I223" s="5">
        <v>0.1</v>
      </c>
      <c r="J223">
        <f t="shared" si="6"/>
        <v>3025.7820000000002</v>
      </c>
      <c r="K223" s="9">
        <f t="shared" si="7"/>
        <v>0.3461947994374141</v>
      </c>
    </row>
    <row r="224" spans="1:11" x14ac:dyDescent="0.3">
      <c r="A224">
        <v>76</v>
      </c>
      <c r="B224">
        <v>3</v>
      </c>
      <c r="C224">
        <v>5</v>
      </c>
      <c r="D224" t="str">
        <f>VLOOKUP($C224,products!$A$1:$F$322,MATCH(order_items!$D$1,products!$A$1:$F$1,0),FALSE)</f>
        <v>Heller Shagamaw Frame - 2016</v>
      </c>
      <c r="E224">
        <f>VLOOKUP($C224,products!$A$1:$F$322,MATCH(order_items!$E$1,products!$A$1:$F$1,0),FALSE)</f>
        <v>6</v>
      </c>
      <c r="F224" t="str">
        <f>VLOOKUP($E224,categories!$A$1:$B$8,MATCH(order_items!$F$1,categories!$A$1:$B$1,0),FALSE)</f>
        <v>Mountain Bikes</v>
      </c>
      <c r="G224">
        <v>1</v>
      </c>
      <c r="H224">
        <v>1320.99</v>
      </c>
      <c r="I224" s="5">
        <v>7.0000000000000007E-2</v>
      </c>
      <c r="J224">
        <f t="shared" si="6"/>
        <v>1228.5207</v>
      </c>
      <c r="K224" s="9">
        <f t="shared" si="7"/>
        <v>8.0051548913398024E-2</v>
      </c>
    </row>
    <row r="225" spans="1:11" x14ac:dyDescent="0.3">
      <c r="A225">
        <v>77</v>
      </c>
      <c r="B225">
        <v>1</v>
      </c>
      <c r="C225">
        <v>20</v>
      </c>
      <c r="D225" t="str">
        <f>VLOOKUP($C225,products!$A$1:$F$322,MATCH(order_items!$D$1,products!$A$1:$F$1,0),FALSE)</f>
        <v>Electra Townie Original 7D EQ - Women's - 2016</v>
      </c>
      <c r="E225">
        <f>VLOOKUP($C225,products!$A$1:$F$322,MATCH(order_items!$E$1,products!$A$1:$F$1,0),FALSE)</f>
        <v>3</v>
      </c>
      <c r="F225" t="str">
        <f>VLOOKUP($E225,categories!$A$1:$B$8,MATCH(order_items!$F$1,categories!$A$1:$B$1,0),FALSE)</f>
        <v>Cruisers Bicycles</v>
      </c>
      <c r="G225">
        <v>1</v>
      </c>
      <c r="H225">
        <v>599.99</v>
      </c>
      <c r="I225" s="5">
        <v>7.0000000000000007E-2</v>
      </c>
      <c r="J225">
        <f t="shared" si="6"/>
        <v>557.99069999999995</v>
      </c>
      <c r="K225" s="9">
        <f t="shared" si="7"/>
        <v>-0.45297423894164529</v>
      </c>
    </row>
    <row r="226" spans="1:11" x14ac:dyDescent="0.3">
      <c r="A226">
        <v>77</v>
      </c>
      <c r="B226">
        <v>2</v>
      </c>
      <c r="C226">
        <v>24</v>
      </c>
      <c r="D226" t="str">
        <f>VLOOKUP($C226,products!$A$1:$F$322,MATCH(order_items!$D$1,products!$A$1:$F$1,0),FALSE)</f>
        <v>Electra Townie Original 21D - 2016</v>
      </c>
      <c r="E226">
        <f>VLOOKUP($C226,products!$A$1:$F$322,MATCH(order_items!$E$1,products!$A$1:$F$1,0),FALSE)</f>
        <v>2</v>
      </c>
      <c r="F226" t="str">
        <f>VLOOKUP($E226,categories!$A$1:$B$8,MATCH(order_items!$F$1,categories!$A$1:$B$1,0),FALSE)</f>
        <v>Comfort Bicycles</v>
      </c>
      <c r="G226">
        <v>2</v>
      </c>
      <c r="H226">
        <v>549.99</v>
      </c>
      <c r="I226" s="5">
        <v>0.1</v>
      </c>
      <c r="J226">
        <f t="shared" si="6"/>
        <v>989.98200000000008</v>
      </c>
      <c r="K226" s="9">
        <f t="shared" si="7"/>
        <v>-0.48993857929220308</v>
      </c>
    </row>
    <row r="227" spans="1:11" x14ac:dyDescent="0.3">
      <c r="A227">
        <v>77</v>
      </c>
      <c r="B227">
        <v>3</v>
      </c>
      <c r="C227">
        <v>26</v>
      </c>
      <c r="D227" t="str">
        <f>VLOOKUP($C227,products!$A$1:$F$322,MATCH(order_items!$D$1,products!$A$1:$F$1,0),FALSE)</f>
        <v>Electra Townie Original 7D EQ - 2016</v>
      </c>
      <c r="E227">
        <f>VLOOKUP($C227,products!$A$1:$F$322,MATCH(order_items!$E$1,products!$A$1:$F$1,0),FALSE)</f>
        <v>2</v>
      </c>
      <c r="F227" t="str">
        <f>VLOOKUP($E227,categories!$A$1:$B$8,MATCH(order_items!$F$1,categories!$A$1:$B$1,0),FALSE)</f>
        <v>Comfort Bicycles</v>
      </c>
      <c r="G227">
        <v>1</v>
      </c>
      <c r="H227">
        <v>599.99</v>
      </c>
      <c r="I227" s="5">
        <v>0.2</v>
      </c>
      <c r="J227">
        <f t="shared" si="6"/>
        <v>479.99200000000002</v>
      </c>
      <c r="K227" s="9">
        <f t="shared" si="7"/>
        <v>-0.45297423894164529</v>
      </c>
    </row>
    <row r="228" spans="1:11" x14ac:dyDescent="0.3">
      <c r="A228">
        <v>77</v>
      </c>
      <c r="B228">
        <v>4</v>
      </c>
      <c r="C228">
        <v>25</v>
      </c>
      <c r="D228" t="str">
        <f>VLOOKUP($C228,products!$A$1:$F$322,MATCH(order_items!$D$1,products!$A$1:$F$1,0),FALSE)</f>
        <v>Electra Townie Original 7D - 2015/2016</v>
      </c>
      <c r="E228">
        <f>VLOOKUP($C228,products!$A$1:$F$322,MATCH(order_items!$E$1,products!$A$1:$F$1,0),FALSE)</f>
        <v>2</v>
      </c>
      <c r="F228" t="str">
        <f>VLOOKUP($E228,categories!$A$1:$B$8,MATCH(order_items!$F$1,categories!$A$1:$B$1,0),FALSE)</f>
        <v>Comfort Bicycles</v>
      </c>
      <c r="G228">
        <v>1</v>
      </c>
      <c r="H228">
        <v>499.99</v>
      </c>
      <c r="I228" s="5">
        <v>0.2</v>
      </c>
      <c r="J228">
        <f t="shared" si="6"/>
        <v>399.99200000000002</v>
      </c>
      <c r="K228" s="9">
        <f t="shared" si="7"/>
        <v>-0.52690291964276081</v>
      </c>
    </row>
    <row r="229" spans="1:11" x14ac:dyDescent="0.3">
      <c r="A229">
        <v>78</v>
      </c>
      <c r="B229">
        <v>1</v>
      </c>
      <c r="C229">
        <v>17</v>
      </c>
      <c r="D229" t="str">
        <f>VLOOKUP($C229,products!$A$1:$F$322,MATCH(order_items!$D$1,products!$A$1:$F$1,0),FALSE)</f>
        <v>Pure Cycles Vine 8-Speed - 2016</v>
      </c>
      <c r="E229">
        <f>VLOOKUP($C229,products!$A$1:$F$322,MATCH(order_items!$E$1,products!$A$1:$F$1,0),FALSE)</f>
        <v>3</v>
      </c>
      <c r="F229" t="str">
        <f>VLOOKUP($E229,categories!$A$1:$B$8,MATCH(order_items!$F$1,categories!$A$1:$B$1,0),FALSE)</f>
        <v>Cruisers Bicycles</v>
      </c>
      <c r="G229">
        <v>1</v>
      </c>
      <c r="H229">
        <v>429</v>
      </c>
      <c r="I229" s="5">
        <v>7.0000000000000007E-2</v>
      </c>
      <c r="J229">
        <f t="shared" si="6"/>
        <v>398.96999999999997</v>
      </c>
      <c r="K229" s="9">
        <f t="shared" si="7"/>
        <v>-0.57938489007248284</v>
      </c>
    </row>
    <row r="230" spans="1:11" x14ac:dyDescent="0.3">
      <c r="A230">
        <v>78</v>
      </c>
      <c r="B230">
        <v>2</v>
      </c>
      <c r="C230">
        <v>19</v>
      </c>
      <c r="D230" t="str">
        <f>VLOOKUP($C230,products!$A$1:$F$322,MATCH(order_items!$D$1,products!$A$1:$F$1,0),FALSE)</f>
        <v>Pure Cycles William 3-Speed - 2016</v>
      </c>
      <c r="E230">
        <f>VLOOKUP($C230,products!$A$1:$F$322,MATCH(order_items!$E$1,products!$A$1:$F$1,0),FALSE)</f>
        <v>3</v>
      </c>
      <c r="F230" t="str">
        <f>VLOOKUP($E230,categories!$A$1:$B$8,MATCH(order_items!$F$1,categories!$A$1:$B$1,0),FALSE)</f>
        <v>Cruisers Bicycles</v>
      </c>
      <c r="G230">
        <v>1</v>
      </c>
      <c r="H230">
        <v>449</v>
      </c>
      <c r="I230" s="5">
        <v>0.2</v>
      </c>
      <c r="J230">
        <f t="shared" si="6"/>
        <v>359.20000000000005</v>
      </c>
      <c r="K230" s="9">
        <f t="shared" si="7"/>
        <v>-0.56459915393225968</v>
      </c>
    </row>
    <row r="231" spans="1:11" x14ac:dyDescent="0.3">
      <c r="A231">
        <v>78</v>
      </c>
      <c r="B231">
        <v>3</v>
      </c>
      <c r="C231">
        <v>18</v>
      </c>
      <c r="D231" t="str">
        <f>VLOOKUP($C231,products!$A$1:$F$322,MATCH(order_items!$D$1,products!$A$1:$F$1,0),FALSE)</f>
        <v>Pure Cycles Western 3-Speed - Women's - 2015/2016</v>
      </c>
      <c r="E231">
        <f>VLOOKUP($C231,products!$A$1:$F$322,MATCH(order_items!$E$1,products!$A$1:$F$1,0),FALSE)</f>
        <v>3</v>
      </c>
      <c r="F231" t="str">
        <f>VLOOKUP($E231,categories!$A$1:$B$8,MATCH(order_items!$F$1,categories!$A$1:$B$1,0),FALSE)</f>
        <v>Cruisers Bicycles</v>
      </c>
      <c r="G231">
        <v>2</v>
      </c>
      <c r="H231">
        <v>449</v>
      </c>
      <c r="I231" s="5">
        <v>0.1</v>
      </c>
      <c r="J231">
        <f t="shared" si="6"/>
        <v>808.2</v>
      </c>
      <c r="K231" s="9">
        <f t="shared" si="7"/>
        <v>-0.56459915393225968</v>
      </c>
    </row>
    <row r="232" spans="1:11" x14ac:dyDescent="0.3">
      <c r="A232">
        <v>78</v>
      </c>
      <c r="B232">
        <v>4</v>
      </c>
      <c r="C232">
        <v>14</v>
      </c>
      <c r="D232" t="str">
        <f>VLOOKUP($C232,products!$A$1:$F$322,MATCH(order_items!$D$1,products!$A$1:$F$1,0),FALSE)</f>
        <v>Electra Girl's Hawaii 1 (16-inch) - 2015/2016</v>
      </c>
      <c r="E232">
        <f>VLOOKUP($C232,products!$A$1:$F$322,MATCH(order_items!$E$1,products!$A$1:$F$1,0),FALSE)</f>
        <v>3</v>
      </c>
      <c r="F232" t="str">
        <f>VLOOKUP($E232,categories!$A$1:$B$8,MATCH(order_items!$F$1,categories!$A$1:$B$1,0),FALSE)</f>
        <v>Cruisers Bicycles</v>
      </c>
      <c r="G232">
        <v>2</v>
      </c>
      <c r="H232">
        <v>269.99</v>
      </c>
      <c r="I232" s="5">
        <v>0.1</v>
      </c>
      <c r="J232">
        <f t="shared" si="6"/>
        <v>485.98200000000003</v>
      </c>
      <c r="K232" s="9">
        <f t="shared" si="7"/>
        <v>-0.69693888525532666</v>
      </c>
    </row>
    <row r="233" spans="1:11" x14ac:dyDescent="0.3">
      <c r="A233">
        <v>79</v>
      </c>
      <c r="B233">
        <v>1</v>
      </c>
      <c r="C233">
        <v>9</v>
      </c>
      <c r="D233" t="str">
        <f>VLOOKUP($C233,products!$A$1:$F$322,MATCH(order_items!$D$1,products!$A$1:$F$1,0),FALSE)</f>
        <v>Trek Conduit+ - 2016</v>
      </c>
      <c r="E233">
        <f>VLOOKUP($C233,products!$A$1:$F$322,MATCH(order_items!$E$1,products!$A$1:$F$1,0),FALSE)</f>
        <v>5</v>
      </c>
      <c r="F233" t="str">
        <f>VLOOKUP($E233,categories!$A$1:$B$8,MATCH(order_items!$F$1,categories!$A$1:$B$1,0),FALSE)</f>
        <v>Electric Bikes</v>
      </c>
      <c r="G233">
        <v>2</v>
      </c>
      <c r="H233">
        <v>2999.99</v>
      </c>
      <c r="I233" s="5">
        <v>0.1</v>
      </c>
      <c r="J233">
        <f t="shared" si="6"/>
        <v>5399.982</v>
      </c>
      <c r="K233" s="9">
        <f t="shared" si="7"/>
        <v>1.3213140978851283</v>
      </c>
    </row>
    <row r="234" spans="1:11" x14ac:dyDescent="0.3">
      <c r="A234">
        <v>79</v>
      </c>
      <c r="B234">
        <v>2</v>
      </c>
      <c r="C234">
        <v>17</v>
      </c>
      <c r="D234" t="str">
        <f>VLOOKUP($C234,products!$A$1:$F$322,MATCH(order_items!$D$1,products!$A$1:$F$1,0),FALSE)</f>
        <v>Pure Cycles Vine 8-Speed - 2016</v>
      </c>
      <c r="E234">
        <f>VLOOKUP($C234,products!$A$1:$F$322,MATCH(order_items!$E$1,products!$A$1:$F$1,0),FALSE)</f>
        <v>3</v>
      </c>
      <c r="F234" t="str">
        <f>VLOOKUP($E234,categories!$A$1:$B$8,MATCH(order_items!$F$1,categories!$A$1:$B$1,0),FALSE)</f>
        <v>Cruisers Bicycles</v>
      </c>
      <c r="G234">
        <v>2</v>
      </c>
      <c r="H234">
        <v>429</v>
      </c>
      <c r="I234" s="5">
        <v>0.05</v>
      </c>
      <c r="J234">
        <f t="shared" si="6"/>
        <v>815.09999999999991</v>
      </c>
      <c r="K234" s="9">
        <f t="shared" si="7"/>
        <v>-0.57938489007248284</v>
      </c>
    </row>
    <row r="235" spans="1:11" x14ac:dyDescent="0.3">
      <c r="A235">
        <v>79</v>
      </c>
      <c r="B235">
        <v>3</v>
      </c>
      <c r="C235">
        <v>6</v>
      </c>
      <c r="D235" t="str">
        <f>VLOOKUP($C235,products!$A$1:$F$322,MATCH(order_items!$D$1,products!$A$1:$F$1,0),FALSE)</f>
        <v>Surly Ice Cream Truck Frameset - 2016</v>
      </c>
      <c r="E235">
        <f>VLOOKUP($C235,products!$A$1:$F$322,MATCH(order_items!$E$1,products!$A$1:$F$1,0),FALSE)</f>
        <v>6</v>
      </c>
      <c r="F235" t="str">
        <f>VLOOKUP($E235,categories!$A$1:$B$8,MATCH(order_items!$F$1,categories!$A$1:$B$1,0),FALSE)</f>
        <v>Mountain Bikes</v>
      </c>
      <c r="G235">
        <v>1</v>
      </c>
      <c r="H235">
        <v>469.99</v>
      </c>
      <c r="I235" s="5">
        <v>0.1</v>
      </c>
      <c r="J235">
        <f t="shared" si="6"/>
        <v>422.99100000000004</v>
      </c>
      <c r="K235" s="9">
        <f t="shared" si="7"/>
        <v>-0.5490815238530955</v>
      </c>
    </row>
    <row r="236" spans="1:11" x14ac:dyDescent="0.3">
      <c r="A236">
        <v>79</v>
      </c>
      <c r="B236">
        <v>4</v>
      </c>
      <c r="C236">
        <v>25</v>
      </c>
      <c r="D236" t="str">
        <f>VLOOKUP($C236,products!$A$1:$F$322,MATCH(order_items!$D$1,products!$A$1:$F$1,0),FALSE)</f>
        <v>Electra Townie Original 7D - 2015/2016</v>
      </c>
      <c r="E236">
        <f>VLOOKUP($C236,products!$A$1:$F$322,MATCH(order_items!$E$1,products!$A$1:$F$1,0),FALSE)</f>
        <v>2</v>
      </c>
      <c r="F236" t="str">
        <f>VLOOKUP($E236,categories!$A$1:$B$8,MATCH(order_items!$F$1,categories!$A$1:$B$1,0),FALSE)</f>
        <v>Comfort Bicycles</v>
      </c>
      <c r="G236">
        <v>2</v>
      </c>
      <c r="H236">
        <v>499.99</v>
      </c>
      <c r="I236" s="5">
        <v>7.0000000000000007E-2</v>
      </c>
      <c r="J236">
        <f t="shared" si="6"/>
        <v>929.98140000000001</v>
      </c>
      <c r="K236" s="9">
        <f t="shared" si="7"/>
        <v>-0.52690291964276081</v>
      </c>
    </row>
    <row r="237" spans="1:11" x14ac:dyDescent="0.3">
      <c r="A237">
        <v>80</v>
      </c>
      <c r="B237">
        <v>1</v>
      </c>
      <c r="C237">
        <v>26</v>
      </c>
      <c r="D237" t="str">
        <f>VLOOKUP($C237,products!$A$1:$F$322,MATCH(order_items!$D$1,products!$A$1:$F$1,0),FALSE)</f>
        <v>Electra Townie Original 7D EQ - 2016</v>
      </c>
      <c r="E237">
        <f>VLOOKUP($C237,products!$A$1:$F$322,MATCH(order_items!$E$1,products!$A$1:$F$1,0),FALSE)</f>
        <v>2</v>
      </c>
      <c r="F237" t="str">
        <f>VLOOKUP($E237,categories!$A$1:$B$8,MATCH(order_items!$F$1,categories!$A$1:$B$1,0),FALSE)</f>
        <v>Comfort Bicycles</v>
      </c>
      <c r="G237">
        <v>1</v>
      </c>
      <c r="H237">
        <v>599.99</v>
      </c>
      <c r="I237" s="5">
        <v>0.1</v>
      </c>
      <c r="J237">
        <f t="shared" si="6"/>
        <v>539.99099999999999</v>
      </c>
      <c r="K237" s="9">
        <f t="shared" si="7"/>
        <v>-0.45297423894164529</v>
      </c>
    </row>
    <row r="238" spans="1:11" x14ac:dyDescent="0.3">
      <c r="A238">
        <v>80</v>
      </c>
      <c r="B238">
        <v>2</v>
      </c>
      <c r="C238">
        <v>24</v>
      </c>
      <c r="D238" t="str">
        <f>VLOOKUP($C238,products!$A$1:$F$322,MATCH(order_items!$D$1,products!$A$1:$F$1,0),FALSE)</f>
        <v>Electra Townie Original 21D - 2016</v>
      </c>
      <c r="E238">
        <f>VLOOKUP($C238,products!$A$1:$F$322,MATCH(order_items!$E$1,products!$A$1:$F$1,0),FALSE)</f>
        <v>2</v>
      </c>
      <c r="F238" t="str">
        <f>VLOOKUP($E238,categories!$A$1:$B$8,MATCH(order_items!$F$1,categories!$A$1:$B$1,0),FALSE)</f>
        <v>Comfort Bicycles</v>
      </c>
      <c r="G238">
        <v>1</v>
      </c>
      <c r="H238">
        <v>549.99</v>
      </c>
      <c r="I238" s="5">
        <v>0.1</v>
      </c>
      <c r="J238">
        <f t="shared" si="6"/>
        <v>494.99100000000004</v>
      </c>
      <c r="K238" s="9">
        <f t="shared" si="7"/>
        <v>-0.48993857929220308</v>
      </c>
    </row>
    <row r="239" spans="1:11" x14ac:dyDescent="0.3">
      <c r="A239">
        <v>80</v>
      </c>
      <c r="B239">
        <v>3</v>
      </c>
      <c r="C239">
        <v>17</v>
      </c>
      <c r="D239" t="str">
        <f>VLOOKUP($C239,products!$A$1:$F$322,MATCH(order_items!$D$1,products!$A$1:$F$1,0),FALSE)</f>
        <v>Pure Cycles Vine 8-Speed - 2016</v>
      </c>
      <c r="E239">
        <f>VLOOKUP($C239,products!$A$1:$F$322,MATCH(order_items!$E$1,products!$A$1:$F$1,0),FALSE)</f>
        <v>3</v>
      </c>
      <c r="F239" t="str">
        <f>VLOOKUP($E239,categories!$A$1:$B$8,MATCH(order_items!$F$1,categories!$A$1:$B$1,0),FALSE)</f>
        <v>Cruisers Bicycles</v>
      </c>
      <c r="G239">
        <v>1</v>
      </c>
      <c r="H239">
        <v>429</v>
      </c>
      <c r="I239" s="5">
        <v>0.2</v>
      </c>
      <c r="J239">
        <f t="shared" si="6"/>
        <v>343.20000000000005</v>
      </c>
      <c r="K239" s="9">
        <f t="shared" si="7"/>
        <v>-0.57938489007248284</v>
      </c>
    </row>
    <row r="240" spans="1:11" x14ac:dyDescent="0.3">
      <c r="A240">
        <v>81</v>
      </c>
      <c r="B240">
        <v>1</v>
      </c>
      <c r="C240">
        <v>10</v>
      </c>
      <c r="D240" t="str">
        <f>VLOOKUP($C240,products!$A$1:$F$322,MATCH(order_items!$D$1,products!$A$1:$F$1,0),FALSE)</f>
        <v>Surly Straggler - 2016</v>
      </c>
      <c r="E240">
        <f>VLOOKUP($C240,products!$A$1:$F$322,MATCH(order_items!$E$1,products!$A$1:$F$1,0),FALSE)</f>
        <v>4</v>
      </c>
      <c r="F240" t="str">
        <f>VLOOKUP($E240,categories!$A$1:$B$8,MATCH(order_items!$F$1,categories!$A$1:$B$1,0),FALSE)</f>
        <v>Cyclocross Bicycles</v>
      </c>
      <c r="G240">
        <v>2</v>
      </c>
      <c r="H240">
        <v>1549</v>
      </c>
      <c r="I240" s="5">
        <v>0.2</v>
      </c>
      <c r="J240">
        <f t="shared" si="6"/>
        <v>2478.4</v>
      </c>
      <c r="K240" s="9">
        <f t="shared" si="7"/>
        <v>0.24861633378001166</v>
      </c>
    </row>
    <row r="241" spans="1:11" x14ac:dyDescent="0.3">
      <c r="A241">
        <v>81</v>
      </c>
      <c r="B241">
        <v>2</v>
      </c>
      <c r="C241">
        <v>23</v>
      </c>
      <c r="D241" t="str">
        <f>VLOOKUP($C241,products!$A$1:$F$322,MATCH(order_items!$D$1,products!$A$1:$F$1,0),FALSE)</f>
        <v>Electra Girl's Hawaii 1 (20-inch) - 2015/2016</v>
      </c>
      <c r="E241">
        <f>VLOOKUP($C241,products!$A$1:$F$322,MATCH(order_items!$E$1,products!$A$1:$F$1,0),FALSE)</f>
        <v>1</v>
      </c>
      <c r="F241" t="str">
        <f>VLOOKUP($E241,categories!$A$1:$B$8,MATCH(order_items!$F$1,categories!$A$1:$B$1,0),FALSE)</f>
        <v>Children Bicycles</v>
      </c>
      <c r="G241">
        <v>2</v>
      </c>
      <c r="H241">
        <v>299.99</v>
      </c>
      <c r="I241" s="5">
        <v>0.05</v>
      </c>
      <c r="J241">
        <f t="shared" si="6"/>
        <v>569.98099999999999</v>
      </c>
      <c r="K241" s="9">
        <f t="shared" si="7"/>
        <v>-0.67476028104499197</v>
      </c>
    </row>
    <row r="242" spans="1:11" x14ac:dyDescent="0.3">
      <c r="A242">
        <v>81</v>
      </c>
      <c r="B242">
        <v>3</v>
      </c>
      <c r="C242">
        <v>25</v>
      </c>
      <c r="D242" t="str">
        <f>VLOOKUP($C242,products!$A$1:$F$322,MATCH(order_items!$D$1,products!$A$1:$F$1,0),FALSE)</f>
        <v>Electra Townie Original 7D - 2015/2016</v>
      </c>
      <c r="E242">
        <f>VLOOKUP($C242,products!$A$1:$F$322,MATCH(order_items!$E$1,products!$A$1:$F$1,0),FALSE)</f>
        <v>2</v>
      </c>
      <c r="F242" t="str">
        <f>VLOOKUP($E242,categories!$A$1:$B$8,MATCH(order_items!$F$1,categories!$A$1:$B$1,0),FALSE)</f>
        <v>Comfort Bicycles</v>
      </c>
      <c r="G242">
        <v>2</v>
      </c>
      <c r="H242">
        <v>499.99</v>
      </c>
      <c r="I242" s="5">
        <v>0.05</v>
      </c>
      <c r="J242">
        <f t="shared" si="6"/>
        <v>949.98099999999999</v>
      </c>
      <c r="K242" s="9">
        <f t="shared" si="7"/>
        <v>-0.52690291964276081</v>
      </c>
    </row>
    <row r="243" spans="1:11" x14ac:dyDescent="0.3">
      <c r="A243">
        <v>82</v>
      </c>
      <c r="B243">
        <v>1</v>
      </c>
      <c r="C243">
        <v>25</v>
      </c>
      <c r="D243" t="str">
        <f>VLOOKUP($C243,products!$A$1:$F$322,MATCH(order_items!$D$1,products!$A$1:$F$1,0),FALSE)</f>
        <v>Electra Townie Original 7D - 2015/2016</v>
      </c>
      <c r="E243">
        <f>VLOOKUP($C243,products!$A$1:$F$322,MATCH(order_items!$E$1,products!$A$1:$F$1,0),FALSE)</f>
        <v>2</v>
      </c>
      <c r="F243" t="str">
        <f>VLOOKUP($E243,categories!$A$1:$B$8,MATCH(order_items!$F$1,categories!$A$1:$B$1,0),FALSE)</f>
        <v>Comfort Bicycles</v>
      </c>
      <c r="G243">
        <v>2</v>
      </c>
      <c r="H243">
        <v>499.99</v>
      </c>
      <c r="I243" s="5">
        <v>0.1</v>
      </c>
      <c r="J243">
        <f t="shared" si="6"/>
        <v>899.98200000000008</v>
      </c>
      <c r="K243" s="9">
        <f t="shared" si="7"/>
        <v>-0.52690291964276081</v>
      </c>
    </row>
    <row r="244" spans="1:11" x14ac:dyDescent="0.3">
      <c r="A244">
        <v>82</v>
      </c>
      <c r="B244">
        <v>2</v>
      </c>
      <c r="C244">
        <v>11</v>
      </c>
      <c r="D244" t="str">
        <f>VLOOKUP($C244,products!$A$1:$F$322,MATCH(order_items!$D$1,products!$A$1:$F$1,0),FALSE)</f>
        <v>Surly Straggler 650b - 2016</v>
      </c>
      <c r="E244">
        <f>VLOOKUP($C244,products!$A$1:$F$322,MATCH(order_items!$E$1,products!$A$1:$F$1,0),FALSE)</f>
        <v>4</v>
      </c>
      <c r="F244" t="str">
        <f>VLOOKUP($E244,categories!$A$1:$B$8,MATCH(order_items!$F$1,categories!$A$1:$B$1,0),FALSE)</f>
        <v>Cyclocross Bicycles</v>
      </c>
      <c r="G244">
        <v>2</v>
      </c>
      <c r="H244">
        <v>1680.99</v>
      </c>
      <c r="I244" s="5">
        <v>0.2</v>
      </c>
      <c r="J244">
        <f t="shared" si="6"/>
        <v>2689.5840000000003</v>
      </c>
      <c r="K244" s="9">
        <f t="shared" si="7"/>
        <v>0.3461947994374141</v>
      </c>
    </row>
    <row r="245" spans="1:11" x14ac:dyDescent="0.3">
      <c r="A245">
        <v>83</v>
      </c>
      <c r="B245">
        <v>1</v>
      </c>
      <c r="C245">
        <v>20</v>
      </c>
      <c r="D245" t="str">
        <f>VLOOKUP($C245,products!$A$1:$F$322,MATCH(order_items!$D$1,products!$A$1:$F$1,0),FALSE)</f>
        <v>Electra Townie Original 7D EQ - Women's - 2016</v>
      </c>
      <c r="E245">
        <f>VLOOKUP($C245,products!$A$1:$F$322,MATCH(order_items!$E$1,products!$A$1:$F$1,0),FALSE)</f>
        <v>3</v>
      </c>
      <c r="F245" t="str">
        <f>VLOOKUP($E245,categories!$A$1:$B$8,MATCH(order_items!$F$1,categories!$A$1:$B$1,0),FALSE)</f>
        <v>Cruisers Bicycles</v>
      </c>
      <c r="G245">
        <v>1</v>
      </c>
      <c r="H245">
        <v>599.99</v>
      </c>
      <c r="I245" s="5">
        <v>0.2</v>
      </c>
      <c r="J245">
        <f t="shared" si="6"/>
        <v>479.99200000000002</v>
      </c>
      <c r="K245" s="9">
        <f t="shared" si="7"/>
        <v>-0.45297423894164529</v>
      </c>
    </row>
    <row r="246" spans="1:11" x14ac:dyDescent="0.3">
      <c r="A246">
        <v>83</v>
      </c>
      <c r="B246">
        <v>2</v>
      </c>
      <c r="C246">
        <v>3</v>
      </c>
      <c r="D246" t="str">
        <f>VLOOKUP($C246,products!$A$1:$F$322,MATCH(order_items!$D$1,products!$A$1:$F$1,0),FALSE)</f>
        <v>Surly Wednesday Frameset - 2016</v>
      </c>
      <c r="E246">
        <f>VLOOKUP($C246,products!$A$1:$F$322,MATCH(order_items!$E$1,products!$A$1:$F$1,0),FALSE)</f>
        <v>6</v>
      </c>
      <c r="F246" t="str">
        <f>VLOOKUP($E246,categories!$A$1:$B$8,MATCH(order_items!$F$1,categories!$A$1:$B$1,0),FALSE)</f>
        <v>Mountain Bikes</v>
      </c>
      <c r="G246">
        <v>2</v>
      </c>
      <c r="H246">
        <v>999.99</v>
      </c>
      <c r="I246" s="5">
        <v>0.05</v>
      </c>
      <c r="J246">
        <f t="shared" si="6"/>
        <v>1899.981</v>
      </c>
      <c r="K246" s="9">
        <f t="shared" si="7"/>
        <v>-0.15725951613718298</v>
      </c>
    </row>
    <row r="247" spans="1:11" x14ac:dyDescent="0.3">
      <c r="A247">
        <v>84</v>
      </c>
      <c r="B247">
        <v>1</v>
      </c>
      <c r="C247">
        <v>23</v>
      </c>
      <c r="D247" t="str">
        <f>VLOOKUP($C247,products!$A$1:$F$322,MATCH(order_items!$D$1,products!$A$1:$F$1,0),FALSE)</f>
        <v>Electra Girl's Hawaii 1 (20-inch) - 2015/2016</v>
      </c>
      <c r="E247">
        <f>VLOOKUP($C247,products!$A$1:$F$322,MATCH(order_items!$E$1,products!$A$1:$F$1,0),FALSE)</f>
        <v>1</v>
      </c>
      <c r="F247" t="str">
        <f>VLOOKUP($E247,categories!$A$1:$B$8,MATCH(order_items!$F$1,categories!$A$1:$B$1,0),FALSE)</f>
        <v>Children Bicycles</v>
      </c>
      <c r="G247">
        <v>2</v>
      </c>
      <c r="H247">
        <v>299.99</v>
      </c>
      <c r="I247" s="5">
        <v>7.0000000000000007E-2</v>
      </c>
      <c r="J247">
        <f t="shared" si="6"/>
        <v>557.98140000000001</v>
      </c>
      <c r="K247" s="9">
        <f t="shared" si="7"/>
        <v>-0.67476028104499197</v>
      </c>
    </row>
    <row r="248" spans="1:11" x14ac:dyDescent="0.3">
      <c r="A248">
        <v>84</v>
      </c>
      <c r="B248">
        <v>2</v>
      </c>
      <c r="C248">
        <v>15</v>
      </c>
      <c r="D248" t="str">
        <f>VLOOKUP($C248,products!$A$1:$F$322,MATCH(order_items!$D$1,products!$A$1:$F$1,0),FALSE)</f>
        <v>Electra Moto 1 - 2016</v>
      </c>
      <c r="E248">
        <f>VLOOKUP($C248,products!$A$1:$F$322,MATCH(order_items!$E$1,products!$A$1:$F$1,0),FALSE)</f>
        <v>3</v>
      </c>
      <c r="F248" t="str">
        <f>VLOOKUP($E248,categories!$A$1:$B$8,MATCH(order_items!$F$1,categories!$A$1:$B$1,0),FALSE)</f>
        <v>Cruisers Bicycles</v>
      </c>
      <c r="G248">
        <v>2</v>
      </c>
      <c r="H248">
        <v>529.99</v>
      </c>
      <c r="I248" s="5">
        <v>7.0000000000000007E-2</v>
      </c>
      <c r="J248">
        <f t="shared" si="6"/>
        <v>985.78139999999996</v>
      </c>
      <c r="K248" s="9">
        <f t="shared" si="7"/>
        <v>-0.50472431543242624</v>
      </c>
    </row>
    <row r="249" spans="1:11" x14ac:dyDescent="0.3">
      <c r="A249">
        <v>85</v>
      </c>
      <c r="B249">
        <v>1</v>
      </c>
      <c r="C249">
        <v>4</v>
      </c>
      <c r="D249" t="str">
        <f>VLOOKUP($C249,products!$A$1:$F$322,MATCH(order_items!$D$1,products!$A$1:$F$1,0),FALSE)</f>
        <v>Trek Fuel EX 8 29 - 2016</v>
      </c>
      <c r="E249">
        <f>VLOOKUP($C249,products!$A$1:$F$322,MATCH(order_items!$E$1,products!$A$1:$F$1,0),FALSE)</f>
        <v>6</v>
      </c>
      <c r="F249" t="str">
        <f>VLOOKUP($E249,categories!$A$1:$B$8,MATCH(order_items!$F$1,categories!$A$1:$B$1,0),FALSE)</f>
        <v>Mountain Bikes</v>
      </c>
      <c r="G249">
        <v>2</v>
      </c>
      <c r="H249">
        <v>2899.99</v>
      </c>
      <c r="I249" s="5">
        <v>0.05</v>
      </c>
      <c r="J249">
        <f t="shared" si="6"/>
        <v>5509.9809999999998</v>
      </c>
      <c r="K249" s="9">
        <f t="shared" si="7"/>
        <v>1.2473854171840129</v>
      </c>
    </row>
    <row r="250" spans="1:11" x14ac:dyDescent="0.3">
      <c r="A250">
        <v>85</v>
      </c>
      <c r="B250">
        <v>2</v>
      </c>
      <c r="C250">
        <v>18</v>
      </c>
      <c r="D250" t="str">
        <f>VLOOKUP($C250,products!$A$1:$F$322,MATCH(order_items!$D$1,products!$A$1:$F$1,0),FALSE)</f>
        <v>Pure Cycles Western 3-Speed - Women's - 2015/2016</v>
      </c>
      <c r="E250">
        <f>VLOOKUP($C250,products!$A$1:$F$322,MATCH(order_items!$E$1,products!$A$1:$F$1,0),FALSE)</f>
        <v>3</v>
      </c>
      <c r="F250" t="str">
        <f>VLOOKUP($E250,categories!$A$1:$B$8,MATCH(order_items!$F$1,categories!$A$1:$B$1,0),FALSE)</f>
        <v>Cruisers Bicycles</v>
      </c>
      <c r="G250">
        <v>1</v>
      </c>
      <c r="H250">
        <v>449</v>
      </c>
      <c r="I250" s="5">
        <v>7.0000000000000007E-2</v>
      </c>
      <c r="J250">
        <f t="shared" si="6"/>
        <v>417.57</v>
      </c>
      <c r="K250" s="9">
        <f t="shared" si="7"/>
        <v>-0.56459915393225968</v>
      </c>
    </row>
    <row r="251" spans="1:11" x14ac:dyDescent="0.3">
      <c r="A251">
        <v>86</v>
      </c>
      <c r="B251">
        <v>1</v>
      </c>
      <c r="C251">
        <v>9</v>
      </c>
      <c r="D251" t="str">
        <f>VLOOKUP($C251,products!$A$1:$F$322,MATCH(order_items!$D$1,products!$A$1:$F$1,0),FALSE)</f>
        <v>Trek Conduit+ - 2016</v>
      </c>
      <c r="E251">
        <f>VLOOKUP($C251,products!$A$1:$F$322,MATCH(order_items!$E$1,products!$A$1:$F$1,0),FALSE)</f>
        <v>5</v>
      </c>
      <c r="F251" t="str">
        <f>VLOOKUP($E251,categories!$A$1:$B$8,MATCH(order_items!$F$1,categories!$A$1:$B$1,0),FALSE)</f>
        <v>Electric Bikes</v>
      </c>
      <c r="G251">
        <v>2</v>
      </c>
      <c r="H251">
        <v>2999.99</v>
      </c>
      <c r="I251" s="5">
        <v>0.1</v>
      </c>
      <c r="J251">
        <f t="shared" si="6"/>
        <v>5399.982</v>
      </c>
      <c r="K251" s="9">
        <f t="shared" si="7"/>
        <v>1.3213140978851283</v>
      </c>
    </row>
    <row r="252" spans="1:11" x14ac:dyDescent="0.3">
      <c r="A252">
        <v>86</v>
      </c>
      <c r="B252">
        <v>2</v>
      </c>
      <c r="C252">
        <v>23</v>
      </c>
      <c r="D252" t="str">
        <f>VLOOKUP($C252,products!$A$1:$F$322,MATCH(order_items!$D$1,products!$A$1:$F$1,0),FALSE)</f>
        <v>Electra Girl's Hawaii 1 (20-inch) - 2015/2016</v>
      </c>
      <c r="E252">
        <f>VLOOKUP($C252,products!$A$1:$F$322,MATCH(order_items!$E$1,products!$A$1:$F$1,0),FALSE)</f>
        <v>1</v>
      </c>
      <c r="F252" t="str">
        <f>VLOOKUP($E252,categories!$A$1:$B$8,MATCH(order_items!$F$1,categories!$A$1:$B$1,0),FALSE)</f>
        <v>Children Bicycles</v>
      </c>
      <c r="G252">
        <v>2</v>
      </c>
      <c r="H252">
        <v>299.99</v>
      </c>
      <c r="I252" s="5">
        <v>7.0000000000000007E-2</v>
      </c>
      <c r="J252">
        <f t="shared" si="6"/>
        <v>557.98140000000001</v>
      </c>
      <c r="K252" s="9">
        <f t="shared" si="7"/>
        <v>-0.67476028104499197</v>
      </c>
    </row>
    <row r="253" spans="1:11" x14ac:dyDescent="0.3">
      <c r="A253">
        <v>86</v>
      </c>
      <c r="B253">
        <v>3</v>
      </c>
      <c r="C253">
        <v>21</v>
      </c>
      <c r="D253" t="str">
        <f>VLOOKUP($C253,products!$A$1:$F$322,MATCH(order_items!$D$1,products!$A$1:$F$1,0),FALSE)</f>
        <v>Electra Cruiser 1 (24-Inch) - 2016</v>
      </c>
      <c r="E253">
        <f>VLOOKUP($C253,products!$A$1:$F$322,MATCH(order_items!$E$1,products!$A$1:$F$1,0),FALSE)</f>
        <v>1</v>
      </c>
      <c r="F253" t="str">
        <f>VLOOKUP($E253,categories!$A$1:$B$8,MATCH(order_items!$F$1,categories!$A$1:$B$1,0),FALSE)</f>
        <v>Children Bicycles</v>
      </c>
      <c r="G253">
        <v>2</v>
      </c>
      <c r="H253">
        <v>269.99</v>
      </c>
      <c r="I253" s="5">
        <v>0.2</v>
      </c>
      <c r="J253">
        <f t="shared" si="6"/>
        <v>431.98400000000004</v>
      </c>
      <c r="K253" s="9">
        <f t="shared" si="7"/>
        <v>-0.69693888525532666</v>
      </c>
    </row>
    <row r="254" spans="1:11" x14ac:dyDescent="0.3">
      <c r="A254">
        <v>86</v>
      </c>
      <c r="B254">
        <v>4</v>
      </c>
      <c r="C254">
        <v>15</v>
      </c>
      <c r="D254" t="str">
        <f>VLOOKUP($C254,products!$A$1:$F$322,MATCH(order_items!$D$1,products!$A$1:$F$1,0),FALSE)</f>
        <v>Electra Moto 1 - 2016</v>
      </c>
      <c r="E254">
        <f>VLOOKUP($C254,products!$A$1:$F$322,MATCH(order_items!$E$1,products!$A$1:$F$1,0),FALSE)</f>
        <v>3</v>
      </c>
      <c r="F254" t="str">
        <f>VLOOKUP($E254,categories!$A$1:$B$8,MATCH(order_items!$F$1,categories!$A$1:$B$1,0),FALSE)</f>
        <v>Cruisers Bicycles</v>
      </c>
      <c r="G254">
        <v>1</v>
      </c>
      <c r="H254">
        <v>529.99</v>
      </c>
      <c r="I254" s="5">
        <v>0.1</v>
      </c>
      <c r="J254">
        <f t="shared" si="6"/>
        <v>476.99100000000004</v>
      </c>
      <c r="K254" s="9">
        <f t="shared" si="7"/>
        <v>-0.50472431543242624</v>
      </c>
    </row>
    <row r="255" spans="1:11" x14ac:dyDescent="0.3">
      <c r="A255">
        <v>87</v>
      </c>
      <c r="B255">
        <v>1</v>
      </c>
      <c r="C255">
        <v>20</v>
      </c>
      <c r="D255" t="str">
        <f>VLOOKUP($C255,products!$A$1:$F$322,MATCH(order_items!$D$1,products!$A$1:$F$1,0),FALSE)</f>
        <v>Electra Townie Original 7D EQ - Women's - 2016</v>
      </c>
      <c r="E255">
        <f>VLOOKUP($C255,products!$A$1:$F$322,MATCH(order_items!$E$1,products!$A$1:$F$1,0),FALSE)</f>
        <v>3</v>
      </c>
      <c r="F255" t="str">
        <f>VLOOKUP($E255,categories!$A$1:$B$8,MATCH(order_items!$F$1,categories!$A$1:$B$1,0),FALSE)</f>
        <v>Cruisers Bicycles</v>
      </c>
      <c r="G255">
        <v>2</v>
      </c>
      <c r="H255">
        <v>599.99</v>
      </c>
      <c r="I255" s="5">
        <v>0.2</v>
      </c>
      <c r="J255">
        <f t="shared" si="6"/>
        <v>959.98400000000004</v>
      </c>
      <c r="K255" s="9">
        <f t="shared" si="7"/>
        <v>-0.45297423894164529</v>
      </c>
    </row>
    <row r="256" spans="1:11" x14ac:dyDescent="0.3">
      <c r="A256">
        <v>87</v>
      </c>
      <c r="B256">
        <v>2</v>
      </c>
      <c r="C256">
        <v>23</v>
      </c>
      <c r="D256" t="str">
        <f>VLOOKUP($C256,products!$A$1:$F$322,MATCH(order_items!$D$1,products!$A$1:$F$1,0),FALSE)</f>
        <v>Electra Girl's Hawaii 1 (20-inch) - 2015/2016</v>
      </c>
      <c r="E256">
        <f>VLOOKUP($C256,products!$A$1:$F$322,MATCH(order_items!$E$1,products!$A$1:$F$1,0),FALSE)</f>
        <v>1</v>
      </c>
      <c r="F256" t="str">
        <f>VLOOKUP($E256,categories!$A$1:$B$8,MATCH(order_items!$F$1,categories!$A$1:$B$1,0),FALSE)</f>
        <v>Children Bicycles</v>
      </c>
      <c r="G256">
        <v>2</v>
      </c>
      <c r="H256">
        <v>299.99</v>
      </c>
      <c r="I256" s="5">
        <v>0.1</v>
      </c>
      <c r="J256">
        <f t="shared" si="6"/>
        <v>539.98200000000008</v>
      </c>
      <c r="K256" s="9">
        <f t="shared" si="7"/>
        <v>-0.67476028104499197</v>
      </c>
    </row>
    <row r="257" spans="1:11" x14ac:dyDescent="0.3">
      <c r="A257">
        <v>88</v>
      </c>
      <c r="B257">
        <v>1</v>
      </c>
      <c r="C257">
        <v>10</v>
      </c>
      <c r="D257" t="str">
        <f>VLOOKUP($C257,products!$A$1:$F$322,MATCH(order_items!$D$1,products!$A$1:$F$1,0),FALSE)</f>
        <v>Surly Straggler - 2016</v>
      </c>
      <c r="E257">
        <f>VLOOKUP($C257,products!$A$1:$F$322,MATCH(order_items!$E$1,products!$A$1:$F$1,0),FALSE)</f>
        <v>4</v>
      </c>
      <c r="F257" t="str">
        <f>VLOOKUP($E257,categories!$A$1:$B$8,MATCH(order_items!$F$1,categories!$A$1:$B$1,0),FALSE)</f>
        <v>Cyclocross Bicycles</v>
      </c>
      <c r="G257">
        <v>1</v>
      </c>
      <c r="H257">
        <v>1549</v>
      </c>
      <c r="I257" s="5">
        <v>7.0000000000000007E-2</v>
      </c>
      <c r="J257">
        <f t="shared" si="6"/>
        <v>1440.57</v>
      </c>
      <c r="K257" s="9">
        <f t="shared" si="7"/>
        <v>0.24861633378001166</v>
      </c>
    </row>
    <row r="258" spans="1:11" x14ac:dyDescent="0.3">
      <c r="A258">
        <v>88</v>
      </c>
      <c r="B258">
        <v>2</v>
      </c>
      <c r="C258">
        <v>8</v>
      </c>
      <c r="D258" t="str">
        <f>VLOOKUP($C258,products!$A$1:$F$322,MATCH(order_items!$D$1,products!$A$1:$F$1,0),FALSE)</f>
        <v>Trek Remedy 29 Carbon Frameset - 2016</v>
      </c>
      <c r="E258">
        <f>VLOOKUP($C258,products!$A$1:$F$322,MATCH(order_items!$E$1,products!$A$1:$F$1,0),FALSE)</f>
        <v>6</v>
      </c>
      <c r="F258" t="str">
        <f>VLOOKUP($E258,categories!$A$1:$B$8,MATCH(order_items!$F$1,categories!$A$1:$B$1,0),FALSE)</f>
        <v>Mountain Bikes</v>
      </c>
      <c r="G258">
        <v>2</v>
      </c>
      <c r="H258">
        <v>1799.99</v>
      </c>
      <c r="I258" s="5">
        <v>0.1</v>
      </c>
      <c r="J258">
        <f t="shared" ref="J258:J321" si="8">G258*H258*(1-I258)</f>
        <v>3239.982</v>
      </c>
      <c r="K258" s="9">
        <f t="shared" ref="K258:K321" si="9">($H258-$M$7)/$M$9</f>
        <v>0.43416992947174166</v>
      </c>
    </row>
    <row r="259" spans="1:11" x14ac:dyDescent="0.3">
      <c r="A259">
        <v>88</v>
      </c>
      <c r="B259">
        <v>3</v>
      </c>
      <c r="C259">
        <v>7</v>
      </c>
      <c r="D259" t="str">
        <f>VLOOKUP($C259,products!$A$1:$F$322,MATCH(order_items!$D$1,products!$A$1:$F$1,0),FALSE)</f>
        <v>Trek Slash 8 27.5 - 2016</v>
      </c>
      <c r="E259">
        <f>VLOOKUP($C259,products!$A$1:$F$322,MATCH(order_items!$E$1,products!$A$1:$F$1,0),FALSE)</f>
        <v>6</v>
      </c>
      <c r="F259" t="str">
        <f>VLOOKUP($E259,categories!$A$1:$B$8,MATCH(order_items!$F$1,categories!$A$1:$B$1,0),FALSE)</f>
        <v>Mountain Bikes</v>
      </c>
      <c r="G259">
        <v>1</v>
      </c>
      <c r="H259">
        <v>3999.99</v>
      </c>
      <c r="I259" s="5">
        <v>0.1</v>
      </c>
      <c r="J259">
        <f t="shared" si="8"/>
        <v>3599.991</v>
      </c>
      <c r="K259" s="9">
        <f t="shared" si="9"/>
        <v>2.0606009048962846</v>
      </c>
    </row>
    <row r="260" spans="1:11" x14ac:dyDescent="0.3">
      <c r="A260">
        <v>89</v>
      </c>
      <c r="B260">
        <v>1</v>
      </c>
      <c r="C260">
        <v>5</v>
      </c>
      <c r="D260" t="str">
        <f>VLOOKUP($C260,products!$A$1:$F$322,MATCH(order_items!$D$1,products!$A$1:$F$1,0),FALSE)</f>
        <v>Heller Shagamaw Frame - 2016</v>
      </c>
      <c r="E260">
        <f>VLOOKUP($C260,products!$A$1:$F$322,MATCH(order_items!$E$1,products!$A$1:$F$1,0),FALSE)</f>
        <v>6</v>
      </c>
      <c r="F260" t="str">
        <f>VLOOKUP($E260,categories!$A$1:$B$8,MATCH(order_items!$F$1,categories!$A$1:$B$1,0),FALSE)</f>
        <v>Mountain Bikes</v>
      </c>
      <c r="G260">
        <v>1</v>
      </c>
      <c r="H260">
        <v>1320.99</v>
      </c>
      <c r="I260" s="5">
        <v>0.05</v>
      </c>
      <c r="J260">
        <f t="shared" si="8"/>
        <v>1254.9404999999999</v>
      </c>
      <c r="K260" s="9">
        <f t="shared" si="9"/>
        <v>8.0051548913398024E-2</v>
      </c>
    </row>
    <row r="261" spans="1:11" x14ac:dyDescent="0.3">
      <c r="A261">
        <v>89</v>
      </c>
      <c r="B261">
        <v>2</v>
      </c>
      <c r="C261">
        <v>6</v>
      </c>
      <c r="D261" t="str">
        <f>VLOOKUP($C261,products!$A$1:$F$322,MATCH(order_items!$D$1,products!$A$1:$F$1,0),FALSE)</f>
        <v>Surly Ice Cream Truck Frameset - 2016</v>
      </c>
      <c r="E261">
        <f>VLOOKUP($C261,products!$A$1:$F$322,MATCH(order_items!$E$1,products!$A$1:$F$1,0),FALSE)</f>
        <v>6</v>
      </c>
      <c r="F261" t="str">
        <f>VLOOKUP($E261,categories!$A$1:$B$8,MATCH(order_items!$F$1,categories!$A$1:$B$1,0),FALSE)</f>
        <v>Mountain Bikes</v>
      </c>
      <c r="G261">
        <v>2</v>
      </c>
      <c r="H261">
        <v>469.99</v>
      </c>
      <c r="I261" s="5">
        <v>0.1</v>
      </c>
      <c r="J261">
        <f t="shared" si="8"/>
        <v>845.98200000000008</v>
      </c>
      <c r="K261" s="9">
        <f t="shared" si="9"/>
        <v>-0.5490815238530955</v>
      </c>
    </row>
    <row r="262" spans="1:11" x14ac:dyDescent="0.3">
      <c r="A262">
        <v>90</v>
      </c>
      <c r="B262">
        <v>1</v>
      </c>
      <c r="C262">
        <v>3</v>
      </c>
      <c r="D262" t="str">
        <f>VLOOKUP($C262,products!$A$1:$F$322,MATCH(order_items!$D$1,products!$A$1:$F$1,0),FALSE)</f>
        <v>Surly Wednesday Frameset - 2016</v>
      </c>
      <c r="E262">
        <f>VLOOKUP($C262,products!$A$1:$F$322,MATCH(order_items!$E$1,products!$A$1:$F$1,0),FALSE)</f>
        <v>6</v>
      </c>
      <c r="F262" t="str">
        <f>VLOOKUP($E262,categories!$A$1:$B$8,MATCH(order_items!$F$1,categories!$A$1:$B$1,0),FALSE)</f>
        <v>Mountain Bikes</v>
      </c>
      <c r="G262">
        <v>1</v>
      </c>
      <c r="H262">
        <v>999.99</v>
      </c>
      <c r="I262" s="5">
        <v>0.1</v>
      </c>
      <c r="J262">
        <f t="shared" si="8"/>
        <v>899.99099999999999</v>
      </c>
      <c r="K262" s="9">
        <f t="shared" si="9"/>
        <v>-0.15725951613718298</v>
      </c>
    </row>
    <row r="263" spans="1:11" x14ac:dyDescent="0.3">
      <c r="A263">
        <v>90</v>
      </c>
      <c r="B263">
        <v>2</v>
      </c>
      <c r="C263">
        <v>6</v>
      </c>
      <c r="D263" t="str">
        <f>VLOOKUP($C263,products!$A$1:$F$322,MATCH(order_items!$D$1,products!$A$1:$F$1,0),FALSE)</f>
        <v>Surly Ice Cream Truck Frameset - 2016</v>
      </c>
      <c r="E263">
        <f>VLOOKUP($C263,products!$A$1:$F$322,MATCH(order_items!$E$1,products!$A$1:$F$1,0),FALSE)</f>
        <v>6</v>
      </c>
      <c r="F263" t="str">
        <f>VLOOKUP($E263,categories!$A$1:$B$8,MATCH(order_items!$F$1,categories!$A$1:$B$1,0),FALSE)</f>
        <v>Mountain Bikes</v>
      </c>
      <c r="G263">
        <v>1</v>
      </c>
      <c r="H263">
        <v>469.99</v>
      </c>
      <c r="I263" s="5">
        <v>7.0000000000000007E-2</v>
      </c>
      <c r="J263">
        <f t="shared" si="8"/>
        <v>437.09069999999997</v>
      </c>
      <c r="K263" s="9">
        <f t="shared" si="9"/>
        <v>-0.5490815238530955</v>
      </c>
    </row>
    <row r="264" spans="1:11" x14ac:dyDescent="0.3">
      <c r="A264">
        <v>91</v>
      </c>
      <c r="B264">
        <v>1</v>
      </c>
      <c r="C264">
        <v>11</v>
      </c>
      <c r="D264" t="str">
        <f>VLOOKUP($C264,products!$A$1:$F$322,MATCH(order_items!$D$1,products!$A$1:$F$1,0),FALSE)</f>
        <v>Surly Straggler 650b - 2016</v>
      </c>
      <c r="E264">
        <f>VLOOKUP($C264,products!$A$1:$F$322,MATCH(order_items!$E$1,products!$A$1:$F$1,0),FALSE)</f>
        <v>4</v>
      </c>
      <c r="F264" t="str">
        <f>VLOOKUP($E264,categories!$A$1:$B$8,MATCH(order_items!$F$1,categories!$A$1:$B$1,0),FALSE)</f>
        <v>Cyclocross Bicycles</v>
      </c>
      <c r="G264">
        <v>1</v>
      </c>
      <c r="H264">
        <v>1680.99</v>
      </c>
      <c r="I264" s="5">
        <v>0.1</v>
      </c>
      <c r="J264">
        <f t="shared" si="8"/>
        <v>1512.8910000000001</v>
      </c>
      <c r="K264" s="9">
        <f t="shared" si="9"/>
        <v>0.3461947994374141</v>
      </c>
    </row>
    <row r="265" spans="1:11" x14ac:dyDescent="0.3">
      <c r="A265">
        <v>91</v>
      </c>
      <c r="B265">
        <v>2</v>
      </c>
      <c r="C265">
        <v>25</v>
      </c>
      <c r="D265" t="str">
        <f>VLOOKUP($C265,products!$A$1:$F$322,MATCH(order_items!$D$1,products!$A$1:$F$1,0),FALSE)</f>
        <v>Electra Townie Original 7D - 2015/2016</v>
      </c>
      <c r="E265">
        <f>VLOOKUP($C265,products!$A$1:$F$322,MATCH(order_items!$E$1,products!$A$1:$F$1,0),FALSE)</f>
        <v>2</v>
      </c>
      <c r="F265" t="str">
        <f>VLOOKUP($E265,categories!$A$1:$B$8,MATCH(order_items!$F$1,categories!$A$1:$B$1,0),FALSE)</f>
        <v>Comfort Bicycles</v>
      </c>
      <c r="G265">
        <v>1</v>
      </c>
      <c r="H265">
        <v>499.99</v>
      </c>
      <c r="I265" s="5">
        <v>0.05</v>
      </c>
      <c r="J265">
        <f t="shared" si="8"/>
        <v>474.9905</v>
      </c>
      <c r="K265" s="9">
        <f t="shared" si="9"/>
        <v>-0.52690291964276081</v>
      </c>
    </row>
    <row r="266" spans="1:11" x14ac:dyDescent="0.3">
      <c r="A266">
        <v>91</v>
      </c>
      <c r="B266">
        <v>3</v>
      </c>
      <c r="C266">
        <v>15</v>
      </c>
      <c r="D266" t="str">
        <f>VLOOKUP($C266,products!$A$1:$F$322,MATCH(order_items!$D$1,products!$A$1:$F$1,0),FALSE)</f>
        <v>Electra Moto 1 - 2016</v>
      </c>
      <c r="E266">
        <f>VLOOKUP($C266,products!$A$1:$F$322,MATCH(order_items!$E$1,products!$A$1:$F$1,0),FALSE)</f>
        <v>3</v>
      </c>
      <c r="F266" t="str">
        <f>VLOOKUP($E266,categories!$A$1:$B$8,MATCH(order_items!$F$1,categories!$A$1:$B$1,0),FALSE)</f>
        <v>Cruisers Bicycles</v>
      </c>
      <c r="G266">
        <v>2</v>
      </c>
      <c r="H266">
        <v>529.99</v>
      </c>
      <c r="I266" s="5">
        <v>7.0000000000000007E-2</v>
      </c>
      <c r="J266">
        <f t="shared" si="8"/>
        <v>985.78139999999996</v>
      </c>
      <c r="K266" s="9">
        <f t="shared" si="9"/>
        <v>-0.50472431543242624</v>
      </c>
    </row>
    <row r="267" spans="1:11" x14ac:dyDescent="0.3">
      <c r="A267">
        <v>91</v>
      </c>
      <c r="B267">
        <v>4</v>
      </c>
      <c r="C267">
        <v>13</v>
      </c>
      <c r="D267" t="str">
        <f>VLOOKUP($C267,products!$A$1:$F$322,MATCH(order_items!$D$1,products!$A$1:$F$1,0),FALSE)</f>
        <v>Electra Cruiser 1 (24-Inch) - 2016</v>
      </c>
      <c r="E267">
        <f>VLOOKUP($C267,products!$A$1:$F$322,MATCH(order_items!$E$1,products!$A$1:$F$1,0),FALSE)</f>
        <v>3</v>
      </c>
      <c r="F267" t="str">
        <f>VLOOKUP($E267,categories!$A$1:$B$8,MATCH(order_items!$F$1,categories!$A$1:$B$1,0),FALSE)</f>
        <v>Cruisers Bicycles</v>
      </c>
      <c r="G267">
        <v>2</v>
      </c>
      <c r="H267">
        <v>269.99</v>
      </c>
      <c r="I267" s="5">
        <v>7.0000000000000007E-2</v>
      </c>
      <c r="J267">
        <f t="shared" si="8"/>
        <v>502.1814</v>
      </c>
      <c r="K267" s="9">
        <f t="shared" si="9"/>
        <v>-0.69693888525532666</v>
      </c>
    </row>
    <row r="268" spans="1:11" x14ac:dyDescent="0.3">
      <c r="A268">
        <v>92</v>
      </c>
      <c r="B268">
        <v>1</v>
      </c>
      <c r="C268">
        <v>8</v>
      </c>
      <c r="D268" t="str">
        <f>VLOOKUP($C268,products!$A$1:$F$322,MATCH(order_items!$D$1,products!$A$1:$F$1,0),FALSE)</f>
        <v>Trek Remedy 29 Carbon Frameset - 2016</v>
      </c>
      <c r="E268">
        <f>VLOOKUP($C268,products!$A$1:$F$322,MATCH(order_items!$E$1,products!$A$1:$F$1,0),FALSE)</f>
        <v>6</v>
      </c>
      <c r="F268" t="str">
        <f>VLOOKUP($E268,categories!$A$1:$B$8,MATCH(order_items!$F$1,categories!$A$1:$B$1,0),FALSE)</f>
        <v>Mountain Bikes</v>
      </c>
      <c r="G268">
        <v>1</v>
      </c>
      <c r="H268">
        <v>1799.99</v>
      </c>
      <c r="I268" s="5">
        <v>0.1</v>
      </c>
      <c r="J268">
        <f t="shared" si="8"/>
        <v>1619.991</v>
      </c>
      <c r="K268" s="9">
        <f t="shared" si="9"/>
        <v>0.43416992947174166</v>
      </c>
    </row>
    <row r="269" spans="1:11" x14ac:dyDescent="0.3">
      <c r="A269">
        <v>93</v>
      </c>
      <c r="B269">
        <v>1</v>
      </c>
      <c r="C269">
        <v>22</v>
      </c>
      <c r="D269" t="str">
        <f>VLOOKUP($C269,products!$A$1:$F$322,MATCH(order_items!$D$1,products!$A$1:$F$1,0),FALSE)</f>
        <v>Electra Girl's Hawaii 1 (16-inch) - 2015/2016</v>
      </c>
      <c r="E269">
        <f>VLOOKUP($C269,products!$A$1:$F$322,MATCH(order_items!$E$1,products!$A$1:$F$1,0),FALSE)</f>
        <v>1</v>
      </c>
      <c r="F269" t="str">
        <f>VLOOKUP($E269,categories!$A$1:$B$8,MATCH(order_items!$F$1,categories!$A$1:$B$1,0),FALSE)</f>
        <v>Children Bicycles</v>
      </c>
      <c r="G269">
        <v>2</v>
      </c>
      <c r="H269">
        <v>269.99</v>
      </c>
      <c r="I269" s="5">
        <v>7.0000000000000007E-2</v>
      </c>
      <c r="J269">
        <f t="shared" si="8"/>
        <v>502.1814</v>
      </c>
      <c r="K269" s="9">
        <f t="shared" si="9"/>
        <v>-0.69693888525532666</v>
      </c>
    </row>
    <row r="270" spans="1:11" x14ac:dyDescent="0.3">
      <c r="A270">
        <v>93</v>
      </c>
      <c r="B270">
        <v>2</v>
      </c>
      <c r="C270">
        <v>17</v>
      </c>
      <c r="D270" t="str">
        <f>VLOOKUP($C270,products!$A$1:$F$322,MATCH(order_items!$D$1,products!$A$1:$F$1,0),FALSE)</f>
        <v>Pure Cycles Vine 8-Speed - 2016</v>
      </c>
      <c r="E270">
        <f>VLOOKUP($C270,products!$A$1:$F$322,MATCH(order_items!$E$1,products!$A$1:$F$1,0),FALSE)</f>
        <v>3</v>
      </c>
      <c r="F270" t="str">
        <f>VLOOKUP($E270,categories!$A$1:$B$8,MATCH(order_items!$F$1,categories!$A$1:$B$1,0),FALSE)</f>
        <v>Cruisers Bicycles</v>
      </c>
      <c r="G270">
        <v>1</v>
      </c>
      <c r="H270">
        <v>429</v>
      </c>
      <c r="I270" s="5">
        <v>0.05</v>
      </c>
      <c r="J270">
        <f t="shared" si="8"/>
        <v>407.54999999999995</v>
      </c>
      <c r="K270" s="9">
        <f t="shared" si="9"/>
        <v>-0.57938489007248284</v>
      </c>
    </row>
    <row r="271" spans="1:11" x14ac:dyDescent="0.3">
      <c r="A271">
        <v>93</v>
      </c>
      <c r="B271">
        <v>3</v>
      </c>
      <c r="C271">
        <v>21</v>
      </c>
      <c r="D271" t="str">
        <f>VLOOKUP($C271,products!$A$1:$F$322,MATCH(order_items!$D$1,products!$A$1:$F$1,0),FALSE)</f>
        <v>Electra Cruiser 1 (24-Inch) - 2016</v>
      </c>
      <c r="E271">
        <f>VLOOKUP($C271,products!$A$1:$F$322,MATCH(order_items!$E$1,products!$A$1:$F$1,0),FALSE)</f>
        <v>1</v>
      </c>
      <c r="F271" t="str">
        <f>VLOOKUP($E271,categories!$A$1:$B$8,MATCH(order_items!$F$1,categories!$A$1:$B$1,0),FALSE)</f>
        <v>Children Bicycles</v>
      </c>
      <c r="G271">
        <v>1</v>
      </c>
      <c r="H271">
        <v>269.99</v>
      </c>
      <c r="I271" s="5">
        <v>0.1</v>
      </c>
      <c r="J271">
        <f t="shared" si="8"/>
        <v>242.99100000000001</v>
      </c>
      <c r="K271" s="9">
        <f t="shared" si="9"/>
        <v>-0.69693888525532666</v>
      </c>
    </row>
    <row r="272" spans="1:11" x14ac:dyDescent="0.3">
      <c r="A272">
        <v>93</v>
      </c>
      <c r="B272">
        <v>4</v>
      </c>
      <c r="C272">
        <v>2</v>
      </c>
      <c r="D272" t="str">
        <f>VLOOKUP($C272,products!$A$1:$F$322,MATCH(order_items!$D$1,products!$A$1:$F$1,0),FALSE)</f>
        <v>Ritchey Timberwolf Frameset - 2016</v>
      </c>
      <c r="E272">
        <f>VLOOKUP($C272,products!$A$1:$F$322,MATCH(order_items!$E$1,products!$A$1:$F$1,0),FALSE)</f>
        <v>6</v>
      </c>
      <c r="F272" t="str">
        <f>VLOOKUP($E272,categories!$A$1:$B$8,MATCH(order_items!$F$1,categories!$A$1:$B$1,0),FALSE)</f>
        <v>Mountain Bikes</v>
      </c>
      <c r="G272">
        <v>1</v>
      </c>
      <c r="H272">
        <v>749.99</v>
      </c>
      <c r="I272" s="5">
        <v>0.2</v>
      </c>
      <c r="J272">
        <f t="shared" si="8"/>
        <v>599.99200000000008</v>
      </c>
      <c r="K272" s="9">
        <f t="shared" si="9"/>
        <v>-0.34208121788997192</v>
      </c>
    </row>
    <row r="273" spans="1:11" x14ac:dyDescent="0.3">
      <c r="A273">
        <v>93</v>
      </c>
      <c r="B273">
        <v>5</v>
      </c>
      <c r="C273">
        <v>10</v>
      </c>
      <c r="D273" t="str">
        <f>VLOOKUP($C273,products!$A$1:$F$322,MATCH(order_items!$D$1,products!$A$1:$F$1,0),FALSE)</f>
        <v>Surly Straggler - 2016</v>
      </c>
      <c r="E273">
        <f>VLOOKUP($C273,products!$A$1:$F$322,MATCH(order_items!$E$1,products!$A$1:$F$1,0),FALSE)</f>
        <v>4</v>
      </c>
      <c r="F273" t="str">
        <f>VLOOKUP($E273,categories!$A$1:$B$8,MATCH(order_items!$F$1,categories!$A$1:$B$1,0),FALSE)</f>
        <v>Cyclocross Bicycles</v>
      </c>
      <c r="G273">
        <v>2</v>
      </c>
      <c r="H273">
        <v>1549</v>
      </c>
      <c r="I273" s="5">
        <v>7.0000000000000007E-2</v>
      </c>
      <c r="J273">
        <f t="shared" si="8"/>
        <v>2881.14</v>
      </c>
      <c r="K273" s="9">
        <f t="shared" si="9"/>
        <v>0.24861633378001166</v>
      </c>
    </row>
    <row r="274" spans="1:11" x14ac:dyDescent="0.3">
      <c r="A274">
        <v>94</v>
      </c>
      <c r="B274">
        <v>1</v>
      </c>
      <c r="C274">
        <v>12</v>
      </c>
      <c r="D274" t="str">
        <f>VLOOKUP($C274,products!$A$1:$F$322,MATCH(order_items!$D$1,products!$A$1:$F$1,0),FALSE)</f>
        <v>Electra Townie Original 21D - 2016</v>
      </c>
      <c r="E274">
        <f>VLOOKUP($C274,products!$A$1:$F$322,MATCH(order_items!$E$1,products!$A$1:$F$1,0),FALSE)</f>
        <v>3</v>
      </c>
      <c r="F274" t="str">
        <f>VLOOKUP($E274,categories!$A$1:$B$8,MATCH(order_items!$F$1,categories!$A$1:$B$1,0),FALSE)</f>
        <v>Cruisers Bicycles</v>
      </c>
      <c r="G274">
        <v>1</v>
      </c>
      <c r="H274">
        <v>549.99</v>
      </c>
      <c r="I274" s="5">
        <v>0.05</v>
      </c>
      <c r="J274">
        <f t="shared" si="8"/>
        <v>522.4905</v>
      </c>
      <c r="K274" s="9">
        <f t="shared" si="9"/>
        <v>-0.48993857929220308</v>
      </c>
    </row>
    <row r="275" spans="1:11" x14ac:dyDescent="0.3">
      <c r="A275">
        <v>94</v>
      </c>
      <c r="B275">
        <v>2</v>
      </c>
      <c r="C275">
        <v>4</v>
      </c>
      <c r="D275" t="str">
        <f>VLOOKUP($C275,products!$A$1:$F$322,MATCH(order_items!$D$1,products!$A$1:$F$1,0),FALSE)</f>
        <v>Trek Fuel EX 8 29 - 2016</v>
      </c>
      <c r="E275">
        <f>VLOOKUP($C275,products!$A$1:$F$322,MATCH(order_items!$E$1,products!$A$1:$F$1,0),FALSE)</f>
        <v>6</v>
      </c>
      <c r="F275" t="str">
        <f>VLOOKUP($E275,categories!$A$1:$B$8,MATCH(order_items!$F$1,categories!$A$1:$B$1,0),FALSE)</f>
        <v>Mountain Bikes</v>
      </c>
      <c r="G275">
        <v>1</v>
      </c>
      <c r="H275">
        <v>2899.99</v>
      </c>
      <c r="I275" s="5">
        <v>0.2</v>
      </c>
      <c r="J275">
        <f t="shared" si="8"/>
        <v>2319.9919999999997</v>
      </c>
      <c r="K275" s="9">
        <f t="shared" si="9"/>
        <v>1.2473854171840129</v>
      </c>
    </row>
    <row r="276" spans="1:11" x14ac:dyDescent="0.3">
      <c r="A276">
        <v>94</v>
      </c>
      <c r="B276">
        <v>3</v>
      </c>
      <c r="C276">
        <v>11</v>
      </c>
      <c r="D276" t="str">
        <f>VLOOKUP($C276,products!$A$1:$F$322,MATCH(order_items!$D$1,products!$A$1:$F$1,0),FALSE)</f>
        <v>Surly Straggler 650b - 2016</v>
      </c>
      <c r="E276">
        <f>VLOOKUP($C276,products!$A$1:$F$322,MATCH(order_items!$E$1,products!$A$1:$F$1,0),FALSE)</f>
        <v>4</v>
      </c>
      <c r="F276" t="str">
        <f>VLOOKUP($E276,categories!$A$1:$B$8,MATCH(order_items!$F$1,categories!$A$1:$B$1,0),FALSE)</f>
        <v>Cyclocross Bicycles</v>
      </c>
      <c r="G276">
        <v>1</v>
      </c>
      <c r="H276">
        <v>1680.99</v>
      </c>
      <c r="I276" s="5">
        <v>0.2</v>
      </c>
      <c r="J276">
        <f t="shared" si="8"/>
        <v>1344.7920000000001</v>
      </c>
      <c r="K276" s="9">
        <f t="shared" si="9"/>
        <v>0.3461947994374141</v>
      </c>
    </row>
    <row r="277" spans="1:11" x14ac:dyDescent="0.3">
      <c r="A277">
        <v>94</v>
      </c>
      <c r="B277">
        <v>4</v>
      </c>
      <c r="C277">
        <v>21</v>
      </c>
      <c r="D277" t="str">
        <f>VLOOKUP($C277,products!$A$1:$F$322,MATCH(order_items!$D$1,products!$A$1:$F$1,0),FALSE)</f>
        <v>Electra Cruiser 1 (24-Inch) - 2016</v>
      </c>
      <c r="E277">
        <f>VLOOKUP($C277,products!$A$1:$F$322,MATCH(order_items!$E$1,products!$A$1:$F$1,0),FALSE)</f>
        <v>1</v>
      </c>
      <c r="F277" t="str">
        <f>VLOOKUP($E277,categories!$A$1:$B$8,MATCH(order_items!$F$1,categories!$A$1:$B$1,0),FALSE)</f>
        <v>Children Bicycles</v>
      </c>
      <c r="G277">
        <v>2</v>
      </c>
      <c r="H277">
        <v>269.99</v>
      </c>
      <c r="I277" s="5">
        <v>7.0000000000000007E-2</v>
      </c>
      <c r="J277">
        <f t="shared" si="8"/>
        <v>502.1814</v>
      </c>
      <c r="K277" s="9">
        <f t="shared" si="9"/>
        <v>-0.69693888525532666</v>
      </c>
    </row>
    <row r="278" spans="1:11" x14ac:dyDescent="0.3">
      <c r="A278">
        <v>95</v>
      </c>
      <c r="B278">
        <v>1</v>
      </c>
      <c r="C278">
        <v>10</v>
      </c>
      <c r="D278" t="str">
        <f>VLOOKUP($C278,products!$A$1:$F$322,MATCH(order_items!$D$1,products!$A$1:$F$1,0),FALSE)</f>
        <v>Surly Straggler - 2016</v>
      </c>
      <c r="E278">
        <f>VLOOKUP($C278,products!$A$1:$F$322,MATCH(order_items!$E$1,products!$A$1:$F$1,0),FALSE)</f>
        <v>4</v>
      </c>
      <c r="F278" t="str">
        <f>VLOOKUP($E278,categories!$A$1:$B$8,MATCH(order_items!$F$1,categories!$A$1:$B$1,0),FALSE)</f>
        <v>Cyclocross Bicycles</v>
      </c>
      <c r="G278">
        <v>2</v>
      </c>
      <c r="H278">
        <v>1549</v>
      </c>
      <c r="I278" s="5">
        <v>0.2</v>
      </c>
      <c r="J278">
        <f t="shared" si="8"/>
        <v>2478.4</v>
      </c>
      <c r="K278" s="9">
        <f t="shared" si="9"/>
        <v>0.24861633378001166</v>
      </c>
    </row>
    <row r="279" spans="1:11" x14ac:dyDescent="0.3">
      <c r="A279">
        <v>95</v>
      </c>
      <c r="B279">
        <v>2</v>
      </c>
      <c r="C279">
        <v>19</v>
      </c>
      <c r="D279" t="str">
        <f>VLOOKUP($C279,products!$A$1:$F$322,MATCH(order_items!$D$1,products!$A$1:$F$1,0),FALSE)</f>
        <v>Pure Cycles William 3-Speed - 2016</v>
      </c>
      <c r="E279">
        <f>VLOOKUP($C279,products!$A$1:$F$322,MATCH(order_items!$E$1,products!$A$1:$F$1,0),FALSE)</f>
        <v>3</v>
      </c>
      <c r="F279" t="str">
        <f>VLOOKUP($E279,categories!$A$1:$B$8,MATCH(order_items!$F$1,categories!$A$1:$B$1,0),FALSE)</f>
        <v>Cruisers Bicycles</v>
      </c>
      <c r="G279">
        <v>1</v>
      </c>
      <c r="H279">
        <v>449</v>
      </c>
      <c r="I279" s="5">
        <v>0.1</v>
      </c>
      <c r="J279">
        <f t="shared" si="8"/>
        <v>404.1</v>
      </c>
      <c r="K279" s="9">
        <f t="shared" si="9"/>
        <v>-0.56459915393225968</v>
      </c>
    </row>
    <row r="280" spans="1:11" x14ac:dyDescent="0.3">
      <c r="A280">
        <v>95</v>
      </c>
      <c r="B280">
        <v>3</v>
      </c>
      <c r="C280">
        <v>8</v>
      </c>
      <c r="D280" t="str">
        <f>VLOOKUP($C280,products!$A$1:$F$322,MATCH(order_items!$D$1,products!$A$1:$F$1,0),FALSE)</f>
        <v>Trek Remedy 29 Carbon Frameset - 2016</v>
      </c>
      <c r="E280">
        <f>VLOOKUP($C280,products!$A$1:$F$322,MATCH(order_items!$E$1,products!$A$1:$F$1,0),FALSE)</f>
        <v>6</v>
      </c>
      <c r="F280" t="str">
        <f>VLOOKUP($E280,categories!$A$1:$B$8,MATCH(order_items!$F$1,categories!$A$1:$B$1,0),FALSE)</f>
        <v>Mountain Bikes</v>
      </c>
      <c r="G280">
        <v>2</v>
      </c>
      <c r="H280">
        <v>1799.99</v>
      </c>
      <c r="I280" s="5">
        <v>0.2</v>
      </c>
      <c r="J280">
        <f t="shared" si="8"/>
        <v>2879.9840000000004</v>
      </c>
      <c r="K280" s="9">
        <f t="shared" si="9"/>
        <v>0.43416992947174166</v>
      </c>
    </row>
    <row r="281" spans="1:11" x14ac:dyDescent="0.3">
      <c r="A281">
        <v>95</v>
      </c>
      <c r="B281">
        <v>4</v>
      </c>
      <c r="C281">
        <v>20</v>
      </c>
      <c r="D281" t="str">
        <f>VLOOKUP($C281,products!$A$1:$F$322,MATCH(order_items!$D$1,products!$A$1:$F$1,0),FALSE)</f>
        <v>Electra Townie Original 7D EQ - Women's - 2016</v>
      </c>
      <c r="E281">
        <f>VLOOKUP($C281,products!$A$1:$F$322,MATCH(order_items!$E$1,products!$A$1:$F$1,0),FALSE)</f>
        <v>3</v>
      </c>
      <c r="F281" t="str">
        <f>VLOOKUP($E281,categories!$A$1:$B$8,MATCH(order_items!$F$1,categories!$A$1:$B$1,0),FALSE)</f>
        <v>Cruisers Bicycles</v>
      </c>
      <c r="G281">
        <v>2</v>
      </c>
      <c r="H281">
        <v>599.99</v>
      </c>
      <c r="I281" s="5">
        <v>0.05</v>
      </c>
      <c r="J281">
        <f t="shared" si="8"/>
        <v>1139.981</v>
      </c>
      <c r="K281" s="9">
        <f t="shared" si="9"/>
        <v>-0.45297423894164529</v>
      </c>
    </row>
    <row r="282" spans="1:11" x14ac:dyDescent="0.3">
      <c r="A282">
        <v>96</v>
      </c>
      <c r="B282">
        <v>1</v>
      </c>
      <c r="C282">
        <v>26</v>
      </c>
      <c r="D282" t="str">
        <f>VLOOKUP($C282,products!$A$1:$F$322,MATCH(order_items!$D$1,products!$A$1:$F$1,0),FALSE)</f>
        <v>Electra Townie Original 7D EQ - 2016</v>
      </c>
      <c r="E282">
        <f>VLOOKUP($C282,products!$A$1:$F$322,MATCH(order_items!$E$1,products!$A$1:$F$1,0),FALSE)</f>
        <v>2</v>
      </c>
      <c r="F282" t="str">
        <f>VLOOKUP($E282,categories!$A$1:$B$8,MATCH(order_items!$F$1,categories!$A$1:$B$1,0),FALSE)</f>
        <v>Comfort Bicycles</v>
      </c>
      <c r="G282">
        <v>1</v>
      </c>
      <c r="H282">
        <v>599.99</v>
      </c>
      <c r="I282" s="5">
        <v>0.1</v>
      </c>
      <c r="J282">
        <f t="shared" si="8"/>
        <v>539.99099999999999</v>
      </c>
      <c r="K282" s="9">
        <f t="shared" si="9"/>
        <v>-0.45297423894164529</v>
      </c>
    </row>
    <row r="283" spans="1:11" x14ac:dyDescent="0.3">
      <c r="A283">
        <v>96</v>
      </c>
      <c r="B283">
        <v>2</v>
      </c>
      <c r="C283">
        <v>23</v>
      </c>
      <c r="D283" t="str">
        <f>VLOOKUP($C283,products!$A$1:$F$322,MATCH(order_items!$D$1,products!$A$1:$F$1,0),FALSE)</f>
        <v>Electra Girl's Hawaii 1 (20-inch) - 2015/2016</v>
      </c>
      <c r="E283">
        <f>VLOOKUP($C283,products!$A$1:$F$322,MATCH(order_items!$E$1,products!$A$1:$F$1,0),FALSE)</f>
        <v>1</v>
      </c>
      <c r="F283" t="str">
        <f>VLOOKUP($E283,categories!$A$1:$B$8,MATCH(order_items!$F$1,categories!$A$1:$B$1,0),FALSE)</f>
        <v>Children Bicycles</v>
      </c>
      <c r="G283">
        <v>1</v>
      </c>
      <c r="H283">
        <v>299.99</v>
      </c>
      <c r="I283" s="5">
        <v>0.05</v>
      </c>
      <c r="J283">
        <f t="shared" si="8"/>
        <v>284.9905</v>
      </c>
      <c r="K283" s="9">
        <f t="shared" si="9"/>
        <v>-0.67476028104499197</v>
      </c>
    </row>
    <row r="284" spans="1:11" x14ac:dyDescent="0.3">
      <c r="A284">
        <v>97</v>
      </c>
      <c r="B284">
        <v>1</v>
      </c>
      <c r="C284">
        <v>20</v>
      </c>
      <c r="D284" t="str">
        <f>VLOOKUP($C284,products!$A$1:$F$322,MATCH(order_items!$D$1,products!$A$1:$F$1,0),FALSE)</f>
        <v>Electra Townie Original 7D EQ - Women's - 2016</v>
      </c>
      <c r="E284">
        <f>VLOOKUP($C284,products!$A$1:$F$322,MATCH(order_items!$E$1,products!$A$1:$F$1,0),FALSE)</f>
        <v>3</v>
      </c>
      <c r="F284" t="str">
        <f>VLOOKUP($E284,categories!$A$1:$B$8,MATCH(order_items!$F$1,categories!$A$1:$B$1,0),FALSE)</f>
        <v>Cruisers Bicycles</v>
      </c>
      <c r="G284">
        <v>2</v>
      </c>
      <c r="H284">
        <v>599.99</v>
      </c>
      <c r="I284" s="5">
        <v>0.2</v>
      </c>
      <c r="J284">
        <f t="shared" si="8"/>
        <v>959.98400000000004</v>
      </c>
      <c r="K284" s="9">
        <f t="shared" si="9"/>
        <v>-0.45297423894164529</v>
      </c>
    </row>
    <row r="285" spans="1:11" x14ac:dyDescent="0.3">
      <c r="A285">
        <v>97</v>
      </c>
      <c r="B285">
        <v>2</v>
      </c>
      <c r="C285">
        <v>2</v>
      </c>
      <c r="D285" t="str">
        <f>VLOOKUP($C285,products!$A$1:$F$322,MATCH(order_items!$D$1,products!$A$1:$F$1,0),FALSE)</f>
        <v>Ritchey Timberwolf Frameset - 2016</v>
      </c>
      <c r="E285">
        <f>VLOOKUP($C285,products!$A$1:$F$322,MATCH(order_items!$E$1,products!$A$1:$F$1,0),FALSE)</f>
        <v>6</v>
      </c>
      <c r="F285" t="str">
        <f>VLOOKUP($E285,categories!$A$1:$B$8,MATCH(order_items!$F$1,categories!$A$1:$B$1,0),FALSE)</f>
        <v>Mountain Bikes</v>
      </c>
      <c r="G285">
        <v>1</v>
      </c>
      <c r="H285">
        <v>749.99</v>
      </c>
      <c r="I285" s="5">
        <v>7.0000000000000007E-2</v>
      </c>
      <c r="J285">
        <f t="shared" si="8"/>
        <v>697.49069999999995</v>
      </c>
      <c r="K285" s="9">
        <f t="shared" si="9"/>
        <v>-0.34208121788997192</v>
      </c>
    </row>
    <row r="286" spans="1:11" x14ac:dyDescent="0.3">
      <c r="A286">
        <v>97</v>
      </c>
      <c r="B286">
        <v>3</v>
      </c>
      <c r="C286">
        <v>6</v>
      </c>
      <c r="D286" t="str">
        <f>VLOOKUP($C286,products!$A$1:$F$322,MATCH(order_items!$D$1,products!$A$1:$F$1,0),FALSE)</f>
        <v>Surly Ice Cream Truck Frameset - 2016</v>
      </c>
      <c r="E286">
        <f>VLOOKUP($C286,products!$A$1:$F$322,MATCH(order_items!$E$1,products!$A$1:$F$1,0),FALSE)</f>
        <v>6</v>
      </c>
      <c r="F286" t="str">
        <f>VLOOKUP($E286,categories!$A$1:$B$8,MATCH(order_items!$F$1,categories!$A$1:$B$1,0),FALSE)</f>
        <v>Mountain Bikes</v>
      </c>
      <c r="G286">
        <v>2</v>
      </c>
      <c r="H286">
        <v>469.99</v>
      </c>
      <c r="I286" s="5">
        <v>0.2</v>
      </c>
      <c r="J286">
        <f t="shared" si="8"/>
        <v>751.98400000000004</v>
      </c>
      <c r="K286" s="9">
        <f t="shared" si="9"/>
        <v>-0.5490815238530955</v>
      </c>
    </row>
    <row r="287" spans="1:11" x14ac:dyDescent="0.3">
      <c r="A287">
        <v>97</v>
      </c>
      <c r="B287">
        <v>4</v>
      </c>
      <c r="C287">
        <v>19</v>
      </c>
      <c r="D287" t="str">
        <f>VLOOKUP($C287,products!$A$1:$F$322,MATCH(order_items!$D$1,products!$A$1:$F$1,0),FALSE)</f>
        <v>Pure Cycles William 3-Speed - 2016</v>
      </c>
      <c r="E287">
        <f>VLOOKUP($C287,products!$A$1:$F$322,MATCH(order_items!$E$1,products!$A$1:$F$1,0),FALSE)</f>
        <v>3</v>
      </c>
      <c r="F287" t="str">
        <f>VLOOKUP($E287,categories!$A$1:$B$8,MATCH(order_items!$F$1,categories!$A$1:$B$1,0),FALSE)</f>
        <v>Cruisers Bicycles</v>
      </c>
      <c r="G287">
        <v>1</v>
      </c>
      <c r="H287">
        <v>449</v>
      </c>
      <c r="I287" s="5">
        <v>0.1</v>
      </c>
      <c r="J287">
        <f t="shared" si="8"/>
        <v>404.1</v>
      </c>
      <c r="K287" s="9">
        <f t="shared" si="9"/>
        <v>-0.56459915393225968</v>
      </c>
    </row>
    <row r="288" spans="1:11" x14ac:dyDescent="0.3">
      <c r="A288">
        <v>98</v>
      </c>
      <c r="B288">
        <v>1</v>
      </c>
      <c r="C288">
        <v>19</v>
      </c>
      <c r="D288" t="str">
        <f>VLOOKUP($C288,products!$A$1:$F$322,MATCH(order_items!$D$1,products!$A$1:$F$1,0),FALSE)</f>
        <v>Pure Cycles William 3-Speed - 2016</v>
      </c>
      <c r="E288">
        <f>VLOOKUP($C288,products!$A$1:$F$322,MATCH(order_items!$E$1,products!$A$1:$F$1,0),FALSE)</f>
        <v>3</v>
      </c>
      <c r="F288" t="str">
        <f>VLOOKUP($E288,categories!$A$1:$B$8,MATCH(order_items!$F$1,categories!$A$1:$B$1,0),FALSE)</f>
        <v>Cruisers Bicycles</v>
      </c>
      <c r="G288">
        <v>1</v>
      </c>
      <c r="H288">
        <v>449</v>
      </c>
      <c r="I288" s="5">
        <v>7.0000000000000007E-2</v>
      </c>
      <c r="J288">
        <f t="shared" si="8"/>
        <v>417.57</v>
      </c>
      <c r="K288" s="9">
        <f t="shared" si="9"/>
        <v>-0.56459915393225968</v>
      </c>
    </row>
    <row r="289" spans="1:11" x14ac:dyDescent="0.3">
      <c r="A289">
        <v>98</v>
      </c>
      <c r="B289">
        <v>2</v>
      </c>
      <c r="C289">
        <v>21</v>
      </c>
      <c r="D289" t="str">
        <f>VLOOKUP($C289,products!$A$1:$F$322,MATCH(order_items!$D$1,products!$A$1:$F$1,0),FALSE)</f>
        <v>Electra Cruiser 1 (24-Inch) - 2016</v>
      </c>
      <c r="E289">
        <f>VLOOKUP($C289,products!$A$1:$F$322,MATCH(order_items!$E$1,products!$A$1:$F$1,0),FALSE)</f>
        <v>1</v>
      </c>
      <c r="F289" t="str">
        <f>VLOOKUP($E289,categories!$A$1:$B$8,MATCH(order_items!$F$1,categories!$A$1:$B$1,0),FALSE)</f>
        <v>Children Bicycles</v>
      </c>
      <c r="G289">
        <v>1</v>
      </c>
      <c r="H289">
        <v>269.99</v>
      </c>
      <c r="I289" s="5">
        <v>0.1</v>
      </c>
      <c r="J289">
        <f t="shared" si="8"/>
        <v>242.99100000000001</v>
      </c>
      <c r="K289" s="9">
        <f t="shared" si="9"/>
        <v>-0.69693888525532666</v>
      </c>
    </row>
    <row r="290" spans="1:11" x14ac:dyDescent="0.3">
      <c r="A290">
        <v>98</v>
      </c>
      <c r="B290">
        <v>3</v>
      </c>
      <c r="C290">
        <v>2</v>
      </c>
      <c r="D290" t="str">
        <f>VLOOKUP($C290,products!$A$1:$F$322,MATCH(order_items!$D$1,products!$A$1:$F$1,0),FALSE)</f>
        <v>Ritchey Timberwolf Frameset - 2016</v>
      </c>
      <c r="E290">
        <f>VLOOKUP($C290,products!$A$1:$F$322,MATCH(order_items!$E$1,products!$A$1:$F$1,0),FALSE)</f>
        <v>6</v>
      </c>
      <c r="F290" t="str">
        <f>VLOOKUP($E290,categories!$A$1:$B$8,MATCH(order_items!$F$1,categories!$A$1:$B$1,0),FALSE)</f>
        <v>Mountain Bikes</v>
      </c>
      <c r="G290">
        <v>1</v>
      </c>
      <c r="H290">
        <v>749.99</v>
      </c>
      <c r="I290" s="5">
        <v>0.2</v>
      </c>
      <c r="J290">
        <f t="shared" si="8"/>
        <v>599.99200000000008</v>
      </c>
      <c r="K290" s="9">
        <f t="shared" si="9"/>
        <v>-0.34208121788997192</v>
      </c>
    </row>
    <row r="291" spans="1:11" x14ac:dyDescent="0.3">
      <c r="A291">
        <v>98</v>
      </c>
      <c r="B291">
        <v>4</v>
      </c>
      <c r="C291">
        <v>22</v>
      </c>
      <c r="D291" t="str">
        <f>VLOOKUP($C291,products!$A$1:$F$322,MATCH(order_items!$D$1,products!$A$1:$F$1,0),FALSE)</f>
        <v>Electra Girl's Hawaii 1 (16-inch) - 2015/2016</v>
      </c>
      <c r="E291">
        <f>VLOOKUP($C291,products!$A$1:$F$322,MATCH(order_items!$E$1,products!$A$1:$F$1,0),FALSE)</f>
        <v>1</v>
      </c>
      <c r="F291" t="str">
        <f>VLOOKUP($E291,categories!$A$1:$B$8,MATCH(order_items!$F$1,categories!$A$1:$B$1,0),FALSE)</f>
        <v>Children Bicycles</v>
      </c>
      <c r="G291">
        <v>2</v>
      </c>
      <c r="H291">
        <v>269.99</v>
      </c>
      <c r="I291" s="5">
        <v>0.2</v>
      </c>
      <c r="J291">
        <f t="shared" si="8"/>
        <v>431.98400000000004</v>
      </c>
      <c r="K291" s="9">
        <f t="shared" si="9"/>
        <v>-0.69693888525532666</v>
      </c>
    </row>
    <row r="292" spans="1:11" x14ac:dyDescent="0.3">
      <c r="A292">
        <v>99</v>
      </c>
      <c r="B292">
        <v>1</v>
      </c>
      <c r="C292">
        <v>13</v>
      </c>
      <c r="D292" t="str">
        <f>VLOOKUP($C292,products!$A$1:$F$322,MATCH(order_items!$D$1,products!$A$1:$F$1,0),FALSE)</f>
        <v>Electra Cruiser 1 (24-Inch) - 2016</v>
      </c>
      <c r="E292">
        <f>VLOOKUP($C292,products!$A$1:$F$322,MATCH(order_items!$E$1,products!$A$1:$F$1,0),FALSE)</f>
        <v>3</v>
      </c>
      <c r="F292" t="str">
        <f>VLOOKUP($E292,categories!$A$1:$B$8,MATCH(order_items!$F$1,categories!$A$1:$B$1,0),FALSE)</f>
        <v>Cruisers Bicycles</v>
      </c>
      <c r="G292">
        <v>1</v>
      </c>
      <c r="H292">
        <v>269.99</v>
      </c>
      <c r="I292" s="5">
        <v>0.2</v>
      </c>
      <c r="J292">
        <f t="shared" si="8"/>
        <v>215.99200000000002</v>
      </c>
      <c r="K292" s="9">
        <f t="shared" si="9"/>
        <v>-0.69693888525532666</v>
      </c>
    </row>
    <row r="293" spans="1:11" x14ac:dyDescent="0.3">
      <c r="A293">
        <v>99</v>
      </c>
      <c r="B293">
        <v>2</v>
      </c>
      <c r="C293">
        <v>21</v>
      </c>
      <c r="D293" t="str">
        <f>VLOOKUP($C293,products!$A$1:$F$322,MATCH(order_items!$D$1,products!$A$1:$F$1,0),FALSE)</f>
        <v>Electra Cruiser 1 (24-Inch) - 2016</v>
      </c>
      <c r="E293">
        <f>VLOOKUP($C293,products!$A$1:$F$322,MATCH(order_items!$E$1,products!$A$1:$F$1,0),FALSE)</f>
        <v>1</v>
      </c>
      <c r="F293" t="str">
        <f>VLOOKUP($E293,categories!$A$1:$B$8,MATCH(order_items!$F$1,categories!$A$1:$B$1,0),FALSE)</f>
        <v>Children Bicycles</v>
      </c>
      <c r="G293">
        <v>1</v>
      </c>
      <c r="H293">
        <v>269.99</v>
      </c>
      <c r="I293" s="5">
        <v>0.2</v>
      </c>
      <c r="J293">
        <f t="shared" si="8"/>
        <v>215.99200000000002</v>
      </c>
      <c r="K293" s="9">
        <f t="shared" si="9"/>
        <v>-0.69693888525532666</v>
      </c>
    </row>
    <row r="294" spans="1:11" x14ac:dyDescent="0.3">
      <c r="A294">
        <v>99</v>
      </c>
      <c r="B294">
        <v>3</v>
      </c>
      <c r="C294">
        <v>25</v>
      </c>
      <c r="D294" t="str">
        <f>VLOOKUP($C294,products!$A$1:$F$322,MATCH(order_items!$D$1,products!$A$1:$F$1,0),FALSE)</f>
        <v>Electra Townie Original 7D - 2015/2016</v>
      </c>
      <c r="E294">
        <f>VLOOKUP($C294,products!$A$1:$F$322,MATCH(order_items!$E$1,products!$A$1:$F$1,0),FALSE)</f>
        <v>2</v>
      </c>
      <c r="F294" t="str">
        <f>VLOOKUP($E294,categories!$A$1:$B$8,MATCH(order_items!$F$1,categories!$A$1:$B$1,0),FALSE)</f>
        <v>Comfort Bicycles</v>
      </c>
      <c r="G294">
        <v>2</v>
      </c>
      <c r="H294">
        <v>499.99</v>
      </c>
      <c r="I294" s="5">
        <v>0.05</v>
      </c>
      <c r="J294">
        <f t="shared" si="8"/>
        <v>949.98099999999999</v>
      </c>
      <c r="K294" s="9">
        <f t="shared" si="9"/>
        <v>-0.52690291964276081</v>
      </c>
    </row>
    <row r="295" spans="1:11" x14ac:dyDescent="0.3">
      <c r="A295">
        <v>99</v>
      </c>
      <c r="B295">
        <v>4</v>
      </c>
      <c r="C295">
        <v>7</v>
      </c>
      <c r="D295" t="str">
        <f>VLOOKUP($C295,products!$A$1:$F$322,MATCH(order_items!$D$1,products!$A$1:$F$1,0),FALSE)</f>
        <v>Trek Slash 8 27.5 - 2016</v>
      </c>
      <c r="E295">
        <f>VLOOKUP($C295,products!$A$1:$F$322,MATCH(order_items!$E$1,products!$A$1:$F$1,0),FALSE)</f>
        <v>6</v>
      </c>
      <c r="F295" t="str">
        <f>VLOOKUP($E295,categories!$A$1:$B$8,MATCH(order_items!$F$1,categories!$A$1:$B$1,0),FALSE)</f>
        <v>Mountain Bikes</v>
      </c>
      <c r="G295">
        <v>2</v>
      </c>
      <c r="H295">
        <v>3999.99</v>
      </c>
      <c r="I295" s="5">
        <v>7.0000000000000007E-2</v>
      </c>
      <c r="J295">
        <f t="shared" si="8"/>
        <v>7439.9813999999988</v>
      </c>
      <c r="K295" s="9">
        <f t="shared" si="9"/>
        <v>2.0606009048962846</v>
      </c>
    </row>
    <row r="296" spans="1:11" x14ac:dyDescent="0.3">
      <c r="A296">
        <v>99</v>
      </c>
      <c r="B296">
        <v>5</v>
      </c>
      <c r="C296">
        <v>23</v>
      </c>
      <c r="D296" t="str">
        <f>VLOOKUP($C296,products!$A$1:$F$322,MATCH(order_items!$D$1,products!$A$1:$F$1,0),FALSE)</f>
        <v>Electra Girl's Hawaii 1 (20-inch) - 2015/2016</v>
      </c>
      <c r="E296">
        <f>VLOOKUP($C296,products!$A$1:$F$322,MATCH(order_items!$E$1,products!$A$1:$F$1,0),FALSE)</f>
        <v>1</v>
      </c>
      <c r="F296" t="str">
        <f>VLOOKUP($E296,categories!$A$1:$B$8,MATCH(order_items!$F$1,categories!$A$1:$B$1,0),FALSE)</f>
        <v>Children Bicycles</v>
      </c>
      <c r="G296">
        <v>2</v>
      </c>
      <c r="H296">
        <v>299.99</v>
      </c>
      <c r="I296" s="5">
        <v>0.2</v>
      </c>
      <c r="J296">
        <f t="shared" si="8"/>
        <v>479.98400000000004</v>
      </c>
      <c r="K296" s="9">
        <f t="shared" si="9"/>
        <v>-0.67476028104499197</v>
      </c>
    </row>
    <row r="297" spans="1:11" x14ac:dyDescent="0.3">
      <c r="A297">
        <v>100</v>
      </c>
      <c r="B297">
        <v>1</v>
      </c>
      <c r="C297">
        <v>12</v>
      </c>
      <c r="D297" t="str">
        <f>VLOOKUP($C297,products!$A$1:$F$322,MATCH(order_items!$D$1,products!$A$1:$F$1,0),FALSE)</f>
        <v>Electra Townie Original 21D - 2016</v>
      </c>
      <c r="E297">
        <f>VLOOKUP($C297,products!$A$1:$F$322,MATCH(order_items!$E$1,products!$A$1:$F$1,0),FALSE)</f>
        <v>3</v>
      </c>
      <c r="F297" t="str">
        <f>VLOOKUP($E297,categories!$A$1:$B$8,MATCH(order_items!$F$1,categories!$A$1:$B$1,0),FALSE)</f>
        <v>Cruisers Bicycles</v>
      </c>
      <c r="G297">
        <v>2</v>
      </c>
      <c r="H297">
        <v>549.99</v>
      </c>
      <c r="I297" s="5">
        <v>0.05</v>
      </c>
      <c r="J297">
        <f t="shared" si="8"/>
        <v>1044.981</v>
      </c>
      <c r="K297" s="9">
        <f t="shared" si="9"/>
        <v>-0.48993857929220308</v>
      </c>
    </row>
    <row r="298" spans="1:11" x14ac:dyDescent="0.3">
      <c r="A298">
        <v>100</v>
      </c>
      <c r="B298">
        <v>2</v>
      </c>
      <c r="C298">
        <v>11</v>
      </c>
      <c r="D298" t="str">
        <f>VLOOKUP($C298,products!$A$1:$F$322,MATCH(order_items!$D$1,products!$A$1:$F$1,0),FALSE)</f>
        <v>Surly Straggler 650b - 2016</v>
      </c>
      <c r="E298">
        <f>VLOOKUP($C298,products!$A$1:$F$322,MATCH(order_items!$E$1,products!$A$1:$F$1,0),FALSE)</f>
        <v>4</v>
      </c>
      <c r="F298" t="str">
        <f>VLOOKUP($E298,categories!$A$1:$B$8,MATCH(order_items!$F$1,categories!$A$1:$B$1,0),FALSE)</f>
        <v>Cyclocross Bicycles</v>
      </c>
      <c r="G298">
        <v>2</v>
      </c>
      <c r="H298">
        <v>1680.99</v>
      </c>
      <c r="I298" s="5">
        <v>0.1</v>
      </c>
      <c r="J298">
        <f t="shared" si="8"/>
        <v>3025.7820000000002</v>
      </c>
      <c r="K298" s="9">
        <f t="shared" si="9"/>
        <v>0.3461947994374141</v>
      </c>
    </row>
    <row r="299" spans="1:11" x14ac:dyDescent="0.3">
      <c r="A299">
        <v>100</v>
      </c>
      <c r="B299">
        <v>3</v>
      </c>
      <c r="C299">
        <v>7</v>
      </c>
      <c r="D299" t="str">
        <f>VLOOKUP($C299,products!$A$1:$F$322,MATCH(order_items!$D$1,products!$A$1:$F$1,0),FALSE)</f>
        <v>Trek Slash 8 27.5 - 2016</v>
      </c>
      <c r="E299">
        <f>VLOOKUP($C299,products!$A$1:$F$322,MATCH(order_items!$E$1,products!$A$1:$F$1,0),FALSE)</f>
        <v>6</v>
      </c>
      <c r="F299" t="str">
        <f>VLOOKUP($E299,categories!$A$1:$B$8,MATCH(order_items!$F$1,categories!$A$1:$B$1,0),FALSE)</f>
        <v>Mountain Bikes</v>
      </c>
      <c r="G299">
        <v>2</v>
      </c>
      <c r="H299">
        <v>3999.99</v>
      </c>
      <c r="I299" s="5">
        <v>0.2</v>
      </c>
      <c r="J299">
        <f t="shared" si="8"/>
        <v>6399.9840000000004</v>
      </c>
      <c r="K299" s="9">
        <f t="shared" si="9"/>
        <v>2.0606009048962846</v>
      </c>
    </row>
    <row r="300" spans="1:11" x14ac:dyDescent="0.3">
      <c r="A300">
        <v>100</v>
      </c>
      <c r="B300">
        <v>4</v>
      </c>
      <c r="C300">
        <v>16</v>
      </c>
      <c r="D300" t="str">
        <f>VLOOKUP($C300,products!$A$1:$F$322,MATCH(order_items!$D$1,products!$A$1:$F$1,0),FALSE)</f>
        <v>Electra Townie Original 7D EQ - 2016</v>
      </c>
      <c r="E300">
        <f>VLOOKUP($C300,products!$A$1:$F$322,MATCH(order_items!$E$1,products!$A$1:$F$1,0),FALSE)</f>
        <v>3</v>
      </c>
      <c r="F300" t="str">
        <f>VLOOKUP($E300,categories!$A$1:$B$8,MATCH(order_items!$F$1,categories!$A$1:$B$1,0),FALSE)</f>
        <v>Cruisers Bicycles</v>
      </c>
      <c r="G300">
        <v>2</v>
      </c>
      <c r="H300">
        <v>599.99</v>
      </c>
      <c r="I300" s="5">
        <v>0.2</v>
      </c>
      <c r="J300">
        <f t="shared" si="8"/>
        <v>959.98400000000004</v>
      </c>
      <c r="K300" s="9">
        <f t="shared" si="9"/>
        <v>-0.45297423894164529</v>
      </c>
    </row>
    <row r="301" spans="1:11" x14ac:dyDescent="0.3">
      <c r="A301">
        <v>100</v>
      </c>
      <c r="B301">
        <v>5</v>
      </c>
      <c r="C301">
        <v>24</v>
      </c>
      <c r="D301" t="str">
        <f>VLOOKUP($C301,products!$A$1:$F$322,MATCH(order_items!$D$1,products!$A$1:$F$1,0),FALSE)</f>
        <v>Electra Townie Original 21D - 2016</v>
      </c>
      <c r="E301">
        <f>VLOOKUP($C301,products!$A$1:$F$322,MATCH(order_items!$E$1,products!$A$1:$F$1,0),FALSE)</f>
        <v>2</v>
      </c>
      <c r="F301" t="str">
        <f>VLOOKUP($E301,categories!$A$1:$B$8,MATCH(order_items!$F$1,categories!$A$1:$B$1,0),FALSE)</f>
        <v>Comfort Bicycles</v>
      </c>
      <c r="G301">
        <v>2</v>
      </c>
      <c r="H301">
        <v>549.99</v>
      </c>
      <c r="I301" s="5">
        <v>0.1</v>
      </c>
      <c r="J301">
        <f t="shared" si="8"/>
        <v>989.98200000000008</v>
      </c>
      <c r="K301" s="9">
        <f t="shared" si="9"/>
        <v>-0.48993857929220308</v>
      </c>
    </row>
    <row r="302" spans="1:11" x14ac:dyDescent="0.3">
      <c r="A302">
        <v>101</v>
      </c>
      <c r="B302">
        <v>1</v>
      </c>
      <c r="C302">
        <v>12</v>
      </c>
      <c r="D302" t="str">
        <f>VLOOKUP($C302,products!$A$1:$F$322,MATCH(order_items!$D$1,products!$A$1:$F$1,0),FALSE)</f>
        <v>Electra Townie Original 21D - 2016</v>
      </c>
      <c r="E302">
        <f>VLOOKUP($C302,products!$A$1:$F$322,MATCH(order_items!$E$1,products!$A$1:$F$1,0),FALSE)</f>
        <v>3</v>
      </c>
      <c r="F302" t="str">
        <f>VLOOKUP($E302,categories!$A$1:$B$8,MATCH(order_items!$F$1,categories!$A$1:$B$1,0),FALSE)</f>
        <v>Cruisers Bicycles</v>
      </c>
      <c r="G302">
        <v>2</v>
      </c>
      <c r="H302">
        <v>549.99</v>
      </c>
      <c r="I302" s="5">
        <v>0.2</v>
      </c>
      <c r="J302">
        <f t="shared" si="8"/>
        <v>879.98400000000004</v>
      </c>
      <c r="K302" s="9">
        <f t="shared" si="9"/>
        <v>-0.48993857929220308</v>
      </c>
    </row>
    <row r="303" spans="1:11" x14ac:dyDescent="0.3">
      <c r="A303">
        <v>102</v>
      </c>
      <c r="B303">
        <v>1</v>
      </c>
      <c r="C303">
        <v>15</v>
      </c>
      <c r="D303" t="str">
        <f>VLOOKUP($C303,products!$A$1:$F$322,MATCH(order_items!$D$1,products!$A$1:$F$1,0),FALSE)</f>
        <v>Electra Moto 1 - 2016</v>
      </c>
      <c r="E303">
        <f>VLOOKUP($C303,products!$A$1:$F$322,MATCH(order_items!$E$1,products!$A$1:$F$1,0),FALSE)</f>
        <v>3</v>
      </c>
      <c r="F303" t="str">
        <f>VLOOKUP($E303,categories!$A$1:$B$8,MATCH(order_items!$F$1,categories!$A$1:$B$1,0),FALSE)</f>
        <v>Cruisers Bicycles</v>
      </c>
      <c r="G303">
        <v>1</v>
      </c>
      <c r="H303">
        <v>529.99</v>
      </c>
      <c r="I303" s="5">
        <v>0.05</v>
      </c>
      <c r="J303">
        <f t="shared" si="8"/>
        <v>503.4905</v>
      </c>
      <c r="K303" s="9">
        <f t="shared" si="9"/>
        <v>-0.50472431543242624</v>
      </c>
    </row>
    <row r="304" spans="1:11" x14ac:dyDescent="0.3">
      <c r="A304">
        <v>102</v>
      </c>
      <c r="B304">
        <v>2</v>
      </c>
      <c r="C304">
        <v>22</v>
      </c>
      <c r="D304" t="str">
        <f>VLOOKUP($C304,products!$A$1:$F$322,MATCH(order_items!$D$1,products!$A$1:$F$1,0),FALSE)</f>
        <v>Electra Girl's Hawaii 1 (16-inch) - 2015/2016</v>
      </c>
      <c r="E304">
        <f>VLOOKUP($C304,products!$A$1:$F$322,MATCH(order_items!$E$1,products!$A$1:$F$1,0),FALSE)</f>
        <v>1</v>
      </c>
      <c r="F304" t="str">
        <f>VLOOKUP($E304,categories!$A$1:$B$8,MATCH(order_items!$F$1,categories!$A$1:$B$1,0),FALSE)</f>
        <v>Children Bicycles</v>
      </c>
      <c r="G304">
        <v>1</v>
      </c>
      <c r="H304">
        <v>269.99</v>
      </c>
      <c r="I304" s="5">
        <v>7.0000000000000007E-2</v>
      </c>
      <c r="J304">
        <f t="shared" si="8"/>
        <v>251.0907</v>
      </c>
      <c r="K304" s="9">
        <f t="shared" si="9"/>
        <v>-0.69693888525532666</v>
      </c>
    </row>
    <row r="305" spans="1:11" x14ac:dyDescent="0.3">
      <c r="A305">
        <v>103</v>
      </c>
      <c r="B305">
        <v>1</v>
      </c>
      <c r="C305">
        <v>17</v>
      </c>
      <c r="D305" t="str">
        <f>VLOOKUP($C305,products!$A$1:$F$322,MATCH(order_items!$D$1,products!$A$1:$F$1,0),FALSE)</f>
        <v>Pure Cycles Vine 8-Speed - 2016</v>
      </c>
      <c r="E305">
        <f>VLOOKUP($C305,products!$A$1:$F$322,MATCH(order_items!$E$1,products!$A$1:$F$1,0),FALSE)</f>
        <v>3</v>
      </c>
      <c r="F305" t="str">
        <f>VLOOKUP($E305,categories!$A$1:$B$8,MATCH(order_items!$F$1,categories!$A$1:$B$1,0),FALSE)</f>
        <v>Cruisers Bicycles</v>
      </c>
      <c r="G305">
        <v>1</v>
      </c>
      <c r="H305">
        <v>429</v>
      </c>
      <c r="I305" s="5">
        <v>7.0000000000000007E-2</v>
      </c>
      <c r="J305">
        <f t="shared" si="8"/>
        <v>398.96999999999997</v>
      </c>
      <c r="K305" s="9">
        <f t="shared" si="9"/>
        <v>-0.57938489007248284</v>
      </c>
    </row>
    <row r="306" spans="1:11" x14ac:dyDescent="0.3">
      <c r="A306">
        <v>103</v>
      </c>
      <c r="B306">
        <v>2</v>
      </c>
      <c r="C306">
        <v>3</v>
      </c>
      <c r="D306" t="str">
        <f>VLOOKUP($C306,products!$A$1:$F$322,MATCH(order_items!$D$1,products!$A$1:$F$1,0),FALSE)</f>
        <v>Surly Wednesday Frameset - 2016</v>
      </c>
      <c r="E306">
        <f>VLOOKUP($C306,products!$A$1:$F$322,MATCH(order_items!$E$1,products!$A$1:$F$1,0),FALSE)</f>
        <v>6</v>
      </c>
      <c r="F306" t="str">
        <f>VLOOKUP($E306,categories!$A$1:$B$8,MATCH(order_items!$F$1,categories!$A$1:$B$1,0),FALSE)</f>
        <v>Mountain Bikes</v>
      </c>
      <c r="G306">
        <v>1</v>
      </c>
      <c r="H306">
        <v>999.99</v>
      </c>
      <c r="I306" s="5">
        <v>0.05</v>
      </c>
      <c r="J306">
        <f t="shared" si="8"/>
        <v>949.9905</v>
      </c>
      <c r="K306" s="9">
        <f t="shared" si="9"/>
        <v>-0.15725951613718298</v>
      </c>
    </row>
    <row r="307" spans="1:11" x14ac:dyDescent="0.3">
      <c r="A307">
        <v>103</v>
      </c>
      <c r="B307">
        <v>3</v>
      </c>
      <c r="C307">
        <v>18</v>
      </c>
      <c r="D307" t="str">
        <f>VLOOKUP($C307,products!$A$1:$F$322,MATCH(order_items!$D$1,products!$A$1:$F$1,0),FALSE)</f>
        <v>Pure Cycles Western 3-Speed - Women's - 2015/2016</v>
      </c>
      <c r="E307">
        <f>VLOOKUP($C307,products!$A$1:$F$322,MATCH(order_items!$E$1,products!$A$1:$F$1,0),FALSE)</f>
        <v>3</v>
      </c>
      <c r="F307" t="str">
        <f>VLOOKUP($E307,categories!$A$1:$B$8,MATCH(order_items!$F$1,categories!$A$1:$B$1,0),FALSE)</f>
        <v>Cruisers Bicycles</v>
      </c>
      <c r="G307">
        <v>1</v>
      </c>
      <c r="H307">
        <v>449</v>
      </c>
      <c r="I307" s="5">
        <v>0.2</v>
      </c>
      <c r="J307">
        <f t="shared" si="8"/>
        <v>359.20000000000005</v>
      </c>
      <c r="K307" s="9">
        <f t="shared" si="9"/>
        <v>-0.56459915393225968</v>
      </c>
    </row>
    <row r="308" spans="1:11" x14ac:dyDescent="0.3">
      <c r="A308">
        <v>103</v>
      </c>
      <c r="B308">
        <v>4</v>
      </c>
      <c r="C308">
        <v>15</v>
      </c>
      <c r="D308" t="str">
        <f>VLOOKUP($C308,products!$A$1:$F$322,MATCH(order_items!$D$1,products!$A$1:$F$1,0),FALSE)</f>
        <v>Electra Moto 1 - 2016</v>
      </c>
      <c r="E308">
        <f>VLOOKUP($C308,products!$A$1:$F$322,MATCH(order_items!$E$1,products!$A$1:$F$1,0),FALSE)</f>
        <v>3</v>
      </c>
      <c r="F308" t="str">
        <f>VLOOKUP($E308,categories!$A$1:$B$8,MATCH(order_items!$F$1,categories!$A$1:$B$1,0),FALSE)</f>
        <v>Cruisers Bicycles</v>
      </c>
      <c r="G308">
        <v>2</v>
      </c>
      <c r="H308">
        <v>529.99</v>
      </c>
      <c r="I308" s="5">
        <v>0.1</v>
      </c>
      <c r="J308">
        <f t="shared" si="8"/>
        <v>953.98200000000008</v>
      </c>
      <c r="K308" s="9">
        <f t="shared" si="9"/>
        <v>-0.50472431543242624</v>
      </c>
    </row>
    <row r="309" spans="1:11" x14ac:dyDescent="0.3">
      <c r="A309">
        <v>103</v>
      </c>
      <c r="B309">
        <v>5</v>
      </c>
      <c r="C309">
        <v>9</v>
      </c>
      <c r="D309" t="str">
        <f>VLOOKUP($C309,products!$A$1:$F$322,MATCH(order_items!$D$1,products!$A$1:$F$1,0),FALSE)</f>
        <v>Trek Conduit+ - 2016</v>
      </c>
      <c r="E309">
        <f>VLOOKUP($C309,products!$A$1:$F$322,MATCH(order_items!$E$1,products!$A$1:$F$1,0),FALSE)</f>
        <v>5</v>
      </c>
      <c r="F309" t="str">
        <f>VLOOKUP($E309,categories!$A$1:$B$8,MATCH(order_items!$F$1,categories!$A$1:$B$1,0),FALSE)</f>
        <v>Electric Bikes</v>
      </c>
      <c r="G309">
        <v>2</v>
      </c>
      <c r="H309">
        <v>2999.99</v>
      </c>
      <c r="I309" s="5">
        <v>0.1</v>
      </c>
      <c r="J309">
        <f t="shared" si="8"/>
        <v>5399.982</v>
      </c>
      <c r="K309" s="9">
        <f t="shared" si="9"/>
        <v>1.3213140978851283</v>
      </c>
    </row>
    <row r="310" spans="1:11" x14ac:dyDescent="0.3">
      <c r="A310">
        <v>104</v>
      </c>
      <c r="B310">
        <v>1</v>
      </c>
      <c r="C310">
        <v>19</v>
      </c>
      <c r="D310" t="str">
        <f>VLOOKUP($C310,products!$A$1:$F$322,MATCH(order_items!$D$1,products!$A$1:$F$1,0),FALSE)</f>
        <v>Pure Cycles William 3-Speed - 2016</v>
      </c>
      <c r="E310">
        <f>VLOOKUP($C310,products!$A$1:$F$322,MATCH(order_items!$E$1,products!$A$1:$F$1,0),FALSE)</f>
        <v>3</v>
      </c>
      <c r="F310" t="str">
        <f>VLOOKUP($E310,categories!$A$1:$B$8,MATCH(order_items!$F$1,categories!$A$1:$B$1,0),FALSE)</f>
        <v>Cruisers Bicycles</v>
      </c>
      <c r="G310">
        <v>2</v>
      </c>
      <c r="H310">
        <v>449</v>
      </c>
      <c r="I310" s="5">
        <v>0.1</v>
      </c>
      <c r="J310">
        <f t="shared" si="8"/>
        <v>808.2</v>
      </c>
      <c r="K310" s="9">
        <f t="shared" si="9"/>
        <v>-0.56459915393225968</v>
      </c>
    </row>
    <row r="311" spans="1:11" x14ac:dyDescent="0.3">
      <c r="A311">
        <v>104</v>
      </c>
      <c r="B311">
        <v>2</v>
      </c>
      <c r="C311">
        <v>26</v>
      </c>
      <c r="D311" t="str">
        <f>VLOOKUP($C311,products!$A$1:$F$322,MATCH(order_items!$D$1,products!$A$1:$F$1,0),FALSE)</f>
        <v>Electra Townie Original 7D EQ - 2016</v>
      </c>
      <c r="E311">
        <f>VLOOKUP($C311,products!$A$1:$F$322,MATCH(order_items!$E$1,products!$A$1:$F$1,0),FALSE)</f>
        <v>2</v>
      </c>
      <c r="F311" t="str">
        <f>VLOOKUP($E311,categories!$A$1:$B$8,MATCH(order_items!$F$1,categories!$A$1:$B$1,0),FALSE)</f>
        <v>Comfort Bicycles</v>
      </c>
      <c r="G311">
        <v>1</v>
      </c>
      <c r="H311">
        <v>599.99</v>
      </c>
      <c r="I311" s="5">
        <v>0.05</v>
      </c>
      <c r="J311">
        <f t="shared" si="8"/>
        <v>569.9905</v>
      </c>
      <c r="K311" s="9">
        <f t="shared" si="9"/>
        <v>-0.45297423894164529</v>
      </c>
    </row>
    <row r="312" spans="1:11" x14ac:dyDescent="0.3">
      <c r="A312">
        <v>105</v>
      </c>
      <c r="B312">
        <v>1</v>
      </c>
      <c r="C312">
        <v>11</v>
      </c>
      <c r="D312" t="str">
        <f>VLOOKUP($C312,products!$A$1:$F$322,MATCH(order_items!$D$1,products!$A$1:$F$1,0),FALSE)</f>
        <v>Surly Straggler 650b - 2016</v>
      </c>
      <c r="E312">
        <f>VLOOKUP($C312,products!$A$1:$F$322,MATCH(order_items!$E$1,products!$A$1:$F$1,0),FALSE)</f>
        <v>4</v>
      </c>
      <c r="F312" t="str">
        <f>VLOOKUP($E312,categories!$A$1:$B$8,MATCH(order_items!$F$1,categories!$A$1:$B$1,0),FALSE)</f>
        <v>Cyclocross Bicycles</v>
      </c>
      <c r="G312">
        <v>2</v>
      </c>
      <c r="H312">
        <v>1680.99</v>
      </c>
      <c r="I312" s="5">
        <v>0.2</v>
      </c>
      <c r="J312">
        <f t="shared" si="8"/>
        <v>2689.5840000000003</v>
      </c>
      <c r="K312" s="9">
        <f t="shared" si="9"/>
        <v>0.3461947994374141</v>
      </c>
    </row>
    <row r="313" spans="1:11" x14ac:dyDescent="0.3">
      <c r="A313">
        <v>105</v>
      </c>
      <c r="B313">
        <v>2</v>
      </c>
      <c r="C313">
        <v>3</v>
      </c>
      <c r="D313" t="str">
        <f>VLOOKUP($C313,products!$A$1:$F$322,MATCH(order_items!$D$1,products!$A$1:$F$1,0),FALSE)</f>
        <v>Surly Wednesday Frameset - 2016</v>
      </c>
      <c r="E313">
        <f>VLOOKUP($C313,products!$A$1:$F$322,MATCH(order_items!$E$1,products!$A$1:$F$1,0),FALSE)</f>
        <v>6</v>
      </c>
      <c r="F313" t="str">
        <f>VLOOKUP($E313,categories!$A$1:$B$8,MATCH(order_items!$F$1,categories!$A$1:$B$1,0),FALSE)</f>
        <v>Mountain Bikes</v>
      </c>
      <c r="G313">
        <v>1</v>
      </c>
      <c r="H313">
        <v>999.99</v>
      </c>
      <c r="I313" s="5">
        <v>0.05</v>
      </c>
      <c r="J313">
        <f t="shared" si="8"/>
        <v>949.9905</v>
      </c>
      <c r="K313" s="9">
        <f t="shared" si="9"/>
        <v>-0.15725951613718298</v>
      </c>
    </row>
    <row r="314" spans="1:11" x14ac:dyDescent="0.3">
      <c r="A314">
        <v>105</v>
      </c>
      <c r="B314">
        <v>3</v>
      </c>
      <c r="C314">
        <v>9</v>
      </c>
      <c r="D314" t="str">
        <f>VLOOKUP($C314,products!$A$1:$F$322,MATCH(order_items!$D$1,products!$A$1:$F$1,0),FALSE)</f>
        <v>Trek Conduit+ - 2016</v>
      </c>
      <c r="E314">
        <f>VLOOKUP($C314,products!$A$1:$F$322,MATCH(order_items!$E$1,products!$A$1:$F$1,0),FALSE)</f>
        <v>5</v>
      </c>
      <c r="F314" t="str">
        <f>VLOOKUP($E314,categories!$A$1:$B$8,MATCH(order_items!$F$1,categories!$A$1:$B$1,0),FALSE)</f>
        <v>Electric Bikes</v>
      </c>
      <c r="G314">
        <v>1</v>
      </c>
      <c r="H314">
        <v>2999.99</v>
      </c>
      <c r="I314" s="5">
        <v>0.05</v>
      </c>
      <c r="J314">
        <f t="shared" si="8"/>
        <v>2849.9904999999999</v>
      </c>
      <c r="K314" s="9">
        <f t="shared" si="9"/>
        <v>1.3213140978851283</v>
      </c>
    </row>
    <row r="315" spans="1:11" x14ac:dyDescent="0.3">
      <c r="A315">
        <v>106</v>
      </c>
      <c r="B315">
        <v>1</v>
      </c>
      <c r="C315">
        <v>17</v>
      </c>
      <c r="D315" t="str">
        <f>VLOOKUP($C315,products!$A$1:$F$322,MATCH(order_items!$D$1,products!$A$1:$F$1,0),FALSE)</f>
        <v>Pure Cycles Vine 8-Speed - 2016</v>
      </c>
      <c r="E315">
        <f>VLOOKUP($C315,products!$A$1:$F$322,MATCH(order_items!$E$1,products!$A$1:$F$1,0),FALSE)</f>
        <v>3</v>
      </c>
      <c r="F315" t="str">
        <f>VLOOKUP($E315,categories!$A$1:$B$8,MATCH(order_items!$F$1,categories!$A$1:$B$1,0),FALSE)</f>
        <v>Cruisers Bicycles</v>
      </c>
      <c r="G315">
        <v>1</v>
      </c>
      <c r="H315">
        <v>429</v>
      </c>
      <c r="I315" s="5">
        <v>0.1</v>
      </c>
      <c r="J315">
        <f t="shared" si="8"/>
        <v>386.1</v>
      </c>
      <c r="K315" s="9">
        <f t="shared" si="9"/>
        <v>-0.57938489007248284</v>
      </c>
    </row>
    <row r="316" spans="1:11" x14ac:dyDescent="0.3">
      <c r="A316">
        <v>106</v>
      </c>
      <c r="B316">
        <v>2</v>
      </c>
      <c r="C316">
        <v>13</v>
      </c>
      <c r="D316" t="str">
        <f>VLOOKUP($C316,products!$A$1:$F$322,MATCH(order_items!$D$1,products!$A$1:$F$1,0),FALSE)</f>
        <v>Electra Cruiser 1 (24-Inch) - 2016</v>
      </c>
      <c r="E316">
        <f>VLOOKUP($C316,products!$A$1:$F$322,MATCH(order_items!$E$1,products!$A$1:$F$1,0),FALSE)</f>
        <v>3</v>
      </c>
      <c r="F316" t="str">
        <f>VLOOKUP($E316,categories!$A$1:$B$8,MATCH(order_items!$F$1,categories!$A$1:$B$1,0),FALSE)</f>
        <v>Cruisers Bicycles</v>
      </c>
      <c r="G316">
        <v>2</v>
      </c>
      <c r="H316">
        <v>269.99</v>
      </c>
      <c r="I316" s="5">
        <v>0.1</v>
      </c>
      <c r="J316">
        <f t="shared" si="8"/>
        <v>485.98200000000003</v>
      </c>
      <c r="K316" s="9">
        <f t="shared" si="9"/>
        <v>-0.69693888525532666</v>
      </c>
    </row>
    <row r="317" spans="1:11" x14ac:dyDescent="0.3">
      <c r="A317">
        <v>107</v>
      </c>
      <c r="B317">
        <v>1</v>
      </c>
      <c r="C317">
        <v>19</v>
      </c>
      <c r="D317" t="str">
        <f>VLOOKUP($C317,products!$A$1:$F$322,MATCH(order_items!$D$1,products!$A$1:$F$1,0),FALSE)</f>
        <v>Pure Cycles William 3-Speed - 2016</v>
      </c>
      <c r="E317">
        <f>VLOOKUP($C317,products!$A$1:$F$322,MATCH(order_items!$E$1,products!$A$1:$F$1,0),FALSE)</f>
        <v>3</v>
      </c>
      <c r="F317" t="str">
        <f>VLOOKUP($E317,categories!$A$1:$B$8,MATCH(order_items!$F$1,categories!$A$1:$B$1,0),FALSE)</f>
        <v>Cruisers Bicycles</v>
      </c>
      <c r="G317">
        <v>1</v>
      </c>
      <c r="H317">
        <v>449</v>
      </c>
      <c r="I317" s="5">
        <v>0.2</v>
      </c>
      <c r="J317">
        <f t="shared" si="8"/>
        <v>359.20000000000005</v>
      </c>
      <c r="K317" s="9">
        <f t="shared" si="9"/>
        <v>-0.56459915393225968</v>
      </c>
    </row>
    <row r="318" spans="1:11" x14ac:dyDescent="0.3">
      <c r="A318">
        <v>107</v>
      </c>
      <c r="B318">
        <v>2</v>
      </c>
      <c r="C318">
        <v>13</v>
      </c>
      <c r="D318" t="str">
        <f>VLOOKUP($C318,products!$A$1:$F$322,MATCH(order_items!$D$1,products!$A$1:$F$1,0),FALSE)</f>
        <v>Electra Cruiser 1 (24-Inch) - 2016</v>
      </c>
      <c r="E318">
        <f>VLOOKUP($C318,products!$A$1:$F$322,MATCH(order_items!$E$1,products!$A$1:$F$1,0),FALSE)</f>
        <v>3</v>
      </c>
      <c r="F318" t="str">
        <f>VLOOKUP($E318,categories!$A$1:$B$8,MATCH(order_items!$F$1,categories!$A$1:$B$1,0),FALSE)</f>
        <v>Cruisers Bicycles</v>
      </c>
      <c r="G318">
        <v>2</v>
      </c>
      <c r="H318">
        <v>269.99</v>
      </c>
      <c r="I318" s="5">
        <v>0.1</v>
      </c>
      <c r="J318">
        <f t="shared" si="8"/>
        <v>485.98200000000003</v>
      </c>
      <c r="K318" s="9">
        <f t="shared" si="9"/>
        <v>-0.69693888525532666</v>
      </c>
    </row>
    <row r="319" spans="1:11" x14ac:dyDescent="0.3">
      <c r="A319">
        <v>108</v>
      </c>
      <c r="B319">
        <v>1</v>
      </c>
      <c r="C319">
        <v>11</v>
      </c>
      <c r="D319" t="str">
        <f>VLOOKUP($C319,products!$A$1:$F$322,MATCH(order_items!$D$1,products!$A$1:$F$1,0),FALSE)</f>
        <v>Surly Straggler 650b - 2016</v>
      </c>
      <c r="E319">
        <f>VLOOKUP($C319,products!$A$1:$F$322,MATCH(order_items!$E$1,products!$A$1:$F$1,0),FALSE)</f>
        <v>4</v>
      </c>
      <c r="F319" t="str">
        <f>VLOOKUP($E319,categories!$A$1:$B$8,MATCH(order_items!$F$1,categories!$A$1:$B$1,0),FALSE)</f>
        <v>Cyclocross Bicycles</v>
      </c>
      <c r="G319">
        <v>1</v>
      </c>
      <c r="H319">
        <v>1680.99</v>
      </c>
      <c r="I319" s="5">
        <v>0.1</v>
      </c>
      <c r="J319">
        <f t="shared" si="8"/>
        <v>1512.8910000000001</v>
      </c>
      <c r="K319" s="9">
        <f t="shared" si="9"/>
        <v>0.3461947994374141</v>
      </c>
    </row>
    <row r="320" spans="1:11" x14ac:dyDescent="0.3">
      <c r="A320">
        <v>108</v>
      </c>
      <c r="B320">
        <v>2</v>
      </c>
      <c r="C320">
        <v>22</v>
      </c>
      <c r="D320" t="str">
        <f>VLOOKUP($C320,products!$A$1:$F$322,MATCH(order_items!$D$1,products!$A$1:$F$1,0),FALSE)</f>
        <v>Electra Girl's Hawaii 1 (16-inch) - 2015/2016</v>
      </c>
      <c r="E320">
        <f>VLOOKUP($C320,products!$A$1:$F$322,MATCH(order_items!$E$1,products!$A$1:$F$1,0),FALSE)</f>
        <v>1</v>
      </c>
      <c r="F320" t="str">
        <f>VLOOKUP($E320,categories!$A$1:$B$8,MATCH(order_items!$F$1,categories!$A$1:$B$1,0),FALSE)</f>
        <v>Children Bicycles</v>
      </c>
      <c r="G320">
        <v>2</v>
      </c>
      <c r="H320">
        <v>269.99</v>
      </c>
      <c r="I320" s="5">
        <v>7.0000000000000007E-2</v>
      </c>
      <c r="J320">
        <f t="shared" si="8"/>
        <v>502.1814</v>
      </c>
      <c r="K320" s="9">
        <f t="shared" si="9"/>
        <v>-0.69693888525532666</v>
      </c>
    </row>
    <row r="321" spans="1:11" x14ac:dyDescent="0.3">
      <c r="A321">
        <v>108</v>
      </c>
      <c r="B321">
        <v>3</v>
      </c>
      <c r="C321">
        <v>16</v>
      </c>
      <c r="D321" t="str">
        <f>VLOOKUP($C321,products!$A$1:$F$322,MATCH(order_items!$D$1,products!$A$1:$F$1,0),FALSE)</f>
        <v>Electra Townie Original 7D EQ - 2016</v>
      </c>
      <c r="E321">
        <f>VLOOKUP($C321,products!$A$1:$F$322,MATCH(order_items!$E$1,products!$A$1:$F$1,0),FALSE)</f>
        <v>3</v>
      </c>
      <c r="F321" t="str">
        <f>VLOOKUP($E321,categories!$A$1:$B$8,MATCH(order_items!$F$1,categories!$A$1:$B$1,0),FALSE)</f>
        <v>Cruisers Bicycles</v>
      </c>
      <c r="G321">
        <v>2</v>
      </c>
      <c r="H321">
        <v>599.99</v>
      </c>
      <c r="I321" s="5">
        <v>0.05</v>
      </c>
      <c r="J321">
        <f t="shared" si="8"/>
        <v>1139.981</v>
      </c>
      <c r="K321" s="9">
        <f t="shared" si="9"/>
        <v>-0.45297423894164529</v>
      </c>
    </row>
    <row r="322" spans="1:11" x14ac:dyDescent="0.3">
      <c r="A322">
        <v>109</v>
      </c>
      <c r="B322">
        <v>1</v>
      </c>
      <c r="C322">
        <v>22</v>
      </c>
      <c r="D322" t="str">
        <f>VLOOKUP($C322,products!$A$1:$F$322,MATCH(order_items!$D$1,products!$A$1:$F$1,0),FALSE)</f>
        <v>Electra Girl's Hawaii 1 (16-inch) - 2015/2016</v>
      </c>
      <c r="E322">
        <f>VLOOKUP($C322,products!$A$1:$F$322,MATCH(order_items!$E$1,products!$A$1:$F$1,0),FALSE)</f>
        <v>1</v>
      </c>
      <c r="F322" t="str">
        <f>VLOOKUP($E322,categories!$A$1:$B$8,MATCH(order_items!$F$1,categories!$A$1:$B$1,0),FALSE)</f>
        <v>Children Bicycles</v>
      </c>
      <c r="G322">
        <v>2</v>
      </c>
      <c r="H322">
        <v>269.99</v>
      </c>
      <c r="I322" s="5">
        <v>0.1</v>
      </c>
      <c r="J322">
        <f t="shared" ref="J322:J385" si="10">G322*H322*(1-I322)</f>
        <v>485.98200000000003</v>
      </c>
      <c r="K322" s="9">
        <f t="shared" ref="K322:K385" si="11">($H322-$M$7)/$M$9</f>
        <v>-0.69693888525532666</v>
      </c>
    </row>
    <row r="323" spans="1:11" x14ac:dyDescent="0.3">
      <c r="A323">
        <v>109</v>
      </c>
      <c r="B323">
        <v>2</v>
      </c>
      <c r="C323">
        <v>6</v>
      </c>
      <c r="D323" t="str">
        <f>VLOOKUP($C323,products!$A$1:$F$322,MATCH(order_items!$D$1,products!$A$1:$F$1,0),FALSE)</f>
        <v>Surly Ice Cream Truck Frameset - 2016</v>
      </c>
      <c r="E323">
        <f>VLOOKUP($C323,products!$A$1:$F$322,MATCH(order_items!$E$1,products!$A$1:$F$1,0),FALSE)</f>
        <v>6</v>
      </c>
      <c r="F323" t="str">
        <f>VLOOKUP($E323,categories!$A$1:$B$8,MATCH(order_items!$F$1,categories!$A$1:$B$1,0),FALSE)</f>
        <v>Mountain Bikes</v>
      </c>
      <c r="G323">
        <v>1</v>
      </c>
      <c r="H323">
        <v>469.99</v>
      </c>
      <c r="I323" s="5">
        <v>7.0000000000000007E-2</v>
      </c>
      <c r="J323">
        <f t="shared" si="10"/>
        <v>437.09069999999997</v>
      </c>
      <c r="K323" s="9">
        <f t="shared" si="11"/>
        <v>-0.5490815238530955</v>
      </c>
    </row>
    <row r="324" spans="1:11" x14ac:dyDescent="0.3">
      <c r="A324">
        <v>110</v>
      </c>
      <c r="B324">
        <v>1</v>
      </c>
      <c r="C324">
        <v>14</v>
      </c>
      <c r="D324" t="str">
        <f>VLOOKUP($C324,products!$A$1:$F$322,MATCH(order_items!$D$1,products!$A$1:$F$1,0),FALSE)</f>
        <v>Electra Girl's Hawaii 1 (16-inch) - 2015/2016</v>
      </c>
      <c r="E324">
        <f>VLOOKUP($C324,products!$A$1:$F$322,MATCH(order_items!$E$1,products!$A$1:$F$1,0),FALSE)</f>
        <v>3</v>
      </c>
      <c r="F324" t="str">
        <f>VLOOKUP($E324,categories!$A$1:$B$8,MATCH(order_items!$F$1,categories!$A$1:$B$1,0),FALSE)</f>
        <v>Cruisers Bicycles</v>
      </c>
      <c r="G324">
        <v>1</v>
      </c>
      <c r="H324">
        <v>269.99</v>
      </c>
      <c r="I324" s="5">
        <v>0.1</v>
      </c>
      <c r="J324">
        <f t="shared" si="10"/>
        <v>242.99100000000001</v>
      </c>
      <c r="K324" s="9">
        <f t="shared" si="11"/>
        <v>-0.69693888525532666</v>
      </c>
    </row>
    <row r="325" spans="1:11" x14ac:dyDescent="0.3">
      <c r="A325">
        <v>111</v>
      </c>
      <c r="B325">
        <v>1</v>
      </c>
      <c r="C325">
        <v>14</v>
      </c>
      <c r="D325" t="str">
        <f>VLOOKUP($C325,products!$A$1:$F$322,MATCH(order_items!$D$1,products!$A$1:$F$1,0),FALSE)</f>
        <v>Electra Girl's Hawaii 1 (16-inch) - 2015/2016</v>
      </c>
      <c r="E325">
        <f>VLOOKUP($C325,products!$A$1:$F$322,MATCH(order_items!$E$1,products!$A$1:$F$1,0),FALSE)</f>
        <v>3</v>
      </c>
      <c r="F325" t="str">
        <f>VLOOKUP($E325,categories!$A$1:$B$8,MATCH(order_items!$F$1,categories!$A$1:$B$1,0),FALSE)</f>
        <v>Cruisers Bicycles</v>
      </c>
      <c r="G325">
        <v>1</v>
      </c>
      <c r="H325">
        <v>269.99</v>
      </c>
      <c r="I325" s="5">
        <v>0.1</v>
      </c>
      <c r="J325">
        <f t="shared" si="10"/>
        <v>242.99100000000001</v>
      </c>
      <c r="K325" s="9">
        <f t="shared" si="11"/>
        <v>-0.69693888525532666</v>
      </c>
    </row>
    <row r="326" spans="1:11" x14ac:dyDescent="0.3">
      <c r="A326">
        <v>111</v>
      </c>
      <c r="B326">
        <v>2</v>
      </c>
      <c r="C326">
        <v>12</v>
      </c>
      <c r="D326" t="str">
        <f>VLOOKUP($C326,products!$A$1:$F$322,MATCH(order_items!$D$1,products!$A$1:$F$1,0),FALSE)</f>
        <v>Electra Townie Original 21D - 2016</v>
      </c>
      <c r="E326">
        <f>VLOOKUP($C326,products!$A$1:$F$322,MATCH(order_items!$E$1,products!$A$1:$F$1,0),FALSE)</f>
        <v>3</v>
      </c>
      <c r="F326" t="str">
        <f>VLOOKUP($E326,categories!$A$1:$B$8,MATCH(order_items!$F$1,categories!$A$1:$B$1,0),FALSE)</f>
        <v>Cruisers Bicycles</v>
      </c>
      <c r="G326">
        <v>2</v>
      </c>
      <c r="H326">
        <v>549.99</v>
      </c>
      <c r="I326" s="5">
        <v>7.0000000000000007E-2</v>
      </c>
      <c r="J326">
        <f t="shared" si="10"/>
        <v>1022.9813999999999</v>
      </c>
      <c r="K326" s="9">
        <f t="shared" si="11"/>
        <v>-0.48993857929220308</v>
      </c>
    </row>
    <row r="327" spans="1:11" x14ac:dyDescent="0.3">
      <c r="A327">
        <v>112</v>
      </c>
      <c r="B327">
        <v>1</v>
      </c>
      <c r="C327">
        <v>23</v>
      </c>
      <c r="D327" t="str">
        <f>VLOOKUP($C327,products!$A$1:$F$322,MATCH(order_items!$D$1,products!$A$1:$F$1,0),FALSE)</f>
        <v>Electra Girl's Hawaii 1 (20-inch) - 2015/2016</v>
      </c>
      <c r="E327">
        <f>VLOOKUP($C327,products!$A$1:$F$322,MATCH(order_items!$E$1,products!$A$1:$F$1,0),FALSE)</f>
        <v>1</v>
      </c>
      <c r="F327" t="str">
        <f>VLOOKUP($E327,categories!$A$1:$B$8,MATCH(order_items!$F$1,categories!$A$1:$B$1,0),FALSE)</f>
        <v>Children Bicycles</v>
      </c>
      <c r="G327">
        <v>2</v>
      </c>
      <c r="H327">
        <v>299.99</v>
      </c>
      <c r="I327" s="5">
        <v>0.2</v>
      </c>
      <c r="J327">
        <f t="shared" si="10"/>
        <v>479.98400000000004</v>
      </c>
      <c r="K327" s="9">
        <f t="shared" si="11"/>
        <v>-0.67476028104499197</v>
      </c>
    </row>
    <row r="328" spans="1:11" x14ac:dyDescent="0.3">
      <c r="A328">
        <v>112</v>
      </c>
      <c r="B328">
        <v>2</v>
      </c>
      <c r="C328">
        <v>25</v>
      </c>
      <c r="D328" t="str">
        <f>VLOOKUP($C328,products!$A$1:$F$322,MATCH(order_items!$D$1,products!$A$1:$F$1,0),FALSE)</f>
        <v>Electra Townie Original 7D - 2015/2016</v>
      </c>
      <c r="E328">
        <f>VLOOKUP($C328,products!$A$1:$F$322,MATCH(order_items!$E$1,products!$A$1:$F$1,0),FALSE)</f>
        <v>2</v>
      </c>
      <c r="F328" t="str">
        <f>VLOOKUP($E328,categories!$A$1:$B$8,MATCH(order_items!$F$1,categories!$A$1:$B$1,0),FALSE)</f>
        <v>Comfort Bicycles</v>
      </c>
      <c r="G328">
        <v>2</v>
      </c>
      <c r="H328">
        <v>499.99</v>
      </c>
      <c r="I328" s="5">
        <v>7.0000000000000007E-2</v>
      </c>
      <c r="J328">
        <f t="shared" si="10"/>
        <v>929.98140000000001</v>
      </c>
      <c r="K328" s="9">
        <f t="shared" si="11"/>
        <v>-0.52690291964276081</v>
      </c>
    </row>
    <row r="329" spans="1:11" x14ac:dyDescent="0.3">
      <c r="A329">
        <v>112</v>
      </c>
      <c r="B329">
        <v>3</v>
      </c>
      <c r="C329">
        <v>24</v>
      </c>
      <c r="D329" t="str">
        <f>VLOOKUP($C329,products!$A$1:$F$322,MATCH(order_items!$D$1,products!$A$1:$F$1,0),FALSE)</f>
        <v>Electra Townie Original 21D - 2016</v>
      </c>
      <c r="E329">
        <f>VLOOKUP($C329,products!$A$1:$F$322,MATCH(order_items!$E$1,products!$A$1:$F$1,0),FALSE)</f>
        <v>2</v>
      </c>
      <c r="F329" t="str">
        <f>VLOOKUP($E329,categories!$A$1:$B$8,MATCH(order_items!$F$1,categories!$A$1:$B$1,0),FALSE)</f>
        <v>Comfort Bicycles</v>
      </c>
      <c r="G329">
        <v>2</v>
      </c>
      <c r="H329">
        <v>549.99</v>
      </c>
      <c r="I329" s="5">
        <v>0.05</v>
      </c>
      <c r="J329">
        <f t="shared" si="10"/>
        <v>1044.981</v>
      </c>
      <c r="K329" s="9">
        <f t="shared" si="11"/>
        <v>-0.48993857929220308</v>
      </c>
    </row>
    <row r="330" spans="1:11" x14ac:dyDescent="0.3">
      <c r="A330">
        <v>112</v>
      </c>
      <c r="B330">
        <v>4</v>
      </c>
      <c r="C330">
        <v>5</v>
      </c>
      <c r="D330" t="str">
        <f>VLOOKUP($C330,products!$A$1:$F$322,MATCH(order_items!$D$1,products!$A$1:$F$1,0),FALSE)</f>
        <v>Heller Shagamaw Frame - 2016</v>
      </c>
      <c r="E330">
        <f>VLOOKUP($C330,products!$A$1:$F$322,MATCH(order_items!$E$1,products!$A$1:$F$1,0),FALSE)</f>
        <v>6</v>
      </c>
      <c r="F330" t="str">
        <f>VLOOKUP($E330,categories!$A$1:$B$8,MATCH(order_items!$F$1,categories!$A$1:$B$1,0),FALSE)</f>
        <v>Mountain Bikes</v>
      </c>
      <c r="G330">
        <v>1</v>
      </c>
      <c r="H330">
        <v>1320.99</v>
      </c>
      <c r="I330" s="5">
        <v>0.2</v>
      </c>
      <c r="J330">
        <f t="shared" si="10"/>
        <v>1056.7920000000001</v>
      </c>
      <c r="K330" s="9">
        <f t="shared" si="11"/>
        <v>8.0051548913398024E-2</v>
      </c>
    </row>
    <row r="331" spans="1:11" x14ac:dyDescent="0.3">
      <c r="A331">
        <v>113</v>
      </c>
      <c r="B331">
        <v>1</v>
      </c>
      <c r="C331">
        <v>12</v>
      </c>
      <c r="D331" t="str">
        <f>VLOOKUP($C331,products!$A$1:$F$322,MATCH(order_items!$D$1,products!$A$1:$F$1,0),FALSE)</f>
        <v>Electra Townie Original 21D - 2016</v>
      </c>
      <c r="E331">
        <f>VLOOKUP($C331,products!$A$1:$F$322,MATCH(order_items!$E$1,products!$A$1:$F$1,0),FALSE)</f>
        <v>3</v>
      </c>
      <c r="F331" t="str">
        <f>VLOOKUP($E331,categories!$A$1:$B$8,MATCH(order_items!$F$1,categories!$A$1:$B$1,0),FALSE)</f>
        <v>Cruisers Bicycles</v>
      </c>
      <c r="G331">
        <v>2</v>
      </c>
      <c r="H331">
        <v>549.99</v>
      </c>
      <c r="I331" s="5">
        <v>7.0000000000000007E-2</v>
      </c>
      <c r="J331">
        <f t="shared" si="10"/>
        <v>1022.9813999999999</v>
      </c>
      <c r="K331" s="9">
        <f t="shared" si="11"/>
        <v>-0.48993857929220308</v>
      </c>
    </row>
    <row r="332" spans="1:11" x14ac:dyDescent="0.3">
      <c r="A332">
        <v>113</v>
      </c>
      <c r="B332">
        <v>2</v>
      </c>
      <c r="C332">
        <v>24</v>
      </c>
      <c r="D332" t="str">
        <f>VLOOKUP($C332,products!$A$1:$F$322,MATCH(order_items!$D$1,products!$A$1:$F$1,0),FALSE)</f>
        <v>Electra Townie Original 21D - 2016</v>
      </c>
      <c r="E332">
        <f>VLOOKUP($C332,products!$A$1:$F$322,MATCH(order_items!$E$1,products!$A$1:$F$1,0),FALSE)</f>
        <v>2</v>
      </c>
      <c r="F332" t="str">
        <f>VLOOKUP($E332,categories!$A$1:$B$8,MATCH(order_items!$F$1,categories!$A$1:$B$1,0),FALSE)</f>
        <v>Comfort Bicycles</v>
      </c>
      <c r="G332">
        <v>2</v>
      </c>
      <c r="H332">
        <v>549.99</v>
      </c>
      <c r="I332" s="5">
        <v>0.1</v>
      </c>
      <c r="J332">
        <f t="shared" si="10"/>
        <v>989.98200000000008</v>
      </c>
      <c r="K332" s="9">
        <f t="shared" si="11"/>
        <v>-0.48993857929220308</v>
      </c>
    </row>
    <row r="333" spans="1:11" x14ac:dyDescent="0.3">
      <c r="A333">
        <v>113</v>
      </c>
      <c r="B333">
        <v>3</v>
      </c>
      <c r="C333">
        <v>6</v>
      </c>
      <c r="D333" t="str">
        <f>VLOOKUP($C333,products!$A$1:$F$322,MATCH(order_items!$D$1,products!$A$1:$F$1,0),FALSE)</f>
        <v>Surly Ice Cream Truck Frameset - 2016</v>
      </c>
      <c r="E333">
        <f>VLOOKUP($C333,products!$A$1:$F$322,MATCH(order_items!$E$1,products!$A$1:$F$1,0),FALSE)</f>
        <v>6</v>
      </c>
      <c r="F333" t="str">
        <f>VLOOKUP($E333,categories!$A$1:$B$8,MATCH(order_items!$F$1,categories!$A$1:$B$1,0),FALSE)</f>
        <v>Mountain Bikes</v>
      </c>
      <c r="G333">
        <v>1</v>
      </c>
      <c r="H333">
        <v>469.99</v>
      </c>
      <c r="I333" s="5">
        <v>7.0000000000000007E-2</v>
      </c>
      <c r="J333">
        <f t="shared" si="10"/>
        <v>437.09069999999997</v>
      </c>
      <c r="K333" s="9">
        <f t="shared" si="11"/>
        <v>-0.5490815238530955</v>
      </c>
    </row>
    <row r="334" spans="1:11" x14ac:dyDescent="0.3">
      <c r="A334">
        <v>113</v>
      </c>
      <c r="B334">
        <v>4</v>
      </c>
      <c r="C334">
        <v>23</v>
      </c>
      <c r="D334" t="str">
        <f>VLOOKUP($C334,products!$A$1:$F$322,MATCH(order_items!$D$1,products!$A$1:$F$1,0),FALSE)</f>
        <v>Electra Girl's Hawaii 1 (20-inch) - 2015/2016</v>
      </c>
      <c r="E334">
        <f>VLOOKUP($C334,products!$A$1:$F$322,MATCH(order_items!$E$1,products!$A$1:$F$1,0),FALSE)</f>
        <v>1</v>
      </c>
      <c r="F334" t="str">
        <f>VLOOKUP($E334,categories!$A$1:$B$8,MATCH(order_items!$F$1,categories!$A$1:$B$1,0),FALSE)</f>
        <v>Children Bicycles</v>
      </c>
      <c r="G334">
        <v>1</v>
      </c>
      <c r="H334">
        <v>299.99</v>
      </c>
      <c r="I334" s="5">
        <v>0.2</v>
      </c>
      <c r="J334">
        <f t="shared" si="10"/>
        <v>239.99200000000002</v>
      </c>
      <c r="K334" s="9">
        <f t="shared" si="11"/>
        <v>-0.67476028104499197</v>
      </c>
    </row>
    <row r="335" spans="1:11" x14ac:dyDescent="0.3">
      <c r="A335">
        <v>113</v>
      </c>
      <c r="B335">
        <v>5</v>
      </c>
      <c r="C335">
        <v>5</v>
      </c>
      <c r="D335" t="str">
        <f>VLOOKUP($C335,products!$A$1:$F$322,MATCH(order_items!$D$1,products!$A$1:$F$1,0),FALSE)</f>
        <v>Heller Shagamaw Frame - 2016</v>
      </c>
      <c r="E335">
        <f>VLOOKUP($C335,products!$A$1:$F$322,MATCH(order_items!$E$1,products!$A$1:$F$1,0),FALSE)</f>
        <v>6</v>
      </c>
      <c r="F335" t="str">
        <f>VLOOKUP($E335,categories!$A$1:$B$8,MATCH(order_items!$F$1,categories!$A$1:$B$1,0),FALSE)</f>
        <v>Mountain Bikes</v>
      </c>
      <c r="G335">
        <v>2</v>
      </c>
      <c r="H335">
        <v>1320.99</v>
      </c>
      <c r="I335" s="5">
        <v>0.2</v>
      </c>
      <c r="J335">
        <f t="shared" si="10"/>
        <v>2113.5840000000003</v>
      </c>
      <c r="K335" s="9">
        <f t="shared" si="11"/>
        <v>8.0051548913398024E-2</v>
      </c>
    </row>
    <row r="336" spans="1:11" x14ac:dyDescent="0.3">
      <c r="A336">
        <v>114</v>
      </c>
      <c r="B336">
        <v>1</v>
      </c>
      <c r="C336">
        <v>12</v>
      </c>
      <c r="D336" t="str">
        <f>VLOOKUP($C336,products!$A$1:$F$322,MATCH(order_items!$D$1,products!$A$1:$F$1,0),FALSE)</f>
        <v>Electra Townie Original 21D - 2016</v>
      </c>
      <c r="E336">
        <f>VLOOKUP($C336,products!$A$1:$F$322,MATCH(order_items!$E$1,products!$A$1:$F$1,0),FALSE)</f>
        <v>3</v>
      </c>
      <c r="F336" t="str">
        <f>VLOOKUP($E336,categories!$A$1:$B$8,MATCH(order_items!$F$1,categories!$A$1:$B$1,0),FALSE)</f>
        <v>Cruisers Bicycles</v>
      </c>
      <c r="G336">
        <v>1</v>
      </c>
      <c r="H336">
        <v>549.99</v>
      </c>
      <c r="I336" s="5">
        <v>0.05</v>
      </c>
      <c r="J336">
        <f t="shared" si="10"/>
        <v>522.4905</v>
      </c>
      <c r="K336" s="9">
        <f t="shared" si="11"/>
        <v>-0.48993857929220308</v>
      </c>
    </row>
    <row r="337" spans="1:11" x14ac:dyDescent="0.3">
      <c r="A337">
        <v>114</v>
      </c>
      <c r="B337">
        <v>2</v>
      </c>
      <c r="C337">
        <v>2</v>
      </c>
      <c r="D337" t="str">
        <f>VLOOKUP($C337,products!$A$1:$F$322,MATCH(order_items!$D$1,products!$A$1:$F$1,0),FALSE)</f>
        <v>Ritchey Timberwolf Frameset - 2016</v>
      </c>
      <c r="E337">
        <f>VLOOKUP($C337,products!$A$1:$F$322,MATCH(order_items!$E$1,products!$A$1:$F$1,0),FALSE)</f>
        <v>6</v>
      </c>
      <c r="F337" t="str">
        <f>VLOOKUP($E337,categories!$A$1:$B$8,MATCH(order_items!$F$1,categories!$A$1:$B$1,0),FALSE)</f>
        <v>Mountain Bikes</v>
      </c>
      <c r="G337">
        <v>1</v>
      </c>
      <c r="H337">
        <v>749.99</v>
      </c>
      <c r="I337" s="5">
        <v>7.0000000000000007E-2</v>
      </c>
      <c r="J337">
        <f t="shared" si="10"/>
        <v>697.49069999999995</v>
      </c>
      <c r="K337" s="9">
        <f t="shared" si="11"/>
        <v>-0.34208121788997192</v>
      </c>
    </row>
    <row r="338" spans="1:11" x14ac:dyDescent="0.3">
      <c r="A338">
        <v>114</v>
      </c>
      <c r="B338">
        <v>3</v>
      </c>
      <c r="C338">
        <v>13</v>
      </c>
      <c r="D338" t="str">
        <f>VLOOKUP($C338,products!$A$1:$F$322,MATCH(order_items!$D$1,products!$A$1:$F$1,0),FALSE)</f>
        <v>Electra Cruiser 1 (24-Inch) - 2016</v>
      </c>
      <c r="E338">
        <f>VLOOKUP($C338,products!$A$1:$F$322,MATCH(order_items!$E$1,products!$A$1:$F$1,0),FALSE)</f>
        <v>3</v>
      </c>
      <c r="F338" t="str">
        <f>VLOOKUP($E338,categories!$A$1:$B$8,MATCH(order_items!$F$1,categories!$A$1:$B$1,0),FALSE)</f>
        <v>Cruisers Bicycles</v>
      </c>
      <c r="G338">
        <v>2</v>
      </c>
      <c r="H338">
        <v>269.99</v>
      </c>
      <c r="I338" s="5">
        <v>0.1</v>
      </c>
      <c r="J338">
        <f t="shared" si="10"/>
        <v>485.98200000000003</v>
      </c>
      <c r="K338" s="9">
        <f t="shared" si="11"/>
        <v>-0.69693888525532666</v>
      </c>
    </row>
    <row r="339" spans="1:11" x14ac:dyDescent="0.3">
      <c r="A339">
        <v>115</v>
      </c>
      <c r="B339">
        <v>1</v>
      </c>
      <c r="C339">
        <v>22</v>
      </c>
      <c r="D339" t="str">
        <f>VLOOKUP($C339,products!$A$1:$F$322,MATCH(order_items!$D$1,products!$A$1:$F$1,0),FALSE)</f>
        <v>Electra Girl's Hawaii 1 (16-inch) - 2015/2016</v>
      </c>
      <c r="E339">
        <f>VLOOKUP($C339,products!$A$1:$F$322,MATCH(order_items!$E$1,products!$A$1:$F$1,0),FALSE)</f>
        <v>1</v>
      </c>
      <c r="F339" t="str">
        <f>VLOOKUP($E339,categories!$A$1:$B$8,MATCH(order_items!$F$1,categories!$A$1:$B$1,0),FALSE)</f>
        <v>Children Bicycles</v>
      </c>
      <c r="G339">
        <v>1</v>
      </c>
      <c r="H339">
        <v>269.99</v>
      </c>
      <c r="I339" s="5">
        <v>0.2</v>
      </c>
      <c r="J339">
        <f t="shared" si="10"/>
        <v>215.99200000000002</v>
      </c>
      <c r="K339" s="9">
        <f t="shared" si="11"/>
        <v>-0.69693888525532666</v>
      </c>
    </row>
    <row r="340" spans="1:11" x14ac:dyDescent="0.3">
      <c r="A340">
        <v>115</v>
      </c>
      <c r="B340">
        <v>2</v>
      </c>
      <c r="C340">
        <v>19</v>
      </c>
      <c r="D340" t="str">
        <f>VLOOKUP($C340,products!$A$1:$F$322,MATCH(order_items!$D$1,products!$A$1:$F$1,0),FALSE)</f>
        <v>Pure Cycles William 3-Speed - 2016</v>
      </c>
      <c r="E340">
        <f>VLOOKUP($C340,products!$A$1:$F$322,MATCH(order_items!$E$1,products!$A$1:$F$1,0),FALSE)</f>
        <v>3</v>
      </c>
      <c r="F340" t="str">
        <f>VLOOKUP($E340,categories!$A$1:$B$8,MATCH(order_items!$F$1,categories!$A$1:$B$1,0),FALSE)</f>
        <v>Cruisers Bicycles</v>
      </c>
      <c r="G340">
        <v>1</v>
      </c>
      <c r="H340">
        <v>449</v>
      </c>
      <c r="I340" s="5">
        <v>0.1</v>
      </c>
      <c r="J340">
        <f t="shared" si="10"/>
        <v>404.1</v>
      </c>
      <c r="K340" s="9">
        <f t="shared" si="11"/>
        <v>-0.56459915393225968</v>
      </c>
    </row>
    <row r="341" spans="1:11" x14ac:dyDescent="0.3">
      <c r="A341">
        <v>116</v>
      </c>
      <c r="B341">
        <v>1</v>
      </c>
      <c r="C341">
        <v>26</v>
      </c>
      <c r="D341" t="str">
        <f>VLOOKUP($C341,products!$A$1:$F$322,MATCH(order_items!$D$1,products!$A$1:$F$1,0),FALSE)</f>
        <v>Electra Townie Original 7D EQ - 2016</v>
      </c>
      <c r="E341">
        <f>VLOOKUP($C341,products!$A$1:$F$322,MATCH(order_items!$E$1,products!$A$1:$F$1,0),FALSE)</f>
        <v>2</v>
      </c>
      <c r="F341" t="str">
        <f>VLOOKUP($E341,categories!$A$1:$B$8,MATCH(order_items!$F$1,categories!$A$1:$B$1,0),FALSE)</f>
        <v>Comfort Bicycles</v>
      </c>
      <c r="G341">
        <v>1</v>
      </c>
      <c r="H341">
        <v>599.99</v>
      </c>
      <c r="I341" s="5">
        <v>0.05</v>
      </c>
      <c r="J341">
        <f t="shared" si="10"/>
        <v>569.9905</v>
      </c>
      <c r="K341" s="9">
        <f t="shared" si="11"/>
        <v>-0.45297423894164529</v>
      </c>
    </row>
    <row r="342" spans="1:11" x14ac:dyDescent="0.3">
      <c r="A342">
        <v>117</v>
      </c>
      <c r="B342">
        <v>1</v>
      </c>
      <c r="C342">
        <v>22</v>
      </c>
      <c r="D342" t="str">
        <f>VLOOKUP($C342,products!$A$1:$F$322,MATCH(order_items!$D$1,products!$A$1:$F$1,0),FALSE)</f>
        <v>Electra Girl's Hawaii 1 (16-inch) - 2015/2016</v>
      </c>
      <c r="E342">
        <f>VLOOKUP($C342,products!$A$1:$F$322,MATCH(order_items!$E$1,products!$A$1:$F$1,0),FALSE)</f>
        <v>1</v>
      </c>
      <c r="F342" t="str">
        <f>VLOOKUP($E342,categories!$A$1:$B$8,MATCH(order_items!$F$1,categories!$A$1:$B$1,0),FALSE)</f>
        <v>Children Bicycles</v>
      </c>
      <c r="G342">
        <v>2</v>
      </c>
      <c r="H342">
        <v>269.99</v>
      </c>
      <c r="I342" s="5">
        <v>0.2</v>
      </c>
      <c r="J342">
        <f t="shared" si="10"/>
        <v>431.98400000000004</v>
      </c>
      <c r="K342" s="9">
        <f t="shared" si="11"/>
        <v>-0.69693888525532666</v>
      </c>
    </row>
    <row r="343" spans="1:11" x14ac:dyDescent="0.3">
      <c r="A343">
        <v>117</v>
      </c>
      <c r="B343">
        <v>2</v>
      </c>
      <c r="C343">
        <v>26</v>
      </c>
      <c r="D343" t="str">
        <f>VLOOKUP($C343,products!$A$1:$F$322,MATCH(order_items!$D$1,products!$A$1:$F$1,0),FALSE)</f>
        <v>Electra Townie Original 7D EQ - 2016</v>
      </c>
      <c r="E343">
        <f>VLOOKUP($C343,products!$A$1:$F$322,MATCH(order_items!$E$1,products!$A$1:$F$1,0),FALSE)</f>
        <v>2</v>
      </c>
      <c r="F343" t="str">
        <f>VLOOKUP($E343,categories!$A$1:$B$8,MATCH(order_items!$F$1,categories!$A$1:$B$1,0),FALSE)</f>
        <v>Comfort Bicycles</v>
      </c>
      <c r="G343">
        <v>1</v>
      </c>
      <c r="H343">
        <v>599.99</v>
      </c>
      <c r="I343" s="5">
        <v>0.05</v>
      </c>
      <c r="J343">
        <f t="shared" si="10"/>
        <v>569.9905</v>
      </c>
      <c r="K343" s="9">
        <f t="shared" si="11"/>
        <v>-0.45297423894164529</v>
      </c>
    </row>
    <row r="344" spans="1:11" x14ac:dyDescent="0.3">
      <c r="A344">
        <v>117</v>
      </c>
      <c r="B344">
        <v>3</v>
      </c>
      <c r="C344">
        <v>14</v>
      </c>
      <c r="D344" t="str">
        <f>VLOOKUP($C344,products!$A$1:$F$322,MATCH(order_items!$D$1,products!$A$1:$F$1,0),FALSE)</f>
        <v>Electra Girl's Hawaii 1 (16-inch) - 2015/2016</v>
      </c>
      <c r="E344">
        <f>VLOOKUP($C344,products!$A$1:$F$322,MATCH(order_items!$E$1,products!$A$1:$F$1,0),FALSE)</f>
        <v>3</v>
      </c>
      <c r="F344" t="str">
        <f>VLOOKUP($E344,categories!$A$1:$B$8,MATCH(order_items!$F$1,categories!$A$1:$B$1,0),FALSE)</f>
        <v>Cruisers Bicycles</v>
      </c>
      <c r="G344">
        <v>1</v>
      </c>
      <c r="H344">
        <v>269.99</v>
      </c>
      <c r="I344" s="5">
        <v>0.2</v>
      </c>
      <c r="J344">
        <f t="shared" si="10"/>
        <v>215.99200000000002</v>
      </c>
      <c r="K344" s="9">
        <f t="shared" si="11"/>
        <v>-0.69693888525532666</v>
      </c>
    </row>
    <row r="345" spans="1:11" x14ac:dyDescent="0.3">
      <c r="A345">
        <v>117</v>
      </c>
      <c r="B345">
        <v>4</v>
      </c>
      <c r="C345">
        <v>19</v>
      </c>
      <c r="D345" t="str">
        <f>VLOOKUP($C345,products!$A$1:$F$322,MATCH(order_items!$D$1,products!$A$1:$F$1,0),FALSE)</f>
        <v>Pure Cycles William 3-Speed - 2016</v>
      </c>
      <c r="E345">
        <f>VLOOKUP($C345,products!$A$1:$F$322,MATCH(order_items!$E$1,products!$A$1:$F$1,0),FALSE)</f>
        <v>3</v>
      </c>
      <c r="F345" t="str">
        <f>VLOOKUP($E345,categories!$A$1:$B$8,MATCH(order_items!$F$1,categories!$A$1:$B$1,0),FALSE)</f>
        <v>Cruisers Bicycles</v>
      </c>
      <c r="G345">
        <v>1</v>
      </c>
      <c r="H345">
        <v>449</v>
      </c>
      <c r="I345" s="5">
        <v>0.05</v>
      </c>
      <c r="J345">
        <f t="shared" si="10"/>
        <v>426.54999999999995</v>
      </c>
      <c r="K345" s="9">
        <f t="shared" si="11"/>
        <v>-0.56459915393225968</v>
      </c>
    </row>
    <row r="346" spans="1:11" x14ac:dyDescent="0.3">
      <c r="A346">
        <v>118</v>
      </c>
      <c r="B346">
        <v>1</v>
      </c>
      <c r="C346">
        <v>18</v>
      </c>
      <c r="D346" t="str">
        <f>VLOOKUP($C346,products!$A$1:$F$322,MATCH(order_items!$D$1,products!$A$1:$F$1,0),FALSE)</f>
        <v>Pure Cycles Western 3-Speed - Women's - 2015/2016</v>
      </c>
      <c r="E346">
        <f>VLOOKUP($C346,products!$A$1:$F$322,MATCH(order_items!$E$1,products!$A$1:$F$1,0),FALSE)</f>
        <v>3</v>
      </c>
      <c r="F346" t="str">
        <f>VLOOKUP($E346,categories!$A$1:$B$8,MATCH(order_items!$F$1,categories!$A$1:$B$1,0),FALSE)</f>
        <v>Cruisers Bicycles</v>
      </c>
      <c r="G346">
        <v>1</v>
      </c>
      <c r="H346">
        <v>449</v>
      </c>
      <c r="I346" s="5">
        <v>7.0000000000000007E-2</v>
      </c>
      <c r="J346">
        <f t="shared" si="10"/>
        <v>417.57</v>
      </c>
      <c r="K346" s="9">
        <f t="shared" si="11"/>
        <v>-0.56459915393225968</v>
      </c>
    </row>
    <row r="347" spans="1:11" x14ac:dyDescent="0.3">
      <c r="A347">
        <v>118</v>
      </c>
      <c r="B347">
        <v>2</v>
      </c>
      <c r="C347">
        <v>4</v>
      </c>
      <c r="D347" t="str">
        <f>VLOOKUP($C347,products!$A$1:$F$322,MATCH(order_items!$D$1,products!$A$1:$F$1,0),FALSE)</f>
        <v>Trek Fuel EX 8 29 - 2016</v>
      </c>
      <c r="E347">
        <f>VLOOKUP($C347,products!$A$1:$F$322,MATCH(order_items!$E$1,products!$A$1:$F$1,0),FALSE)</f>
        <v>6</v>
      </c>
      <c r="F347" t="str">
        <f>VLOOKUP($E347,categories!$A$1:$B$8,MATCH(order_items!$F$1,categories!$A$1:$B$1,0),FALSE)</f>
        <v>Mountain Bikes</v>
      </c>
      <c r="G347">
        <v>1</v>
      </c>
      <c r="H347">
        <v>2899.99</v>
      </c>
      <c r="I347" s="5">
        <v>7.0000000000000007E-2</v>
      </c>
      <c r="J347">
        <f t="shared" si="10"/>
        <v>2696.9906999999998</v>
      </c>
      <c r="K347" s="9">
        <f t="shared" si="11"/>
        <v>1.2473854171840129</v>
      </c>
    </row>
    <row r="348" spans="1:11" x14ac:dyDescent="0.3">
      <c r="A348">
        <v>118</v>
      </c>
      <c r="B348">
        <v>3</v>
      </c>
      <c r="C348">
        <v>6</v>
      </c>
      <c r="D348" t="str">
        <f>VLOOKUP($C348,products!$A$1:$F$322,MATCH(order_items!$D$1,products!$A$1:$F$1,0),FALSE)</f>
        <v>Surly Ice Cream Truck Frameset - 2016</v>
      </c>
      <c r="E348">
        <f>VLOOKUP($C348,products!$A$1:$F$322,MATCH(order_items!$E$1,products!$A$1:$F$1,0),FALSE)</f>
        <v>6</v>
      </c>
      <c r="F348" t="str">
        <f>VLOOKUP($E348,categories!$A$1:$B$8,MATCH(order_items!$F$1,categories!$A$1:$B$1,0),FALSE)</f>
        <v>Mountain Bikes</v>
      </c>
      <c r="G348">
        <v>1</v>
      </c>
      <c r="H348">
        <v>469.99</v>
      </c>
      <c r="I348" s="5">
        <v>7.0000000000000007E-2</v>
      </c>
      <c r="J348">
        <f t="shared" si="10"/>
        <v>437.09069999999997</v>
      </c>
      <c r="K348" s="9">
        <f t="shared" si="11"/>
        <v>-0.5490815238530955</v>
      </c>
    </row>
    <row r="349" spans="1:11" x14ac:dyDescent="0.3">
      <c r="A349">
        <v>118</v>
      </c>
      <c r="B349">
        <v>4</v>
      </c>
      <c r="C349">
        <v>3</v>
      </c>
      <c r="D349" t="str">
        <f>VLOOKUP($C349,products!$A$1:$F$322,MATCH(order_items!$D$1,products!$A$1:$F$1,0),FALSE)</f>
        <v>Surly Wednesday Frameset - 2016</v>
      </c>
      <c r="E349">
        <f>VLOOKUP($C349,products!$A$1:$F$322,MATCH(order_items!$E$1,products!$A$1:$F$1,0),FALSE)</f>
        <v>6</v>
      </c>
      <c r="F349" t="str">
        <f>VLOOKUP($E349,categories!$A$1:$B$8,MATCH(order_items!$F$1,categories!$A$1:$B$1,0),FALSE)</f>
        <v>Mountain Bikes</v>
      </c>
      <c r="G349">
        <v>2</v>
      </c>
      <c r="H349">
        <v>999.99</v>
      </c>
      <c r="I349" s="5">
        <v>0.1</v>
      </c>
      <c r="J349">
        <f t="shared" si="10"/>
        <v>1799.982</v>
      </c>
      <c r="K349" s="9">
        <f t="shared" si="11"/>
        <v>-0.15725951613718298</v>
      </c>
    </row>
    <row r="350" spans="1:11" x14ac:dyDescent="0.3">
      <c r="A350">
        <v>118</v>
      </c>
      <c r="B350">
        <v>5</v>
      </c>
      <c r="C350">
        <v>23</v>
      </c>
      <c r="D350" t="str">
        <f>VLOOKUP($C350,products!$A$1:$F$322,MATCH(order_items!$D$1,products!$A$1:$F$1,0),FALSE)</f>
        <v>Electra Girl's Hawaii 1 (20-inch) - 2015/2016</v>
      </c>
      <c r="E350">
        <f>VLOOKUP($C350,products!$A$1:$F$322,MATCH(order_items!$E$1,products!$A$1:$F$1,0),FALSE)</f>
        <v>1</v>
      </c>
      <c r="F350" t="str">
        <f>VLOOKUP($E350,categories!$A$1:$B$8,MATCH(order_items!$F$1,categories!$A$1:$B$1,0),FALSE)</f>
        <v>Children Bicycles</v>
      </c>
      <c r="G350">
        <v>2</v>
      </c>
      <c r="H350">
        <v>299.99</v>
      </c>
      <c r="I350" s="5">
        <v>7.0000000000000007E-2</v>
      </c>
      <c r="J350">
        <f t="shared" si="10"/>
        <v>557.98140000000001</v>
      </c>
      <c r="K350" s="9">
        <f t="shared" si="11"/>
        <v>-0.67476028104499197</v>
      </c>
    </row>
    <row r="351" spans="1:11" x14ac:dyDescent="0.3">
      <c r="A351">
        <v>119</v>
      </c>
      <c r="B351">
        <v>1</v>
      </c>
      <c r="C351">
        <v>25</v>
      </c>
      <c r="D351" t="str">
        <f>VLOOKUP($C351,products!$A$1:$F$322,MATCH(order_items!$D$1,products!$A$1:$F$1,0),FALSE)</f>
        <v>Electra Townie Original 7D - 2015/2016</v>
      </c>
      <c r="E351">
        <f>VLOOKUP($C351,products!$A$1:$F$322,MATCH(order_items!$E$1,products!$A$1:$F$1,0),FALSE)</f>
        <v>2</v>
      </c>
      <c r="F351" t="str">
        <f>VLOOKUP($E351,categories!$A$1:$B$8,MATCH(order_items!$F$1,categories!$A$1:$B$1,0),FALSE)</f>
        <v>Comfort Bicycles</v>
      </c>
      <c r="G351">
        <v>1</v>
      </c>
      <c r="H351">
        <v>499.99</v>
      </c>
      <c r="I351" s="5">
        <v>0.05</v>
      </c>
      <c r="J351">
        <f t="shared" si="10"/>
        <v>474.9905</v>
      </c>
      <c r="K351" s="9">
        <f t="shared" si="11"/>
        <v>-0.52690291964276081</v>
      </c>
    </row>
    <row r="352" spans="1:11" x14ac:dyDescent="0.3">
      <c r="A352">
        <v>120</v>
      </c>
      <c r="B352">
        <v>1</v>
      </c>
      <c r="C352">
        <v>13</v>
      </c>
      <c r="D352" t="str">
        <f>VLOOKUP($C352,products!$A$1:$F$322,MATCH(order_items!$D$1,products!$A$1:$F$1,0),FALSE)</f>
        <v>Electra Cruiser 1 (24-Inch) - 2016</v>
      </c>
      <c r="E352">
        <f>VLOOKUP($C352,products!$A$1:$F$322,MATCH(order_items!$E$1,products!$A$1:$F$1,0),FALSE)</f>
        <v>3</v>
      </c>
      <c r="F352" t="str">
        <f>VLOOKUP($E352,categories!$A$1:$B$8,MATCH(order_items!$F$1,categories!$A$1:$B$1,0),FALSE)</f>
        <v>Cruisers Bicycles</v>
      </c>
      <c r="G352">
        <v>2</v>
      </c>
      <c r="H352">
        <v>269.99</v>
      </c>
      <c r="I352" s="5">
        <v>0.05</v>
      </c>
      <c r="J352">
        <f t="shared" si="10"/>
        <v>512.98099999999999</v>
      </c>
      <c r="K352" s="9">
        <f t="shared" si="11"/>
        <v>-0.69693888525532666</v>
      </c>
    </row>
    <row r="353" spans="1:11" x14ac:dyDescent="0.3">
      <c r="A353">
        <v>120</v>
      </c>
      <c r="B353">
        <v>2</v>
      </c>
      <c r="C353">
        <v>6</v>
      </c>
      <c r="D353" t="str">
        <f>VLOOKUP($C353,products!$A$1:$F$322,MATCH(order_items!$D$1,products!$A$1:$F$1,0),FALSE)</f>
        <v>Surly Ice Cream Truck Frameset - 2016</v>
      </c>
      <c r="E353">
        <f>VLOOKUP($C353,products!$A$1:$F$322,MATCH(order_items!$E$1,products!$A$1:$F$1,0),FALSE)</f>
        <v>6</v>
      </c>
      <c r="F353" t="str">
        <f>VLOOKUP($E353,categories!$A$1:$B$8,MATCH(order_items!$F$1,categories!$A$1:$B$1,0),FALSE)</f>
        <v>Mountain Bikes</v>
      </c>
      <c r="G353">
        <v>2</v>
      </c>
      <c r="H353">
        <v>469.99</v>
      </c>
      <c r="I353" s="5">
        <v>0.05</v>
      </c>
      <c r="J353">
        <f t="shared" si="10"/>
        <v>892.98099999999999</v>
      </c>
      <c r="K353" s="9">
        <f t="shared" si="11"/>
        <v>-0.5490815238530955</v>
      </c>
    </row>
    <row r="354" spans="1:11" x14ac:dyDescent="0.3">
      <c r="A354">
        <v>120</v>
      </c>
      <c r="B354">
        <v>3</v>
      </c>
      <c r="C354">
        <v>10</v>
      </c>
      <c r="D354" t="str">
        <f>VLOOKUP($C354,products!$A$1:$F$322,MATCH(order_items!$D$1,products!$A$1:$F$1,0),FALSE)</f>
        <v>Surly Straggler - 2016</v>
      </c>
      <c r="E354">
        <f>VLOOKUP($C354,products!$A$1:$F$322,MATCH(order_items!$E$1,products!$A$1:$F$1,0),FALSE)</f>
        <v>4</v>
      </c>
      <c r="F354" t="str">
        <f>VLOOKUP($E354,categories!$A$1:$B$8,MATCH(order_items!$F$1,categories!$A$1:$B$1,0),FALSE)</f>
        <v>Cyclocross Bicycles</v>
      </c>
      <c r="G354">
        <v>2</v>
      </c>
      <c r="H354">
        <v>1549</v>
      </c>
      <c r="I354" s="5">
        <v>0.05</v>
      </c>
      <c r="J354">
        <f t="shared" si="10"/>
        <v>2943.1</v>
      </c>
      <c r="K354" s="9">
        <f t="shared" si="11"/>
        <v>0.24861633378001166</v>
      </c>
    </row>
    <row r="355" spans="1:11" x14ac:dyDescent="0.3">
      <c r="A355">
        <v>120</v>
      </c>
      <c r="B355">
        <v>4</v>
      </c>
      <c r="C355">
        <v>17</v>
      </c>
      <c r="D355" t="str">
        <f>VLOOKUP($C355,products!$A$1:$F$322,MATCH(order_items!$D$1,products!$A$1:$F$1,0),FALSE)</f>
        <v>Pure Cycles Vine 8-Speed - 2016</v>
      </c>
      <c r="E355">
        <f>VLOOKUP($C355,products!$A$1:$F$322,MATCH(order_items!$E$1,products!$A$1:$F$1,0),FALSE)</f>
        <v>3</v>
      </c>
      <c r="F355" t="str">
        <f>VLOOKUP($E355,categories!$A$1:$B$8,MATCH(order_items!$F$1,categories!$A$1:$B$1,0),FALSE)</f>
        <v>Cruisers Bicycles</v>
      </c>
      <c r="G355">
        <v>1</v>
      </c>
      <c r="H355">
        <v>429</v>
      </c>
      <c r="I355" s="5">
        <v>0.05</v>
      </c>
      <c r="J355">
        <f t="shared" si="10"/>
        <v>407.54999999999995</v>
      </c>
      <c r="K355" s="9">
        <f t="shared" si="11"/>
        <v>-0.57938489007248284</v>
      </c>
    </row>
    <row r="356" spans="1:11" x14ac:dyDescent="0.3">
      <c r="A356">
        <v>120</v>
      </c>
      <c r="B356">
        <v>5</v>
      </c>
      <c r="C356">
        <v>16</v>
      </c>
      <c r="D356" t="str">
        <f>VLOOKUP($C356,products!$A$1:$F$322,MATCH(order_items!$D$1,products!$A$1:$F$1,0),FALSE)</f>
        <v>Electra Townie Original 7D EQ - 2016</v>
      </c>
      <c r="E356">
        <f>VLOOKUP($C356,products!$A$1:$F$322,MATCH(order_items!$E$1,products!$A$1:$F$1,0),FALSE)</f>
        <v>3</v>
      </c>
      <c r="F356" t="str">
        <f>VLOOKUP($E356,categories!$A$1:$B$8,MATCH(order_items!$F$1,categories!$A$1:$B$1,0),FALSE)</f>
        <v>Cruisers Bicycles</v>
      </c>
      <c r="G356">
        <v>2</v>
      </c>
      <c r="H356">
        <v>599.99</v>
      </c>
      <c r="I356" s="5">
        <v>0.2</v>
      </c>
      <c r="J356">
        <f t="shared" si="10"/>
        <v>959.98400000000004</v>
      </c>
      <c r="K356" s="9">
        <f t="shared" si="11"/>
        <v>-0.45297423894164529</v>
      </c>
    </row>
    <row r="357" spans="1:11" x14ac:dyDescent="0.3">
      <c r="A357">
        <v>121</v>
      </c>
      <c r="B357">
        <v>1</v>
      </c>
      <c r="C357">
        <v>5</v>
      </c>
      <c r="D357" t="str">
        <f>VLOOKUP($C357,products!$A$1:$F$322,MATCH(order_items!$D$1,products!$A$1:$F$1,0),FALSE)</f>
        <v>Heller Shagamaw Frame - 2016</v>
      </c>
      <c r="E357">
        <f>VLOOKUP($C357,products!$A$1:$F$322,MATCH(order_items!$E$1,products!$A$1:$F$1,0),FALSE)</f>
        <v>6</v>
      </c>
      <c r="F357" t="str">
        <f>VLOOKUP($E357,categories!$A$1:$B$8,MATCH(order_items!$F$1,categories!$A$1:$B$1,0),FALSE)</f>
        <v>Mountain Bikes</v>
      </c>
      <c r="G357">
        <v>1</v>
      </c>
      <c r="H357">
        <v>1320.99</v>
      </c>
      <c r="I357" s="5">
        <v>0.2</v>
      </c>
      <c r="J357">
        <f t="shared" si="10"/>
        <v>1056.7920000000001</v>
      </c>
      <c r="K357" s="9">
        <f t="shared" si="11"/>
        <v>8.0051548913398024E-2</v>
      </c>
    </row>
    <row r="358" spans="1:11" x14ac:dyDescent="0.3">
      <c r="A358">
        <v>121</v>
      </c>
      <c r="B358">
        <v>2</v>
      </c>
      <c r="C358">
        <v>14</v>
      </c>
      <c r="D358" t="str">
        <f>VLOOKUP($C358,products!$A$1:$F$322,MATCH(order_items!$D$1,products!$A$1:$F$1,0),FALSE)</f>
        <v>Electra Girl's Hawaii 1 (16-inch) - 2015/2016</v>
      </c>
      <c r="E358">
        <f>VLOOKUP($C358,products!$A$1:$F$322,MATCH(order_items!$E$1,products!$A$1:$F$1,0),FALSE)</f>
        <v>3</v>
      </c>
      <c r="F358" t="str">
        <f>VLOOKUP($E358,categories!$A$1:$B$8,MATCH(order_items!$F$1,categories!$A$1:$B$1,0),FALSE)</f>
        <v>Cruisers Bicycles</v>
      </c>
      <c r="G358">
        <v>2</v>
      </c>
      <c r="H358">
        <v>269.99</v>
      </c>
      <c r="I358" s="5">
        <v>0.1</v>
      </c>
      <c r="J358">
        <f t="shared" si="10"/>
        <v>485.98200000000003</v>
      </c>
      <c r="K358" s="9">
        <f t="shared" si="11"/>
        <v>-0.69693888525532666</v>
      </c>
    </row>
    <row r="359" spans="1:11" x14ac:dyDescent="0.3">
      <c r="A359">
        <v>121</v>
      </c>
      <c r="B359">
        <v>3</v>
      </c>
      <c r="C359">
        <v>4</v>
      </c>
      <c r="D359" t="str">
        <f>VLOOKUP($C359,products!$A$1:$F$322,MATCH(order_items!$D$1,products!$A$1:$F$1,0),FALSE)</f>
        <v>Trek Fuel EX 8 29 - 2016</v>
      </c>
      <c r="E359">
        <f>VLOOKUP($C359,products!$A$1:$F$322,MATCH(order_items!$E$1,products!$A$1:$F$1,0),FALSE)</f>
        <v>6</v>
      </c>
      <c r="F359" t="str">
        <f>VLOOKUP($E359,categories!$A$1:$B$8,MATCH(order_items!$F$1,categories!$A$1:$B$1,0),FALSE)</f>
        <v>Mountain Bikes</v>
      </c>
      <c r="G359">
        <v>2</v>
      </c>
      <c r="H359">
        <v>2899.99</v>
      </c>
      <c r="I359" s="5">
        <v>0.1</v>
      </c>
      <c r="J359">
        <f t="shared" si="10"/>
        <v>5219.982</v>
      </c>
      <c r="K359" s="9">
        <f t="shared" si="11"/>
        <v>1.2473854171840129</v>
      </c>
    </row>
    <row r="360" spans="1:11" x14ac:dyDescent="0.3">
      <c r="A360">
        <v>121</v>
      </c>
      <c r="B360">
        <v>4</v>
      </c>
      <c r="C360">
        <v>24</v>
      </c>
      <c r="D360" t="str">
        <f>VLOOKUP($C360,products!$A$1:$F$322,MATCH(order_items!$D$1,products!$A$1:$F$1,0),FALSE)</f>
        <v>Electra Townie Original 21D - 2016</v>
      </c>
      <c r="E360">
        <f>VLOOKUP($C360,products!$A$1:$F$322,MATCH(order_items!$E$1,products!$A$1:$F$1,0),FALSE)</f>
        <v>2</v>
      </c>
      <c r="F360" t="str">
        <f>VLOOKUP($E360,categories!$A$1:$B$8,MATCH(order_items!$F$1,categories!$A$1:$B$1,0),FALSE)</f>
        <v>Comfort Bicycles</v>
      </c>
      <c r="G360">
        <v>2</v>
      </c>
      <c r="H360">
        <v>549.99</v>
      </c>
      <c r="I360" s="5">
        <v>7.0000000000000007E-2</v>
      </c>
      <c r="J360">
        <f t="shared" si="10"/>
        <v>1022.9813999999999</v>
      </c>
      <c r="K360" s="9">
        <f t="shared" si="11"/>
        <v>-0.48993857929220308</v>
      </c>
    </row>
    <row r="361" spans="1:11" x14ac:dyDescent="0.3">
      <c r="A361">
        <v>121</v>
      </c>
      <c r="B361">
        <v>5</v>
      </c>
      <c r="C361">
        <v>2</v>
      </c>
      <c r="D361" t="str">
        <f>VLOOKUP($C361,products!$A$1:$F$322,MATCH(order_items!$D$1,products!$A$1:$F$1,0),FALSE)</f>
        <v>Ritchey Timberwolf Frameset - 2016</v>
      </c>
      <c r="E361">
        <f>VLOOKUP($C361,products!$A$1:$F$322,MATCH(order_items!$E$1,products!$A$1:$F$1,0),FALSE)</f>
        <v>6</v>
      </c>
      <c r="F361" t="str">
        <f>VLOOKUP($E361,categories!$A$1:$B$8,MATCH(order_items!$F$1,categories!$A$1:$B$1,0),FALSE)</f>
        <v>Mountain Bikes</v>
      </c>
      <c r="G361">
        <v>2</v>
      </c>
      <c r="H361">
        <v>749.99</v>
      </c>
      <c r="I361" s="5">
        <v>0.05</v>
      </c>
      <c r="J361">
        <f t="shared" si="10"/>
        <v>1424.981</v>
      </c>
      <c r="K361" s="9">
        <f t="shared" si="11"/>
        <v>-0.34208121788997192</v>
      </c>
    </row>
    <row r="362" spans="1:11" x14ac:dyDescent="0.3">
      <c r="A362">
        <v>122</v>
      </c>
      <c r="B362">
        <v>1</v>
      </c>
      <c r="C362">
        <v>16</v>
      </c>
      <c r="D362" t="str">
        <f>VLOOKUP($C362,products!$A$1:$F$322,MATCH(order_items!$D$1,products!$A$1:$F$1,0),FALSE)</f>
        <v>Electra Townie Original 7D EQ - 2016</v>
      </c>
      <c r="E362">
        <f>VLOOKUP($C362,products!$A$1:$F$322,MATCH(order_items!$E$1,products!$A$1:$F$1,0),FALSE)</f>
        <v>3</v>
      </c>
      <c r="F362" t="str">
        <f>VLOOKUP($E362,categories!$A$1:$B$8,MATCH(order_items!$F$1,categories!$A$1:$B$1,0),FALSE)</f>
        <v>Cruisers Bicycles</v>
      </c>
      <c r="G362">
        <v>1</v>
      </c>
      <c r="H362">
        <v>599.99</v>
      </c>
      <c r="I362" s="5">
        <v>0.1</v>
      </c>
      <c r="J362">
        <f t="shared" si="10"/>
        <v>539.99099999999999</v>
      </c>
      <c r="K362" s="9">
        <f t="shared" si="11"/>
        <v>-0.45297423894164529</v>
      </c>
    </row>
    <row r="363" spans="1:11" x14ac:dyDescent="0.3">
      <c r="A363">
        <v>123</v>
      </c>
      <c r="B363">
        <v>1</v>
      </c>
      <c r="C363">
        <v>12</v>
      </c>
      <c r="D363" t="str">
        <f>VLOOKUP($C363,products!$A$1:$F$322,MATCH(order_items!$D$1,products!$A$1:$F$1,0),FALSE)</f>
        <v>Electra Townie Original 21D - 2016</v>
      </c>
      <c r="E363">
        <f>VLOOKUP($C363,products!$A$1:$F$322,MATCH(order_items!$E$1,products!$A$1:$F$1,0),FALSE)</f>
        <v>3</v>
      </c>
      <c r="F363" t="str">
        <f>VLOOKUP($E363,categories!$A$1:$B$8,MATCH(order_items!$F$1,categories!$A$1:$B$1,0),FALSE)</f>
        <v>Cruisers Bicycles</v>
      </c>
      <c r="G363">
        <v>2</v>
      </c>
      <c r="H363">
        <v>549.99</v>
      </c>
      <c r="I363" s="5">
        <v>0.1</v>
      </c>
      <c r="J363">
        <f t="shared" si="10"/>
        <v>989.98200000000008</v>
      </c>
      <c r="K363" s="9">
        <f t="shared" si="11"/>
        <v>-0.48993857929220308</v>
      </c>
    </row>
    <row r="364" spans="1:11" x14ac:dyDescent="0.3">
      <c r="A364">
        <v>124</v>
      </c>
      <c r="B364">
        <v>1</v>
      </c>
      <c r="C364">
        <v>16</v>
      </c>
      <c r="D364" t="str">
        <f>VLOOKUP($C364,products!$A$1:$F$322,MATCH(order_items!$D$1,products!$A$1:$F$1,0),FALSE)</f>
        <v>Electra Townie Original 7D EQ - 2016</v>
      </c>
      <c r="E364">
        <f>VLOOKUP($C364,products!$A$1:$F$322,MATCH(order_items!$E$1,products!$A$1:$F$1,0),FALSE)</f>
        <v>3</v>
      </c>
      <c r="F364" t="str">
        <f>VLOOKUP($E364,categories!$A$1:$B$8,MATCH(order_items!$F$1,categories!$A$1:$B$1,0),FALSE)</f>
        <v>Cruisers Bicycles</v>
      </c>
      <c r="G364">
        <v>1</v>
      </c>
      <c r="H364">
        <v>599.99</v>
      </c>
      <c r="I364" s="5">
        <v>0.05</v>
      </c>
      <c r="J364">
        <f t="shared" si="10"/>
        <v>569.9905</v>
      </c>
      <c r="K364" s="9">
        <f t="shared" si="11"/>
        <v>-0.45297423894164529</v>
      </c>
    </row>
    <row r="365" spans="1:11" x14ac:dyDescent="0.3">
      <c r="A365">
        <v>124</v>
      </c>
      <c r="B365">
        <v>2</v>
      </c>
      <c r="C365">
        <v>4</v>
      </c>
      <c r="D365" t="str">
        <f>VLOOKUP($C365,products!$A$1:$F$322,MATCH(order_items!$D$1,products!$A$1:$F$1,0),FALSE)</f>
        <v>Trek Fuel EX 8 29 - 2016</v>
      </c>
      <c r="E365">
        <f>VLOOKUP($C365,products!$A$1:$F$322,MATCH(order_items!$E$1,products!$A$1:$F$1,0),FALSE)</f>
        <v>6</v>
      </c>
      <c r="F365" t="str">
        <f>VLOOKUP($E365,categories!$A$1:$B$8,MATCH(order_items!$F$1,categories!$A$1:$B$1,0),FALSE)</f>
        <v>Mountain Bikes</v>
      </c>
      <c r="G365">
        <v>1</v>
      </c>
      <c r="H365">
        <v>2899.99</v>
      </c>
      <c r="I365" s="5">
        <v>7.0000000000000007E-2</v>
      </c>
      <c r="J365">
        <f t="shared" si="10"/>
        <v>2696.9906999999998</v>
      </c>
      <c r="K365" s="9">
        <f t="shared" si="11"/>
        <v>1.2473854171840129</v>
      </c>
    </row>
    <row r="366" spans="1:11" x14ac:dyDescent="0.3">
      <c r="A366">
        <v>124</v>
      </c>
      <c r="B366">
        <v>3</v>
      </c>
      <c r="C366">
        <v>7</v>
      </c>
      <c r="D366" t="str">
        <f>VLOOKUP($C366,products!$A$1:$F$322,MATCH(order_items!$D$1,products!$A$1:$F$1,0),FALSE)</f>
        <v>Trek Slash 8 27.5 - 2016</v>
      </c>
      <c r="E366">
        <f>VLOOKUP($C366,products!$A$1:$F$322,MATCH(order_items!$E$1,products!$A$1:$F$1,0),FALSE)</f>
        <v>6</v>
      </c>
      <c r="F366" t="str">
        <f>VLOOKUP($E366,categories!$A$1:$B$8,MATCH(order_items!$F$1,categories!$A$1:$B$1,0),FALSE)</f>
        <v>Mountain Bikes</v>
      </c>
      <c r="G366">
        <v>2</v>
      </c>
      <c r="H366">
        <v>3999.99</v>
      </c>
      <c r="I366" s="5">
        <v>0.05</v>
      </c>
      <c r="J366">
        <f t="shared" si="10"/>
        <v>7599.9809999999989</v>
      </c>
      <c r="K366" s="9">
        <f t="shared" si="11"/>
        <v>2.0606009048962846</v>
      </c>
    </row>
    <row r="367" spans="1:11" x14ac:dyDescent="0.3">
      <c r="A367">
        <v>125</v>
      </c>
      <c r="B367">
        <v>1</v>
      </c>
      <c r="C367">
        <v>17</v>
      </c>
      <c r="D367" t="str">
        <f>VLOOKUP($C367,products!$A$1:$F$322,MATCH(order_items!$D$1,products!$A$1:$F$1,0),FALSE)</f>
        <v>Pure Cycles Vine 8-Speed - 2016</v>
      </c>
      <c r="E367">
        <f>VLOOKUP($C367,products!$A$1:$F$322,MATCH(order_items!$E$1,products!$A$1:$F$1,0),FALSE)</f>
        <v>3</v>
      </c>
      <c r="F367" t="str">
        <f>VLOOKUP($E367,categories!$A$1:$B$8,MATCH(order_items!$F$1,categories!$A$1:$B$1,0),FALSE)</f>
        <v>Cruisers Bicycles</v>
      </c>
      <c r="G367">
        <v>1</v>
      </c>
      <c r="H367">
        <v>429</v>
      </c>
      <c r="I367" s="5">
        <v>0.1</v>
      </c>
      <c r="J367">
        <f t="shared" si="10"/>
        <v>386.1</v>
      </c>
      <c r="K367" s="9">
        <f t="shared" si="11"/>
        <v>-0.57938489007248284</v>
      </c>
    </row>
    <row r="368" spans="1:11" x14ac:dyDescent="0.3">
      <c r="A368">
        <v>126</v>
      </c>
      <c r="B368">
        <v>1</v>
      </c>
      <c r="C368">
        <v>9</v>
      </c>
      <c r="D368" t="str">
        <f>VLOOKUP($C368,products!$A$1:$F$322,MATCH(order_items!$D$1,products!$A$1:$F$1,0),FALSE)</f>
        <v>Trek Conduit+ - 2016</v>
      </c>
      <c r="E368">
        <f>VLOOKUP($C368,products!$A$1:$F$322,MATCH(order_items!$E$1,products!$A$1:$F$1,0),FALSE)</f>
        <v>5</v>
      </c>
      <c r="F368" t="str">
        <f>VLOOKUP($E368,categories!$A$1:$B$8,MATCH(order_items!$F$1,categories!$A$1:$B$1,0),FALSE)</f>
        <v>Electric Bikes</v>
      </c>
      <c r="G368">
        <v>2</v>
      </c>
      <c r="H368">
        <v>2999.99</v>
      </c>
      <c r="I368" s="5">
        <v>0.05</v>
      </c>
      <c r="J368">
        <f t="shared" si="10"/>
        <v>5699.9809999999998</v>
      </c>
      <c r="K368" s="9">
        <f t="shared" si="11"/>
        <v>1.3213140978851283</v>
      </c>
    </row>
    <row r="369" spans="1:11" x14ac:dyDescent="0.3">
      <c r="A369">
        <v>127</v>
      </c>
      <c r="B369">
        <v>1</v>
      </c>
      <c r="C369">
        <v>17</v>
      </c>
      <c r="D369" t="str">
        <f>VLOOKUP($C369,products!$A$1:$F$322,MATCH(order_items!$D$1,products!$A$1:$F$1,0),FALSE)</f>
        <v>Pure Cycles Vine 8-Speed - 2016</v>
      </c>
      <c r="E369">
        <f>VLOOKUP($C369,products!$A$1:$F$322,MATCH(order_items!$E$1,products!$A$1:$F$1,0),FALSE)</f>
        <v>3</v>
      </c>
      <c r="F369" t="str">
        <f>VLOOKUP($E369,categories!$A$1:$B$8,MATCH(order_items!$F$1,categories!$A$1:$B$1,0),FALSE)</f>
        <v>Cruisers Bicycles</v>
      </c>
      <c r="G369">
        <v>1</v>
      </c>
      <c r="H369">
        <v>429</v>
      </c>
      <c r="I369" s="5">
        <v>7.0000000000000007E-2</v>
      </c>
      <c r="J369">
        <f t="shared" si="10"/>
        <v>398.96999999999997</v>
      </c>
      <c r="K369" s="9">
        <f t="shared" si="11"/>
        <v>-0.57938489007248284</v>
      </c>
    </row>
    <row r="370" spans="1:11" x14ac:dyDescent="0.3">
      <c r="A370">
        <v>127</v>
      </c>
      <c r="B370">
        <v>2</v>
      </c>
      <c r="C370">
        <v>20</v>
      </c>
      <c r="D370" t="str">
        <f>VLOOKUP($C370,products!$A$1:$F$322,MATCH(order_items!$D$1,products!$A$1:$F$1,0),FALSE)</f>
        <v>Electra Townie Original 7D EQ - Women's - 2016</v>
      </c>
      <c r="E370">
        <f>VLOOKUP($C370,products!$A$1:$F$322,MATCH(order_items!$E$1,products!$A$1:$F$1,0),FALSE)</f>
        <v>3</v>
      </c>
      <c r="F370" t="str">
        <f>VLOOKUP($E370,categories!$A$1:$B$8,MATCH(order_items!$F$1,categories!$A$1:$B$1,0),FALSE)</f>
        <v>Cruisers Bicycles</v>
      </c>
      <c r="G370">
        <v>1</v>
      </c>
      <c r="H370">
        <v>599.99</v>
      </c>
      <c r="I370" s="5">
        <v>0.1</v>
      </c>
      <c r="J370">
        <f t="shared" si="10"/>
        <v>539.99099999999999</v>
      </c>
      <c r="K370" s="9">
        <f t="shared" si="11"/>
        <v>-0.45297423894164529</v>
      </c>
    </row>
    <row r="371" spans="1:11" x14ac:dyDescent="0.3">
      <c r="A371">
        <v>127</v>
      </c>
      <c r="B371">
        <v>3</v>
      </c>
      <c r="C371">
        <v>4</v>
      </c>
      <c r="D371" t="str">
        <f>VLOOKUP($C371,products!$A$1:$F$322,MATCH(order_items!$D$1,products!$A$1:$F$1,0),FALSE)</f>
        <v>Trek Fuel EX 8 29 - 2016</v>
      </c>
      <c r="E371">
        <f>VLOOKUP($C371,products!$A$1:$F$322,MATCH(order_items!$E$1,products!$A$1:$F$1,0),FALSE)</f>
        <v>6</v>
      </c>
      <c r="F371" t="str">
        <f>VLOOKUP($E371,categories!$A$1:$B$8,MATCH(order_items!$F$1,categories!$A$1:$B$1,0),FALSE)</f>
        <v>Mountain Bikes</v>
      </c>
      <c r="G371">
        <v>2</v>
      </c>
      <c r="H371">
        <v>2899.99</v>
      </c>
      <c r="I371" s="5">
        <v>7.0000000000000007E-2</v>
      </c>
      <c r="J371">
        <f t="shared" si="10"/>
        <v>5393.9813999999997</v>
      </c>
      <c r="K371" s="9">
        <f t="shared" si="11"/>
        <v>1.2473854171840129</v>
      </c>
    </row>
    <row r="372" spans="1:11" x14ac:dyDescent="0.3">
      <c r="A372">
        <v>128</v>
      </c>
      <c r="B372">
        <v>1</v>
      </c>
      <c r="C372">
        <v>24</v>
      </c>
      <c r="D372" t="str">
        <f>VLOOKUP($C372,products!$A$1:$F$322,MATCH(order_items!$D$1,products!$A$1:$F$1,0),FALSE)</f>
        <v>Electra Townie Original 21D - 2016</v>
      </c>
      <c r="E372">
        <f>VLOOKUP($C372,products!$A$1:$F$322,MATCH(order_items!$E$1,products!$A$1:$F$1,0),FALSE)</f>
        <v>2</v>
      </c>
      <c r="F372" t="str">
        <f>VLOOKUP($E372,categories!$A$1:$B$8,MATCH(order_items!$F$1,categories!$A$1:$B$1,0),FALSE)</f>
        <v>Comfort Bicycles</v>
      </c>
      <c r="G372">
        <v>2</v>
      </c>
      <c r="H372">
        <v>549.99</v>
      </c>
      <c r="I372" s="5">
        <v>0.1</v>
      </c>
      <c r="J372">
        <f t="shared" si="10"/>
        <v>989.98200000000008</v>
      </c>
      <c r="K372" s="9">
        <f t="shared" si="11"/>
        <v>-0.48993857929220308</v>
      </c>
    </row>
    <row r="373" spans="1:11" x14ac:dyDescent="0.3">
      <c r="A373">
        <v>128</v>
      </c>
      <c r="B373">
        <v>2</v>
      </c>
      <c r="C373">
        <v>16</v>
      </c>
      <c r="D373" t="str">
        <f>VLOOKUP($C373,products!$A$1:$F$322,MATCH(order_items!$D$1,products!$A$1:$F$1,0),FALSE)</f>
        <v>Electra Townie Original 7D EQ - 2016</v>
      </c>
      <c r="E373">
        <f>VLOOKUP($C373,products!$A$1:$F$322,MATCH(order_items!$E$1,products!$A$1:$F$1,0),FALSE)</f>
        <v>3</v>
      </c>
      <c r="F373" t="str">
        <f>VLOOKUP($E373,categories!$A$1:$B$8,MATCH(order_items!$F$1,categories!$A$1:$B$1,0),FALSE)</f>
        <v>Cruisers Bicycles</v>
      </c>
      <c r="G373">
        <v>2</v>
      </c>
      <c r="H373">
        <v>599.99</v>
      </c>
      <c r="I373" s="5">
        <v>0.1</v>
      </c>
      <c r="J373">
        <f t="shared" si="10"/>
        <v>1079.982</v>
      </c>
      <c r="K373" s="9">
        <f t="shared" si="11"/>
        <v>-0.45297423894164529</v>
      </c>
    </row>
    <row r="374" spans="1:11" x14ac:dyDescent="0.3">
      <c r="A374">
        <v>128</v>
      </c>
      <c r="B374">
        <v>3</v>
      </c>
      <c r="C374">
        <v>4</v>
      </c>
      <c r="D374" t="str">
        <f>VLOOKUP($C374,products!$A$1:$F$322,MATCH(order_items!$D$1,products!$A$1:$F$1,0),FALSE)</f>
        <v>Trek Fuel EX 8 29 - 2016</v>
      </c>
      <c r="E374">
        <f>VLOOKUP($C374,products!$A$1:$F$322,MATCH(order_items!$E$1,products!$A$1:$F$1,0),FALSE)</f>
        <v>6</v>
      </c>
      <c r="F374" t="str">
        <f>VLOOKUP($E374,categories!$A$1:$B$8,MATCH(order_items!$F$1,categories!$A$1:$B$1,0),FALSE)</f>
        <v>Mountain Bikes</v>
      </c>
      <c r="G374">
        <v>2</v>
      </c>
      <c r="H374">
        <v>2899.99</v>
      </c>
      <c r="I374" s="5">
        <v>0.2</v>
      </c>
      <c r="J374">
        <f t="shared" si="10"/>
        <v>4639.9839999999995</v>
      </c>
      <c r="K374" s="9">
        <f t="shared" si="11"/>
        <v>1.2473854171840129</v>
      </c>
    </row>
    <row r="375" spans="1:11" x14ac:dyDescent="0.3">
      <c r="A375">
        <v>128</v>
      </c>
      <c r="B375">
        <v>4</v>
      </c>
      <c r="C375">
        <v>3</v>
      </c>
      <c r="D375" t="str">
        <f>VLOOKUP($C375,products!$A$1:$F$322,MATCH(order_items!$D$1,products!$A$1:$F$1,0),FALSE)</f>
        <v>Surly Wednesday Frameset - 2016</v>
      </c>
      <c r="E375">
        <f>VLOOKUP($C375,products!$A$1:$F$322,MATCH(order_items!$E$1,products!$A$1:$F$1,0),FALSE)</f>
        <v>6</v>
      </c>
      <c r="F375" t="str">
        <f>VLOOKUP($E375,categories!$A$1:$B$8,MATCH(order_items!$F$1,categories!$A$1:$B$1,0),FALSE)</f>
        <v>Mountain Bikes</v>
      </c>
      <c r="G375">
        <v>2</v>
      </c>
      <c r="H375">
        <v>999.99</v>
      </c>
      <c r="I375" s="5">
        <v>0.2</v>
      </c>
      <c r="J375">
        <f t="shared" si="10"/>
        <v>1599.9840000000002</v>
      </c>
      <c r="K375" s="9">
        <f t="shared" si="11"/>
        <v>-0.15725951613718298</v>
      </c>
    </row>
    <row r="376" spans="1:11" x14ac:dyDescent="0.3">
      <c r="A376">
        <v>129</v>
      </c>
      <c r="B376">
        <v>1</v>
      </c>
      <c r="C376">
        <v>18</v>
      </c>
      <c r="D376" t="str">
        <f>VLOOKUP($C376,products!$A$1:$F$322,MATCH(order_items!$D$1,products!$A$1:$F$1,0),FALSE)</f>
        <v>Pure Cycles Western 3-Speed - Women's - 2015/2016</v>
      </c>
      <c r="E376">
        <f>VLOOKUP($C376,products!$A$1:$F$322,MATCH(order_items!$E$1,products!$A$1:$F$1,0),FALSE)</f>
        <v>3</v>
      </c>
      <c r="F376" t="str">
        <f>VLOOKUP($E376,categories!$A$1:$B$8,MATCH(order_items!$F$1,categories!$A$1:$B$1,0),FALSE)</f>
        <v>Cruisers Bicycles</v>
      </c>
      <c r="G376">
        <v>1</v>
      </c>
      <c r="H376">
        <v>449</v>
      </c>
      <c r="I376" s="5">
        <v>0.1</v>
      </c>
      <c r="J376">
        <f t="shared" si="10"/>
        <v>404.1</v>
      </c>
      <c r="K376" s="9">
        <f t="shared" si="11"/>
        <v>-0.56459915393225968</v>
      </c>
    </row>
    <row r="377" spans="1:11" x14ac:dyDescent="0.3">
      <c r="A377">
        <v>129</v>
      </c>
      <c r="B377">
        <v>2</v>
      </c>
      <c r="C377">
        <v>9</v>
      </c>
      <c r="D377" t="str">
        <f>VLOOKUP($C377,products!$A$1:$F$322,MATCH(order_items!$D$1,products!$A$1:$F$1,0),FALSE)</f>
        <v>Trek Conduit+ - 2016</v>
      </c>
      <c r="E377">
        <f>VLOOKUP($C377,products!$A$1:$F$322,MATCH(order_items!$E$1,products!$A$1:$F$1,0),FALSE)</f>
        <v>5</v>
      </c>
      <c r="F377" t="str">
        <f>VLOOKUP($E377,categories!$A$1:$B$8,MATCH(order_items!$F$1,categories!$A$1:$B$1,0),FALSE)</f>
        <v>Electric Bikes</v>
      </c>
      <c r="G377">
        <v>1</v>
      </c>
      <c r="H377">
        <v>2999.99</v>
      </c>
      <c r="I377" s="5">
        <v>0.1</v>
      </c>
      <c r="J377">
        <f t="shared" si="10"/>
        <v>2699.991</v>
      </c>
      <c r="K377" s="9">
        <f t="shared" si="11"/>
        <v>1.3213140978851283</v>
      </c>
    </row>
    <row r="378" spans="1:11" x14ac:dyDescent="0.3">
      <c r="A378">
        <v>130</v>
      </c>
      <c r="B378">
        <v>1</v>
      </c>
      <c r="C378">
        <v>26</v>
      </c>
      <c r="D378" t="str">
        <f>VLOOKUP($C378,products!$A$1:$F$322,MATCH(order_items!$D$1,products!$A$1:$F$1,0),FALSE)</f>
        <v>Electra Townie Original 7D EQ - 2016</v>
      </c>
      <c r="E378">
        <f>VLOOKUP($C378,products!$A$1:$F$322,MATCH(order_items!$E$1,products!$A$1:$F$1,0),FALSE)</f>
        <v>2</v>
      </c>
      <c r="F378" t="str">
        <f>VLOOKUP($E378,categories!$A$1:$B$8,MATCH(order_items!$F$1,categories!$A$1:$B$1,0),FALSE)</f>
        <v>Comfort Bicycles</v>
      </c>
      <c r="G378">
        <v>1</v>
      </c>
      <c r="H378">
        <v>599.99</v>
      </c>
      <c r="I378" s="5">
        <v>0.05</v>
      </c>
      <c r="J378">
        <f t="shared" si="10"/>
        <v>569.9905</v>
      </c>
      <c r="K378" s="9">
        <f t="shared" si="11"/>
        <v>-0.45297423894164529</v>
      </c>
    </row>
    <row r="379" spans="1:11" x14ac:dyDescent="0.3">
      <c r="A379">
        <v>130</v>
      </c>
      <c r="B379">
        <v>2</v>
      </c>
      <c r="C379">
        <v>5</v>
      </c>
      <c r="D379" t="str">
        <f>VLOOKUP($C379,products!$A$1:$F$322,MATCH(order_items!$D$1,products!$A$1:$F$1,0),FALSE)</f>
        <v>Heller Shagamaw Frame - 2016</v>
      </c>
      <c r="E379">
        <f>VLOOKUP($C379,products!$A$1:$F$322,MATCH(order_items!$E$1,products!$A$1:$F$1,0),FALSE)</f>
        <v>6</v>
      </c>
      <c r="F379" t="str">
        <f>VLOOKUP($E379,categories!$A$1:$B$8,MATCH(order_items!$F$1,categories!$A$1:$B$1,0),FALSE)</f>
        <v>Mountain Bikes</v>
      </c>
      <c r="G379">
        <v>2</v>
      </c>
      <c r="H379">
        <v>1320.99</v>
      </c>
      <c r="I379" s="5">
        <v>7.0000000000000007E-2</v>
      </c>
      <c r="J379">
        <f t="shared" si="10"/>
        <v>2457.0414000000001</v>
      </c>
      <c r="K379" s="9">
        <f t="shared" si="11"/>
        <v>8.0051548913398024E-2</v>
      </c>
    </row>
    <row r="380" spans="1:11" x14ac:dyDescent="0.3">
      <c r="A380">
        <v>131</v>
      </c>
      <c r="B380">
        <v>1</v>
      </c>
      <c r="C380">
        <v>22</v>
      </c>
      <c r="D380" t="str">
        <f>VLOOKUP($C380,products!$A$1:$F$322,MATCH(order_items!$D$1,products!$A$1:$F$1,0),FALSE)</f>
        <v>Electra Girl's Hawaii 1 (16-inch) - 2015/2016</v>
      </c>
      <c r="E380">
        <f>VLOOKUP($C380,products!$A$1:$F$322,MATCH(order_items!$E$1,products!$A$1:$F$1,0),FALSE)</f>
        <v>1</v>
      </c>
      <c r="F380" t="str">
        <f>VLOOKUP($E380,categories!$A$1:$B$8,MATCH(order_items!$F$1,categories!$A$1:$B$1,0),FALSE)</f>
        <v>Children Bicycles</v>
      </c>
      <c r="G380">
        <v>2</v>
      </c>
      <c r="H380">
        <v>269.99</v>
      </c>
      <c r="I380" s="5">
        <v>0.2</v>
      </c>
      <c r="J380">
        <f t="shared" si="10"/>
        <v>431.98400000000004</v>
      </c>
      <c r="K380" s="9">
        <f t="shared" si="11"/>
        <v>-0.69693888525532666</v>
      </c>
    </row>
    <row r="381" spans="1:11" x14ac:dyDescent="0.3">
      <c r="A381">
        <v>131</v>
      </c>
      <c r="B381">
        <v>2</v>
      </c>
      <c r="C381">
        <v>4</v>
      </c>
      <c r="D381" t="str">
        <f>VLOOKUP($C381,products!$A$1:$F$322,MATCH(order_items!$D$1,products!$A$1:$F$1,0),FALSE)</f>
        <v>Trek Fuel EX 8 29 - 2016</v>
      </c>
      <c r="E381">
        <f>VLOOKUP($C381,products!$A$1:$F$322,MATCH(order_items!$E$1,products!$A$1:$F$1,0),FALSE)</f>
        <v>6</v>
      </c>
      <c r="F381" t="str">
        <f>VLOOKUP($E381,categories!$A$1:$B$8,MATCH(order_items!$F$1,categories!$A$1:$B$1,0),FALSE)</f>
        <v>Mountain Bikes</v>
      </c>
      <c r="G381">
        <v>2</v>
      </c>
      <c r="H381">
        <v>2899.99</v>
      </c>
      <c r="I381" s="5">
        <v>7.0000000000000007E-2</v>
      </c>
      <c r="J381">
        <f t="shared" si="10"/>
        <v>5393.9813999999997</v>
      </c>
      <c r="K381" s="9">
        <f t="shared" si="11"/>
        <v>1.2473854171840129</v>
      </c>
    </row>
    <row r="382" spans="1:11" x14ac:dyDescent="0.3">
      <c r="A382">
        <v>131</v>
      </c>
      <c r="B382">
        <v>3</v>
      </c>
      <c r="C382">
        <v>24</v>
      </c>
      <c r="D382" t="str">
        <f>VLOOKUP($C382,products!$A$1:$F$322,MATCH(order_items!$D$1,products!$A$1:$F$1,0),FALSE)</f>
        <v>Electra Townie Original 21D - 2016</v>
      </c>
      <c r="E382">
        <f>VLOOKUP($C382,products!$A$1:$F$322,MATCH(order_items!$E$1,products!$A$1:$F$1,0),FALSE)</f>
        <v>2</v>
      </c>
      <c r="F382" t="str">
        <f>VLOOKUP($E382,categories!$A$1:$B$8,MATCH(order_items!$F$1,categories!$A$1:$B$1,0),FALSE)</f>
        <v>Comfort Bicycles</v>
      </c>
      <c r="G382">
        <v>2</v>
      </c>
      <c r="H382">
        <v>549.99</v>
      </c>
      <c r="I382" s="5">
        <v>0.1</v>
      </c>
      <c r="J382">
        <f t="shared" si="10"/>
        <v>989.98200000000008</v>
      </c>
      <c r="K382" s="9">
        <f t="shared" si="11"/>
        <v>-0.48993857929220308</v>
      </c>
    </row>
    <row r="383" spans="1:11" x14ac:dyDescent="0.3">
      <c r="A383">
        <v>132</v>
      </c>
      <c r="B383">
        <v>1</v>
      </c>
      <c r="C383">
        <v>2</v>
      </c>
      <c r="D383" t="str">
        <f>VLOOKUP($C383,products!$A$1:$F$322,MATCH(order_items!$D$1,products!$A$1:$F$1,0),FALSE)</f>
        <v>Ritchey Timberwolf Frameset - 2016</v>
      </c>
      <c r="E383">
        <f>VLOOKUP($C383,products!$A$1:$F$322,MATCH(order_items!$E$1,products!$A$1:$F$1,0),FALSE)</f>
        <v>6</v>
      </c>
      <c r="F383" t="str">
        <f>VLOOKUP($E383,categories!$A$1:$B$8,MATCH(order_items!$F$1,categories!$A$1:$B$1,0),FALSE)</f>
        <v>Mountain Bikes</v>
      </c>
      <c r="G383">
        <v>2</v>
      </c>
      <c r="H383">
        <v>749.99</v>
      </c>
      <c r="I383" s="5">
        <v>0.05</v>
      </c>
      <c r="J383">
        <f t="shared" si="10"/>
        <v>1424.981</v>
      </c>
      <c r="K383" s="9">
        <f t="shared" si="11"/>
        <v>-0.34208121788997192</v>
      </c>
    </row>
    <row r="384" spans="1:11" x14ac:dyDescent="0.3">
      <c r="A384">
        <v>132</v>
      </c>
      <c r="B384">
        <v>2</v>
      </c>
      <c r="C384">
        <v>20</v>
      </c>
      <c r="D384" t="str">
        <f>VLOOKUP($C384,products!$A$1:$F$322,MATCH(order_items!$D$1,products!$A$1:$F$1,0),FALSE)</f>
        <v>Electra Townie Original 7D EQ - Women's - 2016</v>
      </c>
      <c r="E384">
        <f>VLOOKUP($C384,products!$A$1:$F$322,MATCH(order_items!$E$1,products!$A$1:$F$1,0),FALSE)</f>
        <v>3</v>
      </c>
      <c r="F384" t="str">
        <f>VLOOKUP($E384,categories!$A$1:$B$8,MATCH(order_items!$F$1,categories!$A$1:$B$1,0),FALSE)</f>
        <v>Cruisers Bicycles</v>
      </c>
      <c r="G384">
        <v>1</v>
      </c>
      <c r="H384">
        <v>599.99</v>
      </c>
      <c r="I384" s="5">
        <v>0.05</v>
      </c>
      <c r="J384">
        <f t="shared" si="10"/>
        <v>569.9905</v>
      </c>
      <c r="K384" s="9">
        <f t="shared" si="11"/>
        <v>-0.45297423894164529</v>
      </c>
    </row>
    <row r="385" spans="1:11" x14ac:dyDescent="0.3">
      <c r="A385">
        <v>132</v>
      </c>
      <c r="B385">
        <v>3</v>
      </c>
      <c r="C385">
        <v>9</v>
      </c>
      <c r="D385" t="str">
        <f>VLOOKUP($C385,products!$A$1:$F$322,MATCH(order_items!$D$1,products!$A$1:$F$1,0),FALSE)</f>
        <v>Trek Conduit+ - 2016</v>
      </c>
      <c r="E385">
        <f>VLOOKUP($C385,products!$A$1:$F$322,MATCH(order_items!$E$1,products!$A$1:$F$1,0),FALSE)</f>
        <v>5</v>
      </c>
      <c r="F385" t="str">
        <f>VLOOKUP($E385,categories!$A$1:$B$8,MATCH(order_items!$F$1,categories!$A$1:$B$1,0),FALSE)</f>
        <v>Electric Bikes</v>
      </c>
      <c r="G385">
        <v>1</v>
      </c>
      <c r="H385">
        <v>2999.99</v>
      </c>
      <c r="I385" s="5">
        <v>0.1</v>
      </c>
      <c r="J385">
        <f t="shared" si="10"/>
        <v>2699.991</v>
      </c>
      <c r="K385" s="9">
        <f t="shared" si="11"/>
        <v>1.3213140978851283</v>
      </c>
    </row>
    <row r="386" spans="1:11" x14ac:dyDescent="0.3">
      <c r="A386">
        <v>133</v>
      </c>
      <c r="B386">
        <v>1</v>
      </c>
      <c r="C386">
        <v>13</v>
      </c>
      <c r="D386" t="str">
        <f>VLOOKUP($C386,products!$A$1:$F$322,MATCH(order_items!$D$1,products!$A$1:$F$1,0),FALSE)</f>
        <v>Electra Cruiser 1 (24-Inch) - 2016</v>
      </c>
      <c r="E386">
        <f>VLOOKUP($C386,products!$A$1:$F$322,MATCH(order_items!$E$1,products!$A$1:$F$1,0),FALSE)</f>
        <v>3</v>
      </c>
      <c r="F386" t="str">
        <f>VLOOKUP($E386,categories!$A$1:$B$8,MATCH(order_items!$F$1,categories!$A$1:$B$1,0),FALSE)</f>
        <v>Cruisers Bicycles</v>
      </c>
      <c r="G386">
        <v>2</v>
      </c>
      <c r="H386">
        <v>269.99</v>
      </c>
      <c r="I386" s="5">
        <v>0.05</v>
      </c>
      <c r="J386">
        <f t="shared" ref="J386:J449" si="12">G386*H386*(1-I386)</f>
        <v>512.98099999999999</v>
      </c>
      <c r="K386" s="9">
        <f t="shared" ref="K386:K449" si="13">($H386-$M$7)/$M$9</f>
        <v>-0.69693888525532666</v>
      </c>
    </row>
    <row r="387" spans="1:11" x14ac:dyDescent="0.3">
      <c r="A387">
        <v>133</v>
      </c>
      <c r="B387">
        <v>2</v>
      </c>
      <c r="C387">
        <v>22</v>
      </c>
      <c r="D387" t="str">
        <f>VLOOKUP($C387,products!$A$1:$F$322,MATCH(order_items!$D$1,products!$A$1:$F$1,0),FALSE)</f>
        <v>Electra Girl's Hawaii 1 (16-inch) - 2015/2016</v>
      </c>
      <c r="E387">
        <f>VLOOKUP($C387,products!$A$1:$F$322,MATCH(order_items!$E$1,products!$A$1:$F$1,0),FALSE)</f>
        <v>1</v>
      </c>
      <c r="F387" t="str">
        <f>VLOOKUP($E387,categories!$A$1:$B$8,MATCH(order_items!$F$1,categories!$A$1:$B$1,0),FALSE)</f>
        <v>Children Bicycles</v>
      </c>
      <c r="G387">
        <v>1</v>
      </c>
      <c r="H387">
        <v>269.99</v>
      </c>
      <c r="I387" s="5">
        <v>0.2</v>
      </c>
      <c r="J387">
        <f t="shared" si="12"/>
        <v>215.99200000000002</v>
      </c>
      <c r="K387" s="9">
        <f t="shared" si="13"/>
        <v>-0.69693888525532666</v>
      </c>
    </row>
    <row r="388" spans="1:11" x14ac:dyDescent="0.3">
      <c r="A388">
        <v>134</v>
      </c>
      <c r="B388">
        <v>1</v>
      </c>
      <c r="C388">
        <v>19</v>
      </c>
      <c r="D388" t="str">
        <f>VLOOKUP($C388,products!$A$1:$F$322,MATCH(order_items!$D$1,products!$A$1:$F$1,0),FALSE)</f>
        <v>Pure Cycles William 3-Speed - 2016</v>
      </c>
      <c r="E388">
        <f>VLOOKUP($C388,products!$A$1:$F$322,MATCH(order_items!$E$1,products!$A$1:$F$1,0),FALSE)</f>
        <v>3</v>
      </c>
      <c r="F388" t="str">
        <f>VLOOKUP($E388,categories!$A$1:$B$8,MATCH(order_items!$F$1,categories!$A$1:$B$1,0),FALSE)</f>
        <v>Cruisers Bicycles</v>
      </c>
      <c r="G388">
        <v>2</v>
      </c>
      <c r="H388">
        <v>449</v>
      </c>
      <c r="I388" s="5">
        <v>0.1</v>
      </c>
      <c r="J388">
        <f t="shared" si="12"/>
        <v>808.2</v>
      </c>
      <c r="K388" s="9">
        <f t="shared" si="13"/>
        <v>-0.56459915393225968</v>
      </c>
    </row>
    <row r="389" spans="1:11" x14ac:dyDescent="0.3">
      <c r="A389">
        <v>134</v>
      </c>
      <c r="B389">
        <v>2</v>
      </c>
      <c r="C389">
        <v>2</v>
      </c>
      <c r="D389" t="str">
        <f>VLOOKUP($C389,products!$A$1:$F$322,MATCH(order_items!$D$1,products!$A$1:$F$1,0),FALSE)</f>
        <v>Ritchey Timberwolf Frameset - 2016</v>
      </c>
      <c r="E389">
        <f>VLOOKUP($C389,products!$A$1:$F$322,MATCH(order_items!$E$1,products!$A$1:$F$1,0),FALSE)</f>
        <v>6</v>
      </c>
      <c r="F389" t="str">
        <f>VLOOKUP($E389,categories!$A$1:$B$8,MATCH(order_items!$F$1,categories!$A$1:$B$1,0),FALSE)</f>
        <v>Mountain Bikes</v>
      </c>
      <c r="G389">
        <v>2</v>
      </c>
      <c r="H389">
        <v>749.99</v>
      </c>
      <c r="I389" s="5">
        <v>7.0000000000000007E-2</v>
      </c>
      <c r="J389">
        <f t="shared" si="12"/>
        <v>1394.9813999999999</v>
      </c>
      <c r="K389" s="9">
        <f t="shared" si="13"/>
        <v>-0.34208121788997192</v>
      </c>
    </row>
    <row r="390" spans="1:11" x14ac:dyDescent="0.3">
      <c r="A390">
        <v>134</v>
      </c>
      <c r="B390">
        <v>3</v>
      </c>
      <c r="C390">
        <v>18</v>
      </c>
      <c r="D390" t="str">
        <f>VLOOKUP($C390,products!$A$1:$F$322,MATCH(order_items!$D$1,products!$A$1:$F$1,0),FALSE)</f>
        <v>Pure Cycles Western 3-Speed - Women's - 2015/2016</v>
      </c>
      <c r="E390">
        <f>VLOOKUP($C390,products!$A$1:$F$322,MATCH(order_items!$E$1,products!$A$1:$F$1,0),FALSE)</f>
        <v>3</v>
      </c>
      <c r="F390" t="str">
        <f>VLOOKUP($E390,categories!$A$1:$B$8,MATCH(order_items!$F$1,categories!$A$1:$B$1,0),FALSE)</f>
        <v>Cruisers Bicycles</v>
      </c>
      <c r="G390">
        <v>2</v>
      </c>
      <c r="H390">
        <v>449</v>
      </c>
      <c r="I390" s="5">
        <v>7.0000000000000007E-2</v>
      </c>
      <c r="J390">
        <f t="shared" si="12"/>
        <v>835.14</v>
      </c>
      <c r="K390" s="9">
        <f t="shared" si="13"/>
        <v>-0.56459915393225968</v>
      </c>
    </row>
    <row r="391" spans="1:11" x14ac:dyDescent="0.3">
      <c r="A391">
        <v>135</v>
      </c>
      <c r="B391">
        <v>1</v>
      </c>
      <c r="C391">
        <v>5</v>
      </c>
      <c r="D391" t="str">
        <f>VLOOKUP($C391,products!$A$1:$F$322,MATCH(order_items!$D$1,products!$A$1:$F$1,0),FALSE)</f>
        <v>Heller Shagamaw Frame - 2016</v>
      </c>
      <c r="E391">
        <f>VLOOKUP($C391,products!$A$1:$F$322,MATCH(order_items!$E$1,products!$A$1:$F$1,0),FALSE)</f>
        <v>6</v>
      </c>
      <c r="F391" t="str">
        <f>VLOOKUP($E391,categories!$A$1:$B$8,MATCH(order_items!$F$1,categories!$A$1:$B$1,0),FALSE)</f>
        <v>Mountain Bikes</v>
      </c>
      <c r="G391">
        <v>2</v>
      </c>
      <c r="H391">
        <v>1320.99</v>
      </c>
      <c r="I391" s="5">
        <v>0.05</v>
      </c>
      <c r="J391">
        <f t="shared" si="12"/>
        <v>2509.8809999999999</v>
      </c>
      <c r="K391" s="9">
        <f t="shared" si="13"/>
        <v>8.0051548913398024E-2</v>
      </c>
    </row>
    <row r="392" spans="1:11" x14ac:dyDescent="0.3">
      <c r="A392">
        <v>135</v>
      </c>
      <c r="B392">
        <v>2</v>
      </c>
      <c r="C392">
        <v>18</v>
      </c>
      <c r="D392" t="str">
        <f>VLOOKUP($C392,products!$A$1:$F$322,MATCH(order_items!$D$1,products!$A$1:$F$1,0),FALSE)</f>
        <v>Pure Cycles Western 3-Speed - Women's - 2015/2016</v>
      </c>
      <c r="E392">
        <f>VLOOKUP($C392,products!$A$1:$F$322,MATCH(order_items!$E$1,products!$A$1:$F$1,0),FALSE)</f>
        <v>3</v>
      </c>
      <c r="F392" t="str">
        <f>VLOOKUP($E392,categories!$A$1:$B$8,MATCH(order_items!$F$1,categories!$A$1:$B$1,0),FALSE)</f>
        <v>Cruisers Bicycles</v>
      </c>
      <c r="G392">
        <v>2</v>
      </c>
      <c r="H392">
        <v>449</v>
      </c>
      <c r="I392" s="5">
        <v>0.05</v>
      </c>
      <c r="J392">
        <f t="shared" si="12"/>
        <v>853.09999999999991</v>
      </c>
      <c r="K392" s="9">
        <f t="shared" si="13"/>
        <v>-0.56459915393225968</v>
      </c>
    </row>
    <row r="393" spans="1:11" x14ac:dyDescent="0.3">
      <c r="A393">
        <v>135</v>
      </c>
      <c r="B393">
        <v>3</v>
      </c>
      <c r="C393">
        <v>25</v>
      </c>
      <c r="D393" t="str">
        <f>VLOOKUP($C393,products!$A$1:$F$322,MATCH(order_items!$D$1,products!$A$1:$F$1,0),FALSE)</f>
        <v>Electra Townie Original 7D - 2015/2016</v>
      </c>
      <c r="E393">
        <f>VLOOKUP($C393,products!$A$1:$F$322,MATCH(order_items!$E$1,products!$A$1:$F$1,0),FALSE)</f>
        <v>2</v>
      </c>
      <c r="F393" t="str">
        <f>VLOOKUP($E393,categories!$A$1:$B$8,MATCH(order_items!$F$1,categories!$A$1:$B$1,0),FALSE)</f>
        <v>Comfort Bicycles</v>
      </c>
      <c r="G393">
        <v>1</v>
      </c>
      <c r="H393">
        <v>499.99</v>
      </c>
      <c r="I393" s="5">
        <v>0.2</v>
      </c>
      <c r="J393">
        <f t="shared" si="12"/>
        <v>399.99200000000002</v>
      </c>
      <c r="K393" s="9">
        <f t="shared" si="13"/>
        <v>-0.52690291964276081</v>
      </c>
    </row>
    <row r="394" spans="1:11" x14ac:dyDescent="0.3">
      <c r="A394">
        <v>135</v>
      </c>
      <c r="B394">
        <v>4</v>
      </c>
      <c r="C394">
        <v>2</v>
      </c>
      <c r="D394" t="str">
        <f>VLOOKUP($C394,products!$A$1:$F$322,MATCH(order_items!$D$1,products!$A$1:$F$1,0),FALSE)</f>
        <v>Ritchey Timberwolf Frameset - 2016</v>
      </c>
      <c r="E394">
        <f>VLOOKUP($C394,products!$A$1:$F$322,MATCH(order_items!$E$1,products!$A$1:$F$1,0),FALSE)</f>
        <v>6</v>
      </c>
      <c r="F394" t="str">
        <f>VLOOKUP($E394,categories!$A$1:$B$8,MATCH(order_items!$F$1,categories!$A$1:$B$1,0),FALSE)</f>
        <v>Mountain Bikes</v>
      </c>
      <c r="G394">
        <v>1</v>
      </c>
      <c r="H394">
        <v>749.99</v>
      </c>
      <c r="I394" s="5">
        <v>0.05</v>
      </c>
      <c r="J394">
        <f t="shared" si="12"/>
        <v>712.4905</v>
      </c>
      <c r="K394" s="9">
        <f t="shared" si="13"/>
        <v>-0.34208121788997192</v>
      </c>
    </row>
    <row r="395" spans="1:11" x14ac:dyDescent="0.3">
      <c r="A395">
        <v>136</v>
      </c>
      <c r="B395">
        <v>1</v>
      </c>
      <c r="C395">
        <v>7</v>
      </c>
      <c r="D395" t="str">
        <f>VLOOKUP($C395,products!$A$1:$F$322,MATCH(order_items!$D$1,products!$A$1:$F$1,0),FALSE)</f>
        <v>Trek Slash 8 27.5 - 2016</v>
      </c>
      <c r="E395">
        <f>VLOOKUP($C395,products!$A$1:$F$322,MATCH(order_items!$E$1,products!$A$1:$F$1,0),FALSE)</f>
        <v>6</v>
      </c>
      <c r="F395" t="str">
        <f>VLOOKUP($E395,categories!$A$1:$B$8,MATCH(order_items!$F$1,categories!$A$1:$B$1,0),FALSE)</f>
        <v>Mountain Bikes</v>
      </c>
      <c r="G395">
        <v>2</v>
      </c>
      <c r="H395">
        <v>3999.99</v>
      </c>
      <c r="I395" s="5">
        <v>0.2</v>
      </c>
      <c r="J395">
        <f t="shared" si="12"/>
        <v>6399.9840000000004</v>
      </c>
      <c r="K395" s="9">
        <f t="shared" si="13"/>
        <v>2.0606009048962846</v>
      </c>
    </row>
    <row r="396" spans="1:11" x14ac:dyDescent="0.3">
      <c r="A396">
        <v>136</v>
      </c>
      <c r="B396">
        <v>2</v>
      </c>
      <c r="C396">
        <v>3</v>
      </c>
      <c r="D396" t="str">
        <f>VLOOKUP($C396,products!$A$1:$F$322,MATCH(order_items!$D$1,products!$A$1:$F$1,0),FALSE)</f>
        <v>Surly Wednesday Frameset - 2016</v>
      </c>
      <c r="E396">
        <f>VLOOKUP($C396,products!$A$1:$F$322,MATCH(order_items!$E$1,products!$A$1:$F$1,0),FALSE)</f>
        <v>6</v>
      </c>
      <c r="F396" t="str">
        <f>VLOOKUP($E396,categories!$A$1:$B$8,MATCH(order_items!$F$1,categories!$A$1:$B$1,0),FALSE)</f>
        <v>Mountain Bikes</v>
      </c>
      <c r="G396">
        <v>2</v>
      </c>
      <c r="H396">
        <v>999.99</v>
      </c>
      <c r="I396" s="5">
        <v>0.05</v>
      </c>
      <c r="J396">
        <f t="shared" si="12"/>
        <v>1899.981</v>
      </c>
      <c r="K396" s="9">
        <f t="shared" si="13"/>
        <v>-0.15725951613718298</v>
      </c>
    </row>
    <row r="397" spans="1:11" x14ac:dyDescent="0.3">
      <c r="A397">
        <v>137</v>
      </c>
      <c r="B397">
        <v>1</v>
      </c>
      <c r="C397">
        <v>23</v>
      </c>
      <c r="D397" t="str">
        <f>VLOOKUP($C397,products!$A$1:$F$322,MATCH(order_items!$D$1,products!$A$1:$F$1,0),FALSE)</f>
        <v>Electra Girl's Hawaii 1 (20-inch) - 2015/2016</v>
      </c>
      <c r="E397">
        <f>VLOOKUP($C397,products!$A$1:$F$322,MATCH(order_items!$E$1,products!$A$1:$F$1,0),FALSE)</f>
        <v>1</v>
      </c>
      <c r="F397" t="str">
        <f>VLOOKUP($E397,categories!$A$1:$B$8,MATCH(order_items!$F$1,categories!$A$1:$B$1,0),FALSE)</f>
        <v>Children Bicycles</v>
      </c>
      <c r="G397">
        <v>1</v>
      </c>
      <c r="H397">
        <v>299.99</v>
      </c>
      <c r="I397" s="5">
        <v>7.0000000000000007E-2</v>
      </c>
      <c r="J397">
        <f t="shared" si="12"/>
        <v>278.9907</v>
      </c>
      <c r="K397" s="9">
        <f t="shared" si="13"/>
        <v>-0.67476028104499197</v>
      </c>
    </row>
    <row r="398" spans="1:11" x14ac:dyDescent="0.3">
      <c r="A398">
        <v>137</v>
      </c>
      <c r="B398">
        <v>2</v>
      </c>
      <c r="C398">
        <v>22</v>
      </c>
      <c r="D398" t="str">
        <f>VLOOKUP($C398,products!$A$1:$F$322,MATCH(order_items!$D$1,products!$A$1:$F$1,0),FALSE)</f>
        <v>Electra Girl's Hawaii 1 (16-inch) - 2015/2016</v>
      </c>
      <c r="E398">
        <f>VLOOKUP($C398,products!$A$1:$F$322,MATCH(order_items!$E$1,products!$A$1:$F$1,0),FALSE)</f>
        <v>1</v>
      </c>
      <c r="F398" t="str">
        <f>VLOOKUP($E398,categories!$A$1:$B$8,MATCH(order_items!$F$1,categories!$A$1:$B$1,0),FALSE)</f>
        <v>Children Bicycles</v>
      </c>
      <c r="G398">
        <v>1</v>
      </c>
      <c r="H398">
        <v>269.99</v>
      </c>
      <c r="I398" s="5">
        <v>0.1</v>
      </c>
      <c r="J398">
        <f t="shared" si="12"/>
        <v>242.99100000000001</v>
      </c>
      <c r="K398" s="9">
        <f t="shared" si="13"/>
        <v>-0.69693888525532666</v>
      </c>
    </row>
    <row r="399" spans="1:11" x14ac:dyDescent="0.3">
      <c r="A399">
        <v>138</v>
      </c>
      <c r="B399">
        <v>1</v>
      </c>
      <c r="C399">
        <v>16</v>
      </c>
      <c r="D399" t="str">
        <f>VLOOKUP($C399,products!$A$1:$F$322,MATCH(order_items!$D$1,products!$A$1:$F$1,0),FALSE)</f>
        <v>Electra Townie Original 7D EQ - 2016</v>
      </c>
      <c r="E399">
        <f>VLOOKUP($C399,products!$A$1:$F$322,MATCH(order_items!$E$1,products!$A$1:$F$1,0),FALSE)</f>
        <v>3</v>
      </c>
      <c r="F399" t="str">
        <f>VLOOKUP($E399,categories!$A$1:$B$8,MATCH(order_items!$F$1,categories!$A$1:$B$1,0),FALSE)</f>
        <v>Cruisers Bicycles</v>
      </c>
      <c r="G399">
        <v>2</v>
      </c>
      <c r="H399">
        <v>599.99</v>
      </c>
      <c r="I399" s="5">
        <v>0.1</v>
      </c>
      <c r="J399">
        <f t="shared" si="12"/>
        <v>1079.982</v>
      </c>
      <c r="K399" s="9">
        <f t="shared" si="13"/>
        <v>-0.45297423894164529</v>
      </c>
    </row>
    <row r="400" spans="1:11" x14ac:dyDescent="0.3">
      <c r="A400">
        <v>138</v>
      </c>
      <c r="B400">
        <v>2</v>
      </c>
      <c r="C400">
        <v>6</v>
      </c>
      <c r="D400" t="str">
        <f>VLOOKUP($C400,products!$A$1:$F$322,MATCH(order_items!$D$1,products!$A$1:$F$1,0),FALSE)</f>
        <v>Surly Ice Cream Truck Frameset - 2016</v>
      </c>
      <c r="E400">
        <f>VLOOKUP($C400,products!$A$1:$F$322,MATCH(order_items!$E$1,products!$A$1:$F$1,0),FALSE)</f>
        <v>6</v>
      </c>
      <c r="F400" t="str">
        <f>VLOOKUP($E400,categories!$A$1:$B$8,MATCH(order_items!$F$1,categories!$A$1:$B$1,0),FALSE)</f>
        <v>Mountain Bikes</v>
      </c>
      <c r="G400">
        <v>1</v>
      </c>
      <c r="H400">
        <v>469.99</v>
      </c>
      <c r="I400" s="5">
        <v>0.2</v>
      </c>
      <c r="J400">
        <f t="shared" si="12"/>
        <v>375.99200000000002</v>
      </c>
      <c r="K400" s="9">
        <f t="shared" si="13"/>
        <v>-0.5490815238530955</v>
      </c>
    </row>
    <row r="401" spans="1:11" x14ac:dyDescent="0.3">
      <c r="A401">
        <v>139</v>
      </c>
      <c r="B401">
        <v>1</v>
      </c>
      <c r="C401">
        <v>19</v>
      </c>
      <c r="D401" t="str">
        <f>VLOOKUP($C401,products!$A$1:$F$322,MATCH(order_items!$D$1,products!$A$1:$F$1,0),FALSE)</f>
        <v>Pure Cycles William 3-Speed - 2016</v>
      </c>
      <c r="E401">
        <f>VLOOKUP($C401,products!$A$1:$F$322,MATCH(order_items!$E$1,products!$A$1:$F$1,0),FALSE)</f>
        <v>3</v>
      </c>
      <c r="F401" t="str">
        <f>VLOOKUP($E401,categories!$A$1:$B$8,MATCH(order_items!$F$1,categories!$A$1:$B$1,0),FALSE)</f>
        <v>Cruisers Bicycles</v>
      </c>
      <c r="G401">
        <v>2</v>
      </c>
      <c r="H401">
        <v>449</v>
      </c>
      <c r="I401" s="5">
        <v>7.0000000000000007E-2</v>
      </c>
      <c r="J401">
        <f t="shared" si="12"/>
        <v>835.14</v>
      </c>
      <c r="K401" s="9">
        <f t="shared" si="13"/>
        <v>-0.56459915393225968</v>
      </c>
    </row>
    <row r="402" spans="1:11" x14ac:dyDescent="0.3">
      <c r="A402">
        <v>139</v>
      </c>
      <c r="B402">
        <v>2</v>
      </c>
      <c r="C402">
        <v>3</v>
      </c>
      <c r="D402" t="str">
        <f>VLOOKUP($C402,products!$A$1:$F$322,MATCH(order_items!$D$1,products!$A$1:$F$1,0),FALSE)</f>
        <v>Surly Wednesday Frameset - 2016</v>
      </c>
      <c r="E402">
        <f>VLOOKUP($C402,products!$A$1:$F$322,MATCH(order_items!$E$1,products!$A$1:$F$1,0),FALSE)</f>
        <v>6</v>
      </c>
      <c r="F402" t="str">
        <f>VLOOKUP($E402,categories!$A$1:$B$8,MATCH(order_items!$F$1,categories!$A$1:$B$1,0),FALSE)</f>
        <v>Mountain Bikes</v>
      </c>
      <c r="G402">
        <v>1</v>
      </c>
      <c r="H402">
        <v>999.99</v>
      </c>
      <c r="I402" s="5">
        <v>7.0000000000000007E-2</v>
      </c>
      <c r="J402">
        <f t="shared" si="12"/>
        <v>929.99069999999995</v>
      </c>
      <c r="K402" s="9">
        <f t="shared" si="13"/>
        <v>-0.15725951613718298</v>
      </c>
    </row>
    <row r="403" spans="1:11" x14ac:dyDescent="0.3">
      <c r="A403">
        <v>140</v>
      </c>
      <c r="B403">
        <v>1</v>
      </c>
      <c r="C403">
        <v>15</v>
      </c>
      <c r="D403" t="str">
        <f>VLOOKUP($C403,products!$A$1:$F$322,MATCH(order_items!$D$1,products!$A$1:$F$1,0),FALSE)</f>
        <v>Electra Moto 1 - 2016</v>
      </c>
      <c r="E403">
        <f>VLOOKUP($C403,products!$A$1:$F$322,MATCH(order_items!$E$1,products!$A$1:$F$1,0),FALSE)</f>
        <v>3</v>
      </c>
      <c r="F403" t="str">
        <f>VLOOKUP($E403,categories!$A$1:$B$8,MATCH(order_items!$F$1,categories!$A$1:$B$1,0),FALSE)</f>
        <v>Cruisers Bicycles</v>
      </c>
      <c r="G403">
        <v>1</v>
      </c>
      <c r="H403">
        <v>529.99</v>
      </c>
      <c r="I403" s="5">
        <v>0.2</v>
      </c>
      <c r="J403">
        <f t="shared" si="12"/>
        <v>423.99200000000002</v>
      </c>
      <c r="K403" s="9">
        <f t="shared" si="13"/>
        <v>-0.50472431543242624</v>
      </c>
    </row>
    <row r="404" spans="1:11" x14ac:dyDescent="0.3">
      <c r="A404">
        <v>140</v>
      </c>
      <c r="B404">
        <v>2</v>
      </c>
      <c r="C404">
        <v>21</v>
      </c>
      <c r="D404" t="str">
        <f>VLOOKUP($C404,products!$A$1:$F$322,MATCH(order_items!$D$1,products!$A$1:$F$1,0),FALSE)</f>
        <v>Electra Cruiser 1 (24-Inch) - 2016</v>
      </c>
      <c r="E404">
        <f>VLOOKUP($C404,products!$A$1:$F$322,MATCH(order_items!$E$1,products!$A$1:$F$1,0),FALSE)</f>
        <v>1</v>
      </c>
      <c r="F404" t="str">
        <f>VLOOKUP($E404,categories!$A$1:$B$8,MATCH(order_items!$F$1,categories!$A$1:$B$1,0),FALSE)</f>
        <v>Children Bicycles</v>
      </c>
      <c r="G404">
        <v>1</v>
      </c>
      <c r="H404">
        <v>269.99</v>
      </c>
      <c r="I404" s="5">
        <v>0.2</v>
      </c>
      <c r="J404">
        <f t="shared" si="12"/>
        <v>215.99200000000002</v>
      </c>
      <c r="K404" s="9">
        <f t="shared" si="13"/>
        <v>-0.69693888525532666</v>
      </c>
    </row>
    <row r="405" spans="1:11" x14ac:dyDescent="0.3">
      <c r="A405">
        <v>140</v>
      </c>
      <c r="B405">
        <v>3</v>
      </c>
      <c r="C405">
        <v>12</v>
      </c>
      <c r="D405" t="str">
        <f>VLOOKUP($C405,products!$A$1:$F$322,MATCH(order_items!$D$1,products!$A$1:$F$1,0),FALSE)</f>
        <v>Electra Townie Original 21D - 2016</v>
      </c>
      <c r="E405">
        <f>VLOOKUP($C405,products!$A$1:$F$322,MATCH(order_items!$E$1,products!$A$1:$F$1,0),FALSE)</f>
        <v>3</v>
      </c>
      <c r="F405" t="str">
        <f>VLOOKUP($E405,categories!$A$1:$B$8,MATCH(order_items!$F$1,categories!$A$1:$B$1,0),FALSE)</f>
        <v>Cruisers Bicycles</v>
      </c>
      <c r="G405">
        <v>2</v>
      </c>
      <c r="H405">
        <v>549.99</v>
      </c>
      <c r="I405" s="5">
        <v>0.2</v>
      </c>
      <c r="J405">
        <f t="shared" si="12"/>
        <v>879.98400000000004</v>
      </c>
      <c r="K405" s="9">
        <f t="shared" si="13"/>
        <v>-0.48993857929220308</v>
      </c>
    </row>
    <row r="406" spans="1:11" x14ac:dyDescent="0.3">
      <c r="A406">
        <v>140</v>
      </c>
      <c r="B406">
        <v>4</v>
      </c>
      <c r="C406">
        <v>3</v>
      </c>
      <c r="D406" t="str">
        <f>VLOOKUP($C406,products!$A$1:$F$322,MATCH(order_items!$D$1,products!$A$1:$F$1,0),FALSE)</f>
        <v>Surly Wednesday Frameset - 2016</v>
      </c>
      <c r="E406">
        <f>VLOOKUP($C406,products!$A$1:$F$322,MATCH(order_items!$E$1,products!$A$1:$F$1,0),FALSE)</f>
        <v>6</v>
      </c>
      <c r="F406" t="str">
        <f>VLOOKUP($E406,categories!$A$1:$B$8,MATCH(order_items!$F$1,categories!$A$1:$B$1,0),FALSE)</f>
        <v>Mountain Bikes</v>
      </c>
      <c r="G406">
        <v>1</v>
      </c>
      <c r="H406">
        <v>999.99</v>
      </c>
      <c r="I406" s="5">
        <v>0.05</v>
      </c>
      <c r="J406">
        <f t="shared" si="12"/>
        <v>949.9905</v>
      </c>
      <c r="K406" s="9">
        <f t="shared" si="13"/>
        <v>-0.15725951613718298</v>
      </c>
    </row>
    <row r="407" spans="1:11" x14ac:dyDescent="0.3">
      <c r="A407">
        <v>141</v>
      </c>
      <c r="B407">
        <v>1</v>
      </c>
      <c r="C407">
        <v>18</v>
      </c>
      <c r="D407" t="str">
        <f>VLOOKUP($C407,products!$A$1:$F$322,MATCH(order_items!$D$1,products!$A$1:$F$1,0),FALSE)</f>
        <v>Pure Cycles Western 3-Speed - Women's - 2015/2016</v>
      </c>
      <c r="E407">
        <f>VLOOKUP($C407,products!$A$1:$F$322,MATCH(order_items!$E$1,products!$A$1:$F$1,0),FALSE)</f>
        <v>3</v>
      </c>
      <c r="F407" t="str">
        <f>VLOOKUP($E407,categories!$A$1:$B$8,MATCH(order_items!$F$1,categories!$A$1:$B$1,0),FALSE)</f>
        <v>Cruisers Bicycles</v>
      </c>
      <c r="G407">
        <v>1</v>
      </c>
      <c r="H407">
        <v>449</v>
      </c>
      <c r="I407" s="5">
        <v>0.2</v>
      </c>
      <c r="J407">
        <f t="shared" si="12"/>
        <v>359.20000000000005</v>
      </c>
      <c r="K407" s="9">
        <f t="shared" si="13"/>
        <v>-0.56459915393225968</v>
      </c>
    </row>
    <row r="408" spans="1:11" x14ac:dyDescent="0.3">
      <c r="A408">
        <v>142</v>
      </c>
      <c r="B408">
        <v>1</v>
      </c>
      <c r="C408">
        <v>16</v>
      </c>
      <c r="D408" t="str">
        <f>VLOOKUP($C408,products!$A$1:$F$322,MATCH(order_items!$D$1,products!$A$1:$F$1,0),FALSE)</f>
        <v>Electra Townie Original 7D EQ - 2016</v>
      </c>
      <c r="E408">
        <f>VLOOKUP($C408,products!$A$1:$F$322,MATCH(order_items!$E$1,products!$A$1:$F$1,0),FALSE)</f>
        <v>3</v>
      </c>
      <c r="F408" t="str">
        <f>VLOOKUP($E408,categories!$A$1:$B$8,MATCH(order_items!$F$1,categories!$A$1:$B$1,0),FALSE)</f>
        <v>Cruisers Bicycles</v>
      </c>
      <c r="G408">
        <v>2</v>
      </c>
      <c r="H408">
        <v>599.99</v>
      </c>
      <c r="I408" s="5">
        <v>0.1</v>
      </c>
      <c r="J408">
        <f t="shared" si="12"/>
        <v>1079.982</v>
      </c>
      <c r="K408" s="9">
        <f t="shared" si="13"/>
        <v>-0.45297423894164529</v>
      </c>
    </row>
    <row r="409" spans="1:11" x14ac:dyDescent="0.3">
      <c r="A409">
        <v>142</v>
      </c>
      <c r="B409">
        <v>2</v>
      </c>
      <c r="C409">
        <v>11</v>
      </c>
      <c r="D409" t="str">
        <f>VLOOKUP($C409,products!$A$1:$F$322,MATCH(order_items!$D$1,products!$A$1:$F$1,0),FALSE)</f>
        <v>Surly Straggler 650b - 2016</v>
      </c>
      <c r="E409">
        <f>VLOOKUP($C409,products!$A$1:$F$322,MATCH(order_items!$E$1,products!$A$1:$F$1,0),FALSE)</f>
        <v>4</v>
      </c>
      <c r="F409" t="str">
        <f>VLOOKUP($E409,categories!$A$1:$B$8,MATCH(order_items!$F$1,categories!$A$1:$B$1,0),FALSE)</f>
        <v>Cyclocross Bicycles</v>
      </c>
      <c r="G409">
        <v>2</v>
      </c>
      <c r="H409">
        <v>1680.99</v>
      </c>
      <c r="I409" s="5">
        <v>0.1</v>
      </c>
      <c r="J409">
        <f t="shared" si="12"/>
        <v>3025.7820000000002</v>
      </c>
      <c r="K409" s="9">
        <f t="shared" si="13"/>
        <v>0.3461947994374141</v>
      </c>
    </row>
    <row r="410" spans="1:11" x14ac:dyDescent="0.3">
      <c r="A410">
        <v>142</v>
      </c>
      <c r="B410">
        <v>3</v>
      </c>
      <c r="C410">
        <v>19</v>
      </c>
      <c r="D410" t="str">
        <f>VLOOKUP($C410,products!$A$1:$F$322,MATCH(order_items!$D$1,products!$A$1:$F$1,0),FALSE)</f>
        <v>Pure Cycles William 3-Speed - 2016</v>
      </c>
      <c r="E410">
        <f>VLOOKUP($C410,products!$A$1:$F$322,MATCH(order_items!$E$1,products!$A$1:$F$1,0),FALSE)</f>
        <v>3</v>
      </c>
      <c r="F410" t="str">
        <f>VLOOKUP($E410,categories!$A$1:$B$8,MATCH(order_items!$F$1,categories!$A$1:$B$1,0),FALSE)</f>
        <v>Cruisers Bicycles</v>
      </c>
      <c r="G410">
        <v>1</v>
      </c>
      <c r="H410">
        <v>449</v>
      </c>
      <c r="I410" s="5">
        <v>7.0000000000000007E-2</v>
      </c>
      <c r="J410">
        <f t="shared" si="12"/>
        <v>417.57</v>
      </c>
      <c r="K410" s="9">
        <f t="shared" si="13"/>
        <v>-0.56459915393225968</v>
      </c>
    </row>
    <row r="411" spans="1:11" x14ac:dyDescent="0.3">
      <c r="A411">
        <v>143</v>
      </c>
      <c r="B411">
        <v>1</v>
      </c>
      <c r="C411">
        <v>6</v>
      </c>
      <c r="D411" t="str">
        <f>VLOOKUP($C411,products!$A$1:$F$322,MATCH(order_items!$D$1,products!$A$1:$F$1,0),FALSE)</f>
        <v>Surly Ice Cream Truck Frameset - 2016</v>
      </c>
      <c r="E411">
        <f>VLOOKUP($C411,products!$A$1:$F$322,MATCH(order_items!$E$1,products!$A$1:$F$1,0),FALSE)</f>
        <v>6</v>
      </c>
      <c r="F411" t="str">
        <f>VLOOKUP($E411,categories!$A$1:$B$8,MATCH(order_items!$F$1,categories!$A$1:$B$1,0),FALSE)</f>
        <v>Mountain Bikes</v>
      </c>
      <c r="G411">
        <v>1</v>
      </c>
      <c r="H411">
        <v>469.99</v>
      </c>
      <c r="I411" s="5">
        <v>0.2</v>
      </c>
      <c r="J411">
        <f t="shared" si="12"/>
        <v>375.99200000000002</v>
      </c>
      <c r="K411" s="9">
        <f t="shared" si="13"/>
        <v>-0.5490815238530955</v>
      </c>
    </row>
    <row r="412" spans="1:11" x14ac:dyDescent="0.3">
      <c r="A412">
        <v>144</v>
      </c>
      <c r="B412">
        <v>1</v>
      </c>
      <c r="C412">
        <v>8</v>
      </c>
      <c r="D412" t="str">
        <f>VLOOKUP($C412,products!$A$1:$F$322,MATCH(order_items!$D$1,products!$A$1:$F$1,0),FALSE)</f>
        <v>Trek Remedy 29 Carbon Frameset - 2016</v>
      </c>
      <c r="E412">
        <f>VLOOKUP($C412,products!$A$1:$F$322,MATCH(order_items!$E$1,products!$A$1:$F$1,0),FALSE)</f>
        <v>6</v>
      </c>
      <c r="F412" t="str">
        <f>VLOOKUP($E412,categories!$A$1:$B$8,MATCH(order_items!$F$1,categories!$A$1:$B$1,0),FALSE)</f>
        <v>Mountain Bikes</v>
      </c>
      <c r="G412">
        <v>2</v>
      </c>
      <c r="H412">
        <v>1799.99</v>
      </c>
      <c r="I412" s="5">
        <v>0.05</v>
      </c>
      <c r="J412">
        <f t="shared" si="12"/>
        <v>3419.9809999999998</v>
      </c>
      <c r="K412" s="9">
        <f t="shared" si="13"/>
        <v>0.43416992947174166</v>
      </c>
    </row>
    <row r="413" spans="1:11" x14ac:dyDescent="0.3">
      <c r="A413">
        <v>145</v>
      </c>
      <c r="B413">
        <v>1</v>
      </c>
      <c r="C413">
        <v>11</v>
      </c>
      <c r="D413" t="str">
        <f>VLOOKUP($C413,products!$A$1:$F$322,MATCH(order_items!$D$1,products!$A$1:$F$1,0),FALSE)</f>
        <v>Surly Straggler 650b - 2016</v>
      </c>
      <c r="E413">
        <f>VLOOKUP($C413,products!$A$1:$F$322,MATCH(order_items!$E$1,products!$A$1:$F$1,0),FALSE)</f>
        <v>4</v>
      </c>
      <c r="F413" t="str">
        <f>VLOOKUP($E413,categories!$A$1:$B$8,MATCH(order_items!$F$1,categories!$A$1:$B$1,0),FALSE)</f>
        <v>Cyclocross Bicycles</v>
      </c>
      <c r="G413">
        <v>1</v>
      </c>
      <c r="H413">
        <v>1680.99</v>
      </c>
      <c r="I413" s="5">
        <v>0.2</v>
      </c>
      <c r="J413">
        <f t="shared" si="12"/>
        <v>1344.7920000000001</v>
      </c>
      <c r="K413" s="9">
        <f t="shared" si="13"/>
        <v>0.3461947994374141</v>
      </c>
    </row>
    <row r="414" spans="1:11" x14ac:dyDescent="0.3">
      <c r="A414">
        <v>145</v>
      </c>
      <c r="B414">
        <v>2</v>
      </c>
      <c r="C414">
        <v>9</v>
      </c>
      <c r="D414" t="str">
        <f>VLOOKUP($C414,products!$A$1:$F$322,MATCH(order_items!$D$1,products!$A$1:$F$1,0),FALSE)</f>
        <v>Trek Conduit+ - 2016</v>
      </c>
      <c r="E414">
        <f>VLOOKUP($C414,products!$A$1:$F$322,MATCH(order_items!$E$1,products!$A$1:$F$1,0),FALSE)</f>
        <v>5</v>
      </c>
      <c r="F414" t="str">
        <f>VLOOKUP($E414,categories!$A$1:$B$8,MATCH(order_items!$F$1,categories!$A$1:$B$1,0),FALSE)</f>
        <v>Electric Bikes</v>
      </c>
      <c r="G414">
        <v>2</v>
      </c>
      <c r="H414">
        <v>2999.99</v>
      </c>
      <c r="I414" s="5">
        <v>0.1</v>
      </c>
      <c r="J414">
        <f t="shared" si="12"/>
        <v>5399.982</v>
      </c>
      <c r="K414" s="9">
        <f t="shared" si="13"/>
        <v>1.3213140978851283</v>
      </c>
    </row>
    <row r="415" spans="1:11" x14ac:dyDescent="0.3">
      <c r="A415">
        <v>146</v>
      </c>
      <c r="B415">
        <v>1</v>
      </c>
      <c r="C415">
        <v>3</v>
      </c>
      <c r="D415" t="str">
        <f>VLOOKUP($C415,products!$A$1:$F$322,MATCH(order_items!$D$1,products!$A$1:$F$1,0),FALSE)</f>
        <v>Surly Wednesday Frameset - 2016</v>
      </c>
      <c r="E415">
        <f>VLOOKUP($C415,products!$A$1:$F$322,MATCH(order_items!$E$1,products!$A$1:$F$1,0),FALSE)</f>
        <v>6</v>
      </c>
      <c r="F415" t="str">
        <f>VLOOKUP($E415,categories!$A$1:$B$8,MATCH(order_items!$F$1,categories!$A$1:$B$1,0),FALSE)</f>
        <v>Mountain Bikes</v>
      </c>
      <c r="G415">
        <v>2</v>
      </c>
      <c r="H415">
        <v>999.99</v>
      </c>
      <c r="I415" s="5">
        <v>0.2</v>
      </c>
      <c r="J415">
        <f t="shared" si="12"/>
        <v>1599.9840000000002</v>
      </c>
      <c r="K415" s="9">
        <f t="shared" si="13"/>
        <v>-0.15725951613718298</v>
      </c>
    </row>
    <row r="416" spans="1:11" x14ac:dyDescent="0.3">
      <c r="A416">
        <v>146</v>
      </c>
      <c r="B416">
        <v>2</v>
      </c>
      <c r="C416">
        <v>12</v>
      </c>
      <c r="D416" t="str">
        <f>VLOOKUP($C416,products!$A$1:$F$322,MATCH(order_items!$D$1,products!$A$1:$F$1,0),FALSE)</f>
        <v>Electra Townie Original 21D - 2016</v>
      </c>
      <c r="E416">
        <f>VLOOKUP($C416,products!$A$1:$F$322,MATCH(order_items!$E$1,products!$A$1:$F$1,0),FALSE)</f>
        <v>3</v>
      </c>
      <c r="F416" t="str">
        <f>VLOOKUP($E416,categories!$A$1:$B$8,MATCH(order_items!$F$1,categories!$A$1:$B$1,0),FALSE)</f>
        <v>Cruisers Bicycles</v>
      </c>
      <c r="G416">
        <v>1</v>
      </c>
      <c r="H416">
        <v>549.99</v>
      </c>
      <c r="I416" s="5">
        <v>0.1</v>
      </c>
      <c r="J416">
        <f t="shared" si="12"/>
        <v>494.99100000000004</v>
      </c>
      <c r="K416" s="9">
        <f t="shared" si="13"/>
        <v>-0.48993857929220308</v>
      </c>
    </row>
    <row r="417" spans="1:11" x14ac:dyDescent="0.3">
      <c r="A417">
        <v>146</v>
      </c>
      <c r="B417">
        <v>3</v>
      </c>
      <c r="C417">
        <v>20</v>
      </c>
      <c r="D417" t="str">
        <f>VLOOKUP($C417,products!$A$1:$F$322,MATCH(order_items!$D$1,products!$A$1:$F$1,0),FALSE)</f>
        <v>Electra Townie Original 7D EQ - Women's - 2016</v>
      </c>
      <c r="E417">
        <f>VLOOKUP($C417,products!$A$1:$F$322,MATCH(order_items!$E$1,products!$A$1:$F$1,0),FALSE)</f>
        <v>3</v>
      </c>
      <c r="F417" t="str">
        <f>VLOOKUP($E417,categories!$A$1:$B$8,MATCH(order_items!$F$1,categories!$A$1:$B$1,0),FALSE)</f>
        <v>Cruisers Bicycles</v>
      </c>
      <c r="G417">
        <v>2</v>
      </c>
      <c r="H417">
        <v>599.99</v>
      </c>
      <c r="I417" s="5">
        <v>0.1</v>
      </c>
      <c r="J417">
        <f t="shared" si="12"/>
        <v>1079.982</v>
      </c>
      <c r="K417" s="9">
        <f t="shared" si="13"/>
        <v>-0.45297423894164529</v>
      </c>
    </row>
    <row r="418" spans="1:11" x14ac:dyDescent="0.3">
      <c r="A418">
        <v>146</v>
      </c>
      <c r="B418">
        <v>4</v>
      </c>
      <c r="C418">
        <v>6</v>
      </c>
      <c r="D418" t="str">
        <f>VLOOKUP($C418,products!$A$1:$F$322,MATCH(order_items!$D$1,products!$A$1:$F$1,0),FALSE)</f>
        <v>Surly Ice Cream Truck Frameset - 2016</v>
      </c>
      <c r="E418">
        <f>VLOOKUP($C418,products!$A$1:$F$322,MATCH(order_items!$E$1,products!$A$1:$F$1,0),FALSE)</f>
        <v>6</v>
      </c>
      <c r="F418" t="str">
        <f>VLOOKUP($E418,categories!$A$1:$B$8,MATCH(order_items!$F$1,categories!$A$1:$B$1,0),FALSE)</f>
        <v>Mountain Bikes</v>
      </c>
      <c r="G418">
        <v>2</v>
      </c>
      <c r="H418">
        <v>469.99</v>
      </c>
      <c r="I418" s="5">
        <v>0.05</v>
      </c>
      <c r="J418">
        <f t="shared" si="12"/>
        <v>892.98099999999999</v>
      </c>
      <c r="K418" s="9">
        <f t="shared" si="13"/>
        <v>-0.5490815238530955</v>
      </c>
    </row>
    <row r="419" spans="1:11" x14ac:dyDescent="0.3">
      <c r="A419">
        <v>146</v>
      </c>
      <c r="B419">
        <v>5</v>
      </c>
      <c r="C419">
        <v>2</v>
      </c>
      <c r="D419" t="str">
        <f>VLOOKUP($C419,products!$A$1:$F$322,MATCH(order_items!$D$1,products!$A$1:$F$1,0),FALSE)</f>
        <v>Ritchey Timberwolf Frameset - 2016</v>
      </c>
      <c r="E419">
        <f>VLOOKUP($C419,products!$A$1:$F$322,MATCH(order_items!$E$1,products!$A$1:$F$1,0),FALSE)</f>
        <v>6</v>
      </c>
      <c r="F419" t="str">
        <f>VLOOKUP($E419,categories!$A$1:$B$8,MATCH(order_items!$F$1,categories!$A$1:$B$1,0),FALSE)</f>
        <v>Mountain Bikes</v>
      </c>
      <c r="G419">
        <v>1</v>
      </c>
      <c r="H419">
        <v>749.99</v>
      </c>
      <c r="I419" s="5">
        <v>7.0000000000000007E-2</v>
      </c>
      <c r="J419">
        <f t="shared" si="12"/>
        <v>697.49069999999995</v>
      </c>
      <c r="K419" s="9">
        <f t="shared" si="13"/>
        <v>-0.34208121788997192</v>
      </c>
    </row>
    <row r="420" spans="1:11" x14ac:dyDescent="0.3">
      <c r="A420">
        <v>147</v>
      </c>
      <c r="B420">
        <v>1</v>
      </c>
      <c r="C420">
        <v>26</v>
      </c>
      <c r="D420" t="str">
        <f>VLOOKUP($C420,products!$A$1:$F$322,MATCH(order_items!$D$1,products!$A$1:$F$1,0),FALSE)</f>
        <v>Electra Townie Original 7D EQ - 2016</v>
      </c>
      <c r="E420">
        <f>VLOOKUP($C420,products!$A$1:$F$322,MATCH(order_items!$E$1,products!$A$1:$F$1,0),FALSE)</f>
        <v>2</v>
      </c>
      <c r="F420" t="str">
        <f>VLOOKUP($E420,categories!$A$1:$B$8,MATCH(order_items!$F$1,categories!$A$1:$B$1,0),FALSE)</f>
        <v>Comfort Bicycles</v>
      </c>
      <c r="G420">
        <v>2</v>
      </c>
      <c r="H420">
        <v>599.99</v>
      </c>
      <c r="I420" s="5">
        <v>0.2</v>
      </c>
      <c r="J420">
        <f t="shared" si="12"/>
        <v>959.98400000000004</v>
      </c>
      <c r="K420" s="9">
        <f t="shared" si="13"/>
        <v>-0.45297423894164529</v>
      </c>
    </row>
    <row r="421" spans="1:11" x14ac:dyDescent="0.3">
      <c r="A421">
        <v>148</v>
      </c>
      <c r="B421">
        <v>1</v>
      </c>
      <c r="C421">
        <v>14</v>
      </c>
      <c r="D421" t="str">
        <f>VLOOKUP($C421,products!$A$1:$F$322,MATCH(order_items!$D$1,products!$A$1:$F$1,0),FALSE)</f>
        <v>Electra Girl's Hawaii 1 (16-inch) - 2015/2016</v>
      </c>
      <c r="E421">
        <f>VLOOKUP($C421,products!$A$1:$F$322,MATCH(order_items!$E$1,products!$A$1:$F$1,0),FALSE)</f>
        <v>3</v>
      </c>
      <c r="F421" t="str">
        <f>VLOOKUP($E421,categories!$A$1:$B$8,MATCH(order_items!$F$1,categories!$A$1:$B$1,0),FALSE)</f>
        <v>Cruisers Bicycles</v>
      </c>
      <c r="G421">
        <v>1</v>
      </c>
      <c r="H421">
        <v>269.99</v>
      </c>
      <c r="I421" s="5">
        <v>0.05</v>
      </c>
      <c r="J421">
        <f t="shared" si="12"/>
        <v>256.4905</v>
      </c>
      <c r="K421" s="9">
        <f t="shared" si="13"/>
        <v>-0.69693888525532666</v>
      </c>
    </row>
    <row r="422" spans="1:11" x14ac:dyDescent="0.3">
      <c r="A422">
        <v>149</v>
      </c>
      <c r="B422">
        <v>1</v>
      </c>
      <c r="C422">
        <v>12</v>
      </c>
      <c r="D422" t="str">
        <f>VLOOKUP($C422,products!$A$1:$F$322,MATCH(order_items!$D$1,products!$A$1:$F$1,0),FALSE)</f>
        <v>Electra Townie Original 21D - 2016</v>
      </c>
      <c r="E422">
        <f>VLOOKUP($C422,products!$A$1:$F$322,MATCH(order_items!$E$1,products!$A$1:$F$1,0),FALSE)</f>
        <v>3</v>
      </c>
      <c r="F422" t="str">
        <f>VLOOKUP($E422,categories!$A$1:$B$8,MATCH(order_items!$F$1,categories!$A$1:$B$1,0),FALSE)</f>
        <v>Cruisers Bicycles</v>
      </c>
      <c r="G422">
        <v>2</v>
      </c>
      <c r="H422">
        <v>549.99</v>
      </c>
      <c r="I422" s="5">
        <v>7.0000000000000007E-2</v>
      </c>
      <c r="J422">
        <f t="shared" si="12"/>
        <v>1022.9813999999999</v>
      </c>
      <c r="K422" s="9">
        <f t="shared" si="13"/>
        <v>-0.48993857929220308</v>
      </c>
    </row>
    <row r="423" spans="1:11" x14ac:dyDescent="0.3">
      <c r="A423">
        <v>149</v>
      </c>
      <c r="B423">
        <v>2</v>
      </c>
      <c r="C423">
        <v>21</v>
      </c>
      <c r="D423" t="str">
        <f>VLOOKUP($C423,products!$A$1:$F$322,MATCH(order_items!$D$1,products!$A$1:$F$1,0),FALSE)</f>
        <v>Electra Cruiser 1 (24-Inch) - 2016</v>
      </c>
      <c r="E423">
        <f>VLOOKUP($C423,products!$A$1:$F$322,MATCH(order_items!$E$1,products!$A$1:$F$1,0),FALSE)</f>
        <v>1</v>
      </c>
      <c r="F423" t="str">
        <f>VLOOKUP($E423,categories!$A$1:$B$8,MATCH(order_items!$F$1,categories!$A$1:$B$1,0),FALSE)</f>
        <v>Children Bicycles</v>
      </c>
      <c r="G423">
        <v>2</v>
      </c>
      <c r="H423">
        <v>269.99</v>
      </c>
      <c r="I423" s="5">
        <v>7.0000000000000007E-2</v>
      </c>
      <c r="J423">
        <f t="shared" si="12"/>
        <v>502.1814</v>
      </c>
      <c r="K423" s="9">
        <f t="shared" si="13"/>
        <v>-0.69693888525532666</v>
      </c>
    </row>
    <row r="424" spans="1:11" x14ac:dyDescent="0.3">
      <c r="A424">
        <v>150</v>
      </c>
      <c r="B424">
        <v>1</v>
      </c>
      <c r="C424">
        <v>7</v>
      </c>
      <c r="D424" t="str">
        <f>VLOOKUP($C424,products!$A$1:$F$322,MATCH(order_items!$D$1,products!$A$1:$F$1,0),FALSE)</f>
        <v>Trek Slash 8 27.5 - 2016</v>
      </c>
      <c r="E424">
        <f>VLOOKUP($C424,products!$A$1:$F$322,MATCH(order_items!$E$1,products!$A$1:$F$1,0),FALSE)</f>
        <v>6</v>
      </c>
      <c r="F424" t="str">
        <f>VLOOKUP($E424,categories!$A$1:$B$8,MATCH(order_items!$F$1,categories!$A$1:$B$1,0),FALSE)</f>
        <v>Mountain Bikes</v>
      </c>
      <c r="G424">
        <v>1</v>
      </c>
      <c r="H424">
        <v>3999.99</v>
      </c>
      <c r="I424" s="5">
        <v>0.1</v>
      </c>
      <c r="J424">
        <f t="shared" si="12"/>
        <v>3599.991</v>
      </c>
      <c r="K424" s="9">
        <f t="shared" si="13"/>
        <v>2.0606009048962846</v>
      </c>
    </row>
    <row r="425" spans="1:11" x14ac:dyDescent="0.3">
      <c r="A425">
        <v>150</v>
      </c>
      <c r="B425">
        <v>2</v>
      </c>
      <c r="C425">
        <v>3</v>
      </c>
      <c r="D425" t="str">
        <f>VLOOKUP($C425,products!$A$1:$F$322,MATCH(order_items!$D$1,products!$A$1:$F$1,0),FALSE)</f>
        <v>Surly Wednesday Frameset - 2016</v>
      </c>
      <c r="E425">
        <f>VLOOKUP($C425,products!$A$1:$F$322,MATCH(order_items!$E$1,products!$A$1:$F$1,0),FALSE)</f>
        <v>6</v>
      </c>
      <c r="F425" t="str">
        <f>VLOOKUP($E425,categories!$A$1:$B$8,MATCH(order_items!$F$1,categories!$A$1:$B$1,0),FALSE)</f>
        <v>Mountain Bikes</v>
      </c>
      <c r="G425">
        <v>1</v>
      </c>
      <c r="H425">
        <v>999.99</v>
      </c>
      <c r="I425" s="5">
        <v>0.2</v>
      </c>
      <c r="J425">
        <f t="shared" si="12"/>
        <v>799.99200000000008</v>
      </c>
      <c r="K425" s="9">
        <f t="shared" si="13"/>
        <v>-0.15725951613718298</v>
      </c>
    </row>
    <row r="426" spans="1:11" x14ac:dyDescent="0.3">
      <c r="A426">
        <v>150</v>
      </c>
      <c r="B426">
        <v>3</v>
      </c>
      <c r="C426">
        <v>17</v>
      </c>
      <c r="D426" t="str">
        <f>VLOOKUP($C426,products!$A$1:$F$322,MATCH(order_items!$D$1,products!$A$1:$F$1,0),FALSE)</f>
        <v>Pure Cycles Vine 8-Speed - 2016</v>
      </c>
      <c r="E426">
        <f>VLOOKUP($C426,products!$A$1:$F$322,MATCH(order_items!$E$1,products!$A$1:$F$1,0),FALSE)</f>
        <v>3</v>
      </c>
      <c r="F426" t="str">
        <f>VLOOKUP($E426,categories!$A$1:$B$8,MATCH(order_items!$F$1,categories!$A$1:$B$1,0),FALSE)</f>
        <v>Cruisers Bicycles</v>
      </c>
      <c r="G426">
        <v>1</v>
      </c>
      <c r="H426">
        <v>429</v>
      </c>
      <c r="I426" s="5">
        <v>7.0000000000000007E-2</v>
      </c>
      <c r="J426">
        <f t="shared" si="12"/>
        <v>398.96999999999997</v>
      </c>
      <c r="K426" s="9">
        <f t="shared" si="13"/>
        <v>-0.57938489007248284</v>
      </c>
    </row>
    <row r="427" spans="1:11" x14ac:dyDescent="0.3">
      <c r="A427">
        <v>150</v>
      </c>
      <c r="B427">
        <v>4</v>
      </c>
      <c r="C427">
        <v>25</v>
      </c>
      <c r="D427" t="str">
        <f>VLOOKUP($C427,products!$A$1:$F$322,MATCH(order_items!$D$1,products!$A$1:$F$1,0),FALSE)</f>
        <v>Electra Townie Original 7D - 2015/2016</v>
      </c>
      <c r="E427">
        <f>VLOOKUP($C427,products!$A$1:$F$322,MATCH(order_items!$E$1,products!$A$1:$F$1,0),FALSE)</f>
        <v>2</v>
      </c>
      <c r="F427" t="str">
        <f>VLOOKUP($E427,categories!$A$1:$B$8,MATCH(order_items!$F$1,categories!$A$1:$B$1,0),FALSE)</f>
        <v>Comfort Bicycles</v>
      </c>
      <c r="G427">
        <v>2</v>
      </c>
      <c r="H427">
        <v>499.99</v>
      </c>
      <c r="I427" s="5">
        <v>7.0000000000000007E-2</v>
      </c>
      <c r="J427">
        <f t="shared" si="12"/>
        <v>929.98140000000001</v>
      </c>
      <c r="K427" s="9">
        <f t="shared" si="13"/>
        <v>-0.52690291964276081</v>
      </c>
    </row>
    <row r="428" spans="1:11" x14ac:dyDescent="0.3">
      <c r="A428">
        <v>151</v>
      </c>
      <c r="B428">
        <v>1</v>
      </c>
      <c r="C428">
        <v>17</v>
      </c>
      <c r="D428" t="str">
        <f>VLOOKUP($C428,products!$A$1:$F$322,MATCH(order_items!$D$1,products!$A$1:$F$1,0),FALSE)</f>
        <v>Pure Cycles Vine 8-Speed - 2016</v>
      </c>
      <c r="E428">
        <f>VLOOKUP($C428,products!$A$1:$F$322,MATCH(order_items!$E$1,products!$A$1:$F$1,0),FALSE)</f>
        <v>3</v>
      </c>
      <c r="F428" t="str">
        <f>VLOOKUP($E428,categories!$A$1:$B$8,MATCH(order_items!$F$1,categories!$A$1:$B$1,0),FALSE)</f>
        <v>Cruisers Bicycles</v>
      </c>
      <c r="G428">
        <v>1</v>
      </c>
      <c r="H428">
        <v>429</v>
      </c>
      <c r="I428" s="5">
        <v>0.1</v>
      </c>
      <c r="J428">
        <f t="shared" si="12"/>
        <v>386.1</v>
      </c>
      <c r="K428" s="9">
        <f t="shared" si="13"/>
        <v>-0.57938489007248284</v>
      </c>
    </row>
    <row r="429" spans="1:11" x14ac:dyDescent="0.3">
      <c r="A429">
        <v>151</v>
      </c>
      <c r="B429">
        <v>2</v>
      </c>
      <c r="C429">
        <v>26</v>
      </c>
      <c r="D429" t="str">
        <f>VLOOKUP($C429,products!$A$1:$F$322,MATCH(order_items!$D$1,products!$A$1:$F$1,0),FALSE)</f>
        <v>Electra Townie Original 7D EQ - 2016</v>
      </c>
      <c r="E429">
        <f>VLOOKUP($C429,products!$A$1:$F$322,MATCH(order_items!$E$1,products!$A$1:$F$1,0),FALSE)</f>
        <v>2</v>
      </c>
      <c r="F429" t="str">
        <f>VLOOKUP($E429,categories!$A$1:$B$8,MATCH(order_items!$F$1,categories!$A$1:$B$1,0),FALSE)</f>
        <v>Comfort Bicycles</v>
      </c>
      <c r="G429">
        <v>1</v>
      </c>
      <c r="H429">
        <v>599.99</v>
      </c>
      <c r="I429" s="5">
        <v>0.1</v>
      </c>
      <c r="J429">
        <f t="shared" si="12"/>
        <v>539.99099999999999</v>
      </c>
      <c r="K429" s="9">
        <f t="shared" si="13"/>
        <v>-0.45297423894164529</v>
      </c>
    </row>
    <row r="430" spans="1:11" x14ac:dyDescent="0.3">
      <c r="A430">
        <v>152</v>
      </c>
      <c r="B430">
        <v>1</v>
      </c>
      <c r="C430">
        <v>6</v>
      </c>
      <c r="D430" t="str">
        <f>VLOOKUP($C430,products!$A$1:$F$322,MATCH(order_items!$D$1,products!$A$1:$F$1,0),FALSE)</f>
        <v>Surly Ice Cream Truck Frameset - 2016</v>
      </c>
      <c r="E430">
        <f>VLOOKUP($C430,products!$A$1:$F$322,MATCH(order_items!$E$1,products!$A$1:$F$1,0),FALSE)</f>
        <v>6</v>
      </c>
      <c r="F430" t="str">
        <f>VLOOKUP($E430,categories!$A$1:$B$8,MATCH(order_items!$F$1,categories!$A$1:$B$1,0),FALSE)</f>
        <v>Mountain Bikes</v>
      </c>
      <c r="G430">
        <v>2</v>
      </c>
      <c r="H430">
        <v>469.99</v>
      </c>
      <c r="I430" s="5">
        <v>0.2</v>
      </c>
      <c r="J430">
        <f t="shared" si="12"/>
        <v>751.98400000000004</v>
      </c>
      <c r="K430" s="9">
        <f t="shared" si="13"/>
        <v>-0.5490815238530955</v>
      </c>
    </row>
    <row r="431" spans="1:11" x14ac:dyDescent="0.3">
      <c r="A431">
        <v>152</v>
      </c>
      <c r="B431">
        <v>2</v>
      </c>
      <c r="C431">
        <v>22</v>
      </c>
      <c r="D431" t="str">
        <f>VLOOKUP($C431,products!$A$1:$F$322,MATCH(order_items!$D$1,products!$A$1:$F$1,0),FALSE)</f>
        <v>Electra Girl's Hawaii 1 (16-inch) - 2015/2016</v>
      </c>
      <c r="E431">
        <f>VLOOKUP($C431,products!$A$1:$F$322,MATCH(order_items!$E$1,products!$A$1:$F$1,0),FALSE)</f>
        <v>1</v>
      </c>
      <c r="F431" t="str">
        <f>VLOOKUP($E431,categories!$A$1:$B$8,MATCH(order_items!$F$1,categories!$A$1:$B$1,0),FALSE)</f>
        <v>Children Bicycles</v>
      </c>
      <c r="G431">
        <v>2</v>
      </c>
      <c r="H431">
        <v>269.99</v>
      </c>
      <c r="I431" s="5">
        <v>0.2</v>
      </c>
      <c r="J431">
        <f t="shared" si="12"/>
        <v>431.98400000000004</v>
      </c>
      <c r="K431" s="9">
        <f t="shared" si="13"/>
        <v>-0.69693888525532666</v>
      </c>
    </row>
    <row r="432" spans="1:11" x14ac:dyDescent="0.3">
      <c r="A432">
        <v>152</v>
      </c>
      <c r="B432">
        <v>3</v>
      </c>
      <c r="C432">
        <v>16</v>
      </c>
      <c r="D432" t="str">
        <f>VLOOKUP($C432,products!$A$1:$F$322,MATCH(order_items!$D$1,products!$A$1:$F$1,0),FALSE)</f>
        <v>Electra Townie Original 7D EQ - 2016</v>
      </c>
      <c r="E432">
        <f>VLOOKUP($C432,products!$A$1:$F$322,MATCH(order_items!$E$1,products!$A$1:$F$1,0),FALSE)</f>
        <v>3</v>
      </c>
      <c r="F432" t="str">
        <f>VLOOKUP($E432,categories!$A$1:$B$8,MATCH(order_items!$F$1,categories!$A$1:$B$1,0),FALSE)</f>
        <v>Cruisers Bicycles</v>
      </c>
      <c r="G432">
        <v>2</v>
      </c>
      <c r="H432">
        <v>599.99</v>
      </c>
      <c r="I432" s="5">
        <v>7.0000000000000007E-2</v>
      </c>
      <c r="J432">
        <f t="shared" si="12"/>
        <v>1115.9813999999999</v>
      </c>
      <c r="K432" s="9">
        <f t="shared" si="13"/>
        <v>-0.45297423894164529</v>
      </c>
    </row>
    <row r="433" spans="1:11" x14ac:dyDescent="0.3">
      <c r="A433">
        <v>153</v>
      </c>
      <c r="B433">
        <v>1</v>
      </c>
      <c r="C433">
        <v>16</v>
      </c>
      <c r="D433" t="str">
        <f>VLOOKUP($C433,products!$A$1:$F$322,MATCH(order_items!$D$1,products!$A$1:$F$1,0),FALSE)</f>
        <v>Electra Townie Original 7D EQ - 2016</v>
      </c>
      <c r="E433">
        <f>VLOOKUP($C433,products!$A$1:$F$322,MATCH(order_items!$E$1,products!$A$1:$F$1,0),FALSE)</f>
        <v>3</v>
      </c>
      <c r="F433" t="str">
        <f>VLOOKUP($E433,categories!$A$1:$B$8,MATCH(order_items!$F$1,categories!$A$1:$B$1,0),FALSE)</f>
        <v>Cruisers Bicycles</v>
      </c>
      <c r="G433">
        <v>1</v>
      </c>
      <c r="H433">
        <v>599.99</v>
      </c>
      <c r="I433" s="5">
        <v>7.0000000000000007E-2</v>
      </c>
      <c r="J433">
        <f t="shared" si="12"/>
        <v>557.99069999999995</v>
      </c>
      <c r="K433" s="9">
        <f t="shared" si="13"/>
        <v>-0.45297423894164529</v>
      </c>
    </row>
    <row r="434" spans="1:11" x14ac:dyDescent="0.3">
      <c r="A434">
        <v>153</v>
      </c>
      <c r="B434">
        <v>2</v>
      </c>
      <c r="C434">
        <v>8</v>
      </c>
      <c r="D434" t="str">
        <f>VLOOKUP($C434,products!$A$1:$F$322,MATCH(order_items!$D$1,products!$A$1:$F$1,0),FALSE)</f>
        <v>Trek Remedy 29 Carbon Frameset - 2016</v>
      </c>
      <c r="E434">
        <f>VLOOKUP($C434,products!$A$1:$F$322,MATCH(order_items!$E$1,products!$A$1:$F$1,0),FALSE)</f>
        <v>6</v>
      </c>
      <c r="F434" t="str">
        <f>VLOOKUP($E434,categories!$A$1:$B$8,MATCH(order_items!$F$1,categories!$A$1:$B$1,0),FALSE)</f>
        <v>Mountain Bikes</v>
      </c>
      <c r="G434">
        <v>1</v>
      </c>
      <c r="H434">
        <v>1799.99</v>
      </c>
      <c r="I434" s="5">
        <v>7.0000000000000007E-2</v>
      </c>
      <c r="J434">
        <f t="shared" si="12"/>
        <v>1673.9906999999998</v>
      </c>
      <c r="K434" s="9">
        <f t="shared" si="13"/>
        <v>0.43416992947174166</v>
      </c>
    </row>
    <row r="435" spans="1:11" x14ac:dyDescent="0.3">
      <c r="A435">
        <v>153</v>
      </c>
      <c r="B435">
        <v>3</v>
      </c>
      <c r="C435">
        <v>15</v>
      </c>
      <c r="D435" t="str">
        <f>VLOOKUP($C435,products!$A$1:$F$322,MATCH(order_items!$D$1,products!$A$1:$F$1,0),FALSE)</f>
        <v>Electra Moto 1 - 2016</v>
      </c>
      <c r="E435">
        <f>VLOOKUP($C435,products!$A$1:$F$322,MATCH(order_items!$E$1,products!$A$1:$F$1,0),FALSE)</f>
        <v>3</v>
      </c>
      <c r="F435" t="str">
        <f>VLOOKUP($E435,categories!$A$1:$B$8,MATCH(order_items!$F$1,categories!$A$1:$B$1,0),FALSE)</f>
        <v>Cruisers Bicycles</v>
      </c>
      <c r="G435">
        <v>2</v>
      </c>
      <c r="H435">
        <v>529.99</v>
      </c>
      <c r="I435" s="5">
        <v>0.05</v>
      </c>
      <c r="J435">
        <f t="shared" si="12"/>
        <v>1006.981</v>
      </c>
      <c r="K435" s="9">
        <f t="shared" si="13"/>
        <v>-0.50472431543242624</v>
      </c>
    </row>
    <row r="436" spans="1:11" x14ac:dyDescent="0.3">
      <c r="A436">
        <v>154</v>
      </c>
      <c r="B436">
        <v>1</v>
      </c>
      <c r="C436">
        <v>12</v>
      </c>
      <c r="D436" t="str">
        <f>VLOOKUP($C436,products!$A$1:$F$322,MATCH(order_items!$D$1,products!$A$1:$F$1,0),FALSE)</f>
        <v>Electra Townie Original 21D - 2016</v>
      </c>
      <c r="E436">
        <f>VLOOKUP($C436,products!$A$1:$F$322,MATCH(order_items!$E$1,products!$A$1:$F$1,0),FALSE)</f>
        <v>3</v>
      </c>
      <c r="F436" t="str">
        <f>VLOOKUP($E436,categories!$A$1:$B$8,MATCH(order_items!$F$1,categories!$A$1:$B$1,0),FALSE)</f>
        <v>Cruisers Bicycles</v>
      </c>
      <c r="G436">
        <v>1</v>
      </c>
      <c r="H436">
        <v>549.99</v>
      </c>
      <c r="I436" s="5">
        <v>0.1</v>
      </c>
      <c r="J436">
        <f t="shared" si="12"/>
        <v>494.99100000000004</v>
      </c>
      <c r="K436" s="9">
        <f t="shared" si="13"/>
        <v>-0.48993857929220308</v>
      </c>
    </row>
    <row r="437" spans="1:11" x14ac:dyDescent="0.3">
      <c r="A437">
        <v>155</v>
      </c>
      <c r="B437">
        <v>1</v>
      </c>
      <c r="C437">
        <v>8</v>
      </c>
      <c r="D437" t="str">
        <f>VLOOKUP($C437,products!$A$1:$F$322,MATCH(order_items!$D$1,products!$A$1:$F$1,0),FALSE)</f>
        <v>Trek Remedy 29 Carbon Frameset - 2016</v>
      </c>
      <c r="E437">
        <f>VLOOKUP($C437,products!$A$1:$F$322,MATCH(order_items!$E$1,products!$A$1:$F$1,0),FALSE)</f>
        <v>6</v>
      </c>
      <c r="F437" t="str">
        <f>VLOOKUP($E437,categories!$A$1:$B$8,MATCH(order_items!$F$1,categories!$A$1:$B$1,0),FALSE)</f>
        <v>Mountain Bikes</v>
      </c>
      <c r="G437">
        <v>1</v>
      </c>
      <c r="H437">
        <v>1799.99</v>
      </c>
      <c r="I437" s="5">
        <v>0.1</v>
      </c>
      <c r="J437">
        <f t="shared" si="12"/>
        <v>1619.991</v>
      </c>
      <c r="K437" s="9">
        <f t="shared" si="13"/>
        <v>0.43416992947174166</v>
      </c>
    </row>
    <row r="438" spans="1:11" x14ac:dyDescent="0.3">
      <c r="A438">
        <v>156</v>
      </c>
      <c r="B438">
        <v>1</v>
      </c>
      <c r="C438">
        <v>18</v>
      </c>
      <c r="D438" t="str">
        <f>VLOOKUP($C438,products!$A$1:$F$322,MATCH(order_items!$D$1,products!$A$1:$F$1,0),FALSE)</f>
        <v>Pure Cycles Western 3-Speed - Women's - 2015/2016</v>
      </c>
      <c r="E438">
        <f>VLOOKUP($C438,products!$A$1:$F$322,MATCH(order_items!$E$1,products!$A$1:$F$1,0),FALSE)</f>
        <v>3</v>
      </c>
      <c r="F438" t="str">
        <f>VLOOKUP($E438,categories!$A$1:$B$8,MATCH(order_items!$F$1,categories!$A$1:$B$1,0),FALSE)</f>
        <v>Cruisers Bicycles</v>
      </c>
      <c r="G438">
        <v>2</v>
      </c>
      <c r="H438">
        <v>449</v>
      </c>
      <c r="I438" s="5">
        <v>0.2</v>
      </c>
      <c r="J438">
        <f t="shared" si="12"/>
        <v>718.40000000000009</v>
      </c>
      <c r="K438" s="9">
        <f t="shared" si="13"/>
        <v>-0.56459915393225968</v>
      </c>
    </row>
    <row r="439" spans="1:11" x14ac:dyDescent="0.3">
      <c r="A439">
        <v>156</v>
      </c>
      <c r="B439">
        <v>2</v>
      </c>
      <c r="C439">
        <v>17</v>
      </c>
      <c r="D439" t="str">
        <f>VLOOKUP($C439,products!$A$1:$F$322,MATCH(order_items!$D$1,products!$A$1:$F$1,0),FALSE)</f>
        <v>Pure Cycles Vine 8-Speed - 2016</v>
      </c>
      <c r="E439">
        <f>VLOOKUP($C439,products!$A$1:$F$322,MATCH(order_items!$E$1,products!$A$1:$F$1,0),FALSE)</f>
        <v>3</v>
      </c>
      <c r="F439" t="str">
        <f>VLOOKUP($E439,categories!$A$1:$B$8,MATCH(order_items!$F$1,categories!$A$1:$B$1,0),FALSE)</f>
        <v>Cruisers Bicycles</v>
      </c>
      <c r="G439">
        <v>2</v>
      </c>
      <c r="H439">
        <v>429</v>
      </c>
      <c r="I439" s="5">
        <v>0.05</v>
      </c>
      <c r="J439">
        <f t="shared" si="12"/>
        <v>815.09999999999991</v>
      </c>
      <c r="K439" s="9">
        <f t="shared" si="13"/>
        <v>-0.57938489007248284</v>
      </c>
    </row>
    <row r="440" spans="1:11" x14ac:dyDescent="0.3">
      <c r="A440">
        <v>156</v>
      </c>
      <c r="B440">
        <v>3</v>
      </c>
      <c r="C440">
        <v>6</v>
      </c>
      <c r="D440" t="str">
        <f>VLOOKUP($C440,products!$A$1:$F$322,MATCH(order_items!$D$1,products!$A$1:$F$1,0),FALSE)</f>
        <v>Surly Ice Cream Truck Frameset - 2016</v>
      </c>
      <c r="E440">
        <f>VLOOKUP($C440,products!$A$1:$F$322,MATCH(order_items!$E$1,products!$A$1:$F$1,0),FALSE)</f>
        <v>6</v>
      </c>
      <c r="F440" t="str">
        <f>VLOOKUP($E440,categories!$A$1:$B$8,MATCH(order_items!$F$1,categories!$A$1:$B$1,0),FALSE)</f>
        <v>Mountain Bikes</v>
      </c>
      <c r="G440">
        <v>1</v>
      </c>
      <c r="H440">
        <v>469.99</v>
      </c>
      <c r="I440" s="5">
        <v>7.0000000000000007E-2</v>
      </c>
      <c r="J440">
        <f t="shared" si="12"/>
        <v>437.09069999999997</v>
      </c>
      <c r="K440" s="9">
        <f t="shared" si="13"/>
        <v>-0.5490815238530955</v>
      </c>
    </row>
    <row r="441" spans="1:11" x14ac:dyDescent="0.3">
      <c r="A441">
        <v>157</v>
      </c>
      <c r="B441">
        <v>1</v>
      </c>
      <c r="C441">
        <v>4</v>
      </c>
      <c r="D441" t="str">
        <f>VLOOKUP($C441,products!$A$1:$F$322,MATCH(order_items!$D$1,products!$A$1:$F$1,0),FALSE)</f>
        <v>Trek Fuel EX 8 29 - 2016</v>
      </c>
      <c r="E441">
        <f>VLOOKUP($C441,products!$A$1:$F$322,MATCH(order_items!$E$1,products!$A$1:$F$1,0),FALSE)</f>
        <v>6</v>
      </c>
      <c r="F441" t="str">
        <f>VLOOKUP($E441,categories!$A$1:$B$8,MATCH(order_items!$F$1,categories!$A$1:$B$1,0),FALSE)</f>
        <v>Mountain Bikes</v>
      </c>
      <c r="G441">
        <v>1</v>
      </c>
      <c r="H441">
        <v>2899.99</v>
      </c>
      <c r="I441" s="5">
        <v>0.1</v>
      </c>
      <c r="J441">
        <f t="shared" si="12"/>
        <v>2609.991</v>
      </c>
      <c r="K441" s="9">
        <f t="shared" si="13"/>
        <v>1.2473854171840129</v>
      </c>
    </row>
    <row r="442" spans="1:11" x14ac:dyDescent="0.3">
      <c r="A442">
        <v>157</v>
      </c>
      <c r="B442">
        <v>2</v>
      </c>
      <c r="C442">
        <v>7</v>
      </c>
      <c r="D442" t="str">
        <f>VLOOKUP($C442,products!$A$1:$F$322,MATCH(order_items!$D$1,products!$A$1:$F$1,0),FALSE)</f>
        <v>Trek Slash 8 27.5 - 2016</v>
      </c>
      <c r="E442">
        <f>VLOOKUP($C442,products!$A$1:$F$322,MATCH(order_items!$E$1,products!$A$1:$F$1,0),FALSE)</f>
        <v>6</v>
      </c>
      <c r="F442" t="str">
        <f>VLOOKUP($E442,categories!$A$1:$B$8,MATCH(order_items!$F$1,categories!$A$1:$B$1,0),FALSE)</f>
        <v>Mountain Bikes</v>
      </c>
      <c r="G442">
        <v>2</v>
      </c>
      <c r="H442">
        <v>3999.99</v>
      </c>
      <c r="I442" s="5">
        <v>7.0000000000000007E-2</v>
      </c>
      <c r="J442">
        <f t="shared" si="12"/>
        <v>7439.9813999999988</v>
      </c>
      <c r="K442" s="9">
        <f t="shared" si="13"/>
        <v>2.0606009048962846</v>
      </c>
    </row>
    <row r="443" spans="1:11" x14ac:dyDescent="0.3">
      <c r="A443">
        <v>158</v>
      </c>
      <c r="B443">
        <v>1</v>
      </c>
      <c r="C443">
        <v>24</v>
      </c>
      <c r="D443" t="str">
        <f>VLOOKUP($C443,products!$A$1:$F$322,MATCH(order_items!$D$1,products!$A$1:$F$1,0),FALSE)</f>
        <v>Electra Townie Original 21D - 2016</v>
      </c>
      <c r="E443">
        <f>VLOOKUP($C443,products!$A$1:$F$322,MATCH(order_items!$E$1,products!$A$1:$F$1,0),FALSE)</f>
        <v>2</v>
      </c>
      <c r="F443" t="str">
        <f>VLOOKUP($E443,categories!$A$1:$B$8,MATCH(order_items!$F$1,categories!$A$1:$B$1,0),FALSE)</f>
        <v>Comfort Bicycles</v>
      </c>
      <c r="G443">
        <v>1</v>
      </c>
      <c r="H443">
        <v>549.99</v>
      </c>
      <c r="I443" s="5">
        <v>0.1</v>
      </c>
      <c r="J443">
        <f t="shared" si="12"/>
        <v>494.99100000000004</v>
      </c>
      <c r="K443" s="9">
        <f t="shared" si="13"/>
        <v>-0.48993857929220308</v>
      </c>
    </row>
    <row r="444" spans="1:11" x14ac:dyDescent="0.3">
      <c r="A444">
        <v>159</v>
      </c>
      <c r="B444">
        <v>1</v>
      </c>
      <c r="C444">
        <v>13</v>
      </c>
      <c r="D444" t="str">
        <f>VLOOKUP($C444,products!$A$1:$F$322,MATCH(order_items!$D$1,products!$A$1:$F$1,0),FALSE)</f>
        <v>Electra Cruiser 1 (24-Inch) - 2016</v>
      </c>
      <c r="E444">
        <f>VLOOKUP($C444,products!$A$1:$F$322,MATCH(order_items!$E$1,products!$A$1:$F$1,0),FALSE)</f>
        <v>3</v>
      </c>
      <c r="F444" t="str">
        <f>VLOOKUP($E444,categories!$A$1:$B$8,MATCH(order_items!$F$1,categories!$A$1:$B$1,0),FALSE)</f>
        <v>Cruisers Bicycles</v>
      </c>
      <c r="G444">
        <v>1</v>
      </c>
      <c r="H444">
        <v>269.99</v>
      </c>
      <c r="I444" s="5">
        <v>0.2</v>
      </c>
      <c r="J444">
        <f t="shared" si="12"/>
        <v>215.99200000000002</v>
      </c>
      <c r="K444" s="9">
        <f t="shared" si="13"/>
        <v>-0.69693888525532666</v>
      </c>
    </row>
    <row r="445" spans="1:11" x14ac:dyDescent="0.3">
      <c r="A445">
        <v>160</v>
      </c>
      <c r="B445">
        <v>1</v>
      </c>
      <c r="C445">
        <v>21</v>
      </c>
      <c r="D445" t="str">
        <f>VLOOKUP($C445,products!$A$1:$F$322,MATCH(order_items!$D$1,products!$A$1:$F$1,0),FALSE)</f>
        <v>Electra Cruiser 1 (24-Inch) - 2016</v>
      </c>
      <c r="E445">
        <f>VLOOKUP($C445,products!$A$1:$F$322,MATCH(order_items!$E$1,products!$A$1:$F$1,0),FALSE)</f>
        <v>1</v>
      </c>
      <c r="F445" t="str">
        <f>VLOOKUP($E445,categories!$A$1:$B$8,MATCH(order_items!$F$1,categories!$A$1:$B$1,0),FALSE)</f>
        <v>Children Bicycles</v>
      </c>
      <c r="G445">
        <v>1</v>
      </c>
      <c r="H445">
        <v>269.99</v>
      </c>
      <c r="I445" s="5">
        <v>7.0000000000000007E-2</v>
      </c>
      <c r="J445">
        <f t="shared" si="12"/>
        <v>251.0907</v>
      </c>
      <c r="K445" s="9">
        <f t="shared" si="13"/>
        <v>-0.69693888525532666</v>
      </c>
    </row>
    <row r="446" spans="1:11" x14ac:dyDescent="0.3">
      <c r="A446">
        <v>160</v>
      </c>
      <c r="B446">
        <v>2</v>
      </c>
      <c r="C446">
        <v>15</v>
      </c>
      <c r="D446" t="str">
        <f>VLOOKUP($C446,products!$A$1:$F$322,MATCH(order_items!$D$1,products!$A$1:$F$1,0),FALSE)</f>
        <v>Electra Moto 1 - 2016</v>
      </c>
      <c r="E446">
        <f>VLOOKUP($C446,products!$A$1:$F$322,MATCH(order_items!$E$1,products!$A$1:$F$1,0),FALSE)</f>
        <v>3</v>
      </c>
      <c r="F446" t="str">
        <f>VLOOKUP($E446,categories!$A$1:$B$8,MATCH(order_items!$F$1,categories!$A$1:$B$1,0),FALSE)</f>
        <v>Cruisers Bicycles</v>
      </c>
      <c r="G446">
        <v>2</v>
      </c>
      <c r="H446">
        <v>529.99</v>
      </c>
      <c r="I446" s="5">
        <v>7.0000000000000007E-2</v>
      </c>
      <c r="J446">
        <f t="shared" si="12"/>
        <v>985.78139999999996</v>
      </c>
      <c r="K446" s="9">
        <f t="shared" si="13"/>
        <v>-0.50472431543242624</v>
      </c>
    </row>
    <row r="447" spans="1:11" x14ac:dyDescent="0.3">
      <c r="A447">
        <v>160</v>
      </c>
      <c r="B447">
        <v>3</v>
      </c>
      <c r="C447">
        <v>18</v>
      </c>
      <c r="D447" t="str">
        <f>VLOOKUP($C447,products!$A$1:$F$322,MATCH(order_items!$D$1,products!$A$1:$F$1,0),FALSE)</f>
        <v>Pure Cycles Western 3-Speed - Women's - 2015/2016</v>
      </c>
      <c r="E447">
        <f>VLOOKUP($C447,products!$A$1:$F$322,MATCH(order_items!$E$1,products!$A$1:$F$1,0),FALSE)</f>
        <v>3</v>
      </c>
      <c r="F447" t="str">
        <f>VLOOKUP($E447,categories!$A$1:$B$8,MATCH(order_items!$F$1,categories!$A$1:$B$1,0),FALSE)</f>
        <v>Cruisers Bicycles</v>
      </c>
      <c r="G447">
        <v>2</v>
      </c>
      <c r="H447">
        <v>449</v>
      </c>
      <c r="I447" s="5">
        <v>0.1</v>
      </c>
      <c r="J447">
        <f t="shared" si="12"/>
        <v>808.2</v>
      </c>
      <c r="K447" s="9">
        <f t="shared" si="13"/>
        <v>-0.56459915393225968</v>
      </c>
    </row>
    <row r="448" spans="1:11" x14ac:dyDescent="0.3">
      <c r="A448">
        <v>160</v>
      </c>
      <c r="B448">
        <v>4</v>
      </c>
      <c r="C448">
        <v>11</v>
      </c>
      <c r="D448" t="str">
        <f>VLOOKUP($C448,products!$A$1:$F$322,MATCH(order_items!$D$1,products!$A$1:$F$1,0),FALSE)</f>
        <v>Surly Straggler 650b - 2016</v>
      </c>
      <c r="E448">
        <f>VLOOKUP($C448,products!$A$1:$F$322,MATCH(order_items!$E$1,products!$A$1:$F$1,0),FALSE)</f>
        <v>4</v>
      </c>
      <c r="F448" t="str">
        <f>VLOOKUP($E448,categories!$A$1:$B$8,MATCH(order_items!$F$1,categories!$A$1:$B$1,0),FALSE)</f>
        <v>Cyclocross Bicycles</v>
      </c>
      <c r="G448">
        <v>1</v>
      </c>
      <c r="H448">
        <v>1680.99</v>
      </c>
      <c r="I448" s="5">
        <v>0.05</v>
      </c>
      <c r="J448">
        <f t="shared" si="12"/>
        <v>1596.9404999999999</v>
      </c>
      <c r="K448" s="9">
        <f t="shared" si="13"/>
        <v>0.3461947994374141</v>
      </c>
    </row>
    <row r="449" spans="1:11" x14ac:dyDescent="0.3">
      <c r="A449">
        <v>161</v>
      </c>
      <c r="B449">
        <v>1</v>
      </c>
      <c r="C449">
        <v>24</v>
      </c>
      <c r="D449" t="str">
        <f>VLOOKUP($C449,products!$A$1:$F$322,MATCH(order_items!$D$1,products!$A$1:$F$1,0),FALSE)</f>
        <v>Electra Townie Original 21D - 2016</v>
      </c>
      <c r="E449">
        <f>VLOOKUP($C449,products!$A$1:$F$322,MATCH(order_items!$E$1,products!$A$1:$F$1,0),FALSE)</f>
        <v>2</v>
      </c>
      <c r="F449" t="str">
        <f>VLOOKUP($E449,categories!$A$1:$B$8,MATCH(order_items!$F$1,categories!$A$1:$B$1,0),FALSE)</f>
        <v>Comfort Bicycles</v>
      </c>
      <c r="G449">
        <v>2</v>
      </c>
      <c r="H449">
        <v>549.99</v>
      </c>
      <c r="I449" s="5">
        <v>7.0000000000000007E-2</v>
      </c>
      <c r="J449">
        <f t="shared" si="12"/>
        <v>1022.9813999999999</v>
      </c>
      <c r="K449" s="9">
        <f t="shared" si="13"/>
        <v>-0.48993857929220308</v>
      </c>
    </row>
    <row r="450" spans="1:11" x14ac:dyDescent="0.3">
      <c r="A450">
        <v>161</v>
      </c>
      <c r="B450">
        <v>2</v>
      </c>
      <c r="C450">
        <v>22</v>
      </c>
      <c r="D450" t="str">
        <f>VLOOKUP($C450,products!$A$1:$F$322,MATCH(order_items!$D$1,products!$A$1:$F$1,0),FALSE)</f>
        <v>Electra Girl's Hawaii 1 (16-inch) - 2015/2016</v>
      </c>
      <c r="E450">
        <f>VLOOKUP($C450,products!$A$1:$F$322,MATCH(order_items!$E$1,products!$A$1:$F$1,0),FALSE)</f>
        <v>1</v>
      </c>
      <c r="F450" t="str">
        <f>VLOOKUP($E450,categories!$A$1:$B$8,MATCH(order_items!$F$1,categories!$A$1:$B$1,0),FALSE)</f>
        <v>Children Bicycles</v>
      </c>
      <c r="G450">
        <v>1</v>
      </c>
      <c r="H450">
        <v>269.99</v>
      </c>
      <c r="I450" s="5">
        <v>0.05</v>
      </c>
      <c r="J450">
        <f t="shared" ref="J450:J513" si="14">G450*H450*(1-I450)</f>
        <v>256.4905</v>
      </c>
      <c r="K450" s="9">
        <f t="shared" ref="K450:K513" si="15">($H450-$M$7)/$M$9</f>
        <v>-0.69693888525532666</v>
      </c>
    </row>
    <row r="451" spans="1:11" x14ac:dyDescent="0.3">
      <c r="A451">
        <v>161</v>
      </c>
      <c r="B451">
        <v>3</v>
      </c>
      <c r="C451">
        <v>7</v>
      </c>
      <c r="D451" t="str">
        <f>VLOOKUP($C451,products!$A$1:$F$322,MATCH(order_items!$D$1,products!$A$1:$F$1,0),FALSE)</f>
        <v>Trek Slash 8 27.5 - 2016</v>
      </c>
      <c r="E451">
        <f>VLOOKUP($C451,products!$A$1:$F$322,MATCH(order_items!$E$1,products!$A$1:$F$1,0),FALSE)</f>
        <v>6</v>
      </c>
      <c r="F451" t="str">
        <f>VLOOKUP($E451,categories!$A$1:$B$8,MATCH(order_items!$F$1,categories!$A$1:$B$1,0),FALSE)</f>
        <v>Mountain Bikes</v>
      </c>
      <c r="G451">
        <v>2</v>
      </c>
      <c r="H451">
        <v>3999.99</v>
      </c>
      <c r="I451" s="5">
        <v>0.05</v>
      </c>
      <c r="J451">
        <f t="shared" si="14"/>
        <v>7599.9809999999989</v>
      </c>
      <c r="K451" s="9">
        <f t="shared" si="15"/>
        <v>2.0606009048962846</v>
      </c>
    </row>
    <row r="452" spans="1:11" x14ac:dyDescent="0.3">
      <c r="A452">
        <v>162</v>
      </c>
      <c r="B452">
        <v>1</v>
      </c>
      <c r="C452">
        <v>18</v>
      </c>
      <c r="D452" t="str">
        <f>VLOOKUP($C452,products!$A$1:$F$322,MATCH(order_items!$D$1,products!$A$1:$F$1,0),FALSE)</f>
        <v>Pure Cycles Western 3-Speed - Women's - 2015/2016</v>
      </c>
      <c r="E452">
        <f>VLOOKUP($C452,products!$A$1:$F$322,MATCH(order_items!$E$1,products!$A$1:$F$1,0),FALSE)</f>
        <v>3</v>
      </c>
      <c r="F452" t="str">
        <f>VLOOKUP($E452,categories!$A$1:$B$8,MATCH(order_items!$F$1,categories!$A$1:$B$1,0),FALSE)</f>
        <v>Cruisers Bicycles</v>
      </c>
      <c r="G452">
        <v>1</v>
      </c>
      <c r="H452">
        <v>449</v>
      </c>
      <c r="I452" s="5">
        <v>7.0000000000000007E-2</v>
      </c>
      <c r="J452">
        <f t="shared" si="14"/>
        <v>417.57</v>
      </c>
      <c r="K452" s="9">
        <f t="shared" si="15"/>
        <v>-0.56459915393225968</v>
      </c>
    </row>
    <row r="453" spans="1:11" x14ac:dyDescent="0.3">
      <c r="A453">
        <v>162</v>
      </c>
      <c r="B453">
        <v>2</v>
      </c>
      <c r="C453">
        <v>21</v>
      </c>
      <c r="D453" t="str">
        <f>VLOOKUP($C453,products!$A$1:$F$322,MATCH(order_items!$D$1,products!$A$1:$F$1,0),FALSE)</f>
        <v>Electra Cruiser 1 (24-Inch) - 2016</v>
      </c>
      <c r="E453">
        <f>VLOOKUP($C453,products!$A$1:$F$322,MATCH(order_items!$E$1,products!$A$1:$F$1,0),FALSE)</f>
        <v>1</v>
      </c>
      <c r="F453" t="str">
        <f>VLOOKUP($E453,categories!$A$1:$B$8,MATCH(order_items!$F$1,categories!$A$1:$B$1,0),FALSE)</f>
        <v>Children Bicycles</v>
      </c>
      <c r="G453">
        <v>2</v>
      </c>
      <c r="H453">
        <v>269.99</v>
      </c>
      <c r="I453" s="5">
        <v>7.0000000000000007E-2</v>
      </c>
      <c r="J453">
        <f t="shared" si="14"/>
        <v>502.1814</v>
      </c>
      <c r="K453" s="9">
        <f t="shared" si="15"/>
        <v>-0.69693888525532666</v>
      </c>
    </row>
    <row r="454" spans="1:11" x14ac:dyDescent="0.3">
      <c r="A454">
        <v>162</v>
      </c>
      <c r="B454">
        <v>3</v>
      </c>
      <c r="C454">
        <v>3</v>
      </c>
      <c r="D454" t="str">
        <f>VLOOKUP($C454,products!$A$1:$F$322,MATCH(order_items!$D$1,products!$A$1:$F$1,0),FALSE)</f>
        <v>Surly Wednesday Frameset - 2016</v>
      </c>
      <c r="E454">
        <f>VLOOKUP($C454,products!$A$1:$F$322,MATCH(order_items!$E$1,products!$A$1:$F$1,0),FALSE)</f>
        <v>6</v>
      </c>
      <c r="F454" t="str">
        <f>VLOOKUP($E454,categories!$A$1:$B$8,MATCH(order_items!$F$1,categories!$A$1:$B$1,0),FALSE)</f>
        <v>Mountain Bikes</v>
      </c>
      <c r="G454">
        <v>2</v>
      </c>
      <c r="H454">
        <v>999.99</v>
      </c>
      <c r="I454" s="5">
        <v>0.1</v>
      </c>
      <c r="J454">
        <f t="shared" si="14"/>
        <v>1799.982</v>
      </c>
      <c r="K454" s="9">
        <f t="shared" si="15"/>
        <v>-0.15725951613718298</v>
      </c>
    </row>
    <row r="455" spans="1:11" x14ac:dyDescent="0.3">
      <c r="A455">
        <v>163</v>
      </c>
      <c r="B455">
        <v>1</v>
      </c>
      <c r="C455">
        <v>12</v>
      </c>
      <c r="D455" t="str">
        <f>VLOOKUP($C455,products!$A$1:$F$322,MATCH(order_items!$D$1,products!$A$1:$F$1,0),FALSE)</f>
        <v>Electra Townie Original 21D - 2016</v>
      </c>
      <c r="E455">
        <f>VLOOKUP($C455,products!$A$1:$F$322,MATCH(order_items!$E$1,products!$A$1:$F$1,0),FALSE)</f>
        <v>3</v>
      </c>
      <c r="F455" t="str">
        <f>VLOOKUP($E455,categories!$A$1:$B$8,MATCH(order_items!$F$1,categories!$A$1:$B$1,0),FALSE)</f>
        <v>Cruisers Bicycles</v>
      </c>
      <c r="G455">
        <v>1</v>
      </c>
      <c r="H455">
        <v>549.99</v>
      </c>
      <c r="I455" s="5">
        <v>0.1</v>
      </c>
      <c r="J455">
        <f t="shared" si="14"/>
        <v>494.99100000000004</v>
      </c>
      <c r="K455" s="9">
        <f t="shared" si="15"/>
        <v>-0.48993857929220308</v>
      </c>
    </row>
    <row r="456" spans="1:11" x14ac:dyDescent="0.3">
      <c r="A456">
        <v>163</v>
      </c>
      <c r="B456">
        <v>2</v>
      </c>
      <c r="C456">
        <v>18</v>
      </c>
      <c r="D456" t="str">
        <f>VLOOKUP($C456,products!$A$1:$F$322,MATCH(order_items!$D$1,products!$A$1:$F$1,0),FALSE)</f>
        <v>Pure Cycles Western 3-Speed - Women's - 2015/2016</v>
      </c>
      <c r="E456">
        <f>VLOOKUP($C456,products!$A$1:$F$322,MATCH(order_items!$E$1,products!$A$1:$F$1,0),FALSE)</f>
        <v>3</v>
      </c>
      <c r="F456" t="str">
        <f>VLOOKUP($E456,categories!$A$1:$B$8,MATCH(order_items!$F$1,categories!$A$1:$B$1,0),FALSE)</f>
        <v>Cruisers Bicycles</v>
      </c>
      <c r="G456">
        <v>1</v>
      </c>
      <c r="H456">
        <v>449</v>
      </c>
      <c r="I456" s="5">
        <v>0.2</v>
      </c>
      <c r="J456">
        <f t="shared" si="14"/>
        <v>359.20000000000005</v>
      </c>
      <c r="K456" s="9">
        <f t="shared" si="15"/>
        <v>-0.56459915393225968</v>
      </c>
    </row>
    <row r="457" spans="1:11" x14ac:dyDescent="0.3">
      <c r="A457">
        <v>164</v>
      </c>
      <c r="B457">
        <v>1</v>
      </c>
      <c r="C457">
        <v>4</v>
      </c>
      <c r="D457" t="str">
        <f>VLOOKUP($C457,products!$A$1:$F$322,MATCH(order_items!$D$1,products!$A$1:$F$1,0),FALSE)</f>
        <v>Trek Fuel EX 8 29 - 2016</v>
      </c>
      <c r="E457">
        <f>VLOOKUP($C457,products!$A$1:$F$322,MATCH(order_items!$E$1,products!$A$1:$F$1,0),FALSE)</f>
        <v>6</v>
      </c>
      <c r="F457" t="str">
        <f>VLOOKUP($E457,categories!$A$1:$B$8,MATCH(order_items!$F$1,categories!$A$1:$B$1,0),FALSE)</f>
        <v>Mountain Bikes</v>
      </c>
      <c r="G457">
        <v>2</v>
      </c>
      <c r="H457">
        <v>2899.99</v>
      </c>
      <c r="I457" s="5">
        <v>0.05</v>
      </c>
      <c r="J457">
        <f t="shared" si="14"/>
        <v>5509.9809999999998</v>
      </c>
      <c r="K457" s="9">
        <f t="shared" si="15"/>
        <v>1.2473854171840129</v>
      </c>
    </row>
    <row r="458" spans="1:11" x14ac:dyDescent="0.3">
      <c r="A458">
        <v>164</v>
      </c>
      <c r="B458">
        <v>2</v>
      </c>
      <c r="C458">
        <v>10</v>
      </c>
      <c r="D458" t="str">
        <f>VLOOKUP($C458,products!$A$1:$F$322,MATCH(order_items!$D$1,products!$A$1:$F$1,0),FALSE)</f>
        <v>Surly Straggler - 2016</v>
      </c>
      <c r="E458">
        <f>VLOOKUP($C458,products!$A$1:$F$322,MATCH(order_items!$E$1,products!$A$1:$F$1,0),FALSE)</f>
        <v>4</v>
      </c>
      <c r="F458" t="str">
        <f>VLOOKUP($E458,categories!$A$1:$B$8,MATCH(order_items!$F$1,categories!$A$1:$B$1,0),FALSE)</f>
        <v>Cyclocross Bicycles</v>
      </c>
      <c r="G458">
        <v>2</v>
      </c>
      <c r="H458">
        <v>1549</v>
      </c>
      <c r="I458" s="5">
        <v>0.05</v>
      </c>
      <c r="J458">
        <f t="shared" si="14"/>
        <v>2943.1</v>
      </c>
      <c r="K458" s="9">
        <f t="shared" si="15"/>
        <v>0.24861633378001166</v>
      </c>
    </row>
    <row r="459" spans="1:11" x14ac:dyDescent="0.3">
      <c r="A459">
        <v>164</v>
      </c>
      <c r="B459">
        <v>3</v>
      </c>
      <c r="C459">
        <v>14</v>
      </c>
      <c r="D459" t="str">
        <f>VLOOKUP($C459,products!$A$1:$F$322,MATCH(order_items!$D$1,products!$A$1:$F$1,0),FALSE)</f>
        <v>Electra Girl's Hawaii 1 (16-inch) - 2015/2016</v>
      </c>
      <c r="E459">
        <f>VLOOKUP($C459,products!$A$1:$F$322,MATCH(order_items!$E$1,products!$A$1:$F$1,0),FALSE)</f>
        <v>3</v>
      </c>
      <c r="F459" t="str">
        <f>VLOOKUP($E459,categories!$A$1:$B$8,MATCH(order_items!$F$1,categories!$A$1:$B$1,0),FALSE)</f>
        <v>Cruisers Bicycles</v>
      </c>
      <c r="G459">
        <v>1</v>
      </c>
      <c r="H459">
        <v>269.99</v>
      </c>
      <c r="I459" s="5">
        <v>0.1</v>
      </c>
      <c r="J459">
        <f t="shared" si="14"/>
        <v>242.99100000000001</v>
      </c>
      <c r="K459" s="9">
        <f t="shared" si="15"/>
        <v>-0.69693888525532666</v>
      </c>
    </row>
    <row r="460" spans="1:11" x14ac:dyDescent="0.3">
      <c r="A460">
        <v>165</v>
      </c>
      <c r="B460">
        <v>1</v>
      </c>
      <c r="C460">
        <v>4</v>
      </c>
      <c r="D460" t="str">
        <f>VLOOKUP($C460,products!$A$1:$F$322,MATCH(order_items!$D$1,products!$A$1:$F$1,0),FALSE)</f>
        <v>Trek Fuel EX 8 29 - 2016</v>
      </c>
      <c r="E460">
        <f>VLOOKUP($C460,products!$A$1:$F$322,MATCH(order_items!$E$1,products!$A$1:$F$1,0),FALSE)</f>
        <v>6</v>
      </c>
      <c r="F460" t="str">
        <f>VLOOKUP($E460,categories!$A$1:$B$8,MATCH(order_items!$F$1,categories!$A$1:$B$1,0),FALSE)</f>
        <v>Mountain Bikes</v>
      </c>
      <c r="G460">
        <v>2</v>
      </c>
      <c r="H460">
        <v>2899.99</v>
      </c>
      <c r="I460" s="5">
        <v>0.05</v>
      </c>
      <c r="J460">
        <f t="shared" si="14"/>
        <v>5509.9809999999998</v>
      </c>
      <c r="K460" s="9">
        <f t="shared" si="15"/>
        <v>1.2473854171840129</v>
      </c>
    </row>
    <row r="461" spans="1:11" x14ac:dyDescent="0.3">
      <c r="A461">
        <v>165</v>
      </c>
      <c r="B461">
        <v>2</v>
      </c>
      <c r="C461">
        <v>23</v>
      </c>
      <c r="D461" t="str">
        <f>VLOOKUP($C461,products!$A$1:$F$322,MATCH(order_items!$D$1,products!$A$1:$F$1,0),FALSE)</f>
        <v>Electra Girl's Hawaii 1 (20-inch) - 2015/2016</v>
      </c>
      <c r="E461">
        <f>VLOOKUP($C461,products!$A$1:$F$322,MATCH(order_items!$E$1,products!$A$1:$F$1,0),FALSE)</f>
        <v>1</v>
      </c>
      <c r="F461" t="str">
        <f>VLOOKUP($E461,categories!$A$1:$B$8,MATCH(order_items!$F$1,categories!$A$1:$B$1,0),FALSE)</f>
        <v>Children Bicycles</v>
      </c>
      <c r="G461">
        <v>1</v>
      </c>
      <c r="H461">
        <v>299.99</v>
      </c>
      <c r="I461" s="5">
        <v>0.2</v>
      </c>
      <c r="J461">
        <f t="shared" si="14"/>
        <v>239.99200000000002</v>
      </c>
      <c r="K461" s="9">
        <f t="shared" si="15"/>
        <v>-0.67476028104499197</v>
      </c>
    </row>
    <row r="462" spans="1:11" x14ac:dyDescent="0.3">
      <c r="A462">
        <v>165</v>
      </c>
      <c r="B462">
        <v>3</v>
      </c>
      <c r="C462">
        <v>2</v>
      </c>
      <c r="D462" t="str">
        <f>VLOOKUP($C462,products!$A$1:$F$322,MATCH(order_items!$D$1,products!$A$1:$F$1,0),FALSE)</f>
        <v>Ritchey Timberwolf Frameset - 2016</v>
      </c>
      <c r="E462">
        <f>VLOOKUP($C462,products!$A$1:$F$322,MATCH(order_items!$E$1,products!$A$1:$F$1,0),FALSE)</f>
        <v>6</v>
      </c>
      <c r="F462" t="str">
        <f>VLOOKUP($E462,categories!$A$1:$B$8,MATCH(order_items!$F$1,categories!$A$1:$B$1,0),FALSE)</f>
        <v>Mountain Bikes</v>
      </c>
      <c r="G462">
        <v>1</v>
      </c>
      <c r="H462">
        <v>749.99</v>
      </c>
      <c r="I462" s="5">
        <v>0.05</v>
      </c>
      <c r="J462">
        <f t="shared" si="14"/>
        <v>712.4905</v>
      </c>
      <c r="K462" s="9">
        <f t="shared" si="15"/>
        <v>-0.34208121788997192</v>
      </c>
    </row>
    <row r="463" spans="1:11" x14ac:dyDescent="0.3">
      <c r="A463">
        <v>166</v>
      </c>
      <c r="B463">
        <v>1</v>
      </c>
      <c r="C463">
        <v>10</v>
      </c>
      <c r="D463" t="str">
        <f>VLOOKUP($C463,products!$A$1:$F$322,MATCH(order_items!$D$1,products!$A$1:$F$1,0),FALSE)</f>
        <v>Surly Straggler - 2016</v>
      </c>
      <c r="E463">
        <f>VLOOKUP($C463,products!$A$1:$F$322,MATCH(order_items!$E$1,products!$A$1:$F$1,0),FALSE)</f>
        <v>4</v>
      </c>
      <c r="F463" t="str">
        <f>VLOOKUP($E463,categories!$A$1:$B$8,MATCH(order_items!$F$1,categories!$A$1:$B$1,0),FALSE)</f>
        <v>Cyclocross Bicycles</v>
      </c>
      <c r="G463">
        <v>2</v>
      </c>
      <c r="H463">
        <v>1549</v>
      </c>
      <c r="I463" s="5">
        <v>0.1</v>
      </c>
      <c r="J463">
        <f t="shared" si="14"/>
        <v>2788.2000000000003</v>
      </c>
      <c r="K463" s="9">
        <f t="shared" si="15"/>
        <v>0.24861633378001166</v>
      </c>
    </row>
    <row r="464" spans="1:11" x14ac:dyDescent="0.3">
      <c r="A464">
        <v>166</v>
      </c>
      <c r="B464">
        <v>2</v>
      </c>
      <c r="C464">
        <v>11</v>
      </c>
      <c r="D464" t="str">
        <f>VLOOKUP($C464,products!$A$1:$F$322,MATCH(order_items!$D$1,products!$A$1:$F$1,0),FALSE)</f>
        <v>Surly Straggler 650b - 2016</v>
      </c>
      <c r="E464">
        <f>VLOOKUP($C464,products!$A$1:$F$322,MATCH(order_items!$E$1,products!$A$1:$F$1,0),FALSE)</f>
        <v>4</v>
      </c>
      <c r="F464" t="str">
        <f>VLOOKUP($E464,categories!$A$1:$B$8,MATCH(order_items!$F$1,categories!$A$1:$B$1,0),FALSE)</f>
        <v>Cyclocross Bicycles</v>
      </c>
      <c r="G464">
        <v>1</v>
      </c>
      <c r="H464">
        <v>1680.99</v>
      </c>
      <c r="I464" s="5">
        <v>0.2</v>
      </c>
      <c r="J464">
        <f t="shared" si="14"/>
        <v>1344.7920000000001</v>
      </c>
      <c r="K464" s="9">
        <f t="shared" si="15"/>
        <v>0.3461947994374141</v>
      </c>
    </row>
    <row r="465" spans="1:11" x14ac:dyDescent="0.3">
      <c r="A465">
        <v>167</v>
      </c>
      <c r="B465">
        <v>1</v>
      </c>
      <c r="C465">
        <v>12</v>
      </c>
      <c r="D465" t="str">
        <f>VLOOKUP($C465,products!$A$1:$F$322,MATCH(order_items!$D$1,products!$A$1:$F$1,0),FALSE)</f>
        <v>Electra Townie Original 21D - 2016</v>
      </c>
      <c r="E465">
        <f>VLOOKUP($C465,products!$A$1:$F$322,MATCH(order_items!$E$1,products!$A$1:$F$1,0),FALSE)</f>
        <v>3</v>
      </c>
      <c r="F465" t="str">
        <f>VLOOKUP($E465,categories!$A$1:$B$8,MATCH(order_items!$F$1,categories!$A$1:$B$1,0),FALSE)</f>
        <v>Cruisers Bicycles</v>
      </c>
      <c r="G465">
        <v>1</v>
      </c>
      <c r="H465">
        <v>549.99</v>
      </c>
      <c r="I465" s="5">
        <v>0.05</v>
      </c>
      <c r="J465">
        <f t="shared" si="14"/>
        <v>522.4905</v>
      </c>
      <c r="K465" s="9">
        <f t="shared" si="15"/>
        <v>-0.48993857929220308</v>
      </c>
    </row>
    <row r="466" spans="1:11" x14ac:dyDescent="0.3">
      <c r="A466">
        <v>167</v>
      </c>
      <c r="B466">
        <v>2</v>
      </c>
      <c r="C466">
        <v>10</v>
      </c>
      <c r="D466" t="str">
        <f>VLOOKUP($C466,products!$A$1:$F$322,MATCH(order_items!$D$1,products!$A$1:$F$1,0),FALSE)</f>
        <v>Surly Straggler - 2016</v>
      </c>
      <c r="E466">
        <f>VLOOKUP($C466,products!$A$1:$F$322,MATCH(order_items!$E$1,products!$A$1:$F$1,0),FALSE)</f>
        <v>4</v>
      </c>
      <c r="F466" t="str">
        <f>VLOOKUP($E466,categories!$A$1:$B$8,MATCH(order_items!$F$1,categories!$A$1:$B$1,0),FALSE)</f>
        <v>Cyclocross Bicycles</v>
      </c>
      <c r="G466">
        <v>1</v>
      </c>
      <c r="H466">
        <v>1549</v>
      </c>
      <c r="I466" s="5">
        <v>0.2</v>
      </c>
      <c r="J466">
        <f t="shared" si="14"/>
        <v>1239.2</v>
      </c>
      <c r="K466" s="9">
        <f t="shared" si="15"/>
        <v>0.24861633378001166</v>
      </c>
    </row>
    <row r="467" spans="1:11" x14ac:dyDescent="0.3">
      <c r="A467">
        <v>167</v>
      </c>
      <c r="B467">
        <v>3</v>
      </c>
      <c r="C467">
        <v>13</v>
      </c>
      <c r="D467" t="str">
        <f>VLOOKUP($C467,products!$A$1:$F$322,MATCH(order_items!$D$1,products!$A$1:$F$1,0),FALSE)</f>
        <v>Electra Cruiser 1 (24-Inch) - 2016</v>
      </c>
      <c r="E467">
        <f>VLOOKUP($C467,products!$A$1:$F$322,MATCH(order_items!$E$1,products!$A$1:$F$1,0),FALSE)</f>
        <v>3</v>
      </c>
      <c r="F467" t="str">
        <f>VLOOKUP($E467,categories!$A$1:$B$8,MATCH(order_items!$F$1,categories!$A$1:$B$1,0),FALSE)</f>
        <v>Cruisers Bicycles</v>
      </c>
      <c r="G467">
        <v>2</v>
      </c>
      <c r="H467">
        <v>269.99</v>
      </c>
      <c r="I467" s="5">
        <v>0.05</v>
      </c>
      <c r="J467">
        <f t="shared" si="14"/>
        <v>512.98099999999999</v>
      </c>
      <c r="K467" s="9">
        <f t="shared" si="15"/>
        <v>-0.69693888525532666</v>
      </c>
    </row>
    <row r="468" spans="1:11" x14ac:dyDescent="0.3">
      <c r="A468">
        <v>167</v>
      </c>
      <c r="B468">
        <v>4</v>
      </c>
      <c r="C468">
        <v>7</v>
      </c>
      <c r="D468" t="str">
        <f>VLOOKUP($C468,products!$A$1:$F$322,MATCH(order_items!$D$1,products!$A$1:$F$1,0),FALSE)</f>
        <v>Trek Slash 8 27.5 - 2016</v>
      </c>
      <c r="E468">
        <f>VLOOKUP($C468,products!$A$1:$F$322,MATCH(order_items!$E$1,products!$A$1:$F$1,0),FALSE)</f>
        <v>6</v>
      </c>
      <c r="F468" t="str">
        <f>VLOOKUP($E468,categories!$A$1:$B$8,MATCH(order_items!$F$1,categories!$A$1:$B$1,0),FALSE)</f>
        <v>Mountain Bikes</v>
      </c>
      <c r="G468">
        <v>2</v>
      </c>
      <c r="H468">
        <v>3999.99</v>
      </c>
      <c r="I468" s="5">
        <v>0.05</v>
      </c>
      <c r="J468">
        <f t="shared" si="14"/>
        <v>7599.9809999999989</v>
      </c>
      <c r="K468" s="9">
        <f t="shared" si="15"/>
        <v>2.0606009048962846</v>
      </c>
    </row>
    <row r="469" spans="1:11" x14ac:dyDescent="0.3">
      <c r="A469">
        <v>168</v>
      </c>
      <c r="B469">
        <v>1</v>
      </c>
      <c r="C469">
        <v>6</v>
      </c>
      <c r="D469" t="str">
        <f>VLOOKUP($C469,products!$A$1:$F$322,MATCH(order_items!$D$1,products!$A$1:$F$1,0),FALSE)</f>
        <v>Surly Ice Cream Truck Frameset - 2016</v>
      </c>
      <c r="E469">
        <f>VLOOKUP($C469,products!$A$1:$F$322,MATCH(order_items!$E$1,products!$A$1:$F$1,0),FALSE)</f>
        <v>6</v>
      </c>
      <c r="F469" t="str">
        <f>VLOOKUP($E469,categories!$A$1:$B$8,MATCH(order_items!$F$1,categories!$A$1:$B$1,0),FALSE)</f>
        <v>Mountain Bikes</v>
      </c>
      <c r="G469">
        <v>1</v>
      </c>
      <c r="H469">
        <v>469.99</v>
      </c>
      <c r="I469" s="5">
        <v>0.1</v>
      </c>
      <c r="J469">
        <f t="shared" si="14"/>
        <v>422.99100000000004</v>
      </c>
      <c r="K469" s="9">
        <f t="shared" si="15"/>
        <v>-0.5490815238530955</v>
      </c>
    </row>
    <row r="470" spans="1:11" x14ac:dyDescent="0.3">
      <c r="A470">
        <v>168</v>
      </c>
      <c r="B470">
        <v>2</v>
      </c>
      <c r="C470">
        <v>11</v>
      </c>
      <c r="D470" t="str">
        <f>VLOOKUP($C470,products!$A$1:$F$322,MATCH(order_items!$D$1,products!$A$1:$F$1,0),FALSE)</f>
        <v>Surly Straggler 650b - 2016</v>
      </c>
      <c r="E470">
        <f>VLOOKUP($C470,products!$A$1:$F$322,MATCH(order_items!$E$1,products!$A$1:$F$1,0),FALSE)</f>
        <v>4</v>
      </c>
      <c r="F470" t="str">
        <f>VLOOKUP($E470,categories!$A$1:$B$8,MATCH(order_items!$F$1,categories!$A$1:$B$1,0),FALSE)</f>
        <v>Cyclocross Bicycles</v>
      </c>
      <c r="G470">
        <v>2</v>
      </c>
      <c r="H470">
        <v>1680.99</v>
      </c>
      <c r="I470" s="5">
        <v>7.0000000000000007E-2</v>
      </c>
      <c r="J470">
        <f t="shared" si="14"/>
        <v>3126.6414</v>
      </c>
      <c r="K470" s="9">
        <f t="shared" si="15"/>
        <v>0.3461947994374141</v>
      </c>
    </row>
    <row r="471" spans="1:11" x14ac:dyDescent="0.3">
      <c r="A471">
        <v>168</v>
      </c>
      <c r="B471">
        <v>3</v>
      </c>
      <c r="C471">
        <v>12</v>
      </c>
      <c r="D471" t="str">
        <f>VLOOKUP($C471,products!$A$1:$F$322,MATCH(order_items!$D$1,products!$A$1:$F$1,0),FALSE)</f>
        <v>Electra Townie Original 21D - 2016</v>
      </c>
      <c r="E471">
        <f>VLOOKUP($C471,products!$A$1:$F$322,MATCH(order_items!$E$1,products!$A$1:$F$1,0),FALSE)</f>
        <v>3</v>
      </c>
      <c r="F471" t="str">
        <f>VLOOKUP($E471,categories!$A$1:$B$8,MATCH(order_items!$F$1,categories!$A$1:$B$1,0),FALSE)</f>
        <v>Cruisers Bicycles</v>
      </c>
      <c r="G471">
        <v>2</v>
      </c>
      <c r="H471">
        <v>549.99</v>
      </c>
      <c r="I471" s="5">
        <v>7.0000000000000007E-2</v>
      </c>
      <c r="J471">
        <f t="shared" si="14"/>
        <v>1022.9813999999999</v>
      </c>
      <c r="K471" s="9">
        <f t="shared" si="15"/>
        <v>-0.48993857929220308</v>
      </c>
    </row>
    <row r="472" spans="1:11" x14ac:dyDescent="0.3">
      <c r="A472">
        <v>168</v>
      </c>
      <c r="B472">
        <v>4</v>
      </c>
      <c r="C472">
        <v>22</v>
      </c>
      <c r="D472" t="str">
        <f>VLOOKUP($C472,products!$A$1:$F$322,MATCH(order_items!$D$1,products!$A$1:$F$1,0),FALSE)</f>
        <v>Electra Girl's Hawaii 1 (16-inch) - 2015/2016</v>
      </c>
      <c r="E472">
        <f>VLOOKUP($C472,products!$A$1:$F$322,MATCH(order_items!$E$1,products!$A$1:$F$1,0),FALSE)</f>
        <v>1</v>
      </c>
      <c r="F472" t="str">
        <f>VLOOKUP($E472,categories!$A$1:$B$8,MATCH(order_items!$F$1,categories!$A$1:$B$1,0),FALSE)</f>
        <v>Children Bicycles</v>
      </c>
      <c r="G472">
        <v>2</v>
      </c>
      <c r="H472">
        <v>269.99</v>
      </c>
      <c r="I472" s="5">
        <v>0.2</v>
      </c>
      <c r="J472">
        <f t="shared" si="14"/>
        <v>431.98400000000004</v>
      </c>
      <c r="K472" s="9">
        <f t="shared" si="15"/>
        <v>-0.69693888525532666</v>
      </c>
    </row>
    <row r="473" spans="1:11" x14ac:dyDescent="0.3">
      <c r="A473">
        <v>169</v>
      </c>
      <c r="B473">
        <v>1</v>
      </c>
      <c r="C473">
        <v>20</v>
      </c>
      <c r="D473" t="str">
        <f>VLOOKUP($C473,products!$A$1:$F$322,MATCH(order_items!$D$1,products!$A$1:$F$1,0),FALSE)</f>
        <v>Electra Townie Original 7D EQ - Women's - 2016</v>
      </c>
      <c r="E473">
        <f>VLOOKUP($C473,products!$A$1:$F$322,MATCH(order_items!$E$1,products!$A$1:$F$1,0),FALSE)</f>
        <v>3</v>
      </c>
      <c r="F473" t="str">
        <f>VLOOKUP($E473,categories!$A$1:$B$8,MATCH(order_items!$F$1,categories!$A$1:$B$1,0),FALSE)</f>
        <v>Cruisers Bicycles</v>
      </c>
      <c r="G473">
        <v>2</v>
      </c>
      <c r="H473">
        <v>599.99</v>
      </c>
      <c r="I473" s="5">
        <v>0.1</v>
      </c>
      <c r="J473">
        <f t="shared" si="14"/>
        <v>1079.982</v>
      </c>
      <c r="K473" s="9">
        <f t="shared" si="15"/>
        <v>-0.45297423894164529</v>
      </c>
    </row>
    <row r="474" spans="1:11" x14ac:dyDescent="0.3">
      <c r="A474">
        <v>169</v>
      </c>
      <c r="B474">
        <v>2</v>
      </c>
      <c r="C474">
        <v>5</v>
      </c>
      <c r="D474" t="str">
        <f>VLOOKUP($C474,products!$A$1:$F$322,MATCH(order_items!$D$1,products!$A$1:$F$1,0),FALSE)</f>
        <v>Heller Shagamaw Frame - 2016</v>
      </c>
      <c r="E474">
        <f>VLOOKUP($C474,products!$A$1:$F$322,MATCH(order_items!$E$1,products!$A$1:$F$1,0),FALSE)</f>
        <v>6</v>
      </c>
      <c r="F474" t="str">
        <f>VLOOKUP($E474,categories!$A$1:$B$8,MATCH(order_items!$F$1,categories!$A$1:$B$1,0),FALSE)</f>
        <v>Mountain Bikes</v>
      </c>
      <c r="G474">
        <v>1</v>
      </c>
      <c r="H474">
        <v>1320.99</v>
      </c>
      <c r="I474" s="5">
        <v>0.05</v>
      </c>
      <c r="J474">
        <f t="shared" si="14"/>
        <v>1254.9404999999999</v>
      </c>
      <c r="K474" s="9">
        <f t="shared" si="15"/>
        <v>8.0051548913398024E-2</v>
      </c>
    </row>
    <row r="475" spans="1:11" x14ac:dyDescent="0.3">
      <c r="A475">
        <v>169</v>
      </c>
      <c r="B475">
        <v>3</v>
      </c>
      <c r="C475">
        <v>10</v>
      </c>
      <c r="D475" t="str">
        <f>VLOOKUP($C475,products!$A$1:$F$322,MATCH(order_items!$D$1,products!$A$1:$F$1,0),FALSE)</f>
        <v>Surly Straggler - 2016</v>
      </c>
      <c r="E475">
        <f>VLOOKUP($C475,products!$A$1:$F$322,MATCH(order_items!$E$1,products!$A$1:$F$1,0),FALSE)</f>
        <v>4</v>
      </c>
      <c r="F475" t="str">
        <f>VLOOKUP($E475,categories!$A$1:$B$8,MATCH(order_items!$F$1,categories!$A$1:$B$1,0),FALSE)</f>
        <v>Cyclocross Bicycles</v>
      </c>
      <c r="G475">
        <v>1</v>
      </c>
      <c r="H475">
        <v>1549</v>
      </c>
      <c r="I475" s="5">
        <v>0.2</v>
      </c>
      <c r="J475">
        <f t="shared" si="14"/>
        <v>1239.2</v>
      </c>
      <c r="K475" s="9">
        <f t="shared" si="15"/>
        <v>0.24861633378001166</v>
      </c>
    </row>
    <row r="476" spans="1:11" x14ac:dyDescent="0.3">
      <c r="A476">
        <v>169</v>
      </c>
      <c r="B476">
        <v>4</v>
      </c>
      <c r="C476">
        <v>11</v>
      </c>
      <c r="D476" t="str">
        <f>VLOOKUP($C476,products!$A$1:$F$322,MATCH(order_items!$D$1,products!$A$1:$F$1,0),FALSE)</f>
        <v>Surly Straggler 650b - 2016</v>
      </c>
      <c r="E476">
        <f>VLOOKUP($C476,products!$A$1:$F$322,MATCH(order_items!$E$1,products!$A$1:$F$1,0),FALSE)</f>
        <v>4</v>
      </c>
      <c r="F476" t="str">
        <f>VLOOKUP($E476,categories!$A$1:$B$8,MATCH(order_items!$F$1,categories!$A$1:$B$1,0),FALSE)</f>
        <v>Cyclocross Bicycles</v>
      </c>
      <c r="G476">
        <v>1</v>
      </c>
      <c r="H476">
        <v>1680.99</v>
      </c>
      <c r="I476" s="5">
        <v>0.2</v>
      </c>
      <c r="J476">
        <f t="shared" si="14"/>
        <v>1344.7920000000001</v>
      </c>
      <c r="K476" s="9">
        <f t="shared" si="15"/>
        <v>0.3461947994374141</v>
      </c>
    </row>
    <row r="477" spans="1:11" x14ac:dyDescent="0.3">
      <c r="A477">
        <v>169</v>
      </c>
      <c r="B477">
        <v>5</v>
      </c>
      <c r="C477">
        <v>14</v>
      </c>
      <c r="D477" t="str">
        <f>VLOOKUP($C477,products!$A$1:$F$322,MATCH(order_items!$D$1,products!$A$1:$F$1,0),FALSE)</f>
        <v>Electra Girl's Hawaii 1 (16-inch) - 2015/2016</v>
      </c>
      <c r="E477">
        <f>VLOOKUP($C477,products!$A$1:$F$322,MATCH(order_items!$E$1,products!$A$1:$F$1,0),FALSE)</f>
        <v>3</v>
      </c>
      <c r="F477" t="str">
        <f>VLOOKUP($E477,categories!$A$1:$B$8,MATCH(order_items!$F$1,categories!$A$1:$B$1,0),FALSE)</f>
        <v>Cruisers Bicycles</v>
      </c>
      <c r="G477">
        <v>2</v>
      </c>
      <c r="H477">
        <v>269.99</v>
      </c>
      <c r="I477" s="5">
        <v>0.05</v>
      </c>
      <c r="J477">
        <f t="shared" si="14"/>
        <v>512.98099999999999</v>
      </c>
      <c r="K477" s="9">
        <f t="shared" si="15"/>
        <v>-0.69693888525532666</v>
      </c>
    </row>
    <row r="478" spans="1:11" x14ac:dyDescent="0.3">
      <c r="A478">
        <v>170</v>
      </c>
      <c r="B478">
        <v>1</v>
      </c>
      <c r="C478">
        <v>12</v>
      </c>
      <c r="D478" t="str">
        <f>VLOOKUP($C478,products!$A$1:$F$322,MATCH(order_items!$D$1,products!$A$1:$F$1,0),FALSE)</f>
        <v>Electra Townie Original 21D - 2016</v>
      </c>
      <c r="E478">
        <f>VLOOKUP($C478,products!$A$1:$F$322,MATCH(order_items!$E$1,products!$A$1:$F$1,0),FALSE)</f>
        <v>3</v>
      </c>
      <c r="F478" t="str">
        <f>VLOOKUP($E478,categories!$A$1:$B$8,MATCH(order_items!$F$1,categories!$A$1:$B$1,0),FALSE)</f>
        <v>Cruisers Bicycles</v>
      </c>
      <c r="G478">
        <v>2</v>
      </c>
      <c r="H478">
        <v>549.99</v>
      </c>
      <c r="I478" s="5">
        <v>0.1</v>
      </c>
      <c r="J478">
        <f t="shared" si="14"/>
        <v>989.98200000000008</v>
      </c>
      <c r="K478" s="9">
        <f t="shared" si="15"/>
        <v>-0.48993857929220308</v>
      </c>
    </row>
    <row r="479" spans="1:11" x14ac:dyDescent="0.3">
      <c r="A479">
        <v>170</v>
      </c>
      <c r="B479">
        <v>2</v>
      </c>
      <c r="C479">
        <v>24</v>
      </c>
      <c r="D479" t="str">
        <f>VLOOKUP($C479,products!$A$1:$F$322,MATCH(order_items!$D$1,products!$A$1:$F$1,0),FALSE)</f>
        <v>Electra Townie Original 21D - 2016</v>
      </c>
      <c r="E479">
        <f>VLOOKUP($C479,products!$A$1:$F$322,MATCH(order_items!$E$1,products!$A$1:$F$1,0),FALSE)</f>
        <v>2</v>
      </c>
      <c r="F479" t="str">
        <f>VLOOKUP($E479,categories!$A$1:$B$8,MATCH(order_items!$F$1,categories!$A$1:$B$1,0),FALSE)</f>
        <v>Comfort Bicycles</v>
      </c>
      <c r="G479">
        <v>1</v>
      </c>
      <c r="H479">
        <v>549.99</v>
      </c>
      <c r="I479" s="5">
        <v>0.05</v>
      </c>
      <c r="J479">
        <f t="shared" si="14"/>
        <v>522.4905</v>
      </c>
      <c r="K479" s="9">
        <f t="shared" si="15"/>
        <v>-0.48993857929220308</v>
      </c>
    </row>
    <row r="480" spans="1:11" x14ac:dyDescent="0.3">
      <c r="A480">
        <v>170</v>
      </c>
      <c r="B480">
        <v>3</v>
      </c>
      <c r="C480">
        <v>7</v>
      </c>
      <c r="D480" t="str">
        <f>VLOOKUP($C480,products!$A$1:$F$322,MATCH(order_items!$D$1,products!$A$1:$F$1,0),FALSE)</f>
        <v>Trek Slash 8 27.5 - 2016</v>
      </c>
      <c r="E480">
        <f>VLOOKUP($C480,products!$A$1:$F$322,MATCH(order_items!$E$1,products!$A$1:$F$1,0),FALSE)</f>
        <v>6</v>
      </c>
      <c r="F480" t="str">
        <f>VLOOKUP($E480,categories!$A$1:$B$8,MATCH(order_items!$F$1,categories!$A$1:$B$1,0),FALSE)</f>
        <v>Mountain Bikes</v>
      </c>
      <c r="G480">
        <v>1</v>
      </c>
      <c r="H480">
        <v>3999.99</v>
      </c>
      <c r="I480" s="5">
        <v>0.2</v>
      </c>
      <c r="J480">
        <f t="shared" si="14"/>
        <v>3199.9920000000002</v>
      </c>
      <c r="K480" s="9">
        <f t="shared" si="15"/>
        <v>2.0606009048962846</v>
      </c>
    </row>
    <row r="481" spans="1:11" x14ac:dyDescent="0.3">
      <c r="A481">
        <v>170</v>
      </c>
      <c r="B481">
        <v>4</v>
      </c>
      <c r="C481">
        <v>18</v>
      </c>
      <c r="D481" t="str">
        <f>VLOOKUP($C481,products!$A$1:$F$322,MATCH(order_items!$D$1,products!$A$1:$F$1,0),FALSE)</f>
        <v>Pure Cycles Western 3-Speed - Women's - 2015/2016</v>
      </c>
      <c r="E481">
        <f>VLOOKUP($C481,products!$A$1:$F$322,MATCH(order_items!$E$1,products!$A$1:$F$1,0),FALSE)</f>
        <v>3</v>
      </c>
      <c r="F481" t="str">
        <f>VLOOKUP($E481,categories!$A$1:$B$8,MATCH(order_items!$F$1,categories!$A$1:$B$1,0),FALSE)</f>
        <v>Cruisers Bicycles</v>
      </c>
      <c r="G481">
        <v>2</v>
      </c>
      <c r="H481">
        <v>449</v>
      </c>
      <c r="I481" s="5">
        <v>0.05</v>
      </c>
      <c r="J481">
        <f t="shared" si="14"/>
        <v>853.09999999999991</v>
      </c>
      <c r="K481" s="9">
        <f t="shared" si="15"/>
        <v>-0.56459915393225968</v>
      </c>
    </row>
    <row r="482" spans="1:11" x14ac:dyDescent="0.3">
      <c r="A482">
        <v>171</v>
      </c>
      <c r="B482">
        <v>1</v>
      </c>
      <c r="C482">
        <v>8</v>
      </c>
      <c r="D482" t="str">
        <f>VLOOKUP($C482,products!$A$1:$F$322,MATCH(order_items!$D$1,products!$A$1:$F$1,0),FALSE)</f>
        <v>Trek Remedy 29 Carbon Frameset - 2016</v>
      </c>
      <c r="E482">
        <f>VLOOKUP($C482,products!$A$1:$F$322,MATCH(order_items!$E$1,products!$A$1:$F$1,0),FALSE)</f>
        <v>6</v>
      </c>
      <c r="F482" t="str">
        <f>VLOOKUP($E482,categories!$A$1:$B$8,MATCH(order_items!$F$1,categories!$A$1:$B$1,0),FALSE)</f>
        <v>Mountain Bikes</v>
      </c>
      <c r="G482">
        <v>1</v>
      </c>
      <c r="H482">
        <v>1799.99</v>
      </c>
      <c r="I482" s="5">
        <v>0.05</v>
      </c>
      <c r="J482">
        <f t="shared" si="14"/>
        <v>1709.9904999999999</v>
      </c>
      <c r="K482" s="9">
        <f t="shared" si="15"/>
        <v>0.43416992947174166</v>
      </c>
    </row>
    <row r="483" spans="1:11" x14ac:dyDescent="0.3">
      <c r="A483">
        <v>172</v>
      </c>
      <c r="B483">
        <v>1</v>
      </c>
      <c r="C483">
        <v>23</v>
      </c>
      <c r="D483" t="str">
        <f>VLOOKUP($C483,products!$A$1:$F$322,MATCH(order_items!$D$1,products!$A$1:$F$1,0),FALSE)</f>
        <v>Electra Girl's Hawaii 1 (20-inch) - 2015/2016</v>
      </c>
      <c r="E483">
        <f>VLOOKUP($C483,products!$A$1:$F$322,MATCH(order_items!$E$1,products!$A$1:$F$1,0),FALSE)</f>
        <v>1</v>
      </c>
      <c r="F483" t="str">
        <f>VLOOKUP($E483,categories!$A$1:$B$8,MATCH(order_items!$F$1,categories!$A$1:$B$1,0),FALSE)</f>
        <v>Children Bicycles</v>
      </c>
      <c r="G483">
        <v>1</v>
      </c>
      <c r="H483">
        <v>299.99</v>
      </c>
      <c r="I483" s="5">
        <v>7.0000000000000007E-2</v>
      </c>
      <c r="J483">
        <f t="shared" si="14"/>
        <v>278.9907</v>
      </c>
      <c r="K483" s="9">
        <f t="shared" si="15"/>
        <v>-0.67476028104499197</v>
      </c>
    </row>
    <row r="484" spans="1:11" x14ac:dyDescent="0.3">
      <c r="A484">
        <v>172</v>
      </c>
      <c r="B484">
        <v>2</v>
      </c>
      <c r="C484">
        <v>16</v>
      </c>
      <c r="D484" t="str">
        <f>VLOOKUP($C484,products!$A$1:$F$322,MATCH(order_items!$D$1,products!$A$1:$F$1,0),FALSE)</f>
        <v>Electra Townie Original 7D EQ - 2016</v>
      </c>
      <c r="E484">
        <f>VLOOKUP($C484,products!$A$1:$F$322,MATCH(order_items!$E$1,products!$A$1:$F$1,0),FALSE)</f>
        <v>3</v>
      </c>
      <c r="F484" t="str">
        <f>VLOOKUP($E484,categories!$A$1:$B$8,MATCH(order_items!$F$1,categories!$A$1:$B$1,0),FALSE)</f>
        <v>Cruisers Bicycles</v>
      </c>
      <c r="G484">
        <v>1</v>
      </c>
      <c r="H484">
        <v>599.99</v>
      </c>
      <c r="I484" s="5">
        <v>0.2</v>
      </c>
      <c r="J484">
        <f t="shared" si="14"/>
        <v>479.99200000000002</v>
      </c>
      <c r="K484" s="9">
        <f t="shared" si="15"/>
        <v>-0.45297423894164529</v>
      </c>
    </row>
    <row r="485" spans="1:11" x14ac:dyDescent="0.3">
      <c r="A485">
        <v>173</v>
      </c>
      <c r="B485">
        <v>1</v>
      </c>
      <c r="C485">
        <v>14</v>
      </c>
      <c r="D485" t="str">
        <f>VLOOKUP($C485,products!$A$1:$F$322,MATCH(order_items!$D$1,products!$A$1:$F$1,0),FALSE)</f>
        <v>Electra Girl's Hawaii 1 (16-inch) - 2015/2016</v>
      </c>
      <c r="E485">
        <f>VLOOKUP($C485,products!$A$1:$F$322,MATCH(order_items!$E$1,products!$A$1:$F$1,0),FALSE)</f>
        <v>3</v>
      </c>
      <c r="F485" t="str">
        <f>VLOOKUP($E485,categories!$A$1:$B$8,MATCH(order_items!$F$1,categories!$A$1:$B$1,0),FALSE)</f>
        <v>Cruisers Bicycles</v>
      </c>
      <c r="G485">
        <v>1</v>
      </c>
      <c r="H485">
        <v>269.99</v>
      </c>
      <c r="I485" s="5">
        <v>0.05</v>
      </c>
      <c r="J485">
        <f t="shared" si="14"/>
        <v>256.4905</v>
      </c>
      <c r="K485" s="9">
        <f t="shared" si="15"/>
        <v>-0.69693888525532666</v>
      </c>
    </row>
    <row r="486" spans="1:11" x14ac:dyDescent="0.3">
      <c r="A486">
        <v>173</v>
      </c>
      <c r="B486">
        <v>2</v>
      </c>
      <c r="C486">
        <v>16</v>
      </c>
      <c r="D486" t="str">
        <f>VLOOKUP($C486,products!$A$1:$F$322,MATCH(order_items!$D$1,products!$A$1:$F$1,0),FALSE)</f>
        <v>Electra Townie Original 7D EQ - 2016</v>
      </c>
      <c r="E486">
        <f>VLOOKUP($C486,products!$A$1:$F$322,MATCH(order_items!$E$1,products!$A$1:$F$1,0),FALSE)</f>
        <v>3</v>
      </c>
      <c r="F486" t="str">
        <f>VLOOKUP($E486,categories!$A$1:$B$8,MATCH(order_items!$F$1,categories!$A$1:$B$1,0),FALSE)</f>
        <v>Cruisers Bicycles</v>
      </c>
      <c r="G486">
        <v>1</v>
      </c>
      <c r="H486">
        <v>599.99</v>
      </c>
      <c r="I486" s="5">
        <v>0.2</v>
      </c>
      <c r="J486">
        <f t="shared" si="14"/>
        <v>479.99200000000002</v>
      </c>
      <c r="K486" s="9">
        <f t="shared" si="15"/>
        <v>-0.45297423894164529</v>
      </c>
    </row>
    <row r="487" spans="1:11" x14ac:dyDescent="0.3">
      <c r="A487">
        <v>173</v>
      </c>
      <c r="B487">
        <v>3</v>
      </c>
      <c r="C487">
        <v>20</v>
      </c>
      <c r="D487" t="str">
        <f>VLOOKUP($C487,products!$A$1:$F$322,MATCH(order_items!$D$1,products!$A$1:$F$1,0),FALSE)</f>
        <v>Electra Townie Original 7D EQ - Women's - 2016</v>
      </c>
      <c r="E487">
        <f>VLOOKUP($C487,products!$A$1:$F$322,MATCH(order_items!$E$1,products!$A$1:$F$1,0),FALSE)</f>
        <v>3</v>
      </c>
      <c r="F487" t="str">
        <f>VLOOKUP($E487,categories!$A$1:$B$8,MATCH(order_items!$F$1,categories!$A$1:$B$1,0),FALSE)</f>
        <v>Cruisers Bicycles</v>
      </c>
      <c r="G487">
        <v>2</v>
      </c>
      <c r="H487">
        <v>599.99</v>
      </c>
      <c r="I487" s="5">
        <v>0.05</v>
      </c>
      <c r="J487">
        <f t="shared" si="14"/>
        <v>1139.981</v>
      </c>
      <c r="K487" s="9">
        <f t="shared" si="15"/>
        <v>-0.45297423894164529</v>
      </c>
    </row>
    <row r="488" spans="1:11" x14ac:dyDescent="0.3">
      <c r="A488">
        <v>174</v>
      </c>
      <c r="B488">
        <v>1</v>
      </c>
      <c r="C488">
        <v>22</v>
      </c>
      <c r="D488" t="str">
        <f>VLOOKUP($C488,products!$A$1:$F$322,MATCH(order_items!$D$1,products!$A$1:$F$1,0),FALSE)</f>
        <v>Electra Girl's Hawaii 1 (16-inch) - 2015/2016</v>
      </c>
      <c r="E488">
        <f>VLOOKUP($C488,products!$A$1:$F$322,MATCH(order_items!$E$1,products!$A$1:$F$1,0),FALSE)</f>
        <v>1</v>
      </c>
      <c r="F488" t="str">
        <f>VLOOKUP($E488,categories!$A$1:$B$8,MATCH(order_items!$F$1,categories!$A$1:$B$1,0),FALSE)</f>
        <v>Children Bicycles</v>
      </c>
      <c r="G488">
        <v>2</v>
      </c>
      <c r="H488">
        <v>269.99</v>
      </c>
      <c r="I488" s="5">
        <v>0.2</v>
      </c>
      <c r="J488">
        <f t="shared" si="14"/>
        <v>431.98400000000004</v>
      </c>
      <c r="K488" s="9">
        <f t="shared" si="15"/>
        <v>-0.69693888525532666</v>
      </c>
    </row>
    <row r="489" spans="1:11" x14ac:dyDescent="0.3">
      <c r="A489">
        <v>174</v>
      </c>
      <c r="B489">
        <v>2</v>
      </c>
      <c r="C489">
        <v>19</v>
      </c>
      <c r="D489" t="str">
        <f>VLOOKUP($C489,products!$A$1:$F$322,MATCH(order_items!$D$1,products!$A$1:$F$1,0),FALSE)</f>
        <v>Pure Cycles William 3-Speed - 2016</v>
      </c>
      <c r="E489">
        <f>VLOOKUP($C489,products!$A$1:$F$322,MATCH(order_items!$E$1,products!$A$1:$F$1,0),FALSE)</f>
        <v>3</v>
      </c>
      <c r="F489" t="str">
        <f>VLOOKUP($E489,categories!$A$1:$B$8,MATCH(order_items!$F$1,categories!$A$1:$B$1,0),FALSE)</f>
        <v>Cruisers Bicycles</v>
      </c>
      <c r="G489">
        <v>2</v>
      </c>
      <c r="H489">
        <v>449</v>
      </c>
      <c r="I489" s="5">
        <v>0.1</v>
      </c>
      <c r="J489">
        <f t="shared" si="14"/>
        <v>808.2</v>
      </c>
      <c r="K489" s="9">
        <f t="shared" si="15"/>
        <v>-0.56459915393225968</v>
      </c>
    </row>
    <row r="490" spans="1:11" x14ac:dyDescent="0.3">
      <c r="A490">
        <v>175</v>
      </c>
      <c r="B490">
        <v>1</v>
      </c>
      <c r="C490">
        <v>5</v>
      </c>
      <c r="D490" t="str">
        <f>VLOOKUP($C490,products!$A$1:$F$322,MATCH(order_items!$D$1,products!$A$1:$F$1,0),FALSE)</f>
        <v>Heller Shagamaw Frame - 2016</v>
      </c>
      <c r="E490">
        <f>VLOOKUP($C490,products!$A$1:$F$322,MATCH(order_items!$E$1,products!$A$1:$F$1,0),FALSE)</f>
        <v>6</v>
      </c>
      <c r="F490" t="str">
        <f>VLOOKUP($E490,categories!$A$1:$B$8,MATCH(order_items!$F$1,categories!$A$1:$B$1,0),FALSE)</f>
        <v>Mountain Bikes</v>
      </c>
      <c r="G490">
        <v>1</v>
      </c>
      <c r="H490">
        <v>1320.99</v>
      </c>
      <c r="I490" s="5">
        <v>0.1</v>
      </c>
      <c r="J490">
        <f t="shared" si="14"/>
        <v>1188.8910000000001</v>
      </c>
      <c r="K490" s="9">
        <f t="shared" si="15"/>
        <v>8.0051548913398024E-2</v>
      </c>
    </row>
    <row r="491" spans="1:11" x14ac:dyDescent="0.3">
      <c r="A491">
        <v>175</v>
      </c>
      <c r="B491">
        <v>2</v>
      </c>
      <c r="C491">
        <v>2</v>
      </c>
      <c r="D491" t="str">
        <f>VLOOKUP($C491,products!$A$1:$F$322,MATCH(order_items!$D$1,products!$A$1:$F$1,0),FALSE)</f>
        <v>Ritchey Timberwolf Frameset - 2016</v>
      </c>
      <c r="E491">
        <f>VLOOKUP($C491,products!$A$1:$F$322,MATCH(order_items!$E$1,products!$A$1:$F$1,0),FALSE)</f>
        <v>6</v>
      </c>
      <c r="F491" t="str">
        <f>VLOOKUP($E491,categories!$A$1:$B$8,MATCH(order_items!$F$1,categories!$A$1:$B$1,0),FALSE)</f>
        <v>Mountain Bikes</v>
      </c>
      <c r="G491">
        <v>2</v>
      </c>
      <c r="H491">
        <v>749.99</v>
      </c>
      <c r="I491" s="5">
        <v>0.2</v>
      </c>
      <c r="J491">
        <f t="shared" si="14"/>
        <v>1199.9840000000002</v>
      </c>
      <c r="K491" s="9">
        <f t="shared" si="15"/>
        <v>-0.34208121788997192</v>
      </c>
    </row>
    <row r="492" spans="1:11" x14ac:dyDescent="0.3">
      <c r="A492">
        <v>175</v>
      </c>
      <c r="B492">
        <v>3</v>
      </c>
      <c r="C492">
        <v>21</v>
      </c>
      <c r="D492" t="str">
        <f>VLOOKUP($C492,products!$A$1:$F$322,MATCH(order_items!$D$1,products!$A$1:$F$1,0),FALSE)</f>
        <v>Electra Cruiser 1 (24-Inch) - 2016</v>
      </c>
      <c r="E492">
        <f>VLOOKUP($C492,products!$A$1:$F$322,MATCH(order_items!$E$1,products!$A$1:$F$1,0),FALSE)</f>
        <v>1</v>
      </c>
      <c r="F492" t="str">
        <f>VLOOKUP($E492,categories!$A$1:$B$8,MATCH(order_items!$F$1,categories!$A$1:$B$1,0),FALSE)</f>
        <v>Children Bicycles</v>
      </c>
      <c r="G492">
        <v>2</v>
      </c>
      <c r="H492">
        <v>269.99</v>
      </c>
      <c r="I492" s="5">
        <v>0.1</v>
      </c>
      <c r="J492">
        <f t="shared" si="14"/>
        <v>485.98200000000003</v>
      </c>
      <c r="K492" s="9">
        <f t="shared" si="15"/>
        <v>-0.69693888525532666</v>
      </c>
    </row>
    <row r="493" spans="1:11" x14ac:dyDescent="0.3">
      <c r="A493">
        <v>175</v>
      </c>
      <c r="B493">
        <v>4</v>
      </c>
      <c r="C493">
        <v>19</v>
      </c>
      <c r="D493" t="str">
        <f>VLOOKUP($C493,products!$A$1:$F$322,MATCH(order_items!$D$1,products!$A$1:$F$1,0),FALSE)</f>
        <v>Pure Cycles William 3-Speed - 2016</v>
      </c>
      <c r="E493">
        <f>VLOOKUP($C493,products!$A$1:$F$322,MATCH(order_items!$E$1,products!$A$1:$F$1,0),FALSE)</f>
        <v>3</v>
      </c>
      <c r="F493" t="str">
        <f>VLOOKUP($E493,categories!$A$1:$B$8,MATCH(order_items!$F$1,categories!$A$1:$B$1,0),FALSE)</f>
        <v>Cruisers Bicycles</v>
      </c>
      <c r="G493">
        <v>1</v>
      </c>
      <c r="H493">
        <v>449</v>
      </c>
      <c r="I493" s="5">
        <v>7.0000000000000007E-2</v>
      </c>
      <c r="J493">
        <f t="shared" si="14"/>
        <v>417.57</v>
      </c>
      <c r="K493" s="9">
        <f t="shared" si="15"/>
        <v>-0.56459915393225968</v>
      </c>
    </row>
    <row r="494" spans="1:11" x14ac:dyDescent="0.3">
      <c r="A494">
        <v>176</v>
      </c>
      <c r="B494">
        <v>1</v>
      </c>
      <c r="C494">
        <v>2</v>
      </c>
      <c r="D494" t="str">
        <f>VLOOKUP($C494,products!$A$1:$F$322,MATCH(order_items!$D$1,products!$A$1:$F$1,0),FALSE)</f>
        <v>Ritchey Timberwolf Frameset - 2016</v>
      </c>
      <c r="E494">
        <f>VLOOKUP($C494,products!$A$1:$F$322,MATCH(order_items!$E$1,products!$A$1:$F$1,0),FALSE)</f>
        <v>6</v>
      </c>
      <c r="F494" t="str">
        <f>VLOOKUP($E494,categories!$A$1:$B$8,MATCH(order_items!$F$1,categories!$A$1:$B$1,0),FALSE)</f>
        <v>Mountain Bikes</v>
      </c>
      <c r="G494">
        <v>2</v>
      </c>
      <c r="H494">
        <v>749.99</v>
      </c>
      <c r="I494" s="5">
        <v>7.0000000000000007E-2</v>
      </c>
      <c r="J494">
        <f t="shared" si="14"/>
        <v>1394.9813999999999</v>
      </c>
      <c r="K494" s="9">
        <f t="shared" si="15"/>
        <v>-0.34208121788997192</v>
      </c>
    </row>
    <row r="495" spans="1:11" x14ac:dyDescent="0.3">
      <c r="A495">
        <v>176</v>
      </c>
      <c r="B495">
        <v>2</v>
      </c>
      <c r="C495">
        <v>11</v>
      </c>
      <c r="D495" t="str">
        <f>VLOOKUP($C495,products!$A$1:$F$322,MATCH(order_items!$D$1,products!$A$1:$F$1,0),FALSE)</f>
        <v>Surly Straggler 650b - 2016</v>
      </c>
      <c r="E495">
        <f>VLOOKUP($C495,products!$A$1:$F$322,MATCH(order_items!$E$1,products!$A$1:$F$1,0),FALSE)</f>
        <v>4</v>
      </c>
      <c r="F495" t="str">
        <f>VLOOKUP($E495,categories!$A$1:$B$8,MATCH(order_items!$F$1,categories!$A$1:$B$1,0),FALSE)</f>
        <v>Cyclocross Bicycles</v>
      </c>
      <c r="G495">
        <v>2</v>
      </c>
      <c r="H495">
        <v>1680.99</v>
      </c>
      <c r="I495" s="5">
        <v>0.2</v>
      </c>
      <c r="J495">
        <f t="shared" si="14"/>
        <v>2689.5840000000003</v>
      </c>
      <c r="K495" s="9">
        <f t="shared" si="15"/>
        <v>0.3461947994374141</v>
      </c>
    </row>
    <row r="496" spans="1:11" x14ac:dyDescent="0.3">
      <c r="A496">
        <v>176</v>
      </c>
      <c r="B496">
        <v>3</v>
      </c>
      <c r="C496">
        <v>16</v>
      </c>
      <c r="D496" t="str">
        <f>VLOOKUP($C496,products!$A$1:$F$322,MATCH(order_items!$D$1,products!$A$1:$F$1,0),FALSE)</f>
        <v>Electra Townie Original 7D EQ - 2016</v>
      </c>
      <c r="E496">
        <f>VLOOKUP($C496,products!$A$1:$F$322,MATCH(order_items!$E$1,products!$A$1:$F$1,0),FALSE)</f>
        <v>3</v>
      </c>
      <c r="F496" t="str">
        <f>VLOOKUP($E496,categories!$A$1:$B$8,MATCH(order_items!$F$1,categories!$A$1:$B$1,0),FALSE)</f>
        <v>Cruisers Bicycles</v>
      </c>
      <c r="G496">
        <v>2</v>
      </c>
      <c r="H496">
        <v>599.99</v>
      </c>
      <c r="I496" s="5">
        <v>0.05</v>
      </c>
      <c r="J496">
        <f t="shared" si="14"/>
        <v>1139.981</v>
      </c>
      <c r="K496" s="9">
        <f t="shared" si="15"/>
        <v>-0.45297423894164529</v>
      </c>
    </row>
    <row r="497" spans="1:11" x14ac:dyDescent="0.3">
      <c r="A497">
        <v>177</v>
      </c>
      <c r="B497">
        <v>1</v>
      </c>
      <c r="C497">
        <v>20</v>
      </c>
      <c r="D497" t="str">
        <f>VLOOKUP($C497,products!$A$1:$F$322,MATCH(order_items!$D$1,products!$A$1:$F$1,0),FALSE)</f>
        <v>Electra Townie Original 7D EQ - Women's - 2016</v>
      </c>
      <c r="E497">
        <f>VLOOKUP($C497,products!$A$1:$F$322,MATCH(order_items!$E$1,products!$A$1:$F$1,0),FALSE)</f>
        <v>3</v>
      </c>
      <c r="F497" t="str">
        <f>VLOOKUP($E497,categories!$A$1:$B$8,MATCH(order_items!$F$1,categories!$A$1:$B$1,0),FALSE)</f>
        <v>Cruisers Bicycles</v>
      </c>
      <c r="G497">
        <v>2</v>
      </c>
      <c r="H497">
        <v>599.99</v>
      </c>
      <c r="I497" s="5">
        <v>0.1</v>
      </c>
      <c r="J497">
        <f t="shared" si="14"/>
        <v>1079.982</v>
      </c>
      <c r="K497" s="9">
        <f t="shared" si="15"/>
        <v>-0.45297423894164529</v>
      </c>
    </row>
    <row r="498" spans="1:11" x14ac:dyDescent="0.3">
      <c r="A498">
        <v>178</v>
      </c>
      <c r="B498">
        <v>1</v>
      </c>
      <c r="C498">
        <v>10</v>
      </c>
      <c r="D498" t="str">
        <f>VLOOKUP($C498,products!$A$1:$F$322,MATCH(order_items!$D$1,products!$A$1:$F$1,0),FALSE)</f>
        <v>Surly Straggler - 2016</v>
      </c>
      <c r="E498">
        <f>VLOOKUP($C498,products!$A$1:$F$322,MATCH(order_items!$E$1,products!$A$1:$F$1,0),FALSE)</f>
        <v>4</v>
      </c>
      <c r="F498" t="str">
        <f>VLOOKUP($E498,categories!$A$1:$B$8,MATCH(order_items!$F$1,categories!$A$1:$B$1,0),FALSE)</f>
        <v>Cyclocross Bicycles</v>
      </c>
      <c r="G498">
        <v>2</v>
      </c>
      <c r="H498">
        <v>1549</v>
      </c>
      <c r="I498" s="5">
        <v>0.2</v>
      </c>
      <c r="J498">
        <f t="shared" si="14"/>
        <v>2478.4</v>
      </c>
      <c r="K498" s="9">
        <f t="shared" si="15"/>
        <v>0.24861633378001166</v>
      </c>
    </row>
    <row r="499" spans="1:11" x14ac:dyDescent="0.3">
      <c r="A499">
        <v>178</v>
      </c>
      <c r="B499">
        <v>2</v>
      </c>
      <c r="C499">
        <v>12</v>
      </c>
      <c r="D499" t="str">
        <f>VLOOKUP($C499,products!$A$1:$F$322,MATCH(order_items!$D$1,products!$A$1:$F$1,0),FALSE)</f>
        <v>Electra Townie Original 21D - 2016</v>
      </c>
      <c r="E499">
        <f>VLOOKUP($C499,products!$A$1:$F$322,MATCH(order_items!$E$1,products!$A$1:$F$1,0),FALSE)</f>
        <v>3</v>
      </c>
      <c r="F499" t="str">
        <f>VLOOKUP($E499,categories!$A$1:$B$8,MATCH(order_items!$F$1,categories!$A$1:$B$1,0),FALSE)</f>
        <v>Cruisers Bicycles</v>
      </c>
      <c r="G499">
        <v>1</v>
      </c>
      <c r="H499">
        <v>549.99</v>
      </c>
      <c r="I499" s="5">
        <v>0.05</v>
      </c>
      <c r="J499">
        <f t="shared" si="14"/>
        <v>522.4905</v>
      </c>
      <c r="K499" s="9">
        <f t="shared" si="15"/>
        <v>-0.48993857929220308</v>
      </c>
    </row>
    <row r="500" spans="1:11" x14ac:dyDescent="0.3">
      <c r="A500">
        <v>178</v>
      </c>
      <c r="B500">
        <v>3</v>
      </c>
      <c r="C500">
        <v>3</v>
      </c>
      <c r="D500" t="str">
        <f>VLOOKUP($C500,products!$A$1:$F$322,MATCH(order_items!$D$1,products!$A$1:$F$1,0),FALSE)</f>
        <v>Surly Wednesday Frameset - 2016</v>
      </c>
      <c r="E500">
        <f>VLOOKUP($C500,products!$A$1:$F$322,MATCH(order_items!$E$1,products!$A$1:$F$1,0),FALSE)</f>
        <v>6</v>
      </c>
      <c r="F500" t="str">
        <f>VLOOKUP($E500,categories!$A$1:$B$8,MATCH(order_items!$F$1,categories!$A$1:$B$1,0),FALSE)</f>
        <v>Mountain Bikes</v>
      </c>
      <c r="G500">
        <v>1</v>
      </c>
      <c r="H500">
        <v>999.99</v>
      </c>
      <c r="I500" s="5">
        <v>0.1</v>
      </c>
      <c r="J500">
        <f t="shared" si="14"/>
        <v>899.99099999999999</v>
      </c>
      <c r="K500" s="9">
        <f t="shared" si="15"/>
        <v>-0.15725951613718298</v>
      </c>
    </row>
    <row r="501" spans="1:11" x14ac:dyDescent="0.3">
      <c r="A501">
        <v>178</v>
      </c>
      <c r="B501">
        <v>4</v>
      </c>
      <c r="C501">
        <v>18</v>
      </c>
      <c r="D501" t="str">
        <f>VLOOKUP($C501,products!$A$1:$F$322,MATCH(order_items!$D$1,products!$A$1:$F$1,0),FALSE)</f>
        <v>Pure Cycles Western 3-Speed - Women's - 2015/2016</v>
      </c>
      <c r="E501">
        <f>VLOOKUP($C501,products!$A$1:$F$322,MATCH(order_items!$E$1,products!$A$1:$F$1,0),FALSE)</f>
        <v>3</v>
      </c>
      <c r="F501" t="str">
        <f>VLOOKUP($E501,categories!$A$1:$B$8,MATCH(order_items!$F$1,categories!$A$1:$B$1,0),FALSE)</f>
        <v>Cruisers Bicycles</v>
      </c>
      <c r="G501">
        <v>1</v>
      </c>
      <c r="H501">
        <v>449</v>
      </c>
      <c r="I501" s="5">
        <v>7.0000000000000007E-2</v>
      </c>
      <c r="J501">
        <f t="shared" si="14"/>
        <v>417.57</v>
      </c>
      <c r="K501" s="9">
        <f t="shared" si="15"/>
        <v>-0.56459915393225968</v>
      </c>
    </row>
    <row r="502" spans="1:11" x14ac:dyDescent="0.3">
      <c r="A502">
        <v>179</v>
      </c>
      <c r="B502">
        <v>1</v>
      </c>
      <c r="C502">
        <v>13</v>
      </c>
      <c r="D502" t="str">
        <f>VLOOKUP($C502,products!$A$1:$F$322,MATCH(order_items!$D$1,products!$A$1:$F$1,0),FALSE)</f>
        <v>Electra Cruiser 1 (24-Inch) - 2016</v>
      </c>
      <c r="E502">
        <f>VLOOKUP($C502,products!$A$1:$F$322,MATCH(order_items!$E$1,products!$A$1:$F$1,0),FALSE)</f>
        <v>3</v>
      </c>
      <c r="F502" t="str">
        <f>VLOOKUP($E502,categories!$A$1:$B$8,MATCH(order_items!$F$1,categories!$A$1:$B$1,0),FALSE)</f>
        <v>Cruisers Bicycles</v>
      </c>
      <c r="G502">
        <v>2</v>
      </c>
      <c r="H502">
        <v>269.99</v>
      </c>
      <c r="I502" s="5">
        <v>0.05</v>
      </c>
      <c r="J502">
        <f t="shared" si="14"/>
        <v>512.98099999999999</v>
      </c>
      <c r="K502" s="9">
        <f t="shared" si="15"/>
        <v>-0.69693888525532666</v>
      </c>
    </row>
    <row r="503" spans="1:11" x14ac:dyDescent="0.3">
      <c r="A503">
        <v>179</v>
      </c>
      <c r="B503">
        <v>2</v>
      </c>
      <c r="C503">
        <v>26</v>
      </c>
      <c r="D503" t="str">
        <f>VLOOKUP($C503,products!$A$1:$F$322,MATCH(order_items!$D$1,products!$A$1:$F$1,0),FALSE)</f>
        <v>Electra Townie Original 7D EQ - 2016</v>
      </c>
      <c r="E503">
        <f>VLOOKUP($C503,products!$A$1:$F$322,MATCH(order_items!$E$1,products!$A$1:$F$1,0),FALSE)</f>
        <v>2</v>
      </c>
      <c r="F503" t="str">
        <f>VLOOKUP($E503,categories!$A$1:$B$8,MATCH(order_items!$F$1,categories!$A$1:$B$1,0),FALSE)</f>
        <v>Comfort Bicycles</v>
      </c>
      <c r="G503">
        <v>1</v>
      </c>
      <c r="H503">
        <v>599.99</v>
      </c>
      <c r="I503" s="5">
        <v>0.1</v>
      </c>
      <c r="J503">
        <f t="shared" si="14"/>
        <v>539.99099999999999</v>
      </c>
      <c r="K503" s="9">
        <f t="shared" si="15"/>
        <v>-0.45297423894164529</v>
      </c>
    </row>
    <row r="504" spans="1:11" x14ac:dyDescent="0.3">
      <c r="A504">
        <v>179</v>
      </c>
      <c r="B504">
        <v>3</v>
      </c>
      <c r="C504">
        <v>18</v>
      </c>
      <c r="D504" t="str">
        <f>VLOOKUP($C504,products!$A$1:$F$322,MATCH(order_items!$D$1,products!$A$1:$F$1,0),FALSE)</f>
        <v>Pure Cycles Western 3-Speed - Women's - 2015/2016</v>
      </c>
      <c r="E504">
        <f>VLOOKUP($C504,products!$A$1:$F$322,MATCH(order_items!$E$1,products!$A$1:$F$1,0),FALSE)</f>
        <v>3</v>
      </c>
      <c r="F504" t="str">
        <f>VLOOKUP($E504,categories!$A$1:$B$8,MATCH(order_items!$F$1,categories!$A$1:$B$1,0),FALSE)</f>
        <v>Cruisers Bicycles</v>
      </c>
      <c r="G504">
        <v>1</v>
      </c>
      <c r="H504">
        <v>449</v>
      </c>
      <c r="I504" s="5">
        <v>0.2</v>
      </c>
      <c r="J504">
        <f t="shared" si="14"/>
        <v>359.20000000000005</v>
      </c>
      <c r="K504" s="9">
        <f t="shared" si="15"/>
        <v>-0.56459915393225968</v>
      </c>
    </row>
    <row r="505" spans="1:11" x14ac:dyDescent="0.3">
      <c r="A505">
        <v>179</v>
      </c>
      <c r="B505">
        <v>4</v>
      </c>
      <c r="C505">
        <v>12</v>
      </c>
      <c r="D505" t="str">
        <f>VLOOKUP($C505,products!$A$1:$F$322,MATCH(order_items!$D$1,products!$A$1:$F$1,0),FALSE)</f>
        <v>Electra Townie Original 21D - 2016</v>
      </c>
      <c r="E505">
        <f>VLOOKUP($C505,products!$A$1:$F$322,MATCH(order_items!$E$1,products!$A$1:$F$1,0),FALSE)</f>
        <v>3</v>
      </c>
      <c r="F505" t="str">
        <f>VLOOKUP($E505,categories!$A$1:$B$8,MATCH(order_items!$F$1,categories!$A$1:$B$1,0),FALSE)</f>
        <v>Cruisers Bicycles</v>
      </c>
      <c r="G505">
        <v>2</v>
      </c>
      <c r="H505">
        <v>549.99</v>
      </c>
      <c r="I505" s="5">
        <v>0.2</v>
      </c>
      <c r="J505">
        <f t="shared" si="14"/>
        <v>879.98400000000004</v>
      </c>
      <c r="K505" s="9">
        <f t="shared" si="15"/>
        <v>-0.48993857929220308</v>
      </c>
    </row>
    <row r="506" spans="1:11" x14ac:dyDescent="0.3">
      <c r="A506">
        <v>179</v>
      </c>
      <c r="B506">
        <v>5</v>
      </c>
      <c r="C506">
        <v>20</v>
      </c>
      <c r="D506" t="str">
        <f>VLOOKUP($C506,products!$A$1:$F$322,MATCH(order_items!$D$1,products!$A$1:$F$1,0),FALSE)</f>
        <v>Electra Townie Original 7D EQ - Women's - 2016</v>
      </c>
      <c r="E506">
        <f>VLOOKUP($C506,products!$A$1:$F$322,MATCH(order_items!$E$1,products!$A$1:$F$1,0),FALSE)</f>
        <v>3</v>
      </c>
      <c r="F506" t="str">
        <f>VLOOKUP($E506,categories!$A$1:$B$8,MATCH(order_items!$F$1,categories!$A$1:$B$1,0),FALSE)</f>
        <v>Cruisers Bicycles</v>
      </c>
      <c r="G506">
        <v>2</v>
      </c>
      <c r="H506">
        <v>599.99</v>
      </c>
      <c r="I506" s="5">
        <v>0.1</v>
      </c>
      <c r="J506">
        <f t="shared" si="14"/>
        <v>1079.982</v>
      </c>
      <c r="K506" s="9">
        <f t="shared" si="15"/>
        <v>-0.45297423894164529</v>
      </c>
    </row>
    <row r="507" spans="1:11" x14ac:dyDescent="0.3">
      <c r="A507">
        <v>180</v>
      </c>
      <c r="B507">
        <v>1</v>
      </c>
      <c r="C507">
        <v>16</v>
      </c>
      <c r="D507" t="str">
        <f>VLOOKUP($C507,products!$A$1:$F$322,MATCH(order_items!$D$1,products!$A$1:$F$1,0),FALSE)</f>
        <v>Electra Townie Original 7D EQ - 2016</v>
      </c>
      <c r="E507">
        <f>VLOOKUP($C507,products!$A$1:$F$322,MATCH(order_items!$E$1,products!$A$1:$F$1,0),FALSE)</f>
        <v>3</v>
      </c>
      <c r="F507" t="str">
        <f>VLOOKUP($E507,categories!$A$1:$B$8,MATCH(order_items!$F$1,categories!$A$1:$B$1,0),FALSE)</f>
        <v>Cruisers Bicycles</v>
      </c>
      <c r="G507">
        <v>1</v>
      </c>
      <c r="H507">
        <v>599.99</v>
      </c>
      <c r="I507" s="5">
        <v>7.0000000000000007E-2</v>
      </c>
      <c r="J507">
        <f t="shared" si="14"/>
        <v>557.99069999999995</v>
      </c>
      <c r="K507" s="9">
        <f t="shared" si="15"/>
        <v>-0.45297423894164529</v>
      </c>
    </row>
    <row r="508" spans="1:11" x14ac:dyDescent="0.3">
      <c r="A508">
        <v>181</v>
      </c>
      <c r="B508">
        <v>1</v>
      </c>
      <c r="C508">
        <v>10</v>
      </c>
      <c r="D508" t="str">
        <f>VLOOKUP($C508,products!$A$1:$F$322,MATCH(order_items!$D$1,products!$A$1:$F$1,0),FALSE)</f>
        <v>Surly Straggler - 2016</v>
      </c>
      <c r="E508">
        <f>VLOOKUP($C508,products!$A$1:$F$322,MATCH(order_items!$E$1,products!$A$1:$F$1,0),FALSE)</f>
        <v>4</v>
      </c>
      <c r="F508" t="str">
        <f>VLOOKUP($E508,categories!$A$1:$B$8,MATCH(order_items!$F$1,categories!$A$1:$B$1,0),FALSE)</f>
        <v>Cyclocross Bicycles</v>
      </c>
      <c r="G508">
        <v>1</v>
      </c>
      <c r="H508">
        <v>1549</v>
      </c>
      <c r="I508" s="5">
        <v>0.05</v>
      </c>
      <c r="J508">
        <f t="shared" si="14"/>
        <v>1471.55</v>
      </c>
      <c r="K508" s="9">
        <f t="shared" si="15"/>
        <v>0.24861633378001166</v>
      </c>
    </row>
    <row r="509" spans="1:11" x14ac:dyDescent="0.3">
      <c r="A509">
        <v>181</v>
      </c>
      <c r="B509">
        <v>2</v>
      </c>
      <c r="C509">
        <v>11</v>
      </c>
      <c r="D509" t="str">
        <f>VLOOKUP($C509,products!$A$1:$F$322,MATCH(order_items!$D$1,products!$A$1:$F$1,0),FALSE)</f>
        <v>Surly Straggler 650b - 2016</v>
      </c>
      <c r="E509">
        <f>VLOOKUP($C509,products!$A$1:$F$322,MATCH(order_items!$E$1,products!$A$1:$F$1,0),FALSE)</f>
        <v>4</v>
      </c>
      <c r="F509" t="str">
        <f>VLOOKUP($E509,categories!$A$1:$B$8,MATCH(order_items!$F$1,categories!$A$1:$B$1,0),FALSE)</f>
        <v>Cyclocross Bicycles</v>
      </c>
      <c r="G509">
        <v>1</v>
      </c>
      <c r="H509">
        <v>1680.99</v>
      </c>
      <c r="I509" s="5">
        <v>0.1</v>
      </c>
      <c r="J509">
        <f t="shared" si="14"/>
        <v>1512.8910000000001</v>
      </c>
      <c r="K509" s="9">
        <f t="shared" si="15"/>
        <v>0.3461947994374141</v>
      </c>
    </row>
    <row r="510" spans="1:11" x14ac:dyDescent="0.3">
      <c r="A510">
        <v>181</v>
      </c>
      <c r="B510">
        <v>3</v>
      </c>
      <c r="C510">
        <v>15</v>
      </c>
      <c r="D510" t="str">
        <f>VLOOKUP($C510,products!$A$1:$F$322,MATCH(order_items!$D$1,products!$A$1:$F$1,0),FALSE)</f>
        <v>Electra Moto 1 - 2016</v>
      </c>
      <c r="E510">
        <f>VLOOKUP($C510,products!$A$1:$F$322,MATCH(order_items!$E$1,products!$A$1:$F$1,0),FALSE)</f>
        <v>3</v>
      </c>
      <c r="F510" t="str">
        <f>VLOOKUP($E510,categories!$A$1:$B$8,MATCH(order_items!$F$1,categories!$A$1:$B$1,0),FALSE)</f>
        <v>Cruisers Bicycles</v>
      </c>
      <c r="G510">
        <v>2</v>
      </c>
      <c r="H510">
        <v>529.99</v>
      </c>
      <c r="I510" s="5">
        <v>0.2</v>
      </c>
      <c r="J510">
        <f t="shared" si="14"/>
        <v>847.98400000000004</v>
      </c>
      <c r="K510" s="9">
        <f t="shared" si="15"/>
        <v>-0.50472431543242624</v>
      </c>
    </row>
    <row r="511" spans="1:11" x14ac:dyDescent="0.3">
      <c r="A511">
        <v>181</v>
      </c>
      <c r="B511">
        <v>4</v>
      </c>
      <c r="C511">
        <v>24</v>
      </c>
      <c r="D511" t="str">
        <f>VLOOKUP($C511,products!$A$1:$F$322,MATCH(order_items!$D$1,products!$A$1:$F$1,0),FALSE)</f>
        <v>Electra Townie Original 21D - 2016</v>
      </c>
      <c r="E511">
        <f>VLOOKUP($C511,products!$A$1:$F$322,MATCH(order_items!$E$1,products!$A$1:$F$1,0),FALSE)</f>
        <v>2</v>
      </c>
      <c r="F511" t="str">
        <f>VLOOKUP($E511,categories!$A$1:$B$8,MATCH(order_items!$F$1,categories!$A$1:$B$1,0),FALSE)</f>
        <v>Comfort Bicycles</v>
      </c>
      <c r="G511">
        <v>2</v>
      </c>
      <c r="H511">
        <v>549.99</v>
      </c>
      <c r="I511" s="5">
        <v>0.05</v>
      </c>
      <c r="J511">
        <f t="shared" si="14"/>
        <v>1044.981</v>
      </c>
      <c r="K511" s="9">
        <f t="shared" si="15"/>
        <v>-0.48993857929220308</v>
      </c>
    </row>
    <row r="512" spans="1:11" x14ac:dyDescent="0.3">
      <c r="A512">
        <v>182</v>
      </c>
      <c r="B512">
        <v>1</v>
      </c>
      <c r="C512">
        <v>25</v>
      </c>
      <c r="D512" t="str">
        <f>VLOOKUP($C512,products!$A$1:$F$322,MATCH(order_items!$D$1,products!$A$1:$F$1,0),FALSE)</f>
        <v>Electra Townie Original 7D - 2015/2016</v>
      </c>
      <c r="E512">
        <f>VLOOKUP($C512,products!$A$1:$F$322,MATCH(order_items!$E$1,products!$A$1:$F$1,0),FALSE)</f>
        <v>2</v>
      </c>
      <c r="F512" t="str">
        <f>VLOOKUP($E512,categories!$A$1:$B$8,MATCH(order_items!$F$1,categories!$A$1:$B$1,0),FALSE)</f>
        <v>Comfort Bicycles</v>
      </c>
      <c r="G512">
        <v>2</v>
      </c>
      <c r="H512">
        <v>499.99</v>
      </c>
      <c r="I512" s="5">
        <v>0.05</v>
      </c>
      <c r="J512">
        <f t="shared" si="14"/>
        <v>949.98099999999999</v>
      </c>
      <c r="K512" s="9">
        <f t="shared" si="15"/>
        <v>-0.52690291964276081</v>
      </c>
    </row>
    <row r="513" spans="1:11" x14ac:dyDescent="0.3">
      <c r="A513">
        <v>182</v>
      </c>
      <c r="B513">
        <v>2</v>
      </c>
      <c r="C513">
        <v>24</v>
      </c>
      <c r="D513" t="str">
        <f>VLOOKUP($C513,products!$A$1:$F$322,MATCH(order_items!$D$1,products!$A$1:$F$1,0),FALSE)</f>
        <v>Electra Townie Original 21D - 2016</v>
      </c>
      <c r="E513">
        <f>VLOOKUP($C513,products!$A$1:$F$322,MATCH(order_items!$E$1,products!$A$1:$F$1,0),FALSE)</f>
        <v>2</v>
      </c>
      <c r="F513" t="str">
        <f>VLOOKUP($E513,categories!$A$1:$B$8,MATCH(order_items!$F$1,categories!$A$1:$B$1,0),FALSE)</f>
        <v>Comfort Bicycles</v>
      </c>
      <c r="G513">
        <v>2</v>
      </c>
      <c r="H513">
        <v>549.99</v>
      </c>
      <c r="I513" s="5">
        <v>7.0000000000000007E-2</v>
      </c>
      <c r="J513">
        <f t="shared" si="14"/>
        <v>1022.9813999999999</v>
      </c>
      <c r="K513" s="9">
        <f t="shared" si="15"/>
        <v>-0.48993857929220308</v>
      </c>
    </row>
    <row r="514" spans="1:11" x14ac:dyDescent="0.3">
      <c r="A514">
        <v>183</v>
      </c>
      <c r="B514">
        <v>1</v>
      </c>
      <c r="C514">
        <v>11</v>
      </c>
      <c r="D514" t="str">
        <f>VLOOKUP($C514,products!$A$1:$F$322,MATCH(order_items!$D$1,products!$A$1:$F$1,0),FALSE)</f>
        <v>Surly Straggler 650b - 2016</v>
      </c>
      <c r="E514">
        <f>VLOOKUP($C514,products!$A$1:$F$322,MATCH(order_items!$E$1,products!$A$1:$F$1,0),FALSE)</f>
        <v>4</v>
      </c>
      <c r="F514" t="str">
        <f>VLOOKUP($E514,categories!$A$1:$B$8,MATCH(order_items!$F$1,categories!$A$1:$B$1,0),FALSE)</f>
        <v>Cyclocross Bicycles</v>
      </c>
      <c r="G514">
        <v>2</v>
      </c>
      <c r="H514">
        <v>1680.99</v>
      </c>
      <c r="I514" s="5">
        <v>0.2</v>
      </c>
      <c r="J514">
        <f t="shared" ref="J514:J577" si="16">G514*H514*(1-I514)</f>
        <v>2689.5840000000003</v>
      </c>
      <c r="K514" s="9">
        <f t="shared" ref="K514:K577" si="17">($H514-$M$7)/$M$9</f>
        <v>0.3461947994374141</v>
      </c>
    </row>
    <row r="515" spans="1:11" x14ac:dyDescent="0.3">
      <c r="A515">
        <v>183</v>
      </c>
      <c r="B515">
        <v>2</v>
      </c>
      <c r="C515">
        <v>12</v>
      </c>
      <c r="D515" t="str">
        <f>VLOOKUP($C515,products!$A$1:$F$322,MATCH(order_items!$D$1,products!$A$1:$F$1,0),FALSE)</f>
        <v>Electra Townie Original 21D - 2016</v>
      </c>
      <c r="E515">
        <f>VLOOKUP($C515,products!$A$1:$F$322,MATCH(order_items!$E$1,products!$A$1:$F$1,0),FALSE)</f>
        <v>3</v>
      </c>
      <c r="F515" t="str">
        <f>VLOOKUP($E515,categories!$A$1:$B$8,MATCH(order_items!$F$1,categories!$A$1:$B$1,0),FALSE)</f>
        <v>Cruisers Bicycles</v>
      </c>
      <c r="G515">
        <v>2</v>
      </c>
      <c r="H515">
        <v>549.99</v>
      </c>
      <c r="I515" s="5">
        <v>0.05</v>
      </c>
      <c r="J515">
        <f t="shared" si="16"/>
        <v>1044.981</v>
      </c>
      <c r="K515" s="9">
        <f t="shared" si="17"/>
        <v>-0.48993857929220308</v>
      </c>
    </row>
    <row r="516" spans="1:11" x14ac:dyDescent="0.3">
      <c r="A516">
        <v>183</v>
      </c>
      <c r="B516">
        <v>3</v>
      </c>
      <c r="C516">
        <v>19</v>
      </c>
      <c r="D516" t="str">
        <f>VLOOKUP($C516,products!$A$1:$F$322,MATCH(order_items!$D$1,products!$A$1:$F$1,0),FALSE)</f>
        <v>Pure Cycles William 3-Speed - 2016</v>
      </c>
      <c r="E516">
        <f>VLOOKUP($C516,products!$A$1:$F$322,MATCH(order_items!$E$1,products!$A$1:$F$1,0),FALSE)</f>
        <v>3</v>
      </c>
      <c r="F516" t="str">
        <f>VLOOKUP($E516,categories!$A$1:$B$8,MATCH(order_items!$F$1,categories!$A$1:$B$1,0),FALSE)</f>
        <v>Cruisers Bicycles</v>
      </c>
      <c r="G516">
        <v>1</v>
      </c>
      <c r="H516">
        <v>449</v>
      </c>
      <c r="I516" s="5">
        <v>7.0000000000000007E-2</v>
      </c>
      <c r="J516">
        <f t="shared" si="16"/>
        <v>417.57</v>
      </c>
      <c r="K516" s="9">
        <f t="shared" si="17"/>
        <v>-0.56459915393225968</v>
      </c>
    </row>
    <row r="517" spans="1:11" x14ac:dyDescent="0.3">
      <c r="A517">
        <v>183</v>
      </c>
      <c r="B517">
        <v>4</v>
      </c>
      <c r="C517">
        <v>17</v>
      </c>
      <c r="D517" t="str">
        <f>VLOOKUP($C517,products!$A$1:$F$322,MATCH(order_items!$D$1,products!$A$1:$F$1,0),FALSE)</f>
        <v>Pure Cycles Vine 8-Speed - 2016</v>
      </c>
      <c r="E517">
        <f>VLOOKUP($C517,products!$A$1:$F$322,MATCH(order_items!$E$1,products!$A$1:$F$1,0),FALSE)</f>
        <v>3</v>
      </c>
      <c r="F517" t="str">
        <f>VLOOKUP($E517,categories!$A$1:$B$8,MATCH(order_items!$F$1,categories!$A$1:$B$1,0),FALSE)</f>
        <v>Cruisers Bicycles</v>
      </c>
      <c r="G517">
        <v>1</v>
      </c>
      <c r="H517">
        <v>429</v>
      </c>
      <c r="I517" s="5">
        <v>7.0000000000000007E-2</v>
      </c>
      <c r="J517">
        <f t="shared" si="16"/>
        <v>398.96999999999997</v>
      </c>
      <c r="K517" s="9">
        <f t="shared" si="17"/>
        <v>-0.57938489007248284</v>
      </c>
    </row>
    <row r="518" spans="1:11" x14ac:dyDescent="0.3">
      <c r="A518">
        <v>184</v>
      </c>
      <c r="B518">
        <v>1</v>
      </c>
      <c r="C518">
        <v>4</v>
      </c>
      <c r="D518" t="str">
        <f>VLOOKUP($C518,products!$A$1:$F$322,MATCH(order_items!$D$1,products!$A$1:$F$1,0),FALSE)</f>
        <v>Trek Fuel EX 8 29 - 2016</v>
      </c>
      <c r="E518">
        <f>VLOOKUP($C518,products!$A$1:$F$322,MATCH(order_items!$E$1,products!$A$1:$F$1,0),FALSE)</f>
        <v>6</v>
      </c>
      <c r="F518" t="str">
        <f>VLOOKUP($E518,categories!$A$1:$B$8,MATCH(order_items!$F$1,categories!$A$1:$B$1,0),FALSE)</f>
        <v>Mountain Bikes</v>
      </c>
      <c r="G518">
        <v>1</v>
      </c>
      <c r="H518">
        <v>2899.99</v>
      </c>
      <c r="I518" s="5">
        <v>0.2</v>
      </c>
      <c r="J518">
        <f t="shared" si="16"/>
        <v>2319.9919999999997</v>
      </c>
      <c r="K518" s="9">
        <f t="shared" si="17"/>
        <v>1.2473854171840129</v>
      </c>
    </row>
    <row r="519" spans="1:11" x14ac:dyDescent="0.3">
      <c r="A519">
        <v>184</v>
      </c>
      <c r="B519">
        <v>2</v>
      </c>
      <c r="C519">
        <v>5</v>
      </c>
      <c r="D519" t="str">
        <f>VLOOKUP($C519,products!$A$1:$F$322,MATCH(order_items!$D$1,products!$A$1:$F$1,0),FALSE)</f>
        <v>Heller Shagamaw Frame - 2016</v>
      </c>
      <c r="E519">
        <f>VLOOKUP($C519,products!$A$1:$F$322,MATCH(order_items!$E$1,products!$A$1:$F$1,0),FALSE)</f>
        <v>6</v>
      </c>
      <c r="F519" t="str">
        <f>VLOOKUP($E519,categories!$A$1:$B$8,MATCH(order_items!$F$1,categories!$A$1:$B$1,0),FALSE)</f>
        <v>Mountain Bikes</v>
      </c>
      <c r="G519">
        <v>1</v>
      </c>
      <c r="H519">
        <v>1320.99</v>
      </c>
      <c r="I519" s="5">
        <v>0.1</v>
      </c>
      <c r="J519">
        <f t="shared" si="16"/>
        <v>1188.8910000000001</v>
      </c>
      <c r="K519" s="9">
        <f t="shared" si="17"/>
        <v>8.0051548913398024E-2</v>
      </c>
    </row>
    <row r="520" spans="1:11" x14ac:dyDescent="0.3">
      <c r="A520">
        <v>184</v>
      </c>
      <c r="B520">
        <v>3</v>
      </c>
      <c r="C520">
        <v>14</v>
      </c>
      <c r="D520" t="str">
        <f>VLOOKUP($C520,products!$A$1:$F$322,MATCH(order_items!$D$1,products!$A$1:$F$1,0),FALSE)</f>
        <v>Electra Girl's Hawaii 1 (16-inch) - 2015/2016</v>
      </c>
      <c r="E520">
        <f>VLOOKUP($C520,products!$A$1:$F$322,MATCH(order_items!$E$1,products!$A$1:$F$1,0),FALSE)</f>
        <v>3</v>
      </c>
      <c r="F520" t="str">
        <f>VLOOKUP($E520,categories!$A$1:$B$8,MATCH(order_items!$F$1,categories!$A$1:$B$1,0),FALSE)</f>
        <v>Cruisers Bicycles</v>
      </c>
      <c r="G520">
        <v>1</v>
      </c>
      <c r="H520">
        <v>269.99</v>
      </c>
      <c r="I520" s="5">
        <v>0.1</v>
      </c>
      <c r="J520">
        <f t="shared" si="16"/>
        <v>242.99100000000001</v>
      </c>
      <c r="K520" s="9">
        <f t="shared" si="17"/>
        <v>-0.69693888525532666</v>
      </c>
    </row>
    <row r="521" spans="1:11" x14ac:dyDescent="0.3">
      <c r="A521">
        <v>185</v>
      </c>
      <c r="B521">
        <v>1</v>
      </c>
      <c r="C521">
        <v>20</v>
      </c>
      <c r="D521" t="str">
        <f>VLOOKUP($C521,products!$A$1:$F$322,MATCH(order_items!$D$1,products!$A$1:$F$1,0),FALSE)</f>
        <v>Electra Townie Original 7D EQ - Women's - 2016</v>
      </c>
      <c r="E521">
        <f>VLOOKUP($C521,products!$A$1:$F$322,MATCH(order_items!$E$1,products!$A$1:$F$1,0),FALSE)</f>
        <v>3</v>
      </c>
      <c r="F521" t="str">
        <f>VLOOKUP($E521,categories!$A$1:$B$8,MATCH(order_items!$F$1,categories!$A$1:$B$1,0),FALSE)</f>
        <v>Cruisers Bicycles</v>
      </c>
      <c r="G521">
        <v>1</v>
      </c>
      <c r="H521">
        <v>599.99</v>
      </c>
      <c r="I521" s="5">
        <v>0.1</v>
      </c>
      <c r="J521">
        <f t="shared" si="16"/>
        <v>539.99099999999999</v>
      </c>
      <c r="K521" s="9">
        <f t="shared" si="17"/>
        <v>-0.45297423894164529</v>
      </c>
    </row>
    <row r="522" spans="1:11" x14ac:dyDescent="0.3">
      <c r="A522">
        <v>185</v>
      </c>
      <c r="B522">
        <v>2</v>
      </c>
      <c r="C522">
        <v>8</v>
      </c>
      <c r="D522" t="str">
        <f>VLOOKUP($C522,products!$A$1:$F$322,MATCH(order_items!$D$1,products!$A$1:$F$1,0),FALSE)</f>
        <v>Trek Remedy 29 Carbon Frameset - 2016</v>
      </c>
      <c r="E522">
        <f>VLOOKUP($C522,products!$A$1:$F$322,MATCH(order_items!$E$1,products!$A$1:$F$1,0),FALSE)</f>
        <v>6</v>
      </c>
      <c r="F522" t="str">
        <f>VLOOKUP($E522,categories!$A$1:$B$8,MATCH(order_items!$F$1,categories!$A$1:$B$1,0),FALSE)</f>
        <v>Mountain Bikes</v>
      </c>
      <c r="G522">
        <v>1</v>
      </c>
      <c r="H522">
        <v>1799.99</v>
      </c>
      <c r="I522" s="5">
        <v>0.05</v>
      </c>
      <c r="J522">
        <f t="shared" si="16"/>
        <v>1709.9904999999999</v>
      </c>
      <c r="K522" s="9">
        <f t="shared" si="17"/>
        <v>0.43416992947174166</v>
      </c>
    </row>
    <row r="523" spans="1:11" x14ac:dyDescent="0.3">
      <c r="A523">
        <v>186</v>
      </c>
      <c r="B523">
        <v>1</v>
      </c>
      <c r="C523">
        <v>4</v>
      </c>
      <c r="D523" t="str">
        <f>VLOOKUP($C523,products!$A$1:$F$322,MATCH(order_items!$D$1,products!$A$1:$F$1,0),FALSE)</f>
        <v>Trek Fuel EX 8 29 - 2016</v>
      </c>
      <c r="E523">
        <f>VLOOKUP($C523,products!$A$1:$F$322,MATCH(order_items!$E$1,products!$A$1:$F$1,0),FALSE)</f>
        <v>6</v>
      </c>
      <c r="F523" t="str">
        <f>VLOOKUP($E523,categories!$A$1:$B$8,MATCH(order_items!$F$1,categories!$A$1:$B$1,0),FALSE)</f>
        <v>Mountain Bikes</v>
      </c>
      <c r="G523">
        <v>1</v>
      </c>
      <c r="H523">
        <v>2899.99</v>
      </c>
      <c r="I523" s="5">
        <v>0.1</v>
      </c>
      <c r="J523">
        <f t="shared" si="16"/>
        <v>2609.991</v>
      </c>
      <c r="K523" s="9">
        <f t="shared" si="17"/>
        <v>1.2473854171840129</v>
      </c>
    </row>
    <row r="524" spans="1:11" x14ac:dyDescent="0.3">
      <c r="A524">
        <v>186</v>
      </c>
      <c r="B524">
        <v>2</v>
      </c>
      <c r="C524">
        <v>6</v>
      </c>
      <c r="D524" t="str">
        <f>VLOOKUP($C524,products!$A$1:$F$322,MATCH(order_items!$D$1,products!$A$1:$F$1,0),FALSE)</f>
        <v>Surly Ice Cream Truck Frameset - 2016</v>
      </c>
      <c r="E524">
        <f>VLOOKUP($C524,products!$A$1:$F$322,MATCH(order_items!$E$1,products!$A$1:$F$1,0),FALSE)</f>
        <v>6</v>
      </c>
      <c r="F524" t="str">
        <f>VLOOKUP($E524,categories!$A$1:$B$8,MATCH(order_items!$F$1,categories!$A$1:$B$1,0),FALSE)</f>
        <v>Mountain Bikes</v>
      </c>
      <c r="G524">
        <v>1</v>
      </c>
      <c r="H524">
        <v>469.99</v>
      </c>
      <c r="I524" s="5">
        <v>0.1</v>
      </c>
      <c r="J524">
        <f t="shared" si="16"/>
        <v>422.99100000000004</v>
      </c>
      <c r="K524" s="9">
        <f t="shared" si="17"/>
        <v>-0.5490815238530955</v>
      </c>
    </row>
    <row r="525" spans="1:11" x14ac:dyDescent="0.3">
      <c r="A525">
        <v>187</v>
      </c>
      <c r="B525">
        <v>1</v>
      </c>
      <c r="C525">
        <v>5</v>
      </c>
      <c r="D525" t="str">
        <f>VLOOKUP($C525,products!$A$1:$F$322,MATCH(order_items!$D$1,products!$A$1:$F$1,0),FALSE)</f>
        <v>Heller Shagamaw Frame - 2016</v>
      </c>
      <c r="E525">
        <f>VLOOKUP($C525,products!$A$1:$F$322,MATCH(order_items!$E$1,products!$A$1:$F$1,0),FALSE)</f>
        <v>6</v>
      </c>
      <c r="F525" t="str">
        <f>VLOOKUP($E525,categories!$A$1:$B$8,MATCH(order_items!$F$1,categories!$A$1:$B$1,0),FALSE)</f>
        <v>Mountain Bikes</v>
      </c>
      <c r="G525">
        <v>1</v>
      </c>
      <c r="H525">
        <v>1320.99</v>
      </c>
      <c r="I525" s="5">
        <v>0.05</v>
      </c>
      <c r="J525">
        <f t="shared" si="16"/>
        <v>1254.9404999999999</v>
      </c>
      <c r="K525" s="9">
        <f t="shared" si="17"/>
        <v>8.0051548913398024E-2</v>
      </c>
    </row>
    <row r="526" spans="1:11" x14ac:dyDescent="0.3">
      <c r="A526">
        <v>188</v>
      </c>
      <c r="B526">
        <v>1</v>
      </c>
      <c r="C526">
        <v>7</v>
      </c>
      <c r="D526" t="str">
        <f>VLOOKUP($C526,products!$A$1:$F$322,MATCH(order_items!$D$1,products!$A$1:$F$1,0),FALSE)</f>
        <v>Trek Slash 8 27.5 - 2016</v>
      </c>
      <c r="E526">
        <f>VLOOKUP($C526,products!$A$1:$F$322,MATCH(order_items!$E$1,products!$A$1:$F$1,0),FALSE)</f>
        <v>6</v>
      </c>
      <c r="F526" t="str">
        <f>VLOOKUP($E526,categories!$A$1:$B$8,MATCH(order_items!$F$1,categories!$A$1:$B$1,0),FALSE)</f>
        <v>Mountain Bikes</v>
      </c>
      <c r="G526">
        <v>2</v>
      </c>
      <c r="H526">
        <v>3999.99</v>
      </c>
      <c r="I526" s="5">
        <v>7.0000000000000007E-2</v>
      </c>
      <c r="J526">
        <f t="shared" si="16"/>
        <v>7439.9813999999988</v>
      </c>
      <c r="K526" s="9">
        <f t="shared" si="17"/>
        <v>2.0606009048962846</v>
      </c>
    </row>
    <row r="527" spans="1:11" x14ac:dyDescent="0.3">
      <c r="A527">
        <v>189</v>
      </c>
      <c r="B527">
        <v>1</v>
      </c>
      <c r="C527">
        <v>16</v>
      </c>
      <c r="D527" t="str">
        <f>VLOOKUP($C527,products!$A$1:$F$322,MATCH(order_items!$D$1,products!$A$1:$F$1,0),FALSE)</f>
        <v>Electra Townie Original 7D EQ - 2016</v>
      </c>
      <c r="E527">
        <f>VLOOKUP($C527,products!$A$1:$F$322,MATCH(order_items!$E$1,products!$A$1:$F$1,0),FALSE)</f>
        <v>3</v>
      </c>
      <c r="F527" t="str">
        <f>VLOOKUP($E527,categories!$A$1:$B$8,MATCH(order_items!$F$1,categories!$A$1:$B$1,0),FALSE)</f>
        <v>Cruisers Bicycles</v>
      </c>
      <c r="G527">
        <v>2</v>
      </c>
      <c r="H527">
        <v>599.99</v>
      </c>
      <c r="I527" s="5">
        <v>0.2</v>
      </c>
      <c r="J527">
        <f t="shared" si="16"/>
        <v>959.98400000000004</v>
      </c>
      <c r="K527" s="9">
        <f t="shared" si="17"/>
        <v>-0.45297423894164529</v>
      </c>
    </row>
    <row r="528" spans="1:11" x14ac:dyDescent="0.3">
      <c r="A528">
        <v>190</v>
      </c>
      <c r="B528">
        <v>1</v>
      </c>
      <c r="C528">
        <v>24</v>
      </c>
      <c r="D528" t="str">
        <f>VLOOKUP($C528,products!$A$1:$F$322,MATCH(order_items!$D$1,products!$A$1:$F$1,0),FALSE)</f>
        <v>Electra Townie Original 21D - 2016</v>
      </c>
      <c r="E528">
        <f>VLOOKUP($C528,products!$A$1:$F$322,MATCH(order_items!$E$1,products!$A$1:$F$1,0),FALSE)</f>
        <v>2</v>
      </c>
      <c r="F528" t="str">
        <f>VLOOKUP($E528,categories!$A$1:$B$8,MATCH(order_items!$F$1,categories!$A$1:$B$1,0),FALSE)</f>
        <v>Comfort Bicycles</v>
      </c>
      <c r="G528">
        <v>1</v>
      </c>
      <c r="H528">
        <v>549.99</v>
      </c>
      <c r="I528" s="5">
        <v>0.05</v>
      </c>
      <c r="J528">
        <f t="shared" si="16"/>
        <v>522.4905</v>
      </c>
      <c r="K528" s="9">
        <f t="shared" si="17"/>
        <v>-0.48993857929220308</v>
      </c>
    </row>
    <row r="529" spans="1:11" x14ac:dyDescent="0.3">
      <c r="A529">
        <v>190</v>
      </c>
      <c r="B529">
        <v>2</v>
      </c>
      <c r="C529">
        <v>15</v>
      </c>
      <c r="D529" t="str">
        <f>VLOOKUP($C529,products!$A$1:$F$322,MATCH(order_items!$D$1,products!$A$1:$F$1,0),FALSE)</f>
        <v>Electra Moto 1 - 2016</v>
      </c>
      <c r="E529">
        <f>VLOOKUP($C529,products!$A$1:$F$322,MATCH(order_items!$E$1,products!$A$1:$F$1,0),FALSE)</f>
        <v>3</v>
      </c>
      <c r="F529" t="str">
        <f>VLOOKUP($E529,categories!$A$1:$B$8,MATCH(order_items!$F$1,categories!$A$1:$B$1,0),FALSE)</f>
        <v>Cruisers Bicycles</v>
      </c>
      <c r="G529">
        <v>1</v>
      </c>
      <c r="H529">
        <v>529.99</v>
      </c>
      <c r="I529" s="5">
        <v>0.2</v>
      </c>
      <c r="J529">
        <f t="shared" si="16"/>
        <v>423.99200000000002</v>
      </c>
      <c r="K529" s="9">
        <f t="shared" si="17"/>
        <v>-0.50472431543242624</v>
      </c>
    </row>
    <row r="530" spans="1:11" x14ac:dyDescent="0.3">
      <c r="A530">
        <v>190</v>
      </c>
      <c r="B530">
        <v>3</v>
      </c>
      <c r="C530">
        <v>3</v>
      </c>
      <c r="D530" t="str">
        <f>VLOOKUP($C530,products!$A$1:$F$322,MATCH(order_items!$D$1,products!$A$1:$F$1,0),FALSE)</f>
        <v>Surly Wednesday Frameset - 2016</v>
      </c>
      <c r="E530">
        <f>VLOOKUP($C530,products!$A$1:$F$322,MATCH(order_items!$E$1,products!$A$1:$F$1,0),FALSE)</f>
        <v>6</v>
      </c>
      <c r="F530" t="str">
        <f>VLOOKUP($E530,categories!$A$1:$B$8,MATCH(order_items!$F$1,categories!$A$1:$B$1,0),FALSE)</f>
        <v>Mountain Bikes</v>
      </c>
      <c r="G530">
        <v>2</v>
      </c>
      <c r="H530">
        <v>999.99</v>
      </c>
      <c r="I530" s="5">
        <v>0.2</v>
      </c>
      <c r="J530">
        <f t="shared" si="16"/>
        <v>1599.9840000000002</v>
      </c>
      <c r="K530" s="9">
        <f t="shared" si="17"/>
        <v>-0.15725951613718298</v>
      </c>
    </row>
    <row r="531" spans="1:11" x14ac:dyDescent="0.3">
      <c r="A531">
        <v>191</v>
      </c>
      <c r="B531">
        <v>1</v>
      </c>
      <c r="C531">
        <v>25</v>
      </c>
      <c r="D531" t="str">
        <f>VLOOKUP($C531,products!$A$1:$F$322,MATCH(order_items!$D$1,products!$A$1:$F$1,0),FALSE)</f>
        <v>Electra Townie Original 7D - 2015/2016</v>
      </c>
      <c r="E531">
        <f>VLOOKUP($C531,products!$A$1:$F$322,MATCH(order_items!$E$1,products!$A$1:$F$1,0),FALSE)</f>
        <v>2</v>
      </c>
      <c r="F531" t="str">
        <f>VLOOKUP($E531,categories!$A$1:$B$8,MATCH(order_items!$F$1,categories!$A$1:$B$1,0),FALSE)</f>
        <v>Comfort Bicycles</v>
      </c>
      <c r="G531">
        <v>1</v>
      </c>
      <c r="H531">
        <v>499.99</v>
      </c>
      <c r="I531" s="5">
        <v>0.05</v>
      </c>
      <c r="J531">
        <f t="shared" si="16"/>
        <v>474.9905</v>
      </c>
      <c r="K531" s="9">
        <f t="shared" si="17"/>
        <v>-0.52690291964276081</v>
      </c>
    </row>
    <row r="532" spans="1:11" x14ac:dyDescent="0.3">
      <c r="A532">
        <v>191</v>
      </c>
      <c r="B532">
        <v>2</v>
      </c>
      <c r="C532">
        <v>12</v>
      </c>
      <c r="D532" t="str">
        <f>VLOOKUP($C532,products!$A$1:$F$322,MATCH(order_items!$D$1,products!$A$1:$F$1,0),FALSE)</f>
        <v>Electra Townie Original 21D - 2016</v>
      </c>
      <c r="E532">
        <f>VLOOKUP($C532,products!$A$1:$F$322,MATCH(order_items!$E$1,products!$A$1:$F$1,0),FALSE)</f>
        <v>3</v>
      </c>
      <c r="F532" t="str">
        <f>VLOOKUP($E532,categories!$A$1:$B$8,MATCH(order_items!$F$1,categories!$A$1:$B$1,0),FALSE)</f>
        <v>Cruisers Bicycles</v>
      </c>
      <c r="G532">
        <v>2</v>
      </c>
      <c r="H532">
        <v>549.99</v>
      </c>
      <c r="I532" s="5">
        <v>0.2</v>
      </c>
      <c r="J532">
        <f t="shared" si="16"/>
        <v>879.98400000000004</v>
      </c>
      <c r="K532" s="9">
        <f t="shared" si="17"/>
        <v>-0.48993857929220308</v>
      </c>
    </row>
    <row r="533" spans="1:11" x14ac:dyDescent="0.3">
      <c r="A533">
        <v>191</v>
      </c>
      <c r="B533">
        <v>3</v>
      </c>
      <c r="C533">
        <v>3</v>
      </c>
      <c r="D533" t="str">
        <f>VLOOKUP($C533,products!$A$1:$F$322,MATCH(order_items!$D$1,products!$A$1:$F$1,0),FALSE)</f>
        <v>Surly Wednesday Frameset - 2016</v>
      </c>
      <c r="E533">
        <f>VLOOKUP($C533,products!$A$1:$F$322,MATCH(order_items!$E$1,products!$A$1:$F$1,0),FALSE)</f>
        <v>6</v>
      </c>
      <c r="F533" t="str">
        <f>VLOOKUP($E533,categories!$A$1:$B$8,MATCH(order_items!$F$1,categories!$A$1:$B$1,0),FALSE)</f>
        <v>Mountain Bikes</v>
      </c>
      <c r="G533">
        <v>1</v>
      </c>
      <c r="H533">
        <v>999.99</v>
      </c>
      <c r="I533" s="5">
        <v>7.0000000000000007E-2</v>
      </c>
      <c r="J533">
        <f t="shared" si="16"/>
        <v>929.99069999999995</v>
      </c>
      <c r="K533" s="9">
        <f t="shared" si="17"/>
        <v>-0.15725951613718298</v>
      </c>
    </row>
    <row r="534" spans="1:11" x14ac:dyDescent="0.3">
      <c r="A534">
        <v>191</v>
      </c>
      <c r="B534">
        <v>4</v>
      </c>
      <c r="C534">
        <v>8</v>
      </c>
      <c r="D534" t="str">
        <f>VLOOKUP($C534,products!$A$1:$F$322,MATCH(order_items!$D$1,products!$A$1:$F$1,0),FALSE)</f>
        <v>Trek Remedy 29 Carbon Frameset - 2016</v>
      </c>
      <c r="E534">
        <f>VLOOKUP($C534,products!$A$1:$F$322,MATCH(order_items!$E$1,products!$A$1:$F$1,0),FALSE)</f>
        <v>6</v>
      </c>
      <c r="F534" t="str">
        <f>VLOOKUP($E534,categories!$A$1:$B$8,MATCH(order_items!$F$1,categories!$A$1:$B$1,0),FALSE)</f>
        <v>Mountain Bikes</v>
      </c>
      <c r="G534">
        <v>2</v>
      </c>
      <c r="H534">
        <v>1799.99</v>
      </c>
      <c r="I534" s="5">
        <v>0.05</v>
      </c>
      <c r="J534">
        <f t="shared" si="16"/>
        <v>3419.9809999999998</v>
      </c>
      <c r="K534" s="9">
        <f t="shared" si="17"/>
        <v>0.43416992947174166</v>
      </c>
    </row>
    <row r="535" spans="1:11" x14ac:dyDescent="0.3">
      <c r="A535">
        <v>191</v>
      </c>
      <c r="B535">
        <v>5</v>
      </c>
      <c r="C535">
        <v>23</v>
      </c>
      <c r="D535" t="str">
        <f>VLOOKUP($C535,products!$A$1:$F$322,MATCH(order_items!$D$1,products!$A$1:$F$1,0),FALSE)</f>
        <v>Electra Girl's Hawaii 1 (20-inch) - 2015/2016</v>
      </c>
      <c r="E535">
        <f>VLOOKUP($C535,products!$A$1:$F$322,MATCH(order_items!$E$1,products!$A$1:$F$1,0),FALSE)</f>
        <v>1</v>
      </c>
      <c r="F535" t="str">
        <f>VLOOKUP($E535,categories!$A$1:$B$8,MATCH(order_items!$F$1,categories!$A$1:$B$1,0),FALSE)</f>
        <v>Children Bicycles</v>
      </c>
      <c r="G535">
        <v>1</v>
      </c>
      <c r="H535">
        <v>299.99</v>
      </c>
      <c r="I535" s="5">
        <v>0.05</v>
      </c>
      <c r="J535">
        <f t="shared" si="16"/>
        <v>284.9905</v>
      </c>
      <c r="K535" s="9">
        <f t="shared" si="17"/>
        <v>-0.67476028104499197</v>
      </c>
    </row>
    <row r="536" spans="1:11" x14ac:dyDescent="0.3">
      <c r="A536">
        <v>192</v>
      </c>
      <c r="B536">
        <v>1</v>
      </c>
      <c r="C536">
        <v>8</v>
      </c>
      <c r="D536" t="str">
        <f>VLOOKUP($C536,products!$A$1:$F$322,MATCH(order_items!$D$1,products!$A$1:$F$1,0),FALSE)</f>
        <v>Trek Remedy 29 Carbon Frameset - 2016</v>
      </c>
      <c r="E536">
        <f>VLOOKUP($C536,products!$A$1:$F$322,MATCH(order_items!$E$1,products!$A$1:$F$1,0),FALSE)</f>
        <v>6</v>
      </c>
      <c r="F536" t="str">
        <f>VLOOKUP($E536,categories!$A$1:$B$8,MATCH(order_items!$F$1,categories!$A$1:$B$1,0),FALSE)</f>
        <v>Mountain Bikes</v>
      </c>
      <c r="G536">
        <v>2</v>
      </c>
      <c r="H536">
        <v>1799.99</v>
      </c>
      <c r="I536" s="5">
        <v>0.1</v>
      </c>
      <c r="J536">
        <f t="shared" si="16"/>
        <v>3239.982</v>
      </c>
      <c r="K536" s="9">
        <f t="shared" si="17"/>
        <v>0.43416992947174166</v>
      </c>
    </row>
    <row r="537" spans="1:11" x14ac:dyDescent="0.3">
      <c r="A537">
        <v>192</v>
      </c>
      <c r="B537">
        <v>2</v>
      </c>
      <c r="C537">
        <v>25</v>
      </c>
      <c r="D537" t="str">
        <f>VLOOKUP($C537,products!$A$1:$F$322,MATCH(order_items!$D$1,products!$A$1:$F$1,0),FALSE)</f>
        <v>Electra Townie Original 7D - 2015/2016</v>
      </c>
      <c r="E537">
        <f>VLOOKUP($C537,products!$A$1:$F$322,MATCH(order_items!$E$1,products!$A$1:$F$1,0),FALSE)</f>
        <v>2</v>
      </c>
      <c r="F537" t="str">
        <f>VLOOKUP($E537,categories!$A$1:$B$8,MATCH(order_items!$F$1,categories!$A$1:$B$1,0),FALSE)</f>
        <v>Comfort Bicycles</v>
      </c>
      <c r="G537">
        <v>1</v>
      </c>
      <c r="H537">
        <v>499.99</v>
      </c>
      <c r="I537" s="5">
        <v>7.0000000000000007E-2</v>
      </c>
      <c r="J537">
        <f t="shared" si="16"/>
        <v>464.9907</v>
      </c>
      <c r="K537" s="9">
        <f t="shared" si="17"/>
        <v>-0.52690291964276081</v>
      </c>
    </row>
    <row r="538" spans="1:11" x14ac:dyDescent="0.3">
      <c r="A538">
        <v>192</v>
      </c>
      <c r="B538">
        <v>3</v>
      </c>
      <c r="C538">
        <v>2</v>
      </c>
      <c r="D538" t="str">
        <f>VLOOKUP($C538,products!$A$1:$F$322,MATCH(order_items!$D$1,products!$A$1:$F$1,0),FALSE)</f>
        <v>Ritchey Timberwolf Frameset - 2016</v>
      </c>
      <c r="E538">
        <f>VLOOKUP($C538,products!$A$1:$F$322,MATCH(order_items!$E$1,products!$A$1:$F$1,0),FALSE)</f>
        <v>6</v>
      </c>
      <c r="F538" t="str">
        <f>VLOOKUP($E538,categories!$A$1:$B$8,MATCH(order_items!$F$1,categories!$A$1:$B$1,0),FALSE)</f>
        <v>Mountain Bikes</v>
      </c>
      <c r="G538">
        <v>1</v>
      </c>
      <c r="H538">
        <v>749.99</v>
      </c>
      <c r="I538" s="5">
        <v>0.05</v>
      </c>
      <c r="J538">
        <f t="shared" si="16"/>
        <v>712.4905</v>
      </c>
      <c r="K538" s="9">
        <f t="shared" si="17"/>
        <v>-0.34208121788997192</v>
      </c>
    </row>
    <row r="539" spans="1:11" x14ac:dyDescent="0.3">
      <c r="A539">
        <v>192</v>
      </c>
      <c r="B539">
        <v>4</v>
      </c>
      <c r="C539">
        <v>24</v>
      </c>
      <c r="D539" t="str">
        <f>VLOOKUP($C539,products!$A$1:$F$322,MATCH(order_items!$D$1,products!$A$1:$F$1,0),FALSE)</f>
        <v>Electra Townie Original 21D - 2016</v>
      </c>
      <c r="E539">
        <f>VLOOKUP($C539,products!$A$1:$F$322,MATCH(order_items!$E$1,products!$A$1:$F$1,0),FALSE)</f>
        <v>2</v>
      </c>
      <c r="F539" t="str">
        <f>VLOOKUP($E539,categories!$A$1:$B$8,MATCH(order_items!$F$1,categories!$A$1:$B$1,0),FALSE)</f>
        <v>Comfort Bicycles</v>
      </c>
      <c r="G539">
        <v>2</v>
      </c>
      <c r="H539">
        <v>549.99</v>
      </c>
      <c r="I539" s="5">
        <v>7.0000000000000007E-2</v>
      </c>
      <c r="J539">
        <f t="shared" si="16"/>
        <v>1022.9813999999999</v>
      </c>
      <c r="K539" s="9">
        <f t="shared" si="17"/>
        <v>-0.48993857929220308</v>
      </c>
    </row>
    <row r="540" spans="1:11" x14ac:dyDescent="0.3">
      <c r="A540">
        <v>192</v>
      </c>
      <c r="B540">
        <v>5</v>
      </c>
      <c r="C540">
        <v>10</v>
      </c>
      <c r="D540" t="str">
        <f>VLOOKUP($C540,products!$A$1:$F$322,MATCH(order_items!$D$1,products!$A$1:$F$1,0),FALSE)</f>
        <v>Surly Straggler - 2016</v>
      </c>
      <c r="E540">
        <f>VLOOKUP($C540,products!$A$1:$F$322,MATCH(order_items!$E$1,products!$A$1:$F$1,0),FALSE)</f>
        <v>4</v>
      </c>
      <c r="F540" t="str">
        <f>VLOOKUP($E540,categories!$A$1:$B$8,MATCH(order_items!$F$1,categories!$A$1:$B$1,0),FALSE)</f>
        <v>Cyclocross Bicycles</v>
      </c>
      <c r="G540">
        <v>2</v>
      </c>
      <c r="H540">
        <v>1549</v>
      </c>
      <c r="I540" s="5">
        <v>0.2</v>
      </c>
      <c r="J540">
        <f t="shared" si="16"/>
        <v>2478.4</v>
      </c>
      <c r="K540" s="9">
        <f t="shared" si="17"/>
        <v>0.24861633378001166</v>
      </c>
    </row>
    <row r="541" spans="1:11" x14ac:dyDescent="0.3">
      <c r="A541">
        <v>193</v>
      </c>
      <c r="B541">
        <v>1</v>
      </c>
      <c r="C541">
        <v>12</v>
      </c>
      <c r="D541" t="str">
        <f>VLOOKUP($C541,products!$A$1:$F$322,MATCH(order_items!$D$1,products!$A$1:$F$1,0),FALSE)</f>
        <v>Electra Townie Original 21D - 2016</v>
      </c>
      <c r="E541">
        <f>VLOOKUP($C541,products!$A$1:$F$322,MATCH(order_items!$E$1,products!$A$1:$F$1,0),FALSE)</f>
        <v>3</v>
      </c>
      <c r="F541" t="str">
        <f>VLOOKUP($E541,categories!$A$1:$B$8,MATCH(order_items!$F$1,categories!$A$1:$B$1,0),FALSE)</f>
        <v>Cruisers Bicycles</v>
      </c>
      <c r="G541">
        <v>2</v>
      </c>
      <c r="H541">
        <v>549.99</v>
      </c>
      <c r="I541" s="5">
        <v>0.1</v>
      </c>
      <c r="J541">
        <f t="shared" si="16"/>
        <v>989.98200000000008</v>
      </c>
      <c r="K541" s="9">
        <f t="shared" si="17"/>
        <v>-0.48993857929220308</v>
      </c>
    </row>
    <row r="542" spans="1:11" x14ac:dyDescent="0.3">
      <c r="A542">
        <v>194</v>
      </c>
      <c r="B542">
        <v>1</v>
      </c>
      <c r="C542">
        <v>21</v>
      </c>
      <c r="D542" t="str">
        <f>VLOOKUP($C542,products!$A$1:$F$322,MATCH(order_items!$D$1,products!$A$1:$F$1,0),FALSE)</f>
        <v>Electra Cruiser 1 (24-Inch) - 2016</v>
      </c>
      <c r="E542">
        <f>VLOOKUP($C542,products!$A$1:$F$322,MATCH(order_items!$E$1,products!$A$1:$F$1,0),FALSE)</f>
        <v>1</v>
      </c>
      <c r="F542" t="str">
        <f>VLOOKUP($E542,categories!$A$1:$B$8,MATCH(order_items!$F$1,categories!$A$1:$B$1,0),FALSE)</f>
        <v>Children Bicycles</v>
      </c>
      <c r="G542">
        <v>2</v>
      </c>
      <c r="H542">
        <v>269.99</v>
      </c>
      <c r="I542" s="5">
        <v>0.2</v>
      </c>
      <c r="J542">
        <f t="shared" si="16"/>
        <v>431.98400000000004</v>
      </c>
      <c r="K542" s="9">
        <f t="shared" si="17"/>
        <v>-0.69693888525532666</v>
      </c>
    </row>
    <row r="543" spans="1:11" x14ac:dyDescent="0.3">
      <c r="A543">
        <v>195</v>
      </c>
      <c r="B543">
        <v>1</v>
      </c>
      <c r="C543">
        <v>18</v>
      </c>
      <c r="D543" t="str">
        <f>VLOOKUP($C543,products!$A$1:$F$322,MATCH(order_items!$D$1,products!$A$1:$F$1,0),FALSE)</f>
        <v>Pure Cycles Western 3-Speed - Women's - 2015/2016</v>
      </c>
      <c r="E543">
        <f>VLOOKUP($C543,products!$A$1:$F$322,MATCH(order_items!$E$1,products!$A$1:$F$1,0),FALSE)</f>
        <v>3</v>
      </c>
      <c r="F543" t="str">
        <f>VLOOKUP($E543,categories!$A$1:$B$8,MATCH(order_items!$F$1,categories!$A$1:$B$1,0),FALSE)</f>
        <v>Cruisers Bicycles</v>
      </c>
      <c r="G543">
        <v>1</v>
      </c>
      <c r="H543">
        <v>449</v>
      </c>
      <c r="I543" s="5">
        <v>0.2</v>
      </c>
      <c r="J543">
        <f t="shared" si="16"/>
        <v>359.20000000000005</v>
      </c>
      <c r="K543" s="9">
        <f t="shared" si="17"/>
        <v>-0.56459915393225968</v>
      </c>
    </row>
    <row r="544" spans="1:11" x14ac:dyDescent="0.3">
      <c r="A544">
        <v>195</v>
      </c>
      <c r="B544">
        <v>2</v>
      </c>
      <c r="C544">
        <v>14</v>
      </c>
      <c r="D544" t="str">
        <f>VLOOKUP($C544,products!$A$1:$F$322,MATCH(order_items!$D$1,products!$A$1:$F$1,0),FALSE)</f>
        <v>Electra Girl's Hawaii 1 (16-inch) - 2015/2016</v>
      </c>
      <c r="E544">
        <f>VLOOKUP($C544,products!$A$1:$F$322,MATCH(order_items!$E$1,products!$A$1:$F$1,0),FALSE)</f>
        <v>3</v>
      </c>
      <c r="F544" t="str">
        <f>VLOOKUP($E544,categories!$A$1:$B$8,MATCH(order_items!$F$1,categories!$A$1:$B$1,0),FALSE)</f>
        <v>Cruisers Bicycles</v>
      </c>
      <c r="G544">
        <v>1</v>
      </c>
      <c r="H544">
        <v>269.99</v>
      </c>
      <c r="I544" s="5">
        <v>0.05</v>
      </c>
      <c r="J544">
        <f t="shared" si="16"/>
        <v>256.4905</v>
      </c>
      <c r="K544" s="9">
        <f t="shared" si="17"/>
        <v>-0.69693888525532666</v>
      </c>
    </row>
    <row r="545" spans="1:11" x14ac:dyDescent="0.3">
      <c r="A545">
        <v>195</v>
      </c>
      <c r="B545">
        <v>3</v>
      </c>
      <c r="C545">
        <v>5</v>
      </c>
      <c r="D545" t="str">
        <f>VLOOKUP($C545,products!$A$1:$F$322,MATCH(order_items!$D$1,products!$A$1:$F$1,0),FALSE)</f>
        <v>Heller Shagamaw Frame - 2016</v>
      </c>
      <c r="E545">
        <f>VLOOKUP($C545,products!$A$1:$F$322,MATCH(order_items!$E$1,products!$A$1:$F$1,0),FALSE)</f>
        <v>6</v>
      </c>
      <c r="F545" t="str">
        <f>VLOOKUP($E545,categories!$A$1:$B$8,MATCH(order_items!$F$1,categories!$A$1:$B$1,0),FALSE)</f>
        <v>Mountain Bikes</v>
      </c>
      <c r="G545">
        <v>2</v>
      </c>
      <c r="H545">
        <v>1320.99</v>
      </c>
      <c r="I545" s="5">
        <v>0.2</v>
      </c>
      <c r="J545">
        <f t="shared" si="16"/>
        <v>2113.5840000000003</v>
      </c>
      <c r="K545" s="9">
        <f t="shared" si="17"/>
        <v>8.0051548913398024E-2</v>
      </c>
    </row>
    <row r="546" spans="1:11" x14ac:dyDescent="0.3">
      <c r="A546">
        <v>195</v>
      </c>
      <c r="B546">
        <v>4</v>
      </c>
      <c r="C546">
        <v>4</v>
      </c>
      <c r="D546" t="str">
        <f>VLOOKUP($C546,products!$A$1:$F$322,MATCH(order_items!$D$1,products!$A$1:$F$1,0),FALSE)</f>
        <v>Trek Fuel EX 8 29 - 2016</v>
      </c>
      <c r="E546">
        <f>VLOOKUP($C546,products!$A$1:$F$322,MATCH(order_items!$E$1,products!$A$1:$F$1,0),FALSE)</f>
        <v>6</v>
      </c>
      <c r="F546" t="str">
        <f>VLOOKUP($E546,categories!$A$1:$B$8,MATCH(order_items!$F$1,categories!$A$1:$B$1,0),FALSE)</f>
        <v>Mountain Bikes</v>
      </c>
      <c r="G546">
        <v>2</v>
      </c>
      <c r="H546">
        <v>2899.99</v>
      </c>
      <c r="I546" s="5">
        <v>0.2</v>
      </c>
      <c r="J546">
        <f t="shared" si="16"/>
        <v>4639.9839999999995</v>
      </c>
      <c r="K546" s="9">
        <f t="shared" si="17"/>
        <v>1.2473854171840129</v>
      </c>
    </row>
    <row r="547" spans="1:11" x14ac:dyDescent="0.3">
      <c r="A547">
        <v>195</v>
      </c>
      <c r="B547">
        <v>5</v>
      </c>
      <c r="C547">
        <v>21</v>
      </c>
      <c r="D547" t="str">
        <f>VLOOKUP($C547,products!$A$1:$F$322,MATCH(order_items!$D$1,products!$A$1:$F$1,0),FALSE)</f>
        <v>Electra Cruiser 1 (24-Inch) - 2016</v>
      </c>
      <c r="E547">
        <f>VLOOKUP($C547,products!$A$1:$F$322,MATCH(order_items!$E$1,products!$A$1:$F$1,0),FALSE)</f>
        <v>1</v>
      </c>
      <c r="F547" t="str">
        <f>VLOOKUP($E547,categories!$A$1:$B$8,MATCH(order_items!$F$1,categories!$A$1:$B$1,0),FALSE)</f>
        <v>Children Bicycles</v>
      </c>
      <c r="G547">
        <v>2</v>
      </c>
      <c r="H547">
        <v>269.99</v>
      </c>
      <c r="I547" s="5">
        <v>0.1</v>
      </c>
      <c r="J547">
        <f t="shared" si="16"/>
        <v>485.98200000000003</v>
      </c>
      <c r="K547" s="9">
        <f t="shared" si="17"/>
        <v>-0.69693888525532666</v>
      </c>
    </row>
    <row r="548" spans="1:11" x14ac:dyDescent="0.3">
      <c r="A548">
        <v>196</v>
      </c>
      <c r="B548">
        <v>1</v>
      </c>
      <c r="C548">
        <v>6</v>
      </c>
      <c r="D548" t="str">
        <f>VLOOKUP($C548,products!$A$1:$F$322,MATCH(order_items!$D$1,products!$A$1:$F$1,0),FALSE)</f>
        <v>Surly Ice Cream Truck Frameset - 2016</v>
      </c>
      <c r="E548">
        <f>VLOOKUP($C548,products!$A$1:$F$322,MATCH(order_items!$E$1,products!$A$1:$F$1,0),FALSE)</f>
        <v>6</v>
      </c>
      <c r="F548" t="str">
        <f>VLOOKUP($E548,categories!$A$1:$B$8,MATCH(order_items!$F$1,categories!$A$1:$B$1,0),FALSE)</f>
        <v>Mountain Bikes</v>
      </c>
      <c r="G548">
        <v>1</v>
      </c>
      <c r="H548">
        <v>469.99</v>
      </c>
      <c r="I548" s="5">
        <v>0.05</v>
      </c>
      <c r="J548">
        <f t="shared" si="16"/>
        <v>446.4905</v>
      </c>
      <c r="K548" s="9">
        <f t="shared" si="17"/>
        <v>-0.5490815238530955</v>
      </c>
    </row>
    <row r="549" spans="1:11" x14ac:dyDescent="0.3">
      <c r="A549">
        <v>196</v>
      </c>
      <c r="B549">
        <v>2</v>
      </c>
      <c r="C549">
        <v>3</v>
      </c>
      <c r="D549" t="str">
        <f>VLOOKUP($C549,products!$A$1:$F$322,MATCH(order_items!$D$1,products!$A$1:$F$1,0),FALSE)</f>
        <v>Surly Wednesday Frameset - 2016</v>
      </c>
      <c r="E549">
        <f>VLOOKUP($C549,products!$A$1:$F$322,MATCH(order_items!$E$1,products!$A$1:$F$1,0),FALSE)</f>
        <v>6</v>
      </c>
      <c r="F549" t="str">
        <f>VLOOKUP($E549,categories!$A$1:$B$8,MATCH(order_items!$F$1,categories!$A$1:$B$1,0),FALSE)</f>
        <v>Mountain Bikes</v>
      </c>
      <c r="G549">
        <v>2</v>
      </c>
      <c r="H549">
        <v>999.99</v>
      </c>
      <c r="I549" s="5">
        <v>7.0000000000000007E-2</v>
      </c>
      <c r="J549">
        <f t="shared" si="16"/>
        <v>1859.9813999999999</v>
      </c>
      <c r="K549" s="9">
        <f t="shared" si="17"/>
        <v>-0.15725951613718298</v>
      </c>
    </row>
    <row r="550" spans="1:11" x14ac:dyDescent="0.3">
      <c r="A550">
        <v>196</v>
      </c>
      <c r="B550">
        <v>3</v>
      </c>
      <c r="C550">
        <v>10</v>
      </c>
      <c r="D550" t="str">
        <f>VLOOKUP($C550,products!$A$1:$F$322,MATCH(order_items!$D$1,products!$A$1:$F$1,0),FALSE)</f>
        <v>Surly Straggler - 2016</v>
      </c>
      <c r="E550">
        <f>VLOOKUP($C550,products!$A$1:$F$322,MATCH(order_items!$E$1,products!$A$1:$F$1,0),FALSE)</f>
        <v>4</v>
      </c>
      <c r="F550" t="str">
        <f>VLOOKUP($E550,categories!$A$1:$B$8,MATCH(order_items!$F$1,categories!$A$1:$B$1,0),FALSE)</f>
        <v>Cyclocross Bicycles</v>
      </c>
      <c r="G550">
        <v>2</v>
      </c>
      <c r="H550">
        <v>1549</v>
      </c>
      <c r="I550" s="5">
        <v>7.0000000000000007E-2</v>
      </c>
      <c r="J550">
        <f t="shared" si="16"/>
        <v>2881.14</v>
      </c>
      <c r="K550" s="9">
        <f t="shared" si="17"/>
        <v>0.24861633378001166</v>
      </c>
    </row>
    <row r="551" spans="1:11" x14ac:dyDescent="0.3">
      <c r="A551">
        <v>196</v>
      </c>
      <c r="B551">
        <v>4</v>
      </c>
      <c r="C551">
        <v>12</v>
      </c>
      <c r="D551" t="str">
        <f>VLOOKUP($C551,products!$A$1:$F$322,MATCH(order_items!$D$1,products!$A$1:$F$1,0),FALSE)</f>
        <v>Electra Townie Original 21D - 2016</v>
      </c>
      <c r="E551">
        <f>VLOOKUP($C551,products!$A$1:$F$322,MATCH(order_items!$E$1,products!$A$1:$F$1,0),FALSE)</f>
        <v>3</v>
      </c>
      <c r="F551" t="str">
        <f>VLOOKUP($E551,categories!$A$1:$B$8,MATCH(order_items!$F$1,categories!$A$1:$B$1,0),FALSE)</f>
        <v>Cruisers Bicycles</v>
      </c>
      <c r="G551">
        <v>1</v>
      </c>
      <c r="H551">
        <v>549.99</v>
      </c>
      <c r="I551" s="5">
        <v>7.0000000000000007E-2</v>
      </c>
      <c r="J551">
        <f t="shared" si="16"/>
        <v>511.49069999999995</v>
      </c>
      <c r="K551" s="9">
        <f t="shared" si="17"/>
        <v>-0.48993857929220308</v>
      </c>
    </row>
    <row r="552" spans="1:11" x14ac:dyDescent="0.3">
      <c r="A552">
        <v>196</v>
      </c>
      <c r="B552">
        <v>5</v>
      </c>
      <c r="C552">
        <v>20</v>
      </c>
      <c r="D552" t="str">
        <f>VLOOKUP($C552,products!$A$1:$F$322,MATCH(order_items!$D$1,products!$A$1:$F$1,0),FALSE)</f>
        <v>Electra Townie Original 7D EQ - Women's - 2016</v>
      </c>
      <c r="E552">
        <f>VLOOKUP($C552,products!$A$1:$F$322,MATCH(order_items!$E$1,products!$A$1:$F$1,0),FALSE)</f>
        <v>3</v>
      </c>
      <c r="F552" t="str">
        <f>VLOOKUP($E552,categories!$A$1:$B$8,MATCH(order_items!$F$1,categories!$A$1:$B$1,0),FALSE)</f>
        <v>Cruisers Bicycles</v>
      </c>
      <c r="G552">
        <v>1</v>
      </c>
      <c r="H552">
        <v>599.99</v>
      </c>
      <c r="I552" s="5">
        <v>0.1</v>
      </c>
      <c r="J552">
        <f t="shared" si="16"/>
        <v>539.99099999999999</v>
      </c>
      <c r="K552" s="9">
        <f t="shared" si="17"/>
        <v>-0.45297423894164529</v>
      </c>
    </row>
    <row r="553" spans="1:11" x14ac:dyDescent="0.3">
      <c r="A553">
        <v>197</v>
      </c>
      <c r="B553">
        <v>1</v>
      </c>
      <c r="C553">
        <v>4</v>
      </c>
      <c r="D553" t="str">
        <f>VLOOKUP($C553,products!$A$1:$F$322,MATCH(order_items!$D$1,products!$A$1:$F$1,0),FALSE)</f>
        <v>Trek Fuel EX 8 29 - 2016</v>
      </c>
      <c r="E553">
        <f>VLOOKUP($C553,products!$A$1:$F$322,MATCH(order_items!$E$1,products!$A$1:$F$1,0),FALSE)</f>
        <v>6</v>
      </c>
      <c r="F553" t="str">
        <f>VLOOKUP($E553,categories!$A$1:$B$8,MATCH(order_items!$F$1,categories!$A$1:$B$1,0),FALSE)</f>
        <v>Mountain Bikes</v>
      </c>
      <c r="G553">
        <v>2</v>
      </c>
      <c r="H553">
        <v>2899.99</v>
      </c>
      <c r="I553" s="5">
        <v>0.2</v>
      </c>
      <c r="J553">
        <f t="shared" si="16"/>
        <v>4639.9839999999995</v>
      </c>
      <c r="K553" s="9">
        <f t="shared" si="17"/>
        <v>1.2473854171840129</v>
      </c>
    </row>
    <row r="554" spans="1:11" x14ac:dyDescent="0.3">
      <c r="A554">
        <v>197</v>
      </c>
      <c r="B554">
        <v>2</v>
      </c>
      <c r="C554">
        <v>2</v>
      </c>
      <c r="D554" t="str">
        <f>VLOOKUP($C554,products!$A$1:$F$322,MATCH(order_items!$D$1,products!$A$1:$F$1,0),FALSE)</f>
        <v>Ritchey Timberwolf Frameset - 2016</v>
      </c>
      <c r="E554">
        <f>VLOOKUP($C554,products!$A$1:$F$322,MATCH(order_items!$E$1,products!$A$1:$F$1,0),FALSE)</f>
        <v>6</v>
      </c>
      <c r="F554" t="str">
        <f>VLOOKUP($E554,categories!$A$1:$B$8,MATCH(order_items!$F$1,categories!$A$1:$B$1,0),FALSE)</f>
        <v>Mountain Bikes</v>
      </c>
      <c r="G554">
        <v>2</v>
      </c>
      <c r="H554">
        <v>749.99</v>
      </c>
      <c r="I554" s="5">
        <v>7.0000000000000007E-2</v>
      </c>
      <c r="J554">
        <f t="shared" si="16"/>
        <v>1394.9813999999999</v>
      </c>
      <c r="K554" s="9">
        <f t="shared" si="17"/>
        <v>-0.34208121788997192</v>
      </c>
    </row>
    <row r="555" spans="1:11" x14ac:dyDescent="0.3">
      <c r="A555">
        <v>198</v>
      </c>
      <c r="B555">
        <v>1</v>
      </c>
      <c r="C555">
        <v>6</v>
      </c>
      <c r="D555" t="str">
        <f>VLOOKUP($C555,products!$A$1:$F$322,MATCH(order_items!$D$1,products!$A$1:$F$1,0),FALSE)</f>
        <v>Surly Ice Cream Truck Frameset - 2016</v>
      </c>
      <c r="E555">
        <f>VLOOKUP($C555,products!$A$1:$F$322,MATCH(order_items!$E$1,products!$A$1:$F$1,0),FALSE)</f>
        <v>6</v>
      </c>
      <c r="F555" t="str">
        <f>VLOOKUP($E555,categories!$A$1:$B$8,MATCH(order_items!$F$1,categories!$A$1:$B$1,0),FALSE)</f>
        <v>Mountain Bikes</v>
      </c>
      <c r="G555">
        <v>2</v>
      </c>
      <c r="H555">
        <v>469.99</v>
      </c>
      <c r="I555" s="5">
        <v>0.05</v>
      </c>
      <c r="J555">
        <f t="shared" si="16"/>
        <v>892.98099999999999</v>
      </c>
      <c r="K555" s="9">
        <f t="shared" si="17"/>
        <v>-0.5490815238530955</v>
      </c>
    </row>
    <row r="556" spans="1:11" x14ac:dyDescent="0.3">
      <c r="A556">
        <v>198</v>
      </c>
      <c r="B556">
        <v>2</v>
      </c>
      <c r="C556">
        <v>20</v>
      </c>
      <c r="D556" t="str">
        <f>VLOOKUP($C556,products!$A$1:$F$322,MATCH(order_items!$D$1,products!$A$1:$F$1,0),FALSE)</f>
        <v>Electra Townie Original 7D EQ - Women's - 2016</v>
      </c>
      <c r="E556">
        <f>VLOOKUP($C556,products!$A$1:$F$322,MATCH(order_items!$E$1,products!$A$1:$F$1,0),FALSE)</f>
        <v>3</v>
      </c>
      <c r="F556" t="str">
        <f>VLOOKUP($E556,categories!$A$1:$B$8,MATCH(order_items!$F$1,categories!$A$1:$B$1,0),FALSE)</f>
        <v>Cruisers Bicycles</v>
      </c>
      <c r="G556">
        <v>2</v>
      </c>
      <c r="H556">
        <v>599.99</v>
      </c>
      <c r="I556" s="5">
        <v>7.0000000000000007E-2</v>
      </c>
      <c r="J556">
        <f t="shared" si="16"/>
        <v>1115.9813999999999</v>
      </c>
      <c r="K556" s="9">
        <f t="shared" si="17"/>
        <v>-0.45297423894164529</v>
      </c>
    </row>
    <row r="557" spans="1:11" x14ac:dyDescent="0.3">
      <c r="A557">
        <v>198</v>
      </c>
      <c r="B557">
        <v>3</v>
      </c>
      <c r="C557">
        <v>8</v>
      </c>
      <c r="D557" t="str">
        <f>VLOOKUP($C557,products!$A$1:$F$322,MATCH(order_items!$D$1,products!$A$1:$F$1,0),FALSE)</f>
        <v>Trek Remedy 29 Carbon Frameset - 2016</v>
      </c>
      <c r="E557">
        <f>VLOOKUP($C557,products!$A$1:$F$322,MATCH(order_items!$E$1,products!$A$1:$F$1,0),FALSE)</f>
        <v>6</v>
      </c>
      <c r="F557" t="str">
        <f>VLOOKUP($E557,categories!$A$1:$B$8,MATCH(order_items!$F$1,categories!$A$1:$B$1,0),FALSE)</f>
        <v>Mountain Bikes</v>
      </c>
      <c r="G557">
        <v>2</v>
      </c>
      <c r="H557">
        <v>1799.99</v>
      </c>
      <c r="I557" s="5">
        <v>0.2</v>
      </c>
      <c r="J557">
        <f t="shared" si="16"/>
        <v>2879.9840000000004</v>
      </c>
      <c r="K557" s="9">
        <f t="shared" si="17"/>
        <v>0.43416992947174166</v>
      </c>
    </row>
    <row r="558" spans="1:11" x14ac:dyDescent="0.3">
      <c r="A558">
        <v>198</v>
      </c>
      <c r="B558">
        <v>4</v>
      </c>
      <c r="C558">
        <v>13</v>
      </c>
      <c r="D558" t="str">
        <f>VLOOKUP($C558,products!$A$1:$F$322,MATCH(order_items!$D$1,products!$A$1:$F$1,0),FALSE)</f>
        <v>Electra Cruiser 1 (24-Inch) - 2016</v>
      </c>
      <c r="E558">
        <f>VLOOKUP($C558,products!$A$1:$F$322,MATCH(order_items!$E$1,products!$A$1:$F$1,0),FALSE)</f>
        <v>3</v>
      </c>
      <c r="F558" t="str">
        <f>VLOOKUP($E558,categories!$A$1:$B$8,MATCH(order_items!$F$1,categories!$A$1:$B$1,0),FALSE)</f>
        <v>Cruisers Bicycles</v>
      </c>
      <c r="G558">
        <v>2</v>
      </c>
      <c r="H558">
        <v>269.99</v>
      </c>
      <c r="I558" s="5">
        <v>0.05</v>
      </c>
      <c r="J558">
        <f t="shared" si="16"/>
        <v>512.98099999999999</v>
      </c>
      <c r="K558" s="9">
        <f t="shared" si="17"/>
        <v>-0.69693888525532666</v>
      </c>
    </row>
    <row r="559" spans="1:11" x14ac:dyDescent="0.3">
      <c r="A559">
        <v>198</v>
      </c>
      <c r="B559">
        <v>5</v>
      </c>
      <c r="C559">
        <v>17</v>
      </c>
      <c r="D559" t="str">
        <f>VLOOKUP($C559,products!$A$1:$F$322,MATCH(order_items!$D$1,products!$A$1:$F$1,0),FALSE)</f>
        <v>Pure Cycles Vine 8-Speed - 2016</v>
      </c>
      <c r="E559">
        <f>VLOOKUP($C559,products!$A$1:$F$322,MATCH(order_items!$E$1,products!$A$1:$F$1,0),FALSE)</f>
        <v>3</v>
      </c>
      <c r="F559" t="str">
        <f>VLOOKUP($E559,categories!$A$1:$B$8,MATCH(order_items!$F$1,categories!$A$1:$B$1,0),FALSE)</f>
        <v>Cruisers Bicycles</v>
      </c>
      <c r="G559">
        <v>1</v>
      </c>
      <c r="H559">
        <v>429</v>
      </c>
      <c r="I559" s="5">
        <v>0.05</v>
      </c>
      <c r="J559">
        <f t="shared" si="16"/>
        <v>407.54999999999995</v>
      </c>
      <c r="K559" s="9">
        <f t="shared" si="17"/>
        <v>-0.57938489007248284</v>
      </c>
    </row>
    <row r="560" spans="1:11" x14ac:dyDescent="0.3">
      <c r="A560">
        <v>199</v>
      </c>
      <c r="B560">
        <v>1</v>
      </c>
      <c r="C560">
        <v>25</v>
      </c>
      <c r="D560" t="str">
        <f>VLOOKUP($C560,products!$A$1:$F$322,MATCH(order_items!$D$1,products!$A$1:$F$1,0),FALSE)</f>
        <v>Electra Townie Original 7D - 2015/2016</v>
      </c>
      <c r="E560">
        <f>VLOOKUP($C560,products!$A$1:$F$322,MATCH(order_items!$E$1,products!$A$1:$F$1,0),FALSE)</f>
        <v>2</v>
      </c>
      <c r="F560" t="str">
        <f>VLOOKUP($E560,categories!$A$1:$B$8,MATCH(order_items!$F$1,categories!$A$1:$B$1,0),FALSE)</f>
        <v>Comfort Bicycles</v>
      </c>
      <c r="G560">
        <v>2</v>
      </c>
      <c r="H560">
        <v>499.99</v>
      </c>
      <c r="I560" s="5">
        <v>0.05</v>
      </c>
      <c r="J560">
        <f t="shared" si="16"/>
        <v>949.98099999999999</v>
      </c>
      <c r="K560" s="9">
        <f t="shared" si="17"/>
        <v>-0.52690291964276081</v>
      </c>
    </row>
    <row r="561" spans="1:11" x14ac:dyDescent="0.3">
      <c r="A561">
        <v>199</v>
      </c>
      <c r="B561">
        <v>2</v>
      </c>
      <c r="C561">
        <v>18</v>
      </c>
      <c r="D561" t="str">
        <f>VLOOKUP($C561,products!$A$1:$F$322,MATCH(order_items!$D$1,products!$A$1:$F$1,0),FALSE)</f>
        <v>Pure Cycles Western 3-Speed - Women's - 2015/2016</v>
      </c>
      <c r="E561">
        <f>VLOOKUP($C561,products!$A$1:$F$322,MATCH(order_items!$E$1,products!$A$1:$F$1,0),FALSE)</f>
        <v>3</v>
      </c>
      <c r="F561" t="str">
        <f>VLOOKUP($E561,categories!$A$1:$B$8,MATCH(order_items!$F$1,categories!$A$1:$B$1,0),FALSE)</f>
        <v>Cruisers Bicycles</v>
      </c>
      <c r="G561">
        <v>2</v>
      </c>
      <c r="H561">
        <v>449</v>
      </c>
      <c r="I561" s="5">
        <v>7.0000000000000007E-2</v>
      </c>
      <c r="J561">
        <f t="shared" si="16"/>
        <v>835.14</v>
      </c>
      <c r="K561" s="9">
        <f t="shared" si="17"/>
        <v>-0.56459915393225968</v>
      </c>
    </row>
    <row r="562" spans="1:11" x14ac:dyDescent="0.3">
      <c r="A562">
        <v>199</v>
      </c>
      <c r="B562">
        <v>3</v>
      </c>
      <c r="C562">
        <v>4</v>
      </c>
      <c r="D562" t="str">
        <f>VLOOKUP($C562,products!$A$1:$F$322,MATCH(order_items!$D$1,products!$A$1:$F$1,0),FALSE)</f>
        <v>Trek Fuel EX 8 29 - 2016</v>
      </c>
      <c r="E562">
        <f>VLOOKUP($C562,products!$A$1:$F$322,MATCH(order_items!$E$1,products!$A$1:$F$1,0),FALSE)</f>
        <v>6</v>
      </c>
      <c r="F562" t="str">
        <f>VLOOKUP($E562,categories!$A$1:$B$8,MATCH(order_items!$F$1,categories!$A$1:$B$1,0),FALSE)</f>
        <v>Mountain Bikes</v>
      </c>
      <c r="G562">
        <v>1</v>
      </c>
      <c r="H562">
        <v>2899.99</v>
      </c>
      <c r="I562" s="5">
        <v>0.2</v>
      </c>
      <c r="J562">
        <f t="shared" si="16"/>
        <v>2319.9919999999997</v>
      </c>
      <c r="K562" s="9">
        <f t="shared" si="17"/>
        <v>1.2473854171840129</v>
      </c>
    </row>
    <row r="563" spans="1:11" x14ac:dyDescent="0.3">
      <c r="A563">
        <v>200</v>
      </c>
      <c r="B563">
        <v>1</v>
      </c>
      <c r="C563">
        <v>23</v>
      </c>
      <c r="D563" t="str">
        <f>VLOOKUP($C563,products!$A$1:$F$322,MATCH(order_items!$D$1,products!$A$1:$F$1,0),FALSE)</f>
        <v>Electra Girl's Hawaii 1 (20-inch) - 2015/2016</v>
      </c>
      <c r="E563">
        <f>VLOOKUP($C563,products!$A$1:$F$322,MATCH(order_items!$E$1,products!$A$1:$F$1,0),FALSE)</f>
        <v>1</v>
      </c>
      <c r="F563" t="str">
        <f>VLOOKUP($E563,categories!$A$1:$B$8,MATCH(order_items!$F$1,categories!$A$1:$B$1,0),FALSE)</f>
        <v>Children Bicycles</v>
      </c>
      <c r="G563">
        <v>2</v>
      </c>
      <c r="H563">
        <v>299.99</v>
      </c>
      <c r="I563" s="5">
        <v>0.05</v>
      </c>
      <c r="J563">
        <f t="shared" si="16"/>
        <v>569.98099999999999</v>
      </c>
      <c r="K563" s="9">
        <f t="shared" si="17"/>
        <v>-0.67476028104499197</v>
      </c>
    </row>
    <row r="564" spans="1:11" x14ac:dyDescent="0.3">
      <c r="A564">
        <v>200</v>
      </c>
      <c r="B564">
        <v>2</v>
      </c>
      <c r="C564">
        <v>22</v>
      </c>
      <c r="D564" t="str">
        <f>VLOOKUP($C564,products!$A$1:$F$322,MATCH(order_items!$D$1,products!$A$1:$F$1,0),FALSE)</f>
        <v>Electra Girl's Hawaii 1 (16-inch) - 2015/2016</v>
      </c>
      <c r="E564">
        <f>VLOOKUP($C564,products!$A$1:$F$322,MATCH(order_items!$E$1,products!$A$1:$F$1,0),FALSE)</f>
        <v>1</v>
      </c>
      <c r="F564" t="str">
        <f>VLOOKUP($E564,categories!$A$1:$B$8,MATCH(order_items!$F$1,categories!$A$1:$B$1,0),FALSE)</f>
        <v>Children Bicycles</v>
      </c>
      <c r="G564">
        <v>2</v>
      </c>
      <c r="H564">
        <v>269.99</v>
      </c>
      <c r="I564" s="5">
        <v>7.0000000000000007E-2</v>
      </c>
      <c r="J564">
        <f t="shared" si="16"/>
        <v>502.1814</v>
      </c>
      <c r="K564" s="9">
        <f t="shared" si="17"/>
        <v>-0.69693888525532666</v>
      </c>
    </row>
    <row r="565" spans="1:11" x14ac:dyDescent="0.3">
      <c r="A565">
        <v>201</v>
      </c>
      <c r="B565">
        <v>1</v>
      </c>
      <c r="C565">
        <v>24</v>
      </c>
      <c r="D565" t="str">
        <f>VLOOKUP($C565,products!$A$1:$F$322,MATCH(order_items!$D$1,products!$A$1:$F$1,0),FALSE)</f>
        <v>Electra Townie Original 21D - 2016</v>
      </c>
      <c r="E565">
        <f>VLOOKUP($C565,products!$A$1:$F$322,MATCH(order_items!$E$1,products!$A$1:$F$1,0),FALSE)</f>
        <v>2</v>
      </c>
      <c r="F565" t="str">
        <f>VLOOKUP($E565,categories!$A$1:$B$8,MATCH(order_items!$F$1,categories!$A$1:$B$1,0),FALSE)</f>
        <v>Comfort Bicycles</v>
      </c>
      <c r="G565">
        <v>1</v>
      </c>
      <c r="H565">
        <v>549.99</v>
      </c>
      <c r="I565" s="5">
        <v>0.05</v>
      </c>
      <c r="J565">
        <f t="shared" si="16"/>
        <v>522.4905</v>
      </c>
      <c r="K565" s="9">
        <f t="shared" si="17"/>
        <v>-0.48993857929220308</v>
      </c>
    </row>
    <row r="566" spans="1:11" x14ac:dyDescent="0.3">
      <c r="A566">
        <v>201</v>
      </c>
      <c r="B566">
        <v>2</v>
      </c>
      <c r="C566">
        <v>7</v>
      </c>
      <c r="D566" t="str">
        <f>VLOOKUP($C566,products!$A$1:$F$322,MATCH(order_items!$D$1,products!$A$1:$F$1,0),FALSE)</f>
        <v>Trek Slash 8 27.5 - 2016</v>
      </c>
      <c r="E566">
        <f>VLOOKUP($C566,products!$A$1:$F$322,MATCH(order_items!$E$1,products!$A$1:$F$1,0),FALSE)</f>
        <v>6</v>
      </c>
      <c r="F566" t="str">
        <f>VLOOKUP($E566,categories!$A$1:$B$8,MATCH(order_items!$F$1,categories!$A$1:$B$1,0),FALSE)</f>
        <v>Mountain Bikes</v>
      </c>
      <c r="G566">
        <v>1</v>
      </c>
      <c r="H566">
        <v>3999.99</v>
      </c>
      <c r="I566" s="5">
        <v>0.2</v>
      </c>
      <c r="J566">
        <f t="shared" si="16"/>
        <v>3199.9920000000002</v>
      </c>
      <c r="K566" s="9">
        <f t="shared" si="17"/>
        <v>2.0606009048962846</v>
      </c>
    </row>
    <row r="567" spans="1:11" x14ac:dyDescent="0.3">
      <c r="A567">
        <v>201</v>
      </c>
      <c r="B567">
        <v>3</v>
      </c>
      <c r="C567">
        <v>14</v>
      </c>
      <c r="D567" t="str">
        <f>VLOOKUP($C567,products!$A$1:$F$322,MATCH(order_items!$D$1,products!$A$1:$F$1,0),FALSE)</f>
        <v>Electra Girl's Hawaii 1 (16-inch) - 2015/2016</v>
      </c>
      <c r="E567">
        <f>VLOOKUP($C567,products!$A$1:$F$322,MATCH(order_items!$E$1,products!$A$1:$F$1,0),FALSE)</f>
        <v>3</v>
      </c>
      <c r="F567" t="str">
        <f>VLOOKUP($E567,categories!$A$1:$B$8,MATCH(order_items!$F$1,categories!$A$1:$B$1,0),FALSE)</f>
        <v>Cruisers Bicycles</v>
      </c>
      <c r="G567">
        <v>2</v>
      </c>
      <c r="H567">
        <v>269.99</v>
      </c>
      <c r="I567" s="5">
        <v>0.1</v>
      </c>
      <c r="J567">
        <f t="shared" si="16"/>
        <v>485.98200000000003</v>
      </c>
      <c r="K567" s="9">
        <f t="shared" si="17"/>
        <v>-0.69693888525532666</v>
      </c>
    </row>
    <row r="568" spans="1:11" x14ac:dyDescent="0.3">
      <c r="A568">
        <v>201</v>
      </c>
      <c r="B568">
        <v>4</v>
      </c>
      <c r="C568">
        <v>17</v>
      </c>
      <c r="D568" t="str">
        <f>VLOOKUP($C568,products!$A$1:$F$322,MATCH(order_items!$D$1,products!$A$1:$F$1,0),FALSE)</f>
        <v>Pure Cycles Vine 8-Speed - 2016</v>
      </c>
      <c r="E568">
        <f>VLOOKUP($C568,products!$A$1:$F$322,MATCH(order_items!$E$1,products!$A$1:$F$1,0),FALSE)</f>
        <v>3</v>
      </c>
      <c r="F568" t="str">
        <f>VLOOKUP($E568,categories!$A$1:$B$8,MATCH(order_items!$F$1,categories!$A$1:$B$1,0),FALSE)</f>
        <v>Cruisers Bicycles</v>
      </c>
      <c r="G568">
        <v>1</v>
      </c>
      <c r="H568">
        <v>429</v>
      </c>
      <c r="I568" s="5">
        <v>0.05</v>
      </c>
      <c r="J568">
        <f t="shared" si="16"/>
        <v>407.54999999999995</v>
      </c>
      <c r="K568" s="9">
        <f t="shared" si="17"/>
        <v>-0.57938489007248284</v>
      </c>
    </row>
    <row r="569" spans="1:11" x14ac:dyDescent="0.3">
      <c r="A569">
        <v>202</v>
      </c>
      <c r="B569">
        <v>1</v>
      </c>
      <c r="C569">
        <v>8</v>
      </c>
      <c r="D569" t="str">
        <f>VLOOKUP($C569,products!$A$1:$F$322,MATCH(order_items!$D$1,products!$A$1:$F$1,0),FALSE)</f>
        <v>Trek Remedy 29 Carbon Frameset - 2016</v>
      </c>
      <c r="E569">
        <f>VLOOKUP($C569,products!$A$1:$F$322,MATCH(order_items!$E$1,products!$A$1:$F$1,0),FALSE)</f>
        <v>6</v>
      </c>
      <c r="F569" t="str">
        <f>VLOOKUP($E569,categories!$A$1:$B$8,MATCH(order_items!$F$1,categories!$A$1:$B$1,0),FALSE)</f>
        <v>Mountain Bikes</v>
      </c>
      <c r="G569">
        <v>1</v>
      </c>
      <c r="H569">
        <v>1799.99</v>
      </c>
      <c r="I569" s="5">
        <v>7.0000000000000007E-2</v>
      </c>
      <c r="J569">
        <f t="shared" si="16"/>
        <v>1673.9906999999998</v>
      </c>
      <c r="K569" s="9">
        <f t="shared" si="17"/>
        <v>0.43416992947174166</v>
      </c>
    </row>
    <row r="570" spans="1:11" x14ac:dyDescent="0.3">
      <c r="A570">
        <v>202</v>
      </c>
      <c r="B570">
        <v>2</v>
      </c>
      <c r="C570">
        <v>17</v>
      </c>
      <c r="D570" t="str">
        <f>VLOOKUP($C570,products!$A$1:$F$322,MATCH(order_items!$D$1,products!$A$1:$F$1,0),FALSE)</f>
        <v>Pure Cycles Vine 8-Speed - 2016</v>
      </c>
      <c r="E570">
        <f>VLOOKUP($C570,products!$A$1:$F$322,MATCH(order_items!$E$1,products!$A$1:$F$1,0),FALSE)</f>
        <v>3</v>
      </c>
      <c r="F570" t="str">
        <f>VLOOKUP($E570,categories!$A$1:$B$8,MATCH(order_items!$F$1,categories!$A$1:$B$1,0),FALSE)</f>
        <v>Cruisers Bicycles</v>
      </c>
      <c r="G570">
        <v>1</v>
      </c>
      <c r="H570">
        <v>429</v>
      </c>
      <c r="I570" s="5">
        <v>0.05</v>
      </c>
      <c r="J570">
        <f t="shared" si="16"/>
        <v>407.54999999999995</v>
      </c>
      <c r="K570" s="9">
        <f t="shared" si="17"/>
        <v>-0.57938489007248284</v>
      </c>
    </row>
    <row r="571" spans="1:11" x14ac:dyDescent="0.3">
      <c r="A571">
        <v>202</v>
      </c>
      <c r="B571">
        <v>3</v>
      </c>
      <c r="C571">
        <v>15</v>
      </c>
      <c r="D571" t="str">
        <f>VLOOKUP($C571,products!$A$1:$F$322,MATCH(order_items!$D$1,products!$A$1:$F$1,0),FALSE)</f>
        <v>Electra Moto 1 - 2016</v>
      </c>
      <c r="E571">
        <f>VLOOKUP($C571,products!$A$1:$F$322,MATCH(order_items!$E$1,products!$A$1:$F$1,0),FALSE)</f>
        <v>3</v>
      </c>
      <c r="F571" t="str">
        <f>VLOOKUP($E571,categories!$A$1:$B$8,MATCH(order_items!$F$1,categories!$A$1:$B$1,0),FALSE)</f>
        <v>Cruisers Bicycles</v>
      </c>
      <c r="G571">
        <v>2</v>
      </c>
      <c r="H571">
        <v>529.99</v>
      </c>
      <c r="I571" s="5">
        <v>0.05</v>
      </c>
      <c r="J571">
        <f t="shared" si="16"/>
        <v>1006.981</v>
      </c>
      <c r="K571" s="9">
        <f t="shared" si="17"/>
        <v>-0.50472431543242624</v>
      </c>
    </row>
    <row r="572" spans="1:11" x14ac:dyDescent="0.3">
      <c r="A572">
        <v>202</v>
      </c>
      <c r="B572">
        <v>4</v>
      </c>
      <c r="C572">
        <v>25</v>
      </c>
      <c r="D572" t="str">
        <f>VLOOKUP($C572,products!$A$1:$F$322,MATCH(order_items!$D$1,products!$A$1:$F$1,0),FALSE)</f>
        <v>Electra Townie Original 7D - 2015/2016</v>
      </c>
      <c r="E572">
        <f>VLOOKUP($C572,products!$A$1:$F$322,MATCH(order_items!$E$1,products!$A$1:$F$1,0),FALSE)</f>
        <v>2</v>
      </c>
      <c r="F572" t="str">
        <f>VLOOKUP($E572,categories!$A$1:$B$8,MATCH(order_items!$F$1,categories!$A$1:$B$1,0),FALSE)</f>
        <v>Comfort Bicycles</v>
      </c>
      <c r="G572">
        <v>2</v>
      </c>
      <c r="H572">
        <v>499.99</v>
      </c>
      <c r="I572" s="5">
        <v>0.05</v>
      </c>
      <c r="J572">
        <f t="shared" si="16"/>
        <v>949.98099999999999</v>
      </c>
      <c r="K572" s="9">
        <f t="shared" si="17"/>
        <v>-0.52690291964276081</v>
      </c>
    </row>
    <row r="573" spans="1:11" x14ac:dyDescent="0.3">
      <c r="A573">
        <v>203</v>
      </c>
      <c r="B573">
        <v>1</v>
      </c>
      <c r="C573">
        <v>26</v>
      </c>
      <c r="D573" t="str">
        <f>VLOOKUP($C573,products!$A$1:$F$322,MATCH(order_items!$D$1,products!$A$1:$F$1,0),FALSE)</f>
        <v>Electra Townie Original 7D EQ - 2016</v>
      </c>
      <c r="E573">
        <f>VLOOKUP($C573,products!$A$1:$F$322,MATCH(order_items!$E$1,products!$A$1:$F$1,0),FALSE)</f>
        <v>2</v>
      </c>
      <c r="F573" t="str">
        <f>VLOOKUP($E573,categories!$A$1:$B$8,MATCH(order_items!$F$1,categories!$A$1:$B$1,0),FALSE)</f>
        <v>Comfort Bicycles</v>
      </c>
      <c r="G573">
        <v>1</v>
      </c>
      <c r="H573">
        <v>599.99</v>
      </c>
      <c r="I573" s="5">
        <v>0.05</v>
      </c>
      <c r="J573">
        <f t="shared" si="16"/>
        <v>569.9905</v>
      </c>
      <c r="K573" s="9">
        <f t="shared" si="17"/>
        <v>-0.45297423894164529</v>
      </c>
    </row>
    <row r="574" spans="1:11" x14ac:dyDescent="0.3">
      <c r="A574">
        <v>203</v>
      </c>
      <c r="B574">
        <v>2</v>
      </c>
      <c r="C574">
        <v>3</v>
      </c>
      <c r="D574" t="str">
        <f>VLOOKUP($C574,products!$A$1:$F$322,MATCH(order_items!$D$1,products!$A$1:$F$1,0),FALSE)</f>
        <v>Surly Wednesday Frameset - 2016</v>
      </c>
      <c r="E574">
        <f>VLOOKUP($C574,products!$A$1:$F$322,MATCH(order_items!$E$1,products!$A$1:$F$1,0),FALSE)</f>
        <v>6</v>
      </c>
      <c r="F574" t="str">
        <f>VLOOKUP($E574,categories!$A$1:$B$8,MATCH(order_items!$F$1,categories!$A$1:$B$1,0),FALSE)</f>
        <v>Mountain Bikes</v>
      </c>
      <c r="G574">
        <v>2</v>
      </c>
      <c r="H574">
        <v>999.99</v>
      </c>
      <c r="I574" s="5">
        <v>0.1</v>
      </c>
      <c r="J574">
        <f t="shared" si="16"/>
        <v>1799.982</v>
      </c>
      <c r="K574" s="9">
        <f t="shared" si="17"/>
        <v>-0.15725951613718298</v>
      </c>
    </row>
    <row r="575" spans="1:11" x14ac:dyDescent="0.3">
      <c r="A575">
        <v>203</v>
      </c>
      <c r="B575">
        <v>3</v>
      </c>
      <c r="C575">
        <v>17</v>
      </c>
      <c r="D575" t="str">
        <f>VLOOKUP($C575,products!$A$1:$F$322,MATCH(order_items!$D$1,products!$A$1:$F$1,0),FALSE)</f>
        <v>Pure Cycles Vine 8-Speed - 2016</v>
      </c>
      <c r="E575">
        <f>VLOOKUP($C575,products!$A$1:$F$322,MATCH(order_items!$E$1,products!$A$1:$F$1,0),FALSE)</f>
        <v>3</v>
      </c>
      <c r="F575" t="str">
        <f>VLOOKUP($E575,categories!$A$1:$B$8,MATCH(order_items!$F$1,categories!$A$1:$B$1,0),FALSE)</f>
        <v>Cruisers Bicycles</v>
      </c>
      <c r="G575">
        <v>2</v>
      </c>
      <c r="H575">
        <v>429</v>
      </c>
      <c r="I575" s="5">
        <v>0.2</v>
      </c>
      <c r="J575">
        <f t="shared" si="16"/>
        <v>686.40000000000009</v>
      </c>
      <c r="K575" s="9">
        <f t="shared" si="17"/>
        <v>-0.57938489007248284</v>
      </c>
    </row>
    <row r="576" spans="1:11" x14ac:dyDescent="0.3">
      <c r="A576">
        <v>203</v>
      </c>
      <c r="B576">
        <v>4</v>
      </c>
      <c r="C576">
        <v>19</v>
      </c>
      <c r="D576" t="str">
        <f>VLOOKUP($C576,products!$A$1:$F$322,MATCH(order_items!$D$1,products!$A$1:$F$1,0),FALSE)</f>
        <v>Pure Cycles William 3-Speed - 2016</v>
      </c>
      <c r="E576">
        <f>VLOOKUP($C576,products!$A$1:$F$322,MATCH(order_items!$E$1,products!$A$1:$F$1,0),FALSE)</f>
        <v>3</v>
      </c>
      <c r="F576" t="str">
        <f>VLOOKUP($E576,categories!$A$1:$B$8,MATCH(order_items!$F$1,categories!$A$1:$B$1,0),FALSE)</f>
        <v>Cruisers Bicycles</v>
      </c>
      <c r="G576">
        <v>2</v>
      </c>
      <c r="H576">
        <v>449</v>
      </c>
      <c r="I576" s="5">
        <v>7.0000000000000007E-2</v>
      </c>
      <c r="J576">
        <f t="shared" si="16"/>
        <v>835.14</v>
      </c>
      <c r="K576" s="9">
        <f t="shared" si="17"/>
        <v>-0.56459915393225968</v>
      </c>
    </row>
    <row r="577" spans="1:11" x14ac:dyDescent="0.3">
      <c r="A577">
        <v>204</v>
      </c>
      <c r="B577">
        <v>1</v>
      </c>
      <c r="C577">
        <v>6</v>
      </c>
      <c r="D577" t="str">
        <f>VLOOKUP($C577,products!$A$1:$F$322,MATCH(order_items!$D$1,products!$A$1:$F$1,0),FALSE)</f>
        <v>Surly Ice Cream Truck Frameset - 2016</v>
      </c>
      <c r="E577">
        <f>VLOOKUP($C577,products!$A$1:$F$322,MATCH(order_items!$E$1,products!$A$1:$F$1,0),FALSE)</f>
        <v>6</v>
      </c>
      <c r="F577" t="str">
        <f>VLOOKUP($E577,categories!$A$1:$B$8,MATCH(order_items!$F$1,categories!$A$1:$B$1,0),FALSE)</f>
        <v>Mountain Bikes</v>
      </c>
      <c r="G577">
        <v>2</v>
      </c>
      <c r="H577">
        <v>469.99</v>
      </c>
      <c r="I577" s="5">
        <v>7.0000000000000007E-2</v>
      </c>
      <c r="J577">
        <f t="shared" si="16"/>
        <v>874.18139999999994</v>
      </c>
      <c r="K577" s="9">
        <f t="shared" si="17"/>
        <v>-0.5490815238530955</v>
      </c>
    </row>
    <row r="578" spans="1:11" x14ac:dyDescent="0.3">
      <c r="A578">
        <v>204</v>
      </c>
      <c r="B578">
        <v>2</v>
      </c>
      <c r="C578">
        <v>17</v>
      </c>
      <c r="D578" t="str">
        <f>VLOOKUP($C578,products!$A$1:$F$322,MATCH(order_items!$D$1,products!$A$1:$F$1,0),FALSE)</f>
        <v>Pure Cycles Vine 8-Speed - 2016</v>
      </c>
      <c r="E578">
        <f>VLOOKUP($C578,products!$A$1:$F$322,MATCH(order_items!$E$1,products!$A$1:$F$1,0),FALSE)</f>
        <v>3</v>
      </c>
      <c r="F578" t="str">
        <f>VLOOKUP($E578,categories!$A$1:$B$8,MATCH(order_items!$F$1,categories!$A$1:$B$1,0),FALSE)</f>
        <v>Cruisers Bicycles</v>
      </c>
      <c r="G578">
        <v>2</v>
      </c>
      <c r="H578">
        <v>429</v>
      </c>
      <c r="I578" s="5">
        <v>0.1</v>
      </c>
      <c r="J578">
        <f t="shared" ref="J578:J641" si="18">G578*H578*(1-I578)</f>
        <v>772.2</v>
      </c>
      <c r="K578" s="9">
        <f t="shared" ref="K578:K641" si="19">($H578-$M$7)/$M$9</f>
        <v>-0.57938489007248284</v>
      </c>
    </row>
    <row r="579" spans="1:11" x14ac:dyDescent="0.3">
      <c r="A579">
        <v>205</v>
      </c>
      <c r="B579">
        <v>1</v>
      </c>
      <c r="C579">
        <v>22</v>
      </c>
      <c r="D579" t="str">
        <f>VLOOKUP($C579,products!$A$1:$F$322,MATCH(order_items!$D$1,products!$A$1:$F$1,0),FALSE)</f>
        <v>Electra Girl's Hawaii 1 (16-inch) - 2015/2016</v>
      </c>
      <c r="E579">
        <f>VLOOKUP($C579,products!$A$1:$F$322,MATCH(order_items!$E$1,products!$A$1:$F$1,0),FALSE)</f>
        <v>1</v>
      </c>
      <c r="F579" t="str">
        <f>VLOOKUP($E579,categories!$A$1:$B$8,MATCH(order_items!$F$1,categories!$A$1:$B$1,0),FALSE)</f>
        <v>Children Bicycles</v>
      </c>
      <c r="G579">
        <v>2</v>
      </c>
      <c r="H579">
        <v>269.99</v>
      </c>
      <c r="I579" s="5">
        <v>0.05</v>
      </c>
      <c r="J579">
        <f t="shared" si="18"/>
        <v>512.98099999999999</v>
      </c>
      <c r="K579" s="9">
        <f t="shared" si="19"/>
        <v>-0.69693888525532666</v>
      </c>
    </row>
    <row r="580" spans="1:11" x14ac:dyDescent="0.3">
      <c r="A580">
        <v>205</v>
      </c>
      <c r="B580">
        <v>2</v>
      </c>
      <c r="C580">
        <v>24</v>
      </c>
      <c r="D580" t="str">
        <f>VLOOKUP($C580,products!$A$1:$F$322,MATCH(order_items!$D$1,products!$A$1:$F$1,0),FALSE)</f>
        <v>Electra Townie Original 21D - 2016</v>
      </c>
      <c r="E580">
        <f>VLOOKUP($C580,products!$A$1:$F$322,MATCH(order_items!$E$1,products!$A$1:$F$1,0),FALSE)</f>
        <v>2</v>
      </c>
      <c r="F580" t="str">
        <f>VLOOKUP($E580,categories!$A$1:$B$8,MATCH(order_items!$F$1,categories!$A$1:$B$1,0),FALSE)</f>
        <v>Comfort Bicycles</v>
      </c>
      <c r="G580">
        <v>2</v>
      </c>
      <c r="H580">
        <v>549.99</v>
      </c>
      <c r="I580" s="5">
        <v>0.1</v>
      </c>
      <c r="J580">
        <f t="shared" si="18"/>
        <v>989.98200000000008</v>
      </c>
      <c r="K580" s="9">
        <f t="shared" si="19"/>
        <v>-0.48993857929220308</v>
      </c>
    </row>
    <row r="581" spans="1:11" x14ac:dyDescent="0.3">
      <c r="A581">
        <v>206</v>
      </c>
      <c r="B581">
        <v>1</v>
      </c>
      <c r="C581">
        <v>25</v>
      </c>
      <c r="D581" t="str">
        <f>VLOOKUP($C581,products!$A$1:$F$322,MATCH(order_items!$D$1,products!$A$1:$F$1,0),FALSE)</f>
        <v>Electra Townie Original 7D - 2015/2016</v>
      </c>
      <c r="E581">
        <f>VLOOKUP($C581,products!$A$1:$F$322,MATCH(order_items!$E$1,products!$A$1:$F$1,0),FALSE)</f>
        <v>2</v>
      </c>
      <c r="F581" t="str">
        <f>VLOOKUP($E581,categories!$A$1:$B$8,MATCH(order_items!$F$1,categories!$A$1:$B$1,0),FALSE)</f>
        <v>Comfort Bicycles</v>
      </c>
      <c r="G581">
        <v>1</v>
      </c>
      <c r="H581">
        <v>499.99</v>
      </c>
      <c r="I581" s="5">
        <v>0.05</v>
      </c>
      <c r="J581">
        <f t="shared" si="18"/>
        <v>474.9905</v>
      </c>
      <c r="K581" s="9">
        <f t="shared" si="19"/>
        <v>-0.52690291964276081</v>
      </c>
    </row>
    <row r="582" spans="1:11" x14ac:dyDescent="0.3">
      <c r="A582">
        <v>206</v>
      </c>
      <c r="B582">
        <v>2</v>
      </c>
      <c r="C582">
        <v>20</v>
      </c>
      <c r="D582" t="str">
        <f>VLOOKUP($C582,products!$A$1:$F$322,MATCH(order_items!$D$1,products!$A$1:$F$1,0),FALSE)</f>
        <v>Electra Townie Original 7D EQ - Women's - 2016</v>
      </c>
      <c r="E582">
        <f>VLOOKUP($C582,products!$A$1:$F$322,MATCH(order_items!$E$1,products!$A$1:$F$1,0),FALSE)</f>
        <v>3</v>
      </c>
      <c r="F582" t="str">
        <f>VLOOKUP($E582,categories!$A$1:$B$8,MATCH(order_items!$F$1,categories!$A$1:$B$1,0),FALSE)</f>
        <v>Cruisers Bicycles</v>
      </c>
      <c r="G582">
        <v>1</v>
      </c>
      <c r="H582">
        <v>599.99</v>
      </c>
      <c r="I582" s="5">
        <v>0.2</v>
      </c>
      <c r="J582">
        <f t="shared" si="18"/>
        <v>479.99200000000002</v>
      </c>
      <c r="K582" s="9">
        <f t="shared" si="19"/>
        <v>-0.45297423894164529</v>
      </c>
    </row>
    <row r="583" spans="1:11" x14ac:dyDescent="0.3">
      <c r="A583">
        <v>207</v>
      </c>
      <c r="B583">
        <v>1</v>
      </c>
      <c r="C583">
        <v>12</v>
      </c>
      <c r="D583" t="str">
        <f>VLOOKUP($C583,products!$A$1:$F$322,MATCH(order_items!$D$1,products!$A$1:$F$1,0),FALSE)</f>
        <v>Electra Townie Original 21D - 2016</v>
      </c>
      <c r="E583">
        <f>VLOOKUP($C583,products!$A$1:$F$322,MATCH(order_items!$E$1,products!$A$1:$F$1,0),FALSE)</f>
        <v>3</v>
      </c>
      <c r="F583" t="str">
        <f>VLOOKUP($E583,categories!$A$1:$B$8,MATCH(order_items!$F$1,categories!$A$1:$B$1,0),FALSE)</f>
        <v>Cruisers Bicycles</v>
      </c>
      <c r="G583">
        <v>2</v>
      </c>
      <c r="H583">
        <v>549.99</v>
      </c>
      <c r="I583" s="5">
        <v>0.2</v>
      </c>
      <c r="J583">
        <f t="shared" si="18"/>
        <v>879.98400000000004</v>
      </c>
      <c r="K583" s="9">
        <f t="shared" si="19"/>
        <v>-0.48993857929220308</v>
      </c>
    </row>
    <row r="584" spans="1:11" x14ac:dyDescent="0.3">
      <c r="A584">
        <v>207</v>
      </c>
      <c r="B584">
        <v>2</v>
      </c>
      <c r="C584">
        <v>5</v>
      </c>
      <c r="D584" t="str">
        <f>VLOOKUP($C584,products!$A$1:$F$322,MATCH(order_items!$D$1,products!$A$1:$F$1,0),FALSE)</f>
        <v>Heller Shagamaw Frame - 2016</v>
      </c>
      <c r="E584">
        <f>VLOOKUP($C584,products!$A$1:$F$322,MATCH(order_items!$E$1,products!$A$1:$F$1,0),FALSE)</f>
        <v>6</v>
      </c>
      <c r="F584" t="str">
        <f>VLOOKUP($E584,categories!$A$1:$B$8,MATCH(order_items!$F$1,categories!$A$1:$B$1,0),FALSE)</f>
        <v>Mountain Bikes</v>
      </c>
      <c r="G584">
        <v>1</v>
      </c>
      <c r="H584">
        <v>1320.99</v>
      </c>
      <c r="I584" s="5">
        <v>0.05</v>
      </c>
      <c r="J584">
        <f t="shared" si="18"/>
        <v>1254.9404999999999</v>
      </c>
      <c r="K584" s="9">
        <f t="shared" si="19"/>
        <v>8.0051548913398024E-2</v>
      </c>
    </row>
    <row r="585" spans="1:11" x14ac:dyDescent="0.3">
      <c r="A585">
        <v>207</v>
      </c>
      <c r="B585">
        <v>3</v>
      </c>
      <c r="C585">
        <v>11</v>
      </c>
      <c r="D585" t="str">
        <f>VLOOKUP($C585,products!$A$1:$F$322,MATCH(order_items!$D$1,products!$A$1:$F$1,0),FALSE)</f>
        <v>Surly Straggler 650b - 2016</v>
      </c>
      <c r="E585">
        <f>VLOOKUP($C585,products!$A$1:$F$322,MATCH(order_items!$E$1,products!$A$1:$F$1,0),FALSE)</f>
        <v>4</v>
      </c>
      <c r="F585" t="str">
        <f>VLOOKUP($E585,categories!$A$1:$B$8,MATCH(order_items!$F$1,categories!$A$1:$B$1,0),FALSE)</f>
        <v>Cyclocross Bicycles</v>
      </c>
      <c r="G585">
        <v>2</v>
      </c>
      <c r="H585">
        <v>1680.99</v>
      </c>
      <c r="I585" s="5">
        <v>7.0000000000000007E-2</v>
      </c>
      <c r="J585">
        <f t="shared" si="18"/>
        <v>3126.6414</v>
      </c>
      <c r="K585" s="9">
        <f t="shared" si="19"/>
        <v>0.3461947994374141</v>
      </c>
    </row>
    <row r="586" spans="1:11" x14ac:dyDescent="0.3">
      <c r="A586">
        <v>207</v>
      </c>
      <c r="B586">
        <v>4</v>
      </c>
      <c r="C586">
        <v>7</v>
      </c>
      <c r="D586" t="str">
        <f>VLOOKUP($C586,products!$A$1:$F$322,MATCH(order_items!$D$1,products!$A$1:$F$1,0),FALSE)</f>
        <v>Trek Slash 8 27.5 - 2016</v>
      </c>
      <c r="E586">
        <f>VLOOKUP($C586,products!$A$1:$F$322,MATCH(order_items!$E$1,products!$A$1:$F$1,0),FALSE)</f>
        <v>6</v>
      </c>
      <c r="F586" t="str">
        <f>VLOOKUP($E586,categories!$A$1:$B$8,MATCH(order_items!$F$1,categories!$A$1:$B$1,0),FALSE)</f>
        <v>Mountain Bikes</v>
      </c>
      <c r="G586">
        <v>2</v>
      </c>
      <c r="H586">
        <v>3999.99</v>
      </c>
      <c r="I586" s="5">
        <v>0.1</v>
      </c>
      <c r="J586">
        <f t="shared" si="18"/>
        <v>7199.982</v>
      </c>
      <c r="K586" s="9">
        <f t="shared" si="19"/>
        <v>2.0606009048962846</v>
      </c>
    </row>
    <row r="587" spans="1:11" x14ac:dyDescent="0.3">
      <c r="A587">
        <v>208</v>
      </c>
      <c r="B587">
        <v>1</v>
      </c>
      <c r="C587">
        <v>6</v>
      </c>
      <c r="D587" t="str">
        <f>VLOOKUP($C587,products!$A$1:$F$322,MATCH(order_items!$D$1,products!$A$1:$F$1,0),FALSE)</f>
        <v>Surly Ice Cream Truck Frameset - 2016</v>
      </c>
      <c r="E587">
        <f>VLOOKUP($C587,products!$A$1:$F$322,MATCH(order_items!$E$1,products!$A$1:$F$1,0),FALSE)</f>
        <v>6</v>
      </c>
      <c r="F587" t="str">
        <f>VLOOKUP($E587,categories!$A$1:$B$8,MATCH(order_items!$F$1,categories!$A$1:$B$1,0),FALSE)</f>
        <v>Mountain Bikes</v>
      </c>
      <c r="G587">
        <v>2</v>
      </c>
      <c r="H587">
        <v>469.99</v>
      </c>
      <c r="I587" s="5">
        <v>0.05</v>
      </c>
      <c r="J587">
        <f t="shared" si="18"/>
        <v>892.98099999999999</v>
      </c>
      <c r="K587" s="9">
        <f t="shared" si="19"/>
        <v>-0.5490815238530955</v>
      </c>
    </row>
    <row r="588" spans="1:11" x14ac:dyDescent="0.3">
      <c r="A588">
        <v>208</v>
      </c>
      <c r="B588">
        <v>2</v>
      </c>
      <c r="C588">
        <v>4</v>
      </c>
      <c r="D588" t="str">
        <f>VLOOKUP($C588,products!$A$1:$F$322,MATCH(order_items!$D$1,products!$A$1:$F$1,0),FALSE)</f>
        <v>Trek Fuel EX 8 29 - 2016</v>
      </c>
      <c r="E588">
        <f>VLOOKUP($C588,products!$A$1:$F$322,MATCH(order_items!$E$1,products!$A$1:$F$1,0),FALSE)</f>
        <v>6</v>
      </c>
      <c r="F588" t="str">
        <f>VLOOKUP($E588,categories!$A$1:$B$8,MATCH(order_items!$F$1,categories!$A$1:$B$1,0),FALSE)</f>
        <v>Mountain Bikes</v>
      </c>
      <c r="G588">
        <v>2</v>
      </c>
      <c r="H588">
        <v>2899.99</v>
      </c>
      <c r="I588" s="5">
        <v>7.0000000000000007E-2</v>
      </c>
      <c r="J588">
        <f t="shared" si="18"/>
        <v>5393.9813999999997</v>
      </c>
      <c r="K588" s="9">
        <f t="shared" si="19"/>
        <v>1.2473854171840129</v>
      </c>
    </row>
    <row r="589" spans="1:11" x14ac:dyDescent="0.3">
      <c r="A589">
        <v>208</v>
      </c>
      <c r="B589">
        <v>3</v>
      </c>
      <c r="C589">
        <v>3</v>
      </c>
      <c r="D589" t="str">
        <f>VLOOKUP($C589,products!$A$1:$F$322,MATCH(order_items!$D$1,products!$A$1:$F$1,0),FALSE)</f>
        <v>Surly Wednesday Frameset - 2016</v>
      </c>
      <c r="E589">
        <f>VLOOKUP($C589,products!$A$1:$F$322,MATCH(order_items!$E$1,products!$A$1:$F$1,0),FALSE)</f>
        <v>6</v>
      </c>
      <c r="F589" t="str">
        <f>VLOOKUP($E589,categories!$A$1:$B$8,MATCH(order_items!$F$1,categories!$A$1:$B$1,0),FALSE)</f>
        <v>Mountain Bikes</v>
      </c>
      <c r="G589">
        <v>1</v>
      </c>
      <c r="H589">
        <v>999.99</v>
      </c>
      <c r="I589" s="5">
        <v>0.05</v>
      </c>
      <c r="J589">
        <f t="shared" si="18"/>
        <v>949.9905</v>
      </c>
      <c r="K589" s="9">
        <f t="shared" si="19"/>
        <v>-0.15725951613718298</v>
      </c>
    </row>
    <row r="590" spans="1:11" x14ac:dyDescent="0.3">
      <c r="A590">
        <v>208</v>
      </c>
      <c r="B590">
        <v>4</v>
      </c>
      <c r="C590">
        <v>12</v>
      </c>
      <c r="D590" t="str">
        <f>VLOOKUP($C590,products!$A$1:$F$322,MATCH(order_items!$D$1,products!$A$1:$F$1,0),FALSE)</f>
        <v>Electra Townie Original 21D - 2016</v>
      </c>
      <c r="E590">
        <f>VLOOKUP($C590,products!$A$1:$F$322,MATCH(order_items!$E$1,products!$A$1:$F$1,0),FALSE)</f>
        <v>3</v>
      </c>
      <c r="F590" t="str">
        <f>VLOOKUP($E590,categories!$A$1:$B$8,MATCH(order_items!$F$1,categories!$A$1:$B$1,0),FALSE)</f>
        <v>Cruisers Bicycles</v>
      </c>
      <c r="G590">
        <v>1</v>
      </c>
      <c r="H590">
        <v>549.99</v>
      </c>
      <c r="I590" s="5">
        <v>0.2</v>
      </c>
      <c r="J590">
        <f t="shared" si="18"/>
        <v>439.99200000000002</v>
      </c>
      <c r="K590" s="9">
        <f t="shared" si="19"/>
        <v>-0.48993857929220308</v>
      </c>
    </row>
    <row r="591" spans="1:11" x14ac:dyDescent="0.3">
      <c r="A591">
        <v>208</v>
      </c>
      <c r="B591">
        <v>5</v>
      </c>
      <c r="C591">
        <v>10</v>
      </c>
      <c r="D591" t="str">
        <f>VLOOKUP($C591,products!$A$1:$F$322,MATCH(order_items!$D$1,products!$A$1:$F$1,0),FALSE)</f>
        <v>Surly Straggler - 2016</v>
      </c>
      <c r="E591">
        <f>VLOOKUP($C591,products!$A$1:$F$322,MATCH(order_items!$E$1,products!$A$1:$F$1,0),FALSE)</f>
        <v>4</v>
      </c>
      <c r="F591" t="str">
        <f>VLOOKUP($E591,categories!$A$1:$B$8,MATCH(order_items!$F$1,categories!$A$1:$B$1,0),FALSE)</f>
        <v>Cyclocross Bicycles</v>
      </c>
      <c r="G591">
        <v>2</v>
      </c>
      <c r="H591">
        <v>1549</v>
      </c>
      <c r="I591" s="5">
        <v>0.05</v>
      </c>
      <c r="J591">
        <f t="shared" si="18"/>
        <v>2943.1</v>
      </c>
      <c r="K591" s="9">
        <f t="shared" si="19"/>
        <v>0.24861633378001166</v>
      </c>
    </row>
    <row r="592" spans="1:11" x14ac:dyDescent="0.3">
      <c r="A592">
        <v>209</v>
      </c>
      <c r="B592">
        <v>1</v>
      </c>
      <c r="C592">
        <v>13</v>
      </c>
      <c r="D592" t="str">
        <f>VLOOKUP($C592,products!$A$1:$F$322,MATCH(order_items!$D$1,products!$A$1:$F$1,0),FALSE)</f>
        <v>Electra Cruiser 1 (24-Inch) - 2016</v>
      </c>
      <c r="E592">
        <f>VLOOKUP($C592,products!$A$1:$F$322,MATCH(order_items!$E$1,products!$A$1:$F$1,0),FALSE)</f>
        <v>3</v>
      </c>
      <c r="F592" t="str">
        <f>VLOOKUP($E592,categories!$A$1:$B$8,MATCH(order_items!$F$1,categories!$A$1:$B$1,0),FALSE)</f>
        <v>Cruisers Bicycles</v>
      </c>
      <c r="G592">
        <v>1</v>
      </c>
      <c r="H592">
        <v>269.99</v>
      </c>
      <c r="I592" s="5">
        <v>0.1</v>
      </c>
      <c r="J592">
        <f t="shared" si="18"/>
        <v>242.99100000000001</v>
      </c>
      <c r="K592" s="9">
        <f t="shared" si="19"/>
        <v>-0.69693888525532666</v>
      </c>
    </row>
    <row r="593" spans="1:11" x14ac:dyDescent="0.3">
      <c r="A593">
        <v>210</v>
      </c>
      <c r="B593">
        <v>1</v>
      </c>
      <c r="C593">
        <v>14</v>
      </c>
      <c r="D593" t="str">
        <f>VLOOKUP($C593,products!$A$1:$F$322,MATCH(order_items!$D$1,products!$A$1:$F$1,0),FALSE)</f>
        <v>Electra Girl's Hawaii 1 (16-inch) - 2015/2016</v>
      </c>
      <c r="E593">
        <f>VLOOKUP($C593,products!$A$1:$F$322,MATCH(order_items!$E$1,products!$A$1:$F$1,0),FALSE)</f>
        <v>3</v>
      </c>
      <c r="F593" t="str">
        <f>VLOOKUP($E593,categories!$A$1:$B$8,MATCH(order_items!$F$1,categories!$A$1:$B$1,0),FALSE)</f>
        <v>Cruisers Bicycles</v>
      </c>
      <c r="G593">
        <v>1</v>
      </c>
      <c r="H593">
        <v>269.99</v>
      </c>
      <c r="I593" s="5">
        <v>7.0000000000000007E-2</v>
      </c>
      <c r="J593">
        <f t="shared" si="18"/>
        <v>251.0907</v>
      </c>
      <c r="K593" s="9">
        <f t="shared" si="19"/>
        <v>-0.69693888525532666</v>
      </c>
    </row>
    <row r="594" spans="1:11" x14ac:dyDescent="0.3">
      <c r="A594">
        <v>210</v>
      </c>
      <c r="B594">
        <v>2</v>
      </c>
      <c r="C594">
        <v>13</v>
      </c>
      <c r="D594" t="str">
        <f>VLOOKUP($C594,products!$A$1:$F$322,MATCH(order_items!$D$1,products!$A$1:$F$1,0),FALSE)</f>
        <v>Electra Cruiser 1 (24-Inch) - 2016</v>
      </c>
      <c r="E594">
        <f>VLOOKUP($C594,products!$A$1:$F$322,MATCH(order_items!$E$1,products!$A$1:$F$1,0),FALSE)</f>
        <v>3</v>
      </c>
      <c r="F594" t="str">
        <f>VLOOKUP($E594,categories!$A$1:$B$8,MATCH(order_items!$F$1,categories!$A$1:$B$1,0),FALSE)</f>
        <v>Cruisers Bicycles</v>
      </c>
      <c r="G594">
        <v>2</v>
      </c>
      <c r="H594">
        <v>269.99</v>
      </c>
      <c r="I594" s="5">
        <v>0.2</v>
      </c>
      <c r="J594">
        <f t="shared" si="18"/>
        <v>431.98400000000004</v>
      </c>
      <c r="K594" s="9">
        <f t="shared" si="19"/>
        <v>-0.69693888525532666</v>
      </c>
    </row>
    <row r="595" spans="1:11" x14ac:dyDescent="0.3">
      <c r="A595">
        <v>211</v>
      </c>
      <c r="B595">
        <v>1</v>
      </c>
      <c r="C595">
        <v>10</v>
      </c>
      <c r="D595" t="str">
        <f>VLOOKUP($C595,products!$A$1:$F$322,MATCH(order_items!$D$1,products!$A$1:$F$1,0),FALSE)</f>
        <v>Surly Straggler - 2016</v>
      </c>
      <c r="E595">
        <f>VLOOKUP($C595,products!$A$1:$F$322,MATCH(order_items!$E$1,products!$A$1:$F$1,0),FALSE)</f>
        <v>4</v>
      </c>
      <c r="F595" t="str">
        <f>VLOOKUP($E595,categories!$A$1:$B$8,MATCH(order_items!$F$1,categories!$A$1:$B$1,0),FALSE)</f>
        <v>Cyclocross Bicycles</v>
      </c>
      <c r="G595">
        <v>1</v>
      </c>
      <c r="H595">
        <v>1549</v>
      </c>
      <c r="I595" s="5">
        <v>7.0000000000000007E-2</v>
      </c>
      <c r="J595">
        <f t="shared" si="18"/>
        <v>1440.57</v>
      </c>
      <c r="K595" s="9">
        <f t="shared" si="19"/>
        <v>0.24861633378001166</v>
      </c>
    </row>
    <row r="596" spans="1:11" x14ac:dyDescent="0.3">
      <c r="A596">
        <v>211</v>
      </c>
      <c r="B596">
        <v>2</v>
      </c>
      <c r="C596">
        <v>2</v>
      </c>
      <c r="D596" t="str">
        <f>VLOOKUP($C596,products!$A$1:$F$322,MATCH(order_items!$D$1,products!$A$1:$F$1,0),FALSE)</f>
        <v>Ritchey Timberwolf Frameset - 2016</v>
      </c>
      <c r="E596">
        <f>VLOOKUP($C596,products!$A$1:$F$322,MATCH(order_items!$E$1,products!$A$1:$F$1,0),FALSE)</f>
        <v>6</v>
      </c>
      <c r="F596" t="str">
        <f>VLOOKUP($E596,categories!$A$1:$B$8,MATCH(order_items!$F$1,categories!$A$1:$B$1,0),FALSE)</f>
        <v>Mountain Bikes</v>
      </c>
      <c r="G596">
        <v>2</v>
      </c>
      <c r="H596">
        <v>749.99</v>
      </c>
      <c r="I596" s="5">
        <v>7.0000000000000007E-2</v>
      </c>
      <c r="J596">
        <f t="shared" si="18"/>
        <v>1394.9813999999999</v>
      </c>
      <c r="K596" s="9">
        <f t="shared" si="19"/>
        <v>-0.34208121788997192</v>
      </c>
    </row>
    <row r="597" spans="1:11" x14ac:dyDescent="0.3">
      <c r="A597">
        <v>212</v>
      </c>
      <c r="B597">
        <v>1</v>
      </c>
      <c r="C597">
        <v>16</v>
      </c>
      <c r="D597" t="str">
        <f>VLOOKUP($C597,products!$A$1:$F$322,MATCH(order_items!$D$1,products!$A$1:$F$1,0),FALSE)</f>
        <v>Electra Townie Original 7D EQ - 2016</v>
      </c>
      <c r="E597">
        <f>VLOOKUP($C597,products!$A$1:$F$322,MATCH(order_items!$E$1,products!$A$1:$F$1,0),FALSE)</f>
        <v>3</v>
      </c>
      <c r="F597" t="str">
        <f>VLOOKUP($E597,categories!$A$1:$B$8,MATCH(order_items!$F$1,categories!$A$1:$B$1,0),FALSE)</f>
        <v>Cruisers Bicycles</v>
      </c>
      <c r="G597">
        <v>2</v>
      </c>
      <c r="H597">
        <v>599.99</v>
      </c>
      <c r="I597" s="5">
        <v>7.0000000000000007E-2</v>
      </c>
      <c r="J597">
        <f t="shared" si="18"/>
        <v>1115.9813999999999</v>
      </c>
      <c r="K597" s="9">
        <f t="shared" si="19"/>
        <v>-0.45297423894164529</v>
      </c>
    </row>
    <row r="598" spans="1:11" x14ac:dyDescent="0.3">
      <c r="A598">
        <v>212</v>
      </c>
      <c r="B598">
        <v>2</v>
      </c>
      <c r="C598">
        <v>12</v>
      </c>
      <c r="D598" t="str">
        <f>VLOOKUP($C598,products!$A$1:$F$322,MATCH(order_items!$D$1,products!$A$1:$F$1,0),FALSE)</f>
        <v>Electra Townie Original 21D - 2016</v>
      </c>
      <c r="E598">
        <f>VLOOKUP($C598,products!$A$1:$F$322,MATCH(order_items!$E$1,products!$A$1:$F$1,0),FALSE)</f>
        <v>3</v>
      </c>
      <c r="F598" t="str">
        <f>VLOOKUP($E598,categories!$A$1:$B$8,MATCH(order_items!$F$1,categories!$A$1:$B$1,0),FALSE)</f>
        <v>Cruisers Bicycles</v>
      </c>
      <c r="G598">
        <v>2</v>
      </c>
      <c r="H598">
        <v>549.99</v>
      </c>
      <c r="I598" s="5">
        <v>0.2</v>
      </c>
      <c r="J598">
        <f t="shared" si="18"/>
        <v>879.98400000000004</v>
      </c>
      <c r="K598" s="9">
        <f t="shared" si="19"/>
        <v>-0.48993857929220308</v>
      </c>
    </row>
    <row r="599" spans="1:11" x14ac:dyDescent="0.3">
      <c r="A599">
        <v>212</v>
      </c>
      <c r="B599">
        <v>3</v>
      </c>
      <c r="C599">
        <v>19</v>
      </c>
      <c r="D599" t="str">
        <f>VLOOKUP($C599,products!$A$1:$F$322,MATCH(order_items!$D$1,products!$A$1:$F$1,0),FALSE)</f>
        <v>Pure Cycles William 3-Speed - 2016</v>
      </c>
      <c r="E599">
        <f>VLOOKUP($C599,products!$A$1:$F$322,MATCH(order_items!$E$1,products!$A$1:$F$1,0),FALSE)</f>
        <v>3</v>
      </c>
      <c r="F599" t="str">
        <f>VLOOKUP($E599,categories!$A$1:$B$8,MATCH(order_items!$F$1,categories!$A$1:$B$1,0),FALSE)</f>
        <v>Cruisers Bicycles</v>
      </c>
      <c r="G599">
        <v>1</v>
      </c>
      <c r="H599">
        <v>449</v>
      </c>
      <c r="I599" s="5">
        <v>0.1</v>
      </c>
      <c r="J599">
        <f t="shared" si="18"/>
        <v>404.1</v>
      </c>
      <c r="K599" s="9">
        <f t="shared" si="19"/>
        <v>-0.56459915393225968</v>
      </c>
    </row>
    <row r="600" spans="1:11" x14ac:dyDescent="0.3">
      <c r="A600">
        <v>212</v>
      </c>
      <c r="B600">
        <v>4</v>
      </c>
      <c r="C600">
        <v>7</v>
      </c>
      <c r="D600" t="str">
        <f>VLOOKUP($C600,products!$A$1:$F$322,MATCH(order_items!$D$1,products!$A$1:$F$1,0),FALSE)</f>
        <v>Trek Slash 8 27.5 - 2016</v>
      </c>
      <c r="E600">
        <f>VLOOKUP($C600,products!$A$1:$F$322,MATCH(order_items!$E$1,products!$A$1:$F$1,0),FALSE)</f>
        <v>6</v>
      </c>
      <c r="F600" t="str">
        <f>VLOOKUP($E600,categories!$A$1:$B$8,MATCH(order_items!$F$1,categories!$A$1:$B$1,0),FALSE)</f>
        <v>Mountain Bikes</v>
      </c>
      <c r="G600">
        <v>1</v>
      </c>
      <c r="H600">
        <v>3999.99</v>
      </c>
      <c r="I600" s="5">
        <v>0.2</v>
      </c>
      <c r="J600">
        <f t="shared" si="18"/>
        <v>3199.9920000000002</v>
      </c>
      <c r="K600" s="9">
        <f t="shared" si="19"/>
        <v>2.0606009048962846</v>
      </c>
    </row>
    <row r="601" spans="1:11" x14ac:dyDescent="0.3">
      <c r="A601">
        <v>213</v>
      </c>
      <c r="B601">
        <v>1</v>
      </c>
      <c r="C601">
        <v>13</v>
      </c>
      <c r="D601" t="str">
        <f>VLOOKUP($C601,products!$A$1:$F$322,MATCH(order_items!$D$1,products!$A$1:$F$1,0),FALSE)</f>
        <v>Electra Cruiser 1 (24-Inch) - 2016</v>
      </c>
      <c r="E601">
        <f>VLOOKUP($C601,products!$A$1:$F$322,MATCH(order_items!$E$1,products!$A$1:$F$1,0),FALSE)</f>
        <v>3</v>
      </c>
      <c r="F601" t="str">
        <f>VLOOKUP($E601,categories!$A$1:$B$8,MATCH(order_items!$F$1,categories!$A$1:$B$1,0),FALSE)</f>
        <v>Cruisers Bicycles</v>
      </c>
      <c r="G601">
        <v>1</v>
      </c>
      <c r="H601">
        <v>269.99</v>
      </c>
      <c r="I601" s="5">
        <v>0.1</v>
      </c>
      <c r="J601">
        <f t="shared" si="18"/>
        <v>242.99100000000001</v>
      </c>
      <c r="K601" s="9">
        <f t="shared" si="19"/>
        <v>-0.69693888525532666</v>
      </c>
    </row>
    <row r="602" spans="1:11" x14ac:dyDescent="0.3">
      <c r="A602">
        <v>214</v>
      </c>
      <c r="B602">
        <v>1</v>
      </c>
      <c r="C602">
        <v>21</v>
      </c>
      <c r="D602" t="str">
        <f>VLOOKUP($C602,products!$A$1:$F$322,MATCH(order_items!$D$1,products!$A$1:$F$1,0),FALSE)</f>
        <v>Electra Cruiser 1 (24-Inch) - 2016</v>
      </c>
      <c r="E602">
        <f>VLOOKUP($C602,products!$A$1:$F$322,MATCH(order_items!$E$1,products!$A$1:$F$1,0),FALSE)</f>
        <v>1</v>
      </c>
      <c r="F602" t="str">
        <f>VLOOKUP($E602,categories!$A$1:$B$8,MATCH(order_items!$F$1,categories!$A$1:$B$1,0),FALSE)</f>
        <v>Children Bicycles</v>
      </c>
      <c r="G602">
        <v>1</v>
      </c>
      <c r="H602">
        <v>269.99</v>
      </c>
      <c r="I602" s="5">
        <v>0.1</v>
      </c>
      <c r="J602">
        <f t="shared" si="18"/>
        <v>242.99100000000001</v>
      </c>
      <c r="K602" s="9">
        <f t="shared" si="19"/>
        <v>-0.69693888525532666</v>
      </c>
    </row>
    <row r="603" spans="1:11" x14ac:dyDescent="0.3">
      <c r="A603">
        <v>215</v>
      </c>
      <c r="B603">
        <v>1</v>
      </c>
      <c r="C603">
        <v>19</v>
      </c>
      <c r="D603" t="str">
        <f>VLOOKUP($C603,products!$A$1:$F$322,MATCH(order_items!$D$1,products!$A$1:$F$1,0),FALSE)</f>
        <v>Pure Cycles William 3-Speed - 2016</v>
      </c>
      <c r="E603">
        <f>VLOOKUP($C603,products!$A$1:$F$322,MATCH(order_items!$E$1,products!$A$1:$F$1,0),FALSE)</f>
        <v>3</v>
      </c>
      <c r="F603" t="str">
        <f>VLOOKUP($E603,categories!$A$1:$B$8,MATCH(order_items!$F$1,categories!$A$1:$B$1,0),FALSE)</f>
        <v>Cruisers Bicycles</v>
      </c>
      <c r="G603">
        <v>1</v>
      </c>
      <c r="H603">
        <v>449</v>
      </c>
      <c r="I603" s="5">
        <v>7.0000000000000007E-2</v>
      </c>
      <c r="J603">
        <f t="shared" si="18"/>
        <v>417.57</v>
      </c>
      <c r="K603" s="9">
        <f t="shared" si="19"/>
        <v>-0.56459915393225968</v>
      </c>
    </row>
    <row r="604" spans="1:11" x14ac:dyDescent="0.3">
      <c r="A604">
        <v>215</v>
      </c>
      <c r="B604">
        <v>2</v>
      </c>
      <c r="C604">
        <v>12</v>
      </c>
      <c r="D604" t="str">
        <f>VLOOKUP($C604,products!$A$1:$F$322,MATCH(order_items!$D$1,products!$A$1:$F$1,0),FALSE)</f>
        <v>Electra Townie Original 21D - 2016</v>
      </c>
      <c r="E604">
        <f>VLOOKUP($C604,products!$A$1:$F$322,MATCH(order_items!$E$1,products!$A$1:$F$1,0),FALSE)</f>
        <v>3</v>
      </c>
      <c r="F604" t="str">
        <f>VLOOKUP($E604,categories!$A$1:$B$8,MATCH(order_items!$F$1,categories!$A$1:$B$1,0),FALSE)</f>
        <v>Cruisers Bicycles</v>
      </c>
      <c r="G604">
        <v>2</v>
      </c>
      <c r="H604">
        <v>549.99</v>
      </c>
      <c r="I604" s="5">
        <v>0.1</v>
      </c>
      <c r="J604">
        <f t="shared" si="18"/>
        <v>989.98200000000008</v>
      </c>
      <c r="K604" s="9">
        <f t="shared" si="19"/>
        <v>-0.48993857929220308</v>
      </c>
    </row>
    <row r="605" spans="1:11" x14ac:dyDescent="0.3">
      <c r="A605">
        <v>216</v>
      </c>
      <c r="B605">
        <v>1</v>
      </c>
      <c r="C605">
        <v>22</v>
      </c>
      <c r="D605" t="str">
        <f>VLOOKUP($C605,products!$A$1:$F$322,MATCH(order_items!$D$1,products!$A$1:$F$1,0),FALSE)</f>
        <v>Electra Girl's Hawaii 1 (16-inch) - 2015/2016</v>
      </c>
      <c r="E605">
        <f>VLOOKUP($C605,products!$A$1:$F$322,MATCH(order_items!$E$1,products!$A$1:$F$1,0),FALSE)</f>
        <v>1</v>
      </c>
      <c r="F605" t="str">
        <f>VLOOKUP($E605,categories!$A$1:$B$8,MATCH(order_items!$F$1,categories!$A$1:$B$1,0),FALSE)</f>
        <v>Children Bicycles</v>
      </c>
      <c r="G605">
        <v>2</v>
      </c>
      <c r="H605">
        <v>269.99</v>
      </c>
      <c r="I605" s="5">
        <v>0.1</v>
      </c>
      <c r="J605">
        <f t="shared" si="18"/>
        <v>485.98200000000003</v>
      </c>
      <c r="K605" s="9">
        <f t="shared" si="19"/>
        <v>-0.69693888525532666</v>
      </c>
    </row>
    <row r="606" spans="1:11" x14ac:dyDescent="0.3">
      <c r="A606">
        <v>216</v>
      </c>
      <c r="B606">
        <v>2</v>
      </c>
      <c r="C606">
        <v>16</v>
      </c>
      <c r="D606" t="str">
        <f>VLOOKUP($C606,products!$A$1:$F$322,MATCH(order_items!$D$1,products!$A$1:$F$1,0),FALSE)</f>
        <v>Electra Townie Original 7D EQ - 2016</v>
      </c>
      <c r="E606">
        <f>VLOOKUP($C606,products!$A$1:$F$322,MATCH(order_items!$E$1,products!$A$1:$F$1,0),FALSE)</f>
        <v>3</v>
      </c>
      <c r="F606" t="str">
        <f>VLOOKUP($E606,categories!$A$1:$B$8,MATCH(order_items!$F$1,categories!$A$1:$B$1,0),FALSE)</f>
        <v>Cruisers Bicycles</v>
      </c>
      <c r="G606">
        <v>2</v>
      </c>
      <c r="H606">
        <v>599.99</v>
      </c>
      <c r="I606" s="5">
        <v>0.05</v>
      </c>
      <c r="J606">
        <f t="shared" si="18"/>
        <v>1139.981</v>
      </c>
      <c r="K606" s="9">
        <f t="shared" si="19"/>
        <v>-0.45297423894164529</v>
      </c>
    </row>
    <row r="607" spans="1:11" x14ac:dyDescent="0.3">
      <c r="A607">
        <v>217</v>
      </c>
      <c r="B607">
        <v>1</v>
      </c>
      <c r="C607">
        <v>18</v>
      </c>
      <c r="D607" t="str">
        <f>VLOOKUP($C607,products!$A$1:$F$322,MATCH(order_items!$D$1,products!$A$1:$F$1,0),FALSE)</f>
        <v>Pure Cycles Western 3-Speed - Women's - 2015/2016</v>
      </c>
      <c r="E607">
        <f>VLOOKUP($C607,products!$A$1:$F$322,MATCH(order_items!$E$1,products!$A$1:$F$1,0),FALSE)</f>
        <v>3</v>
      </c>
      <c r="F607" t="str">
        <f>VLOOKUP($E607,categories!$A$1:$B$8,MATCH(order_items!$F$1,categories!$A$1:$B$1,0),FALSE)</f>
        <v>Cruisers Bicycles</v>
      </c>
      <c r="G607">
        <v>1</v>
      </c>
      <c r="H607">
        <v>449</v>
      </c>
      <c r="I607" s="5">
        <v>0.1</v>
      </c>
      <c r="J607">
        <f t="shared" si="18"/>
        <v>404.1</v>
      </c>
      <c r="K607" s="9">
        <f t="shared" si="19"/>
        <v>-0.56459915393225968</v>
      </c>
    </row>
    <row r="608" spans="1:11" x14ac:dyDescent="0.3">
      <c r="A608">
        <v>217</v>
      </c>
      <c r="B608">
        <v>2</v>
      </c>
      <c r="C608">
        <v>10</v>
      </c>
      <c r="D608" t="str">
        <f>VLOOKUP($C608,products!$A$1:$F$322,MATCH(order_items!$D$1,products!$A$1:$F$1,0),FALSE)</f>
        <v>Surly Straggler - 2016</v>
      </c>
      <c r="E608">
        <f>VLOOKUP($C608,products!$A$1:$F$322,MATCH(order_items!$E$1,products!$A$1:$F$1,0),FALSE)</f>
        <v>4</v>
      </c>
      <c r="F608" t="str">
        <f>VLOOKUP($E608,categories!$A$1:$B$8,MATCH(order_items!$F$1,categories!$A$1:$B$1,0),FALSE)</f>
        <v>Cyclocross Bicycles</v>
      </c>
      <c r="G608">
        <v>2</v>
      </c>
      <c r="H608">
        <v>1549</v>
      </c>
      <c r="I608" s="5">
        <v>0.1</v>
      </c>
      <c r="J608">
        <f t="shared" si="18"/>
        <v>2788.2000000000003</v>
      </c>
      <c r="K608" s="9">
        <f t="shared" si="19"/>
        <v>0.24861633378001166</v>
      </c>
    </row>
    <row r="609" spans="1:11" x14ac:dyDescent="0.3">
      <c r="A609">
        <v>217</v>
      </c>
      <c r="B609">
        <v>3</v>
      </c>
      <c r="C609">
        <v>17</v>
      </c>
      <c r="D609" t="str">
        <f>VLOOKUP($C609,products!$A$1:$F$322,MATCH(order_items!$D$1,products!$A$1:$F$1,0),FALSE)</f>
        <v>Pure Cycles Vine 8-Speed - 2016</v>
      </c>
      <c r="E609">
        <f>VLOOKUP($C609,products!$A$1:$F$322,MATCH(order_items!$E$1,products!$A$1:$F$1,0),FALSE)</f>
        <v>3</v>
      </c>
      <c r="F609" t="str">
        <f>VLOOKUP($E609,categories!$A$1:$B$8,MATCH(order_items!$F$1,categories!$A$1:$B$1,0),FALSE)</f>
        <v>Cruisers Bicycles</v>
      </c>
      <c r="G609">
        <v>1</v>
      </c>
      <c r="H609">
        <v>429</v>
      </c>
      <c r="I609" s="5">
        <v>7.0000000000000007E-2</v>
      </c>
      <c r="J609">
        <f t="shared" si="18"/>
        <v>398.96999999999997</v>
      </c>
      <c r="K609" s="9">
        <f t="shared" si="19"/>
        <v>-0.57938489007248284</v>
      </c>
    </row>
    <row r="610" spans="1:11" x14ac:dyDescent="0.3">
      <c r="A610">
        <v>218</v>
      </c>
      <c r="B610">
        <v>1</v>
      </c>
      <c r="C610">
        <v>2</v>
      </c>
      <c r="D610" t="str">
        <f>VLOOKUP($C610,products!$A$1:$F$322,MATCH(order_items!$D$1,products!$A$1:$F$1,0),FALSE)</f>
        <v>Ritchey Timberwolf Frameset - 2016</v>
      </c>
      <c r="E610">
        <f>VLOOKUP($C610,products!$A$1:$F$322,MATCH(order_items!$E$1,products!$A$1:$F$1,0),FALSE)</f>
        <v>6</v>
      </c>
      <c r="F610" t="str">
        <f>VLOOKUP($E610,categories!$A$1:$B$8,MATCH(order_items!$F$1,categories!$A$1:$B$1,0),FALSE)</f>
        <v>Mountain Bikes</v>
      </c>
      <c r="G610">
        <v>2</v>
      </c>
      <c r="H610">
        <v>749.99</v>
      </c>
      <c r="I610" s="5">
        <v>0.1</v>
      </c>
      <c r="J610">
        <f t="shared" si="18"/>
        <v>1349.982</v>
      </c>
      <c r="K610" s="9">
        <f t="shared" si="19"/>
        <v>-0.34208121788997192</v>
      </c>
    </row>
    <row r="611" spans="1:11" x14ac:dyDescent="0.3">
      <c r="A611">
        <v>218</v>
      </c>
      <c r="B611">
        <v>2</v>
      </c>
      <c r="C611">
        <v>13</v>
      </c>
      <c r="D611" t="str">
        <f>VLOOKUP($C611,products!$A$1:$F$322,MATCH(order_items!$D$1,products!$A$1:$F$1,0),FALSE)</f>
        <v>Electra Cruiser 1 (24-Inch) - 2016</v>
      </c>
      <c r="E611">
        <f>VLOOKUP($C611,products!$A$1:$F$322,MATCH(order_items!$E$1,products!$A$1:$F$1,0),FALSE)</f>
        <v>3</v>
      </c>
      <c r="F611" t="str">
        <f>VLOOKUP($E611,categories!$A$1:$B$8,MATCH(order_items!$F$1,categories!$A$1:$B$1,0),FALSE)</f>
        <v>Cruisers Bicycles</v>
      </c>
      <c r="G611">
        <v>1</v>
      </c>
      <c r="H611">
        <v>269.99</v>
      </c>
      <c r="I611" s="5">
        <v>7.0000000000000007E-2</v>
      </c>
      <c r="J611">
        <f t="shared" si="18"/>
        <v>251.0907</v>
      </c>
      <c r="K611" s="9">
        <f t="shared" si="19"/>
        <v>-0.69693888525532666</v>
      </c>
    </row>
    <row r="612" spans="1:11" x14ac:dyDescent="0.3">
      <c r="A612">
        <v>218</v>
      </c>
      <c r="B612">
        <v>3</v>
      </c>
      <c r="C612">
        <v>12</v>
      </c>
      <c r="D612" t="str">
        <f>VLOOKUP($C612,products!$A$1:$F$322,MATCH(order_items!$D$1,products!$A$1:$F$1,0),FALSE)</f>
        <v>Electra Townie Original 21D - 2016</v>
      </c>
      <c r="E612">
        <f>VLOOKUP($C612,products!$A$1:$F$322,MATCH(order_items!$E$1,products!$A$1:$F$1,0),FALSE)</f>
        <v>3</v>
      </c>
      <c r="F612" t="str">
        <f>VLOOKUP($E612,categories!$A$1:$B$8,MATCH(order_items!$F$1,categories!$A$1:$B$1,0),FALSE)</f>
        <v>Cruisers Bicycles</v>
      </c>
      <c r="G612">
        <v>1</v>
      </c>
      <c r="H612">
        <v>549.99</v>
      </c>
      <c r="I612" s="5">
        <v>0.05</v>
      </c>
      <c r="J612">
        <f t="shared" si="18"/>
        <v>522.4905</v>
      </c>
      <c r="K612" s="9">
        <f t="shared" si="19"/>
        <v>-0.48993857929220308</v>
      </c>
    </row>
    <row r="613" spans="1:11" x14ac:dyDescent="0.3">
      <c r="A613">
        <v>219</v>
      </c>
      <c r="B613">
        <v>1</v>
      </c>
      <c r="C613">
        <v>26</v>
      </c>
      <c r="D613" t="str">
        <f>VLOOKUP($C613,products!$A$1:$F$322,MATCH(order_items!$D$1,products!$A$1:$F$1,0),FALSE)</f>
        <v>Electra Townie Original 7D EQ - 2016</v>
      </c>
      <c r="E613">
        <f>VLOOKUP($C613,products!$A$1:$F$322,MATCH(order_items!$E$1,products!$A$1:$F$1,0),FALSE)</f>
        <v>2</v>
      </c>
      <c r="F613" t="str">
        <f>VLOOKUP($E613,categories!$A$1:$B$8,MATCH(order_items!$F$1,categories!$A$1:$B$1,0),FALSE)</f>
        <v>Comfort Bicycles</v>
      </c>
      <c r="G613">
        <v>1</v>
      </c>
      <c r="H613">
        <v>599.99</v>
      </c>
      <c r="I613" s="5">
        <v>0.05</v>
      </c>
      <c r="J613">
        <f t="shared" si="18"/>
        <v>569.9905</v>
      </c>
      <c r="K613" s="9">
        <f t="shared" si="19"/>
        <v>-0.45297423894164529</v>
      </c>
    </row>
    <row r="614" spans="1:11" x14ac:dyDescent="0.3">
      <c r="A614">
        <v>219</v>
      </c>
      <c r="B614">
        <v>2</v>
      </c>
      <c r="C614">
        <v>5</v>
      </c>
      <c r="D614" t="str">
        <f>VLOOKUP($C614,products!$A$1:$F$322,MATCH(order_items!$D$1,products!$A$1:$F$1,0),FALSE)</f>
        <v>Heller Shagamaw Frame - 2016</v>
      </c>
      <c r="E614">
        <f>VLOOKUP($C614,products!$A$1:$F$322,MATCH(order_items!$E$1,products!$A$1:$F$1,0),FALSE)</f>
        <v>6</v>
      </c>
      <c r="F614" t="str">
        <f>VLOOKUP($E614,categories!$A$1:$B$8,MATCH(order_items!$F$1,categories!$A$1:$B$1,0),FALSE)</f>
        <v>Mountain Bikes</v>
      </c>
      <c r="G614">
        <v>1</v>
      </c>
      <c r="H614">
        <v>1320.99</v>
      </c>
      <c r="I614" s="5">
        <v>0.2</v>
      </c>
      <c r="J614">
        <f t="shared" si="18"/>
        <v>1056.7920000000001</v>
      </c>
      <c r="K614" s="9">
        <f t="shared" si="19"/>
        <v>8.0051548913398024E-2</v>
      </c>
    </row>
    <row r="615" spans="1:11" x14ac:dyDescent="0.3">
      <c r="A615">
        <v>220</v>
      </c>
      <c r="B615">
        <v>1</v>
      </c>
      <c r="C615">
        <v>6</v>
      </c>
      <c r="D615" t="str">
        <f>VLOOKUP($C615,products!$A$1:$F$322,MATCH(order_items!$D$1,products!$A$1:$F$1,0),FALSE)</f>
        <v>Surly Ice Cream Truck Frameset - 2016</v>
      </c>
      <c r="E615">
        <f>VLOOKUP($C615,products!$A$1:$F$322,MATCH(order_items!$E$1,products!$A$1:$F$1,0),FALSE)</f>
        <v>6</v>
      </c>
      <c r="F615" t="str">
        <f>VLOOKUP($E615,categories!$A$1:$B$8,MATCH(order_items!$F$1,categories!$A$1:$B$1,0),FALSE)</f>
        <v>Mountain Bikes</v>
      </c>
      <c r="G615">
        <v>2</v>
      </c>
      <c r="H615">
        <v>469.99</v>
      </c>
      <c r="I615" s="5">
        <v>0.05</v>
      </c>
      <c r="J615">
        <f t="shared" si="18"/>
        <v>892.98099999999999</v>
      </c>
      <c r="K615" s="9">
        <f t="shared" si="19"/>
        <v>-0.5490815238530955</v>
      </c>
    </row>
    <row r="616" spans="1:11" x14ac:dyDescent="0.3">
      <c r="A616">
        <v>220</v>
      </c>
      <c r="B616">
        <v>2</v>
      </c>
      <c r="C616">
        <v>25</v>
      </c>
      <c r="D616" t="str">
        <f>VLOOKUP($C616,products!$A$1:$F$322,MATCH(order_items!$D$1,products!$A$1:$F$1,0),FALSE)</f>
        <v>Electra Townie Original 7D - 2015/2016</v>
      </c>
      <c r="E616">
        <f>VLOOKUP($C616,products!$A$1:$F$322,MATCH(order_items!$E$1,products!$A$1:$F$1,0),FALSE)</f>
        <v>2</v>
      </c>
      <c r="F616" t="str">
        <f>VLOOKUP($E616,categories!$A$1:$B$8,MATCH(order_items!$F$1,categories!$A$1:$B$1,0),FALSE)</f>
        <v>Comfort Bicycles</v>
      </c>
      <c r="G616">
        <v>1</v>
      </c>
      <c r="H616">
        <v>499.99</v>
      </c>
      <c r="I616" s="5">
        <v>7.0000000000000007E-2</v>
      </c>
      <c r="J616">
        <f t="shared" si="18"/>
        <v>464.9907</v>
      </c>
      <c r="K616" s="9">
        <f t="shared" si="19"/>
        <v>-0.52690291964276081</v>
      </c>
    </row>
    <row r="617" spans="1:11" x14ac:dyDescent="0.3">
      <c r="A617">
        <v>220</v>
      </c>
      <c r="B617">
        <v>3</v>
      </c>
      <c r="C617">
        <v>22</v>
      </c>
      <c r="D617" t="str">
        <f>VLOOKUP($C617,products!$A$1:$F$322,MATCH(order_items!$D$1,products!$A$1:$F$1,0),FALSE)</f>
        <v>Electra Girl's Hawaii 1 (16-inch) - 2015/2016</v>
      </c>
      <c r="E617">
        <f>VLOOKUP($C617,products!$A$1:$F$322,MATCH(order_items!$E$1,products!$A$1:$F$1,0),FALSE)</f>
        <v>1</v>
      </c>
      <c r="F617" t="str">
        <f>VLOOKUP($E617,categories!$A$1:$B$8,MATCH(order_items!$F$1,categories!$A$1:$B$1,0),FALSE)</f>
        <v>Children Bicycles</v>
      </c>
      <c r="G617">
        <v>2</v>
      </c>
      <c r="H617">
        <v>269.99</v>
      </c>
      <c r="I617" s="5">
        <v>0.1</v>
      </c>
      <c r="J617">
        <f t="shared" si="18"/>
        <v>485.98200000000003</v>
      </c>
      <c r="K617" s="9">
        <f t="shared" si="19"/>
        <v>-0.69693888525532666</v>
      </c>
    </row>
    <row r="618" spans="1:11" x14ac:dyDescent="0.3">
      <c r="A618">
        <v>220</v>
      </c>
      <c r="B618">
        <v>4</v>
      </c>
      <c r="C618">
        <v>3</v>
      </c>
      <c r="D618" t="str">
        <f>VLOOKUP($C618,products!$A$1:$F$322,MATCH(order_items!$D$1,products!$A$1:$F$1,0),FALSE)</f>
        <v>Surly Wednesday Frameset - 2016</v>
      </c>
      <c r="E618">
        <f>VLOOKUP($C618,products!$A$1:$F$322,MATCH(order_items!$E$1,products!$A$1:$F$1,0),FALSE)</f>
        <v>6</v>
      </c>
      <c r="F618" t="str">
        <f>VLOOKUP($E618,categories!$A$1:$B$8,MATCH(order_items!$F$1,categories!$A$1:$B$1,0),FALSE)</f>
        <v>Mountain Bikes</v>
      </c>
      <c r="G618">
        <v>2</v>
      </c>
      <c r="H618">
        <v>999.99</v>
      </c>
      <c r="I618" s="5">
        <v>0.2</v>
      </c>
      <c r="J618">
        <f t="shared" si="18"/>
        <v>1599.9840000000002</v>
      </c>
      <c r="K618" s="9">
        <f t="shared" si="19"/>
        <v>-0.15725951613718298</v>
      </c>
    </row>
    <row r="619" spans="1:11" x14ac:dyDescent="0.3">
      <c r="A619">
        <v>221</v>
      </c>
      <c r="B619">
        <v>1</v>
      </c>
      <c r="C619">
        <v>11</v>
      </c>
      <c r="D619" t="str">
        <f>VLOOKUP($C619,products!$A$1:$F$322,MATCH(order_items!$D$1,products!$A$1:$F$1,0),FALSE)</f>
        <v>Surly Straggler 650b - 2016</v>
      </c>
      <c r="E619">
        <f>VLOOKUP($C619,products!$A$1:$F$322,MATCH(order_items!$E$1,products!$A$1:$F$1,0),FALSE)</f>
        <v>4</v>
      </c>
      <c r="F619" t="str">
        <f>VLOOKUP($E619,categories!$A$1:$B$8,MATCH(order_items!$F$1,categories!$A$1:$B$1,0),FALSE)</f>
        <v>Cyclocross Bicycles</v>
      </c>
      <c r="G619">
        <v>2</v>
      </c>
      <c r="H619">
        <v>1680.99</v>
      </c>
      <c r="I619" s="5">
        <v>7.0000000000000007E-2</v>
      </c>
      <c r="J619">
        <f t="shared" si="18"/>
        <v>3126.6414</v>
      </c>
      <c r="K619" s="9">
        <f t="shared" si="19"/>
        <v>0.3461947994374141</v>
      </c>
    </row>
    <row r="620" spans="1:11" x14ac:dyDescent="0.3">
      <c r="A620">
        <v>222</v>
      </c>
      <c r="B620">
        <v>1</v>
      </c>
      <c r="C620">
        <v>10</v>
      </c>
      <c r="D620" t="str">
        <f>VLOOKUP($C620,products!$A$1:$F$322,MATCH(order_items!$D$1,products!$A$1:$F$1,0),FALSE)</f>
        <v>Surly Straggler - 2016</v>
      </c>
      <c r="E620">
        <f>VLOOKUP($C620,products!$A$1:$F$322,MATCH(order_items!$E$1,products!$A$1:$F$1,0),FALSE)</f>
        <v>4</v>
      </c>
      <c r="F620" t="str">
        <f>VLOOKUP($E620,categories!$A$1:$B$8,MATCH(order_items!$F$1,categories!$A$1:$B$1,0),FALSE)</f>
        <v>Cyclocross Bicycles</v>
      </c>
      <c r="G620">
        <v>1</v>
      </c>
      <c r="H620">
        <v>1549</v>
      </c>
      <c r="I620" s="5">
        <v>0.1</v>
      </c>
      <c r="J620">
        <f t="shared" si="18"/>
        <v>1394.1000000000001</v>
      </c>
      <c r="K620" s="9">
        <f t="shared" si="19"/>
        <v>0.24861633378001166</v>
      </c>
    </row>
    <row r="621" spans="1:11" x14ac:dyDescent="0.3">
      <c r="A621">
        <v>222</v>
      </c>
      <c r="B621">
        <v>2</v>
      </c>
      <c r="C621">
        <v>2</v>
      </c>
      <c r="D621" t="str">
        <f>VLOOKUP($C621,products!$A$1:$F$322,MATCH(order_items!$D$1,products!$A$1:$F$1,0),FALSE)</f>
        <v>Ritchey Timberwolf Frameset - 2016</v>
      </c>
      <c r="E621">
        <f>VLOOKUP($C621,products!$A$1:$F$322,MATCH(order_items!$E$1,products!$A$1:$F$1,0),FALSE)</f>
        <v>6</v>
      </c>
      <c r="F621" t="str">
        <f>VLOOKUP($E621,categories!$A$1:$B$8,MATCH(order_items!$F$1,categories!$A$1:$B$1,0),FALSE)</f>
        <v>Mountain Bikes</v>
      </c>
      <c r="G621">
        <v>2</v>
      </c>
      <c r="H621">
        <v>749.99</v>
      </c>
      <c r="I621" s="5">
        <v>0.1</v>
      </c>
      <c r="J621">
        <f t="shared" si="18"/>
        <v>1349.982</v>
      </c>
      <c r="K621" s="9">
        <f t="shared" si="19"/>
        <v>-0.34208121788997192</v>
      </c>
    </row>
    <row r="622" spans="1:11" x14ac:dyDescent="0.3">
      <c r="A622">
        <v>223</v>
      </c>
      <c r="B622">
        <v>1</v>
      </c>
      <c r="C622">
        <v>7</v>
      </c>
      <c r="D622" t="str">
        <f>VLOOKUP($C622,products!$A$1:$F$322,MATCH(order_items!$D$1,products!$A$1:$F$1,0),FALSE)</f>
        <v>Trek Slash 8 27.5 - 2016</v>
      </c>
      <c r="E622">
        <f>VLOOKUP($C622,products!$A$1:$F$322,MATCH(order_items!$E$1,products!$A$1:$F$1,0),FALSE)</f>
        <v>6</v>
      </c>
      <c r="F622" t="str">
        <f>VLOOKUP($E622,categories!$A$1:$B$8,MATCH(order_items!$F$1,categories!$A$1:$B$1,0),FALSE)</f>
        <v>Mountain Bikes</v>
      </c>
      <c r="G622">
        <v>2</v>
      </c>
      <c r="H622">
        <v>3999.99</v>
      </c>
      <c r="I622" s="5">
        <v>0.05</v>
      </c>
      <c r="J622">
        <f t="shared" si="18"/>
        <v>7599.9809999999989</v>
      </c>
      <c r="K622" s="9">
        <f t="shared" si="19"/>
        <v>2.0606009048962846</v>
      </c>
    </row>
    <row r="623" spans="1:11" x14ac:dyDescent="0.3">
      <c r="A623">
        <v>223</v>
      </c>
      <c r="B623">
        <v>2</v>
      </c>
      <c r="C623">
        <v>5</v>
      </c>
      <c r="D623" t="str">
        <f>VLOOKUP($C623,products!$A$1:$F$322,MATCH(order_items!$D$1,products!$A$1:$F$1,0),FALSE)</f>
        <v>Heller Shagamaw Frame - 2016</v>
      </c>
      <c r="E623">
        <f>VLOOKUP($C623,products!$A$1:$F$322,MATCH(order_items!$E$1,products!$A$1:$F$1,0),FALSE)</f>
        <v>6</v>
      </c>
      <c r="F623" t="str">
        <f>VLOOKUP($E623,categories!$A$1:$B$8,MATCH(order_items!$F$1,categories!$A$1:$B$1,0),FALSE)</f>
        <v>Mountain Bikes</v>
      </c>
      <c r="G623">
        <v>1</v>
      </c>
      <c r="H623">
        <v>1320.99</v>
      </c>
      <c r="I623" s="5">
        <v>0.2</v>
      </c>
      <c r="J623">
        <f t="shared" si="18"/>
        <v>1056.7920000000001</v>
      </c>
      <c r="K623" s="9">
        <f t="shared" si="19"/>
        <v>8.0051548913398024E-2</v>
      </c>
    </row>
    <row r="624" spans="1:11" x14ac:dyDescent="0.3">
      <c r="A624">
        <v>223</v>
      </c>
      <c r="B624">
        <v>3</v>
      </c>
      <c r="C624">
        <v>21</v>
      </c>
      <c r="D624" t="str">
        <f>VLOOKUP($C624,products!$A$1:$F$322,MATCH(order_items!$D$1,products!$A$1:$F$1,0),FALSE)</f>
        <v>Electra Cruiser 1 (24-Inch) - 2016</v>
      </c>
      <c r="E624">
        <f>VLOOKUP($C624,products!$A$1:$F$322,MATCH(order_items!$E$1,products!$A$1:$F$1,0),FALSE)</f>
        <v>1</v>
      </c>
      <c r="F624" t="str">
        <f>VLOOKUP($E624,categories!$A$1:$B$8,MATCH(order_items!$F$1,categories!$A$1:$B$1,0),FALSE)</f>
        <v>Children Bicycles</v>
      </c>
      <c r="G624">
        <v>2</v>
      </c>
      <c r="H624">
        <v>269.99</v>
      </c>
      <c r="I624" s="5">
        <v>0.1</v>
      </c>
      <c r="J624">
        <f t="shared" si="18"/>
        <v>485.98200000000003</v>
      </c>
      <c r="K624" s="9">
        <f t="shared" si="19"/>
        <v>-0.69693888525532666</v>
      </c>
    </row>
    <row r="625" spans="1:11" x14ac:dyDescent="0.3">
      <c r="A625">
        <v>223</v>
      </c>
      <c r="B625">
        <v>4</v>
      </c>
      <c r="C625">
        <v>20</v>
      </c>
      <c r="D625" t="str">
        <f>VLOOKUP($C625,products!$A$1:$F$322,MATCH(order_items!$D$1,products!$A$1:$F$1,0),FALSE)</f>
        <v>Electra Townie Original 7D EQ - Women's - 2016</v>
      </c>
      <c r="E625">
        <f>VLOOKUP($C625,products!$A$1:$F$322,MATCH(order_items!$E$1,products!$A$1:$F$1,0),FALSE)</f>
        <v>3</v>
      </c>
      <c r="F625" t="str">
        <f>VLOOKUP($E625,categories!$A$1:$B$8,MATCH(order_items!$F$1,categories!$A$1:$B$1,0),FALSE)</f>
        <v>Cruisers Bicycles</v>
      </c>
      <c r="G625">
        <v>1</v>
      </c>
      <c r="H625">
        <v>599.99</v>
      </c>
      <c r="I625" s="5">
        <v>0.05</v>
      </c>
      <c r="J625">
        <f t="shared" si="18"/>
        <v>569.9905</v>
      </c>
      <c r="K625" s="9">
        <f t="shared" si="19"/>
        <v>-0.45297423894164529</v>
      </c>
    </row>
    <row r="626" spans="1:11" x14ac:dyDescent="0.3">
      <c r="A626">
        <v>223</v>
      </c>
      <c r="B626">
        <v>5</v>
      </c>
      <c r="C626">
        <v>15</v>
      </c>
      <c r="D626" t="str">
        <f>VLOOKUP($C626,products!$A$1:$F$322,MATCH(order_items!$D$1,products!$A$1:$F$1,0),FALSE)</f>
        <v>Electra Moto 1 - 2016</v>
      </c>
      <c r="E626">
        <f>VLOOKUP($C626,products!$A$1:$F$322,MATCH(order_items!$E$1,products!$A$1:$F$1,0),FALSE)</f>
        <v>3</v>
      </c>
      <c r="F626" t="str">
        <f>VLOOKUP($E626,categories!$A$1:$B$8,MATCH(order_items!$F$1,categories!$A$1:$B$1,0),FALSE)</f>
        <v>Cruisers Bicycles</v>
      </c>
      <c r="G626">
        <v>1</v>
      </c>
      <c r="H626">
        <v>529.99</v>
      </c>
      <c r="I626" s="5">
        <v>0.05</v>
      </c>
      <c r="J626">
        <f t="shared" si="18"/>
        <v>503.4905</v>
      </c>
      <c r="K626" s="9">
        <f t="shared" si="19"/>
        <v>-0.50472431543242624</v>
      </c>
    </row>
    <row r="627" spans="1:11" x14ac:dyDescent="0.3">
      <c r="A627">
        <v>224</v>
      </c>
      <c r="B627">
        <v>1</v>
      </c>
      <c r="C627">
        <v>6</v>
      </c>
      <c r="D627" t="str">
        <f>VLOOKUP($C627,products!$A$1:$F$322,MATCH(order_items!$D$1,products!$A$1:$F$1,0),FALSE)</f>
        <v>Surly Ice Cream Truck Frameset - 2016</v>
      </c>
      <c r="E627">
        <f>VLOOKUP($C627,products!$A$1:$F$322,MATCH(order_items!$E$1,products!$A$1:$F$1,0),FALSE)</f>
        <v>6</v>
      </c>
      <c r="F627" t="str">
        <f>VLOOKUP($E627,categories!$A$1:$B$8,MATCH(order_items!$F$1,categories!$A$1:$B$1,0),FALSE)</f>
        <v>Mountain Bikes</v>
      </c>
      <c r="G627">
        <v>1</v>
      </c>
      <c r="H627">
        <v>469.99</v>
      </c>
      <c r="I627" s="5">
        <v>7.0000000000000007E-2</v>
      </c>
      <c r="J627">
        <f t="shared" si="18"/>
        <v>437.09069999999997</v>
      </c>
      <c r="K627" s="9">
        <f t="shared" si="19"/>
        <v>-0.5490815238530955</v>
      </c>
    </row>
    <row r="628" spans="1:11" x14ac:dyDescent="0.3">
      <c r="A628">
        <v>224</v>
      </c>
      <c r="B628">
        <v>2</v>
      </c>
      <c r="C628">
        <v>11</v>
      </c>
      <c r="D628" t="str">
        <f>VLOOKUP($C628,products!$A$1:$F$322,MATCH(order_items!$D$1,products!$A$1:$F$1,0),FALSE)</f>
        <v>Surly Straggler 650b - 2016</v>
      </c>
      <c r="E628">
        <f>VLOOKUP($C628,products!$A$1:$F$322,MATCH(order_items!$E$1,products!$A$1:$F$1,0),FALSE)</f>
        <v>4</v>
      </c>
      <c r="F628" t="str">
        <f>VLOOKUP($E628,categories!$A$1:$B$8,MATCH(order_items!$F$1,categories!$A$1:$B$1,0),FALSE)</f>
        <v>Cyclocross Bicycles</v>
      </c>
      <c r="G628">
        <v>2</v>
      </c>
      <c r="H628">
        <v>1680.99</v>
      </c>
      <c r="I628" s="5">
        <v>0.1</v>
      </c>
      <c r="J628">
        <f t="shared" si="18"/>
        <v>3025.7820000000002</v>
      </c>
      <c r="K628" s="9">
        <f t="shared" si="19"/>
        <v>0.3461947994374141</v>
      </c>
    </row>
    <row r="629" spans="1:11" x14ac:dyDescent="0.3">
      <c r="A629">
        <v>224</v>
      </c>
      <c r="B629">
        <v>3</v>
      </c>
      <c r="C629">
        <v>10</v>
      </c>
      <c r="D629" t="str">
        <f>VLOOKUP($C629,products!$A$1:$F$322,MATCH(order_items!$D$1,products!$A$1:$F$1,0),FALSE)</f>
        <v>Surly Straggler - 2016</v>
      </c>
      <c r="E629">
        <f>VLOOKUP($C629,products!$A$1:$F$322,MATCH(order_items!$E$1,products!$A$1:$F$1,0),FALSE)</f>
        <v>4</v>
      </c>
      <c r="F629" t="str">
        <f>VLOOKUP($E629,categories!$A$1:$B$8,MATCH(order_items!$F$1,categories!$A$1:$B$1,0),FALSE)</f>
        <v>Cyclocross Bicycles</v>
      </c>
      <c r="G629">
        <v>2</v>
      </c>
      <c r="H629">
        <v>1549</v>
      </c>
      <c r="I629" s="5">
        <v>0.2</v>
      </c>
      <c r="J629">
        <f t="shared" si="18"/>
        <v>2478.4</v>
      </c>
      <c r="K629" s="9">
        <f t="shared" si="19"/>
        <v>0.24861633378001166</v>
      </c>
    </row>
    <row r="630" spans="1:11" x14ac:dyDescent="0.3">
      <c r="A630">
        <v>224</v>
      </c>
      <c r="B630">
        <v>4</v>
      </c>
      <c r="C630">
        <v>25</v>
      </c>
      <c r="D630" t="str">
        <f>VLOOKUP($C630,products!$A$1:$F$322,MATCH(order_items!$D$1,products!$A$1:$F$1,0),FALSE)</f>
        <v>Electra Townie Original 7D - 2015/2016</v>
      </c>
      <c r="E630">
        <f>VLOOKUP($C630,products!$A$1:$F$322,MATCH(order_items!$E$1,products!$A$1:$F$1,0),FALSE)</f>
        <v>2</v>
      </c>
      <c r="F630" t="str">
        <f>VLOOKUP($E630,categories!$A$1:$B$8,MATCH(order_items!$F$1,categories!$A$1:$B$1,0),FALSE)</f>
        <v>Comfort Bicycles</v>
      </c>
      <c r="G630">
        <v>1</v>
      </c>
      <c r="H630">
        <v>499.99</v>
      </c>
      <c r="I630" s="5">
        <v>0.05</v>
      </c>
      <c r="J630">
        <f t="shared" si="18"/>
        <v>474.9905</v>
      </c>
      <c r="K630" s="9">
        <f t="shared" si="19"/>
        <v>-0.52690291964276081</v>
      </c>
    </row>
    <row r="631" spans="1:11" x14ac:dyDescent="0.3">
      <c r="A631">
        <v>225</v>
      </c>
      <c r="B631">
        <v>1</v>
      </c>
      <c r="C631">
        <v>21</v>
      </c>
      <c r="D631" t="str">
        <f>VLOOKUP($C631,products!$A$1:$F$322,MATCH(order_items!$D$1,products!$A$1:$F$1,0),FALSE)</f>
        <v>Electra Cruiser 1 (24-Inch) - 2016</v>
      </c>
      <c r="E631">
        <f>VLOOKUP($C631,products!$A$1:$F$322,MATCH(order_items!$E$1,products!$A$1:$F$1,0),FALSE)</f>
        <v>1</v>
      </c>
      <c r="F631" t="str">
        <f>VLOOKUP($E631,categories!$A$1:$B$8,MATCH(order_items!$F$1,categories!$A$1:$B$1,0),FALSE)</f>
        <v>Children Bicycles</v>
      </c>
      <c r="G631">
        <v>1</v>
      </c>
      <c r="H631">
        <v>269.99</v>
      </c>
      <c r="I631" s="5">
        <v>0.1</v>
      </c>
      <c r="J631">
        <f t="shared" si="18"/>
        <v>242.99100000000001</v>
      </c>
      <c r="K631" s="9">
        <f t="shared" si="19"/>
        <v>-0.69693888525532666</v>
      </c>
    </row>
    <row r="632" spans="1:11" x14ac:dyDescent="0.3">
      <c r="A632">
        <v>225</v>
      </c>
      <c r="B632">
        <v>2</v>
      </c>
      <c r="C632">
        <v>9</v>
      </c>
      <c r="D632" t="str">
        <f>VLOOKUP($C632,products!$A$1:$F$322,MATCH(order_items!$D$1,products!$A$1:$F$1,0),FALSE)</f>
        <v>Trek Conduit+ - 2016</v>
      </c>
      <c r="E632">
        <f>VLOOKUP($C632,products!$A$1:$F$322,MATCH(order_items!$E$1,products!$A$1:$F$1,0),FALSE)</f>
        <v>5</v>
      </c>
      <c r="F632" t="str">
        <f>VLOOKUP($E632,categories!$A$1:$B$8,MATCH(order_items!$F$1,categories!$A$1:$B$1,0),FALSE)</f>
        <v>Electric Bikes</v>
      </c>
      <c r="G632">
        <v>1</v>
      </c>
      <c r="H632">
        <v>2999.99</v>
      </c>
      <c r="I632" s="5">
        <v>0.1</v>
      </c>
      <c r="J632">
        <f t="shared" si="18"/>
        <v>2699.991</v>
      </c>
      <c r="K632" s="9">
        <f t="shared" si="19"/>
        <v>1.3213140978851283</v>
      </c>
    </row>
    <row r="633" spans="1:11" x14ac:dyDescent="0.3">
      <c r="A633">
        <v>226</v>
      </c>
      <c r="B633">
        <v>1</v>
      </c>
      <c r="C633">
        <v>2</v>
      </c>
      <c r="D633" t="str">
        <f>VLOOKUP($C633,products!$A$1:$F$322,MATCH(order_items!$D$1,products!$A$1:$F$1,0),FALSE)</f>
        <v>Ritchey Timberwolf Frameset - 2016</v>
      </c>
      <c r="E633">
        <f>VLOOKUP($C633,products!$A$1:$F$322,MATCH(order_items!$E$1,products!$A$1:$F$1,0),FALSE)</f>
        <v>6</v>
      </c>
      <c r="F633" t="str">
        <f>VLOOKUP($E633,categories!$A$1:$B$8,MATCH(order_items!$F$1,categories!$A$1:$B$1,0),FALSE)</f>
        <v>Mountain Bikes</v>
      </c>
      <c r="G633">
        <v>1</v>
      </c>
      <c r="H633">
        <v>749.99</v>
      </c>
      <c r="I633" s="5">
        <v>0.05</v>
      </c>
      <c r="J633">
        <f t="shared" si="18"/>
        <v>712.4905</v>
      </c>
      <c r="K633" s="9">
        <f t="shared" si="19"/>
        <v>-0.34208121788997192</v>
      </c>
    </row>
    <row r="634" spans="1:11" x14ac:dyDescent="0.3">
      <c r="A634">
        <v>227</v>
      </c>
      <c r="B634">
        <v>1</v>
      </c>
      <c r="C634">
        <v>3</v>
      </c>
      <c r="D634" t="str">
        <f>VLOOKUP($C634,products!$A$1:$F$322,MATCH(order_items!$D$1,products!$A$1:$F$1,0),FALSE)</f>
        <v>Surly Wednesday Frameset - 2016</v>
      </c>
      <c r="E634">
        <f>VLOOKUP($C634,products!$A$1:$F$322,MATCH(order_items!$E$1,products!$A$1:$F$1,0),FALSE)</f>
        <v>6</v>
      </c>
      <c r="F634" t="str">
        <f>VLOOKUP($E634,categories!$A$1:$B$8,MATCH(order_items!$F$1,categories!$A$1:$B$1,0),FALSE)</f>
        <v>Mountain Bikes</v>
      </c>
      <c r="G634">
        <v>2</v>
      </c>
      <c r="H634">
        <v>999.99</v>
      </c>
      <c r="I634" s="5">
        <v>0.05</v>
      </c>
      <c r="J634">
        <f t="shared" si="18"/>
        <v>1899.981</v>
      </c>
      <c r="K634" s="9">
        <f t="shared" si="19"/>
        <v>-0.15725951613718298</v>
      </c>
    </row>
    <row r="635" spans="1:11" x14ac:dyDescent="0.3">
      <c r="A635">
        <v>227</v>
      </c>
      <c r="B635">
        <v>2</v>
      </c>
      <c r="C635">
        <v>15</v>
      </c>
      <c r="D635" t="str">
        <f>VLOOKUP($C635,products!$A$1:$F$322,MATCH(order_items!$D$1,products!$A$1:$F$1,0),FALSE)</f>
        <v>Electra Moto 1 - 2016</v>
      </c>
      <c r="E635">
        <f>VLOOKUP($C635,products!$A$1:$F$322,MATCH(order_items!$E$1,products!$A$1:$F$1,0),FALSE)</f>
        <v>3</v>
      </c>
      <c r="F635" t="str">
        <f>VLOOKUP($E635,categories!$A$1:$B$8,MATCH(order_items!$F$1,categories!$A$1:$B$1,0),FALSE)</f>
        <v>Cruisers Bicycles</v>
      </c>
      <c r="G635">
        <v>2</v>
      </c>
      <c r="H635">
        <v>529.99</v>
      </c>
      <c r="I635" s="5">
        <v>0.1</v>
      </c>
      <c r="J635">
        <f t="shared" si="18"/>
        <v>953.98200000000008</v>
      </c>
      <c r="K635" s="9">
        <f t="shared" si="19"/>
        <v>-0.50472431543242624</v>
      </c>
    </row>
    <row r="636" spans="1:11" x14ac:dyDescent="0.3">
      <c r="A636">
        <v>228</v>
      </c>
      <c r="B636">
        <v>1</v>
      </c>
      <c r="C636">
        <v>25</v>
      </c>
      <c r="D636" t="str">
        <f>VLOOKUP($C636,products!$A$1:$F$322,MATCH(order_items!$D$1,products!$A$1:$F$1,0),FALSE)</f>
        <v>Electra Townie Original 7D - 2015/2016</v>
      </c>
      <c r="E636">
        <f>VLOOKUP($C636,products!$A$1:$F$322,MATCH(order_items!$E$1,products!$A$1:$F$1,0),FALSE)</f>
        <v>2</v>
      </c>
      <c r="F636" t="str">
        <f>VLOOKUP($E636,categories!$A$1:$B$8,MATCH(order_items!$F$1,categories!$A$1:$B$1,0),FALSE)</f>
        <v>Comfort Bicycles</v>
      </c>
      <c r="G636">
        <v>1</v>
      </c>
      <c r="H636">
        <v>499.99</v>
      </c>
      <c r="I636" s="5">
        <v>0.2</v>
      </c>
      <c r="J636">
        <f t="shared" si="18"/>
        <v>399.99200000000002</v>
      </c>
      <c r="K636" s="9">
        <f t="shared" si="19"/>
        <v>-0.52690291964276081</v>
      </c>
    </row>
    <row r="637" spans="1:11" x14ac:dyDescent="0.3">
      <c r="A637">
        <v>228</v>
      </c>
      <c r="B637">
        <v>2</v>
      </c>
      <c r="C637">
        <v>2</v>
      </c>
      <c r="D637" t="str">
        <f>VLOOKUP($C637,products!$A$1:$F$322,MATCH(order_items!$D$1,products!$A$1:$F$1,0),FALSE)</f>
        <v>Ritchey Timberwolf Frameset - 2016</v>
      </c>
      <c r="E637">
        <f>VLOOKUP($C637,products!$A$1:$F$322,MATCH(order_items!$E$1,products!$A$1:$F$1,0),FALSE)</f>
        <v>6</v>
      </c>
      <c r="F637" t="str">
        <f>VLOOKUP($E637,categories!$A$1:$B$8,MATCH(order_items!$F$1,categories!$A$1:$B$1,0),FALSE)</f>
        <v>Mountain Bikes</v>
      </c>
      <c r="G637">
        <v>2</v>
      </c>
      <c r="H637">
        <v>749.99</v>
      </c>
      <c r="I637" s="5">
        <v>7.0000000000000007E-2</v>
      </c>
      <c r="J637">
        <f t="shared" si="18"/>
        <v>1394.9813999999999</v>
      </c>
      <c r="K637" s="9">
        <f t="shared" si="19"/>
        <v>-0.34208121788997192</v>
      </c>
    </row>
    <row r="638" spans="1:11" x14ac:dyDescent="0.3">
      <c r="A638">
        <v>228</v>
      </c>
      <c r="B638">
        <v>3</v>
      </c>
      <c r="C638">
        <v>23</v>
      </c>
      <c r="D638" t="str">
        <f>VLOOKUP($C638,products!$A$1:$F$322,MATCH(order_items!$D$1,products!$A$1:$F$1,0),FALSE)</f>
        <v>Electra Girl's Hawaii 1 (20-inch) - 2015/2016</v>
      </c>
      <c r="E638">
        <f>VLOOKUP($C638,products!$A$1:$F$322,MATCH(order_items!$E$1,products!$A$1:$F$1,0),FALSE)</f>
        <v>1</v>
      </c>
      <c r="F638" t="str">
        <f>VLOOKUP($E638,categories!$A$1:$B$8,MATCH(order_items!$F$1,categories!$A$1:$B$1,0),FALSE)</f>
        <v>Children Bicycles</v>
      </c>
      <c r="G638">
        <v>2</v>
      </c>
      <c r="H638">
        <v>299.99</v>
      </c>
      <c r="I638" s="5">
        <v>0.1</v>
      </c>
      <c r="J638">
        <f t="shared" si="18"/>
        <v>539.98200000000008</v>
      </c>
      <c r="K638" s="9">
        <f t="shared" si="19"/>
        <v>-0.67476028104499197</v>
      </c>
    </row>
    <row r="639" spans="1:11" x14ac:dyDescent="0.3">
      <c r="A639">
        <v>228</v>
      </c>
      <c r="B639">
        <v>4</v>
      </c>
      <c r="C639">
        <v>4</v>
      </c>
      <c r="D639" t="str">
        <f>VLOOKUP($C639,products!$A$1:$F$322,MATCH(order_items!$D$1,products!$A$1:$F$1,0),FALSE)</f>
        <v>Trek Fuel EX 8 29 - 2016</v>
      </c>
      <c r="E639">
        <f>VLOOKUP($C639,products!$A$1:$F$322,MATCH(order_items!$E$1,products!$A$1:$F$1,0),FALSE)</f>
        <v>6</v>
      </c>
      <c r="F639" t="str">
        <f>VLOOKUP($E639,categories!$A$1:$B$8,MATCH(order_items!$F$1,categories!$A$1:$B$1,0),FALSE)</f>
        <v>Mountain Bikes</v>
      </c>
      <c r="G639">
        <v>1</v>
      </c>
      <c r="H639">
        <v>2899.99</v>
      </c>
      <c r="I639" s="5">
        <v>0.2</v>
      </c>
      <c r="J639">
        <f t="shared" si="18"/>
        <v>2319.9919999999997</v>
      </c>
      <c r="K639" s="9">
        <f t="shared" si="19"/>
        <v>1.2473854171840129</v>
      </c>
    </row>
    <row r="640" spans="1:11" x14ac:dyDescent="0.3">
      <c r="A640">
        <v>228</v>
      </c>
      <c r="B640">
        <v>5</v>
      </c>
      <c r="C640">
        <v>22</v>
      </c>
      <c r="D640" t="str">
        <f>VLOOKUP($C640,products!$A$1:$F$322,MATCH(order_items!$D$1,products!$A$1:$F$1,0),FALSE)</f>
        <v>Electra Girl's Hawaii 1 (16-inch) - 2015/2016</v>
      </c>
      <c r="E640">
        <f>VLOOKUP($C640,products!$A$1:$F$322,MATCH(order_items!$E$1,products!$A$1:$F$1,0),FALSE)</f>
        <v>1</v>
      </c>
      <c r="F640" t="str">
        <f>VLOOKUP($E640,categories!$A$1:$B$8,MATCH(order_items!$F$1,categories!$A$1:$B$1,0),FALSE)</f>
        <v>Children Bicycles</v>
      </c>
      <c r="G640">
        <v>1</v>
      </c>
      <c r="H640">
        <v>269.99</v>
      </c>
      <c r="I640" s="5">
        <v>0.05</v>
      </c>
      <c r="J640">
        <f t="shared" si="18"/>
        <v>256.4905</v>
      </c>
      <c r="K640" s="9">
        <f t="shared" si="19"/>
        <v>-0.69693888525532666</v>
      </c>
    </row>
    <row r="641" spans="1:11" x14ac:dyDescent="0.3">
      <c r="A641">
        <v>229</v>
      </c>
      <c r="B641">
        <v>1</v>
      </c>
      <c r="C641">
        <v>25</v>
      </c>
      <c r="D641" t="str">
        <f>VLOOKUP($C641,products!$A$1:$F$322,MATCH(order_items!$D$1,products!$A$1:$F$1,0),FALSE)</f>
        <v>Electra Townie Original 7D - 2015/2016</v>
      </c>
      <c r="E641">
        <f>VLOOKUP($C641,products!$A$1:$F$322,MATCH(order_items!$E$1,products!$A$1:$F$1,0),FALSE)</f>
        <v>2</v>
      </c>
      <c r="F641" t="str">
        <f>VLOOKUP($E641,categories!$A$1:$B$8,MATCH(order_items!$F$1,categories!$A$1:$B$1,0),FALSE)</f>
        <v>Comfort Bicycles</v>
      </c>
      <c r="G641">
        <v>2</v>
      </c>
      <c r="H641">
        <v>499.99</v>
      </c>
      <c r="I641" s="5">
        <v>0.2</v>
      </c>
      <c r="J641">
        <f t="shared" si="18"/>
        <v>799.98400000000004</v>
      </c>
      <c r="K641" s="9">
        <f t="shared" si="19"/>
        <v>-0.52690291964276081</v>
      </c>
    </row>
    <row r="642" spans="1:11" x14ac:dyDescent="0.3">
      <c r="A642">
        <v>229</v>
      </c>
      <c r="B642">
        <v>2</v>
      </c>
      <c r="C642">
        <v>5</v>
      </c>
      <c r="D642" t="str">
        <f>VLOOKUP($C642,products!$A$1:$F$322,MATCH(order_items!$D$1,products!$A$1:$F$1,0),FALSE)</f>
        <v>Heller Shagamaw Frame - 2016</v>
      </c>
      <c r="E642">
        <f>VLOOKUP($C642,products!$A$1:$F$322,MATCH(order_items!$E$1,products!$A$1:$F$1,0),FALSE)</f>
        <v>6</v>
      </c>
      <c r="F642" t="str">
        <f>VLOOKUP($E642,categories!$A$1:$B$8,MATCH(order_items!$F$1,categories!$A$1:$B$1,0),FALSE)</f>
        <v>Mountain Bikes</v>
      </c>
      <c r="G642">
        <v>2</v>
      </c>
      <c r="H642">
        <v>1320.99</v>
      </c>
      <c r="I642" s="5">
        <v>0.1</v>
      </c>
      <c r="J642">
        <f t="shared" ref="J642:J705" si="20">G642*H642*(1-I642)</f>
        <v>2377.7820000000002</v>
      </c>
      <c r="K642" s="9">
        <f t="shared" ref="K642:K705" si="21">($H642-$M$7)/$M$9</f>
        <v>8.0051548913398024E-2</v>
      </c>
    </row>
    <row r="643" spans="1:11" x14ac:dyDescent="0.3">
      <c r="A643">
        <v>229</v>
      </c>
      <c r="B643">
        <v>3</v>
      </c>
      <c r="C643">
        <v>8</v>
      </c>
      <c r="D643" t="str">
        <f>VLOOKUP($C643,products!$A$1:$F$322,MATCH(order_items!$D$1,products!$A$1:$F$1,0),FALSE)</f>
        <v>Trek Remedy 29 Carbon Frameset - 2016</v>
      </c>
      <c r="E643">
        <f>VLOOKUP($C643,products!$A$1:$F$322,MATCH(order_items!$E$1,products!$A$1:$F$1,0),FALSE)</f>
        <v>6</v>
      </c>
      <c r="F643" t="str">
        <f>VLOOKUP($E643,categories!$A$1:$B$8,MATCH(order_items!$F$1,categories!$A$1:$B$1,0),FALSE)</f>
        <v>Mountain Bikes</v>
      </c>
      <c r="G643">
        <v>1</v>
      </c>
      <c r="H643">
        <v>1799.99</v>
      </c>
      <c r="I643" s="5">
        <v>0.2</v>
      </c>
      <c r="J643">
        <f t="shared" si="20"/>
        <v>1439.9920000000002</v>
      </c>
      <c r="K643" s="9">
        <f t="shared" si="21"/>
        <v>0.43416992947174166</v>
      </c>
    </row>
    <row r="644" spans="1:11" x14ac:dyDescent="0.3">
      <c r="A644">
        <v>230</v>
      </c>
      <c r="B644">
        <v>1</v>
      </c>
      <c r="C644">
        <v>11</v>
      </c>
      <c r="D644" t="str">
        <f>VLOOKUP($C644,products!$A$1:$F$322,MATCH(order_items!$D$1,products!$A$1:$F$1,0),FALSE)</f>
        <v>Surly Straggler 650b - 2016</v>
      </c>
      <c r="E644">
        <f>VLOOKUP($C644,products!$A$1:$F$322,MATCH(order_items!$E$1,products!$A$1:$F$1,0),FALSE)</f>
        <v>4</v>
      </c>
      <c r="F644" t="str">
        <f>VLOOKUP($E644,categories!$A$1:$B$8,MATCH(order_items!$F$1,categories!$A$1:$B$1,0),FALSE)</f>
        <v>Cyclocross Bicycles</v>
      </c>
      <c r="G644">
        <v>2</v>
      </c>
      <c r="H644">
        <v>1680.99</v>
      </c>
      <c r="I644" s="5">
        <v>7.0000000000000007E-2</v>
      </c>
      <c r="J644">
        <f t="shared" si="20"/>
        <v>3126.6414</v>
      </c>
      <c r="K644" s="9">
        <f t="shared" si="21"/>
        <v>0.3461947994374141</v>
      </c>
    </row>
    <row r="645" spans="1:11" x14ac:dyDescent="0.3">
      <c r="A645">
        <v>231</v>
      </c>
      <c r="B645">
        <v>1</v>
      </c>
      <c r="C645">
        <v>8</v>
      </c>
      <c r="D645" t="str">
        <f>VLOOKUP($C645,products!$A$1:$F$322,MATCH(order_items!$D$1,products!$A$1:$F$1,0),FALSE)</f>
        <v>Trek Remedy 29 Carbon Frameset - 2016</v>
      </c>
      <c r="E645">
        <f>VLOOKUP($C645,products!$A$1:$F$322,MATCH(order_items!$E$1,products!$A$1:$F$1,0),FALSE)</f>
        <v>6</v>
      </c>
      <c r="F645" t="str">
        <f>VLOOKUP($E645,categories!$A$1:$B$8,MATCH(order_items!$F$1,categories!$A$1:$B$1,0),FALSE)</f>
        <v>Mountain Bikes</v>
      </c>
      <c r="G645">
        <v>2</v>
      </c>
      <c r="H645">
        <v>1799.99</v>
      </c>
      <c r="I645" s="5">
        <v>7.0000000000000007E-2</v>
      </c>
      <c r="J645">
        <f t="shared" si="20"/>
        <v>3347.9813999999997</v>
      </c>
      <c r="K645" s="9">
        <f t="shared" si="21"/>
        <v>0.43416992947174166</v>
      </c>
    </row>
    <row r="646" spans="1:11" x14ac:dyDescent="0.3">
      <c r="A646">
        <v>231</v>
      </c>
      <c r="B646">
        <v>2</v>
      </c>
      <c r="C646">
        <v>14</v>
      </c>
      <c r="D646" t="str">
        <f>VLOOKUP($C646,products!$A$1:$F$322,MATCH(order_items!$D$1,products!$A$1:$F$1,0),FALSE)</f>
        <v>Electra Girl's Hawaii 1 (16-inch) - 2015/2016</v>
      </c>
      <c r="E646">
        <f>VLOOKUP($C646,products!$A$1:$F$322,MATCH(order_items!$E$1,products!$A$1:$F$1,0),FALSE)</f>
        <v>3</v>
      </c>
      <c r="F646" t="str">
        <f>VLOOKUP($E646,categories!$A$1:$B$8,MATCH(order_items!$F$1,categories!$A$1:$B$1,0),FALSE)</f>
        <v>Cruisers Bicycles</v>
      </c>
      <c r="G646">
        <v>2</v>
      </c>
      <c r="H646">
        <v>269.99</v>
      </c>
      <c r="I646" s="5">
        <v>0.2</v>
      </c>
      <c r="J646">
        <f t="shared" si="20"/>
        <v>431.98400000000004</v>
      </c>
      <c r="K646" s="9">
        <f t="shared" si="21"/>
        <v>-0.69693888525532666</v>
      </c>
    </row>
    <row r="647" spans="1:11" x14ac:dyDescent="0.3">
      <c r="A647">
        <v>231</v>
      </c>
      <c r="B647">
        <v>3</v>
      </c>
      <c r="C647">
        <v>5</v>
      </c>
      <c r="D647" t="str">
        <f>VLOOKUP($C647,products!$A$1:$F$322,MATCH(order_items!$D$1,products!$A$1:$F$1,0),FALSE)</f>
        <v>Heller Shagamaw Frame - 2016</v>
      </c>
      <c r="E647">
        <f>VLOOKUP($C647,products!$A$1:$F$322,MATCH(order_items!$E$1,products!$A$1:$F$1,0),FALSE)</f>
        <v>6</v>
      </c>
      <c r="F647" t="str">
        <f>VLOOKUP($E647,categories!$A$1:$B$8,MATCH(order_items!$F$1,categories!$A$1:$B$1,0),FALSE)</f>
        <v>Mountain Bikes</v>
      </c>
      <c r="G647">
        <v>2</v>
      </c>
      <c r="H647">
        <v>1320.99</v>
      </c>
      <c r="I647" s="5">
        <v>0.2</v>
      </c>
      <c r="J647">
        <f t="shared" si="20"/>
        <v>2113.5840000000003</v>
      </c>
      <c r="K647" s="9">
        <f t="shared" si="21"/>
        <v>8.0051548913398024E-2</v>
      </c>
    </row>
    <row r="648" spans="1:11" x14ac:dyDescent="0.3">
      <c r="A648">
        <v>232</v>
      </c>
      <c r="B648">
        <v>1</v>
      </c>
      <c r="C648">
        <v>18</v>
      </c>
      <c r="D648" t="str">
        <f>VLOOKUP($C648,products!$A$1:$F$322,MATCH(order_items!$D$1,products!$A$1:$F$1,0),FALSE)</f>
        <v>Pure Cycles Western 3-Speed - Women's - 2015/2016</v>
      </c>
      <c r="E648">
        <f>VLOOKUP($C648,products!$A$1:$F$322,MATCH(order_items!$E$1,products!$A$1:$F$1,0),FALSE)</f>
        <v>3</v>
      </c>
      <c r="F648" t="str">
        <f>VLOOKUP($E648,categories!$A$1:$B$8,MATCH(order_items!$F$1,categories!$A$1:$B$1,0),FALSE)</f>
        <v>Cruisers Bicycles</v>
      </c>
      <c r="G648">
        <v>1</v>
      </c>
      <c r="H648">
        <v>449</v>
      </c>
      <c r="I648" s="5">
        <v>7.0000000000000007E-2</v>
      </c>
      <c r="J648">
        <f t="shared" si="20"/>
        <v>417.57</v>
      </c>
      <c r="K648" s="9">
        <f t="shared" si="21"/>
        <v>-0.56459915393225968</v>
      </c>
    </row>
    <row r="649" spans="1:11" x14ac:dyDescent="0.3">
      <c r="A649">
        <v>232</v>
      </c>
      <c r="B649">
        <v>2</v>
      </c>
      <c r="C649">
        <v>11</v>
      </c>
      <c r="D649" t="str">
        <f>VLOOKUP($C649,products!$A$1:$F$322,MATCH(order_items!$D$1,products!$A$1:$F$1,0),FALSE)</f>
        <v>Surly Straggler 650b - 2016</v>
      </c>
      <c r="E649">
        <f>VLOOKUP($C649,products!$A$1:$F$322,MATCH(order_items!$E$1,products!$A$1:$F$1,0),FALSE)</f>
        <v>4</v>
      </c>
      <c r="F649" t="str">
        <f>VLOOKUP($E649,categories!$A$1:$B$8,MATCH(order_items!$F$1,categories!$A$1:$B$1,0),FALSE)</f>
        <v>Cyclocross Bicycles</v>
      </c>
      <c r="G649">
        <v>2</v>
      </c>
      <c r="H649">
        <v>1680.99</v>
      </c>
      <c r="I649" s="5">
        <v>0.05</v>
      </c>
      <c r="J649">
        <f t="shared" si="20"/>
        <v>3193.8809999999999</v>
      </c>
      <c r="K649" s="9">
        <f t="shared" si="21"/>
        <v>0.3461947994374141</v>
      </c>
    </row>
    <row r="650" spans="1:11" x14ac:dyDescent="0.3">
      <c r="A650">
        <v>232</v>
      </c>
      <c r="B650">
        <v>3</v>
      </c>
      <c r="C650">
        <v>26</v>
      </c>
      <c r="D650" t="str">
        <f>VLOOKUP($C650,products!$A$1:$F$322,MATCH(order_items!$D$1,products!$A$1:$F$1,0),FALSE)</f>
        <v>Electra Townie Original 7D EQ - 2016</v>
      </c>
      <c r="E650">
        <f>VLOOKUP($C650,products!$A$1:$F$322,MATCH(order_items!$E$1,products!$A$1:$F$1,0),FALSE)</f>
        <v>2</v>
      </c>
      <c r="F650" t="str">
        <f>VLOOKUP($E650,categories!$A$1:$B$8,MATCH(order_items!$F$1,categories!$A$1:$B$1,0),FALSE)</f>
        <v>Comfort Bicycles</v>
      </c>
      <c r="G650">
        <v>2</v>
      </c>
      <c r="H650">
        <v>599.99</v>
      </c>
      <c r="I650" s="5">
        <v>7.0000000000000007E-2</v>
      </c>
      <c r="J650">
        <f t="shared" si="20"/>
        <v>1115.9813999999999</v>
      </c>
      <c r="K650" s="9">
        <f t="shared" si="21"/>
        <v>-0.45297423894164529</v>
      </c>
    </row>
    <row r="651" spans="1:11" x14ac:dyDescent="0.3">
      <c r="A651">
        <v>232</v>
      </c>
      <c r="B651">
        <v>4</v>
      </c>
      <c r="C651">
        <v>8</v>
      </c>
      <c r="D651" t="str">
        <f>VLOOKUP($C651,products!$A$1:$F$322,MATCH(order_items!$D$1,products!$A$1:$F$1,0),FALSE)</f>
        <v>Trek Remedy 29 Carbon Frameset - 2016</v>
      </c>
      <c r="E651">
        <f>VLOOKUP($C651,products!$A$1:$F$322,MATCH(order_items!$E$1,products!$A$1:$F$1,0),FALSE)</f>
        <v>6</v>
      </c>
      <c r="F651" t="str">
        <f>VLOOKUP($E651,categories!$A$1:$B$8,MATCH(order_items!$F$1,categories!$A$1:$B$1,0),FALSE)</f>
        <v>Mountain Bikes</v>
      </c>
      <c r="G651">
        <v>2</v>
      </c>
      <c r="H651">
        <v>1799.99</v>
      </c>
      <c r="I651" s="5">
        <v>0.1</v>
      </c>
      <c r="J651">
        <f t="shared" si="20"/>
        <v>3239.982</v>
      </c>
      <c r="K651" s="9">
        <f t="shared" si="21"/>
        <v>0.43416992947174166</v>
      </c>
    </row>
    <row r="652" spans="1:11" x14ac:dyDescent="0.3">
      <c r="A652">
        <v>233</v>
      </c>
      <c r="B652">
        <v>1</v>
      </c>
      <c r="C652">
        <v>14</v>
      </c>
      <c r="D652" t="str">
        <f>VLOOKUP($C652,products!$A$1:$F$322,MATCH(order_items!$D$1,products!$A$1:$F$1,0),FALSE)</f>
        <v>Electra Girl's Hawaii 1 (16-inch) - 2015/2016</v>
      </c>
      <c r="E652">
        <f>VLOOKUP($C652,products!$A$1:$F$322,MATCH(order_items!$E$1,products!$A$1:$F$1,0),FALSE)</f>
        <v>3</v>
      </c>
      <c r="F652" t="str">
        <f>VLOOKUP($E652,categories!$A$1:$B$8,MATCH(order_items!$F$1,categories!$A$1:$B$1,0),FALSE)</f>
        <v>Cruisers Bicycles</v>
      </c>
      <c r="G652">
        <v>1</v>
      </c>
      <c r="H652">
        <v>269.99</v>
      </c>
      <c r="I652" s="5">
        <v>0.1</v>
      </c>
      <c r="J652">
        <f t="shared" si="20"/>
        <v>242.99100000000001</v>
      </c>
      <c r="K652" s="9">
        <f t="shared" si="21"/>
        <v>-0.69693888525532666</v>
      </c>
    </row>
    <row r="653" spans="1:11" x14ac:dyDescent="0.3">
      <c r="A653">
        <v>233</v>
      </c>
      <c r="B653">
        <v>2</v>
      </c>
      <c r="C653">
        <v>16</v>
      </c>
      <c r="D653" t="str">
        <f>VLOOKUP($C653,products!$A$1:$F$322,MATCH(order_items!$D$1,products!$A$1:$F$1,0),FALSE)</f>
        <v>Electra Townie Original 7D EQ - 2016</v>
      </c>
      <c r="E653">
        <f>VLOOKUP($C653,products!$A$1:$F$322,MATCH(order_items!$E$1,products!$A$1:$F$1,0),FALSE)</f>
        <v>3</v>
      </c>
      <c r="F653" t="str">
        <f>VLOOKUP($E653,categories!$A$1:$B$8,MATCH(order_items!$F$1,categories!$A$1:$B$1,0),FALSE)</f>
        <v>Cruisers Bicycles</v>
      </c>
      <c r="G653">
        <v>2</v>
      </c>
      <c r="H653">
        <v>599.99</v>
      </c>
      <c r="I653" s="5">
        <v>0.1</v>
      </c>
      <c r="J653">
        <f t="shared" si="20"/>
        <v>1079.982</v>
      </c>
      <c r="K653" s="9">
        <f t="shared" si="21"/>
        <v>-0.45297423894164529</v>
      </c>
    </row>
    <row r="654" spans="1:11" x14ac:dyDescent="0.3">
      <c r="A654">
        <v>233</v>
      </c>
      <c r="B654">
        <v>3</v>
      </c>
      <c r="C654">
        <v>12</v>
      </c>
      <c r="D654" t="str">
        <f>VLOOKUP($C654,products!$A$1:$F$322,MATCH(order_items!$D$1,products!$A$1:$F$1,0),FALSE)</f>
        <v>Electra Townie Original 21D - 2016</v>
      </c>
      <c r="E654">
        <f>VLOOKUP($C654,products!$A$1:$F$322,MATCH(order_items!$E$1,products!$A$1:$F$1,0),FALSE)</f>
        <v>3</v>
      </c>
      <c r="F654" t="str">
        <f>VLOOKUP($E654,categories!$A$1:$B$8,MATCH(order_items!$F$1,categories!$A$1:$B$1,0),FALSE)</f>
        <v>Cruisers Bicycles</v>
      </c>
      <c r="G654">
        <v>1</v>
      </c>
      <c r="H654">
        <v>549.99</v>
      </c>
      <c r="I654" s="5">
        <v>0.2</v>
      </c>
      <c r="J654">
        <f t="shared" si="20"/>
        <v>439.99200000000002</v>
      </c>
      <c r="K654" s="9">
        <f t="shared" si="21"/>
        <v>-0.48993857929220308</v>
      </c>
    </row>
    <row r="655" spans="1:11" x14ac:dyDescent="0.3">
      <c r="A655">
        <v>233</v>
      </c>
      <c r="B655">
        <v>4</v>
      </c>
      <c r="C655">
        <v>15</v>
      </c>
      <c r="D655" t="str">
        <f>VLOOKUP($C655,products!$A$1:$F$322,MATCH(order_items!$D$1,products!$A$1:$F$1,0),FALSE)</f>
        <v>Electra Moto 1 - 2016</v>
      </c>
      <c r="E655">
        <f>VLOOKUP($C655,products!$A$1:$F$322,MATCH(order_items!$E$1,products!$A$1:$F$1,0),FALSE)</f>
        <v>3</v>
      </c>
      <c r="F655" t="str">
        <f>VLOOKUP($E655,categories!$A$1:$B$8,MATCH(order_items!$F$1,categories!$A$1:$B$1,0),FALSE)</f>
        <v>Cruisers Bicycles</v>
      </c>
      <c r="G655">
        <v>2</v>
      </c>
      <c r="H655">
        <v>529.99</v>
      </c>
      <c r="I655" s="5">
        <v>7.0000000000000007E-2</v>
      </c>
      <c r="J655">
        <f t="shared" si="20"/>
        <v>985.78139999999996</v>
      </c>
      <c r="K655" s="9">
        <f t="shared" si="21"/>
        <v>-0.50472431543242624</v>
      </c>
    </row>
    <row r="656" spans="1:11" x14ac:dyDescent="0.3">
      <c r="A656">
        <v>234</v>
      </c>
      <c r="B656">
        <v>1</v>
      </c>
      <c r="C656">
        <v>11</v>
      </c>
      <c r="D656" t="str">
        <f>VLOOKUP($C656,products!$A$1:$F$322,MATCH(order_items!$D$1,products!$A$1:$F$1,0),FALSE)</f>
        <v>Surly Straggler 650b - 2016</v>
      </c>
      <c r="E656">
        <f>VLOOKUP($C656,products!$A$1:$F$322,MATCH(order_items!$E$1,products!$A$1:$F$1,0),FALSE)</f>
        <v>4</v>
      </c>
      <c r="F656" t="str">
        <f>VLOOKUP($E656,categories!$A$1:$B$8,MATCH(order_items!$F$1,categories!$A$1:$B$1,0),FALSE)</f>
        <v>Cyclocross Bicycles</v>
      </c>
      <c r="G656">
        <v>2</v>
      </c>
      <c r="H656">
        <v>1680.99</v>
      </c>
      <c r="I656" s="5">
        <v>0.2</v>
      </c>
      <c r="J656">
        <f t="shared" si="20"/>
        <v>2689.5840000000003</v>
      </c>
      <c r="K656" s="9">
        <f t="shared" si="21"/>
        <v>0.3461947994374141</v>
      </c>
    </row>
    <row r="657" spans="1:11" x14ac:dyDescent="0.3">
      <c r="A657">
        <v>234</v>
      </c>
      <c r="B657">
        <v>2</v>
      </c>
      <c r="C657">
        <v>17</v>
      </c>
      <c r="D657" t="str">
        <f>VLOOKUP($C657,products!$A$1:$F$322,MATCH(order_items!$D$1,products!$A$1:$F$1,0),FALSE)</f>
        <v>Pure Cycles Vine 8-Speed - 2016</v>
      </c>
      <c r="E657">
        <f>VLOOKUP($C657,products!$A$1:$F$322,MATCH(order_items!$E$1,products!$A$1:$F$1,0),FALSE)</f>
        <v>3</v>
      </c>
      <c r="F657" t="str">
        <f>VLOOKUP($E657,categories!$A$1:$B$8,MATCH(order_items!$F$1,categories!$A$1:$B$1,0),FALSE)</f>
        <v>Cruisers Bicycles</v>
      </c>
      <c r="G657">
        <v>2</v>
      </c>
      <c r="H657">
        <v>429</v>
      </c>
      <c r="I657" s="5">
        <v>0.05</v>
      </c>
      <c r="J657">
        <f t="shared" si="20"/>
        <v>815.09999999999991</v>
      </c>
      <c r="K657" s="9">
        <f t="shared" si="21"/>
        <v>-0.57938489007248284</v>
      </c>
    </row>
    <row r="658" spans="1:11" x14ac:dyDescent="0.3">
      <c r="A658">
        <v>234</v>
      </c>
      <c r="B658">
        <v>3</v>
      </c>
      <c r="C658">
        <v>12</v>
      </c>
      <c r="D658" t="str">
        <f>VLOOKUP($C658,products!$A$1:$F$322,MATCH(order_items!$D$1,products!$A$1:$F$1,0),FALSE)</f>
        <v>Electra Townie Original 21D - 2016</v>
      </c>
      <c r="E658">
        <f>VLOOKUP($C658,products!$A$1:$F$322,MATCH(order_items!$E$1,products!$A$1:$F$1,0),FALSE)</f>
        <v>3</v>
      </c>
      <c r="F658" t="str">
        <f>VLOOKUP($E658,categories!$A$1:$B$8,MATCH(order_items!$F$1,categories!$A$1:$B$1,0),FALSE)</f>
        <v>Cruisers Bicycles</v>
      </c>
      <c r="G658">
        <v>1</v>
      </c>
      <c r="H658">
        <v>549.99</v>
      </c>
      <c r="I658" s="5">
        <v>0.1</v>
      </c>
      <c r="J658">
        <f t="shared" si="20"/>
        <v>494.99100000000004</v>
      </c>
      <c r="K658" s="9">
        <f t="shared" si="21"/>
        <v>-0.48993857929220308</v>
      </c>
    </row>
    <row r="659" spans="1:11" x14ac:dyDescent="0.3">
      <c r="A659">
        <v>234</v>
      </c>
      <c r="B659">
        <v>4</v>
      </c>
      <c r="C659">
        <v>7</v>
      </c>
      <c r="D659" t="str">
        <f>VLOOKUP($C659,products!$A$1:$F$322,MATCH(order_items!$D$1,products!$A$1:$F$1,0),FALSE)</f>
        <v>Trek Slash 8 27.5 - 2016</v>
      </c>
      <c r="E659">
        <f>VLOOKUP($C659,products!$A$1:$F$322,MATCH(order_items!$E$1,products!$A$1:$F$1,0),FALSE)</f>
        <v>6</v>
      </c>
      <c r="F659" t="str">
        <f>VLOOKUP($E659,categories!$A$1:$B$8,MATCH(order_items!$F$1,categories!$A$1:$B$1,0),FALSE)</f>
        <v>Mountain Bikes</v>
      </c>
      <c r="G659">
        <v>1</v>
      </c>
      <c r="H659">
        <v>3999.99</v>
      </c>
      <c r="I659" s="5">
        <v>0.05</v>
      </c>
      <c r="J659">
        <f t="shared" si="20"/>
        <v>3799.9904999999994</v>
      </c>
      <c r="K659" s="9">
        <f t="shared" si="21"/>
        <v>2.0606009048962846</v>
      </c>
    </row>
    <row r="660" spans="1:11" x14ac:dyDescent="0.3">
      <c r="A660">
        <v>234</v>
      </c>
      <c r="B660">
        <v>5</v>
      </c>
      <c r="C660">
        <v>23</v>
      </c>
      <c r="D660" t="str">
        <f>VLOOKUP($C660,products!$A$1:$F$322,MATCH(order_items!$D$1,products!$A$1:$F$1,0),FALSE)</f>
        <v>Electra Girl's Hawaii 1 (20-inch) - 2015/2016</v>
      </c>
      <c r="E660">
        <f>VLOOKUP($C660,products!$A$1:$F$322,MATCH(order_items!$E$1,products!$A$1:$F$1,0),FALSE)</f>
        <v>1</v>
      </c>
      <c r="F660" t="str">
        <f>VLOOKUP($E660,categories!$A$1:$B$8,MATCH(order_items!$F$1,categories!$A$1:$B$1,0),FALSE)</f>
        <v>Children Bicycles</v>
      </c>
      <c r="G660">
        <v>1</v>
      </c>
      <c r="H660">
        <v>299.99</v>
      </c>
      <c r="I660" s="5">
        <v>0.1</v>
      </c>
      <c r="J660">
        <f t="shared" si="20"/>
        <v>269.99100000000004</v>
      </c>
      <c r="K660" s="9">
        <f t="shared" si="21"/>
        <v>-0.67476028104499197</v>
      </c>
    </row>
    <row r="661" spans="1:11" x14ac:dyDescent="0.3">
      <c r="A661">
        <v>235</v>
      </c>
      <c r="B661">
        <v>1</v>
      </c>
      <c r="C661">
        <v>6</v>
      </c>
      <c r="D661" t="str">
        <f>VLOOKUP($C661,products!$A$1:$F$322,MATCH(order_items!$D$1,products!$A$1:$F$1,0),FALSE)</f>
        <v>Surly Ice Cream Truck Frameset - 2016</v>
      </c>
      <c r="E661">
        <f>VLOOKUP($C661,products!$A$1:$F$322,MATCH(order_items!$E$1,products!$A$1:$F$1,0),FALSE)</f>
        <v>6</v>
      </c>
      <c r="F661" t="str">
        <f>VLOOKUP($E661,categories!$A$1:$B$8,MATCH(order_items!$F$1,categories!$A$1:$B$1,0),FALSE)</f>
        <v>Mountain Bikes</v>
      </c>
      <c r="G661">
        <v>1</v>
      </c>
      <c r="H661">
        <v>469.99</v>
      </c>
      <c r="I661" s="5">
        <v>7.0000000000000007E-2</v>
      </c>
      <c r="J661">
        <f t="shared" si="20"/>
        <v>437.09069999999997</v>
      </c>
      <c r="K661" s="9">
        <f t="shared" si="21"/>
        <v>-0.5490815238530955</v>
      </c>
    </row>
    <row r="662" spans="1:11" x14ac:dyDescent="0.3">
      <c r="A662">
        <v>235</v>
      </c>
      <c r="B662">
        <v>2</v>
      </c>
      <c r="C662">
        <v>13</v>
      </c>
      <c r="D662" t="str">
        <f>VLOOKUP($C662,products!$A$1:$F$322,MATCH(order_items!$D$1,products!$A$1:$F$1,0),FALSE)</f>
        <v>Electra Cruiser 1 (24-Inch) - 2016</v>
      </c>
      <c r="E662">
        <f>VLOOKUP($C662,products!$A$1:$F$322,MATCH(order_items!$E$1,products!$A$1:$F$1,0),FALSE)</f>
        <v>3</v>
      </c>
      <c r="F662" t="str">
        <f>VLOOKUP($E662,categories!$A$1:$B$8,MATCH(order_items!$F$1,categories!$A$1:$B$1,0),FALSE)</f>
        <v>Cruisers Bicycles</v>
      </c>
      <c r="G662">
        <v>2</v>
      </c>
      <c r="H662">
        <v>269.99</v>
      </c>
      <c r="I662" s="5">
        <v>0.05</v>
      </c>
      <c r="J662">
        <f t="shared" si="20"/>
        <v>512.98099999999999</v>
      </c>
      <c r="K662" s="9">
        <f t="shared" si="21"/>
        <v>-0.69693888525532666</v>
      </c>
    </row>
    <row r="663" spans="1:11" x14ac:dyDescent="0.3">
      <c r="A663">
        <v>235</v>
      </c>
      <c r="B663">
        <v>3</v>
      </c>
      <c r="C663">
        <v>7</v>
      </c>
      <c r="D663" t="str">
        <f>VLOOKUP($C663,products!$A$1:$F$322,MATCH(order_items!$D$1,products!$A$1:$F$1,0),FALSE)</f>
        <v>Trek Slash 8 27.5 - 2016</v>
      </c>
      <c r="E663">
        <f>VLOOKUP($C663,products!$A$1:$F$322,MATCH(order_items!$E$1,products!$A$1:$F$1,0),FALSE)</f>
        <v>6</v>
      </c>
      <c r="F663" t="str">
        <f>VLOOKUP($E663,categories!$A$1:$B$8,MATCH(order_items!$F$1,categories!$A$1:$B$1,0),FALSE)</f>
        <v>Mountain Bikes</v>
      </c>
      <c r="G663">
        <v>2</v>
      </c>
      <c r="H663">
        <v>3999.99</v>
      </c>
      <c r="I663" s="5">
        <v>0.05</v>
      </c>
      <c r="J663">
        <f t="shared" si="20"/>
        <v>7599.9809999999989</v>
      </c>
      <c r="K663" s="9">
        <f t="shared" si="21"/>
        <v>2.0606009048962846</v>
      </c>
    </row>
    <row r="664" spans="1:11" x14ac:dyDescent="0.3">
      <c r="A664">
        <v>236</v>
      </c>
      <c r="B664">
        <v>1</v>
      </c>
      <c r="C664">
        <v>3</v>
      </c>
      <c r="D664" t="str">
        <f>VLOOKUP($C664,products!$A$1:$F$322,MATCH(order_items!$D$1,products!$A$1:$F$1,0),FALSE)</f>
        <v>Surly Wednesday Frameset - 2016</v>
      </c>
      <c r="E664">
        <f>VLOOKUP($C664,products!$A$1:$F$322,MATCH(order_items!$E$1,products!$A$1:$F$1,0),FALSE)</f>
        <v>6</v>
      </c>
      <c r="F664" t="str">
        <f>VLOOKUP($E664,categories!$A$1:$B$8,MATCH(order_items!$F$1,categories!$A$1:$B$1,0),FALSE)</f>
        <v>Mountain Bikes</v>
      </c>
      <c r="G664">
        <v>2</v>
      </c>
      <c r="H664">
        <v>999.99</v>
      </c>
      <c r="I664" s="5">
        <v>7.0000000000000007E-2</v>
      </c>
      <c r="J664">
        <f t="shared" si="20"/>
        <v>1859.9813999999999</v>
      </c>
      <c r="K664" s="9">
        <f t="shared" si="21"/>
        <v>-0.15725951613718298</v>
      </c>
    </row>
    <row r="665" spans="1:11" x14ac:dyDescent="0.3">
      <c r="A665">
        <v>236</v>
      </c>
      <c r="B665">
        <v>2</v>
      </c>
      <c r="C665">
        <v>2</v>
      </c>
      <c r="D665" t="str">
        <f>VLOOKUP($C665,products!$A$1:$F$322,MATCH(order_items!$D$1,products!$A$1:$F$1,0),FALSE)</f>
        <v>Ritchey Timberwolf Frameset - 2016</v>
      </c>
      <c r="E665">
        <f>VLOOKUP($C665,products!$A$1:$F$322,MATCH(order_items!$E$1,products!$A$1:$F$1,0),FALSE)</f>
        <v>6</v>
      </c>
      <c r="F665" t="str">
        <f>VLOOKUP($E665,categories!$A$1:$B$8,MATCH(order_items!$F$1,categories!$A$1:$B$1,0),FALSE)</f>
        <v>Mountain Bikes</v>
      </c>
      <c r="G665">
        <v>2</v>
      </c>
      <c r="H665">
        <v>749.99</v>
      </c>
      <c r="I665" s="5">
        <v>0.1</v>
      </c>
      <c r="J665">
        <f t="shared" si="20"/>
        <v>1349.982</v>
      </c>
      <c r="K665" s="9">
        <f t="shared" si="21"/>
        <v>-0.34208121788997192</v>
      </c>
    </row>
    <row r="666" spans="1:11" x14ac:dyDescent="0.3">
      <c r="A666">
        <v>236</v>
      </c>
      <c r="B666">
        <v>3</v>
      </c>
      <c r="C666">
        <v>4</v>
      </c>
      <c r="D666" t="str">
        <f>VLOOKUP($C666,products!$A$1:$F$322,MATCH(order_items!$D$1,products!$A$1:$F$1,0),FALSE)</f>
        <v>Trek Fuel EX 8 29 - 2016</v>
      </c>
      <c r="E666">
        <f>VLOOKUP($C666,products!$A$1:$F$322,MATCH(order_items!$E$1,products!$A$1:$F$1,0),FALSE)</f>
        <v>6</v>
      </c>
      <c r="F666" t="str">
        <f>VLOOKUP($E666,categories!$A$1:$B$8,MATCH(order_items!$F$1,categories!$A$1:$B$1,0),FALSE)</f>
        <v>Mountain Bikes</v>
      </c>
      <c r="G666">
        <v>2</v>
      </c>
      <c r="H666">
        <v>2899.99</v>
      </c>
      <c r="I666" s="5">
        <v>0.1</v>
      </c>
      <c r="J666">
        <f t="shared" si="20"/>
        <v>5219.982</v>
      </c>
      <c r="K666" s="9">
        <f t="shared" si="21"/>
        <v>1.2473854171840129</v>
      </c>
    </row>
    <row r="667" spans="1:11" x14ac:dyDescent="0.3">
      <c r="A667">
        <v>237</v>
      </c>
      <c r="B667">
        <v>1</v>
      </c>
      <c r="C667">
        <v>15</v>
      </c>
      <c r="D667" t="str">
        <f>VLOOKUP($C667,products!$A$1:$F$322,MATCH(order_items!$D$1,products!$A$1:$F$1,0),FALSE)</f>
        <v>Electra Moto 1 - 2016</v>
      </c>
      <c r="E667">
        <f>VLOOKUP($C667,products!$A$1:$F$322,MATCH(order_items!$E$1,products!$A$1:$F$1,0),FALSE)</f>
        <v>3</v>
      </c>
      <c r="F667" t="str">
        <f>VLOOKUP($E667,categories!$A$1:$B$8,MATCH(order_items!$F$1,categories!$A$1:$B$1,0),FALSE)</f>
        <v>Cruisers Bicycles</v>
      </c>
      <c r="G667">
        <v>1</v>
      </c>
      <c r="H667">
        <v>529.99</v>
      </c>
      <c r="I667" s="5">
        <v>0.2</v>
      </c>
      <c r="J667">
        <f t="shared" si="20"/>
        <v>423.99200000000002</v>
      </c>
      <c r="K667" s="9">
        <f t="shared" si="21"/>
        <v>-0.50472431543242624</v>
      </c>
    </row>
    <row r="668" spans="1:11" x14ac:dyDescent="0.3">
      <c r="A668">
        <v>237</v>
      </c>
      <c r="B668">
        <v>2</v>
      </c>
      <c r="C668">
        <v>24</v>
      </c>
      <c r="D668" t="str">
        <f>VLOOKUP($C668,products!$A$1:$F$322,MATCH(order_items!$D$1,products!$A$1:$F$1,0),FALSE)</f>
        <v>Electra Townie Original 21D - 2016</v>
      </c>
      <c r="E668">
        <f>VLOOKUP($C668,products!$A$1:$F$322,MATCH(order_items!$E$1,products!$A$1:$F$1,0),FALSE)</f>
        <v>2</v>
      </c>
      <c r="F668" t="str">
        <f>VLOOKUP($E668,categories!$A$1:$B$8,MATCH(order_items!$F$1,categories!$A$1:$B$1,0),FALSE)</f>
        <v>Comfort Bicycles</v>
      </c>
      <c r="G668">
        <v>1</v>
      </c>
      <c r="H668">
        <v>549.99</v>
      </c>
      <c r="I668" s="5">
        <v>7.0000000000000007E-2</v>
      </c>
      <c r="J668">
        <f t="shared" si="20"/>
        <v>511.49069999999995</v>
      </c>
      <c r="K668" s="9">
        <f t="shared" si="21"/>
        <v>-0.48993857929220308</v>
      </c>
    </row>
    <row r="669" spans="1:11" x14ac:dyDescent="0.3">
      <c r="A669">
        <v>237</v>
      </c>
      <c r="B669">
        <v>3</v>
      </c>
      <c r="C669">
        <v>20</v>
      </c>
      <c r="D669" t="str">
        <f>VLOOKUP($C669,products!$A$1:$F$322,MATCH(order_items!$D$1,products!$A$1:$F$1,0),FALSE)</f>
        <v>Electra Townie Original 7D EQ - Women's - 2016</v>
      </c>
      <c r="E669">
        <f>VLOOKUP($C669,products!$A$1:$F$322,MATCH(order_items!$E$1,products!$A$1:$F$1,0),FALSE)</f>
        <v>3</v>
      </c>
      <c r="F669" t="str">
        <f>VLOOKUP($E669,categories!$A$1:$B$8,MATCH(order_items!$F$1,categories!$A$1:$B$1,0),FALSE)</f>
        <v>Cruisers Bicycles</v>
      </c>
      <c r="G669">
        <v>2</v>
      </c>
      <c r="H669">
        <v>599.99</v>
      </c>
      <c r="I669" s="5">
        <v>0.2</v>
      </c>
      <c r="J669">
        <f t="shared" si="20"/>
        <v>959.98400000000004</v>
      </c>
      <c r="K669" s="9">
        <f t="shared" si="21"/>
        <v>-0.45297423894164529</v>
      </c>
    </row>
    <row r="670" spans="1:11" x14ac:dyDescent="0.3">
      <c r="A670">
        <v>237</v>
      </c>
      <c r="B670">
        <v>4</v>
      </c>
      <c r="C670">
        <v>26</v>
      </c>
      <c r="D670" t="str">
        <f>VLOOKUP($C670,products!$A$1:$F$322,MATCH(order_items!$D$1,products!$A$1:$F$1,0),FALSE)</f>
        <v>Electra Townie Original 7D EQ - 2016</v>
      </c>
      <c r="E670">
        <f>VLOOKUP($C670,products!$A$1:$F$322,MATCH(order_items!$E$1,products!$A$1:$F$1,0),FALSE)</f>
        <v>2</v>
      </c>
      <c r="F670" t="str">
        <f>VLOOKUP($E670,categories!$A$1:$B$8,MATCH(order_items!$F$1,categories!$A$1:$B$1,0),FALSE)</f>
        <v>Comfort Bicycles</v>
      </c>
      <c r="G670">
        <v>1</v>
      </c>
      <c r="H670">
        <v>599.99</v>
      </c>
      <c r="I670" s="5">
        <v>0.05</v>
      </c>
      <c r="J670">
        <f t="shared" si="20"/>
        <v>569.9905</v>
      </c>
      <c r="K670" s="9">
        <f t="shared" si="21"/>
        <v>-0.45297423894164529</v>
      </c>
    </row>
    <row r="671" spans="1:11" x14ac:dyDescent="0.3">
      <c r="A671">
        <v>238</v>
      </c>
      <c r="B671">
        <v>1</v>
      </c>
      <c r="C671">
        <v>20</v>
      </c>
      <c r="D671" t="str">
        <f>VLOOKUP($C671,products!$A$1:$F$322,MATCH(order_items!$D$1,products!$A$1:$F$1,0),FALSE)</f>
        <v>Electra Townie Original 7D EQ - Women's - 2016</v>
      </c>
      <c r="E671">
        <f>VLOOKUP($C671,products!$A$1:$F$322,MATCH(order_items!$E$1,products!$A$1:$F$1,0),FALSE)</f>
        <v>3</v>
      </c>
      <c r="F671" t="str">
        <f>VLOOKUP($E671,categories!$A$1:$B$8,MATCH(order_items!$F$1,categories!$A$1:$B$1,0),FALSE)</f>
        <v>Cruisers Bicycles</v>
      </c>
      <c r="G671">
        <v>2</v>
      </c>
      <c r="H671">
        <v>599.99</v>
      </c>
      <c r="I671" s="5">
        <v>0.2</v>
      </c>
      <c r="J671">
        <f t="shared" si="20"/>
        <v>959.98400000000004</v>
      </c>
      <c r="K671" s="9">
        <f t="shared" si="21"/>
        <v>-0.45297423894164529</v>
      </c>
    </row>
    <row r="672" spans="1:11" x14ac:dyDescent="0.3">
      <c r="A672">
        <v>238</v>
      </c>
      <c r="B672">
        <v>2</v>
      </c>
      <c r="C672">
        <v>25</v>
      </c>
      <c r="D672" t="str">
        <f>VLOOKUP($C672,products!$A$1:$F$322,MATCH(order_items!$D$1,products!$A$1:$F$1,0),FALSE)</f>
        <v>Electra Townie Original 7D - 2015/2016</v>
      </c>
      <c r="E672">
        <f>VLOOKUP($C672,products!$A$1:$F$322,MATCH(order_items!$E$1,products!$A$1:$F$1,0),FALSE)</f>
        <v>2</v>
      </c>
      <c r="F672" t="str">
        <f>VLOOKUP($E672,categories!$A$1:$B$8,MATCH(order_items!$F$1,categories!$A$1:$B$1,0),FALSE)</f>
        <v>Comfort Bicycles</v>
      </c>
      <c r="G672">
        <v>1</v>
      </c>
      <c r="H672">
        <v>499.99</v>
      </c>
      <c r="I672" s="5">
        <v>7.0000000000000007E-2</v>
      </c>
      <c r="J672">
        <f t="shared" si="20"/>
        <v>464.9907</v>
      </c>
      <c r="K672" s="9">
        <f t="shared" si="21"/>
        <v>-0.52690291964276081</v>
      </c>
    </row>
    <row r="673" spans="1:11" x14ac:dyDescent="0.3">
      <c r="A673">
        <v>238</v>
      </c>
      <c r="B673">
        <v>3</v>
      </c>
      <c r="C673">
        <v>13</v>
      </c>
      <c r="D673" t="str">
        <f>VLOOKUP($C673,products!$A$1:$F$322,MATCH(order_items!$D$1,products!$A$1:$F$1,0),FALSE)</f>
        <v>Electra Cruiser 1 (24-Inch) - 2016</v>
      </c>
      <c r="E673">
        <f>VLOOKUP($C673,products!$A$1:$F$322,MATCH(order_items!$E$1,products!$A$1:$F$1,0),FALSE)</f>
        <v>3</v>
      </c>
      <c r="F673" t="str">
        <f>VLOOKUP($E673,categories!$A$1:$B$8,MATCH(order_items!$F$1,categories!$A$1:$B$1,0),FALSE)</f>
        <v>Cruisers Bicycles</v>
      </c>
      <c r="G673">
        <v>2</v>
      </c>
      <c r="H673">
        <v>269.99</v>
      </c>
      <c r="I673" s="5">
        <v>0.2</v>
      </c>
      <c r="J673">
        <f t="shared" si="20"/>
        <v>431.98400000000004</v>
      </c>
      <c r="K673" s="9">
        <f t="shared" si="21"/>
        <v>-0.69693888525532666</v>
      </c>
    </row>
    <row r="674" spans="1:11" x14ac:dyDescent="0.3">
      <c r="A674">
        <v>238</v>
      </c>
      <c r="B674">
        <v>4</v>
      </c>
      <c r="C674">
        <v>22</v>
      </c>
      <c r="D674" t="str">
        <f>VLOOKUP($C674,products!$A$1:$F$322,MATCH(order_items!$D$1,products!$A$1:$F$1,0),FALSE)</f>
        <v>Electra Girl's Hawaii 1 (16-inch) - 2015/2016</v>
      </c>
      <c r="E674">
        <f>VLOOKUP($C674,products!$A$1:$F$322,MATCH(order_items!$E$1,products!$A$1:$F$1,0),FALSE)</f>
        <v>1</v>
      </c>
      <c r="F674" t="str">
        <f>VLOOKUP($E674,categories!$A$1:$B$8,MATCH(order_items!$F$1,categories!$A$1:$B$1,0),FALSE)</f>
        <v>Children Bicycles</v>
      </c>
      <c r="G674">
        <v>2</v>
      </c>
      <c r="H674">
        <v>269.99</v>
      </c>
      <c r="I674" s="5">
        <v>0.05</v>
      </c>
      <c r="J674">
        <f t="shared" si="20"/>
        <v>512.98099999999999</v>
      </c>
      <c r="K674" s="9">
        <f t="shared" si="21"/>
        <v>-0.69693888525532666</v>
      </c>
    </row>
    <row r="675" spans="1:11" x14ac:dyDescent="0.3">
      <c r="A675">
        <v>238</v>
      </c>
      <c r="B675">
        <v>5</v>
      </c>
      <c r="C675">
        <v>7</v>
      </c>
      <c r="D675" t="str">
        <f>VLOOKUP($C675,products!$A$1:$F$322,MATCH(order_items!$D$1,products!$A$1:$F$1,0),FALSE)</f>
        <v>Trek Slash 8 27.5 - 2016</v>
      </c>
      <c r="E675">
        <f>VLOOKUP($C675,products!$A$1:$F$322,MATCH(order_items!$E$1,products!$A$1:$F$1,0),FALSE)</f>
        <v>6</v>
      </c>
      <c r="F675" t="str">
        <f>VLOOKUP($E675,categories!$A$1:$B$8,MATCH(order_items!$F$1,categories!$A$1:$B$1,0),FALSE)</f>
        <v>Mountain Bikes</v>
      </c>
      <c r="G675">
        <v>1</v>
      </c>
      <c r="H675">
        <v>3999.99</v>
      </c>
      <c r="I675" s="5">
        <v>7.0000000000000007E-2</v>
      </c>
      <c r="J675">
        <f t="shared" si="20"/>
        <v>3719.9906999999994</v>
      </c>
      <c r="K675" s="9">
        <f t="shared" si="21"/>
        <v>2.0606009048962846</v>
      </c>
    </row>
    <row r="676" spans="1:11" x14ac:dyDescent="0.3">
      <c r="A676">
        <v>239</v>
      </c>
      <c r="B676">
        <v>1</v>
      </c>
      <c r="C676">
        <v>16</v>
      </c>
      <c r="D676" t="str">
        <f>VLOOKUP($C676,products!$A$1:$F$322,MATCH(order_items!$D$1,products!$A$1:$F$1,0),FALSE)</f>
        <v>Electra Townie Original 7D EQ - 2016</v>
      </c>
      <c r="E676">
        <f>VLOOKUP($C676,products!$A$1:$F$322,MATCH(order_items!$E$1,products!$A$1:$F$1,0),FALSE)</f>
        <v>3</v>
      </c>
      <c r="F676" t="str">
        <f>VLOOKUP($E676,categories!$A$1:$B$8,MATCH(order_items!$F$1,categories!$A$1:$B$1,0),FALSE)</f>
        <v>Cruisers Bicycles</v>
      </c>
      <c r="G676">
        <v>2</v>
      </c>
      <c r="H676">
        <v>599.99</v>
      </c>
      <c r="I676" s="5">
        <v>0.1</v>
      </c>
      <c r="J676">
        <f t="shared" si="20"/>
        <v>1079.982</v>
      </c>
      <c r="K676" s="9">
        <f t="shared" si="21"/>
        <v>-0.45297423894164529</v>
      </c>
    </row>
    <row r="677" spans="1:11" x14ac:dyDescent="0.3">
      <c r="A677">
        <v>239</v>
      </c>
      <c r="B677">
        <v>2</v>
      </c>
      <c r="C677">
        <v>21</v>
      </c>
      <c r="D677" t="str">
        <f>VLOOKUP($C677,products!$A$1:$F$322,MATCH(order_items!$D$1,products!$A$1:$F$1,0),FALSE)</f>
        <v>Electra Cruiser 1 (24-Inch) - 2016</v>
      </c>
      <c r="E677">
        <f>VLOOKUP($C677,products!$A$1:$F$322,MATCH(order_items!$E$1,products!$A$1:$F$1,0),FALSE)</f>
        <v>1</v>
      </c>
      <c r="F677" t="str">
        <f>VLOOKUP($E677,categories!$A$1:$B$8,MATCH(order_items!$F$1,categories!$A$1:$B$1,0),FALSE)</f>
        <v>Children Bicycles</v>
      </c>
      <c r="G677">
        <v>2</v>
      </c>
      <c r="H677">
        <v>269.99</v>
      </c>
      <c r="I677" s="5">
        <v>0.05</v>
      </c>
      <c r="J677">
        <f t="shared" si="20"/>
        <v>512.98099999999999</v>
      </c>
      <c r="K677" s="9">
        <f t="shared" si="21"/>
        <v>-0.69693888525532666</v>
      </c>
    </row>
    <row r="678" spans="1:11" x14ac:dyDescent="0.3">
      <c r="A678">
        <v>239</v>
      </c>
      <c r="B678">
        <v>3</v>
      </c>
      <c r="C678">
        <v>18</v>
      </c>
      <c r="D678" t="str">
        <f>VLOOKUP($C678,products!$A$1:$F$322,MATCH(order_items!$D$1,products!$A$1:$F$1,0),FALSE)</f>
        <v>Pure Cycles Western 3-Speed - Women's - 2015/2016</v>
      </c>
      <c r="E678">
        <f>VLOOKUP($C678,products!$A$1:$F$322,MATCH(order_items!$E$1,products!$A$1:$F$1,0),FALSE)</f>
        <v>3</v>
      </c>
      <c r="F678" t="str">
        <f>VLOOKUP($E678,categories!$A$1:$B$8,MATCH(order_items!$F$1,categories!$A$1:$B$1,0),FALSE)</f>
        <v>Cruisers Bicycles</v>
      </c>
      <c r="G678">
        <v>1</v>
      </c>
      <c r="H678">
        <v>449</v>
      </c>
      <c r="I678" s="5">
        <v>7.0000000000000007E-2</v>
      </c>
      <c r="J678">
        <f t="shared" si="20"/>
        <v>417.57</v>
      </c>
      <c r="K678" s="9">
        <f t="shared" si="21"/>
        <v>-0.56459915393225968</v>
      </c>
    </row>
    <row r="679" spans="1:11" x14ac:dyDescent="0.3">
      <c r="A679">
        <v>239</v>
      </c>
      <c r="B679">
        <v>4</v>
      </c>
      <c r="C679">
        <v>4</v>
      </c>
      <c r="D679" t="str">
        <f>VLOOKUP($C679,products!$A$1:$F$322,MATCH(order_items!$D$1,products!$A$1:$F$1,0),FALSE)</f>
        <v>Trek Fuel EX 8 29 - 2016</v>
      </c>
      <c r="E679">
        <f>VLOOKUP($C679,products!$A$1:$F$322,MATCH(order_items!$E$1,products!$A$1:$F$1,0),FALSE)</f>
        <v>6</v>
      </c>
      <c r="F679" t="str">
        <f>VLOOKUP($E679,categories!$A$1:$B$8,MATCH(order_items!$F$1,categories!$A$1:$B$1,0),FALSE)</f>
        <v>Mountain Bikes</v>
      </c>
      <c r="G679">
        <v>2</v>
      </c>
      <c r="H679">
        <v>2899.99</v>
      </c>
      <c r="I679" s="5">
        <v>7.0000000000000007E-2</v>
      </c>
      <c r="J679">
        <f t="shared" si="20"/>
        <v>5393.9813999999997</v>
      </c>
      <c r="K679" s="9">
        <f t="shared" si="21"/>
        <v>1.2473854171840129</v>
      </c>
    </row>
    <row r="680" spans="1:11" x14ac:dyDescent="0.3">
      <c r="A680">
        <v>240</v>
      </c>
      <c r="B680">
        <v>1</v>
      </c>
      <c r="C680">
        <v>9</v>
      </c>
      <c r="D680" t="str">
        <f>VLOOKUP($C680,products!$A$1:$F$322,MATCH(order_items!$D$1,products!$A$1:$F$1,0),FALSE)</f>
        <v>Trek Conduit+ - 2016</v>
      </c>
      <c r="E680">
        <f>VLOOKUP($C680,products!$A$1:$F$322,MATCH(order_items!$E$1,products!$A$1:$F$1,0),FALSE)</f>
        <v>5</v>
      </c>
      <c r="F680" t="str">
        <f>VLOOKUP($E680,categories!$A$1:$B$8,MATCH(order_items!$F$1,categories!$A$1:$B$1,0),FALSE)</f>
        <v>Electric Bikes</v>
      </c>
      <c r="G680">
        <v>1</v>
      </c>
      <c r="H680">
        <v>2999.99</v>
      </c>
      <c r="I680" s="5">
        <v>7.0000000000000007E-2</v>
      </c>
      <c r="J680">
        <f t="shared" si="20"/>
        <v>2789.9906999999998</v>
      </c>
      <c r="K680" s="9">
        <f t="shared" si="21"/>
        <v>1.3213140978851283</v>
      </c>
    </row>
    <row r="681" spans="1:11" x14ac:dyDescent="0.3">
      <c r="A681">
        <v>240</v>
      </c>
      <c r="B681">
        <v>2</v>
      </c>
      <c r="C681">
        <v>8</v>
      </c>
      <c r="D681" t="str">
        <f>VLOOKUP($C681,products!$A$1:$F$322,MATCH(order_items!$D$1,products!$A$1:$F$1,0),FALSE)</f>
        <v>Trek Remedy 29 Carbon Frameset - 2016</v>
      </c>
      <c r="E681">
        <f>VLOOKUP($C681,products!$A$1:$F$322,MATCH(order_items!$E$1,products!$A$1:$F$1,0),FALSE)</f>
        <v>6</v>
      </c>
      <c r="F681" t="str">
        <f>VLOOKUP($E681,categories!$A$1:$B$8,MATCH(order_items!$F$1,categories!$A$1:$B$1,0),FALSE)</f>
        <v>Mountain Bikes</v>
      </c>
      <c r="G681">
        <v>1</v>
      </c>
      <c r="H681">
        <v>1799.99</v>
      </c>
      <c r="I681" s="5">
        <v>7.0000000000000007E-2</v>
      </c>
      <c r="J681">
        <f t="shared" si="20"/>
        <v>1673.9906999999998</v>
      </c>
      <c r="K681" s="9">
        <f t="shared" si="21"/>
        <v>0.43416992947174166</v>
      </c>
    </row>
    <row r="682" spans="1:11" x14ac:dyDescent="0.3">
      <c r="A682">
        <v>240</v>
      </c>
      <c r="B682">
        <v>3</v>
      </c>
      <c r="C682">
        <v>5</v>
      </c>
      <c r="D682" t="str">
        <f>VLOOKUP($C682,products!$A$1:$F$322,MATCH(order_items!$D$1,products!$A$1:$F$1,0),FALSE)</f>
        <v>Heller Shagamaw Frame - 2016</v>
      </c>
      <c r="E682">
        <f>VLOOKUP($C682,products!$A$1:$F$322,MATCH(order_items!$E$1,products!$A$1:$F$1,0),FALSE)</f>
        <v>6</v>
      </c>
      <c r="F682" t="str">
        <f>VLOOKUP($E682,categories!$A$1:$B$8,MATCH(order_items!$F$1,categories!$A$1:$B$1,0),FALSE)</f>
        <v>Mountain Bikes</v>
      </c>
      <c r="G682">
        <v>1</v>
      </c>
      <c r="H682">
        <v>1320.99</v>
      </c>
      <c r="I682" s="5">
        <v>7.0000000000000007E-2</v>
      </c>
      <c r="J682">
        <f t="shared" si="20"/>
        <v>1228.5207</v>
      </c>
      <c r="K682" s="9">
        <f t="shared" si="21"/>
        <v>8.0051548913398024E-2</v>
      </c>
    </row>
    <row r="683" spans="1:11" x14ac:dyDescent="0.3">
      <c r="A683">
        <v>240</v>
      </c>
      <c r="B683">
        <v>4</v>
      </c>
      <c r="C683">
        <v>18</v>
      </c>
      <c r="D683" t="str">
        <f>VLOOKUP($C683,products!$A$1:$F$322,MATCH(order_items!$D$1,products!$A$1:$F$1,0),FALSE)</f>
        <v>Pure Cycles Western 3-Speed - Women's - 2015/2016</v>
      </c>
      <c r="E683">
        <f>VLOOKUP($C683,products!$A$1:$F$322,MATCH(order_items!$E$1,products!$A$1:$F$1,0),FALSE)</f>
        <v>3</v>
      </c>
      <c r="F683" t="str">
        <f>VLOOKUP($E683,categories!$A$1:$B$8,MATCH(order_items!$F$1,categories!$A$1:$B$1,0),FALSE)</f>
        <v>Cruisers Bicycles</v>
      </c>
      <c r="G683">
        <v>2</v>
      </c>
      <c r="H683">
        <v>449</v>
      </c>
      <c r="I683" s="5">
        <v>7.0000000000000007E-2</v>
      </c>
      <c r="J683">
        <f t="shared" si="20"/>
        <v>835.14</v>
      </c>
      <c r="K683" s="9">
        <f t="shared" si="21"/>
        <v>-0.56459915393225968</v>
      </c>
    </row>
    <row r="684" spans="1:11" x14ac:dyDescent="0.3">
      <c r="A684">
        <v>241</v>
      </c>
      <c r="B684">
        <v>1</v>
      </c>
      <c r="C684">
        <v>7</v>
      </c>
      <c r="D684" t="str">
        <f>VLOOKUP($C684,products!$A$1:$F$322,MATCH(order_items!$D$1,products!$A$1:$F$1,0),FALSE)</f>
        <v>Trek Slash 8 27.5 - 2016</v>
      </c>
      <c r="E684">
        <f>VLOOKUP($C684,products!$A$1:$F$322,MATCH(order_items!$E$1,products!$A$1:$F$1,0),FALSE)</f>
        <v>6</v>
      </c>
      <c r="F684" t="str">
        <f>VLOOKUP($E684,categories!$A$1:$B$8,MATCH(order_items!$F$1,categories!$A$1:$B$1,0),FALSE)</f>
        <v>Mountain Bikes</v>
      </c>
      <c r="G684">
        <v>1</v>
      </c>
      <c r="H684">
        <v>3999.99</v>
      </c>
      <c r="I684" s="5">
        <v>0.2</v>
      </c>
      <c r="J684">
        <f t="shared" si="20"/>
        <v>3199.9920000000002</v>
      </c>
      <c r="K684" s="9">
        <f t="shared" si="21"/>
        <v>2.0606009048962846</v>
      </c>
    </row>
    <row r="685" spans="1:11" x14ac:dyDescent="0.3">
      <c r="A685">
        <v>242</v>
      </c>
      <c r="B685">
        <v>1</v>
      </c>
      <c r="C685">
        <v>3</v>
      </c>
      <c r="D685" t="str">
        <f>VLOOKUP($C685,products!$A$1:$F$322,MATCH(order_items!$D$1,products!$A$1:$F$1,0),FALSE)</f>
        <v>Surly Wednesday Frameset - 2016</v>
      </c>
      <c r="E685">
        <f>VLOOKUP($C685,products!$A$1:$F$322,MATCH(order_items!$E$1,products!$A$1:$F$1,0),FALSE)</f>
        <v>6</v>
      </c>
      <c r="F685" t="str">
        <f>VLOOKUP($E685,categories!$A$1:$B$8,MATCH(order_items!$F$1,categories!$A$1:$B$1,0),FALSE)</f>
        <v>Mountain Bikes</v>
      </c>
      <c r="G685">
        <v>1</v>
      </c>
      <c r="H685">
        <v>999.99</v>
      </c>
      <c r="I685" s="5">
        <v>0.2</v>
      </c>
      <c r="J685">
        <f t="shared" si="20"/>
        <v>799.99200000000008</v>
      </c>
      <c r="K685" s="9">
        <f t="shared" si="21"/>
        <v>-0.15725951613718298</v>
      </c>
    </row>
    <row r="686" spans="1:11" x14ac:dyDescent="0.3">
      <c r="A686">
        <v>243</v>
      </c>
      <c r="B686">
        <v>1</v>
      </c>
      <c r="C686">
        <v>25</v>
      </c>
      <c r="D686" t="str">
        <f>VLOOKUP($C686,products!$A$1:$F$322,MATCH(order_items!$D$1,products!$A$1:$F$1,0),FALSE)</f>
        <v>Electra Townie Original 7D - 2015/2016</v>
      </c>
      <c r="E686">
        <f>VLOOKUP($C686,products!$A$1:$F$322,MATCH(order_items!$E$1,products!$A$1:$F$1,0),FALSE)</f>
        <v>2</v>
      </c>
      <c r="F686" t="str">
        <f>VLOOKUP($E686,categories!$A$1:$B$8,MATCH(order_items!$F$1,categories!$A$1:$B$1,0),FALSE)</f>
        <v>Comfort Bicycles</v>
      </c>
      <c r="G686">
        <v>2</v>
      </c>
      <c r="H686">
        <v>499.99</v>
      </c>
      <c r="I686" s="5">
        <v>0.05</v>
      </c>
      <c r="J686">
        <f t="shared" si="20"/>
        <v>949.98099999999999</v>
      </c>
      <c r="K686" s="9">
        <f t="shared" si="21"/>
        <v>-0.52690291964276081</v>
      </c>
    </row>
    <row r="687" spans="1:11" x14ac:dyDescent="0.3">
      <c r="A687">
        <v>243</v>
      </c>
      <c r="B687">
        <v>2</v>
      </c>
      <c r="C687">
        <v>19</v>
      </c>
      <c r="D687" t="str">
        <f>VLOOKUP($C687,products!$A$1:$F$322,MATCH(order_items!$D$1,products!$A$1:$F$1,0),FALSE)</f>
        <v>Pure Cycles William 3-Speed - 2016</v>
      </c>
      <c r="E687">
        <f>VLOOKUP($C687,products!$A$1:$F$322,MATCH(order_items!$E$1,products!$A$1:$F$1,0),FALSE)</f>
        <v>3</v>
      </c>
      <c r="F687" t="str">
        <f>VLOOKUP($E687,categories!$A$1:$B$8,MATCH(order_items!$F$1,categories!$A$1:$B$1,0),FALSE)</f>
        <v>Cruisers Bicycles</v>
      </c>
      <c r="G687">
        <v>2</v>
      </c>
      <c r="H687">
        <v>449</v>
      </c>
      <c r="I687" s="5">
        <v>7.0000000000000007E-2</v>
      </c>
      <c r="J687">
        <f t="shared" si="20"/>
        <v>835.14</v>
      </c>
      <c r="K687" s="9">
        <f t="shared" si="21"/>
        <v>-0.56459915393225968</v>
      </c>
    </row>
    <row r="688" spans="1:11" x14ac:dyDescent="0.3">
      <c r="A688">
        <v>243</v>
      </c>
      <c r="B688">
        <v>3</v>
      </c>
      <c r="C688">
        <v>7</v>
      </c>
      <c r="D688" t="str">
        <f>VLOOKUP($C688,products!$A$1:$F$322,MATCH(order_items!$D$1,products!$A$1:$F$1,0),FALSE)</f>
        <v>Trek Slash 8 27.5 - 2016</v>
      </c>
      <c r="E688">
        <f>VLOOKUP($C688,products!$A$1:$F$322,MATCH(order_items!$E$1,products!$A$1:$F$1,0),FALSE)</f>
        <v>6</v>
      </c>
      <c r="F688" t="str">
        <f>VLOOKUP($E688,categories!$A$1:$B$8,MATCH(order_items!$F$1,categories!$A$1:$B$1,0),FALSE)</f>
        <v>Mountain Bikes</v>
      </c>
      <c r="G688">
        <v>2</v>
      </c>
      <c r="H688">
        <v>3999.99</v>
      </c>
      <c r="I688" s="5">
        <v>0.05</v>
      </c>
      <c r="J688">
        <f t="shared" si="20"/>
        <v>7599.9809999999989</v>
      </c>
      <c r="K688" s="9">
        <f t="shared" si="21"/>
        <v>2.0606009048962846</v>
      </c>
    </row>
    <row r="689" spans="1:11" x14ac:dyDescent="0.3">
      <c r="A689">
        <v>244</v>
      </c>
      <c r="B689">
        <v>1</v>
      </c>
      <c r="C689">
        <v>19</v>
      </c>
      <c r="D689" t="str">
        <f>VLOOKUP($C689,products!$A$1:$F$322,MATCH(order_items!$D$1,products!$A$1:$F$1,0),FALSE)</f>
        <v>Pure Cycles William 3-Speed - 2016</v>
      </c>
      <c r="E689">
        <f>VLOOKUP($C689,products!$A$1:$F$322,MATCH(order_items!$E$1,products!$A$1:$F$1,0),FALSE)</f>
        <v>3</v>
      </c>
      <c r="F689" t="str">
        <f>VLOOKUP($E689,categories!$A$1:$B$8,MATCH(order_items!$F$1,categories!$A$1:$B$1,0),FALSE)</f>
        <v>Cruisers Bicycles</v>
      </c>
      <c r="G689">
        <v>1</v>
      </c>
      <c r="H689">
        <v>449</v>
      </c>
      <c r="I689" s="5">
        <v>7.0000000000000007E-2</v>
      </c>
      <c r="J689">
        <f t="shared" si="20"/>
        <v>417.57</v>
      </c>
      <c r="K689" s="9">
        <f t="shared" si="21"/>
        <v>-0.56459915393225968</v>
      </c>
    </row>
    <row r="690" spans="1:11" x14ac:dyDescent="0.3">
      <c r="A690">
        <v>244</v>
      </c>
      <c r="B690">
        <v>2</v>
      </c>
      <c r="C690">
        <v>25</v>
      </c>
      <c r="D690" t="str">
        <f>VLOOKUP($C690,products!$A$1:$F$322,MATCH(order_items!$D$1,products!$A$1:$F$1,0),FALSE)</f>
        <v>Electra Townie Original 7D - 2015/2016</v>
      </c>
      <c r="E690">
        <f>VLOOKUP($C690,products!$A$1:$F$322,MATCH(order_items!$E$1,products!$A$1:$F$1,0),FALSE)</f>
        <v>2</v>
      </c>
      <c r="F690" t="str">
        <f>VLOOKUP($E690,categories!$A$1:$B$8,MATCH(order_items!$F$1,categories!$A$1:$B$1,0),FALSE)</f>
        <v>Comfort Bicycles</v>
      </c>
      <c r="G690">
        <v>1</v>
      </c>
      <c r="H690">
        <v>499.99</v>
      </c>
      <c r="I690" s="5">
        <v>0.2</v>
      </c>
      <c r="J690">
        <f t="shared" si="20"/>
        <v>399.99200000000002</v>
      </c>
      <c r="K690" s="9">
        <f t="shared" si="21"/>
        <v>-0.52690291964276081</v>
      </c>
    </row>
    <row r="691" spans="1:11" x14ac:dyDescent="0.3">
      <c r="A691">
        <v>244</v>
      </c>
      <c r="B691">
        <v>3</v>
      </c>
      <c r="C691">
        <v>22</v>
      </c>
      <c r="D691" t="str">
        <f>VLOOKUP($C691,products!$A$1:$F$322,MATCH(order_items!$D$1,products!$A$1:$F$1,0),FALSE)</f>
        <v>Electra Girl's Hawaii 1 (16-inch) - 2015/2016</v>
      </c>
      <c r="E691">
        <f>VLOOKUP($C691,products!$A$1:$F$322,MATCH(order_items!$E$1,products!$A$1:$F$1,0),FALSE)</f>
        <v>1</v>
      </c>
      <c r="F691" t="str">
        <f>VLOOKUP($E691,categories!$A$1:$B$8,MATCH(order_items!$F$1,categories!$A$1:$B$1,0),FALSE)</f>
        <v>Children Bicycles</v>
      </c>
      <c r="G691">
        <v>1</v>
      </c>
      <c r="H691">
        <v>269.99</v>
      </c>
      <c r="I691" s="5">
        <v>0.1</v>
      </c>
      <c r="J691">
        <f t="shared" si="20"/>
        <v>242.99100000000001</v>
      </c>
      <c r="K691" s="9">
        <f t="shared" si="21"/>
        <v>-0.69693888525532666</v>
      </c>
    </row>
    <row r="692" spans="1:11" x14ac:dyDescent="0.3">
      <c r="A692">
        <v>245</v>
      </c>
      <c r="B692">
        <v>1</v>
      </c>
      <c r="C692">
        <v>10</v>
      </c>
      <c r="D692" t="str">
        <f>VLOOKUP($C692,products!$A$1:$F$322,MATCH(order_items!$D$1,products!$A$1:$F$1,0),FALSE)</f>
        <v>Surly Straggler - 2016</v>
      </c>
      <c r="E692">
        <f>VLOOKUP($C692,products!$A$1:$F$322,MATCH(order_items!$E$1,products!$A$1:$F$1,0),FALSE)</f>
        <v>4</v>
      </c>
      <c r="F692" t="str">
        <f>VLOOKUP($E692,categories!$A$1:$B$8,MATCH(order_items!$F$1,categories!$A$1:$B$1,0),FALSE)</f>
        <v>Cyclocross Bicycles</v>
      </c>
      <c r="G692">
        <v>2</v>
      </c>
      <c r="H692">
        <v>1549</v>
      </c>
      <c r="I692" s="5">
        <v>0.05</v>
      </c>
      <c r="J692">
        <f t="shared" si="20"/>
        <v>2943.1</v>
      </c>
      <c r="K692" s="9">
        <f t="shared" si="21"/>
        <v>0.24861633378001166</v>
      </c>
    </row>
    <row r="693" spans="1:11" x14ac:dyDescent="0.3">
      <c r="A693">
        <v>245</v>
      </c>
      <c r="B693">
        <v>2</v>
      </c>
      <c r="C693">
        <v>8</v>
      </c>
      <c r="D693" t="str">
        <f>VLOOKUP($C693,products!$A$1:$F$322,MATCH(order_items!$D$1,products!$A$1:$F$1,0),FALSE)</f>
        <v>Trek Remedy 29 Carbon Frameset - 2016</v>
      </c>
      <c r="E693">
        <f>VLOOKUP($C693,products!$A$1:$F$322,MATCH(order_items!$E$1,products!$A$1:$F$1,0),FALSE)</f>
        <v>6</v>
      </c>
      <c r="F693" t="str">
        <f>VLOOKUP($E693,categories!$A$1:$B$8,MATCH(order_items!$F$1,categories!$A$1:$B$1,0),FALSE)</f>
        <v>Mountain Bikes</v>
      </c>
      <c r="G693">
        <v>1</v>
      </c>
      <c r="H693">
        <v>1799.99</v>
      </c>
      <c r="I693" s="5">
        <v>0.1</v>
      </c>
      <c r="J693">
        <f t="shared" si="20"/>
        <v>1619.991</v>
      </c>
      <c r="K693" s="9">
        <f t="shared" si="21"/>
        <v>0.43416992947174166</v>
      </c>
    </row>
    <row r="694" spans="1:11" x14ac:dyDescent="0.3">
      <c r="A694">
        <v>246</v>
      </c>
      <c r="B694">
        <v>1</v>
      </c>
      <c r="C694">
        <v>17</v>
      </c>
      <c r="D694" t="str">
        <f>VLOOKUP($C694,products!$A$1:$F$322,MATCH(order_items!$D$1,products!$A$1:$F$1,0),FALSE)</f>
        <v>Pure Cycles Vine 8-Speed - 2016</v>
      </c>
      <c r="E694">
        <f>VLOOKUP($C694,products!$A$1:$F$322,MATCH(order_items!$E$1,products!$A$1:$F$1,0),FALSE)</f>
        <v>3</v>
      </c>
      <c r="F694" t="str">
        <f>VLOOKUP($E694,categories!$A$1:$B$8,MATCH(order_items!$F$1,categories!$A$1:$B$1,0),FALSE)</f>
        <v>Cruisers Bicycles</v>
      </c>
      <c r="G694">
        <v>2</v>
      </c>
      <c r="H694">
        <v>429</v>
      </c>
      <c r="I694" s="5">
        <v>0.2</v>
      </c>
      <c r="J694">
        <f t="shared" si="20"/>
        <v>686.40000000000009</v>
      </c>
      <c r="K694" s="9">
        <f t="shared" si="21"/>
        <v>-0.57938489007248284</v>
      </c>
    </row>
    <row r="695" spans="1:11" x14ac:dyDescent="0.3">
      <c r="A695">
        <v>247</v>
      </c>
      <c r="B695">
        <v>1</v>
      </c>
      <c r="C695">
        <v>25</v>
      </c>
      <c r="D695" t="str">
        <f>VLOOKUP($C695,products!$A$1:$F$322,MATCH(order_items!$D$1,products!$A$1:$F$1,0),FALSE)</f>
        <v>Electra Townie Original 7D - 2015/2016</v>
      </c>
      <c r="E695">
        <f>VLOOKUP($C695,products!$A$1:$F$322,MATCH(order_items!$E$1,products!$A$1:$F$1,0),FALSE)</f>
        <v>2</v>
      </c>
      <c r="F695" t="str">
        <f>VLOOKUP($E695,categories!$A$1:$B$8,MATCH(order_items!$F$1,categories!$A$1:$B$1,0),FALSE)</f>
        <v>Comfort Bicycles</v>
      </c>
      <c r="G695">
        <v>1</v>
      </c>
      <c r="H695">
        <v>499.99</v>
      </c>
      <c r="I695" s="5">
        <v>7.0000000000000007E-2</v>
      </c>
      <c r="J695">
        <f t="shared" si="20"/>
        <v>464.9907</v>
      </c>
      <c r="K695" s="9">
        <f t="shared" si="21"/>
        <v>-0.52690291964276081</v>
      </c>
    </row>
    <row r="696" spans="1:11" x14ac:dyDescent="0.3">
      <c r="A696">
        <v>247</v>
      </c>
      <c r="B696">
        <v>2</v>
      </c>
      <c r="C696">
        <v>3</v>
      </c>
      <c r="D696" t="str">
        <f>VLOOKUP($C696,products!$A$1:$F$322,MATCH(order_items!$D$1,products!$A$1:$F$1,0),FALSE)</f>
        <v>Surly Wednesday Frameset - 2016</v>
      </c>
      <c r="E696">
        <f>VLOOKUP($C696,products!$A$1:$F$322,MATCH(order_items!$E$1,products!$A$1:$F$1,0),FALSE)</f>
        <v>6</v>
      </c>
      <c r="F696" t="str">
        <f>VLOOKUP($E696,categories!$A$1:$B$8,MATCH(order_items!$F$1,categories!$A$1:$B$1,0),FALSE)</f>
        <v>Mountain Bikes</v>
      </c>
      <c r="G696">
        <v>1</v>
      </c>
      <c r="H696">
        <v>999.99</v>
      </c>
      <c r="I696" s="5">
        <v>0.2</v>
      </c>
      <c r="J696">
        <f t="shared" si="20"/>
        <v>799.99200000000008</v>
      </c>
      <c r="K696" s="9">
        <f t="shared" si="21"/>
        <v>-0.15725951613718298</v>
      </c>
    </row>
    <row r="697" spans="1:11" x14ac:dyDescent="0.3">
      <c r="A697">
        <v>248</v>
      </c>
      <c r="B697">
        <v>1</v>
      </c>
      <c r="C697">
        <v>13</v>
      </c>
      <c r="D697" t="str">
        <f>VLOOKUP($C697,products!$A$1:$F$322,MATCH(order_items!$D$1,products!$A$1:$F$1,0),FALSE)</f>
        <v>Electra Cruiser 1 (24-Inch) - 2016</v>
      </c>
      <c r="E697">
        <f>VLOOKUP($C697,products!$A$1:$F$322,MATCH(order_items!$E$1,products!$A$1:$F$1,0),FALSE)</f>
        <v>3</v>
      </c>
      <c r="F697" t="str">
        <f>VLOOKUP($E697,categories!$A$1:$B$8,MATCH(order_items!$F$1,categories!$A$1:$B$1,0),FALSE)</f>
        <v>Cruisers Bicycles</v>
      </c>
      <c r="G697">
        <v>1</v>
      </c>
      <c r="H697">
        <v>269.99</v>
      </c>
      <c r="I697" s="5">
        <v>0.1</v>
      </c>
      <c r="J697">
        <f t="shared" si="20"/>
        <v>242.99100000000001</v>
      </c>
      <c r="K697" s="9">
        <f t="shared" si="21"/>
        <v>-0.69693888525532666</v>
      </c>
    </row>
    <row r="698" spans="1:11" x14ac:dyDescent="0.3">
      <c r="A698">
        <v>248</v>
      </c>
      <c r="B698">
        <v>2</v>
      </c>
      <c r="C698">
        <v>26</v>
      </c>
      <c r="D698" t="str">
        <f>VLOOKUP($C698,products!$A$1:$F$322,MATCH(order_items!$D$1,products!$A$1:$F$1,0),FALSE)</f>
        <v>Electra Townie Original 7D EQ - 2016</v>
      </c>
      <c r="E698">
        <f>VLOOKUP($C698,products!$A$1:$F$322,MATCH(order_items!$E$1,products!$A$1:$F$1,0),FALSE)</f>
        <v>2</v>
      </c>
      <c r="F698" t="str">
        <f>VLOOKUP($E698,categories!$A$1:$B$8,MATCH(order_items!$F$1,categories!$A$1:$B$1,0),FALSE)</f>
        <v>Comfort Bicycles</v>
      </c>
      <c r="G698">
        <v>2</v>
      </c>
      <c r="H698">
        <v>599.99</v>
      </c>
      <c r="I698" s="5">
        <v>0.1</v>
      </c>
      <c r="J698">
        <f t="shared" si="20"/>
        <v>1079.982</v>
      </c>
      <c r="K698" s="9">
        <f t="shared" si="21"/>
        <v>-0.45297423894164529</v>
      </c>
    </row>
    <row r="699" spans="1:11" x14ac:dyDescent="0.3">
      <c r="A699">
        <v>248</v>
      </c>
      <c r="B699">
        <v>3</v>
      </c>
      <c r="C699">
        <v>17</v>
      </c>
      <c r="D699" t="str">
        <f>VLOOKUP($C699,products!$A$1:$F$322,MATCH(order_items!$D$1,products!$A$1:$F$1,0),FALSE)</f>
        <v>Pure Cycles Vine 8-Speed - 2016</v>
      </c>
      <c r="E699">
        <f>VLOOKUP($C699,products!$A$1:$F$322,MATCH(order_items!$E$1,products!$A$1:$F$1,0),FALSE)</f>
        <v>3</v>
      </c>
      <c r="F699" t="str">
        <f>VLOOKUP($E699,categories!$A$1:$B$8,MATCH(order_items!$F$1,categories!$A$1:$B$1,0),FALSE)</f>
        <v>Cruisers Bicycles</v>
      </c>
      <c r="G699">
        <v>1</v>
      </c>
      <c r="H699">
        <v>429</v>
      </c>
      <c r="I699" s="5">
        <v>0.1</v>
      </c>
      <c r="J699">
        <f t="shared" si="20"/>
        <v>386.1</v>
      </c>
      <c r="K699" s="9">
        <f t="shared" si="21"/>
        <v>-0.57938489007248284</v>
      </c>
    </row>
    <row r="700" spans="1:11" x14ac:dyDescent="0.3">
      <c r="A700">
        <v>248</v>
      </c>
      <c r="B700">
        <v>4</v>
      </c>
      <c r="C700">
        <v>9</v>
      </c>
      <c r="D700" t="str">
        <f>VLOOKUP($C700,products!$A$1:$F$322,MATCH(order_items!$D$1,products!$A$1:$F$1,0),FALSE)</f>
        <v>Trek Conduit+ - 2016</v>
      </c>
      <c r="E700">
        <f>VLOOKUP($C700,products!$A$1:$F$322,MATCH(order_items!$E$1,products!$A$1:$F$1,0),FALSE)</f>
        <v>5</v>
      </c>
      <c r="F700" t="str">
        <f>VLOOKUP($E700,categories!$A$1:$B$8,MATCH(order_items!$F$1,categories!$A$1:$B$1,0),FALSE)</f>
        <v>Electric Bikes</v>
      </c>
      <c r="G700">
        <v>1</v>
      </c>
      <c r="H700">
        <v>2999.99</v>
      </c>
      <c r="I700" s="5">
        <v>0.2</v>
      </c>
      <c r="J700">
        <f t="shared" si="20"/>
        <v>2399.9919999999997</v>
      </c>
      <c r="K700" s="9">
        <f t="shared" si="21"/>
        <v>1.3213140978851283</v>
      </c>
    </row>
    <row r="701" spans="1:11" x14ac:dyDescent="0.3">
      <c r="A701">
        <v>249</v>
      </c>
      <c r="B701">
        <v>1</v>
      </c>
      <c r="C701">
        <v>7</v>
      </c>
      <c r="D701" t="str">
        <f>VLOOKUP($C701,products!$A$1:$F$322,MATCH(order_items!$D$1,products!$A$1:$F$1,0),FALSE)</f>
        <v>Trek Slash 8 27.5 - 2016</v>
      </c>
      <c r="E701">
        <f>VLOOKUP($C701,products!$A$1:$F$322,MATCH(order_items!$E$1,products!$A$1:$F$1,0),FALSE)</f>
        <v>6</v>
      </c>
      <c r="F701" t="str">
        <f>VLOOKUP($E701,categories!$A$1:$B$8,MATCH(order_items!$F$1,categories!$A$1:$B$1,0),FALSE)</f>
        <v>Mountain Bikes</v>
      </c>
      <c r="G701">
        <v>2</v>
      </c>
      <c r="H701">
        <v>3999.99</v>
      </c>
      <c r="I701" s="5">
        <v>0.05</v>
      </c>
      <c r="J701">
        <f t="shared" si="20"/>
        <v>7599.9809999999989</v>
      </c>
      <c r="K701" s="9">
        <f t="shared" si="21"/>
        <v>2.0606009048962846</v>
      </c>
    </row>
    <row r="702" spans="1:11" x14ac:dyDescent="0.3">
      <c r="A702">
        <v>249</v>
      </c>
      <c r="B702">
        <v>2</v>
      </c>
      <c r="C702">
        <v>18</v>
      </c>
      <c r="D702" t="str">
        <f>VLOOKUP($C702,products!$A$1:$F$322,MATCH(order_items!$D$1,products!$A$1:$F$1,0),FALSE)</f>
        <v>Pure Cycles Western 3-Speed - Women's - 2015/2016</v>
      </c>
      <c r="E702">
        <f>VLOOKUP($C702,products!$A$1:$F$322,MATCH(order_items!$E$1,products!$A$1:$F$1,0),FALSE)</f>
        <v>3</v>
      </c>
      <c r="F702" t="str">
        <f>VLOOKUP($E702,categories!$A$1:$B$8,MATCH(order_items!$F$1,categories!$A$1:$B$1,0),FALSE)</f>
        <v>Cruisers Bicycles</v>
      </c>
      <c r="G702">
        <v>2</v>
      </c>
      <c r="H702">
        <v>449</v>
      </c>
      <c r="I702" s="5">
        <v>0.05</v>
      </c>
      <c r="J702">
        <f t="shared" si="20"/>
        <v>853.09999999999991</v>
      </c>
      <c r="K702" s="9">
        <f t="shared" si="21"/>
        <v>-0.56459915393225968</v>
      </c>
    </row>
    <row r="703" spans="1:11" x14ac:dyDescent="0.3">
      <c r="A703">
        <v>249</v>
      </c>
      <c r="B703">
        <v>3</v>
      </c>
      <c r="C703">
        <v>22</v>
      </c>
      <c r="D703" t="str">
        <f>VLOOKUP($C703,products!$A$1:$F$322,MATCH(order_items!$D$1,products!$A$1:$F$1,0),FALSE)</f>
        <v>Electra Girl's Hawaii 1 (16-inch) - 2015/2016</v>
      </c>
      <c r="E703">
        <f>VLOOKUP($C703,products!$A$1:$F$322,MATCH(order_items!$E$1,products!$A$1:$F$1,0),FALSE)</f>
        <v>1</v>
      </c>
      <c r="F703" t="str">
        <f>VLOOKUP($E703,categories!$A$1:$B$8,MATCH(order_items!$F$1,categories!$A$1:$B$1,0),FALSE)</f>
        <v>Children Bicycles</v>
      </c>
      <c r="G703">
        <v>1</v>
      </c>
      <c r="H703">
        <v>269.99</v>
      </c>
      <c r="I703" s="5">
        <v>0.1</v>
      </c>
      <c r="J703">
        <f t="shared" si="20"/>
        <v>242.99100000000001</v>
      </c>
      <c r="K703" s="9">
        <f t="shared" si="21"/>
        <v>-0.69693888525532666</v>
      </c>
    </row>
    <row r="704" spans="1:11" x14ac:dyDescent="0.3">
      <c r="A704">
        <v>250</v>
      </c>
      <c r="B704">
        <v>1</v>
      </c>
      <c r="C704">
        <v>17</v>
      </c>
      <c r="D704" t="str">
        <f>VLOOKUP($C704,products!$A$1:$F$322,MATCH(order_items!$D$1,products!$A$1:$F$1,0),FALSE)</f>
        <v>Pure Cycles Vine 8-Speed - 2016</v>
      </c>
      <c r="E704">
        <f>VLOOKUP($C704,products!$A$1:$F$322,MATCH(order_items!$E$1,products!$A$1:$F$1,0),FALSE)</f>
        <v>3</v>
      </c>
      <c r="F704" t="str">
        <f>VLOOKUP($E704,categories!$A$1:$B$8,MATCH(order_items!$F$1,categories!$A$1:$B$1,0),FALSE)</f>
        <v>Cruisers Bicycles</v>
      </c>
      <c r="G704">
        <v>2</v>
      </c>
      <c r="H704">
        <v>429</v>
      </c>
      <c r="I704" s="5">
        <v>0.05</v>
      </c>
      <c r="J704">
        <f t="shared" si="20"/>
        <v>815.09999999999991</v>
      </c>
      <c r="K704" s="9">
        <f t="shared" si="21"/>
        <v>-0.57938489007248284</v>
      </c>
    </row>
    <row r="705" spans="1:11" x14ac:dyDescent="0.3">
      <c r="A705">
        <v>250</v>
      </c>
      <c r="B705">
        <v>2</v>
      </c>
      <c r="C705">
        <v>11</v>
      </c>
      <c r="D705" t="str">
        <f>VLOOKUP($C705,products!$A$1:$F$322,MATCH(order_items!$D$1,products!$A$1:$F$1,0),FALSE)</f>
        <v>Surly Straggler 650b - 2016</v>
      </c>
      <c r="E705">
        <f>VLOOKUP($C705,products!$A$1:$F$322,MATCH(order_items!$E$1,products!$A$1:$F$1,0),FALSE)</f>
        <v>4</v>
      </c>
      <c r="F705" t="str">
        <f>VLOOKUP($E705,categories!$A$1:$B$8,MATCH(order_items!$F$1,categories!$A$1:$B$1,0),FALSE)</f>
        <v>Cyclocross Bicycles</v>
      </c>
      <c r="G705">
        <v>2</v>
      </c>
      <c r="H705">
        <v>1680.99</v>
      </c>
      <c r="I705" s="5">
        <v>0.1</v>
      </c>
      <c r="J705">
        <f t="shared" si="20"/>
        <v>3025.7820000000002</v>
      </c>
      <c r="K705" s="9">
        <f t="shared" si="21"/>
        <v>0.3461947994374141</v>
      </c>
    </row>
    <row r="706" spans="1:11" x14ac:dyDescent="0.3">
      <c r="A706">
        <v>251</v>
      </c>
      <c r="B706">
        <v>1</v>
      </c>
      <c r="C706">
        <v>23</v>
      </c>
      <c r="D706" t="str">
        <f>VLOOKUP($C706,products!$A$1:$F$322,MATCH(order_items!$D$1,products!$A$1:$F$1,0),FALSE)</f>
        <v>Electra Girl's Hawaii 1 (20-inch) - 2015/2016</v>
      </c>
      <c r="E706">
        <f>VLOOKUP($C706,products!$A$1:$F$322,MATCH(order_items!$E$1,products!$A$1:$F$1,0),FALSE)</f>
        <v>1</v>
      </c>
      <c r="F706" t="str">
        <f>VLOOKUP($E706,categories!$A$1:$B$8,MATCH(order_items!$F$1,categories!$A$1:$B$1,0),FALSE)</f>
        <v>Children Bicycles</v>
      </c>
      <c r="G706">
        <v>2</v>
      </c>
      <c r="H706">
        <v>299.99</v>
      </c>
      <c r="I706" s="5">
        <v>0.2</v>
      </c>
      <c r="J706">
        <f t="shared" ref="J706:J769" si="22">G706*H706*(1-I706)</f>
        <v>479.98400000000004</v>
      </c>
      <c r="K706" s="9">
        <f t="shared" ref="K706:K769" si="23">($H706-$M$7)/$M$9</f>
        <v>-0.67476028104499197</v>
      </c>
    </row>
    <row r="707" spans="1:11" x14ac:dyDescent="0.3">
      <c r="A707">
        <v>251</v>
      </c>
      <c r="B707">
        <v>2</v>
      </c>
      <c r="C707">
        <v>22</v>
      </c>
      <c r="D707" t="str">
        <f>VLOOKUP($C707,products!$A$1:$F$322,MATCH(order_items!$D$1,products!$A$1:$F$1,0),FALSE)</f>
        <v>Electra Girl's Hawaii 1 (16-inch) - 2015/2016</v>
      </c>
      <c r="E707">
        <f>VLOOKUP($C707,products!$A$1:$F$322,MATCH(order_items!$E$1,products!$A$1:$F$1,0),FALSE)</f>
        <v>1</v>
      </c>
      <c r="F707" t="str">
        <f>VLOOKUP($E707,categories!$A$1:$B$8,MATCH(order_items!$F$1,categories!$A$1:$B$1,0),FALSE)</f>
        <v>Children Bicycles</v>
      </c>
      <c r="G707">
        <v>2</v>
      </c>
      <c r="H707">
        <v>269.99</v>
      </c>
      <c r="I707" s="5">
        <v>0.05</v>
      </c>
      <c r="J707">
        <f t="shared" si="22"/>
        <v>512.98099999999999</v>
      </c>
      <c r="K707" s="9">
        <f t="shared" si="23"/>
        <v>-0.69693888525532666</v>
      </c>
    </row>
    <row r="708" spans="1:11" x14ac:dyDescent="0.3">
      <c r="A708">
        <v>252</v>
      </c>
      <c r="B708">
        <v>1</v>
      </c>
      <c r="C708">
        <v>11</v>
      </c>
      <c r="D708" t="str">
        <f>VLOOKUP($C708,products!$A$1:$F$322,MATCH(order_items!$D$1,products!$A$1:$F$1,0),FALSE)</f>
        <v>Surly Straggler 650b - 2016</v>
      </c>
      <c r="E708">
        <f>VLOOKUP($C708,products!$A$1:$F$322,MATCH(order_items!$E$1,products!$A$1:$F$1,0),FALSE)</f>
        <v>4</v>
      </c>
      <c r="F708" t="str">
        <f>VLOOKUP($E708,categories!$A$1:$B$8,MATCH(order_items!$F$1,categories!$A$1:$B$1,0),FALSE)</f>
        <v>Cyclocross Bicycles</v>
      </c>
      <c r="G708">
        <v>2</v>
      </c>
      <c r="H708">
        <v>1680.99</v>
      </c>
      <c r="I708" s="5">
        <v>0.1</v>
      </c>
      <c r="J708">
        <f t="shared" si="22"/>
        <v>3025.7820000000002</v>
      </c>
      <c r="K708" s="9">
        <f t="shared" si="23"/>
        <v>0.3461947994374141</v>
      </c>
    </row>
    <row r="709" spans="1:11" x14ac:dyDescent="0.3">
      <c r="A709">
        <v>252</v>
      </c>
      <c r="B709">
        <v>2</v>
      </c>
      <c r="C709">
        <v>4</v>
      </c>
      <c r="D709" t="str">
        <f>VLOOKUP($C709,products!$A$1:$F$322,MATCH(order_items!$D$1,products!$A$1:$F$1,0),FALSE)</f>
        <v>Trek Fuel EX 8 29 - 2016</v>
      </c>
      <c r="E709">
        <f>VLOOKUP($C709,products!$A$1:$F$322,MATCH(order_items!$E$1,products!$A$1:$F$1,0),FALSE)</f>
        <v>6</v>
      </c>
      <c r="F709" t="str">
        <f>VLOOKUP($E709,categories!$A$1:$B$8,MATCH(order_items!$F$1,categories!$A$1:$B$1,0),FALSE)</f>
        <v>Mountain Bikes</v>
      </c>
      <c r="G709">
        <v>1</v>
      </c>
      <c r="H709">
        <v>2899.99</v>
      </c>
      <c r="I709" s="5">
        <v>7.0000000000000007E-2</v>
      </c>
      <c r="J709">
        <f t="shared" si="22"/>
        <v>2696.9906999999998</v>
      </c>
      <c r="K709" s="9">
        <f t="shared" si="23"/>
        <v>1.2473854171840129</v>
      </c>
    </row>
    <row r="710" spans="1:11" x14ac:dyDescent="0.3">
      <c r="A710">
        <v>252</v>
      </c>
      <c r="B710">
        <v>3</v>
      </c>
      <c r="C710">
        <v>19</v>
      </c>
      <c r="D710" t="str">
        <f>VLOOKUP($C710,products!$A$1:$F$322,MATCH(order_items!$D$1,products!$A$1:$F$1,0),FALSE)</f>
        <v>Pure Cycles William 3-Speed - 2016</v>
      </c>
      <c r="E710">
        <f>VLOOKUP($C710,products!$A$1:$F$322,MATCH(order_items!$E$1,products!$A$1:$F$1,0),FALSE)</f>
        <v>3</v>
      </c>
      <c r="F710" t="str">
        <f>VLOOKUP($E710,categories!$A$1:$B$8,MATCH(order_items!$F$1,categories!$A$1:$B$1,0),FALSE)</f>
        <v>Cruisers Bicycles</v>
      </c>
      <c r="G710">
        <v>1</v>
      </c>
      <c r="H710">
        <v>449</v>
      </c>
      <c r="I710" s="5">
        <v>0.1</v>
      </c>
      <c r="J710">
        <f t="shared" si="22"/>
        <v>404.1</v>
      </c>
      <c r="K710" s="9">
        <f t="shared" si="23"/>
        <v>-0.56459915393225968</v>
      </c>
    </row>
    <row r="711" spans="1:11" x14ac:dyDescent="0.3">
      <c r="A711">
        <v>253</v>
      </c>
      <c r="B711">
        <v>1</v>
      </c>
      <c r="C711">
        <v>11</v>
      </c>
      <c r="D711" t="str">
        <f>VLOOKUP($C711,products!$A$1:$F$322,MATCH(order_items!$D$1,products!$A$1:$F$1,0),FALSE)</f>
        <v>Surly Straggler 650b - 2016</v>
      </c>
      <c r="E711">
        <f>VLOOKUP($C711,products!$A$1:$F$322,MATCH(order_items!$E$1,products!$A$1:$F$1,0),FALSE)</f>
        <v>4</v>
      </c>
      <c r="F711" t="str">
        <f>VLOOKUP($E711,categories!$A$1:$B$8,MATCH(order_items!$F$1,categories!$A$1:$B$1,0),FALSE)</f>
        <v>Cyclocross Bicycles</v>
      </c>
      <c r="G711">
        <v>2</v>
      </c>
      <c r="H711">
        <v>1680.99</v>
      </c>
      <c r="I711" s="5">
        <v>7.0000000000000007E-2</v>
      </c>
      <c r="J711">
        <f t="shared" si="22"/>
        <v>3126.6414</v>
      </c>
      <c r="K711" s="9">
        <f t="shared" si="23"/>
        <v>0.3461947994374141</v>
      </c>
    </row>
    <row r="712" spans="1:11" x14ac:dyDescent="0.3">
      <c r="A712">
        <v>254</v>
      </c>
      <c r="B712">
        <v>1</v>
      </c>
      <c r="C712">
        <v>6</v>
      </c>
      <c r="D712" t="str">
        <f>VLOOKUP($C712,products!$A$1:$F$322,MATCH(order_items!$D$1,products!$A$1:$F$1,0),FALSE)</f>
        <v>Surly Ice Cream Truck Frameset - 2016</v>
      </c>
      <c r="E712">
        <f>VLOOKUP($C712,products!$A$1:$F$322,MATCH(order_items!$E$1,products!$A$1:$F$1,0),FALSE)</f>
        <v>6</v>
      </c>
      <c r="F712" t="str">
        <f>VLOOKUP($E712,categories!$A$1:$B$8,MATCH(order_items!$F$1,categories!$A$1:$B$1,0),FALSE)</f>
        <v>Mountain Bikes</v>
      </c>
      <c r="G712">
        <v>2</v>
      </c>
      <c r="H712">
        <v>469.99</v>
      </c>
      <c r="I712" s="5">
        <v>7.0000000000000007E-2</v>
      </c>
      <c r="J712">
        <f t="shared" si="22"/>
        <v>874.18139999999994</v>
      </c>
      <c r="K712" s="9">
        <f t="shared" si="23"/>
        <v>-0.5490815238530955</v>
      </c>
    </row>
    <row r="713" spans="1:11" x14ac:dyDescent="0.3">
      <c r="A713">
        <v>254</v>
      </c>
      <c r="B713">
        <v>2</v>
      </c>
      <c r="C713">
        <v>3</v>
      </c>
      <c r="D713" t="str">
        <f>VLOOKUP($C713,products!$A$1:$F$322,MATCH(order_items!$D$1,products!$A$1:$F$1,0),FALSE)</f>
        <v>Surly Wednesday Frameset - 2016</v>
      </c>
      <c r="E713">
        <f>VLOOKUP($C713,products!$A$1:$F$322,MATCH(order_items!$E$1,products!$A$1:$F$1,0),FALSE)</f>
        <v>6</v>
      </c>
      <c r="F713" t="str">
        <f>VLOOKUP($E713,categories!$A$1:$B$8,MATCH(order_items!$F$1,categories!$A$1:$B$1,0),FALSE)</f>
        <v>Mountain Bikes</v>
      </c>
      <c r="G713">
        <v>1</v>
      </c>
      <c r="H713">
        <v>999.99</v>
      </c>
      <c r="I713" s="5">
        <v>0.05</v>
      </c>
      <c r="J713">
        <f t="shared" si="22"/>
        <v>949.9905</v>
      </c>
      <c r="K713" s="9">
        <f t="shared" si="23"/>
        <v>-0.15725951613718298</v>
      </c>
    </row>
    <row r="714" spans="1:11" x14ac:dyDescent="0.3">
      <c r="A714">
        <v>254</v>
      </c>
      <c r="B714">
        <v>3</v>
      </c>
      <c r="C714">
        <v>12</v>
      </c>
      <c r="D714" t="str">
        <f>VLOOKUP($C714,products!$A$1:$F$322,MATCH(order_items!$D$1,products!$A$1:$F$1,0),FALSE)</f>
        <v>Electra Townie Original 21D - 2016</v>
      </c>
      <c r="E714">
        <f>VLOOKUP($C714,products!$A$1:$F$322,MATCH(order_items!$E$1,products!$A$1:$F$1,0),FALSE)</f>
        <v>3</v>
      </c>
      <c r="F714" t="str">
        <f>VLOOKUP($E714,categories!$A$1:$B$8,MATCH(order_items!$F$1,categories!$A$1:$B$1,0),FALSE)</f>
        <v>Cruisers Bicycles</v>
      </c>
      <c r="G714">
        <v>1</v>
      </c>
      <c r="H714">
        <v>549.99</v>
      </c>
      <c r="I714" s="5">
        <v>0.05</v>
      </c>
      <c r="J714">
        <f t="shared" si="22"/>
        <v>522.4905</v>
      </c>
      <c r="K714" s="9">
        <f t="shared" si="23"/>
        <v>-0.48993857929220308</v>
      </c>
    </row>
    <row r="715" spans="1:11" x14ac:dyDescent="0.3">
      <c r="A715">
        <v>255</v>
      </c>
      <c r="B715">
        <v>1</v>
      </c>
      <c r="C715">
        <v>5</v>
      </c>
      <c r="D715" t="str">
        <f>VLOOKUP($C715,products!$A$1:$F$322,MATCH(order_items!$D$1,products!$A$1:$F$1,0),FALSE)</f>
        <v>Heller Shagamaw Frame - 2016</v>
      </c>
      <c r="E715">
        <f>VLOOKUP($C715,products!$A$1:$F$322,MATCH(order_items!$E$1,products!$A$1:$F$1,0),FALSE)</f>
        <v>6</v>
      </c>
      <c r="F715" t="str">
        <f>VLOOKUP($E715,categories!$A$1:$B$8,MATCH(order_items!$F$1,categories!$A$1:$B$1,0),FALSE)</f>
        <v>Mountain Bikes</v>
      </c>
      <c r="G715">
        <v>2</v>
      </c>
      <c r="H715">
        <v>1320.99</v>
      </c>
      <c r="I715" s="5">
        <v>0.1</v>
      </c>
      <c r="J715">
        <f t="shared" si="22"/>
        <v>2377.7820000000002</v>
      </c>
      <c r="K715" s="9">
        <f t="shared" si="23"/>
        <v>8.0051548913398024E-2</v>
      </c>
    </row>
    <row r="716" spans="1:11" x14ac:dyDescent="0.3">
      <c r="A716">
        <v>255</v>
      </c>
      <c r="B716">
        <v>2</v>
      </c>
      <c r="C716">
        <v>14</v>
      </c>
      <c r="D716" t="str">
        <f>VLOOKUP($C716,products!$A$1:$F$322,MATCH(order_items!$D$1,products!$A$1:$F$1,0),FALSE)</f>
        <v>Electra Girl's Hawaii 1 (16-inch) - 2015/2016</v>
      </c>
      <c r="E716">
        <f>VLOOKUP($C716,products!$A$1:$F$322,MATCH(order_items!$E$1,products!$A$1:$F$1,0),FALSE)</f>
        <v>3</v>
      </c>
      <c r="F716" t="str">
        <f>VLOOKUP($E716,categories!$A$1:$B$8,MATCH(order_items!$F$1,categories!$A$1:$B$1,0),FALSE)</f>
        <v>Cruisers Bicycles</v>
      </c>
      <c r="G716">
        <v>1</v>
      </c>
      <c r="H716">
        <v>269.99</v>
      </c>
      <c r="I716" s="5">
        <v>0.2</v>
      </c>
      <c r="J716">
        <f t="shared" si="22"/>
        <v>215.99200000000002</v>
      </c>
      <c r="K716" s="9">
        <f t="shared" si="23"/>
        <v>-0.69693888525532666</v>
      </c>
    </row>
    <row r="717" spans="1:11" x14ac:dyDescent="0.3">
      <c r="A717">
        <v>255</v>
      </c>
      <c r="B717">
        <v>3</v>
      </c>
      <c r="C717">
        <v>2</v>
      </c>
      <c r="D717" t="str">
        <f>VLOOKUP($C717,products!$A$1:$F$322,MATCH(order_items!$D$1,products!$A$1:$F$1,0),FALSE)</f>
        <v>Ritchey Timberwolf Frameset - 2016</v>
      </c>
      <c r="E717">
        <f>VLOOKUP($C717,products!$A$1:$F$322,MATCH(order_items!$E$1,products!$A$1:$F$1,0),FALSE)</f>
        <v>6</v>
      </c>
      <c r="F717" t="str">
        <f>VLOOKUP($E717,categories!$A$1:$B$8,MATCH(order_items!$F$1,categories!$A$1:$B$1,0),FALSE)</f>
        <v>Mountain Bikes</v>
      </c>
      <c r="G717">
        <v>2</v>
      </c>
      <c r="H717">
        <v>749.99</v>
      </c>
      <c r="I717" s="5">
        <v>0.2</v>
      </c>
      <c r="J717">
        <f t="shared" si="22"/>
        <v>1199.9840000000002</v>
      </c>
      <c r="K717" s="9">
        <f t="shared" si="23"/>
        <v>-0.34208121788997192</v>
      </c>
    </row>
    <row r="718" spans="1:11" x14ac:dyDescent="0.3">
      <c r="A718">
        <v>255</v>
      </c>
      <c r="B718">
        <v>4</v>
      </c>
      <c r="C718">
        <v>21</v>
      </c>
      <c r="D718" t="str">
        <f>VLOOKUP($C718,products!$A$1:$F$322,MATCH(order_items!$D$1,products!$A$1:$F$1,0),FALSE)</f>
        <v>Electra Cruiser 1 (24-Inch) - 2016</v>
      </c>
      <c r="E718">
        <f>VLOOKUP($C718,products!$A$1:$F$322,MATCH(order_items!$E$1,products!$A$1:$F$1,0),FALSE)</f>
        <v>1</v>
      </c>
      <c r="F718" t="str">
        <f>VLOOKUP($E718,categories!$A$1:$B$8,MATCH(order_items!$F$1,categories!$A$1:$B$1,0),FALSE)</f>
        <v>Children Bicycles</v>
      </c>
      <c r="G718">
        <v>1</v>
      </c>
      <c r="H718">
        <v>269.99</v>
      </c>
      <c r="I718" s="5">
        <v>7.0000000000000007E-2</v>
      </c>
      <c r="J718">
        <f t="shared" si="22"/>
        <v>251.0907</v>
      </c>
      <c r="K718" s="9">
        <f t="shared" si="23"/>
        <v>-0.69693888525532666</v>
      </c>
    </row>
    <row r="719" spans="1:11" x14ac:dyDescent="0.3">
      <c r="A719">
        <v>256</v>
      </c>
      <c r="B719">
        <v>1</v>
      </c>
      <c r="C719">
        <v>11</v>
      </c>
      <c r="D719" t="str">
        <f>VLOOKUP($C719,products!$A$1:$F$322,MATCH(order_items!$D$1,products!$A$1:$F$1,0),FALSE)</f>
        <v>Surly Straggler 650b - 2016</v>
      </c>
      <c r="E719">
        <f>VLOOKUP($C719,products!$A$1:$F$322,MATCH(order_items!$E$1,products!$A$1:$F$1,0),FALSE)</f>
        <v>4</v>
      </c>
      <c r="F719" t="str">
        <f>VLOOKUP($E719,categories!$A$1:$B$8,MATCH(order_items!$F$1,categories!$A$1:$B$1,0),FALSE)</f>
        <v>Cyclocross Bicycles</v>
      </c>
      <c r="G719">
        <v>1</v>
      </c>
      <c r="H719">
        <v>1680.99</v>
      </c>
      <c r="I719" s="5">
        <v>0.1</v>
      </c>
      <c r="J719">
        <f t="shared" si="22"/>
        <v>1512.8910000000001</v>
      </c>
      <c r="K719" s="9">
        <f t="shared" si="23"/>
        <v>0.3461947994374141</v>
      </c>
    </row>
    <row r="720" spans="1:11" x14ac:dyDescent="0.3">
      <c r="A720">
        <v>256</v>
      </c>
      <c r="B720">
        <v>2</v>
      </c>
      <c r="C720">
        <v>21</v>
      </c>
      <c r="D720" t="str">
        <f>VLOOKUP($C720,products!$A$1:$F$322,MATCH(order_items!$D$1,products!$A$1:$F$1,0),FALSE)</f>
        <v>Electra Cruiser 1 (24-Inch) - 2016</v>
      </c>
      <c r="E720">
        <f>VLOOKUP($C720,products!$A$1:$F$322,MATCH(order_items!$E$1,products!$A$1:$F$1,0),FALSE)</f>
        <v>1</v>
      </c>
      <c r="F720" t="str">
        <f>VLOOKUP($E720,categories!$A$1:$B$8,MATCH(order_items!$F$1,categories!$A$1:$B$1,0),FALSE)</f>
        <v>Children Bicycles</v>
      </c>
      <c r="G720">
        <v>1</v>
      </c>
      <c r="H720">
        <v>269.99</v>
      </c>
      <c r="I720" s="5">
        <v>0.05</v>
      </c>
      <c r="J720">
        <f t="shared" si="22"/>
        <v>256.4905</v>
      </c>
      <c r="K720" s="9">
        <f t="shared" si="23"/>
        <v>-0.69693888525532666</v>
      </c>
    </row>
    <row r="721" spans="1:11" x14ac:dyDescent="0.3">
      <c r="A721">
        <v>257</v>
      </c>
      <c r="B721">
        <v>1</v>
      </c>
      <c r="C721">
        <v>8</v>
      </c>
      <c r="D721" t="str">
        <f>VLOOKUP($C721,products!$A$1:$F$322,MATCH(order_items!$D$1,products!$A$1:$F$1,0),FALSE)</f>
        <v>Trek Remedy 29 Carbon Frameset - 2016</v>
      </c>
      <c r="E721">
        <f>VLOOKUP($C721,products!$A$1:$F$322,MATCH(order_items!$E$1,products!$A$1:$F$1,0),FALSE)</f>
        <v>6</v>
      </c>
      <c r="F721" t="str">
        <f>VLOOKUP($E721,categories!$A$1:$B$8,MATCH(order_items!$F$1,categories!$A$1:$B$1,0),FALSE)</f>
        <v>Mountain Bikes</v>
      </c>
      <c r="G721">
        <v>2</v>
      </c>
      <c r="H721">
        <v>1799.99</v>
      </c>
      <c r="I721" s="5">
        <v>7.0000000000000007E-2</v>
      </c>
      <c r="J721">
        <f t="shared" si="22"/>
        <v>3347.9813999999997</v>
      </c>
      <c r="K721" s="9">
        <f t="shared" si="23"/>
        <v>0.43416992947174166</v>
      </c>
    </row>
    <row r="722" spans="1:11" x14ac:dyDescent="0.3">
      <c r="A722">
        <v>257</v>
      </c>
      <c r="B722">
        <v>2</v>
      </c>
      <c r="C722">
        <v>13</v>
      </c>
      <c r="D722" t="str">
        <f>VLOOKUP($C722,products!$A$1:$F$322,MATCH(order_items!$D$1,products!$A$1:$F$1,0),FALSE)</f>
        <v>Electra Cruiser 1 (24-Inch) - 2016</v>
      </c>
      <c r="E722">
        <f>VLOOKUP($C722,products!$A$1:$F$322,MATCH(order_items!$E$1,products!$A$1:$F$1,0),FALSE)</f>
        <v>3</v>
      </c>
      <c r="F722" t="str">
        <f>VLOOKUP($E722,categories!$A$1:$B$8,MATCH(order_items!$F$1,categories!$A$1:$B$1,0),FALSE)</f>
        <v>Cruisers Bicycles</v>
      </c>
      <c r="G722">
        <v>2</v>
      </c>
      <c r="H722">
        <v>269.99</v>
      </c>
      <c r="I722" s="5">
        <v>0.2</v>
      </c>
      <c r="J722">
        <f t="shared" si="22"/>
        <v>431.98400000000004</v>
      </c>
      <c r="K722" s="9">
        <f t="shared" si="23"/>
        <v>-0.69693888525532666</v>
      </c>
    </row>
    <row r="723" spans="1:11" x14ac:dyDescent="0.3">
      <c r="A723">
        <v>257</v>
      </c>
      <c r="B723">
        <v>3</v>
      </c>
      <c r="C723">
        <v>10</v>
      </c>
      <c r="D723" t="str">
        <f>VLOOKUP($C723,products!$A$1:$F$322,MATCH(order_items!$D$1,products!$A$1:$F$1,0),FALSE)</f>
        <v>Surly Straggler - 2016</v>
      </c>
      <c r="E723">
        <f>VLOOKUP($C723,products!$A$1:$F$322,MATCH(order_items!$E$1,products!$A$1:$F$1,0),FALSE)</f>
        <v>4</v>
      </c>
      <c r="F723" t="str">
        <f>VLOOKUP($E723,categories!$A$1:$B$8,MATCH(order_items!$F$1,categories!$A$1:$B$1,0),FALSE)</f>
        <v>Cyclocross Bicycles</v>
      </c>
      <c r="G723">
        <v>2</v>
      </c>
      <c r="H723">
        <v>1549</v>
      </c>
      <c r="I723" s="5">
        <v>0.1</v>
      </c>
      <c r="J723">
        <f t="shared" si="22"/>
        <v>2788.2000000000003</v>
      </c>
      <c r="K723" s="9">
        <f t="shared" si="23"/>
        <v>0.24861633378001166</v>
      </c>
    </row>
    <row r="724" spans="1:11" x14ac:dyDescent="0.3">
      <c r="A724">
        <v>257</v>
      </c>
      <c r="B724">
        <v>4</v>
      </c>
      <c r="C724">
        <v>15</v>
      </c>
      <c r="D724" t="str">
        <f>VLOOKUP($C724,products!$A$1:$F$322,MATCH(order_items!$D$1,products!$A$1:$F$1,0),FALSE)</f>
        <v>Electra Moto 1 - 2016</v>
      </c>
      <c r="E724">
        <f>VLOOKUP($C724,products!$A$1:$F$322,MATCH(order_items!$E$1,products!$A$1:$F$1,0),FALSE)</f>
        <v>3</v>
      </c>
      <c r="F724" t="str">
        <f>VLOOKUP($E724,categories!$A$1:$B$8,MATCH(order_items!$F$1,categories!$A$1:$B$1,0),FALSE)</f>
        <v>Cruisers Bicycles</v>
      </c>
      <c r="G724">
        <v>1</v>
      </c>
      <c r="H724">
        <v>529.99</v>
      </c>
      <c r="I724" s="5">
        <v>0.1</v>
      </c>
      <c r="J724">
        <f t="shared" si="22"/>
        <v>476.99100000000004</v>
      </c>
      <c r="K724" s="9">
        <f t="shared" si="23"/>
        <v>-0.50472431543242624</v>
      </c>
    </row>
    <row r="725" spans="1:11" x14ac:dyDescent="0.3">
      <c r="A725">
        <v>258</v>
      </c>
      <c r="B725">
        <v>1</v>
      </c>
      <c r="C725">
        <v>8</v>
      </c>
      <c r="D725" t="str">
        <f>VLOOKUP($C725,products!$A$1:$F$322,MATCH(order_items!$D$1,products!$A$1:$F$1,0),FALSE)</f>
        <v>Trek Remedy 29 Carbon Frameset - 2016</v>
      </c>
      <c r="E725">
        <f>VLOOKUP($C725,products!$A$1:$F$322,MATCH(order_items!$E$1,products!$A$1:$F$1,0),FALSE)</f>
        <v>6</v>
      </c>
      <c r="F725" t="str">
        <f>VLOOKUP($E725,categories!$A$1:$B$8,MATCH(order_items!$F$1,categories!$A$1:$B$1,0),FALSE)</f>
        <v>Mountain Bikes</v>
      </c>
      <c r="G725">
        <v>2</v>
      </c>
      <c r="H725">
        <v>1799.99</v>
      </c>
      <c r="I725" s="5">
        <v>0.05</v>
      </c>
      <c r="J725">
        <f t="shared" si="22"/>
        <v>3419.9809999999998</v>
      </c>
      <c r="K725" s="9">
        <f t="shared" si="23"/>
        <v>0.43416992947174166</v>
      </c>
    </row>
    <row r="726" spans="1:11" x14ac:dyDescent="0.3">
      <c r="A726">
        <v>258</v>
      </c>
      <c r="B726">
        <v>2</v>
      </c>
      <c r="C726">
        <v>4</v>
      </c>
      <c r="D726" t="str">
        <f>VLOOKUP($C726,products!$A$1:$F$322,MATCH(order_items!$D$1,products!$A$1:$F$1,0),FALSE)</f>
        <v>Trek Fuel EX 8 29 - 2016</v>
      </c>
      <c r="E726">
        <f>VLOOKUP($C726,products!$A$1:$F$322,MATCH(order_items!$E$1,products!$A$1:$F$1,0),FALSE)</f>
        <v>6</v>
      </c>
      <c r="F726" t="str">
        <f>VLOOKUP($E726,categories!$A$1:$B$8,MATCH(order_items!$F$1,categories!$A$1:$B$1,0),FALSE)</f>
        <v>Mountain Bikes</v>
      </c>
      <c r="G726">
        <v>1</v>
      </c>
      <c r="H726">
        <v>2899.99</v>
      </c>
      <c r="I726" s="5">
        <v>7.0000000000000007E-2</v>
      </c>
      <c r="J726">
        <f t="shared" si="22"/>
        <v>2696.9906999999998</v>
      </c>
      <c r="K726" s="9">
        <f t="shared" si="23"/>
        <v>1.2473854171840129</v>
      </c>
    </row>
    <row r="727" spans="1:11" x14ac:dyDescent="0.3">
      <c r="A727">
        <v>258</v>
      </c>
      <c r="B727">
        <v>3</v>
      </c>
      <c r="C727">
        <v>19</v>
      </c>
      <c r="D727" t="str">
        <f>VLOOKUP($C727,products!$A$1:$F$322,MATCH(order_items!$D$1,products!$A$1:$F$1,0),FALSE)</f>
        <v>Pure Cycles William 3-Speed - 2016</v>
      </c>
      <c r="E727">
        <f>VLOOKUP($C727,products!$A$1:$F$322,MATCH(order_items!$E$1,products!$A$1:$F$1,0),FALSE)</f>
        <v>3</v>
      </c>
      <c r="F727" t="str">
        <f>VLOOKUP($E727,categories!$A$1:$B$8,MATCH(order_items!$F$1,categories!$A$1:$B$1,0),FALSE)</f>
        <v>Cruisers Bicycles</v>
      </c>
      <c r="G727">
        <v>1</v>
      </c>
      <c r="H727">
        <v>449</v>
      </c>
      <c r="I727" s="5">
        <v>7.0000000000000007E-2</v>
      </c>
      <c r="J727">
        <f t="shared" si="22"/>
        <v>417.57</v>
      </c>
      <c r="K727" s="9">
        <f t="shared" si="23"/>
        <v>-0.56459915393225968</v>
      </c>
    </row>
    <row r="728" spans="1:11" x14ac:dyDescent="0.3">
      <c r="A728">
        <v>258</v>
      </c>
      <c r="B728">
        <v>4</v>
      </c>
      <c r="C728">
        <v>18</v>
      </c>
      <c r="D728" t="str">
        <f>VLOOKUP($C728,products!$A$1:$F$322,MATCH(order_items!$D$1,products!$A$1:$F$1,0),FALSE)</f>
        <v>Pure Cycles Western 3-Speed - Women's - 2015/2016</v>
      </c>
      <c r="E728">
        <f>VLOOKUP($C728,products!$A$1:$F$322,MATCH(order_items!$E$1,products!$A$1:$F$1,0),FALSE)</f>
        <v>3</v>
      </c>
      <c r="F728" t="str">
        <f>VLOOKUP($E728,categories!$A$1:$B$8,MATCH(order_items!$F$1,categories!$A$1:$B$1,0),FALSE)</f>
        <v>Cruisers Bicycles</v>
      </c>
      <c r="G728">
        <v>1</v>
      </c>
      <c r="H728">
        <v>449</v>
      </c>
      <c r="I728" s="5">
        <v>0.05</v>
      </c>
      <c r="J728">
        <f t="shared" si="22"/>
        <v>426.54999999999995</v>
      </c>
      <c r="K728" s="9">
        <f t="shared" si="23"/>
        <v>-0.56459915393225968</v>
      </c>
    </row>
    <row r="729" spans="1:11" x14ac:dyDescent="0.3">
      <c r="A729">
        <v>259</v>
      </c>
      <c r="B729">
        <v>1</v>
      </c>
      <c r="C729">
        <v>26</v>
      </c>
      <c r="D729" t="str">
        <f>VLOOKUP($C729,products!$A$1:$F$322,MATCH(order_items!$D$1,products!$A$1:$F$1,0),FALSE)</f>
        <v>Electra Townie Original 7D EQ - 2016</v>
      </c>
      <c r="E729">
        <f>VLOOKUP($C729,products!$A$1:$F$322,MATCH(order_items!$E$1,products!$A$1:$F$1,0),FALSE)</f>
        <v>2</v>
      </c>
      <c r="F729" t="str">
        <f>VLOOKUP($E729,categories!$A$1:$B$8,MATCH(order_items!$F$1,categories!$A$1:$B$1,0),FALSE)</f>
        <v>Comfort Bicycles</v>
      </c>
      <c r="G729">
        <v>1</v>
      </c>
      <c r="H729">
        <v>599.99</v>
      </c>
      <c r="I729" s="5">
        <v>0.05</v>
      </c>
      <c r="J729">
        <f t="shared" si="22"/>
        <v>569.9905</v>
      </c>
      <c r="K729" s="9">
        <f t="shared" si="23"/>
        <v>-0.45297423894164529</v>
      </c>
    </row>
    <row r="730" spans="1:11" x14ac:dyDescent="0.3">
      <c r="A730">
        <v>259</v>
      </c>
      <c r="B730">
        <v>2</v>
      </c>
      <c r="C730">
        <v>6</v>
      </c>
      <c r="D730" t="str">
        <f>VLOOKUP($C730,products!$A$1:$F$322,MATCH(order_items!$D$1,products!$A$1:$F$1,0),FALSE)</f>
        <v>Surly Ice Cream Truck Frameset - 2016</v>
      </c>
      <c r="E730">
        <f>VLOOKUP($C730,products!$A$1:$F$322,MATCH(order_items!$E$1,products!$A$1:$F$1,0),FALSE)</f>
        <v>6</v>
      </c>
      <c r="F730" t="str">
        <f>VLOOKUP($E730,categories!$A$1:$B$8,MATCH(order_items!$F$1,categories!$A$1:$B$1,0),FALSE)</f>
        <v>Mountain Bikes</v>
      </c>
      <c r="G730">
        <v>2</v>
      </c>
      <c r="H730">
        <v>469.99</v>
      </c>
      <c r="I730" s="5">
        <v>0.1</v>
      </c>
      <c r="J730">
        <f t="shared" si="22"/>
        <v>845.98200000000008</v>
      </c>
      <c r="K730" s="9">
        <f t="shared" si="23"/>
        <v>-0.5490815238530955</v>
      </c>
    </row>
    <row r="731" spans="1:11" x14ac:dyDescent="0.3">
      <c r="A731">
        <v>259</v>
      </c>
      <c r="B731">
        <v>3</v>
      </c>
      <c r="C731">
        <v>2</v>
      </c>
      <c r="D731" t="str">
        <f>VLOOKUP($C731,products!$A$1:$F$322,MATCH(order_items!$D$1,products!$A$1:$F$1,0),FALSE)</f>
        <v>Ritchey Timberwolf Frameset - 2016</v>
      </c>
      <c r="E731">
        <f>VLOOKUP($C731,products!$A$1:$F$322,MATCH(order_items!$E$1,products!$A$1:$F$1,0),FALSE)</f>
        <v>6</v>
      </c>
      <c r="F731" t="str">
        <f>VLOOKUP($E731,categories!$A$1:$B$8,MATCH(order_items!$F$1,categories!$A$1:$B$1,0),FALSE)</f>
        <v>Mountain Bikes</v>
      </c>
      <c r="G731">
        <v>2</v>
      </c>
      <c r="H731">
        <v>749.99</v>
      </c>
      <c r="I731" s="5">
        <v>0.2</v>
      </c>
      <c r="J731">
        <f t="shared" si="22"/>
        <v>1199.9840000000002</v>
      </c>
      <c r="K731" s="9">
        <f t="shared" si="23"/>
        <v>-0.34208121788997192</v>
      </c>
    </row>
    <row r="732" spans="1:11" x14ac:dyDescent="0.3">
      <c r="A732">
        <v>259</v>
      </c>
      <c r="B732">
        <v>4</v>
      </c>
      <c r="C732">
        <v>4</v>
      </c>
      <c r="D732" t="str">
        <f>VLOOKUP($C732,products!$A$1:$F$322,MATCH(order_items!$D$1,products!$A$1:$F$1,0),FALSE)</f>
        <v>Trek Fuel EX 8 29 - 2016</v>
      </c>
      <c r="E732">
        <f>VLOOKUP($C732,products!$A$1:$F$322,MATCH(order_items!$E$1,products!$A$1:$F$1,0),FALSE)</f>
        <v>6</v>
      </c>
      <c r="F732" t="str">
        <f>VLOOKUP($E732,categories!$A$1:$B$8,MATCH(order_items!$F$1,categories!$A$1:$B$1,0),FALSE)</f>
        <v>Mountain Bikes</v>
      </c>
      <c r="G732">
        <v>1</v>
      </c>
      <c r="H732">
        <v>2899.99</v>
      </c>
      <c r="I732" s="5">
        <v>0.1</v>
      </c>
      <c r="J732">
        <f t="shared" si="22"/>
        <v>2609.991</v>
      </c>
      <c r="K732" s="9">
        <f t="shared" si="23"/>
        <v>1.2473854171840129</v>
      </c>
    </row>
    <row r="733" spans="1:11" x14ac:dyDescent="0.3">
      <c r="A733">
        <v>260</v>
      </c>
      <c r="B733">
        <v>1</v>
      </c>
      <c r="C733">
        <v>23</v>
      </c>
      <c r="D733" t="str">
        <f>VLOOKUP($C733,products!$A$1:$F$322,MATCH(order_items!$D$1,products!$A$1:$F$1,0),FALSE)</f>
        <v>Electra Girl's Hawaii 1 (20-inch) - 2015/2016</v>
      </c>
      <c r="E733">
        <f>VLOOKUP($C733,products!$A$1:$F$322,MATCH(order_items!$E$1,products!$A$1:$F$1,0),FALSE)</f>
        <v>1</v>
      </c>
      <c r="F733" t="str">
        <f>VLOOKUP($E733,categories!$A$1:$B$8,MATCH(order_items!$F$1,categories!$A$1:$B$1,0),FALSE)</f>
        <v>Children Bicycles</v>
      </c>
      <c r="G733">
        <v>2</v>
      </c>
      <c r="H733">
        <v>299.99</v>
      </c>
      <c r="I733" s="5">
        <v>0.2</v>
      </c>
      <c r="J733">
        <f t="shared" si="22"/>
        <v>479.98400000000004</v>
      </c>
      <c r="K733" s="9">
        <f t="shared" si="23"/>
        <v>-0.67476028104499197</v>
      </c>
    </row>
    <row r="734" spans="1:11" x14ac:dyDescent="0.3">
      <c r="A734">
        <v>260</v>
      </c>
      <c r="B734">
        <v>2</v>
      </c>
      <c r="C734">
        <v>10</v>
      </c>
      <c r="D734" t="str">
        <f>VLOOKUP($C734,products!$A$1:$F$322,MATCH(order_items!$D$1,products!$A$1:$F$1,0),FALSE)</f>
        <v>Surly Straggler - 2016</v>
      </c>
      <c r="E734">
        <f>VLOOKUP($C734,products!$A$1:$F$322,MATCH(order_items!$E$1,products!$A$1:$F$1,0),FALSE)</f>
        <v>4</v>
      </c>
      <c r="F734" t="str">
        <f>VLOOKUP($E734,categories!$A$1:$B$8,MATCH(order_items!$F$1,categories!$A$1:$B$1,0),FALSE)</f>
        <v>Cyclocross Bicycles</v>
      </c>
      <c r="G734">
        <v>1</v>
      </c>
      <c r="H734">
        <v>1549</v>
      </c>
      <c r="I734" s="5">
        <v>0.2</v>
      </c>
      <c r="J734">
        <f t="shared" si="22"/>
        <v>1239.2</v>
      </c>
      <c r="K734" s="9">
        <f t="shared" si="23"/>
        <v>0.24861633378001166</v>
      </c>
    </row>
    <row r="735" spans="1:11" x14ac:dyDescent="0.3">
      <c r="A735">
        <v>260</v>
      </c>
      <c r="B735">
        <v>3</v>
      </c>
      <c r="C735">
        <v>24</v>
      </c>
      <c r="D735" t="str">
        <f>VLOOKUP($C735,products!$A$1:$F$322,MATCH(order_items!$D$1,products!$A$1:$F$1,0),FALSE)</f>
        <v>Electra Townie Original 21D - 2016</v>
      </c>
      <c r="E735">
        <f>VLOOKUP($C735,products!$A$1:$F$322,MATCH(order_items!$E$1,products!$A$1:$F$1,0),FALSE)</f>
        <v>2</v>
      </c>
      <c r="F735" t="str">
        <f>VLOOKUP($E735,categories!$A$1:$B$8,MATCH(order_items!$F$1,categories!$A$1:$B$1,0),FALSE)</f>
        <v>Comfort Bicycles</v>
      </c>
      <c r="G735">
        <v>2</v>
      </c>
      <c r="H735">
        <v>549.99</v>
      </c>
      <c r="I735" s="5">
        <v>0.2</v>
      </c>
      <c r="J735">
        <f t="shared" si="22"/>
        <v>879.98400000000004</v>
      </c>
      <c r="K735" s="9">
        <f t="shared" si="23"/>
        <v>-0.48993857929220308</v>
      </c>
    </row>
    <row r="736" spans="1:11" x14ac:dyDescent="0.3">
      <c r="A736">
        <v>261</v>
      </c>
      <c r="B736">
        <v>1</v>
      </c>
      <c r="C736">
        <v>16</v>
      </c>
      <c r="D736" t="str">
        <f>VLOOKUP($C736,products!$A$1:$F$322,MATCH(order_items!$D$1,products!$A$1:$F$1,0),FALSE)</f>
        <v>Electra Townie Original 7D EQ - 2016</v>
      </c>
      <c r="E736">
        <f>VLOOKUP($C736,products!$A$1:$F$322,MATCH(order_items!$E$1,products!$A$1:$F$1,0),FALSE)</f>
        <v>3</v>
      </c>
      <c r="F736" t="str">
        <f>VLOOKUP($E736,categories!$A$1:$B$8,MATCH(order_items!$F$1,categories!$A$1:$B$1,0),FALSE)</f>
        <v>Cruisers Bicycles</v>
      </c>
      <c r="G736">
        <v>2</v>
      </c>
      <c r="H736">
        <v>599.99</v>
      </c>
      <c r="I736" s="5">
        <v>0.05</v>
      </c>
      <c r="J736">
        <f t="shared" si="22"/>
        <v>1139.981</v>
      </c>
      <c r="K736" s="9">
        <f t="shared" si="23"/>
        <v>-0.45297423894164529</v>
      </c>
    </row>
    <row r="737" spans="1:11" x14ac:dyDescent="0.3">
      <c r="A737">
        <v>261</v>
      </c>
      <c r="B737">
        <v>2</v>
      </c>
      <c r="C737">
        <v>14</v>
      </c>
      <c r="D737" t="str">
        <f>VLOOKUP($C737,products!$A$1:$F$322,MATCH(order_items!$D$1,products!$A$1:$F$1,0),FALSE)</f>
        <v>Electra Girl's Hawaii 1 (16-inch) - 2015/2016</v>
      </c>
      <c r="E737">
        <f>VLOOKUP($C737,products!$A$1:$F$322,MATCH(order_items!$E$1,products!$A$1:$F$1,0),FALSE)</f>
        <v>3</v>
      </c>
      <c r="F737" t="str">
        <f>VLOOKUP($E737,categories!$A$1:$B$8,MATCH(order_items!$F$1,categories!$A$1:$B$1,0),FALSE)</f>
        <v>Cruisers Bicycles</v>
      </c>
      <c r="G737">
        <v>1</v>
      </c>
      <c r="H737">
        <v>269.99</v>
      </c>
      <c r="I737" s="5">
        <v>0.1</v>
      </c>
      <c r="J737">
        <f t="shared" si="22"/>
        <v>242.99100000000001</v>
      </c>
      <c r="K737" s="9">
        <f t="shared" si="23"/>
        <v>-0.69693888525532666</v>
      </c>
    </row>
    <row r="738" spans="1:11" x14ac:dyDescent="0.3">
      <c r="A738">
        <v>261</v>
      </c>
      <c r="B738">
        <v>3</v>
      </c>
      <c r="C738">
        <v>17</v>
      </c>
      <c r="D738" t="str">
        <f>VLOOKUP($C738,products!$A$1:$F$322,MATCH(order_items!$D$1,products!$A$1:$F$1,0),FALSE)</f>
        <v>Pure Cycles Vine 8-Speed - 2016</v>
      </c>
      <c r="E738">
        <f>VLOOKUP($C738,products!$A$1:$F$322,MATCH(order_items!$E$1,products!$A$1:$F$1,0),FALSE)</f>
        <v>3</v>
      </c>
      <c r="F738" t="str">
        <f>VLOOKUP($E738,categories!$A$1:$B$8,MATCH(order_items!$F$1,categories!$A$1:$B$1,0),FALSE)</f>
        <v>Cruisers Bicycles</v>
      </c>
      <c r="G738">
        <v>2</v>
      </c>
      <c r="H738">
        <v>429</v>
      </c>
      <c r="I738" s="5">
        <v>0.1</v>
      </c>
      <c r="J738">
        <f t="shared" si="22"/>
        <v>772.2</v>
      </c>
      <c r="K738" s="9">
        <f t="shared" si="23"/>
        <v>-0.57938489007248284</v>
      </c>
    </row>
    <row r="739" spans="1:11" x14ac:dyDescent="0.3">
      <c r="A739">
        <v>262</v>
      </c>
      <c r="B739">
        <v>1</v>
      </c>
      <c r="C739">
        <v>2</v>
      </c>
      <c r="D739" t="str">
        <f>VLOOKUP($C739,products!$A$1:$F$322,MATCH(order_items!$D$1,products!$A$1:$F$1,0),FALSE)</f>
        <v>Ritchey Timberwolf Frameset - 2016</v>
      </c>
      <c r="E739">
        <f>VLOOKUP($C739,products!$A$1:$F$322,MATCH(order_items!$E$1,products!$A$1:$F$1,0),FALSE)</f>
        <v>6</v>
      </c>
      <c r="F739" t="str">
        <f>VLOOKUP($E739,categories!$A$1:$B$8,MATCH(order_items!$F$1,categories!$A$1:$B$1,0),FALSE)</f>
        <v>Mountain Bikes</v>
      </c>
      <c r="G739">
        <v>1</v>
      </c>
      <c r="H739">
        <v>749.99</v>
      </c>
      <c r="I739" s="5">
        <v>7.0000000000000007E-2</v>
      </c>
      <c r="J739">
        <f t="shared" si="22"/>
        <v>697.49069999999995</v>
      </c>
      <c r="K739" s="9">
        <f t="shared" si="23"/>
        <v>-0.34208121788997192</v>
      </c>
    </row>
    <row r="740" spans="1:11" x14ac:dyDescent="0.3">
      <c r="A740">
        <v>262</v>
      </c>
      <c r="B740">
        <v>2</v>
      </c>
      <c r="C740">
        <v>9</v>
      </c>
      <c r="D740" t="str">
        <f>VLOOKUP($C740,products!$A$1:$F$322,MATCH(order_items!$D$1,products!$A$1:$F$1,0),FALSE)</f>
        <v>Trek Conduit+ - 2016</v>
      </c>
      <c r="E740">
        <f>VLOOKUP($C740,products!$A$1:$F$322,MATCH(order_items!$E$1,products!$A$1:$F$1,0),FALSE)</f>
        <v>5</v>
      </c>
      <c r="F740" t="str">
        <f>VLOOKUP($E740,categories!$A$1:$B$8,MATCH(order_items!$F$1,categories!$A$1:$B$1,0),FALSE)</f>
        <v>Electric Bikes</v>
      </c>
      <c r="G740">
        <v>2</v>
      </c>
      <c r="H740">
        <v>2999.99</v>
      </c>
      <c r="I740" s="5">
        <v>0.05</v>
      </c>
      <c r="J740">
        <f t="shared" si="22"/>
        <v>5699.9809999999998</v>
      </c>
      <c r="K740" s="9">
        <f t="shared" si="23"/>
        <v>1.3213140978851283</v>
      </c>
    </row>
    <row r="741" spans="1:11" x14ac:dyDescent="0.3">
      <c r="A741">
        <v>263</v>
      </c>
      <c r="B741">
        <v>1</v>
      </c>
      <c r="C741">
        <v>9</v>
      </c>
      <c r="D741" t="str">
        <f>VLOOKUP($C741,products!$A$1:$F$322,MATCH(order_items!$D$1,products!$A$1:$F$1,0),FALSE)</f>
        <v>Trek Conduit+ - 2016</v>
      </c>
      <c r="E741">
        <f>VLOOKUP($C741,products!$A$1:$F$322,MATCH(order_items!$E$1,products!$A$1:$F$1,0),FALSE)</f>
        <v>5</v>
      </c>
      <c r="F741" t="str">
        <f>VLOOKUP($E741,categories!$A$1:$B$8,MATCH(order_items!$F$1,categories!$A$1:$B$1,0),FALSE)</f>
        <v>Electric Bikes</v>
      </c>
      <c r="G741">
        <v>1</v>
      </c>
      <c r="H741">
        <v>2999.99</v>
      </c>
      <c r="I741" s="5">
        <v>7.0000000000000007E-2</v>
      </c>
      <c r="J741">
        <f t="shared" si="22"/>
        <v>2789.9906999999998</v>
      </c>
      <c r="K741" s="9">
        <f t="shared" si="23"/>
        <v>1.3213140978851283</v>
      </c>
    </row>
    <row r="742" spans="1:11" x14ac:dyDescent="0.3">
      <c r="A742">
        <v>263</v>
      </c>
      <c r="B742">
        <v>2</v>
      </c>
      <c r="C742">
        <v>3</v>
      </c>
      <c r="D742" t="str">
        <f>VLOOKUP($C742,products!$A$1:$F$322,MATCH(order_items!$D$1,products!$A$1:$F$1,0),FALSE)</f>
        <v>Surly Wednesday Frameset - 2016</v>
      </c>
      <c r="E742">
        <f>VLOOKUP($C742,products!$A$1:$F$322,MATCH(order_items!$E$1,products!$A$1:$F$1,0),FALSE)</f>
        <v>6</v>
      </c>
      <c r="F742" t="str">
        <f>VLOOKUP($E742,categories!$A$1:$B$8,MATCH(order_items!$F$1,categories!$A$1:$B$1,0),FALSE)</f>
        <v>Mountain Bikes</v>
      </c>
      <c r="G742">
        <v>1</v>
      </c>
      <c r="H742">
        <v>999.99</v>
      </c>
      <c r="I742" s="5">
        <v>0.2</v>
      </c>
      <c r="J742">
        <f t="shared" si="22"/>
        <v>799.99200000000008</v>
      </c>
      <c r="K742" s="9">
        <f t="shared" si="23"/>
        <v>-0.15725951613718298</v>
      </c>
    </row>
    <row r="743" spans="1:11" x14ac:dyDescent="0.3">
      <c r="A743">
        <v>263</v>
      </c>
      <c r="B743">
        <v>3</v>
      </c>
      <c r="C743">
        <v>2</v>
      </c>
      <c r="D743" t="str">
        <f>VLOOKUP($C743,products!$A$1:$F$322,MATCH(order_items!$D$1,products!$A$1:$F$1,0),FALSE)</f>
        <v>Ritchey Timberwolf Frameset - 2016</v>
      </c>
      <c r="E743">
        <f>VLOOKUP($C743,products!$A$1:$F$322,MATCH(order_items!$E$1,products!$A$1:$F$1,0),FALSE)</f>
        <v>6</v>
      </c>
      <c r="F743" t="str">
        <f>VLOOKUP($E743,categories!$A$1:$B$8,MATCH(order_items!$F$1,categories!$A$1:$B$1,0),FALSE)</f>
        <v>Mountain Bikes</v>
      </c>
      <c r="G743">
        <v>2</v>
      </c>
      <c r="H743">
        <v>749.99</v>
      </c>
      <c r="I743" s="5">
        <v>0.05</v>
      </c>
      <c r="J743">
        <f t="shared" si="22"/>
        <v>1424.981</v>
      </c>
      <c r="K743" s="9">
        <f t="shared" si="23"/>
        <v>-0.34208121788997192</v>
      </c>
    </row>
    <row r="744" spans="1:11" x14ac:dyDescent="0.3">
      <c r="A744">
        <v>264</v>
      </c>
      <c r="B744">
        <v>1</v>
      </c>
      <c r="C744">
        <v>10</v>
      </c>
      <c r="D744" t="str">
        <f>VLOOKUP($C744,products!$A$1:$F$322,MATCH(order_items!$D$1,products!$A$1:$F$1,0),FALSE)</f>
        <v>Surly Straggler - 2016</v>
      </c>
      <c r="E744">
        <f>VLOOKUP($C744,products!$A$1:$F$322,MATCH(order_items!$E$1,products!$A$1:$F$1,0),FALSE)</f>
        <v>4</v>
      </c>
      <c r="F744" t="str">
        <f>VLOOKUP($E744,categories!$A$1:$B$8,MATCH(order_items!$F$1,categories!$A$1:$B$1,0),FALSE)</f>
        <v>Cyclocross Bicycles</v>
      </c>
      <c r="G744">
        <v>1</v>
      </c>
      <c r="H744">
        <v>1549</v>
      </c>
      <c r="I744" s="5">
        <v>0.2</v>
      </c>
      <c r="J744">
        <f t="shared" si="22"/>
        <v>1239.2</v>
      </c>
      <c r="K744" s="9">
        <f t="shared" si="23"/>
        <v>0.24861633378001166</v>
      </c>
    </row>
    <row r="745" spans="1:11" x14ac:dyDescent="0.3">
      <c r="A745">
        <v>264</v>
      </c>
      <c r="B745">
        <v>2</v>
      </c>
      <c r="C745">
        <v>24</v>
      </c>
      <c r="D745" t="str">
        <f>VLOOKUP($C745,products!$A$1:$F$322,MATCH(order_items!$D$1,products!$A$1:$F$1,0),FALSE)</f>
        <v>Electra Townie Original 21D - 2016</v>
      </c>
      <c r="E745">
        <f>VLOOKUP($C745,products!$A$1:$F$322,MATCH(order_items!$E$1,products!$A$1:$F$1,0),FALSE)</f>
        <v>2</v>
      </c>
      <c r="F745" t="str">
        <f>VLOOKUP($E745,categories!$A$1:$B$8,MATCH(order_items!$F$1,categories!$A$1:$B$1,0),FALSE)</f>
        <v>Comfort Bicycles</v>
      </c>
      <c r="G745">
        <v>2</v>
      </c>
      <c r="H745">
        <v>549.99</v>
      </c>
      <c r="I745" s="5">
        <v>0.05</v>
      </c>
      <c r="J745">
        <f t="shared" si="22"/>
        <v>1044.981</v>
      </c>
      <c r="K745" s="9">
        <f t="shared" si="23"/>
        <v>-0.48993857929220308</v>
      </c>
    </row>
    <row r="746" spans="1:11" x14ac:dyDescent="0.3">
      <c r="A746">
        <v>264</v>
      </c>
      <c r="B746">
        <v>3</v>
      </c>
      <c r="C746">
        <v>15</v>
      </c>
      <c r="D746" t="str">
        <f>VLOOKUP($C746,products!$A$1:$F$322,MATCH(order_items!$D$1,products!$A$1:$F$1,0),FALSE)</f>
        <v>Electra Moto 1 - 2016</v>
      </c>
      <c r="E746">
        <f>VLOOKUP($C746,products!$A$1:$F$322,MATCH(order_items!$E$1,products!$A$1:$F$1,0),FALSE)</f>
        <v>3</v>
      </c>
      <c r="F746" t="str">
        <f>VLOOKUP($E746,categories!$A$1:$B$8,MATCH(order_items!$F$1,categories!$A$1:$B$1,0),FALSE)</f>
        <v>Cruisers Bicycles</v>
      </c>
      <c r="G746">
        <v>2</v>
      </c>
      <c r="H746">
        <v>529.99</v>
      </c>
      <c r="I746" s="5">
        <v>0.1</v>
      </c>
      <c r="J746">
        <f t="shared" si="22"/>
        <v>953.98200000000008</v>
      </c>
      <c r="K746" s="9">
        <f t="shared" si="23"/>
        <v>-0.50472431543242624</v>
      </c>
    </row>
    <row r="747" spans="1:11" x14ac:dyDescent="0.3">
      <c r="A747">
        <v>264</v>
      </c>
      <c r="B747">
        <v>4</v>
      </c>
      <c r="C747">
        <v>3</v>
      </c>
      <c r="D747" t="str">
        <f>VLOOKUP($C747,products!$A$1:$F$322,MATCH(order_items!$D$1,products!$A$1:$F$1,0),FALSE)</f>
        <v>Surly Wednesday Frameset - 2016</v>
      </c>
      <c r="E747">
        <f>VLOOKUP($C747,products!$A$1:$F$322,MATCH(order_items!$E$1,products!$A$1:$F$1,0),FALSE)</f>
        <v>6</v>
      </c>
      <c r="F747" t="str">
        <f>VLOOKUP($E747,categories!$A$1:$B$8,MATCH(order_items!$F$1,categories!$A$1:$B$1,0),FALSE)</f>
        <v>Mountain Bikes</v>
      </c>
      <c r="G747">
        <v>2</v>
      </c>
      <c r="H747">
        <v>999.99</v>
      </c>
      <c r="I747" s="5">
        <v>7.0000000000000007E-2</v>
      </c>
      <c r="J747">
        <f t="shared" si="22"/>
        <v>1859.9813999999999</v>
      </c>
      <c r="K747" s="9">
        <f t="shared" si="23"/>
        <v>-0.15725951613718298</v>
      </c>
    </row>
    <row r="748" spans="1:11" x14ac:dyDescent="0.3">
      <c r="A748">
        <v>265</v>
      </c>
      <c r="B748">
        <v>1</v>
      </c>
      <c r="C748">
        <v>9</v>
      </c>
      <c r="D748" t="str">
        <f>VLOOKUP($C748,products!$A$1:$F$322,MATCH(order_items!$D$1,products!$A$1:$F$1,0),FALSE)</f>
        <v>Trek Conduit+ - 2016</v>
      </c>
      <c r="E748">
        <f>VLOOKUP($C748,products!$A$1:$F$322,MATCH(order_items!$E$1,products!$A$1:$F$1,0),FALSE)</f>
        <v>5</v>
      </c>
      <c r="F748" t="str">
        <f>VLOOKUP($E748,categories!$A$1:$B$8,MATCH(order_items!$F$1,categories!$A$1:$B$1,0),FALSE)</f>
        <v>Electric Bikes</v>
      </c>
      <c r="G748">
        <v>2</v>
      </c>
      <c r="H748">
        <v>2999.99</v>
      </c>
      <c r="I748" s="5">
        <v>0.2</v>
      </c>
      <c r="J748">
        <f t="shared" si="22"/>
        <v>4799.9839999999995</v>
      </c>
      <c r="K748" s="9">
        <f t="shared" si="23"/>
        <v>1.3213140978851283</v>
      </c>
    </row>
    <row r="749" spans="1:11" x14ac:dyDescent="0.3">
      <c r="A749">
        <v>266</v>
      </c>
      <c r="B749">
        <v>1</v>
      </c>
      <c r="C749">
        <v>6</v>
      </c>
      <c r="D749" t="str">
        <f>VLOOKUP($C749,products!$A$1:$F$322,MATCH(order_items!$D$1,products!$A$1:$F$1,0),FALSE)</f>
        <v>Surly Ice Cream Truck Frameset - 2016</v>
      </c>
      <c r="E749">
        <f>VLOOKUP($C749,products!$A$1:$F$322,MATCH(order_items!$E$1,products!$A$1:$F$1,0),FALSE)</f>
        <v>6</v>
      </c>
      <c r="F749" t="str">
        <f>VLOOKUP($E749,categories!$A$1:$B$8,MATCH(order_items!$F$1,categories!$A$1:$B$1,0),FALSE)</f>
        <v>Mountain Bikes</v>
      </c>
      <c r="G749">
        <v>2</v>
      </c>
      <c r="H749">
        <v>469.99</v>
      </c>
      <c r="I749" s="5">
        <v>7.0000000000000007E-2</v>
      </c>
      <c r="J749">
        <f t="shared" si="22"/>
        <v>874.18139999999994</v>
      </c>
      <c r="K749" s="9">
        <f t="shared" si="23"/>
        <v>-0.5490815238530955</v>
      </c>
    </row>
    <row r="750" spans="1:11" x14ac:dyDescent="0.3">
      <c r="A750">
        <v>266</v>
      </c>
      <c r="B750">
        <v>2</v>
      </c>
      <c r="C750">
        <v>19</v>
      </c>
      <c r="D750" t="str">
        <f>VLOOKUP($C750,products!$A$1:$F$322,MATCH(order_items!$D$1,products!$A$1:$F$1,0),FALSE)</f>
        <v>Pure Cycles William 3-Speed - 2016</v>
      </c>
      <c r="E750">
        <f>VLOOKUP($C750,products!$A$1:$F$322,MATCH(order_items!$E$1,products!$A$1:$F$1,0),FALSE)</f>
        <v>3</v>
      </c>
      <c r="F750" t="str">
        <f>VLOOKUP($E750,categories!$A$1:$B$8,MATCH(order_items!$F$1,categories!$A$1:$B$1,0),FALSE)</f>
        <v>Cruisers Bicycles</v>
      </c>
      <c r="G750">
        <v>1</v>
      </c>
      <c r="H750">
        <v>449</v>
      </c>
      <c r="I750" s="5">
        <v>0.2</v>
      </c>
      <c r="J750">
        <f t="shared" si="22"/>
        <v>359.20000000000005</v>
      </c>
      <c r="K750" s="9">
        <f t="shared" si="23"/>
        <v>-0.56459915393225968</v>
      </c>
    </row>
    <row r="751" spans="1:11" x14ac:dyDescent="0.3">
      <c r="A751">
        <v>266</v>
      </c>
      <c r="B751">
        <v>3</v>
      </c>
      <c r="C751">
        <v>25</v>
      </c>
      <c r="D751" t="str">
        <f>VLOOKUP($C751,products!$A$1:$F$322,MATCH(order_items!$D$1,products!$A$1:$F$1,0),FALSE)</f>
        <v>Electra Townie Original 7D - 2015/2016</v>
      </c>
      <c r="E751">
        <f>VLOOKUP($C751,products!$A$1:$F$322,MATCH(order_items!$E$1,products!$A$1:$F$1,0),FALSE)</f>
        <v>2</v>
      </c>
      <c r="F751" t="str">
        <f>VLOOKUP($E751,categories!$A$1:$B$8,MATCH(order_items!$F$1,categories!$A$1:$B$1,0),FALSE)</f>
        <v>Comfort Bicycles</v>
      </c>
      <c r="G751">
        <v>1</v>
      </c>
      <c r="H751">
        <v>499.99</v>
      </c>
      <c r="I751" s="5">
        <v>0.05</v>
      </c>
      <c r="J751">
        <f t="shared" si="22"/>
        <v>474.9905</v>
      </c>
      <c r="K751" s="9">
        <f t="shared" si="23"/>
        <v>-0.52690291964276081</v>
      </c>
    </row>
    <row r="752" spans="1:11" x14ac:dyDescent="0.3">
      <c r="A752">
        <v>267</v>
      </c>
      <c r="B752">
        <v>1</v>
      </c>
      <c r="C752">
        <v>22</v>
      </c>
      <c r="D752" t="str">
        <f>VLOOKUP($C752,products!$A$1:$F$322,MATCH(order_items!$D$1,products!$A$1:$F$1,0),FALSE)</f>
        <v>Electra Girl's Hawaii 1 (16-inch) - 2015/2016</v>
      </c>
      <c r="E752">
        <f>VLOOKUP($C752,products!$A$1:$F$322,MATCH(order_items!$E$1,products!$A$1:$F$1,0),FALSE)</f>
        <v>1</v>
      </c>
      <c r="F752" t="str">
        <f>VLOOKUP($E752,categories!$A$1:$B$8,MATCH(order_items!$F$1,categories!$A$1:$B$1,0),FALSE)</f>
        <v>Children Bicycles</v>
      </c>
      <c r="G752">
        <v>2</v>
      </c>
      <c r="H752">
        <v>269.99</v>
      </c>
      <c r="I752" s="5">
        <v>0.2</v>
      </c>
      <c r="J752">
        <f t="shared" si="22"/>
        <v>431.98400000000004</v>
      </c>
      <c r="K752" s="9">
        <f t="shared" si="23"/>
        <v>-0.69693888525532666</v>
      </c>
    </row>
    <row r="753" spans="1:11" x14ac:dyDescent="0.3">
      <c r="A753">
        <v>267</v>
      </c>
      <c r="B753">
        <v>2</v>
      </c>
      <c r="C753">
        <v>23</v>
      </c>
      <c r="D753" t="str">
        <f>VLOOKUP($C753,products!$A$1:$F$322,MATCH(order_items!$D$1,products!$A$1:$F$1,0),FALSE)</f>
        <v>Electra Girl's Hawaii 1 (20-inch) - 2015/2016</v>
      </c>
      <c r="E753">
        <f>VLOOKUP($C753,products!$A$1:$F$322,MATCH(order_items!$E$1,products!$A$1:$F$1,0),FALSE)</f>
        <v>1</v>
      </c>
      <c r="F753" t="str">
        <f>VLOOKUP($E753,categories!$A$1:$B$8,MATCH(order_items!$F$1,categories!$A$1:$B$1,0),FALSE)</f>
        <v>Children Bicycles</v>
      </c>
      <c r="G753">
        <v>2</v>
      </c>
      <c r="H753">
        <v>299.99</v>
      </c>
      <c r="I753" s="5">
        <v>0.1</v>
      </c>
      <c r="J753">
        <f t="shared" si="22"/>
        <v>539.98200000000008</v>
      </c>
      <c r="K753" s="9">
        <f t="shared" si="23"/>
        <v>-0.67476028104499197</v>
      </c>
    </row>
    <row r="754" spans="1:11" x14ac:dyDescent="0.3">
      <c r="A754">
        <v>267</v>
      </c>
      <c r="B754">
        <v>3</v>
      </c>
      <c r="C754">
        <v>24</v>
      </c>
      <c r="D754" t="str">
        <f>VLOOKUP($C754,products!$A$1:$F$322,MATCH(order_items!$D$1,products!$A$1:$F$1,0),FALSE)</f>
        <v>Electra Townie Original 21D - 2016</v>
      </c>
      <c r="E754">
        <f>VLOOKUP($C754,products!$A$1:$F$322,MATCH(order_items!$E$1,products!$A$1:$F$1,0),FALSE)</f>
        <v>2</v>
      </c>
      <c r="F754" t="str">
        <f>VLOOKUP($E754,categories!$A$1:$B$8,MATCH(order_items!$F$1,categories!$A$1:$B$1,0),FALSE)</f>
        <v>Comfort Bicycles</v>
      </c>
      <c r="G754">
        <v>1</v>
      </c>
      <c r="H754">
        <v>549.99</v>
      </c>
      <c r="I754" s="5">
        <v>0.1</v>
      </c>
      <c r="J754">
        <f t="shared" si="22"/>
        <v>494.99100000000004</v>
      </c>
      <c r="K754" s="9">
        <f t="shared" si="23"/>
        <v>-0.48993857929220308</v>
      </c>
    </row>
    <row r="755" spans="1:11" x14ac:dyDescent="0.3">
      <c r="A755">
        <v>267</v>
      </c>
      <c r="B755">
        <v>4</v>
      </c>
      <c r="C755">
        <v>7</v>
      </c>
      <c r="D755" t="str">
        <f>VLOOKUP($C755,products!$A$1:$F$322,MATCH(order_items!$D$1,products!$A$1:$F$1,0),FALSE)</f>
        <v>Trek Slash 8 27.5 - 2016</v>
      </c>
      <c r="E755">
        <f>VLOOKUP($C755,products!$A$1:$F$322,MATCH(order_items!$E$1,products!$A$1:$F$1,0),FALSE)</f>
        <v>6</v>
      </c>
      <c r="F755" t="str">
        <f>VLOOKUP($E755,categories!$A$1:$B$8,MATCH(order_items!$F$1,categories!$A$1:$B$1,0),FALSE)</f>
        <v>Mountain Bikes</v>
      </c>
      <c r="G755">
        <v>2</v>
      </c>
      <c r="H755">
        <v>3999.99</v>
      </c>
      <c r="I755" s="5">
        <v>7.0000000000000007E-2</v>
      </c>
      <c r="J755">
        <f t="shared" si="22"/>
        <v>7439.9813999999988</v>
      </c>
      <c r="K755" s="9">
        <f t="shared" si="23"/>
        <v>2.0606009048962846</v>
      </c>
    </row>
    <row r="756" spans="1:11" x14ac:dyDescent="0.3">
      <c r="A756">
        <v>267</v>
      </c>
      <c r="B756">
        <v>5</v>
      </c>
      <c r="C756">
        <v>21</v>
      </c>
      <c r="D756" t="str">
        <f>VLOOKUP($C756,products!$A$1:$F$322,MATCH(order_items!$D$1,products!$A$1:$F$1,0),FALSE)</f>
        <v>Electra Cruiser 1 (24-Inch) - 2016</v>
      </c>
      <c r="E756">
        <f>VLOOKUP($C756,products!$A$1:$F$322,MATCH(order_items!$E$1,products!$A$1:$F$1,0),FALSE)</f>
        <v>1</v>
      </c>
      <c r="F756" t="str">
        <f>VLOOKUP($E756,categories!$A$1:$B$8,MATCH(order_items!$F$1,categories!$A$1:$B$1,0),FALSE)</f>
        <v>Children Bicycles</v>
      </c>
      <c r="G756">
        <v>1</v>
      </c>
      <c r="H756">
        <v>269.99</v>
      </c>
      <c r="I756" s="5">
        <v>0.05</v>
      </c>
      <c r="J756">
        <f t="shared" si="22"/>
        <v>256.4905</v>
      </c>
      <c r="K756" s="9">
        <f t="shared" si="23"/>
        <v>-0.69693888525532666</v>
      </c>
    </row>
    <row r="757" spans="1:11" x14ac:dyDescent="0.3">
      <c r="A757">
        <v>268</v>
      </c>
      <c r="B757">
        <v>1</v>
      </c>
      <c r="C757">
        <v>7</v>
      </c>
      <c r="D757" t="str">
        <f>VLOOKUP($C757,products!$A$1:$F$322,MATCH(order_items!$D$1,products!$A$1:$F$1,0),FALSE)</f>
        <v>Trek Slash 8 27.5 - 2016</v>
      </c>
      <c r="E757">
        <f>VLOOKUP($C757,products!$A$1:$F$322,MATCH(order_items!$E$1,products!$A$1:$F$1,0),FALSE)</f>
        <v>6</v>
      </c>
      <c r="F757" t="str">
        <f>VLOOKUP($E757,categories!$A$1:$B$8,MATCH(order_items!$F$1,categories!$A$1:$B$1,0),FALSE)</f>
        <v>Mountain Bikes</v>
      </c>
      <c r="G757">
        <v>1</v>
      </c>
      <c r="H757">
        <v>3999.99</v>
      </c>
      <c r="I757" s="5">
        <v>0.05</v>
      </c>
      <c r="J757">
        <f t="shared" si="22"/>
        <v>3799.9904999999994</v>
      </c>
      <c r="K757" s="9">
        <f t="shared" si="23"/>
        <v>2.0606009048962846</v>
      </c>
    </row>
    <row r="758" spans="1:11" x14ac:dyDescent="0.3">
      <c r="A758">
        <v>268</v>
      </c>
      <c r="B758">
        <v>2</v>
      </c>
      <c r="C758">
        <v>6</v>
      </c>
      <c r="D758" t="str">
        <f>VLOOKUP($C758,products!$A$1:$F$322,MATCH(order_items!$D$1,products!$A$1:$F$1,0),FALSE)</f>
        <v>Surly Ice Cream Truck Frameset - 2016</v>
      </c>
      <c r="E758">
        <f>VLOOKUP($C758,products!$A$1:$F$322,MATCH(order_items!$E$1,products!$A$1:$F$1,0),FALSE)</f>
        <v>6</v>
      </c>
      <c r="F758" t="str">
        <f>VLOOKUP($E758,categories!$A$1:$B$8,MATCH(order_items!$F$1,categories!$A$1:$B$1,0),FALSE)</f>
        <v>Mountain Bikes</v>
      </c>
      <c r="G758">
        <v>2</v>
      </c>
      <c r="H758">
        <v>469.99</v>
      </c>
      <c r="I758" s="5">
        <v>0.2</v>
      </c>
      <c r="J758">
        <f t="shared" si="22"/>
        <v>751.98400000000004</v>
      </c>
      <c r="K758" s="9">
        <f t="shared" si="23"/>
        <v>-0.5490815238530955</v>
      </c>
    </row>
    <row r="759" spans="1:11" x14ac:dyDescent="0.3">
      <c r="A759">
        <v>268</v>
      </c>
      <c r="B759">
        <v>3</v>
      </c>
      <c r="C759">
        <v>9</v>
      </c>
      <c r="D759" t="str">
        <f>VLOOKUP($C759,products!$A$1:$F$322,MATCH(order_items!$D$1,products!$A$1:$F$1,0),FALSE)</f>
        <v>Trek Conduit+ - 2016</v>
      </c>
      <c r="E759">
        <f>VLOOKUP($C759,products!$A$1:$F$322,MATCH(order_items!$E$1,products!$A$1:$F$1,0),FALSE)</f>
        <v>5</v>
      </c>
      <c r="F759" t="str">
        <f>VLOOKUP($E759,categories!$A$1:$B$8,MATCH(order_items!$F$1,categories!$A$1:$B$1,0),FALSE)</f>
        <v>Electric Bikes</v>
      </c>
      <c r="G759">
        <v>1</v>
      </c>
      <c r="H759">
        <v>2999.99</v>
      </c>
      <c r="I759" s="5">
        <v>0.1</v>
      </c>
      <c r="J759">
        <f t="shared" si="22"/>
        <v>2699.991</v>
      </c>
      <c r="K759" s="9">
        <f t="shared" si="23"/>
        <v>1.3213140978851283</v>
      </c>
    </row>
    <row r="760" spans="1:11" x14ac:dyDescent="0.3">
      <c r="A760">
        <v>269</v>
      </c>
      <c r="B760">
        <v>1</v>
      </c>
      <c r="C760">
        <v>5</v>
      </c>
      <c r="D760" t="str">
        <f>VLOOKUP($C760,products!$A$1:$F$322,MATCH(order_items!$D$1,products!$A$1:$F$1,0),FALSE)</f>
        <v>Heller Shagamaw Frame - 2016</v>
      </c>
      <c r="E760">
        <f>VLOOKUP($C760,products!$A$1:$F$322,MATCH(order_items!$E$1,products!$A$1:$F$1,0),FALSE)</f>
        <v>6</v>
      </c>
      <c r="F760" t="str">
        <f>VLOOKUP($E760,categories!$A$1:$B$8,MATCH(order_items!$F$1,categories!$A$1:$B$1,0),FALSE)</f>
        <v>Mountain Bikes</v>
      </c>
      <c r="G760">
        <v>1</v>
      </c>
      <c r="H760">
        <v>1320.99</v>
      </c>
      <c r="I760" s="5">
        <v>7.0000000000000007E-2</v>
      </c>
      <c r="J760">
        <f t="shared" si="22"/>
        <v>1228.5207</v>
      </c>
      <c r="K760" s="9">
        <f t="shared" si="23"/>
        <v>8.0051548913398024E-2</v>
      </c>
    </row>
    <row r="761" spans="1:11" x14ac:dyDescent="0.3">
      <c r="A761">
        <v>269</v>
      </c>
      <c r="B761">
        <v>2</v>
      </c>
      <c r="C761">
        <v>23</v>
      </c>
      <c r="D761" t="str">
        <f>VLOOKUP($C761,products!$A$1:$F$322,MATCH(order_items!$D$1,products!$A$1:$F$1,0),FALSE)</f>
        <v>Electra Girl's Hawaii 1 (20-inch) - 2015/2016</v>
      </c>
      <c r="E761">
        <f>VLOOKUP($C761,products!$A$1:$F$322,MATCH(order_items!$E$1,products!$A$1:$F$1,0),FALSE)</f>
        <v>1</v>
      </c>
      <c r="F761" t="str">
        <f>VLOOKUP($E761,categories!$A$1:$B$8,MATCH(order_items!$F$1,categories!$A$1:$B$1,0),FALSE)</f>
        <v>Children Bicycles</v>
      </c>
      <c r="G761">
        <v>2</v>
      </c>
      <c r="H761">
        <v>299.99</v>
      </c>
      <c r="I761" s="5">
        <v>7.0000000000000007E-2</v>
      </c>
      <c r="J761">
        <f t="shared" si="22"/>
        <v>557.98140000000001</v>
      </c>
      <c r="K761" s="9">
        <f t="shared" si="23"/>
        <v>-0.67476028104499197</v>
      </c>
    </row>
    <row r="762" spans="1:11" x14ac:dyDescent="0.3">
      <c r="A762">
        <v>269</v>
      </c>
      <c r="B762">
        <v>3</v>
      </c>
      <c r="C762">
        <v>18</v>
      </c>
      <c r="D762" t="str">
        <f>VLOOKUP($C762,products!$A$1:$F$322,MATCH(order_items!$D$1,products!$A$1:$F$1,0),FALSE)</f>
        <v>Pure Cycles Western 3-Speed - Women's - 2015/2016</v>
      </c>
      <c r="E762">
        <f>VLOOKUP($C762,products!$A$1:$F$322,MATCH(order_items!$E$1,products!$A$1:$F$1,0),FALSE)</f>
        <v>3</v>
      </c>
      <c r="F762" t="str">
        <f>VLOOKUP($E762,categories!$A$1:$B$8,MATCH(order_items!$F$1,categories!$A$1:$B$1,0),FALSE)</f>
        <v>Cruisers Bicycles</v>
      </c>
      <c r="G762">
        <v>1</v>
      </c>
      <c r="H762">
        <v>449</v>
      </c>
      <c r="I762" s="5">
        <v>0.05</v>
      </c>
      <c r="J762">
        <f t="shared" si="22"/>
        <v>426.54999999999995</v>
      </c>
      <c r="K762" s="9">
        <f t="shared" si="23"/>
        <v>-0.56459915393225968</v>
      </c>
    </row>
    <row r="763" spans="1:11" x14ac:dyDescent="0.3">
      <c r="A763">
        <v>269</v>
      </c>
      <c r="B763">
        <v>4</v>
      </c>
      <c r="C763">
        <v>3</v>
      </c>
      <c r="D763" t="str">
        <f>VLOOKUP($C763,products!$A$1:$F$322,MATCH(order_items!$D$1,products!$A$1:$F$1,0),FALSE)</f>
        <v>Surly Wednesday Frameset - 2016</v>
      </c>
      <c r="E763">
        <f>VLOOKUP($C763,products!$A$1:$F$322,MATCH(order_items!$E$1,products!$A$1:$F$1,0),FALSE)</f>
        <v>6</v>
      </c>
      <c r="F763" t="str">
        <f>VLOOKUP($E763,categories!$A$1:$B$8,MATCH(order_items!$F$1,categories!$A$1:$B$1,0),FALSE)</f>
        <v>Mountain Bikes</v>
      </c>
      <c r="G763">
        <v>1</v>
      </c>
      <c r="H763">
        <v>999.99</v>
      </c>
      <c r="I763" s="5">
        <v>0.05</v>
      </c>
      <c r="J763">
        <f t="shared" si="22"/>
        <v>949.9905</v>
      </c>
      <c r="K763" s="9">
        <f t="shared" si="23"/>
        <v>-0.15725951613718298</v>
      </c>
    </row>
    <row r="764" spans="1:11" x14ac:dyDescent="0.3">
      <c r="A764">
        <v>270</v>
      </c>
      <c r="B764">
        <v>1</v>
      </c>
      <c r="C764">
        <v>25</v>
      </c>
      <c r="D764" t="str">
        <f>VLOOKUP($C764,products!$A$1:$F$322,MATCH(order_items!$D$1,products!$A$1:$F$1,0),FALSE)</f>
        <v>Electra Townie Original 7D - 2015/2016</v>
      </c>
      <c r="E764">
        <f>VLOOKUP($C764,products!$A$1:$F$322,MATCH(order_items!$E$1,products!$A$1:$F$1,0),FALSE)</f>
        <v>2</v>
      </c>
      <c r="F764" t="str">
        <f>VLOOKUP($E764,categories!$A$1:$B$8,MATCH(order_items!$F$1,categories!$A$1:$B$1,0),FALSE)</f>
        <v>Comfort Bicycles</v>
      </c>
      <c r="G764">
        <v>2</v>
      </c>
      <c r="H764">
        <v>499.99</v>
      </c>
      <c r="I764" s="5">
        <v>0.2</v>
      </c>
      <c r="J764">
        <f t="shared" si="22"/>
        <v>799.98400000000004</v>
      </c>
      <c r="K764" s="9">
        <f t="shared" si="23"/>
        <v>-0.52690291964276081</v>
      </c>
    </row>
    <row r="765" spans="1:11" x14ac:dyDescent="0.3">
      <c r="A765">
        <v>270</v>
      </c>
      <c r="B765">
        <v>2</v>
      </c>
      <c r="C765">
        <v>15</v>
      </c>
      <c r="D765" t="str">
        <f>VLOOKUP($C765,products!$A$1:$F$322,MATCH(order_items!$D$1,products!$A$1:$F$1,0),FALSE)</f>
        <v>Electra Moto 1 - 2016</v>
      </c>
      <c r="E765">
        <f>VLOOKUP($C765,products!$A$1:$F$322,MATCH(order_items!$E$1,products!$A$1:$F$1,0),FALSE)</f>
        <v>3</v>
      </c>
      <c r="F765" t="str">
        <f>VLOOKUP($E765,categories!$A$1:$B$8,MATCH(order_items!$F$1,categories!$A$1:$B$1,0),FALSE)</f>
        <v>Cruisers Bicycles</v>
      </c>
      <c r="G765">
        <v>1</v>
      </c>
      <c r="H765">
        <v>529.99</v>
      </c>
      <c r="I765" s="5">
        <v>0.1</v>
      </c>
      <c r="J765">
        <f t="shared" si="22"/>
        <v>476.99100000000004</v>
      </c>
      <c r="K765" s="9">
        <f t="shared" si="23"/>
        <v>-0.50472431543242624</v>
      </c>
    </row>
    <row r="766" spans="1:11" x14ac:dyDescent="0.3">
      <c r="A766">
        <v>271</v>
      </c>
      <c r="B766">
        <v>1</v>
      </c>
      <c r="C766">
        <v>11</v>
      </c>
      <c r="D766" t="str">
        <f>VLOOKUP($C766,products!$A$1:$F$322,MATCH(order_items!$D$1,products!$A$1:$F$1,0),FALSE)</f>
        <v>Surly Straggler 650b - 2016</v>
      </c>
      <c r="E766">
        <f>VLOOKUP($C766,products!$A$1:$F$322,MATCH(order_items!$E$1,products!$A$1:$F$1,0),FALSE)</f>
        <v>4</v>
      </c>
      <c r="F766" t="str">
        <f>VLOOKUP($E766,categories!$A$1:$B$8,MATCH(order_items!$F$1,categories!$A$1:$B$1,0),FALSE)</f>
        <v>Cyclocross Bicycles</v>
      </c>
      <c r="G766">
        <v>2</v>
      </c>
      <c r="H766">
        <v>1680.99</v>
      </c>
      <c r="I766" s="5">
        <v>7.0000000000000007E-2</v>
      </c>
      <c r="J766">
        <f t="shared" si="22"/>
        <v>3126.6414</v>
      </c>
      <c r="K766" s="9">
        <f t="shared" si="23"/>
        <v>0.3461947994374141</v>
      </c>
    </row>
    <row r="767" spans="1:11" x14ac:dyDescent="0.3">
      <c r="A767">
        <v>271</v>
      </c>
      <c r="B767">
        <v>2</v>
      </c>
      <c r="C767">
        <v>6</v>
      </c>
      <c r="D767" t="str">
        <f>VLOOKUP($C767,products!$A$1:$F$322,MATCH(order_items!$D$1,products!$A$1:$F$1,0),FALSE)</f>
        <v>Surly Ice Cream Truck Frameset - 2016</v>
      </c>
      <c r="E767">
        <f>VLOOKUP($C767,products!$A$1:$F$322,MATCH(order_items!$E$1,products!$A$1:$F$1,0),FALSE)</f>
        <v>6</v>
      </c>
      <c r="F767" t="str">
        <f>VLOOKUP($E767,categories!$A$1:$B$8,MATCH(order_items!$F$1,categories!$A$1:$B$1,0),FALSE)</f>
        <v>Mountain Bikes</v>
      </c>
      <c r="G767">
        <v>2</v>
      </c>
      <c r="H767">
        <v>469.99</v>
      </c>
      <c r="I767" s="5">
        <v>0.05</v>
      </c>
      <c r="J767">
        <f t="shared" si="22"/>
        <v>892.98099999999999</v>
      </c>
      <c r="K767" s="9">
        <f t="shared" si="23"/>
        <v>-0.5490815238530955</v>
      </c>
    </row>
    <row r="768" spans="1:11" x14ac:dyDescent="0.3">
      <c r="A768">
        <v>271</v>
      </c>
      <c r="B768">
        <v>3</v>
      </c>
      <c r="C768">
        <v>13</v>
      </c>
      <c r="D768" t="str">
        <f>VLOOKUP($C768,products!$A$1:$F$322,MATCH(order_items!$D$1,products!$A$1:$F$1,0),FALSE)</f>
        <v>Electra Cruiser 1 (24-Inch) - 2016</v>
      </c>
      <c r="E768">
        <f>VLOOKUP($C768,products!$A$1:$F$322,MATCH(order_items!$E$1,products!$A$1:$F$1,0),FALSE)</f>
        <v>3</v>
      </c>
      <c r="F768" t="str">
        <f>VLOOKUP($E768,categories!$A$1:$B$8,MATCH(order_items!$F$1,categories!$A$1:$B$1,0),FALSE)</f>
        <v>Cruisers Bicycles</v>
      </c>
      <c r="G768">
        <v>1</v>
      </c>
      <c r="H768">
        <v>269.99</v>
      </c>
      <c r="I768" s="5">
        <v>0.1</v>
      </c>
      <c r="J768">
        <f t="shared" si="22"/>
        <v>242.99100000000001</v>
      </c>
      <c r="K768" s="9">
        <f t="shared" si="23"/>
        <v>-0.69693888525532666</v>
      </c>
    </row>
    <row r="769" spans="1:11" x14ac:dyDescent="0.3">
      <c r="A769">
        <v>271</v>
      </c>
      <c r="B769">
        <v>4</v>
      </c>
      <c r="C769">
        <v>7</v>
      </c>
      <c r="D769" t="str">
        <f>VLOOKUP($C769,products!$A$1:$F$322,MATCH(order_items!$D$1,products!$A$1:$F$1,0),FALSE)</f>
        <v>Trek Slash 8 27.5 - 2016</v>
      </c>
      <c r="E769">
        <f>VLOOKUP($C769,products!$A$1:$F$322,MATCH(order_items!$E$1,products!$A$1:$F$1,0),FALSE)</f>
        <v>6</v>
      </c>
      <c r="F769" t="str">
        <f>VLOOKUP($E769,categories!$A$1:$B$8,MATCH(order_items!$F$1,categories!$A$1:$B$1,0),FALSE)</f>
        <v>Mountain Bikes</v>
      </c>
      <c r="G769">
        <v>2</v>
      </c>
      <c r="H769">
        <v>3999.99</v>
      </c>
      <c r="I769" s="5">
        <v>0.1</v>
      </c>
      <c r="J769">
        <f t="shared" si="22"/>
        <v>7199.982</v>
      </c>
      <c r="K769" s="9">
        <f t="shared" si="23"/>
        <v>2.0606009048962846</v>
      </c>
    </row>
    <row r="770" spans="1:11" x14ac:dyDescent="0.3">
      <c r="A770">
        <v>272</v>
      </c>
      <c r="B770">
        <v>1</v>
      </c>
      <c r="C770">
        <v>2</v>
      </c>
      <c r="D770" t="str">
        <f>VLOOKUP($C770,products!$A$1:$F$322,MATCH(order_items!$D$1,products!$A$1:$F$1,0),FALSE)</f>
        <v>Ritchey Timberwolf Frameset - 2016</v>
      </c>
      <c r="E770">
        <f>VLOOKUP($C770,products!$A$1:$F$322,MATCH(order_items!$E$1,products!$A$1:$F$1,0),FALSE)</f>
        <v>6</v>
      </c>
      <c r="F770" t="str">
        <f>VLOOKUP($E770,categories!$A$1:$B$8,MATCH(order_items!$F$1,categories!$A$1:$B$1,0),FALSE)</f>
        <v>Mountain Bikes</v>
      </c>
      <c r="G770">
        <v>2</v>
      </c>
      <c r="H770">
        <v>749.99</v>
      </c>
      <c r="I770" s="5">
        <v>7.0000000000000007E-2</v>
      </c>
      <c r="J770">
        <f t="shared" ref="J770:J833" si="24">G770*H770*(1-I770)</f>
        <v>1394.9813999999999</v>
      </c>
      <c r="K770" s="9">
        <f t="shared" ref="K770:K833" si="25">($H770-$M$7)/$M$9</f>
        <v>-0.34208121788997192</v>
      </c>
    </row>
    <row r="771" spans="1:11" x14ac:dyDescent="0.3">
      <c r="A771">
        <v>272</v>
      </c>
      <c r="B771">
        <v>2</v>
      </c>
      <c r="C771">
        <v>11</v>
      </c>
      <c r="D771" t="str">
        <f>VLOOKUP($C771,products!$A$1:$F$322,MATCH(order_items!$D$1,products!$A$1:$F$1,0),FALSE)</f>
        <v>Surly Straggler 650b - 2016</v>
      </c>
      <c r="E771">
        <f>VLOOKUP($C771,products!$A$1:$F$322,MATCH(order_items!$E$1,products!$A$1:$F$1,0),FALSE)</f>
        <v>4</v>
      </c>
      <c r="F771" t="str">
        <f>VLOOKUP($E771,categories!$A$1:$B$8,MATCH(order_items!$F$1,categories!$A$1:$B$1,0),FALSE)</f>
        <v>Cyclocross Bicycles</v>
      </c>
      <c r="G771">
        <v>1</v>
      </c>
      <c r="H771">
        <v>1680.99</v>
      </c>
      <c r="I771" s="5">
        <v>7.0000000000000007E-2</v>
      </c>
      <c r="J771">
        <f t="shared" si="24"/>
        <v>1563.3207</v>
      </c>
      <c r="K771" s="9">
        <f t="shared" si="25"/>
        <v>0.3461947994374141</v>
      </c>
    </row>
    <row r="772" spans="1:11" x14ac:dyDescent="0.3">
      <c r="A772">
        <v>273</v>
      </c>
      <c r="B772">
        <v>1</v>
      </c>
      <c r="C772">
        <v>21</v>
      </c>
      <c r="D772" t="str">
        <f>VLOOKUP($C772,products!$A$1:$F$322,MATCH(order_items!$D$1,products!$A$1:$F$1,0),FALSE)</f>
        <v>Electra Cruiser 1 (24-Inch) - 2016</v>
      </c>
      <c r="E772">
        <f>VLOOKUP($C772,products!$A$1:$F$322,MATCH(order_items!$E$1,products!$A$1:$F$1,0),FALSE)</f>
        <v>1</v>
      </c>
      <c r="F772" t="str">
        <f>VLOOKUP($E772,categories!$A$1:$B$8,MATCH(order_items!$F$1,categories!$A$1:$B$1,0),FALSE)</f>
        <v>Children Bicycles</v>
      </c>
      <c r="G772">
        <v>1</v>
      </c>
      <c r="H772">
        <v>269.99</v>
      </c>
      <c r="I772" s="5">
        <v>0.1</v>
      </c>
      <c r="J772">
        <f t="shared" si="24"/>
        <v>242.99100000000001</v>
      </c>
      <c r="K772" s="9">
        <f t="shared" si="25"/>
        <v>-0.69693888525532666</v>
      </c>
    </row>
    <row r="773" spans="1:11" x14ac:dyDescent="0.3">
      <c r="A773">
        <v>274</v>
      </c>
      <c r="B773">
        <v>1</v>
      </c>
      <c r="C773">
        <v>11</v>
      </c>
      <c r="D773" t="str">
        <f>VLOOKUP($C773,products!$A$1:$F$322,MATCH(order_items!$D$1,products!$A$1:$F$1,0),FALSE)</f>
        <v>Surly Straggler 650b - 2016</v>
      </c>
      <c r="E773">
        <f>VLOOKUP($C773,products!$A$1:$F$322,MATCH(order_items!$E$1,products!$A$1:$F$1,0),FALSE)</f>
        <v>4</v>
      </c>
      <c r="F773" t="str">
        <f>VLOOKUP($E773,categories!$A$1:$B$8,MATCH(order_items!$F$1,categories!$A$1:$B$1,0),FALSE)</f>
        <v>Cyclocross Bicycles</v>
      </c>
      <c r="G773">
        <v>2</v>
      </c>
      <c r="H773">
        <v>1680.99</v>
      </c>
      <c r="I773" s="5">
        <v>0.05</v>
      </c>
      <c r="J773">
        <f t="shared" si="24"/>
        <v>3193.8809999999999</v>
      </c>
      <c r="K773" s="9">
        <f t="shared" si="25"/>
        <v>0.3461947994374141</v>
      </c>
    </row>
    <row r="774" spans="1:11" x14ac:dyDescent="0.3">
      <c r="A774">
        <v>274</v>
      </c>
      <c r="B774">
        <v>2</v>
      </c>
      <c r="C774">
        <v>25</v>
      </c>
      <c r="D774" t="str">
        <f>VLOOKUP($C774,products!$A$1:$F$322,MATCH(order_items!$D$1,products!$A$1:$F$1,0),FALSE)</f>
        <v>Electra Townie Original 7D - 2015/2016</v>
      </c>
      <c r="E774">
        <f>VLOOKUP($C774,products!$A$1:$F$322,MATCH(order_items!$E$1,products!$A$1:$F$1,0),FALSE)</f>
        <v>2</v>
      </c>
      <c r="F774" t="str">
        <f>VLOOKUP($E774,categories!$A$1:$B$8,MATCH(order_items!$F$1,categories!$A$1:$B$1,0),FALSE)</f>
        <v>Comfort Bicycles</v>
      </c>
      <c r="G774">
        <v>2</v>
      </c>
      <c r="H774">
        <v>499.99</v>
      </c>
      <c r="I774" s="5">
        <v>0.1</v>
      </c>
      <c r="J774">
        <f t="shared" si="24"/>
        <v>899.98200000000008</v>
      </c>
      <c r="K774" s="9">
        <f t="shared" si="25"/>
        <v>-0.52690291964276081</v>
      </c>
    </row>
    <row r="775" spans="1:11" x14ac:dyDescent="0.3">
      <c r="A775">
        <v>274</v>
      </c>
      <c r="B775">
        <v>3</v>
      </c>
      <c r="C775">
        <v>9</v>
      </c>
      <c r="D775" t="str">
        <f>VLOOKUP($C775,products!$A$1:$F$322,MATCH(order_items!$D$1,products!$A$1:$F$1,0),FALSE)</f>
        <v>Trek Conduit+ - 2016</v>
      </c>
      <c r="E775">
        <f>VLOOKUP($C775,products!$A$1:$F$322,MATCH(order_items!$E$1,products!$A$1:$F$1,0),FALSE)</f>
        <v>5</v>
      </c>
      <c r="F775" t="str">
        <f>VLOOKUP($E775,categories!$A$1:$B$8,MATCH(order_items!$F$1,categories!$A$1:$B$1,0),FALSE)</f>
        <v>Electric Bikes</v>
      </c>
      <c r="G775">
        <v>2</v>
      </c>
      <c r="H775">
        <v>2999.99</v>
      </c>
      <c r="I775" s="5">
        <v>7.0000000000000007E-2</v>
      </c>
      <c r="J775">
        <f t="shared" si="24"/>
        <v>5579.9813999999997</v>
      </c>
      <c r="K775" s="9">
        <f t="shared" si="25"/>
        <v>1.3213140978851283</v>
      </c>
    </row>
    <row r="776" spans="1:11" x14ac:dyDescent="0.3">
      <c r="A776">
        <v>275</v>
      </c>
      <c r="B776">
        <v>1</v>
      </c>
      <c r="C776">
        <v>18</v>
      </c>
      <c r="D776" t="str">
        <f>VLOOKUP($C776,products!$A$1:$F$322,MATCH(order_items!$D$1,products!$A$1:$F$1,0),FALSE)</f>
        <v>Pure Cycles Western 3-Speed - Women's - 2015/2016</v>
      </c>
      <c r="E776">
        <f>VLOOKUP($C776,products!$A$1:$F$322,MATCH(order_items!$E$1,products!$A$1:$F$1,0),FALSE)</f>
        <v>3</v>
      </c>
      <c r="F776" t="str">
        <f>VLOOKUP($E776,categories!$A$1:$B$8,MATCH(order_items!$F$1,categories!$A$1:$B$1,0),FALSE)</f>
        <v>Cruisers Bicycles</v>
      </c>
      <c r="G776">
        <v>1</v>
      </c>
      <c r="H776">
        <v>449</v>
      </c>
      <c r="I776" s="5">
        <v>0.05</v>
      </c>
      <c r="J776">
        <f t="shared" si="24"/>
        <v>426.54999999999995</v>
      </c>
      <c r="K776" s="9">
        <f t="shared" si="25"/>
        <v>-0.56459915393225968</v>
      </c>
    </row>
    <row r="777" spans="1:11" x14ac:dyDescent="0.3">
      <c r="A777">
        <v>275</v>
      </c>
      <c r="B777">
        <v>2</v>
      </c>
      <c r="C777">
        <v>25</v>
      </c>
      <c r="D777" t="str">
        <f>VLOOKUP($C777,products!$A$1:$F$322,MATCH(order_items!$D$1,products!$A$1:$F$1,0),FALSE)</f>
        <v>Electra Townie Original 7D - 2015/2016</v>
      </c>
      <c r="E777">
        <f>VLOOKUP($C777,products!$A$1:$F$322,MATCH(order_items!$E$1,products!$A$1:$F$1,0),FALSE)</f>
        <v>2</v>
      </c>
      <c r="F777" t="str">
        <f>VLOOKUP($E777,categories!$A$1:$B$8,MATCH(order_items!$F$1,categories!$A$1:$B$1,0),FALSE)</f>
        <v>Comfort Bicycles</v>
      </c>
      <c r="G777">
        <v>1</v>
      </c>
      <c r="H777">
        <v>499.99</v>
      </c>
      <c r="I777" s="5">
        <v>0.1</v>
      </c>
      <c r="J777">
        <f t="shared" si="24"/>
        <v>449.99100000000004</v>
      </c>
      <c r="K777" s="9">
        <f t="shared" si="25"/>
        <v>-0.52690291964276081</v>
      </c>
    </row>
    <row r="778" spans="1:11" x14ac:dyDescent="0.3">
      <c r="A778">
        <v>275</v>
      </c>
      <c r="B778">
        <v>3</v>
      </c>
      <c r="C778">
        <v>7</v>
      </c>
      <c r="D778" t="str">
        <f>VLOOKUP($C778,products!$A$1:$F$322,MATCH(order_items!$D$1,products!$A$1:$F$1,0),FALSE)</f>
        <v>Trek Slash 8 27.5 - 2016</v>
      </c>
      <c r="E778">
        <f>VLOOKUP($C778,products!$A$1:$F$322,MATCH(order_items!$E$1,products!$A$1:$F$1,0),FALSE)</f>
        <v>6</v>
      </c>
      <c r="F778" t="str">
        <f>VLOOKUP($E778,categories!$A$1:$B$8,MATCH(order_items!$F$1,categories!$A$1:$B$1,0),FALSE)</f>
        <v>Mountain Bikes</v>
      </c>
      <c r="G778">
        <v>2</v>
      </c>
      <c r="H778">
        <v>3999.99</v>
      </c>
      <c r="I778" s="5">
        <v>0.05</v>
      </c>
      <c r="J778">
        <f t="shared" si="24"/>
        <v>7599.9809999999989</v>
      </c>
      <c r="K778" s="9">
        <f t="shared" si="25"/>
        <v>2.0606009048962846</v>
      </c>
    </row>
    <row r="779" spans="1:11" x14ac:dyDescent="0.3">
      <c r="A779">
        <v>276</v>
      </c>
      <c r="B779">
        <v>1</v>
      </c>
      <c r="C779">
        <v>3</v>
      </c>
      <c r="D779" t="str">
        <f>VLOOKUP($C779,products!$A$1:$F$322,MATCH(order_items!$D$1,products!$A$1:$F$1,0),FALSE)</f>
        <v>Surly Wednesday Frameset - 2016</v>
      </c>
      <c r="E779">
        <f>VLOOKUP($C779,products!$A$1:$F$322,MATCH(order_items!$E$1,products!$A$1:$F$1,0),FALSE)</f>
        <v>6</v>
      </c>
      <c r="F779" t="str">
        <f>VLOOKUP($E779,categories!$A$1:$B$8,MATCH(order_items!$F$1,categories!$A$1:$B$1,0),FALSE)</f>
        <v>Mountain Bikes</v>
      </c>
      <c r="G779">
        <v>2</v>
      </c>
      <c r="H779">
        <v>999.99</v>
      </c>
      <c r="I779" s="5">
        <v>0.2</v>
      </c>
      <c r="J779">
        <f t="shared" si="24"/>
        <v>1599.9840000000002</v>
      </c>
      <c r="K779" s="9">
        <f t="shared" si="25"/>
        <v>-0.15725951613718298</v>
      </c>
    </row>
    <row r="780" spans="1:11" x14ac:dyDescent="0.3">
      <c r="A780">
        <v>276</v>
      </c>
      <c r="B780">
        <v>2</v>
      </c>
      <c r="C780">
        <v>17</v>
      </c>
      <c r="D780" t="str">
        <f>VLOOKUP($C780,products!$A$1:$F$322,MATCH(order_items!$D$1,products!$A$1:$F$1,0),FALSE)</f>
        <v>Pure Cycles Vine 8-Speed - 2016</v>
      </c>
      <c r="E780">
        <f>VLOOKUP($C780,products!$A$1:$F$322,MATCH(order_items!$E$1,products!$A$1:$F$1,0),FALSE)</f>
        <v>3</v>
      </c>
      <c r="F780" t="str">
        <f>VLOOKUP($E780,categories!$A$1:$B$8,MATCH(order_items!$F$1,categories!$A$1:$B$1,0),FALSE)</f>
        <v>Cruisers Bicycles</v>
      </c>
      <c r="G780">
        <v>1</v>
      </c>
      <c r="H780">
        <v>429</v>
      </c>
      <c r="I780" s="5">
        <v>0.05</v>
      </c>
      <c r="J780">
        <f t="shared" si="24"/>
        <v>407.54999999999995</v>
      </c>
      <c r="K780" s="9">
        <f t="shared" si="25"/>
        <v>-0.57938489007248284</v>
      </c>
    </row>
    <row r="781" spans="1:11" x14ac:dyDescent="0.3">
      <c r="A781">
        <v>276</v>
      </c>
      <c r="B781">
        <v>3</v>
      </c>
      <c r="C781">
        <v>9</v>
      </c>
      <c r="D781" t="str">
        <f>VLOOKUP($C781,products!$A$1:$F$322,MATCH(order_items!$D$1,products!$A$1:$F$1,0),FALSE)</f>
        <v>Trek Conduit+ - 2016</v>
      </c>
      <c r="E781">
        <f>VLOOKUP($C781,products!$A$1:$F$322,MATCH(order_items!$E$1,products!$A$1:$F$1,0),FALSE)</f>
        <v>5</v>
      </c>
      <c r="F781" t="str">
        <f>VLOOKUP($E781,categories!$A$1:$B$8,MATCH(order_items!$F$1,categories!$A$1:$B$1,0),FALSE)</f>
        <v>Electric Bikes</v>
      </c>
      <c r="G781">
        <v>2</v>
      </c>
      <c r="H781">
        <v>2999.99</v>
      </c>
      <c r="I781" s="5">
        <v>7.0000000000000007E-2</v>
      </c>
      <c r="J781">
        <f t="shared" si="24"/>
        <v>5579.9813999999997</v>
      </c>
      <c r="K781" s="9">
        <f t="shared" si="25"/>
        <v>1.3213140978851283</v>
      </c>
    </row>
    <row r="782" spans="1:11" x14ac:dyDescent="0.3">
      <c r="A782">
        <v>277</v>
      </c>
      <c r="B782">
        <v>1</v>
      </c>
      <c r="C782">
        <v>20</v>
      </c>
      <c r="D782" t="str">
        <f>VLOOKUP($C782,products!$A$1:$F$322,MATCH(order_items!$D$1,products!$A$1:$F$1,0),FALSE)</f>
        <v>Electra Townie Original 7D EQ - Women's - 2016</v>
      </c>
      <c r="E782">
        <f>VLOOKUP($C782,products!$A$1:$F$322,MATCH(order_items!$E$1,products!$A$1:$F$1,0),FALSE)</f>
        <v>3</v>
      </c>
      <c r="F782" t="str">
        <f>VLOOKUP($E782,categories!$A$1:$B$8,MATCH(order_items!$F$1,categories!$A$1:$B$1,0),FALSE)</f>
        <v>Cruisers Bicycles</v>
      </c>
      <c r="G782">
        <v>2</v>
      </c>
      <c r="H782">
        <v>599.99</v>
      </c>
      <c r="I782" s="5">
        <v>0.2</v>
      </c>
      <c r="J782">
        <f t="shared" si="24"/>
        <v>959.98400000000004</v>
      </c>
      <c r="K782" s="9">
        <f t="shared" si="25"/>
        <v>-0.45297423894164529</v>
      </c>
    </row>
    <row r="783" spans="1:11" x14ac:dyDescent="0.3">
      <c r="A783">
        <v>277</v>
      </c>
      <c r="B783">
        <v>2</v>
      </c>
      <c r="C783">
        <v>6</v>
      </c>
      <c r="D783" t="str">
        <f>VLOOKUP($C783,products!$A$1:$F$322,MATCH(order_items!$D$1,products!$A$1:$F$1,0),FALSE)</f>
        <v>Surly Ice Cream Truck Frameset - 2016</v>
      </c>
      <c r="E783">
        <f>VLOOKUP($C783,products!$A$1:$F$322,MATCH(order_items!$E$1,products!$A$1:$F$1,0),FALSE)</f>
        <v>6</v>
      </c>
      <c r="F783" t="str">
        <f>VLOOKUP($E783,categories!$A$1:$B$8,MATCH(order_items!$F$1,categories!$A$1:$B$1,0),FALSE)</f>
        <v>Mountain Bikes</v>
      </c>
      <c r="G783">
        <v>2</v>
      </c>
      <c r="H783">
        <v>469.99</v>
      </c>
      <c r="I783" s="5">
        <v>0.2</v>
      </c>
      <c r="J783">
        <f t="shared" si="24"/>
        <v>751.98400000000004</v>
      </c>
      <c r="K783" s="9">
        <f t="shared" si="25"/>
        <v>-0.5490815238530955</v>
      </c>
    </row>
    <row r="784" spans="1:11" x14ac:dyDescent="0.3">
      <c r="A784">
        <v>277</v>
      </c>
      <c r="B784">
        <v>3</v>
      </c>
      <c r="C784">
        <v>13</v>
      </c>
      <c r="D784" t="str">
        <f>VLOOKUP($C784,products!$A$1:$F$322,MATCH(order_items!$D$1,products!$A$1:$F$1,0),FALSE)</f>
        <v>Electra Cruiser 1 (24-Inch) - 2016</v>
      </c>
      <c r="E784">
        <f>VLOOKUP($C784,products!$A$1:$F$322,MATCH(order_items!$E$1,products!$A$1:$F$1,0),FALSE)</f>
        <v>3</v>
      </c>
      <c r="F784" t="str">
        <f>VLOOKUP($E784,categories!$A$1:$B$8,MATCH(order_items!$F$1,categories!$A$1:$B$1,0),FALSE)</f>
        <v>Cruisers Bicycles</v>
      </c>
      <c r="G784">
        <v>2</v>
      </c>
      <c r="H784">
        <v>269.99</v>
      </c>
      <c r="I784" s="5">
        <v>0.1</v>
      </c>
      <c r="J784">
        <f t="shared" si="24"/>
        <v>485.98200000000003</v>
      </c>
      <c r="K784" s="9">
        <f t="shared" si="25"/>
        <v>-0.69693888525532666</v>
      </c>
    </row>
    <row r="785" spans="1:11" x14ac:dyDescent="0.3">
      <c r="A785">
        <v>278</v>
      </c>
      <c r="B785">
        <v>1</v>
      </c>
      <c r="C785">
        <v>16</v>
      </c>
      <c r="D785" t="str">
        <f>VLOOKUP($C785,products!$A$1:$F$322,MATCH(order_items!$D$1,products!$A$1:$F$1,0),FALSE)</f>
        <v>Electra Townie Original 7D EQ - 2016</v>
      </c>
      <c r="E785">
        <f>VLOOKUP($C785,products!$A$1:$F$322,MATCH(order_items!$E$1,products!$A$1:$F$1,0),FALSE)</f>
        <v>3</v>
      </c>
      <c r="F785" t="str">
        <f>VLOOKUP($E785,categories!$A$1:$B$8,MATCH(order_items!$F$1,categories!$A$1:$B$1,0),FALSE)</f>
        <v>Cruisers Bicycles</v>
      </c>
      <c r="G785">
        <v>1</v>
      </c>
      <c r="H785">
        <v>599.99</v>
      </c>
      <c r="I785" s="5">
        <v>0.2</v>
      </c>
      <c r="J785">
        <f t="shared" si="24"/>
        <v>479.99200000000002</v>
      </c>
      <c r="K785" s="9">
        <f t="shared" si="25"/>
        <v>-0.45297423894164529</v>
      </c>
    </row>
    <row r="786" spans="1:11" x14ac:dyDescent="0.3">
      <c r="A786">
        <v>278</v>
      </c>
      <c r="B786">
        <v>2</v>
      </c>
      <c r="C786">
        <v>19</v>
      </c>
      <c r="D786" t="str">
        <f>VLOOKUP($C786,products!$A$1:$F$322,MATCH(order_items!$D$1,products!$A$1:$F$1,0),FALSE)</f>
        <v>Pure Cycles William 3-Speed - 2016</v>
      </c>
      <c r="E786">
        <f>VLOOKUP($C786,products!$A$1:$F$322,MATCH(order_items!$E$1,products!$A$1:$F$1,0),FALSE)</f>
        <v>3</v>
      </c>
      <c r="F786" t="str">
        <f>VLOOKUP($E786,categories!$A$1:$B$8,MATCH(order_items!$F$1,categories!$A$1:$B$1,0),FALSE)</f>
        <v>Cruisers Bicycles</v>
      </c>
      <c r="G786">
        <v>2</v>
      </c>
      <c r="H786">
        <v>449</v>
      </c>
      <c r="I786" s="5">
        <v>7.0000000000000007E-2</v>
      </c>
      <c r="J786">
        <f t="shared" si="24"/>
        <v>835.14</v>
      </c>
      <c r="K786" s="9">
        <f t="shared" si="25"/>
        <v>-0.56459915393225968</v>
      </c>
    </row>
    <row r="787" spans="1:11" x14ac:dyDescent="0.3">
      <c r="A787">
        <v>278</v>
      </c>
      <c r="B787">
        <v>3</v>
      </c>
      <c r="C787">
        <v>13</v>
      </c>
      <c r="D787" t="str">
        <f>VLOOKUP($C787,products!$A$1:$F$322,MATCH(order_items!$D$1,products!$A$1:$F$1,0),FALSE)</f>
        <v>Electra Cruiser 1 (24-Inch) - 2016</v>
      </c>
      <c r="E787">
        <f>VLOOKUP($C787,products!$A$1:$F$322,MATCH(order_items!$E$1,products!$A$1:$F$1,0),FALSE)</f>
        <v>3</v>
      </c>
      <c r="F787" t="str">
        <f>VLOOKUP($E787,categories!$A$1:$B$8,MATCH(order_items!$F$1,categories!$A$1:$B$1,0),FALSE)</f>
        <v>Cruisers Bicycles</v>
      </c>
      <c r="G787">
        <v>1</v>
      </c>
      <c r="H787">
        <v>269.99</v>
      </c>
      <c r="I787" s="5">
        <v>7.0000000000000007E-2</v>
      </c>
      <c r="J787">
        <f t="shared" si="24"/>
        <v>251.0907</v>
      </c>
      <c r="K787" s="9">
        <f t="shared" si="25"/>
        <v>-0.69693888525532666</v>
      </c>
    </row>
    <row r="788" spans="1:11" x14ac:dyDescent="0.3">
      <c r="A788">
        <v>278</v>
      </c>
      <c r="B788">
        <v>4</v>
      </c>
      <c r="C788">
        <v>11</v>
      </c>
      <c r="D788" t="str">
        <f>VLOOKUP($C788,products!$A$1:$F$322,MATCH(order_items!$D$1,products!$A$1:$F$1,0),FALSE)</f>
        <v>Surly Straggler 650b - 2016</v>
      </c>
      <c r="E788">
        <f>VLOOKUP($C788,products!$A$1:$F$322,MATCH(order_items!$E$1,products!$A$1:$F$1,0),FALSE)</f>
        <v>4</v>
      </c>
      <c r="F788" t="str">
        <f>VLOOKUP($E788,categories!$A$1:$B$8,MATCH(order_items!$F$1,categories!$A$1:$B$1,0),FALSE)</f>
        <v>Cyclocross Bicycles</v>
      </c>
      <c r="G788">
        <v>2</v>
      </c>
      <c r="H788">
        <v>1680.99</v>
      </c>
      <c r="I788" s="5">
        <v>7.0000000000000007E-2</v>
      </c>
      <c r="J788">
        <f t="shared" si="24"/>
        <v>3126.6414</v>
      </c>
      <c r="K788" s="9">
        <f t="shared" si="25"/>
        <v>0.3461947994374141</v>
      </c>
    </row>
    <row r="789" spans="1:11" x14ac:dyDescent="0.3">
      <c r="A789">
        <v>279</v>
      </c>
      <c r="B789">
        <v>1</v>
      </c>
      <c r="C789">
        <v>25</v>
      </c>
      <c r="D789" t="str">
        <f>VLOOKUP($C789,products!$A$1:$F$322,MATCH(order_items!$D$1,products!$A$1:$F$1,0),FALSE)</f>
        <v>Electra Townie Original 7D - 2015/2016</v>
      </c>
      <c r="E789">
        <f>VLOOKUP($C789,products!$A$1:$F$322,MATCH(order_items!$E$1,products!$A$1:$F$1,0),FALSE)</f>
        <v>2</v>
      </c>
      <c r="F789" t="str">
        <f>VLOOKUP($E789,categories!$A$1:$B$8,MATCH(order_items!$F$1,categories!$A$1:$B$1,0),FALSE)</f>
        <v>Comfort Bicycles</v>
      </c>
      <c r="G789">
        <v>1</v>
      </c>
      <c r="H789">
        <v>499.99</v>
      </c>
      <c r="I789" s="5">
        <v>7.0000000000000007E-2</v>
      </c>
      <c r="J789">
        <f t="shared" si="24"/>
        <v>464.9907</v>
      </c>
      <c r="K789" s="9">
        <f t="shared" si="25"/>
        <v>-0.52690291964276081</v>
      </c>
    </row>
    <row r="790" spans="1:11" x14ac:dyDescent="0.3">
      <c r="A790">
        <v>280</v>
      </c>
      <c r="B790">
        <v>1</v>
      </c>
      <c r="C790">
        <v>25</v>
      </c>
      <c r="D790" t="str">
        <f>VLOOKUP($C790,products!$A$1:$F$322,MATCH(order_items!$D$1,products!$A$1:$F$1,0),FALSE)</f>
        <v>Electra Townie Original 7D - 2015/2016</v>
      </c>
      <c r="E790">
        <f>VLOOKUP($C790,products!$A$1:$F$322,MATCH(order_items!$E$1,products!$A$1:$F$1,0),FALSE)</f>
        <v>2</v>
      </c>
      <c r="F790" t="str">
        <f>VLOOKUP($E790,categories!$A$1:$B$8,MATCH(order_items!$F$1,categories!$A$1:$B$1,0),FALSE)</f>
        <v>Comfort Bicycles</v>
      </c>
      <c r="G790">
        <v>1</v>
      </c>
      <c r="H790">
        <v>499.99</v>
      </c>
      <c r="I790" s="5">
        <v>7.0000000000000007E-2</v>
      </c>
      <c r="J790">
        <f t="shared" si="24"/>
        <v>464.9907</v>
      </c>
      <c r="K790" s="9">
        <f t="shared" si="25"/>
        <v>-0.52690291964276081</v>
      </c>
    </row>
    <row r="791" spans="1:11" x14ac:dyDescent="0.3">
      <c r="A791">
        <v>280</v>
      </c>
      <c r="B791">
        <v>2</v>
      </c>
      <c r="C791">
        <v>26</v>
      </c>
      <c r="D791" t="str">
        <f>VLOOKUP($C791,products!$A$1:$F$322,MATCH(order_items!$D$1,products!$A$1:$F$1,0),FALSE)</f>
        <v>Electra Townie Original 7D EQ - 2016</v>
      </c>
      <c r="E791">
        <f>VLOOKUP($C791,products!$A$1:$F$322,MATCH(order_items!$E$1,products!$A$1:$F$1,0),FALSE)</f>
        <v>2</v>
      </c>
      <c r="F791" t="str">
        <f>VLOOKUP($E791,categories!$A$1:$B$8,MATCH(order_items!$F$1,categories!$A$1:$B$1,0),FALSE)</f>
        <v>Comfort Bicycles</v>
      </c>
      <c r="G791">
        <v>2</v>
      </c>
      <c r="H791">
        <v>599.99</v>
      </c>
      <c r="I791" s="5">
        <v>7.0000000000000007E-2</v>
      </c>
      <c r="J791">
        <f t="shared" si="24"/>
        <v>1115.9813999999999</v>
      </c>
      <c r="K791" s="9">
        <f t="shared" si="25"/>
        <v>-0.45297423894164529</v>
      </c>
    </row>
    <row r="792" spans="1:11" x14ac:dyDescent="0.3">
      <c r="A792">
        <v>280</v>
      </c>
      <c r="B792">
        <v>3</v>
      </c>
      <c r="C792">
        <v>13</v>
      </c>
      <c r="D792" t="str">
        <f>VLOOKUP($C792,products!$A$1:$F$322,MATCH(order_items!$D$1,products!$A$1:$F$1,0),FALSE)</f>
        <v>Electra Cruiser 1 (24-Inch) - 2016</v>
      </c>
      <c r="E792">
        <f>VLOOKUP($C792,products!$A$1:$F$322,MATCH(order_items!$E$1,products!$A$1:$F$1,0),FALSE)</f>
        <v>3</v>
      </c>
      <c r="F792" t="str">
        <f>VLOOKUP($E792,categories!$A$1:$B$8,MATCH(order_items!$F$1,categories!$A$1:$B$1,0),FALSE)</f>
        <v>Cruisers Bicycles</v>
      </c>
      <c r="G792">
        <v>1</v>
      </c>
      <c r="H792">
        <v>269.99</v>
      </c>
      <c r="I792" s="5">
        <v>7.0000000000000007E-2</v>
      </c>
      <c r="J792">
        <f t="shared" si="24"/>
        <v>251.0907</v>
      </c>
      <c r="K792" s="9">
        <f t="shared" si="25"/>
        <v>-0.69693888525532666</v>
      </c>
    </row>
    <row r="793" spans="1:11" x14ac:dyDescent="0.3">
      <c r="A793">
        <v>281</v>
      </c>
      <c r="B793">
        <v>1</v>
      </c>
      <c r="C793">
        <v>22</v>
      </c>
      <c r="D793" t="str">
        <f>VLOOKUP($C793,products!$A$1:$F$322,MATCH(order_items!$D$1,products!$A$1:$F$1,0),FALSE)</f>
        <v>Electra Girl's Hawaii 1 (16-inch) - 2015/2016</v>
      </c>
      <c r="E793">
        <f>VLOOKUP($C793,products!$A$1:$F$322,MATCH(order_items!$E$1,products!$A$1:$F$1,0),FALSE)</f>
        <v>1</v>
      </c>
      <c r="F793" t="str">
        <f>VLOOKUP($E793,categories!$A$1:$B$8,MATCH(order_items!$F$1,categories!$A$1:$B$1,0),FALSE)</f>
        <v>Children Bicycles</v>
      </c>
      <c r="G793">
        <v>1</v>
      </c>
      <c r="H793">
        <v>269.99</v>
      </c>
      <c r="I793" s="5">
        <v>7.0000000000000007E-2</v>
      </c>
      <c r="J793">
        <f t="shared" si="24"/>
        <v>251.0907</v>
      </c>
      <c r="K793" s="9">
        <f t="shared" si="25"/>
        <v>-0.69693888525532666</v>
      </c>
    </row>
    <row r="794" spans="1:11" x14ac:dyDescent="0.3">
      <c r="A794">
        <v>281</v>
      </c>
      <c r="B794">
        <v>2</v>
      </c>
      <c r="C794">
        <v>14</v>
      </c>
      <c r="D794" t="str">
        <f>VLOOKUP($C794,products!$A$1:$F$322,MATCH(order_items!$D$1,products!$A$1:$F$1,0),FALSE)</f>
        <v>Electra Girl's Hawaii 1 (16-inch) - 2015/2016</v>
      </c>
      <c r="E794">
        <f>VLOOKUP($C794,products!$A$1:$F$322,MATCH(order_items!$E$1,products!$A$1:$F$1,0),FALSE)</f>
        <v>3</v>
      </c>
      <c r="F794" t="str">
        <f>VLOOKUP($E794,categories!$A$1:$B$8,MATCH(order_items!$F$1,categories!$A$1:$B$1,0),FALSE)</f>
        <v>Cruisers Bicycles</v>
      </c>
      <c r="G794">
        <v>2</v>
      </c>
      <c r="H794">
        <v>269.99</v>
      </c>
      <c r="I794" s="5">
        <v>0.1</v>
      </c>
      <c r="J794">
        <f t="shared" si="24"/>
        <v>485.98200000000003</v>
      </c>
      <c r="K794" s="9">
        <f t="shared" si="25"/>
        <v>-0.69693888525532666</v>
      </c>
    </row>
    <row r="795" spans="1:11" x14ac:dyDescent="0.3">
      <c r="A795">
        <v>281</v>
      </c>
      <c r="B795">
        <v>3</v>
      </c>
      <c r="C795">
        <v>7</v>
      </c>
      <c r="D795" t="str">
        <f>VLOOKUP($C795,products!$A$1:$F$322,MATCH(order_items!$D$1,products!$A$1:$F$1,0),FALSE)</f>
        <v>Trek Slash 8 27.5 - 2016</v>
      </c>
      <c r="E795">
        <f>VLOOKUP($C795,products!$A$1:$F$322,MATCH(order_items!$E$1,products!$A$1:$F$1,0),FALSE)</f>
        <v>6</v>
      </c>
      <c r="F795" t="str">
        <f>VLOOKUP($E795,categories!$A$1:$B$8,MATCH(order_items!$F$1,categories!$A$1:$B$1,0),FALSE)</f>
        <v>Mountain Bikes</v>
      </c>
      <c r="G795">
        <v>2</v>
      </c>
      <c r="H795">
        <v>3999.99</v>
      </c>
      <c r="I795" s="5">
        <v>7.0000000000000007E-2</v>
      </c>
      <c r="J795">
        <f t="shared" si="24"/>
        <v>7439.9813999999988</v>
      </c>
      <c r="K795" s="9">
        <f t="shared" si="25"/>
        <v>2.0606009048962846</v>
      </c>
    </row>
    <row r="796" spans="1:11" x14ac:dyDescent="0.3">
      <c r="A796">
        <v>282</v>
      </c>
      <c r="B796">
        <v>1</v>
      </c>
      <c r="C796">
        <v>20</v>
      </c>
      <c r="D796" t="str">
        <f>VLOOKUP($C796,products!$A$1:$F$322,MATCH(order_items!$D$1,products!$A$1:$F$1,0),FALSE)</f>
        <v>Electra Townie Original 7D EQ - Women's - 2016</v>
      </c>
      <c r="E796">
        <f>VLOOKUP($C796,products!$A$1:$F$322,MATCH(order_items!$E$1,products!$A$1:$F$1,0),FALSE)</f>
        <v>3</v>
      </c>
      <c r="F796" t="str">
        <f>VLOOKUP($E796,categories!$A$1:$B$8,MATCH(order_items!$F$1,categories!$A$1:$B$1,0),FALSE)</f>
        <v>Cruisers Bicycles</v>
      </c>
      <c r="G796">
        <v>1</v>
      </c>
      <c r="H796">
        <v>599.99</v>
      </c>
      <c r="I796" s="5">
        <v>7.0000000000000007E-2</v>
      </c>
      <c r="J796">
        <f t="shared" si="24"/>
        <v>557.99069999999995</v>
      </c>
      <c r="K796" s="9">
        <f t="shared" si="25"/>
        <v>-0.45297423894164529</v>
      </c>
    </row>
    <row r="797" spans="1:11" x14ac:dyDescent="0.3">
      <c r="A797">
        <v>282</v>
      </c>
      <c r="B797">
        <v>2</v>
      </c>
      <c r="C797">
        <v>7</v>
      </c>
      <c r="D797" t="str">
        <f>VLOOKUP($C797,products!$A$1:$F$322,MATCH(order_items!$D$1,products!$A$1:$F$1,0),FALSE)</f>
        <v>Trek Slash 8 27.5 - 2016</v>
      </c>
      <c r="E797">
        <f>VLOOKUP($C797,products!$A$1:$F$322,MATCH(order_items!$E$1,products!$A$1:$F$1,0),FALSE)</f>
        <v>6</v>
      </c>
      <c r="F797" t="str">
        <f>VLOOKUP($E797,categories!$A$1:$B$8,MATCH(order_items!$F$1,categories!$A$1:$B$1,0),FALSE)</f>
        <v>Mountain Bikes</v>
      </c>
      <c r="G797">
        <v>2</v>
      </c>
      <c r="H797">
        <v>3999.99</v>
      </c>
      <c r="I797" s="5">
        <v>7.0000000000000007E-2</v>
      </c>
      <c r="J797">
        <f t="shared" si="24"/>
        <v>7439.9813999999988</v>
      </c>
      <c r="K797" s="9">
        <f t="shared" si="25"/>
        <v>2.0606009048962846</v>
      </c>
    </row>
    <row r="798" spans="1:11" x14ac:dyDescent="0.3">
      <c r="A798">
        <v>282</v>
      </c>
      <c r="B798">
        <v>3</v>
      </c>
      <c r="C798">
        <v>3</v>
      </c>
      <c r="D798" t="str">
        <f>VLOOKUP($C798,products!$A$1:$F$322,MATCH(order_items!$D$1,products!$A$1:$F$1,0),FALSE)</f>
        <v>Surly Wednesday Frameset - 2016</v>
      </c>
      <c r="E798">
        <f>VLOOKUP($C798,products!$A$1:$F$322,MATCH(order_items!$E$1,products!$A$1:$F$1,0),FALSE)</f>
        <v>6</v>
      </c>
      <c r="F798" t="str">
        <f>VLOOKUP($E798,categories!$A$1:$B$8,MATCH(order_items!$F$1,categories!$A$1:$B$1,0),FALSE)</f>
        <v>Mountain Bikes</v>
      </c>
      <c r="G798">
        <v>2</v>
      </c>
      <c r="H798">
        <v>999.99</v>
      </c>
      <c r="I798" s="5">
        <v>0.05</v>
      </c>
      <c r="J798">
        <f t="shared" si="24"/>
        <v>1899.981</v>
      </c>
      <c r="K798" s="9">
        <f t="shared" si="25"/>
        <v>-0.15725951613718298</v>
      </c>
    </row>
    <row r="799" spans="1:11" x14ac:dyDescent="0.3">
      <c r="A799">
        <v>282</v>
      </c>
      <c r="B799">
        <v>4</v>
      </c>
      <c r="C799">
        <v>16</v>
      </c>
      <c r="D799" t="str">
        <f>VLOOKUP($C799,products!$A$1:$F$322,MATCH(order_items!$D$1,products!$A$1:$F$1,0),FALSE)</f>
        <v>Electra Townie Original 7D EQ - 2016</v>
      </c>
      <c r="E799">
        <f>VLOOKUP($C799,products!$A$1:$F$322,MATCH(order_items!$E$1,products!$A$1:$F$1,0),FALSE)</f>
        <v>3</v>
      </c>
      <c r="F799" t="str">
        <f>VLOOKUP($E799,categories!$A$1:$B$8,MATCH(order_items!$F$1,categories!$A$1:$B$1,0),FALSE)</f>
        <v>Cruisers Bicycles</v>
      </c>
      <c r="G799">
        <v>2</v>
      </c>
      <c r="H799">
        <v>599.99</v>
      </c>
      <c r="I799" s="5">
        <v>7.0000000000000007E-2</v>
      </c>
      <c r="J799">
        <f t="shared" si="24"/>
        <v>1115.9813999999999</v>
      </c>
      <c r="K799" s="9">
        <f t="shared" si="25"/>
        <v>-0.45297423894164529</v>
      </c>
    </row>
    <row r="800" spans="1:11" x14ac:dyDescent="0.3">
      <c r="A800">
        <v>283</v>
      </c>
      <c r="B800">
        <v>1</v>
      </c>
      <c r="C800">
        <v>9</v>
      </c>
      <c r="D800" t="str">
        <f>VLOOKUP($C800,products!$A$1:$F$322,MATCH(order_items!$D$1,products!$A$1:$F$1,0),FALSE)</f>
        <v>Trek Conduit+ - 2016</v>
      </c>
      <c r="E800">
        <f>VLOOKUP($C800,products!$A$1:$F$322,MATCH(order_items!$E$1,products!$A$1:$F$1,0),FALSE)</f>
        <v>5</v>
      </c>
      <c r="F800" t="str">
        <f>VLOOKUP($E800,categories!$A$1:$B$8,MATCH(order_items!$F$1,categories!$A$1:$B$1,0),FALSE)</f>
        <v>Electric Bikes</v>
      </c>
      <c r="G800">
        <v>1</v>
      </c>
      <c r="H800">
        <v>2999.99</v>
      </c>
      <c r="I800" s="5">
        <v>0.05</v>
      </c>
      <c r="J800">
        <f t="shared" si="24"/>
        <v>2849.9904999999999</v>
      </c>
      <c r="K800" s="9">
        <f t="shared" si="25"/>
        <v>1.3213140978851283</v>
      </c>
    </row>
    <row r="801" spans="1:11" x14ac:dyDescent="0.3">
      <c r="A801">
        <v>283</v>
      </c>
      <c r="B801">
        <v>2</v>
      </c>
      <c r="C801">
        <v>16</v>
      </c>
      <c r="D801" t="str">
        <f>VLOOKUP($C801,products!$A$1:$F$322,MATCH(order_items!$D$1,products!$A$1:$F$1,0),FALSE)</f>
        <v>Electra Townie Original 7D EQ - 2016</v>
      </c>
      <c r="E801">
        <f>VLOOKUP($C801,products!$A$1:$F$322,MATCH(order_items!$E$1,products!$A$1:$F$1,0),FALSE)</f>
        <v>3</v>
      </c>
      <c r="F801" t="str">
        <f>VLOOKUP($E801,categories!$A$1:$B$8,MATCH(order_items!$F$1,categories!$A$1:$B$1,0),FALSE)</f>
        <v>Cruisers Bicycles</v>
      </c>
      <c r="G801">
        <v>2</v>
      </c>
      <c r="H801">
        <v>599.99</v>
      </c>
      <c r="I801" s="5">
        <v>0.2</v>
      </c>
      <c r="J801">
        <f t="shared" si="24"/>
        <v>959.98400000000004</v>
      </c>
      <c r="K801" s="9">
        <f t="shared" si="25"/>
        <v>-0.45297423894164529</v>
      </c>
    </row>
    <row r="802" spans="1:11" x14ac:dyDescent="0.3">
      <c r="A802">
        <v>284</v>
      </c>
      <c r="B802">
        <v>1</v>
      </c>
      <c r="C802">
        <v>24</v>
      </c>
      <c r="D802" t="str">
        <f>VLOOKUP($C802,products!$A$1:$F$322,MATCH(order_items!$D$1,products!$A$1:$F$1,0),FALSE)</f>
        <v>Electra Townie Original 21D - 2016</v>
      </c>
      <c r="E802">
        <f>VLOOKUP($C802,products!$A$1:$F$322,MATCH(order_items!$E$1,products!$A$1:$F$1,0),FALSE)</f>
        <v>2</v>
      </c>
      <c r="F802" t="str">
        <f>VLOOKUP($E802,categories!$A$1:$B$8,MATCH(order_items!$F$1,categories!$A$1:$B$1,0),FALSE)</f>
        <v>Comfort Bicycles</v>
      </c>
      <c r="G802">
        <v>2</v>
      </c>
      <c r="H802">
        <v>549.99</v>
      </c>
      <c r="I802" s="5">
        <v>0.2</v>
      </c>
      <c r="J802">
        <f t="shared" si="24"/>
        <v>879.98400000000004</v>
      </c>
      <c r="K802" s="9">
        <f t="shared" si="25"/>
        <v>-0.48993857929220308</v>
      </c>
    </row>
    <row r="803" spans="1:11" x14ac:dyDescent="0.3">
      <c r="A803">
        <v>284</v>
      </c>
      <c r="B803">
        <v>2</v>
      </c>
      <c r="C803">
        <v>20</v>
      </c>
      <c r="D803" t="str">
        <f>VLOOKUP($C803,products!$A$1:$F$322,MATCH(order_items!$D$1,products!$A$1:$F$1,0),FALSE)</f>
        <v>Electra Townie Original 7D EQ - Women's - 2016</v>
      </c>
      <c r="E803">
        <f>VLOOKUP($C803,products!$A$1:$F$322,MATCH(order_items!$E$1,products!$A$1:$F$1,0),FALSE)</f>
        <v>3</v>
      </c>
      <c r="F803" t="str">
        <f>VLOOKUP($E803,categories!$A$1:$B$8,MATCH(order_items!$F$1,categories!$A$1:$B$1,0),FALSE)</f>
        <v>Cruisers Bicycles</v>
      </c>
      <c r="G803">
        <v>1</v>
      </c>
      <c r="H803">
        <v>599.99</v>
      </c>
      <c r="I803" s="5">
        <v>0.2</v>
      </c>
      <c r="J803">
        <f t="shared" si="24"/>
        <v>479.99200000000002</v>
      </c>
      <c r="K803" s="9">
        <f t="shared" si="25"/>
        <v>-0.45297423894164529</v>
      </c>
    </row>
    <row r="804" spans="1:11" x14ac:dyDescent="0.3">
      <c r="A804">
        <v>285</v>
      </c>
      <c r="B804">
        <v>1</v>
      </c>
      <c r="C804">
        <v>16</v>
      </c>
      <c r="D804" t="str">
        <f>VLOOKUP($C804,products!$A$1:$F$322,MATCH(order_items!$D$1,products!$A$1:$F$1,0),FALSE)</f>
        <v>Electra Townie Original 7D EQ - 2016</v>
      </c>
      <c r="E804">
        <f>VLOOKUP($C804,products!$A$1:$F$322,MATCH(order_items!$E$1,products!$A$1:$F$1,0),FALSE)</f>
        <v>3</v>
      </c>
      <c r="F804" t="str">
        <f>VLOOKUP($E804,categories!$A$1:$B$8,MATCH(order_items!$F$1,categories!$A$1:$B$1,0),FALSE)</f>
        <v>Cruisers Bicycles</v>
      </c>
      <c r="G804">
        <v>2</v>
      </c>
      <c r="H804">
        <v>599.99</v>
      </c>
      <c r="I804" s="5">
        <v>0.05</v>
      </c>
      <c r="J804">
        <f t="shared" si="24"/>
        <v>1139.981</v>
      </c>
      <c r="K804" s="9">
        <f t="shared" si="25"/>
        <v>-0.45297423894164529</v>
      </c>
    </row>
    <row r="805" spans="1:11" x14ac:dyDescent="0.3">
      <c r="A805">
        <v>285</v>
      </c>
      <c r="B805">
        <v>2</v>
      </c>
      <c r="C805">
        <v>12</v>
      </c>
      <c r="D805" t="str">
        <f>VLOOKUP($C805,products!$A$1:$F$322,MATCH(order_items!$D$1,products!$A$1:$F$1,0),FALSE)</f>
        <v>Electra Townie Original 21D - 2016</v>
      </c>
      <c r="E805">
        <f>VLOOKUP($C805,products!$A$1:$F$322,MATCH(order_items!$E$1,products!$A$1:$F$1,0),FALSE)</f>
        <v>3</v>
      </c>
      <c r="F805" t="str">
        <f>VLOOKUP($E805,categories!$A$1:$B$8,MATCH(order_items!$F$1,categories!$A$1:$B$1,0),FALSE)</f>
        <v>Cruisers Bicycles</v>
      </c>
      <c r="G805">
        <v>1</v>
      </c>
      <c r="H805">
        <v>549.99</v>
      </c>
      <c r="I805" s="5">
        <v>0.05</v>
      </c>
      <c r="J805">
        <f t="shared" si="24"/>
        <v>522.4905</v>
      </c>
      <c r="K805" s="9">
        <f t="shared" si="25"/>
        <v>-0.48993857929220308</v>
      </c>
    </row>
    <row r="806" spans="1:11" x14ac:dyDescent="0.3">
      <c r="A806">
        <v>285</v>
      </c>
      <c r="B806">
        <v>3</v>
      </c>
      <c r="C806">
        <v>2</v>
      </c>
      <c r="D806" t="str">
        <f>VLOOKUP($C806,products!$A$1:$F$322,MATCH(order_items!$D$1,products!$A$1:$F$1,0),FALSE)</f>
        <v>Ritchey Timberwolf Frameset - 2016</v>
      </c>
      <c r="E806">
        <f>VLOOKUP($C806,products!$A$1:$F$322,MATCH(order_items!$E$1,products!$A$1:$F$1,0),FALSE)</f>
        <v>6</v>
      </c>
      <c r="F806" t="str">
        <f>VLOOKUP($E806,categories!$A$1:$B$8,MATCH(order_items!$F$1,categories!$A$1:$B$1,0),FALSE)</f>
        <v>Mountain Bikes</v>
      </c>
      <c r="G806">
        <v>1</v>
      </c>
      <c r="H806">
        <v>749.99</v>
      </c>
      <c r="I806" s="5">
        <v>0.1</v>
      </c>
      <c r="J806">
        <f t="shared" si="24"/>
        <v>674.99099999999999</v>
      </c>
      <c r="K806" s="9">
        <f t="shared" si="25"/>
        <v>-0.34208121788997192</v>
      </c>
    </row>
    <row r="807" spans="1:11" x14ac:dyDescent="0.3">
      <c r="A807">
        <v>286</v>
      </c>
      <c r="B807">
        <v>1</v>
      </c>
      <c r="C807">
        <v>26</v>
      </c>
      <c r="D807" t="str">
        <f>VLOOKUP($C807,products!$A$1:$F$322,MATCH(order_items!$D$1,products!$A$1:$F$1,0),FALSE)</f>
        <v>Electra Townie Original 7D EQ - 2016</v>
      </c>
      <c r="E807">
        <f>VLOOKUP($C807,products!$A$1:$F$322,MATCH(order_items!$E$1,products!$A$1:$F$1,0),FALSE)</f>
        <v>2</v>
      </c>
      <c r="F807" t="str">
        <f>VLOOKUP($E807,categories!$A$1:$B$8,MATCH(order_items!$F$1,categories!$A$1:$B$1,0),FALSE)</f>
        <v>Comfort Bicycles</v>
      </c>
      <c r="G807">
        <v>2</v>
      </c>
      <c r="H807">
        <v>599.99</v>
      </c>
      <c r="I807" s="5">
        <v>0.2</v>
      </c>
      <c r="J807">
        <f t="shared" si="24"/>
        <v>959.98400000000004</v>
      </c>
      <c r="K807" s="9">
        <f t="shared" si="25"/>
        <v>-0.45297423894164529</v>
      </c>
    </row>
    <row r="808" spans="1:11" x14ac:dyDescent="0.3">
      <c r="A808">
        <v>286</v>
      </c>
      <c r="B808">
        <v>2</v>
      </c>
      <c r="C808">
        <v>21</v>
      </c>
      <c r="D808" t="str">
        <f>VLOOKUP($C808,products!$A$1:$F$322,MATCH(order_items!$D$1,products!$A$1:$F$1,0),FALSE)</f>
        <v>Electra Cruiser 1 (24-Inch) - 2016</v>
      </c>
      <c r="E808">
        <f>VLOOKUP($C808,products!$A$1:$F$322,MATCH(order_items!$E$1,products!$A$1:$F$1,0),FALSE)</f>
        <v>1</v>
      </c>
      <c r="F808" t="str">
        <f>VLOOKUP($E808,categories!$A$1:$B$8,MATCH(order_items!$F$1,categories!$A$1:$B$1,0),FALSE)</f>
        <v>Children Bicycles</v>
      </c>
      <c r="G808">
        <v>2</v>
      </c>
      <c r="H808">
        <v>269.99</v>
      </c>
      <c r="I808" s="5">
        <v>7.0000000000000007E-2</v>
      </c>
      <c r="J808">
        <f t="shared" si="24"/>
        <v>502.1814</v>
      </c>
      <c r="K808" s="9">
        <f t="shared" si="25"/>
        <v>-0.69693888525532666</v>
      </c>
    </row>
    <row r="809" spans="1:11" x14ac:dyDescent="0.3">
      <c r="A809">
        <v>286</v>
      </c>
      <c r="B809">
        <v>3</v>
      </c>
      <c r="C809">
        <v>16</v>
      </c>
      <c r="D809" t="str">
        <f>VLOOKUP($C809,products!$A$1:$F$322,MATCH(order_items!$D$1,products!$A$1:$F$1,0),FALSE)</f>
        <v>Electra Townie Original 7D EQ - 2016</v>
      </c>
      <c r="E809">
        <f>VLOOKUP($C809,products!$A$1:$F$322,MATCH(order_items!$E$1,products!$A$1:$F$1,0),FALSE)</f>
        <v>3</v>
      </c>
      <c r="F809" t="str">
        <f>VLOOKUP($E809,categories!$A$1:$B$8,MATCH(order_items!$F$1,categories!$A$1:$B$1,0),FALSE)</f>
        <v>Cruisers Bicycles</v>
      </c>
      <c r="G809">
        <v>2</v>
      </c>
      <c r="H809">
        <v>599.99</v>
      </c>
      <c r="I809" s="5">
        <v>0.1</v>
      </c>
      <c r="J809">
        <f t="shared" si="24"/>
        <v>1079.982</v>
      </c>
      <c r="K809" s="9">
        <f t="shared" si="25"/>
        <v>-0.45297423894164529</v>
      </c>
    </row>
    <row r="810" spans="1:11" x14ac:dyDescent="0.3">
      <c r="A810">
        <v>286</v>
      </c>
      <c r="B810">
        <v>4</v>
      </c>
      <c r="C810">
        <v>7</v>
      </c>
      <c r="D810" t="str">
        <f>VLOOKUP($C810,products!$A$1:$F$322,MATCH(order_items!$D$1,products!$A$1:$F$1,0),FALSE)</f>
        <v>Trek Slash 8 27.5 - 2016</v>
      </c>
      <c r="E810">
        <f>VLOOKUP($C810,products!$A$1:$F$322,MATCH(order_items!$E$1,products!$A$1:$F$1,0),FALSE)</f>
        <v>6</v>
      </c>
      <c r="F810" t="str">
        <f>VLOOKUP($E810,categories!$A$1:$B$8,MATCH(order_items!$F$1,categories!$A$1:$B$1,0),FALSE)</f>
        <v>Mountain Bikes</v>
      </c>
      <c r="G810">
        <v>1</v>
      </c>
      <c r="H810">
        <v>3999.99</v>
      </c>
      <c r="I810" s="5">
        <v>0.1</v>
      </c>
      <c r="J810">
        <f t="shared" si="24"/>
        <v>3599.991</v>
      </c>
      <c r="K810" s="9">
        <f t="shared" si="25"/>
        <v>2.0606009048962846</v>
      </c>
    </row>
    <row r="811" spans="1:11" x14ac:dyDescent="0.3">
      <c r="A811">
        <v>287</v>
      </c>
      <c r="B811">
        <v>1</v>
      </c>
      <c r="C811">
        <v>5</v>
      </c>
      <c r="D811" t="str">
        <f>VLOOKUP($C811,products!$A$1:$F$322,MATCH(order_items!$D$1,products!$A$1:$F$1,0),FALSE)</f>
        <v>Heller Shagamaw Frame - 2016</v>
      </c>
      <c r="E811">
        <f>VLOOKUP($C811,products!$A$1:$F$322,MATCH(order_items!$E$1,products!$A$1:$F$1,0),FALSE)</f>
        <v>6</v>
      </c>
      <c r="F811" t="str">
        <f>VLOOKUP($E811,categories!$A$1:$B$8,MATCH(order_items!$F$1,categories!$A$1:$B$1,0),FALSE)</f>
        <v>Mountain Bikes</v>
      </c>
      <c r="G811">
        <v>1</v>
      </c>
      <c r="H811">
        <v>1320.99</v>
      </c>
      <c r="I811" s="5">
        <v>0.2</v>
      </c>
      <c r="J811">
        <f t="shared" si="24"/>
        <v>1056.7920000000001</v>
      </c>
      <c r="K811" s="9">
        <f t="shared" si="25"/>
        <v>8.0051548913398024E-2</v>
      </c>
    </row>
    <row r="812" spans="1:11" x14ac:dyDescent="0.3">
      <c r="A812">
        <v>287</v>
      </c>
      <c r="B812">
        <v>2</v>
      </c>
      <c r="C812">
        <v>10</v>
      </c>
      <c r="D812" t="str">
        <f>VLOOKUP($C812,products!$A$1:$F$322,MATCH(order_items!$D$1,products!$A$1:$F$1,0),FALSE)</f>
        <v>Surly Straggler - 2016</v>
      </c>
      <c r="E812">
        <f>VLOOKUP($C812,products!$A$1:$F$322,MATCH(order_items!$E$1,products!$A$1:$F$1,0),FALSE)</f>
        <v>4</v>
      </c>
      <c r="F812" t="str">
        <f>VLOOKUP($E812,categories!$A$1:$B$8,MATCH(order_items!$F$1,categories!$A$1:$B$1,0),FALSE)</f>
        <v>Cyclocross Bicycles</v>
      </c>
      <c r="G812">
        <v>1</v>
      </c>
      <c r="H812">
        <v>1549</v>
      </c>
      <c r="I812" s="5">
        <v>0.05</v>
      </c>
      <c r="J812">
        <f t="shared" si="24"/>
        <v>1471.55</v>
      </c>
      <c r="K812" s="9">
        <f t="shared" si="25"/>
        <v>0.24861633378001166</v>
      </c>
    </row>
    <row r="813" spans="1:11" x14ac:dyDescent="0.3">
      <c r="A813">
        <v>287</v>
      </c>
      <c r="B813">
        <v>3</v>
      </c>
      <c r="C813">
        <v>2</v>
      </c>
      <c r="D813" t="str">
        <f>VLOOKUP($C813,products!$A$1:$F$322,MATCH(order_items!$D$1,products!$A$1:$F$1,0),FALSE)</f>
        <v>Ritchey Timberwolf Frameset - 2016</v>
      </c>
      <c r="E813">
        <f>VLOOKUP($C813,products!$A$1:$F$322,MATCH(order_items!$E$1,products!$A$1:$F$1,0),FALSE)</f>
        <v>6</v>
      </c>
      <c r="F813" t="str">
        <f>VLOOKUP($E813,categories!$A$1:$B$8,MATCH(order_items!$F$1,categories!$A$1:$B$1,0),FALSE)</f>
        <v>Mountain Bikes</v>
      </c>
      <c r="G813">
        <v>1</v>
      </c>
      <c r="H813">
        <v>749.99</v>
      </c>
      <c r="I813" s="5">
        <v>0.05</v>
      </c>
      <c r="J813">
        <f t="shared" si="24"/>
        <v>712.4905</v>
      </c>
      <c r="K813" s="9">
        <f t="shared" si="25"/>
        <v>-0.34208121788997192</v>
      </c>
    </row>
    <row r="814" spans="1:11" x14ac:dyDescent="0.3">
      <c r="A814">
        <v>287</v>
      </c>
      <c r="B814">
        <v>4</v>
      </c>
      <c r="C814">
        <v>20</v>
      </c>
      <c r="D814" t="str">
        <f>VLOOKUP($C814,products!$A$1:$F$322,MATCH(order_items!$D$1,products!$A$1:$F$1,0),FALSE)</f>
        <v>Electra Townie Original 7D EQ - Women's - 2016</v>
      </c>
      <c r="E814">
        <f>VLOOKUP($C814,products!$A$1:$F$322,MATCH(order_items!$E$1,products!$A$1:$F$1,0),FALSE)</f>
        <v>3</v>
      </c>
      <c r="F814" t="str">
        <f>VLOOKUP($E814,categories!$A$1:$B$8,MATCH(order_items!$F$1,categories!$A$1:$B$1,0),FALSE)</f>
        <v>Cruisers Bicycles</v>
      </c>
      <c r="G814">
        <v>1</v>
      </c>
      <c r="H814">
        <v>599.99</v>
      </c>
      <c r="I814" s="5">
        <v>0.05</v>
      </c>
      <c r="J814">
        <f t="shared" si="24"/>
        <v>569.9905</v>
      </c>
      <c r="K814" s="9">
        <f t="shared" si="25"/>
        <v>-0.45297423894164529</v>
      </c>
    </row>
    <row r="815" spans="1:11" x14ac:dyDescent="0.3">
      <c r="A815">
        <v>288</v>
      </c>
      <c r="B815">
        <v>1</v>
      </c>
      <c r="C815">
        <v>4</v>
      </c>
      <c r="D815" t="str">
        <f>VLOOKUP($C815,products!$A$1:$F$322,MATCH(order_items!$D$1,products!$A$1:$F$1,0),FALSE)</f>
        <v>Trek Fuel EX 8 29 - 2016</v>
      </c>
      <c r="E815">
        <f>VLOOKUP($C815,products!$A$1:$F$322,MATCH(order_items!$E$1,products!$A$1:$F$1,0),FALSE)</f>
        <v>6</v>
      </c>
      <c r="F815" t="str">
        <f>VLOOKUP($E815,categories!$A$1:$B$8,MATCH(order_items!$F$1,categories!$A$1:$B$1,0),FALSE)</f>
        <v>Mountain Bikes</v>
      </c>
      <c r="G815">
        <v>1</v>
      </c>
      <c r="H815">
        <v>2899.99</v>
      </c>
      <c r="I815" s="5">
        <v>0.2</v>
      </c>
      <c r="J815">
        <f t="shared" si="24"/>
        <v>2319.9919999999997</v>
      </c>
      <c r="K815" s="9">
        <f t="shared" si="25"/>
        <v>1.2473854171840129</v>
      </c>
    </row>
    <row r="816" spans="1:11" x14ac:dyDescent="0.3">
      <c r="A816">
        <v>288</v>
      </c>
      <c r="B816">
        <v>2</v>
      </c>
      <c r="C816">
        <v>10</v>
      </c>
      <c r="D816" t="str">
        <f>VLOOKUP($C816,products!$A$1:$F$322,MATCH(order_items!$D$1,products!$A$1:$F$1,0),FALSE)</f>
        <v>Surly Straggler - 2016</v>
      </c>
      <c r="E816">
        <f>VLOOKUP($C816,products!$A$1:$F$322,MATCH(order_items!$E$1,products!$A$1:$F$1,0),FALSE)</f>
        <v>4</v>
      </c>
      <c r="F816" t="str">
        <f>VLOOKUP($E816,categories!$A$1:$B$8,MATCH(order_items!$F$1,categories!$A$1:$B$1,0),FALSE)</f>
        <v>Cyclocross Bicycles</v>
      </c>
      <c r="G816">
        <v>1</v>
      </c>
      <c r="H816">
        <v>1549</v>
      </c>
      <c r="I816" s="5">
        <v>0.1</v>
      </c>
      <c r="J816">
        <f t="shared" si="24"/>
        <v>1394.1000000000001</v>
      </c>
      <c r="K816" s="9">
        <f t="shared" si="25"/>
        <v>0.24861633378001166</v>
      </c>
    </row>
    <row r="817" spans="1:11" x14ac:dyDescent="0.3">
      <c r="A817">
        <v>288</v>
      </c>
      <c r="B817">
        <v>3</v>
      </c>
      <c r="C817">
        <v>7</v>
      </c>
      <c r="D817" t="str">
        <f>VLOOKUP($C817,products!$A$1:$F$322,MATCH(order_items!$D$1,products!$A$1:$F$1,0),FALSE)</f>
        <v>Trek Slash 8 27.5 - 2016</v>
      </c>
      <c r="E817">
        <f>VLOOKUP($C817,products!$A$1:$F$322,MATCH(order_items!$E$1,products!$A$1:$F$1,0),FALSE)</f>
        <v>6</v>
      </c>
      <c r="F817" t="str">
        <f>VLOOKUP($E817,categories!$A$1:$B$8,MATCH(order_items!$F$1,categories!$A$1:$B$1,0),FALSE)</f>
        <v>Mountain Bikes</v>
      </c>
      <c r="G817">
        <v>2</v>
      </c>
      <c r="H817">
        <v>3999.99</v>
      </c>
      <c r="I817" s="5">
        <v>0.05</v>
      </c>
      <c r="J817">
        <f t="shared" si="24"/>
        <v>7599.9809999999989</v>
      </c>
      <c r="K817" s="9">
        <f t="shared" si="25"/>
        <v>2.0606009048962846</v>
      </c>
    </row>
    <row r="818" spans="1:11" x14ac:dyDescent="0.3">
      <c r="A818">
        <v>289</v>
      </c>
      <c r="B818">
        <v>1</v>
      </c>
      <c r="C818">
        <v>13</v>
      </c>
      <c r="D818" t="str">
        <f>VLOOKUP($C818,products!$A$1:$F$322,MATCH(order_items!$D$1,products!$A$1:$F$1,0),FALSE)</f>
        <v>Electra Cruiser 1 (24-Inch) - 2016</v>
      </c>
      <c r="E818">
        <f>VLOOKUP($C818,products!$A$1:$F$322,MATCH(order_items!$E$1,products!$A$1:$F$1,0),FALSE)</f>
        <v>3</v>
      </c>
      <c r="F818" t="str">
        <f>VLOOKUP($E818,categories!$A$1:$B$8,MATCH(order_items!$F$1,categories!$A$1:$B$1,0),FALSE)</f>
        <v>Cruisers Bicycles</v>
      </c>
      <c r="G818">
        <v>1</v>
      </c>
      <c r="H818">
        <v>269.99</v>
      </c>
      <c r="I818" s="5">
        <v>7.0000000000000007E-2</v>
      </c>
      <c r="J818">
        <f t="shared" si="24"/>
        <v>251.0907</v>
      </c>
      <c r="K818" s="9">
        <f t="shared" si="25"/>
        <v>-0.69693888525532666</v>
      </c>
    </row>
    <row r="819" spans="1:11" x14ac:dyDescent="0.3">
      <c r="A819">
        <v>289</v>
      </c>
      <c r="B819">
        <v>2</v>
      </c>
      <c r="C819">
        <v>24</v>
      </c>
      <c r="D819" t="str">
        <f>VLOOKUP($C819,products!$A$1:$F$322,MATCH(order_items!$D$1,products!$A$1:$F$1,0),FALSE)</f>
        <v>Electra Townie Original 21D - 2016</v>
      </c>
      <c r="E819">
        <f>VLOOKUP($C819,products!$A$1:$F$322,MATCH(order_items!$E$1,products!$A$1:$F$1,0),FALSE)</f>
        <v>2</v>
      </c>
      <c r="F819" t="str">
        <f>VLOOKUP($E819,categories!$A$1:$B$8,MATCH(order_items!$F$1,categories!$A$1:$B$1,0),FALSE)</f>
        <v>Comfort Bicycles</v>
      </c>
      <c r="G819">
        <v>1</v>
      </c>
      <c r="H819">
        <v>549.99</v>
      </c>
      <c r="I819" s="5">
        <v>0.2</v>
      </c>
      <c r="J819">
        <f t="shared" si="24"/>
        <v>439.99200000000002</v>
      </c>
      <c r="K819" s="9">
        <f t="shared" si="25"/>
        <v>-0.48993857929220308</v>
      </c>
    </row>
    <row r="820" spans="1:11" x14ac:dyDescent="0.3">
      <c r="A820">
        <v>289</v>
      </c>
      <c r="B820">
        <v>3</v>
      </c>
      <c r="C820">
        <v>17</v>
      </c>
      <c r="D820" t="str">
        <f>VLOOKUP($C820,products!$A$1:$F$322,MATCH(order_items!$D$1,products!$A$1:$F$1,0),FALSE)</f>
        <v>Pure Cycles Vine 8-Speed - 2016</v>
      </c>
      <c r="E820">
        <f>VLOOKUP($C820,products!$A$1:$F$322,MATCH(order_items!$E$1,products!$A$1:$F$1,0),FALSE)</f>
        <v>3</v>
      </c>
      <c r="F820" t="str">
        <f>VLOOKUP($E820,categories!$A$1:$B$8,MATCH(order_items!$F$1,categories!$A$1:$B$1,0),FALSE)</f>
        <v>Cruisers Bicycles</v>
      </c>
      <c r="G820">
        <v>1</v>
      </c>
      <c r="H820">
        <v>429</v>
      </c>
      <c r="I820" s="5">
        <v>0.2</v>
      </c>
      <c r="J820">
        <f t="shared" si="24"/>
        <v>343.20000000000005</v>
      </c>
      <c r="K820" s="9">
        <f t="shared" si="25"/>
        <v>-0.57938489007248284</v>
      </c>
    </row>
    <row r="821" spans="1:11" x14ac:dyDescent="0.3">
      <c r="A821">
        <v>290</v>
      </c>
      <c r="B821">
        <v>1</v>
      </c>
      <c r="C821">
        <v>2</v>
      </c>
      <c r="D821" t="str">
        <f>VLOOKUP($C821,products!$A$1:$F$322,MATCH(order_items!$D$1,products!$A$1:$F$1,0),FALSE)</f>
        <v>Ritchey Timberwolf Frameset - 2016</v>
      </c>
      <c r="E821">
        <f>VLOOKUP($C821,products!$A$1:$F$322,MATCH(order_items!$E$1,products!$A$1:$F$1,0),FALSE)</f>
        <v>6</v>
      </c>
      <c r="F821" t="str">
        <f>VLOOKUP($E821,categories!$A$1:$B$8,MATCH(order_items!$F$1,categories!$A$1:$B$1,0),FALSE)</f>
        <v>Mountain Bikes</v>
      </c>
      <c r="G821">
        <v>2</v>
      </c>
      <c r="H821">
        <v>749.99</v>
      </c>
      <c r="I821" s="5">
        <v>7.0000000000000007E-2</v>
      </c>
      <c r="J821">
        <f t="shared" si="24"/>
        <v>1394.9813999999999</v>
      </c>
      <c r="K821" s="9">
        <f t="shared" si="25"/>
        <v>-0.34208121788997192</v>
      </c>
    </row>
    <row r="822" spans="1:11" x14ac:dyDescent="0.3">
      <c r="A822">
        <v>290</v>
      </c>
      <c r="B822">
        <v>2</v>
      </c>
      <c r="C822">
        <v>5</v>
      </c>
      <c r="D822" t="str">
        <f>VLOOKUP($C822,products!$A$1:$F$322,MATCH(order_items!$D$1,products!$A$1:$F$1,0),FALSE)</f>
        <v>Heller Shagamaw Frame - 2016</v>
      </c>
      <c r="E822">
        <f>VLOOKUP($C822,products!$A$1:$F$322,MATCH(order_items!$E$1,products!$A$1:$F$1,0),FALSE)</f>
        <v>6</v>
      </c>
      <c r="F822" t="str">
        <f>VLOOKUP($E822,categories!$A$1:$B$8,MATCH(order_items!$F$1,categories!$A$1:$B$1,0),FALSE)</f>
        <v>Mountain Bikes</v>
      </c>
      <c r="G822">
        <v>2</v>
      </c>
      <c r="H822">
        <v>1320.99</v>
      </c>
      <c r="I822" s="5">
        <v>7.0000000000000007E-2</v>
      </c>
      <c r="J822">
        <f t="shared" si="24"/>
        <v>2457.0414000000001</v>
      </c>
      <c r="K822" s="9">
        <f t="shared" si="25"/>
        <v>8.0051548913398024E-2</v>
      </c>
    </row>
    <row r="823" spans="1:11" x14ac:dyDescent="0.3">
      <c r="A823">
        <v>290</v>
      </c>
      <c r="B823">
        <v>3</v>
      </c>
      <c r="C823">
        <v>21</v>
      </c>
      <c r="D823" t="str">
        <f>VLOOKUP($C823,products!$A$1:$F$322,MATCH(order_items!$D$1,products!$A$1:$F$1,0),FALSE)</f>
        <v>Electra Cruiser 1 (24-Inch) - 2016</v>
      </c>
      <c r="E823">
        <f>VLOOKUP($C823,products!$A$1:$F$322,MATCH(order_items!$E$1,products!$A$1:$F$1,0),FALSE)</f>
        <v>1</v>
      </c>
      <c r="F823" t="str">
        <f>VLOOKUP($E823,categories!$A$1:$B$8,MATCH(order_items!$F$1,categories!$A$1:$B$1,0),FALSE)</f>
        <v>Children Bicycles</v>
      </c>
      <c r="G823">
        <v>1</v>
      </c>
      <c r="H823">
        <v>269.99</v>
      </c>
      <c r="I823" s="5">
        <v>0.1</v>
      </c>
      <c r="J823">
        <f t="shared" si="24"/>
        <v>242.99100000000001</v>
      </c>
      <c r="K823" s="9">
        <f t="shared" si="25"/>
        <v>-0.69693888525532666</v>
      </c>
    </row>
    <row r="824" spans="1:11" x14ac:dyDescent="0.3">
      <c r="A824">
        <v>291</v>
      </c>
      <c r="B824">
        <v>1</v>
      </c>
      <c r="C824">
        <v>6</v>
      </c>
      <c r="D824" t="str">
        <f>VLOOKUP($C824,products!$A$1:$F$322,MATCH(order_items!$D$1,products!$A$1:$F$1,0),FALSE)</f>
        <v>Surly Ice Cream Truck Frameset - 2016</v>
      </c>
      <c r="E824">
        <f>VLOOKUP($C824,products!$A$1:$F$322,MATCH(order_items!$E$1,products!$A$1:$F$1,0),FALSE)</f>
        <v>6</v>
      </c>
      <c r="F824" t="str">
        <f>VLOOKUP($E824,categories!$A$1:$B$8,MATCH(order_items!$F$1,categories!$A$1:$B$1,0),FALSE)</f>
        <v>Mountain Bikes</v>
      </c>
      <c r="G824">
        <v>2</v>
      </c>
      <c r="H824">
        <v>469.99</v>
      </c>
      <c r="I824" s="5">
        <v>0.05</v>
      </c>
      <c r="J824">
        <f t="shared" si="24"/>
        <v>892.98099999999999</v>
      </c>
      <c r="K824" s="9">
        <f t="shared" si="25"/>
        <v>-0.5490815238530955</v>
      </c>
    </row>
    <row r="825" spans="1:11" x14ac:dyDescent="0.3">
      <c r="A825">
        <v>291</v>
      </c>
      <c r="B825">
        <v>2</v>
      </c>
      <c r="C825">
        <v>21</v>
      </c>
      <c r="D825" t="str">
        <f>VLOOKUP($C825,products!$A$1:$F$322,MATCH(order_items!$D$1,products!$A$1:$F$1,0),FALSE)</f>
        <v>Electra Cruiser 1 (24-Inch) - 2016</v>
      </c>
      <c r="E825">
        <f>VLOOKUP($C825,products!$A$1:$F$322,MATCH(order_items!$E$1,products!$A$1:$F$1,0),FALSE)</f>
        <v>1</v>
      </c>
      <c r="F825" t="str">
        <f>VLOOKUP($E825,categories!$A$1:$B$8,MATCH(order_items!$F$1,categories!$A$1:$B$1,0),FALSE)</f>
        <v>Children Bicycles</v>
      </c>
      <c r="G825">
        <v>2</v>
      </c>
      <c r="H825">
        <v>269.99</v>
      </c>
      <c r="I825" s="5">
        <v>7.0000000000000007E-2</v>
      </c>
      <c r="J825">
        <f t="shared" si="24"/>
        <v>502.1814</v>
      </c>
      <c r="K825" s="9">
        <f t="shared" si="25"/>
        <v>-0.69693888525532666</v>
      </c>
    </row>
    <row r="826" spans="1:11" x14ac:dyDescent="0.3">
      <c r="A826">
        <v>292</v>
      </c>
      <c r="B826">
        <v>1</v>
      </c>
      <c r="C826">
        <v>18</v>
      </c>
      <c r="D826" t="str">
        <f>VLOOKUP($C826,products!$A$1:$F$322,MATCH(order_items!$D$1,products!$A$1:$F$1,0),FALSE)</f>
        <v>Pure Cycles Western 3-Speed - Women's - 2015/2016</v>
      </c>
      <c r="E826">
        <f>VLOOKUP($C826,products!$A$1:$F$322,MATCH(order_items!$E$1,products!$A$1:$F$1,0),FALSE)</f>
        <v>3</v>
      </c>
      <c r="F826" t="str">
        <f>VLOOKUP($E826,categories!$A$1:$B$8,MATCH(order_items!$F$1,categories!$A$1:$B$1,0),FALSE)</f>
        <v>Cruisers Bicycles</v>
      </c>
      <c r="G826">
        <v>2</v>
      </c>
      <c r="H826">
        <v>449</v>
      </c>
      <c r="I826" s="5">
        <v>0.1</v>
      </c>
      <c r="J826">
        <f t="shared" si="24"/>
        <v>808.2</v>
      </c>
      <c r="K826" s="9">
        <f t="shared" si="25"/>
        <v>-0.56459915393225968</v>
      </c>
    </row>
    <row r="827" spans="1:11" x14ac:dyDescent="0.3">
      <c r="A827">
        <v>292</v>
      </c>
      <c r="B827">
        <v>2</v>
      </c>
      <c r="C827">
        <v>4</v>
      </c>
      <c r="D827" t="str">
        <f>VLOOKUP($C827,products!$A$1:$F$322,MATCH(order_items!$D$1,products!$A$1:$F$1,0),FALSE)</f>
        <v>Trek Fuel EX 8 29 - 2016</v>
      </c>
      <c r="E827">
        <f>VLOOKUP($C827,products!$A$1:$F$322,MATCH(order_items!$E$1,products!$A$1:$F$1,0),FALSE)</f>
        <v>6</v>
      </c>
      <c r="F827" t="str">
        <f>VLOOKUP($E827,categories!$A$1:$B$8,MATCH(order_items!$F$1,categories!$A$1:$B$1,0),FALSE)</f>
        <v>Mountain Bikes</v>
      </c>
      <c r="G827">
        <v>1</v>
      </c>
      <c r="H827">
        <v>2899.99</v>
      </c>
      <c r="I827" s="5">
        <v>7.0000000000000007E-2</v>
      </c>
      <c r="J827">
        <f t="shared" si="24"/>
        <v>2696.9906999999998</v>
      </c>
      <c r="K827" s="9">
        <f t="shared" si="25"/>
        <v>1.2473854171840129</v>
      </c>
    </row>
    <row r="828" spans="1:11" x14ac:dyDescent="0.3">
      <c r="A828">
        <v>292</v>
      </c>
      <c r="B828">
        <v>3</v>
      </c>
      <c r="C828">
        <v>10</v>
      </c>
      <c r="D828" t="str">
        <f>VLOOKUP($C828,products!$A$1:$F$322,MATCH(order_items!$D$1,products!$A$1:$F$1,0),FALSE)</f>
        <v>Surly Straggler - 2016</v>
      </c>
      <c r="E828">
        <f>VLOOKUP($C828,products!$A$1:$F$322,MATCH(order_items!$E$1,products!$A$1:$F$1,0),FALSE)</f>
        <v>4</v>
      </c>
      <c r="F828" t="str">
        <f>VLOOKUP($E828,categories!$A$1:$B$8,MATCH(order_items!$F$1,categories!$A$1:$B$1,0),FALSE)</f>
        <v>Cyclocross Bicycles</v>
      </c>
      <c r="G828">
        <v>2</v>
      </c>
      <c r="H828">
        <v>1549</v>
      </c>
      <c r="I828" s="5">
        <v>0.05</v>
      </c>
      <c r="J828">
        <f t="shared" si="24"/>
        <v>2943.1</v>
      </c>
      <c r="K828" s="9">
        <f t="shared" si="25"/>
        <v>0.24861633378001166</v>
      </c>
    </row>
    <row r="829" spans="1:11" x14ac:dyDescent="0.3">
      <c r="A829">
        <v>293</v>
      </c>
      <c r="B829">
        <v>1</v>
      </c>
      <c r="C829">
        <v>19</v>
      </c>
      <c r="D829" t="str">
        <f>VLOOKUP($C829,products!$A$1:$F$322,MATCH(order_items!$D$1,products!$A$1:$F$1,0),FALSE)</f>
        <v>Pure Cycles William 3-Speed - 2016</v>
      </c>
      <c r="E829">
        <f>VLOOKUP($C829,products!$A$1:$F$322,MATCH(order_items!$E$1,products!$A$1:$F$1,0),FALSE)</f>
        <v>3</v>
      </c>
      <c r="F829" t="str">
        <f>VLOOKUP($E829,categories!$A$1:$B$8,MATCH(order_items!$F$1,categories!$A$1:$B$1,0),FALSE)</f>
        <v>Cruisers Bicycles</v>
      </c>
      <c r="G829">
        <v>2</v>
      </c>
      <c r="H829">
        <v>449</v>
      </c>
      <c r="I829" s="5">
        <v>0.05</v>
      </c>
      <c r="J829">
        <f t="shared" si="24"/>
        <v>853.09999999999991</v>
      </c>
      <c r="K829" s="9">
        <f t="shared" si="25"/>
        <v>-0.56459915393225968</v>
      </c>
    </row>
    <row r="830" spans="1:11" x14ac:dyDescent="0.3">
      <c r="A830">
        <v>293</v>
      </c>
      <c r="B830">
        <v>2</v>
      </c>
      <c r="C830">
        <v>6</v>
      </c>
      <c r="D830" t="str">
        <f>VLOOKUP($C830,products!$A$1:$F$322,MATCH(order_items!$D$1,products!$A$1:$F$1,0),FALSE)</f>
        <v>Surly Ice Cream Truck Frameset - 2016</v>
      </c>
      <c r="E830">
        <f>VLOOKUP($C830,products!$A$1:$F$322,MATCH(order_items!$E$1,products!$A$1:$F$1,0),FALSE)</f>
        <v>6</v>
      </c>
      <c r="F830" t="str">
        <f>VLOOKUP($E830,categories!$A$1:$B$8,MATCH(order_items!$F$1,categories!$A$1:$B$1,0),FALSE)</f>
        <v>Mountain Bikes</v>
      </c>
      <c r="G830">
        <v>1</v>
      </c>
      <c r="H830">
        <v>469.99</v>
      </c>
      <c r="I830" s="5">
        <v>0.2</v>
      </c>
      <c r="J830">
        <f t="shared" si="24"/>
        <v>375.99200000000002</v>
      </c>
      <c r="K830" s="9">
        <f t="shared" si="25"/>
        <v>-0.5490815238530955</v>
      </c>
    </row>
    <row r="831" spans="1:11" x14ac:dyDescent="0.3">
      <c r="A831">
        <v>294</v>
      </c>
      <c r="B831">
        <v>1</v>
      </c>
      <c r="C831">
        <v>18</v>
      </c>
      <c r="D831" t="str">
        <f>VLOOKUP($C831,products!$A$1:$F$322,MATCH(order_items!$D$1,products!$A$1:$F$1,0),FALSE)</f>
        <v>Pure Cycles Western 3-Speed - Women's - 2015/2016</v>
      </c>
      <c r="E831">
        <f>VLOOKUP($C831,products!$A$1:$F$322,MATCH(order_items!$E$1,products!$A$1:$F$1,0),FALSE)</f>
        <v>3</v>
      </c>
      <c r="F831" t="str">
        <f>VLOOKUP($E831,categories!$A$1:$B$8,MATCH(order_items!$F$1,categories!$A$1:$B$1,0),FALSE)</f>
        <v>Cruisers Bicycles</v>
      </c>
      <c r="G831">
        <v>1</v>
      </c>
      <c r="H831">
        <v>449</v>
      </c>
      <c r="I831" s="5">
        <v>0.2</v>
      </c>
      <c r="J831">
        <f t="shared" si="24"/>
        <v>359.20000000000005</v>
      </c>
      <c r="K831" s="9">
        <f t="shared" si="25"/>
        <v>-0.56459915393225968</v>
      </c>
    </row>
    <row r="832" spans="1:11" x14ac:dyDescent="0.3">
      <c r="A832">
        <v>294</v>
      </c>
      <c r="B832">
        <v>2</v>
      </c>
      <c r="C832">
        <v>14</v>
      </c>
      <c r="D832" t="str">
        <f>VLOOKUP($C832,products!$A$1:$F$322,MATCH(order_items!$D$1,products!$A$1:$F$1,0),FALSE)</f>
        <v>Electra Girl's Hawaii 1 (16-inch) - 2015/2016</v>
      </c>
      <c r="E832">
        <f>VLOOKUP($C832,products!$A$1:$F$322,MATCH(order_items!$E$1,products!$A$1:$F$1,0),FALSE)</f>
        <v>3</v>
      </c>
      <c r="F832" t="str">
        <f>VLOOKUP($E832,categories!$A$1:$B$8,MATCH(order_items!$F$1,categories!$A$1:$B$1,0),FALSE)</f>
        <v>Cruisers Bicycles</v>
      </c>
      <c r="G832">
        <v>1</v>
      </c>
      <c r="H832">
        <v>269.99</v>
      </c>
      <c r="I832" s="5">
        <v>0.2</v>
      </c>
      <c r="J832">
        <f t="shared" si="24"/>
        <v>215.99200000000002</v>
      </c>
      <c r="K832" s="9">
        <f t="shared" si="25"/>
        <v>-0.69693888525532666</v>
      </c>
    </row>
    <row r="833" spans="1:11" x14ac:dyDescent="0.3">
      <c r="A833">
        <v>294</v>
      </c>
      <c r="B833">
        <v>3</v>
      </c>
      <c r="C833">
        <v>7</v>
      </c>
      <c r="D833" t="str">
        <f>VLOOKUP($C833,products!$A$1:$F$322,MATCH(order_items!$D$1,products!$A$1:$F$1,0),FALSE)</f>
        <v>Trek Slash 8 27.5 - 2016</v>
      </c>
      <c r="E833">
        <f>VLOOKUP($C833,products!$A$1:$F$322,MATCH(order_items!$E$1,products!$A$1:$F$1,0),FALSE)</f>
        <v>6</v>
      </c>
      <c r="F833" t="str">
        <f>VLOOKUP($E833,categories!$A$1:$B$8,MATCH(order_items!$F$1,categories!$A$1:$B$1,0),FALSE)</f>
        <v>Mountain Bikes</v>
      </c>
      <c r="G833">
        <v>2</v>
      </c>
      <c r="H833">
        <v>3999.99</v>
      </c>
      <c r="I833" s="5">
        <v>0.05</v>
      </c>
      <c r="J833">
        <f t="shared" si="24"/>
        <v>7599.9809999999989</v>
      </c>
      <c r="K833" s="9">
        <f t="shared" si="25"/>
        <v>2.0606009048962846</v>
      </c>
    </row>
    <row r="834" spans="1:11" x14ac:dyDescent="0.3">
      <c r="A834">
        <v>294</v>
      </c>
      <c r="B834">
        <v>4</v>
      </c>
      <c r="C834">
        <v>25</v>
      </c>
      <c r="D834" t="str">
        <f>VLOOKUP($C834,products!$A$1:$F$322,MATCH(order_items!$D$1,products!$A$1:$F$1,0),FALSE)</f>
        <v>Electra Townie Original 7D - 2015/2016</v>
      </c>
      <c r="E834">
        <f>VLOOKUP($C834,products!$A$1:$F$322,MATCH(order_items!$E$1,products!$A$1:$F$1,0),FALSE)</f>
        <v>2</v>
      </c>
      <c r="F834" t="str">
        <f>VLOOKUP($E834,categories!$A$1:$B$8,MATCH(order_items!$F$1,categories!$A$1:$B$1,0),FALSE)</f>
        <v>Comfort Bicycles</v>
      </c>
      <c r="G834">
        <v>2</v>
      </c>
      <c r="H834">
        <v>499.99</v>
      </c>
      <c r="I834" s="5">
        <v>0.2</v>
      </c>
      <c r="J834">
        <f t="shared" ref="J834:J897" si="26">G834*H834*(1-I834)</f>
        <v>799.98400000000004</v>
      </c>
      <c r="K834" s="9">
        <f t="shared" ref="K834:K897" si="27">($H834-$M$7)/$M$9</f>
        <v>-0.52690291964276081</v>
      </c>
    </row>
    <row r="835" spans="1:11" x14ac:dyDescent="0.3">
      <c r="A835">
        <v>295</v>
      </c>
      <c r="B835">
        <v>1</v>
      </c>
      <c r="C835">
        <v>22</v>
      </c>
      <c r="D835" t="str">
        <f>VLOOKUP($C835,products!$A$1:$F$322,MATCH(order_items!$D$1,products!$A$1:$F$1,0),FALSE)</f>
        <v>Electra Girl's Hawaii 1 (16-inch) - 2015/2016</v>
      </c>
      <c r="E835">
        <f>VLOOKUP($C835,products!$A$1:$F$322,MATCH(order_items!$E$1,products!$A$1:$F$1,0),FALSE)</f>
        <v>1</v>
      </c>
      <c r="F835" t="str">
        <f>VLOOKUP($E835,categories!$A$1:$B$8,MATCH(order_items!$F$1,categories!$A$1:$B$1,0),FALSE)</f>
        <v>Children Bicycles</v>
      </c>
      <c r="G835">
        <v>2</v>
      </c>
      <c r="H835">
        <v>269.99</v>
      </c>
      <c r="I835" s="5">
        <v>7.0000000000000007E-2</v>
      </c>
      <c r="J835">
        <f t="shared" si="26"/>
        <v>502.1814</v>
      </c>
      <c r="K835" s="9">
        <f t="shared" si="27"/>
        <v>-0.69693888525532666</v>
      </c>
    </row>
    <row r="836" spans="1:11" x14ac:dyDescent="0.3">
      <c r="A836">
        <v>296</v>
      </c>
      <c r="B836">
        <v>1</v>
      </c>
      <c r="C836">
        <v>25</v>
      </c>
      <c r="D836" t="str">
        <f>VLOOKUP($C836,products!$A$1:$F$322,MATCH(order_items!$D$1,products!$A$1:$F$1,0),FALSE)</f>
        <v>Electra Townie Original 7D - 2015/2016</v>
      </c>
      <c r="E836">
        <f>VLOOKUP($C836,products!$A$1:$F$322,MATCH(order_items!$E$1,products!$A$1:$F$1,0),FALSE)</f>
        <v>2</v>
      </c>
      <c r="F836" t="str">
        <f>VLOOKUP($E836,categories!$A$1:$B$8,MATCH(order_items!$F$1,categories!$A$1:$B$1,0),FALSE)</f>
        <v>Comfort Bicycles</v>
      </c>
      <c r="G836">
        <v>2</v>
      </c>
      <c r="H836">
        <v>499.99</v>
      </c>
      <c r="I836" s="5">
        <v>7.0000000000000007E-2</v>
      </c>
      <c r="J836">
        <f t="shared" si="26"/>
        <v>929.98140000000001</v>
      </c>
      <c r="K836" s="9">
        <f t="shared" si="27"/>
        <v>-0.52690291964276081</v>
      </c>
    </row>
    <row r="837" spans="1:11" x14ac:dyDescent="0.3">
      <c r="A837">
        <v>296</v>
      </c>
      <c r="B837">
        <v>2</v>
      </c>
      <c r="C837">
        <v>12</v>
      </c>
      <c r="D837" t="str">
        <f>VLOOKUP($C837,products!$A$1:$F$322,MATCH(order_items!$D$1,products!$A$1:$F$1,0),FALSE)</f>
        <v>Electra Townie Original 21D - 2016</v>
      </c>
      <c r="E837">
        <f>VLOOKUP($C837,products!$A$1:$F$322,MATCH(order_items!$E$1,products!$A$1:$F$1,0),FALSE)</f>
        <v>3</v>
      </c>
      <c r="F837" t="str">
        <f>VLOOKUP($E837,categories!$A$1:$B$8,MATCH(order_items!$F$1,categories!$A$1:$B$1,0),FALSE)</f>
        <v>Cruisers Bicycles</v>
      </c>
      <c r="G837">
        <v>2</v>
      </c>
      <c r="H837">
        <v>549.99</v>
      </c>
      <c r="I837" s="5">
        <v>0.1</v>
      </c>
      <c r="J837">
        <f t="shared" si="26"/>
        <v>989.98200000000008</v>
      </c>
      <c r="K837" s="9">
        <f t="shared" si="27"/>
        <v>-0.48993857929220308</v>
      </c>
    </row>
    <row r="838" spans="1:11" x14ac:dyDescent="0.3">
      <c r="A838">
        <v>296</v>
      </c>
      <c r="B838">
        <v>3</v>
      </c>
      <c r="C838">
        <v>11</v>
      </c>
      <c r="D838" t="str">
        <f>VLOOKUP($C838,products!$A$1:$F$322,MATCH(order_items!$D$1,products!$A$1:$F$1,0),FALSE)</f>
        <v>Surly Straggler 650b - 2016</v>
      </c>
      <c r="E838">
        <f>VLOOKUP($C838,products!$A$1:$F$322,MATCH(order_items!$E$1,products!$A$1:$F$1,0),FALSE)</f>
        <v>4</v>
      </c>
      <c r="F838" t="str">
        <f>VLOOKUP($E838,categories!$A$1:$B$8,MATCH(order_items!$F$1,categories!$A$1:$B$1,0),FALSE)</f>
        <v>Cyclocross Bicycles</v>
      </c>
      <c r="G838">
        <v>2</v>
      </c>
      <c r="H838">
        <v>1680.99</v>
      </c>
      <c r="I838" s="5">
        <v>0.1</v>
      </c>
      <c r="J838">
        <f t="shared" si="26"/>
        <v>3025.7820000000002</v>
      </c>
      <c r="K838" s="9">
        <f t="shared" si="27"/>
        <v>0.3461947994374141</v>
      </c>
    </row>
    <row r="839" spans="1:11" x14ac:dyDescent="0.3">
      <c r="A839">
        <v>296</v>
      </c>
      <c r="B839">
        <v>4</v>
      </c>
      <c r="C839">
        <v>9</v>
      </c>
      <c r="D839" t="str">
        <f>VLOOKUP($C839,products!$A$1:$F$322,MATCH(order_items!$D$1,products!$A$1:$F$1,0),FALSE)</f>
        <v>Trek Conduit+ - 2016</v>
      </c>
      <c r="E839">
        <f>VLOOKUP($C839,products!$A$1:$F$322,MATCH(order_items!$E$1,products!$A$1:$F$1,0),FALSE)</f>
        <v>5</v>
      </c>
      <c r="F839" t="str">
        <f>VLOOKUP($E839,categories!$A$1:$B$8,MATCH(order_items!$F$1,categories!$A$1:$B$1,0),FALSE)</f>
        <v>Electric Bikes</v>
      </c>
      <c r="G839">
        <v>1</v>
      </c>
      <c r="H839">
        <v>2999.99</v>
      </c>
      <c r="I839" s="5">
        <v>0.2</v>
      </c>
      <c r="J839">
        <f t="shared" si="26"/>
        <v>2399.9919999999997</v>
      </c>
      <c r="K839" s="9">
        <f t="shared" si="27"/>
        <v>1.3213140978851283</v>
      </c>
    </row>
    <row r="840" spans="1:11" x14ac:dyDescent="0.3">
      <c r="A840">
        <v>297</v>
      </c>
      <c r="B840">
        <v>1</v>
      </c>
      <c r="C840">
        <v>4</v>
      </c>
      <c r="D840" t="str">
        <f>VLOOKUP($C840,products!$A$1:$F$322,MATCH(order_items!$D$1,products!$A$1:$F$1,0),FALSE)</f>
        <v>Trek Fuel EX 8 29 - 2016</v>
      </c>
      <c r="E840">
        <f>VLOOKUP($C840,products!$A$1:$F$322,MATCH(order_items!$E$1,products!$A$1:$F$1,0),FALSE)</f>
        <v>6</v>
      </c>
      <c r="F840" t="str">
        <f>VLOOKUP($E840,categories!$A$1:$B$8,MATCH(order_items!$F$1,categories!$A$1:$B$1,0),FALSE)</f>
        <v>Mountain Bikes</v>
      </c>
      <c r="G840">
        <v>2</v>
      </c>
      <c r="H840">
        <v>2899.99</v>
      </c>
      <c r="I840" s="5">
        <v>0.2</v>
      </c>
      <c r="J840">
        <f t="shared" si="26"/>
        <v>4639.9839999999995</v>
      </c>
      <c r="K840" s="9">
        <f t="shared" si="27"/>
        <v>1.2473854171840129</v>
      </c>
    </row>
    <row r="841" spans="1:11" x14ac:dyDescent="0.3">
      <c r="A841">
        <v>298</v>
      </c>
      <c r="B841">
        <v>1</v>
      </c>
      <c r="C841">
        <v>23</v>
      </c>
      <c r="D841" t="str">
        <f>VLOOKUP($C841,products!$A$1:$F$322,MATCH(order_items!$D$1,products!$A$1:$F$1,0),FALSE)</f>
        <v>Electra Girl's Hawaii 1 (20-inch) - 2015/2016</v>
      </c>
      <c r="E841">
        <f>VLOOKUP($C841,products!$A$1:$F$322,MATCH(order_items!$E$1,products!$A$1:$F$1,0),FALSE)</f>
        <v>1</v>
      </c>
      <c r="F841" t="str">
        <f>VLOOKUP($E841,categories!$A$1:$B$8,MATCH(order_items!$F$1,categories!$A$1:$B$1,0),FALSE)</f>
        <v>Children Bicycles</v>
      </c>
      <c r="G841">
        <v>1</v>
      </c>
      <c r="H841">
        <v>299.99</v>
      </c>
      <c r="I841" s="5">
        <v>0.2</v>
      </c>
      <c r="J841">
        <f t="shared" si="26"/>
        <v>239.99200000000002</v>
      </c>
      <c r="K841" s="9">
        <f t="shared" si="27"/>
        <v>-0.67476028104499197</v>
      </c>
    </row>
    <row r="842" spans="1:11" x14ac:dyDescent="0.3">
      <c r="A842">
        <v>298</v>
      </c>
      <c r="B842">
        <v>2</v>
      </c>
      <c r="C842">
        <v>6</v>
      </c>
      <c r="D842" t="str">
        <f>VLOOKUP($C842,products!$A$1:$F$322,MATCH(order_items!$D$1,products!$A$1:$F$1,0),FALSE)</f>
        <v>Surly Ice Cream Truck Frameset - 2016</v>
      </c>
      <c r="E842">
        <f>VLOOKUP($C842,products!$A$1:$F$322,MATCH(order_items!$E$1,products!$A$1:$F$1,0),FALSE)</f>
        <v>6</v>
      </c>
      <c r="F842" t="str">
        <f>VLOOKUP($E842,categories!$A$1:$B$8,MATCH(order_items!$F$1,categories!$A$1:$B$1,0),FALSE)</f>
        <v>Mountain Bikes</v>
      </c>
      <c r="G842">
        <v>2</v>
      </c>
      <c r="H842">
        <v>469.99</v>
      </c>
      <c r="I842" s="5">
        <v>0.05</v>
      </c>
      <c r="J842">
        <f t="shared" si="26"/>
        <v>892.98099999999999</v>
      </c>
      <c r="K842" s="9">
        <f t="shared" si="27"/>
        <v>-0.5490815238530955</v>
      </c>
    </row>
    <row r="843" spans="1:11" x14ac:dyDescent="0.3">
      <c r="A843">
        <v>298</v>
      </c>
      <c r="B843">
        <v>3</v>
      </c>
      <c r="C843">
        <v>22</v>
      </c>
      <c r="D843" t="str">
        <f>VLOOKUP($C843,products!$A$1:$F$322,MATCH(order_items!$D$1,products!$A$1:$F$1,0),FALSE)</f>
        <v>Electra Girl's Hawaii 1 (16-inch) - 2015/2016</v>
      </c>
      <c r="E843">
        <f>VLOOKUP($C843,products!$A$1:$F$322,MATCH(order_items!$E$1,products!$A$1:$F$1,0),FALSE)</f>
        <v>1</v>
      </c>
      <c r="F843" t="str">
        <f>VLOOKUP($E843,categories!$A$1:$B$8,MATCH(order_items!$F$1,categories!$A$1:$B$1,0),FALSE)</f>
        <v>Children Bicycles</v>
      </c>
      <c r="G843">
        <v>1</v>
      </c>
      <c r="H843">
        <v>269.99</v>
      </c>
      <c r="I843" s="5">
        <v>0.2</v>
      </c>
      <c r="J843">
        <f t="shared" si="26"/>
        <v>215.99200000000002</v>
      </c>
      <c r="K843" s="9">
        <f t="shared" si="27"/>
        <v>-0.69693888525532666</v>
      </c>
    </row>
    <row r="844" spans="1:11" x14ac:dyDescent="0.3">
      <c r="A844">
        <v>298</v>
      </c>
      <c r="B844">
        <v>4</v>
      </c>
      <c r="C844">
        <v>9</v>
      </c>
      <c r="D844" t="str">
        <f>VLOOKUP($C844,products!$A$1:$F$322,MATCH(order_items!$D$1,products!$A$1:$F$1,0),FALSE)</f>
        <v>Trek Conduit+ - 2016</v>
      </c>
      <c r="E844">
        <f>VLOOKUP($C844,products!$A$1:$F$322,MATCH(order_items!$E$1,products!$A$1:$F$1,0),FALSE)</f>
        <v>5</v>
      </c>
      <c r="F844" t="str">
        <f>VLOOKUP($E844,categories!$A$1:$B$8,MATCH(order_items!$F$1,categories!$A$1:$B$1,0),FALSE)</f>
        <v>Electric Bikes</v>
      </c>
      <c r="G844">
        <v>1</v>
      </c>
      <c r="H844">
        <v>2999.99</v>
      </c>
      <c r="I844" s="5">
        <v>7.0000000000000007E-2</v>
      </c>
      <c r="J844">
        <f t="shared" si="26"/>
        <v>2789.9906999999998</v>
      </c>
      <c r="K844" s="9">
        <f t="shared" si="27"/>
        <v>1.3213140978851283</v>
      </c>
    </row>
    <row r="845" spans="1:11" x14ac:dyDescent="0.3">
      <c r="A845">
        <v>298</v>
      </c>
      <c r="B845">
        <v>5</v>
      </c>
      <c r="C845">
        <v>14</v>
      </c>
      <c r="D845" t="str">
        <f>VLOOKUP($C845,products!$A$1:$F$322,MATCH(order_items!$D$1,products!$A$1:$F$1,0),FALSE)</f>
        <v>Electra Girl's Hawaii 1 (16-inch) - 2015/2016</v>
      </c>
      <c r="E845">
        <f>VLOOKUP($C845,products!$A$1:$F$322,MATCH(order_items!$E$1,products!$A$1:$F$1,0),FALSE)</f>
        <v>3</v>
      </c>
      <c r="F845" t="str">
        <f>VLOOKUP($E845,categories!$A$1:$B$8,MATCH(order_items!$F$1,categories!$A$1:$B$1,0),FALSE)</f>
        <v>Cruisers Bicycles</v>
      </c>
      <c r="G845">
        <v>2</v>
      </c>
      <c r="H845">
        <v>269.99</v>
      </c>
      <c r="I845" s="5">
        <v>0.1</v>
      </c>
      <c r="J845">
        <f t="shared" si="26"/>
        <v>485.98200000000003</v>
      </c>
      <c r="K845" s="9">
        <f t="shared" si="27"/>
        <v>-0.69693888525532666</v>
      </c>
    </row>
    <row r="846" spans="1:11" x14ac:dyDescent="0.3">
      <c r="A846">
        <v>299</v>
      </c>
      <c r="B846">
        <v>1</v>
      </c>
      <c r="C846">
        <v>11</v>
      </c>
      <c r="D846" t="str">
        <f>VLOOKUP($C846,products!$A$1:$F$322,MATCH(order_items!$D$1,products!$A$1:$F$1,0),FALSE)</f>
        <v>Surly Straggler 650b - 2016</v>
      </c>
      <c r="E846">
        <f>VLOOKUP($C846,products!$A$1:$F$322,MATCH(order_items!$E$1,products!$A$1:$F$1,0),FALSE)</f>
        <v>4</v>
      </c>
      <c r="F846" t="str">
        <f>VLOOKUP($E846,categories!$A$1:$B$8,MATCH(order_items!$F$1,categories!$A$1:$B$1,0),FALSE)</f>
        <v>Cyclocross Bicycles</v>
      </c>
      <c r="G846">
        <v>2</v>
      </c>
      <c r="H846">
        <v>1680.99</v>
      </c>
      <c r="I846" s="5">
        <v>0.05</v>
      </c>
      <c r="J846">
        <f t="shared" si="26"/>
        <v>3193.8809999999999</v>
      </c>
      <c r="K846" s="9">
        <f t="shared" si="27"/>
        <v>0.3461947994374141</v>
      </c>
    </row>
    <row r="847" spans="1:11" x14ac:dyDescent="0.3">
      <c r="A847">
        <v>299</v>
      </c>
      <c r="B847">
        <v>2</v>
      </c>
      <c r="C847">
        <v>10</v>
      </c>
      <c r="D847" t="str">
        <f>VLOOKUP($C847,products!$A$1:$F$322,MATCH(order_items!$D$1,products!$A$1:$F$1,0),FALSE)</f>
        <v>Surly Straggler - 2016</v>
      </c>
      <c r="E847">
        <f>VLOOKUP($C847,products!$A$1:$F$322,MATCH(order_items!$E$1,products!$A$1:$F$1,0),FALSE)</f>
        <v>4</v>
      </c>
      <c r="F847" t="str">
        <f>VLOOKUP($E847,categories!$A$1:$B$8,MATCH(order_items!$F$1,categories!$A$1:$B$1,0),FALSE)</f>
        <v>Cyclocross Bicycles</v>
      </c>
      <c r="G847">
        <v>2</v>
      </c>
      <c r="H847">
        <v>1549</v>
      </c>
      <c r="I847" s="5">
        <v>0.2</v>
      </c>
      <c r="J847">
        <f t="shared" si="26"/>
        <v>2478.4</v>
      </c>
      <c r="K847" s="9">
        <f t="shared" si="27"/>
        <v>0.24861633378001166</v>
      </c>
    </row>
    <row r="848" spans="1:11" x14ac:dyDescent="0.3">
      <c r="A848">
        <v>300</v>
      </c>
      <c r="B848">
        <v>1</v>
      </c>
      <c r="C848">
        <v>16</v>
      </c>
      <c r="D848" t="str">
        <f>VLOOKUP($C848,products!$A$1:$F$322,MATCH(order_items!$D$1,products!$A$1:$F$1,0),FALSE)</f>
        <v>Electra Townie Original 7D EQ - 2016</v>
      </c>
      <c r="E848">
        <f>VLOOKUP($C848,products!$A$1:$F$322,MATCH(order_items!$E$1,products!$A$1:$F$1,0),FALSE)</f>
        <v>3</v>
      </c>
      <c r="F848" t="str">
        <f>VLOOKUP($E848,categories!$A$1:$B$8,MATCH(order_items!$F$1,categories!$A$1:$B$1,0),FALSE)</f>
        <v>Cruisers Bicycles</v>
      </c>
      <c r="G848">
        <v>2</v>
      </c>
      <c r="H848">
        <v>599.99</v>
      </c>
      <c r="I848" s="5">
        <v>0.1</v>
      </c>
      <c r="J848">
        <f t="shared" si="26"/>
        <v>1079.982</v>
      </c>
      <c r="K848" s="9">
        <f t="shared" si="27"/>
        <v>-0.45297423894164529</v>
      </c>
    </row>
    <row r="849" spans="1:11" x14ac:dyDescent="0.3">
      <c r="A849">
        <v>300</v>
      </c>
      <c r="B849">
        <v>2</v>
      </c>
      <c r="C849">
        <v>9</v>
      </c>
      <c r="D849" t="str">
        <f>VLOOKUP($C849,products!$A$1:$F$322,MATCH(order_items!$D$1,products!$A$1:$F$1,0),FALSE)</f>
        <v>Trek Conduit+ - 2016</v>
      </c>
      <c r="E849">
        <f>VLOOKUP($C849,products!$A$1:$F$322,MATCH(order_items!$E$1,products!$A$1:$F$1,0),FALSE)</f>
        <v>5</v>
      </c>
      <c r="F849" t="str">
        <f>VLOOKUP($E849,categories!$A$1:$B$8,MATCH(order_items!$F$1,categories!$A$1:$B$1,0),FALSE)</f>
        <v>Electric Bikes</v>
      </c>
      <c r="G849">
        <v>2</v>
      </c>
      <c r="H849">
        <v>2999.99</v>
      </c>
      <c r="I849" s="5">
        <v>0.1</v>
      </c>
      <c r="J849">
        <f t="shared" si="26"/>
        <v>5399.982</v>
      </c>
      <c r="K849" s="9">
        <f t="shared" si="27"/>
        <v>1.3213140978851283</v>
      </c>
    </row>
    <row r="850" spans="1:11" x14ac:dyDescent="0.3">
      <c r="A850">
        <v>300</v>
      </c>
      <c r="B850">
        <v>3</v>
      </c>
      <c r="C850">
        <v>10</v>
      </c>
      <c r="D850" t="str">
        <f>VLOOKUP($C850,products!$A$1:$F$322,MATCH(order_items!$D$1,products!$A$1:$F$1,0),FALSE)</f>
        <v>Surly Straggler - 2016</v>
      </c>
      <c r="E850">
        <f>VLOOKUP($C850,products!$A$1:$F$322,MATCH(order_items!$E$1,products!$A$1:$F$1,0),FALSE)</f>
        <v>4</v>
      </c>
      <c r="F850" t="str">
        <f>VLOOKUP($E850,categories!$A$1:$B$8,MATCH(order_items!$F$1,categories!$A$1:$B$1,0),FALSE)</f>
        <v>Cyclocross Bicycles</v>
      </c>
      <c r="G850">
        <v>1</v>
      </c>
      <c r="H850">
        <v>1549</v>
      </c>
      <c r="I850" s="5">
        <v>0.1</v>
      </c>
      <c r="J850">
        <f t="shared" si="26"/>
        <v>1394.1000000000001</v>
      </c>
      <c r="K850" s="9">
        <f t="shared" si="27"/>
        <v>0.24861633378001166</v>
      </c>
    </row>
    <row r="851" spans="1:11" x14ac:dyDescent="0.3">
      <c r="A851">
        <v>300</v>
      </c>
      <c r="B851">
        <v>4</v>
      </c>
      <c r="C851">
        <v>11</v>
      </c>
      <c r="D851" t="str">
        <f>VLOOKUP($C851,products!$A$1:$F$322,MATCH(order_items!$D$1,products!$A$1:$F$1,0),FALSE)</f>
        <v>Surly Straggler 650b - 2016</v>
      </c>
      <c r="E851">
        <f>VLOOKUP($C851,products!$A$1:$F$322,MATCH(order_items!$E$1,products!$A$1:$F$1,0),FALSE)</f>
        <v>4</v>
      </c>
      <c r="F851" t="str">
        <f>VLOOKUP($E851,categories!$A$1:$B$8,MATCH(order_items!$F$1,categories!$A$1:$B$1,0),FALSE)</f>
        <v>Cyclocross Bicycles</v>
      </c>
      <c r="G851">
        <v>2</v>
      </c>
      <c r="H851">
        <v>1680.99</v>
      </c>
      <c r="I851" s="5">
        <v>0.2</v>
      </c>
      <c r="J851">
        <f t="shared" si="26"/>
        <v>2689.5840000000003</v>
      </c>
      <c r="K851" s="9">
        <f t="shared" si="27"/>
        <v>0.3461947994374141</v>
      </c>
    </row>
    <row r="852" spans="1:11" x14ac:dyDescent="0.3">
      <c r="A852">
        <v>301</v>
      </c>
      <c r="B852">
        <v>1</v>
      </c>
      <c r="C852">
        <v>6</v>
      </c>
      <c r="D852" t="str">
        <f>VLOOKUP($C852,products!$A$1:$F$322,MATCH(order_items!$D$1,products!$A$1:$F$1,0),FALSE)</f>
        <v>Surly Ice Cream Truck Frameset - 2016</v>
      </c>
      <c r="E852">
        <f>VLOOKUP($C852,products!$A$1:$F$322,MATCH(order_items!$E$1,products!$A$1:$F$1,0),FALSE)</f>
        <v>6</v>
      </c>
      <c r="F852" t="str">
        <f>VLOOKUP($E852,categories!$A$1:$B$8,MATCH(order_items!$F$1,categories!$A$1:$B$1,0),FALSE)</f>
        <v>Mountain Bikes</v>
      </c>
      <c r="G852">
        <v>1</v>
      </c>
      <c r="H852">
        <v>469.99</v>
      </c>
      <c r="I852" s="5">
        <v>0.05</v>
      </c>
      <c r="J852">
        <f t="shared" si="26"/>
        <v>446.4905</v>
      </c>
      <c r="K852" s="9">
        <f t="shared" si="27"/>
        <v>-0.5490815238530955</v>
      </c>
    </row>
    <row r="853" spans="1:11" x14ac:dyDescent="0.3">
      <c r="A853">
        <v>301</v>
      </c>
      <c r="B853">
        <v>2</v>
      </c>
      <c r="C853">
        <v>22</v>
      </c>
      <c r="D853" t="str">
        <f>VLOOKUP($C853,products!$A$1:$F$322,MATCH(order_items!$D$1,products!$A$1:$F$1,0),FALSE)</f>
        <v>Electra Girl's Hawaii 1 (16-inch) - 2015/2016</v>
      </c>
      <c r="E853">
        <f>VLOOKUP($C853,products!$A$1:$F$322,MATCH(order_items!$E$1,products!$A$1:$F$1,0),FALSE)</f>
        <v>1</v>
      </c>
      <c r="F853" t="str">
        <f>VLOOKUP($E853,categories!$A$1:$B$8,MATCH(order_items!$F$1,categories!$A$1:$B$1,0),FALSE)</f>
        <v>Children Bicycles</v>
      </c>
      <c r="G853">
        <v>1</v>
      </c>
      <c r="H853">
        <v>269.99</v>
      </c>
      <c r="I853" s="5">
        <v>0.1</v>
      </c>
      <c r="J853">
        <f t="shared" si="26"/>
        <v>242.99100000000001</v>
      </c>
      <c r="K853" s="9">
        <f t="shared" si="27"/>
        <v>-0.69693888525532666</v>
      </c>
    </row>
    <row r="854" spans="1:11" x14ac:dyDescent="0.3">
      <c r="A854">
        <v>302</v>
      </c>
      <c r="B854">
        <v>1</v>
      </c>
      <c r="C854">
        <v>24</v>
      </c>
      <c r="D854" t="str">
        <f>VLOOKUP($C854,products!$A$1:$F$322,MATCH(order_items!$D$1,products!$A$1:$F$1,0),FALSE)</f>
        <v>Electra Townie Original 21D - 2016</v>
      </c>
      <c r="E854">
        <f>VLOOKUP($C854,products!$A$1:$F$322,MATCH(order_items!$E$1,products!$A$1:$F$1,0),FALSE)</f>
        <v>2</v>
      </c>
      <c r="F854" t="str">
        <f>VLOOKUP($E854,categories!$A$1:$B$8,MATCH(order_items!$F$1,categories!$A$1:$B$1,0),FALSE)</f>
        <v>Comfort Bicycles</v>
      </c>
      <c r="G854">
        <v>2</v>
      </c>
      <c r="H854">
        <v>549.99</v>
      </c>
      <c r="I854" s="5">
        <v>0.2</v>
      </c>
      <c r="J854">
        <f t="shared" si="26"/>
        <v>879.98400000000004</v>
      </c>
      <c r="K854" s="9">
        <f t="shared" si="27"/>
        <v>-0.48993857929220308</v>
      </c>
    </row>
    <row r="855" spans="1:11" x14ac:dyDescent="0.3">
      <c r="A855">
        <v>302</v>
      </c>
      <c r="B855">
        <v>2</v>
      </c>
      <c r="C855">
        <v>18</v>
      </c>
      <c r="D855" t="str">
        <f>VLOOKUP($C855,products!$A$1:$F$322,MATCH(order_items!$D$1,products!$A$1:$F$1,0),FALSE)</f>
        <v>Pure Cycles Western 3-Speed - Women's - 2015/2016</v>
      </c>
      <c r="E855">
        <f>VLOOKUP($C855,products!$A$1:$F$322,MATCH(order_items!$E$1,products!$A$1:$F$1,0),FALSE)</f>
        <v>3</v>
      </c>
      <c r="F855" t="str">
        <f>VLOOKUP($E855,categories!$A$1:$B$8,MATCH(order_items!$F$1,categories!$A$1:$B$1,0),FALSE)</f>
        <v>Cruisers Bicycles</v>
      </c>
      <c r="G855">
        <v>2</v>
      </c>
      <c r="H855">
        <v>449</v>
      </c>
      <c r="I855" s="5">
        <v>7.0000000000000007E-2</v>
      </c>
      <c r="J855">
        <f t="shared" si="26"/>
        <v>835.14</v>
      </c>
      <c r="K855" s="9">
        <f t="shared" si="27"/>
        <v>-0.56459915393225968</v>
      </c>
    </row>
    <row r="856" spans="1:11" x14ac:dyDescent="0.3">
      <c r="A856">
        <v>302</v>
      </c>
      <c r="B856">
        <v>3</v>
      </c>
      <c r="C856">
        <v>2</v>
      </c>
      <c r="D856" t="str">
        <f>VLOOKUP($C856,products!$A$1:$F$322,MATCH(order_items!$D$1,products!$A$1:$F$1,0),FALSE)</f>
        <v>Ritchey Timberwolf Frameset - 2016</v>
      </c>
      <c r="E856">
        <f>VLOOKUP($C856,products!$A$1:$F$322,MATCH(order_items!$E$1,products!$A$1:$F$1,0),FALSE)</f>
        <v>6</v>
      </c>
      <c r="F856" t="str">
        <f>VLOOKUP($E856,categories!$A$1:$B$8,MATCH(order_items!$F$1,categories!$A$1:$B$1,0),FALSE)</f>
        <v>Mountain Bikes</v>
      </c>
      <c r="G856">
        <v>2</v>
      </c>
      <c r="H856">
        <v>749.99</v>
      </c>
      <c r="I856" s="5">
        <v>0.2</v>
      </c>
      <c r="J856">
        <f t="shared" si="26"/>
        <v>1199.9840000000002</v>
      </c>
      <c r="K856" s="9">
        <f t="shared" si="27"/>
        <v>-0.34208121788997192</v>
      </c>
    </row>
    <row r="857" spans="1:11" x14ac:dyDescent="0.3">
      <c r="A857">
        <v>303</v>
      </c>
      <c r="B857">
        <v>1</v>
      </c>
      <c r="C857">
        <v>8</v>
      </c>
      <c r="D857" t="str">
        <f>VLOOKUP($C857,products!$A$1:$F$322,MATCH(order_items!$D$1,products!$A$1:$F$1,0),FALSE)</f>
        <v>Trek Remedy 29 Carbon Frameset - 2016</v>
      </c>
      <c r="E857">
        <f>VLOOKUP($C857,products!$A$1:$F$322,MATCH(order_items!$E$1,products!$A$1:$F$1,0),FALSE)</f>
        <v>6</v>
      </c>
      <c r="F857" t="str">
        <f>VLOOKUP($E857,categories!$A$1:$B$8,MATCH(order_items!$F$1,categories!$A$1:$B$1,0),FALSE)</f>
        <v>Mountain Bikes</v>
      </c>
      <c r="G857">
        <v>2</v>
      </c>
      <c r="H857">
        <v>1799.99</v>
      </c>
      <c r="I857" s="5">
        <v>0.05</v>
      </c>
      <c r="J857">
        <f t="shared" si="26"/>
        <v>3419.9809999999998</v>
      </c>
      <c r="K857" s="9">
        <f t="shared" si="27"/>
        <v>0.43416992947174166</v>
      </c>
    </row>
    <row r="858" spans="1:11" x14ac:dyDescent="0.3">
      <c r="A858">
        <v>303</v>
      </c>
      <c r="B858">
        <v>2</v>
      </c>
      <c r="C858">
        <v>24</v>
      </c>
      <c r="D858" t="str">
        <f>VLOOKUP($C858,products!$A$1:$F$322,MATCH(order_items!$D$1,products!$A$1:$F$1,0),FALSE)</f>
        <v>Electra Townie Original 21D - 2016</v>
      </c>
      <c r="E858">
        <f>VLOOKUP($C858,products!$A$1:$F$322,MATCH(order_items!$E$1,products!$A$1:$F$1,0),FALSE)</f>
        <v>2</v>
      </c>
      <c r="F858" t="str">
        <f>VLOOKUP($E858,categories!$A$1:$B$8,MATCH(order_items!$F$1,categories!$A$1:$B$1,0),FALSE)</f>
        <v>Comfort Bicycles</v>
      </c>
      <c r="G858">
        <v>2</v>
      </c>
      <c r="H858">
        <v>549.99</v>
      </c>
      <c r="I858" s="5">
        <v>0.05</v>
      </c>
      <c r="J858">
        <f t="shared" si="26"/>
        <v>1044.981</v>
      </c>
      <c r="K858" s="9">
        <f t="shared" si="27"/>
        <v>-0.48993857929220308</v>
      </c>
    </row>
    <row r="859" spans="1:11" x14ac:dyDescent="0.3">
      <c r="A859">
        <v>304</v>
      </c>
      <c r="B859">
        <v>1</v>
      </c>
      <c r="C859">
        <v>10</v>
      </c>
      <c r="D859" t="str">
        <f>VLOOKUP($C859,products!$A$1:$F$322,MATCH(order_items!$D$1,products!$A$1:$F$1,0),FALSE)</f>
        <v>Surly Straggler - 2016</v>
      </c>
      <c r="E859">
        <f>VLOOKUP($C859,products!$A$1:$F$322,MATCH(order_items!$E$1,products!$A$1:$F$1,0),FALSE)</f>
        <v>4</v>
      </c>
      <c r="F859" t="str">
        <f>VLOOKUP($E859,categories!$A$1:$B$8,MATCH(order_items!$F$1,categories!$A$1:$B$1,0),FALSE)</f>
        <v>Cyclocross Bicycles</v>
      </c>
      <c r="G859">
        <v>1</v>
      </c>
      <c r="H859">
        <v>1549</v>
      </c>
      <c r="I859" s="5">
        <v>0.05</v>
      </c>
      <c r="J859">
        <f t="shared" si="26"/>
        <v>1471.55</v>
      </c>
      <c r="K859" s="9">
        <f t="shared" si="27"/>
        <v>0.24861633378001166</v>
      </c>
    </row>
    <row r="860" spans="1:11" x14ac:dyDescent="0.3">
      <c r="A860">
        <v>304</v>
      </c>
      <c r="B860">
        <v>2</v>
      </c>
      <c r="C860">
        <v>7</v>
      </c>
      <c r="D860" t="str">
        <f>VLOOKUP($C860,products!$A$1:$F$322,MATCH(order_items!$D$1,products!$A$1:$F$1,0),FALSE)</f>
        <v>Trek Slash 8 27.5 - 2016</v>
      </c>
      <c r="E860">
        <f>VLOOKUP($C860,products!$A$1:$F$322,MATCH(order_items!$E$1,products!$A$1:$F$1,0),FALSE)</f>
        <v>6</v>
      </c>
      <c r="F860" t="str">
        <f>VLOOKUP($E860,categories!$A$1:$B$8,MATCH(order_items!$F$1,categories!$A$1:$B$1,0),FALSE)</f>
        <v>Mountain Bikes</v>
      </c>
      <c r="G860">
        <v>2</v>
      </c>
      <c r="H860">
        <v>3999.99</v>
      </c>
      <c r="I860" s="5">
        <v>0.1</v>
      </c>
      <c r="J860">
        <f t="shared" si="26"/>
        <v>7199.982</v>
      </c>
      <c r="K860" s="9">
        <f t="shared" si="27"/>
        <v>2.0606009048962846</v>
      </c>
    </row>
    <row r="861" spans="1:11" x14ac:dyDescent="0.3">
      <c r="A861">
        <v>304</v>
      </c>
      <c r="B861">
        <v>3</v>
      </c>
      <c r="C861">
        <v>20</v>
      </c>
      <c r="D861" t="str">
        <f>VLOOKUP($C861,products!$A$1:$F$322,MATCH(order_items!$D$1,products!$A$1:$F$1,0),FALSE)</f>
        <v>Electra Townie Original 7D EQ - Women's - 2016</v>
      </c>
      <c r="E861">
        <f>VLOOKUP($C861,products!$A$1:$F$322,MATCH(order_items!$E$1,products!$A$1:$F$1,0),FALSE)</f>
        <v>3</v>
      </c>
      <c r="F861" t="str">
        <f>VLOOKUP($E861,categories!$A$1:$B$8,MATCH(order_items!$F$1,categories!$A$1:$B$1,0),FALSE)</f>
        <v>Cruisers Bicycles</v>
      </c>
      <c r="G861">
        <v>1</v>
      </c>
      <c r="H861">
        <v>599.99</v>
      </c>
      <c r="I861" s="5">
        <v>0.1</v>
      </c>
      <c r="J861">
        <f t="shared" si="26"/>
        <v>539.99099999999999</v>
      </c>
      <c r="K861" s="9">
        <f t="shared" si="27"/>
        <v>-0.45297423894164529</v>
      </c>
    </row>
    <row r="862" spans="1:11" x14ac:dyDescent="0.3">
      <c r="A862">
        <v>305</v>
      </c>
      <c r="B862">
        <v>1</v>
      </c>
      <c r="C862">
        <v>10</v>
      </c>
      <c r="D862" t="str">
        <f>VLOOKUP($C862,products!$A$1:$F$322,MATCH(order_items!$D$1,products!$A$1:$F$1,0),FALSE)</f>
        <v>Surly Straggler - 2016</v>
      </c>
      <c r="E862">
        <f>VLOOKUP($C862,products!$A$1:$F$322,MATCH(order_items!$E$1,products!$A$1:$F$1,0),FALSE)</f>
        <v>4</v>
      </c>
      <c r="F862" t="str">
        <f>VLOOKUP($E862,categories!$A$1:$B$8,MATCH(order_items!$F$1,categories!$A$1:$B$1,0),FALSE)</f>
        <v>Cyclocross Bicycles</v>
      </c>
      <c r="G862">
        <v>1</v>
      </c>
      <c r="H862">
        <v>1549</v>
      </c>
      <c r="I862" s="5">
        <v>7.0000000000000007E-2</v>
      </c>
      <c r="J862">
        <f t="shared" si="26"/>
        <v>1440.57</v>
      </c>
      <c r="K862" s="9">
        <f t="shared" si="27"/>
        <v>0.24861633378001166</v>
      </c>
    </row>
    <row r="863" spans="1:11" x14ac:dyDescent="0.3">
      <c r="A863">
        <v>305</v>
      </c>
      <c r="B863">
        <v>2</v>
      </c>
      <c r="C863">
        <v>6</v>
      </c>
      <c r="D863" t="str">
        <f>VLOOKUP($C863,products!$A$1:$F$322,MATCH(order_items!$D$1,products!$A$1:$F$1,0),FALSE)</f>
        <v>Surly Ice Cream Truck Frameset - 2016</v>
      </c>
      <c r="E863">
        <f>VLOOKUP($C863,products!$A$1:$F$322,MATCH(order_items!$E$1,products!$A$1:$F$1,0),FALSE)</f>
        <v>6</v>
      </c>
      <c r="F863" t="str">
        <f>VLOOKUP($E863,categories!$A$1:$B$8,MATCH(order_items!$F$1,categories!$A$1:$B$1,0),FALSE)</f>
        <v>Mountain Bikes</v>
      </c>
      <c r="G863">
        <v>1</v>
      </c>
      <c r="H863">
        <v>469.99</v>
      </c>
      <c r="I863" s="5">
        <v>0.1</v>
      </c>
      <c r="J863">
        <f t="shared" si="26"/>
        <v>422.99100000000004</v>
      </c>
      <c r="K863" s="9">
        <f t="shared" si="27"/>
        <v>-0.5490815238530955</v>
      </c>
    </row>
    <row r="864" spans="1:11" x14ac:dyDescent="0.3">
      <c r="A864">
        <v>305</v>
      </c>
      <c r="B864">
        <v>3</v>
      </c>
      <c r="C864">
        <v>3</v>
      </c>
      <c r="D864" t="str">
        <f>VLOOKUP($C864,products!$A$1:$F$322,MATCH(order_items!$D$1,products!$A$1:$F$1,0),FALSE)</f>
        <v>Surly Wednesday Frameset - 2016</v>
      </c>
      <c r="E864">
        <f>VLOOKUP($C864,products!$A$1:$F$322,MATCH(order_items!$E$1,products!$A$1:$F$1,0),FALSE)</f>
        <v>6</v>
      </c>
      <c r="F864" t="str">
        <f>VLOOKUP($E864,categories!$A$1:$B$8,MATCH(order_items!$F$1,categories!$A$1:$B$1,0),FALSE)</f>
        <v>Mountain Bikes</v>
      </c>
      <c r="G864">
        <v>2</v>
      </c>
      <c r="H864">
        <v>999.99</v>
      </c>
      <c r="I864" s="5">
        <v>0.2</v>
      </c>
      <c r="J864">
        <f t="shared" si="26"/>
        <v>1599.9840000000002</v>
      </c>
      <c r="K864" s="9">
        <f t="shared" si="27"/>
        <v>-0.15725951613718298</v>
      </c>
    </row>
    <row r="865" spans="1:11" x14ac:dyDescent="0.3">
      <c r="A865">
        <v>306</v>
      </c>
      <c r="B865">
        <v>1</v>
      </c>
      <c r="C865">
        <v>10</v>
      </c>
      <c r="D865" t="str">
        <f>VLOOKUP($C865,products!$A$1:$F$322,MATCH(order_items!$D$1,products!$A$1:$F$1,0),FALSE)</f>
        <v>Surly Straggler - 2016</v>
      </c>
      <c r="E865">
        <f>VLOOKUP($C865,products!$A$1:$F$322,MATCH(order_items!$E$1,products!$A$1:$F$1,0),FALSE)</f>
        <v>4</v>
      </c>
      <c r="F865" t="str">
        <f>VLOOKUP($E865,categories!$A$1:$B$8,MATCH(order_items!$F$1,categories!$A$1:$B$1,0),FALSE)</f>
        <v>Cyclocross Bicycles</v>
      </c>
      <c r="G865">
        <v>1</v>
      </c>
      <c r="H865">
        <v>1549</v>
      </c>
      <c r="I865" s="5">
        <v>0.2</v>
      </c>
      <c r="J865">
        <f t="shared" si="26"/>
        <v>1239.2</v>
      </c>
      <c r="K865" s="9">
        <f t="shared" si="27"/>
        <v>0.24861633378001166</v>
      </c>
    </row>
    <row r="866" spans="1:11" x14ac:dyDescent="0.3">
      <c r="A866">
        <v>306</v>
      </c>
      <c r="B866">
        <v>2</v>
      </c>
      <c r="C866">
        <v>22</v>
      </c>
      <c r="D866" t="str">
        <f>VLOOKUP($C866,products!$A$1:$F$322,MATCH(order_items!$D$1,products!$A$1:$F$1,0),FALSE)</f>
        <v>Electra Girl's Hawaii 1 (16-inch) - 2015/2016</v>
      </c>
      <c r="E866">
        <f>VLOOKUP($C866,products!$A$1:$F$322,MATCH(order_items!$E$1,products!$A$1:$F$1,0),FALSE)</f>
        <v>1</v>
      </c>
      <c r="F866" t="str">
        <f>VLOOKUP($E866,categories!$A$1:$B$8,MATCH(order_items!$F$1,categories!$A$1:$B$1,0),FALSE)</f>
        <v>Children Bicycles</v>
      </c>
      <c r="G866">
        <v>1</v>
      </c>
      <c r="H866">
        <v>269.99</v>
      </c>
      <c r="I866" s="5">
        <v>7.0000000000000007E-2</v>
      </c>
      <c r="J866">
        <f t="shared" si="26"/>
        <v>251.0907</v>
      </c>
      <c r="K866" s="9">
        <f t="shared" si="27"/>
        <v>-0.69693888525532666</v>
      </c>
    </row>
    <row r="867" spans="1:11" x14ac:dyDescent="0.3">
      <c r="A867">
        <v>307</v>
      </c>
      <c r="B867">
        <v>1</v>
      </c>
      <c r="C867">
        <v>15</v>
      </c>
      <c r="D867" t="str">
        <f>VLOOKUP($C867,products!$A$1:$F$322,MATCH(order_items!$D$1,products!$A$1:$F$1,0),FALSE)</f>
        <v>Electra Moto 1 - 2016</v>
      </c>
      <c r="E867">
        <f>VLOOKUP($C867,products!$A$1:$F$322,MATCH(order_items!$E$1,products!$A$1:$F$1,0),FALSE)</f>
        <v>3</v>
      </c>
      <c r="F867" t="str">
        <f>VLOOKUP($E867,categories!$A$1:$B$8,MATCH(order_items!$F$1,categories!$A$1:$B$1,0),FALSE)</f>
        <v>Cruisers Bicycles</v>
      </c>
      <c r="G867">
        <v>2</v>
      </c>
      <c r="H867">
        <v>529.99</v>
      </c>
      <c r="I867" s="5">
        <v>0.05</v>
      </c>
      <c r="J867">
        <f t="shared" si="26"/>
        <v>1006.981</v>
      </c>
      <c r="K867" s="9">
        <f t="shared" si="27"/>
        <v>-0.50472431543242624</v>
      </c>
    </row>
    <row r="868" spans="1:11" x14ac:dyDescent="0.3">
      <c r="A868">
        <v>308</v>
      </c>
      <c r="B868">
        <v>1</v>
      </c>
      <c r="C868">
        <v>7</v>
      </c>
      <c r="D868" t="str">
        <f>VLOOKUP($C868,products!$A$1:$F$322,MATCH(order_items!$D$1,products!$A$1:$F$1,0),FALSE)</f>
        <v>Trek Slash 8 27.5 - 2016</v>
      </c>
      <c r="E868">
        <f>VLOOKUP($C868,products!$A$1:$F$322,MATCH(order_items!$E$1,products!$A$1:$F$1,0),FALSE)</f>
        <v>6</v>
      </c>
      <c r="F868" t="str">
        <f>VLOOKUP($E868,categories!$A$1:$B$8,MATCH(order_items!$F$1,categories!$A$1:$B$1,0),FALSE)</f>
        <v>Mountain Bikes</v>
      </c>
      <c r="G868">
        <v>1</v>
      </c>
      <c r="H868">
        <v>3999.99</v>
      </c>
      <c r="I868" s="5">
        <v>0.1</v>
      </c>
      <c r="J868">
        <f t="shared" si="26"/>
        <v>3599.991</v>
      </c>
      <c r="K868" s="9">
        <f t="shared" si="27"/>
        <v>2.0606009048962846</v>
      </c>
    </row>
    <row r="869" spans="1:11" x14ac:dyDescent="0.3">
      <c r="A869">
        <v>308</v>
      </c>
      <c r="B869">
        <v>2</v>
      </c>
      <c r="C869">
        <v>18</v>
      </c>
      <c r="D869" t="str">
        <f>VLOOKUP($C869,products!$A$1:$F$322,MATCH(order_items!$D$1,products!$A$1:$F$1,0),FALSE)</f>
        <v>Pure Cycles Western 3-Speed - Women's - 2015/2016</v>
      </c>
      <c r="E869">
        <f>VLOOKUP($C869,products!$A$1:$F$322,MATCH(order_items!$E$1,products!$A$1:$F$1,0),FALSE)</f>
        <v>3</v>
      </c>
      <c r="F869" t="str">
        <f>VLOOKUP($E869,categories!$A$1:$B$8,MATCH(order_items!$F$1,categories!$A$1:$B$1,0),FALSE)</f>
        <v>Cruisers Bicycles</v>
      </c>
      <c r="G869">
        <v>2</v>
      </c>
      <c r="H869">
        <v>449</v>
      </c>
      <c r="I869" s="5">
        <v>0.2</v>
      </c>
      <c r="J869">
        <f t="shared" si="26"/>
        <v>718.40000000000009</v>
      </c>
      <c r="K869" s="9">
        <f t="shared" si="27"/>
        <v>-0.56459915393225968</v>
      </c>
    </row>
    <row r="870" spans="1:11" x14ac:dyDescent="0.3">
      <c r="A870">
        <v>308</v>
      </c>
      <c r="B870">
        <v>3</v>
      </c>
      <c r="C870">
        <v>14</v>
      </c>
      <c r="D870" t="str">
        <f>VLOOKUP($C870,products!$A$1:$F$322,MATCH(order_items!$D$1,products!$A$1:$F$1,0),FALSE)</f>
        <v>Electra Girl's Hawaii 1 (16-inch) - 2015/2016</v>
      </c>
      <c r="E870">
        <f>VLOOKUP($C870,products!$A$1:$F$322,MATCH(order_items!$E$1,products!$A$1:$F$1,0),FALSE)</f>
        <v>3</v>
      </c>
      <c r="F870" t="str">
        <f>VLOOKUP($E870,categories!$A$1:$B$8,MATCH(order_items!$F$1,categories!$A$1:$B$1,0),FALSE)</f>
        <v>Cruisers Bicycles</v>
      </c>
      <c r="G870">
        <v>1</v>
      </c>
      <c r="H870">
        <v>269.99</v>
      </c>
      <c r="I870" s="5">
        <v>0.2</v>
      </c>
      <c r="J870">
        <f t="shared" si="26"/>
        <v>215.99200000000002</v>
      </c>
      <c r="K870" s="9">
        <f t="shared" si="27"/>
        <v>-0.69693888525532666</v>
      </c>
    </row>
    <row r="871" spans="1:11" x14ac:dyDescent="0.3">
      <c r="A871">
        <v>309</v>
      </c>
      <c r="B871">
        <v>1</v>
      </c>
      <c r="C871">
        <v>3</v>
      </c>
      <c r="D871" t="str">
        <f>VLOOKUP($C871,products!$A$1:$F$322,MATCH(order_items!$D$1,products!$A$1:$F$1,0),FALSE)</f>
        <v>Surly Wednesday Frameset - 2016</v>
      </c>
      <c r="E871">
        <f>VLOOKUP($C871,products!$A$1:$F$322,MATCH(order_items!$E$1,products!$A$1:$F$1,0),FALSE)</f>
        <v>6</v>
      </c>
      <c r="F871" t="str">
        <f>VLOOKUP($E871,categories!$A$1:$B$8,MATCH(order_items!$F$1,categories!$A$1:$B$1,0),FALSE)</f>
        <v>Mountain Bikes</v>
      </c>
      <c r="G871">
        <v>1</v>
      </c>
      <c r="H871">
        <v>999.99</v>
      </c>
      <c r="I871" s="5">
        <v>0.05</v>
      </c>
      <c r="J871">
        <f t="shared" si="26"/>
        <v>949.9905</v>
      </c>
      <c r="K871" s="9">
        <f t="shared" si="27"/>
        <v>-0.15725951613718298</v>
      </c>
    </row>
    <row r="872" spans="1:11" x14ac:dyDescent="0.3">
      <c r="A872">
        <v>309</v>
      </c>
      <c r="B872">
        <v>2</v>
      </c>
      <c r="C872">
        <v>12</v>
      </c>
      <c r="D872" t="str">
        <f>VLOOKUP($C872,products!$A$1:$F$322,MATCH(order_items!$D$1,products!$A$1:$F$1,0),FALSE)</f>
        <v>Electra Townie Original 21D - 2016</v>
      </c>
      <c r="E872">
        <f>VLOOKUP($C872,products!$A$1:$F$322,MATCH(order_items!$E$1,products!$A$1:$F$1,0),FALSE)</f>
        <v>3</v>
      </c>
      <c r="F872" t="str">
        <f>VLOOKUP($E872,categories!$A$1:$B$8,MATCH(order_items!$F$1,categories!$A$1:$B$1,0),FALSE)</f>
        <v>Cruisers Bicycles</v>
      </c>
      <c r="G872">
        <v>1</v>
      </c>
      <c r="H872">
        <v>549.99</v>
      </c>
      <c r="I872" s="5">
        <v>0.05</v>
      </c>
      <c r="J872">
        <f t="shared" si="26"/>
        <v>522.4905</v>
      </c>
      <c r="K872" s="9">
        <f t="shared" si="27"/>
        <v>-0.48993857929220308</v>
      </c>
    </row>
    <row r="873" spans="1:11" x14ac:dyDescent="0.3">
      <c r="A873">
        <v>310</v>
      </c>
      <c r="B873">
        <v>1</v>
      </c>
      <c r="C873">
        <v>7</v>
      </c>
      <c r="D873" t="str">
        <f>VLOOKUP($C873,products!$A$1:$F$322,MATCH(order_items!$D$1,products!$A$1:$F$1,0),FALSE)</f>
        <v>Trek Slash 8 27.5 - 2016</v>
      </c>
      <c r="E873">
        <f>VLOOKUP($C873,products!$A$1:$F$322,MATCH(order_items!$E$1,products!$A$1:$F$1,0),FALSE)</f>
        <v>6</v>
      </c>
      <c r="F873" t="str">
        <f>VLOOKUP($E873,categories!$A$1:$B$8,MATCH(order_items!$F$1,categories!$A$1:$B$1,0),FALSE)</f>
        <v>Mountain Bikes</v>
      </c>
      <c r="G873">
        <v>2</v>
      </c>
      <c r="H873">
        <v>3999.99</v>
      </c>
      <c r="I873" s="5">
        <v>7.0000000000000007E-2</v>
      </c>
      <c r="J873">
        <f t="shared" si="26"/>
        <v>7439.9813999999988</v>
      </c>
      <c r="K873" s="9">
        <f t="shared" si="27"/>
        <v>2.0606009048962846</v>
      </c>
    </row>
    <row r="874" spans="1:11" x14ac:dyDescent="0.3">
      <c r="A874">
        <v>310</v>
      </c>
      <c r="B874">
        <v>2</v>
      </c>
      <c r="C874">
        <v>14</v>
      </c>
      <c r="D874" t="str">
        <f>VLOOKUP($C874,products!$A$1:$F$322,MATCH(order_items!$D$1,products!$A$1:$F$1,0),FALSE)</f>
        <v>Electra Girl's Hawaii 1 (16-inch) - 2015/2016</v>
      </c>
      <c r="E874">
        <f>VLOOKUP($C874,products!$A$1:$F$322,MATCH(order_items!$E$1,products!$A$1:$F$1,0),FALSE)</f>
        <v>3</v>
      </c>
      <c r="F874" t="str">
        <f>VLOOKUP($E874,categories!$A$1:$B$8,MATCH(order_items!$F$1,categories!$A$1:$B$1,0),FALSE)</f>
        <v>Cruisers Bicycles</v>
      </c>
      <c r="G874">
        <v>2</v>
      </c>
      <c r="H874">
        <v>269.99</v>
      </c>
      <c r="I874" s="5">
        <v>0.1</v>
      </c>
      <c r="J874">
        <f t="shared" si="26"/>
        <v>485.98200000000003</v>
      </c>
      <c r="K874" s="9">
        <f t="shared" si="27"/>
        <v>-0.69693888525532666</v>
      </c>
    </row>
    <row r="875" spans="1:11" x14ac:dyDescent="0.3">
      <c r="A875">
        <v>310</v>
      </c>
      <c r="B875">
        <v>3</v>
      </c>
      <c r="C875">
        <v>5</v>
      </c>
      <c r="D875" t="str">
        <f>VLOOKUP($C875,products!$A$1:$F$322,MATCH(order_items!$D$1,products!$A$1:$F$1,0),FALSE)</f>
        <v>Heller Shagamaw Frame - 2016</v>
      </c>
      <c r="E875">
        <f>VLOOKUP($C875,products!$A$1:$F$322,MATCH(order_items!$E$1,products!$A$1:$F$1,0),FALSE)</f>
        <v>6</v>
      </c>
      <c r="F875" t="str">
        <f>VLOOKUP($E875,categories!$A$1:$B$8,MATCH(order_items!$F$1,categories!$A$1:$B$1,0),FALSE)</f>
        <v>Mountain Bikes</v>
      </c>
      <c r="G875">
        <v>2</v>
      </c>
      <c r="H875">
        <v>1320.99</v>
      </c>
      <c r="I875" s="5">
        <v>0.2</v>
      </c>
      <c r="J875">
        <f t="shared" si="26"/>
        <v>2113.5840000000003</v>
      </c>
      <c r="K875" s="9">
        <f t="shared" si="27"/>
        <v>8.0051548913398024E-2</v>
      </c>
    </row>
    <row r="876" spans="1:11" x14ac:dyDescent="0.3">
      <c r="A876">
        <v>310</v>
      </c>
      <c r="B876">
        <v>4</v>
      </c>
      <c r="C876">
        <v>8</v>
      </c>
      <c r="D876" t="str">
        <f>VLOOKUP($C876,products!$A$1:$F$322,MATCH(order_items!$D$1,products!$A$1:$F$1,0),FALSE)</f>
        <v>Trek Remedy 29 Carbon Frameset - 2016</v>
      </c>
      <c r="E876">
        <f>VLOOKUP($C876,products!$A$1:$F$322,MATCH(order_items!$E$1,products!$A$1:$F$1,0),FALSE)</f>
        <v>6</v>
      </c>
      <c r="F876" t="str">
        <f>VLOOKUP($E876,categories!$A$1:$B$8,MATCH(order_items!$F$1,categories!$A$1:$B$1,0),FALSE)</f>
        <v>Mountain Bikes</v>
      </c>
      <c r="G876">
        <v>1</v>
      </c>
      <c r="H876">
        <v>1799.99</v>
      </c>
      <c r="I876" s="5">
        <v>0.2</v>
      </c>
      <c r="J876">
        <f t="shared" si="26"/>
        <v>1439.9920000000002</v>
      </c>
      <c r="K876" s="9">
        <f t="shared" si="27"/>
        <v>0.43416992947174166</v>
      </c>
    </row>
    <row r="877" spans="1:11" x14ac:dyDescent="0.3">
      <c r="A877">
        <v>311</v>
      </c>
      <c r="B877">
        <v>1</v>
      </c>
      <c r="C877">
        <v>17</v>
      </c>
      <c r="D877" t="str">
        <f>VLOOKUP($C877,products!$A$1:$F$322,MATCH(order_items!$D$1,products!$A$1:$F$1,0),FALSE)</f>
        <v>Pure Cycles Vine 8-Speed - 2016</v>
      </c>
      <c r="E877">
        <f>VLOOKUP($C877,products!$A$1:$F$322,MATCH(order_items!$E$1,products!$A$1:$F$1,0),FALSE)</f>
        <v>3</v>
      </c>
      <c r="F877" t="str">
        <f>VLOOKUP($E877,categories!$A$1:$B$8,MATCH(order_items!$F$1,categories!$A$1:$B$1,0),FALSE)</f>
        <v>Cruisers Bicycles</v>
      </c>
      <c r="G877">
        <v>2</v>
      </c>
      <c r="H877">
        <v>429</v>
      </c>
      <c r="I877" s="5">
        <v>0.05</v>
      </c>
      <c r="J877">
        <f t="shared" si="26"/>
        <v>815.09999999999991</v>
      </c>
      <c r="K877" s="9">
        <f t="shared" si="27"/>
        <v>-0.57938489007248284</v>
      </c>
    </row>
    <row r="878" spans="1:11" x14ac:dyDescent="0.3">
      <c r="A878">
        <v>311</v>
      </c>
      <c r="B878">
        <v>2</v>
      </c>
      <c r="C878">
        <v>5</v>
      </c>
      <c r="D878" t="str">
        <f>VLOOKUP($C878,products!$A$1:$F$322,MATCH(order_items!$D$1,products!$A$1:$F$1,0),FALSE)</f>
        <v>Heller Shagamaw Frame - 2016</v>
      </c>
      <c r="E878">
        <f>VLOOKUP($C878,products!$A$1:$F$322,MATCH(order_items!$E$1,products!$A$1:$F$1,0),FALSE)</f>
        <v>6</v>
      </c>
      <c r="F878" t="str">
        <f>VLOOKUP($E878,categories!$A$1:$B$8,MATCH(order_items!$F$1,categories!$A$1:$B$1,0),FALSE)</f>
        <v>Mountain Bikes</v>
      </c>
      <c r="G878">
        <v>2</v>
      </c>
      <c r="H878">
        <v>1320.99</v>
      </c>
      <c r="I878" s="5">
        <v>0.2</v>
      </c>
      <c r="J878">
        <f t="shared" si="26"/>
        <v>2113.5840000000003</v>
      </c>
      <c r="K878" s="9">
        <f t="shared" si="27"/>
        <v>8.0051548913398024E-2</v>
      </c>
    </row>
    <row r="879" spans="1:11" x14ac:dyDescent="0.3">
      <c r="A879">
        <v>312</v>
      </c>
      <c r="B879">
        <v>1</v>
      </c>
      <c r="C879">
        <v>24</v>
      </c>
      <c r="D879" t="str">
        <f>VLOOKUP($C879,products!$A$1:$F$322,MATCH(order_items!$D$1,products!$A$1:$F$1,0),FALSE)</f>
        <v>Electra Townie Original 21D - 2016</v>
      </c>
      <c r="E879">
        <f>VLOOKUP($C879,products!$A$1:$F$322,MATCH(order_items!$E$1,products!$A$1:$F$1,0),FALSE)</f>
        <v>2</v>
      </c>
      <c r="F879" t="str">
        <f>VLOOKUP($E879,categories!$A$1:$B$8,MATCH(order_items!$F$1,categories!$A$1:$B$1,0),FALSE)</f>
        <v>Comfort Bicycles</v>
      </c>
      <c r="G879">
        <v>2</v>
      </c>
      <c r="H879">
        <v>549.99</v>
      </c>
      <c r="I879" s="5">
        <v>0.05</v>
      </c>
      <c r="J879">
        <f t="shared" si="26"/>
        <v>1044.981</v>
      </c>
      <c r="K879" s="9">
        <f t="shared" si="27"/>
        <v>-0.48993857929220308</v>
      </c>
    </row>
    <row r="880" spans="1:11" x14ac:dyDescent="0.3">
      <c r="A880">
        <v>312</v>
      </c>
      <c r="B880">
        <v>2</v>
      </c>
      <c r="C880">
        <v>14</v>
      </c>
      <c r="D880" t="str">
        <f>VLOOKUP($C880,products!$A$1:$F$322,MATCH(order_items!$D$1,products!$A$1:$F$1,0),FALSE)</f>
        <v>Electra Girl's Hawaii 1 (16-inch) - 2015/2016</v>
      </c>
      <c r="E880">
        <f>VLOOKUP($C880,products!$A$1:$F$322,MATCH(order_items!$E$1,products!$A$1:$F$1,0),FALSE)</f>
        <v>3</v>
      </c>
      <c r="F880" t="str">
        <f>VLOOKUP($E880,categories!$A$1:$B$8,MATCH(order_items!$F$1,categories!$A$1:$B$1,0),FALSE)</f>
        <v>Cruisers Bicycles</v>
      </c>
      <c r="G880">
        <v>2</v>
      </c>
      <c r="H880">
        <v>269.99</v>
      </c>
      <c r="I880" s="5">
        <v>7.0000000000000007E-2</v>
      </c>
      <c r="J880">
        <f t="shared" si="26"/>
        <v>502.1814</v>
      </c>
      <c r="K880" s="9">
        <f t="shared" si="27"/>
        <v>-0.69693888525532666</v>
      </c>
    </row>
    <row r="881" spans="1:11" x14ac:dyDescent="0.3">
      <c r="A881">
        <v>312</v>
      </c>
      <c r="B881">
        <v>3</v>
      </c>
      <c r="C881">
        <v>16</v>
      </c>
      <c r="D881" t="str">
        <f>VLOOKUP($C881,products!$A$1:$F$322,MATCH(order_items!$D$1,products!$A$1:$F$1,0),FALSE)</f>
        <v>Electra Townie Original 7D EQ - 2016</v>
      </c>
      <c r="E881">
        <f>VLOOKUP($C881,products!$A$1:$F$322,MATCH(order_items!$E$1,products!$A$1:$F$1,0),FALSE)</f>
        <v>3</v>
      </c>
      <c r="F881" t="str">
        <f>VLOOKUP($E881,categories!$A$1:$B$8,MATCH(order_items!$F$1,categories!$A$1:$B$1,0),FALSE)</f>
        <v>Cruisers Bicycles</v>
      </c>
      <c r="G881">
        <v>2</v>
      </c>
      <c r="H881">
        <v>599.99</v>
      </c>
      <c r="I881" s="5">
        <v>0.05</v>
      </c>
      <c r="J881">
        <f t="shared" si="26"/>
        <v>1139.981</v>
      </c>
      <c r="K881" s="9">
        <f t="shared" si="27"/>
        <v>-0.45297423894164529</v>
      </c>
    </row>
    <row r="882" spans="1:11" x14ac:dyDescent="0.3">
      <c r="A882">
        <v>313</v>
      </c>
      <c r="B882">
        <v>1</v>
      </c>
      <c r="C882">
        <v>4</v>
      </c>
      <c r="D882" t="str">
        <f>VLOOKUP($C882,products!$A$1:$F$322,MATCH(order_items!$D$1,products!$A$1:$F$1,0),FALSE)</f>
        <v>Trek Fuel EX 8 29 - 2016</v>
      </c>
      <c r="E882">
        <f>VLOOKUP($C882,products!$A$1:$F$322,MATCH(order_items!$E$1,products!$A$1:$F$1,0),FALSE)</f>
        <v>6</v>
      </c>
      <c r="F882" t="str">
        <f>VLOOKUP($E882,categories!$A$1:$B$8,MATCH(order_items!$F$1,categories!$A$1:$B$1,0),FALSE)</f>
        <v>Mountain Bikes</v>
      </c>
      <c r="G882">
        <v>1</v>
      </c>
      <c r="H882">
        <v>2899.99</v>
      </c>
      <c r="I882" s="5">
        <v>7.0000000000000007E-2</v>
      </c>
      <c r="J882">
        <f t="shared" si="26"/>
        <v>2696.9906999999998</v>
      </c>
      <c r="K882" s="9">
        <f t="shared" si="27"/>
        <v>1.2473854171840129</v>
      </c>
    </row>
    <row r="883" spans="1:11" x14ac:dyDescent="0.3">
      <c r="A883">
        <v>313</v>
      </c>
      <c r="B883">
        <v>2</v>
      </c>
      <c r="C883">
        <v>10</v>
      </c>
      <c r="D883" t="str">
        <f>VLOOKUP($C883,products!$A$1:$F$322,MATCH(order_items!$D$1,products!$A$1:$F$1,0),FALSE)</f>
        <v>Surly Straggler - 2016</v>
      </c>
      <c r="E883">
        <f>VLOOKUP($C883,products!$A$1:$F$322,MATCH(order_items!$E$1,products!$A$1:$F$1,0),FALSE)</f>
        <v>4</v>
      </c>
      <c r="F883" t="str">
        <f>VLOOKUP($E883,categories!$A$1:$B$8,MATCH(order_items!$F$1,categories!$A$1:$B$1,0),FALSE)</f>
        <v>Cyclocross Bicycles</v>
      </c>
      <c r="G883">
        <v>2</v>
      </c>
      <c r="H883">
        <v>1549</v>
      </c>
      <c r="I883" s="5">
        <v>7.0000000000000007E-2</v>
      </c>
      <c r="J883">
        <f t="shared" si="26"/>
        <v>2881.14</v>
      </c>
      <c r="K883" s="9">
        <f t="shared" si="27"/>
        <v>0.24861633378001166</v>
      </c>
    </row>
    <row r="884" spans="1:11" x14ac:dyDescent="0.3">
      <c r="A884">
        <v>314</v>
      </c>
      <c r="B884">
        <v>1</v>
      </c>
      <c r="C884">
        <v>5</v>
      </c>
      <c r="D884" t="str">
        <f>VLOOKUP($C884,products!$A$1:$F$322,MATCH(order_items!$D$1,products!$A$1:$F$1,0),FALSE)</f>
        <v>Heller Shagamaw Frame - 2016</v>
      </c>
      <c r="E884">
        <f>VLOOKUP($C884,products!$A$1:$F$322,MATCH(order_items!$E$1,products!$A$1:$F$1,0),FALSE)</f>
        <v>6</v>
      </c>
      <c r="F884" t="str">
        <f>VLOOKUP($E884,categories!$A$1:$B$8,MATCH(order_items!$F$1,categories!$A$1:$B$1,0),FALSE)</f>
        <v>Mountain Bikes</v>
      </c>
      <c r="G884">
        <v>1</v>
      </c>
      <c r="H884">
        <v>1320.99</v>
      </c>
      <c r="I884" s="5">
        <v>7.0000000000000007E-2</v>
      </c>
      <c r="J884">
        <f t="shared" si="26"/>
        <v>1228.5207</v>
      </c>
      <c r="K884" s="9">
        <f t="shared" si="27"/>
        <v>8.0051548913398024E-2</v>
      </c>
    </row>
    <row r="885" spans="1:11" x14ac:dyDescent="0.3">
      <c r="A885">
        <v>314</v>
      </c>
      <c r="B885">
        <v>2</v>
      </c>
      <c r="C885">
        <v>9</v>
      </c>
      <c r="D885" t="str">
        <f>VLOOKUP($C885,products!$A$1:$F$322,MATCH(order_items!$D$1,products!$A$1:$F$1,0),FALSE)</f>
        <v>Trek Conduit+ - 2016</v>
      </c>
      <c r="E885">
        <f>VLOOKUP($C885,products!$A$1:$F$322,MATCH(order_items!$E$1,products!$A$1:$F$1,0),FALSE)</f>
        <v>5</v>
      </c>
      <c r="F885" t="str">
        <f>VLOOKUP($E885,categories!$A$1:$B$8,MATCH(order_items!$F$1,categories!$A$1:$B$1,0),FALSE)</f>
        <v>Electric Bikes</v>
      </c>
      <c r="G885">
        <v>1</v>
      </c>
      <c r="H885">
        <v>2999.99</v>
      </c>
      <c r="I885" s="5">
        <v>0.05</v>
      </c>
      <c r="J885">
        <f t="shared" si="26"/>
        <v>2849.9904999999999</v>
      </c>
      <c r="K885" s="9">
        <f t="shared" si="27"/>
        <v>1.3213140978851283</v>
      </c>
    </row>
    <row r="886" spans="1:11" x14ac:dyDescent="0.3">
      <c r="A886">
        <v>314</v>
      </c>
      <c r="B886">
        <v>3</v>
      </c>
      <c r="C886">
        <v>22</v>
      </c>
      <c r="D886" t="str">
        <f>VLOOKUP($C886,products!$A$1:$F$322,MATCH(order_items!$D$1,products!$A$1:$F$1,0),FALSE)</f>
        <v>Electra Girl's Hawaii 1 (16-inch) - 2015/2016</v>
      </c>
      <c r="E886">
        <f>VLOOKUP($C886,products!$A$1:$F$322,MATCH(order_items!$E$1,products!$A$1:$F$1,0),FALSE)</f>
        <v>1</v>
      </c>
      <c r="F886" t="str">
        <f>VLOOKUP($E886,categories!$A$1:$B$8,MATCH(order_items!$F$1,categories!$A$1:$B$1,0),FALSE)</f>
        <v>Children Bicycles</v>
      </c>
      <c r="G886">
        <v>2</v>
      </c>
      <c r="H886">
        <v>269.99</v>
      </c>
      <c r="I886" s="5">
        <v>0.2</v>
      </c>
      <c r="J886">
        <f t="shared" si="26"/>
        <v>431.98400000000004</v>
      </c>
      <c r="K886" s="9">
        <f t="shared" si="27"/>
        <v>-0.69693888525532666</v>
      </c>
    </row>
    <row r="887" spans="1:11" x14ac:dyDescent="0.3">
      <c r="A887">
        <v>314</v>
      </c>
      <c r="B887">
        <v>4</v>
      </c>
      <c r="C887">
        <v>7</v>
      </c>
      <c r="D887" t="str">
        <f>VLOOKUP($C887,products!$A$1:$F$322,MATCH(order_items!$D$1,products!$A$1:$F$1,0),FALSE)</f>
        <v>Trek Slash 8 27.5 - 2016</v>
      </c>
      <c r="E887">
        <f>VLOOKUP($C887,products!$A$1:$F$322,MATCH(order_items!$E$1,products!$A$1:$F$1,0),FALSE)</f>
        <v>6</v>
      </c>
      <c r="F887" t="str">
        <f>VLOOKUP($E887,categories!$A$1:$B$8,MATCH(order_items!$F$1,categories!$A$1:$B$1,0),FALSE)</f>
        <v>Mountain Bikes</v>
      </c>
      <c r="G887">
        <v>2</v>
      </c>
      <c r="H887">
        <v>3999.99</v>
      </c>
      <c r="I887" s="5">
        <v>7.0000000000000007E-2</v>
      </c>
      <c r="J887">
        <f t="shared" si="26"/>
        <v>7439.9813999999988</v>
      </c>
      <c r="K887" s="9">
        <f t="shared" si="27"/>
        <v>2.0606009048962846</v>
      </c>
    </row>
    <row r="888" spans="1:11" x14ac:dyDescent="0.3">
      <c r="A888">
        <v>315</v>
      </c>
      <c r="B888">
        <v>1</v>
      </c>
      <c r="C888">
        <v>11</v>
      </c>
      <c r="D888" t="str">
        <f>VLOOKUP($C888,products!$A$1:$F$322,MATCH(order_items!$D$1,products!$A$1:$F$1,0),FALSE)</f>
        <v>Surly Straggler 650b - 2016</v>
      </c>
      <c r="E888">
        <f>VLOOKUP($C888,products!$A$1:$F$322,MATCH(order_items!$E$1,products!$A$1:$F$1,0),FALSE)</f>
        <v>4</v>
      </c>
      <c r="F888" t="str">
        <f>VLOOKUP($E888,categories!$A$1:$B$8,MATCH(order_items!$F$1,categories!$A$1:$B$1,0),FALSE)</f>
        <v>Cyclocross Bicycles</v>
      </c>
      <c r="G888">
        <v>1</v>
      </c>
      <c r="H888">
        <v>1680.99</v>
      </c>
      <c r="I888" s="5">
        <v>0.2</v>
      </c>
      <c r="J888">
        <f t="shared" si="26"/>
        <v>1344.7920000000001</v>
      </c>
      <c r="K888" s="9">
        <f t="shared" si="27"/>
        <v>0.3461947994374141</v>
      </c>
    </row>
    <row r="889" spans="1:11" x14ac:dyDescent="0.3">
      <c r="A889">
        <v>315</v>
      </c>
      <c r="B889">
        <v>2</v>
      </c>
      <c r="C889">
        <v>9</v>
      </c>
      <c r="D889" t="str">
        <f>VLOOKUP($C889,products!$A$1:$F$322,MATCH(order_items!$D$1,products!$A$1:$F$1,0),FALSE)</f>
        <v>Trek Conduit+ - 2016</v>
      </c>
      <c r="E889">
        <f>VLOOKUP($C889,products!$A$1:$F$322,MATCH(order_items!$E$1,products!$A$1:$F$1,0),FALSE)</f>
        <v>5</v>
      </c>
      <c r="F889" t="str">
        <f>VLOOKUP($E889,categories!$A$1:$B$8,MATCH(order_items!$F$1,categories!$A$1:$B$1,0),FALSE)</f>
        <v>Electric Bikes</v>
      </c>
      <c r="G889">
        <v>1</v>
      </c>
      <c r="H889">
        <v>2999.99</v>
      </c>
      <c r="I889" s="5">
        <v>0.1</v>
      </c>
      <c r="J889">
        <f t="shared" si="26"/>
        <v>2699.991</v>
      </c>
      <c r="K889" s="9">
        <f t="shared" si="27"/>
        <v>1.3213140978851283</v>
      </c>
    </row>
    <row r="890" spans="1:11" x14ac:dyDescent="0.3">
      <c r="A890">
        <v>316</v>
      </c>
      <c r="B890">
        <v>1</v>
      </c>
      <c r="C890">
        <v>2</v>
      </c>
      <c r="D890" t="str">
        <f>VLOOKUP($C890,products!$A$1:$F$322,MATCH(order_items!$D$1,products!$A$1:$F$1,0),FALSE)</f>
        <v>Ritchey Timberwolf Frameset - 2016</v>
      </c>
      <c r="E890">
        <f>VLOOKUP($C890,products!$A$1:$F$322,MATCH(order_items!$E$1,products!$A$1:$F$1,0),FALSE)</f>
        <v>6</v>
      </c>
      <c r="F890" t="str">
        <f>VLOOKUP($E890,categories!$A$1:$B$8,MATCH(order_items!$F$1,categories!$A$1:$B$1,0),FALSE)</f>
        <v>Mountain Bikes</v>
      </c>
      <c r="G890">
        <v>2</v>
      </c>
      <c r="H890">
        <v>749.99</v>
      </c>
      <c r="I890" s="5">
        <v>0.2</v>
      </c>
      <c r="J890">
        <f t="shared" si="26"/>
        <v>1199.9840000000002</v>
      </c>
      <c r="K890" s="9">
        <f t="shared" si="27"/>
        <v>-0.34208121788997192</v>
      </c>
    </row>
    <row r="891" spans="1:11" x14ac:dyDescent="0.3">
      <c r="A891">
        <v>316</v>
      </c>
      <c r="B891">
        <v>2</v>
      </c>
      <c r="C891">
        <v>16</v>
      </c>
      <c r="D891" t="str">
        <f>VLOOKUP($C891,products!$A$1:$F$322,MATCH(order_items!$D$1,products!$A$1:$F$1,0),FALSE)</f>
        <v>Electra Townie Original 7D EQ - 2016</v>
      </c>
      <c r="E891">
        <f>VLOOKUP($C891,products!$A$1:$F$322,MATCH(order_items!$E$1,products!$A$1:$F$1,0),FALSE)</f>
        <v>3</v>
      </c>
      <c r="F891" t="str">
        <f>VLOOKUP($E891,categories!$A$1:$B$8,MATCH(order_items!$F$1,categories!$A$1:$B$1,0),FALSE)</f>
        <v>Cruisers Bicycles</v>
      </c>
      <c r="G891">
        <v>2</v>
      </c>
      <c r="H891">
        <v>599.99</v>
      </c>
      <c r="I891" s="5">
        <v>0.1</v>
      </c>
      <c r="J891">
        <f t="shared" si="26"/>
        <v>1079.982</v>
      </c>
      <c r="K891" s="9">
        <f t="shared" si="27"/>
        <v>-0.45297423894164529</v>
      </c>
    </row>
    <row r="892" spans="1:11" x14ac:dyDescent="0.3">
      <c r="A892">
        <v>316</v>
      </c>
      <c r="B892">
        <v>3</v>
      </c>
      <c r="C892">
        <v>20</v>
      </c>
      <c r="D892" t="str">
        <f>VLOOKUP($C892,products!$A$1:$F$322,MATCH(order_items!$D$1,products!$A$1:$F$1,0),FALSE)</f>
        <v>Electra Townie Original 7D EQ - Women's - 2016</v>
      </c>
      <c r="E892">
        <f>VLOOKUP($C892,products!$A$1:$F$322,MATCH(order_items!$E$1,products!$A$1:$F$1,0),FALSE)</f>
        <v>3</v>
      </c>
      <c r="F892" t="str">
        <f>VLOOKUP($E892,categories!$A$1:$B$8,MATCH(order_items!$F$1,categories!$A$1:$B$1,0),FALSE)</f>
        <v>Cruisers Bicycles</v>
      </c>
      <c r="G892">
        <v>1</v>
      </c>
      <c r="H892">
        <v>599.99</v>
      </c>
      <c r="I892" s="5">
        <v>0.1</v>
      </c>
      <c r="J892">
        <f t="shared" si="26"/>
        <v>539.99099999999999</v>
      </c>
      <c r="K892" s="9">
        <f t="shared" si="27"/>
        <v>-0.45297423894164529</v>
      </c>
    </row>
    <row r="893" spans="1:11" x14ac:dyDescent="0.3">
      <c r="A893">
        <v>316</v>
      </c>
      <c r="B893">
        <v>4</v>
      </c>
      <c r="C893">
        <v>19</v>
      </c>
      <c r="D893" t="str">
        <f>VLOOKUP($C893,products!$A$1:$F$322,MATCH(order_items!$D$1,products!$A$1:$F$1,0),FALSE)</f>
        <v>Pure Cycles William 3-Speed - 2016</v>
      </c>
      <c r="E893">
        <f>VLOOKUP($C893,products!$A$1:$F$322,MATCH(order_items!$E$1,products!$A$1:$F$1,0),FALSE)</f>
        <v>3</v>
      </c>
      <c r="F893" t="str">
        <f>VLOOKUP($E893,categories!$A$1:$B$8,MATCH(order_items!$F$1,categories!$A$1:$B$1,0),FALSE)</f>
        <v>Cruisers Bicycles</v>
      </c>
      <c r="G893">
        <v>1</v>
      </c>
      <c r="H893">
        <v>449</v>
      </c>
      <c r="I893" s="5">
        <v>0.2</v>
      </c>
      <c r="J893">
        <f t="shared" si="26"/>
        <v>359.20000000000005</v>
      </c>
      <c r="K893" s="9">
        <f t="shared" si="27"/>
        <v>-0.56459915393225968</v>
      </c>
    </row>
    <row r="894" spans="1:11" x14ac:dyDescent="0.3">
      <c r="A894">
        <v>316</v>
      </c>
      <c r="B894">
        <v>5</v>
      </c>
      <c r="C894">
        <v>17</v>
      </c>
      <c r="D894" t="str">
        <f>VLOOKUP($C894,products!$A$1:$F$322,MATCH(order_items!$D$1,products!$A$1:$F$1,0),FALSE)</f>
        <v>Pure Cycles Vine 8-Speed - 2016</v>
      </c>
      <c r="E894">
        <f>VLOOKUP($C894,products!$A$1:$F$322,MATCH(order_items!$E$1,products!$A$1:$F$1,0),FALSE)</f>
        <v>3</v>
      </c>
      <c r="F894" t="str">
        <f>VLOOKUP($E894,categories!$A$1:$B$8,MATCH(order_items!$F$1,categories!$A$1:$B$1,0),FALSE)</f>
        <v>Cruisers Bicycles</v>
      </c>
      <c r="G894">
        <v>1</v>
      </c>
      <c r="H894">
        <v>429</v>
      </c>
      <c r="I894" s="5">
        <v>0.05</v>
      </c>
      <c r="J894">
        <f t="shared" si="26"/>
        <v>407.54999999999995</v>
      </c>
      <c r="K894" s="9">
        <f t="shared" si="27"/>
        <v>-0.57938489007248284</v>
      </c>
    </row>
    <row r="895" spans="1:11" x14ac:dyDescent="0.3">
      <c r="A895">
        <v>317</v>
      </c>
      <c r="B895">
        <v>1</v>
      </c>
      <c r="C895">
        <v>10</v>
      </c>
      <c r="D895" t="str">
        <f>VLOOKUP($C895,products!$A$1:$F$322,MATCH(order_items!$D$1,products!$A$1:$F$1,0),FALSE)</f>
        <v>Surly Straggler - 2016</v>
      </c>
      <c r="E895">
        <f>VLOOKUP($C895,products!$A$1:$F$322,MATCH(order_items!$E$1,products!$A$1:$F$1,0),FALSE)</f>
        <v>4</v>
      </c>
      <c r="F895" t="str">
        <f>VLOOKUP($E895,categories!$A$1:$B$8,MATCH(order_items!$F$1,categories!$A$1:$B$1,0),FALSE)</f>
        <v>Cyclocross Bicycles</v>
      </c>
      <c r="G895">
        <v>1</v>
      </c>
      <c r="H895">
        <v>1549</v>
      </c>
      <c r="I895" s="5">
        <v>0.2</v>
      </c>
      <c r="J895">
        <f t="shared" si="26"/>
        <v>1239.2</v>
      </c>
      <c r="K895" s="9">
        <f t="shared" si="27"/>
        <v>0.24861633378001166</v>
      </c>
    </row>
    <row r="896" spans="1:11" x14ac:dyDescent="0.3">
      <c r="A896">
        <v>317</v>
      </c>
      <c r="B896">
        <v>2</v>
      </c>
      <c r="C896">
        <v>22</v>
      </c>
      <c r="D896" t="str">
        <f>VLOOKUP($C896,products!$A$1:$F$322,MATCH(order_items!$D$1,products!$A$1:$F$1,0),FALSE)</f>
        <v>Electra Girl's Hawaii 1 (16-inch) - 2015/2016</v>
      </c>
      <c r="E896">
        <f>VLOOKUP($C896,products!$A$1:$F$322,MATCH(order_items!$E$1,products!$A$1:$F$1,0),FALSE)</f>
        <v>1</v>
      </c>
      <c r="F896" t="str">
        <f>VLOOKUP($E896,categories!$A$1:$B$8,MATCH(order_items!$F$1,categories!$A$1:$B$1,0),FALSE)</f>
        <v>Children Bicycles</v>
      </c>
      <c r="G896">
        <v>1</v>
      </c>
      <c r="H896">
        <v>269.99</v>
      </c>
      <c r="I896" s="5">
        <v>0.05</v>
      </c>
      <c r="J896">
        <f t="shared" si="26"/>
        <v>256.4905</v>
      </c>
      <c r="K896" s="9">
        <f t="shared" si="27"/>
        <v>-0.69693888525532666</v>
      </c>
    </row>
    <row r="897" spans="1:11" x14ac:dyDescent="0.3">
      <c r="A897">
        <v>317</v>
      </c>
      <c r="B897">
        <v>3</v>
      </c>
      <c r="C897">
        <v>15</v>
      </c>
      <c r="D897" t="str">
        <f>VLOOKUP($C897,products!$A$1:$F$322,MATCH(order_items!$D$1,products!$A$1:$F$1,0),FALSE)</f>
        <v>Electra Moto 1 - 2016</v>
      </c>
      <c r="E897">
        <f>VLOOKUP($C897,products!$A$1:$F$322,MATCH(order_items!$E$1,products!$A$1:$F$1,0),FALSE)</f>
        <v>3</v>
      </c>
      <c r="F897" t="str">
        <f>VLOOKUP($E897,categories!$A$1:$B$8,MATCH(order_items!$F$1,categories!$A$1:$B$1,0),FALSE)</f>
        <v>Cruisers Bicycles</v>
      </c>
      <c r="G897">
        <v>1</v>
      </c>
      <c r="H897">
        <v>529.99</v>
      </c>
      <c r="I897" s="5">
        <v>0.05</v>
      </c>
      <c r="J897">
        <f t="shared" si="26"/>
        <v>503.4905</v>
      </c>
      <c r="K897" s="9">
        <f t="shared" si="27"/>
        <v>-0.50472431543242624</v>
      </c>
    </row>
    <row r="898" spans="1:11" x14ac:dyDescent="0.3">
      <c r="A898">
        <v>317</v>
      </c>
      <c r="B898">
        <v>4</v>
      </c>
      <c r="C898">
        <v>13</v>
      </c>
      <c r="D898" t="str">
        <f>VLOOKUP($C898,products!$A$1:$F$322,MATCH(order_items!$D$1,products!$A$1:$F$1,0),FALSE)</f>
        <v>Electra Cruiser 1 (24-Inch) - 2016</v>
      </c>
      <c r="E898">
        <f>VLOOKUP($C898,products!$A$1:$F$322,MATCH(order_items!$E$1,products!$A$1:$F$1,0),FALSE)</f>
        <v>3</v>
      </c>
      <c r="F898" t="str">
        <f>VLOOKUP($E898,categories!$A$1:$B$8,MATCH(order_items!$F$1,categories!$A$1:$B$1,0),FALSE)</f>
        <v>Cruisers Bicycles</v>
      </c>
      <c r="G898">
        <v>2</v>
      </c>
      <c r="H898">
        <v>269.99</v>
      </c>
      <c r="I898" s="5">
        <v>0.2</v>
      </c>
      <c r="J898">
        <f t="shared" ref="J898:J961" si="28">G898*H898*(1-I898)</f>
        <v>431.98400000000004</v>
      </c>
      <c r="K898" s="9">
        <f t="shared" ref="K898:K961" si="29">($H898-$M$7)/$M$9</f>
        <v>-0.69693888525532666</v>
      </c>
    </row>
    <row r="899" spans="1:11" x14ac:dyDescent="0.3">
      <c r="A899">
        <v>318</v>
      </c>
      <c r="B899">
        <v>1</v>
      </c>
      <c r="C899">
        <v>13</v>
      </c>
      <c r="D899" t="str">
        <f>VLOOKUP($C899,products!$A$1:$F$322,MATCH(order_items!$D$1,products!$A$1:$F$1,0),FALSE)</f>
        <v>Electra Cruiser 1 (24-Inch) - 2016</v>
      </c>
      <c r="E899">
        <f>VLOOKUP($C899,products!$A$1:$F$322,MATCH(order_items!$E$1,products!$A$1:$F$1,0),FALSE)</f>
        <v>3</v>
      </c>
      <c r="F899" t="str">
        <f>VLOOKUP($E899,categories!$A$1:$B$8,MATCH(order_items!$F$1,categories!$A$1:$B$1,0),FALSE)</f>
        <v>Cruisers Bicycles</v>
      </c>
      <c r="G899">
        <v>2</v>
      </c>
      <c r="H899">
        <v>269.99</v>
      </c>
      <c r="I899" s="5">
        <v>0.1</v>
      </c>
      <c r="J899">
        <f t="shared" si="28"/>
        <v>485.98200000000003</v>
      </c>
      <c r="K899" s="9">
        <f t="shared" si="29"/>
        <v>-0.69693888525532666</v>
      </c>
    </row>
    <row r="900" spans="1:11" x14ac:dyDescent="0.3">
      <c r="A900">
        <v>318</v>
      </c>
      <c r="B900">
        <v>2</v>
      </c>
      <c r="C900">
        <v>25</v>
      </c>
      <c r="D900" t="str">
        <f>VLOOKUP($C900,products!$A$1:$F$322,MATCH(order_items!$D$1,products!$A$1:$F$1,0),FALSE)</f>
        <v>Electra Townie Original 7D - 2015/2016</v>
      </c>
      <c r="E900">
        <f>VLOOKUP($C900,products!$A$1:$F$322,MATCH(order_items!$E$1,products!$A$1:$F$1,0),FALSE)</f>
        <v>2</v>
      </c>
      <c r="F900" t="str">
        <f>VLOOKUP($E900,categories!$A$1:$B$8,MATCH(order_items!$F$1,categories!$A$1:$B$1,0),FALSE)</f>
        <v>Comfort Bicycles</v>
      </c>
      <c r="G900">
        <v>2</v>
      </c>
      <c r="H900">
        <v>499.99</v>
      </c>
      <c r="I900" s="5">
        <v>0.2</v>
      </c>
      <c r="J900">
        <f t="shared" si="28"/>
        <v>799.98400000000004</v>
      </c>
      <c r="K900" s="9">
        <f t="shared" si="29"/>
        <v>-0.52690291964276081</v>
      </c>
    </row>
    <row r="901" spans="1:11" x14ac:dyDescent="0.3">
      <c r="A901">
        <v>318</v>
      </c>
      <c r="B901">
        <v>3</v>
      </c>
      <c r="C901">
        <v>9</v>
      </c>
      <c r="D901" t="str">
        <f>VLOOKUP($C901,products!$A$1:$F$322,MATCH(order_items!$D$1,products!$A$1:$F$1,0),FALSE)</f>
        <v>Trek Conduit+ - 2016</v>
      </c>
      <c r="E901">
        <f>VLOOKUP($C901,products!$A$1:$F$322,MATCH(order_items!$E$1,products!$A$1:$F$1,0),FALSE)</f>
        <v>5</v>
      </c>
      <c r="F901" t="str">
        <f>VLOOKUP($E901,categories!$A$1:$B$8,MATCH(order_items!$F$1,categories!$A$1:$B$1,0),FALSE)</f>
        <v>Electric Bikes</v>
      </c>
      <c r="G901">
        <v>1</v>
      </c>
      <c r="H901">
        <v>2999.99</v>
      </c>
      <c r="I901" s="5">
        <v>0.05</v>
      </c>
      <c r="J901">
        <f t="shared" si="28"/>
        <v>2849.9904999999999</v>
      </c>
      <c r="K901" s="9">
        <f t="shared" si="29"/>
        <v>1.3213140978851283</v>
      </c>
    </row>
    <row r="902" spans="1:11" x14ac:dyDescent="0.3">
      <c r="A902">
        <v>319</v>
      </c>
      <c r="B902">
        <v>1</v>
      </c>
      <c r="C902">
        <v>11</v>
      </c>
      <c r="D902" t="str">
        <f>VLOOKUP($C902,products!$A$1:$F$322,MATCH(order_items!$D$1,products!$A$1:$F$1,0),FALSE)</f>
        <v>Surly Straggler 650b - 2016</v>
      </c>
      <c r="E902">
        <f>VLOOKUP($C902,products!$A$1:$F$322,MATCH(order_items!$E$1,products!$A$1:$F$1,0),FALSE)</f>
        <v>4</v>
      </c>
      <c r="F902" t="str">
        <f>VLOOKUP($E902,categories!$A$1:$B$8,MATCH(order_items!$F$1,categories!$A$1:$B$1,0),FALSE)</f>
        <v>Cyclocross Bicycles</v>
      </c>
      <c r="G902">
        <v>1</v>
      </c>
      <c r="H902">
        <v>1680.99</v>
      </c>
      <c r="I902" s="5">
        <v>7.0000000000000007E-2</v>
      </c>
      <c r="J902">
        <f t="shared" si="28"/>
        <v>1563.3207</v>
      </c>
      <c r="K902" s="9">
        <f t="shared" si="29"/>
        <v>0.3461947994374141</v>
      </c>
    </row>
    <row r="903" spans="1:11" x14ac:dyDescent="0.3">
      <c r="A903">
        <v>319</v>
      </c>
      <c r="B903">
        <v>2</v>
      </c>
      <c r="C903">
        <v>21</v>
      </c>
      <c r="D903" t="str">
        <f>VLOOKUP($C903,products!$A$1:$F$322,MATCH(order_items!$D$1,products!$A$1:$F$1,0),FALSE)</f>
        <v>Electra Cruiser 1 (24-Inch) - 2016</v>
      </c>
      <c r="E903">
        <f>VLOOKUP($C903,products!$A$1:$F$322,MATCH(order_items!$E$1,products!$A$1:$F$1,0),FALSE)</f>
        <v>1</v>
      </c>
      <c r="F903" t="str">
        <f>VLOOKUP($E903,categories!$A$1:$B$8,MATCH(order_items!$F$1,categories!$A$1:$B$1,0),FALSE)</f>
        <v>Children Bicycles</v>
      </c>
      <c r="G903">
        <v>1</v>
      </c>
      <c r="H903">
        <v>269.99</v>
      </c>
      <c r="I903" s="5">
        <v>0.2</v>
      </c>
      <c r="J903">
        <f t="shared" si="28"/>
        <v>215.99200000000002</v>
      </c>
      <c r="K903" s="9">
        <f t="shared" si="29"/>
        <v>-0.69693888525532666</v>
      </c>
    </row>
    <row r="904" spans="1:11" x14ac:dyDescent="0.3">
      <c r="A904">
        <v>319</v>
      </c>
      <c r="B904">
        <v>3</v>
      </c>
      <c r="C904">
        <v>15</v>
      </c>
      <c r="D904" t="str">
        <f>VLOOKUP($C904,products!$A$1:$F$322,MATCH(order_items!$D$1,products!$A$1:$F$1,0),FALSE)</f>
        <v>Electra Moto 1 - 2016</v>
      </c>
      <c r="E904">
        <f>VLOOKUP($C904,products!$A$1:$F$322,MATCH(order_items!$E$1,products!$A$1:$F$1,0),FALSE)</f>
        <v>3</v>
      </c>
      <c r="F904" t="str">
        <f>VLOOKUP($E904,categories!$A$1:$B$8,MATCH(order_items!$F$1,categories!$A$1:$B$1,0),FALSE)</f>
        <v>Cruisers Bicycles</v>
      </c>
      <c r="G904">
        <v>2</v>
      </c>
      <c r="H904">
        <v>529.99</v>
      </c>
      <c r="I904" s="5">
        <v>0.1</v>
      </c>
      <c r="J904">
        <f t="shared" si="28"/>
        <v>953.98200000000008</v>
      </c>
      <c r="K904" s="9">
        <f t="shared" si="29"/>
        <v>-0.50472431543242624</v>
      </c>
    </row>
    <row r="905" spans="1:11" x14ac:dyDescent="0.3">
      <c r="A905">
        <v>319</v>
      </c>
      <c r="B905">
        <v>4</v>
      </c>
      <c r="C905">
        <v>23</v>
      </c>
      <c r="D905" t="str">
        <f>VLOOKUP($C905,products!$A$1:$F$322,MATCH(order_items!$D$1,products!$A$1:$F$1,0),FALSE)</f>
        <v>Electra Girl's Hawaii 1 (20-inch) - 2015/2016</v>
      </c>
      <c r="E905">
        <f>VLOOKUP($C905,products!$A$1:$F$322,MATCH(order_items!$E$1,products!$A$1:$F$1,0),FALSE)</f>
        <v>1</v>
      </c>
      <c r="F905" t="str">
        <f>VLOOKUP($E905,categories!$A$1:$B$8,MATCH(order_items!$F$1,categories!$A$1:$B$1,0),FALSE)</f>
        <v>Children Bicycles</v>
      </c>
      <c r="G905">
        <v>1</v>
      </c>
      <c r="H905">
        <v>299.99</v>
      </c>
      <c r="I905" s="5">
        <v>0.05</v>
      </c>
      <c r="J905">
        <f t="shared" si="28"/>
        <v>284.9905</v>
      </c>
      <c r="K905" s="9">
        <f t="shared" si="29"/>
        <v>-0.67476028104499197</v>
      </c>
    </row>
    <row r="906" spans="1:11" x14ac:dyDescent="0.3">
      <c r="A906">
        <v>320</v>
      </c>
      <c r="B906">
        <v>1</v>
      </c>
      <c r="C906">
        <v>2</v>
      </c>
      <c r="D906" t="str">
        <f>VLOOKUP($C906,products!$A$1:$F$322,MATCH(order_items!$D$1,products!$A$1:$F$1,0),FALSE)</f>
        <v>Ritchey Timberwolf Frameset - 2016</v>
      </c>
      <c r="E906">
        <f>VLOOKUP($C906,products!$A$1:$F$322,MATCH(order_items!$E$1,products!$A$1:$F$1,0),FALSE)</f>
        <v>6</v>
      </c>
      <c r="F906" t="str">
        <f>VLOOKUP($E906,categories!$A$1:$B$8,MATCH(order_items!$F$1,categories!$A$1:$B$1,0),FALSE)</f>
        <v>Mountain Bikes</v>
      </c>
      <c r="G906">
        <v>1</v>
      </c>
      <c r="H906">
        <v>749.99</v>
      </c>
      <c r="I906" s="5">
        <v>0.1</v>
      </c>
      <c r="J906">
        <f t="shared" si="28"/>
        <v>674.99099999999999</v>
      </c>
      <c r="K906" s="9">
        <f t="shared" si="29"/>
        <v>-0.34208121788997192</v>
      </c>
    </row>
    <row r="907" spans="1:11" x14ac:dyDescent="0.3">
      <c r="A907">
        <v>321</v>
      </c>
      <c r="B907">
        <v>1</v>
      </c>
      <c r="C907">
        <v>4</v>
      </c>
      <c r="D907" t="str">
        <f>VLOOKUP($C907,products!$A$1:$F$322,MATCH(order_items!$D$1,products!$A$1:$F$1,0),FALSE)</f>
        <v>Trek Fuel EX 8 29 - 2016</v>
      </c>
      <c r="E907">
        <f>VLOOKUP($C907,products!$A$1:$F$322,MATCH(order_items!$E$1,products!$A$1:$F$1,0),FALSE)</f>
        <v>6</v>
      </c>
      <c r="F907" t="str">
        <f>VLOOKUP($E907,categories!$A$1:$B$8,MATCH(order_items!$F$1,categories!$A$1:$B$1,0),FALSE)</f>
        <v>Mountain Bikes</v>
      </c>
      <c r="G907">
        <v>2</v>
      </c>
      <c r="H907">
        <v>2899.99</v>
      </c>
      <c r="I907" s="5">
        <v>0.2</v>
      </c>
      <c r="J907">
        <f t="shared" si="28"/>
        <v>4639.9839999999995</v>
      </c>
      <c r="K907" s="9">
        <f t="shared" si="29"/>
        <v>1.2473854171840129</v>
      </c>
    </row>
    <row r="908" spans="1:11" x14ac:dyDescent="0.3">
      <c r="A908">
        <v>321</v>
      </c>
      <c r="B908">
        <v>2</v>
      </c>
      <c r="C908">
        <v>12</v>
      </c>
      <c r="D908" t="str">
        <f>VLOOKUP($C908,products!$A$1:$F$322,MATCH(order_items!$D$1,products!$A$1:$F$1,0),FALSE)</f>
        <v>Electra Townie Original 21D - 2016</v>
      </c>
      <c r="E908">
        <f>VLOOKUP($C908,products!$A$1:$F$322,MATCH(order_items!$E$1,products!$A$1:$F$1,0),FALSE)</f>
        <v>3</v>
      </c>
      <c r="F908" t="str">
        <f>VLOOKUP($E908,categories!$A$1:$B$8,MATCH(order_items!$F$1,categories!$A$1:$B$1,0),FALSE)</f>
        <v>Cruisers Bicycles</v>
      </c>
      <c r="G908">
        <v>2</v>
      </c>
      <c r="H908">
        <v>549.99</v>
      </c>
      <c r="I908" s="5">
        <v>0.2</v>
      </c>
      <c r="J908">
        <f t="shared" si="28"/>
        <v>879.98400000000004</v>
      </c>
      <c r="K908" s="9">
        <f t="shared" si="29"/>
        <v>-0.48993857929220308</v>
      </c>
    </row>
    <row r="909" spans="1:11" x14ac:dyDescent="0.3">
      <c r="A909">
        <v>321</v>
      </c>
      <c r="B909">
        <v>3</v>
      </c>
      <c r="C909">
        <v>26</v>
      </c>
      <c r="D909" t="str">
        <f>VLOOKUP($C909,products!$A$1:$F$322,MATCH(order_items!$D$1,products!$A$1:$F$1,0),FALSE)</f>
        <v>Electra Townie Original 7D EQ - 2016</v>
      </c>
      <c r="E909">
        <f>VLOOKUP($C909,products!$A$1:$F$322,MATCH(order_items!$E$1,products!$A$1:$F$1,0),FALSE)</f>
        <v>2</v>
      </c>
      <c r="F909" t="str">
        <f>VLOOKUP($E909,categories!$A$1:$B$8,MATCH(order_items!$F$1,categories!$A$1:$B$1,0),FALSE)</f>
        <v>Comfort Bicycles</v>
      </c>
      <c r="G909">
        <v>1</v>
      </c>
      <c r="H909">
        <v>599.99</v>
      </c>
      <c r="I909" s="5">
        <v>0.2</v>
      </c>
      <c r="J909">
        <f t="shared" si="28"/>
        <v>479.99200000000002</v>
      </c>
      <c r="K909" s="9">
        <f t="shared" si="29"/>
        <v>-0.45297423894164529</v>
      </c>
    </row>
    <row r="910" spans="1:11" x14ac:dyDescent="0.3">
      <c r="A910">
        <v>321</v>
      </c>
      <c r="B910">
        <v>4</v>
      </c>
      <c r="C910">
        <v>23</v>
      </c>
      <c r="D910" t="str">
        <f>VLOOKUP($C910,products!$A$1:$F$322,MATCH(order_items!$D$1,products!$A$1:$F$1,0),FALSE)</f>
        <v>Electra Girl's Hawaii 1 (20-inch) - 2015/2016</v>
      </c>
      <c r="E910">
        <f>VLOOKUP($C910,products!$A$1:$F$322,MATCH(order_items!$E$1,products!$A$1:$F$1,0),FALSE)</f>
        <v>1</v>
      </c>
      <c r="F910" t="str">
        <f>VLOOKUP($E910,categories!$A$1:$B$8,MATCH(order_items!$F$1,categories!$A$1:$B$1,0),FALSE)</f>
        <v>Children Bicycles</v>
      </c>
      <c r="G910">
        <v>2</v>
      </c>
      <c r="H910">
        <v>299.99</v>
      </c>
      <c r="I910" s="5">
        <v>0.2</v>
      </c>
      <c r="J910">
        <f t="shared" si="28"/>
        <v>479.98400000000004</v>
      </c>
      <c r="K910" s="9">
        <f t="shared" si="29"/>
        <v>-0.67476028104499197</v>
      </c>
    </row>
    <row r="911" spans="1:11" x14ac:dyDescent="0.3">
      <c r="A911">
        <v>322</v>
      </c>
      <c r="B911">
        <v>1</v>
      </c>
      <c r="C911">
        <v>13</v>
      </c>
      <c r="D911" t="str">
        <f>VLOOKUP($C911,products!$A$1:$F$322,MATCH(order_items!$D$1,products!$A$1:$F$1,0),FALSE)</f>
        <v>Electra Cruiser 1 (24-Inch) - 2016</v>
      </c>
      <c r="E911">
        <f>VLOOKUP($C911,products!$A$1:$F$322,MATCH(order_items!$E$1,products!$A$1:$F$1,0),FALSE)</f>
        <v>3</v>
      </c>
      <c r="F911" t="str">
        <f>VLOOKUP($E911,categories!$A$1:$B$8,MATCH(order_items!$F$1,categories!$A$1:$B$1,0),FALSE)</f>
        <v>Cruisers Bicycles</v>
      </c>
      <c r="G911">
        <v>2</v>
      </c>
      <c r="H911">
        <v>269.99</v>
      </c>
      <c r="I911" s="5">
        <v>0.2</v>
      </c>
      <c r="J911">
        <f t="shared" si="28"/>
        <v>431.98400000000004</v>
      </c>
      <c r="K911" s="9">
        <f t="shared" si="29"/>
        <v>-0.69693888525532666</v>
      </c>
    </row>
    <row r="912" spans="1:11" x14ac:dyDescent="0.3">
      <c r="A912">
        <v>322</v>
      </c>
      <c r="B912">
        <v>2</v>
      </c>
      <c r="C912">
        <v>21</v>
      </c>
      <c r="D912" t="str">
        <f>VLOOKUP($C912,products!$A$1:$F$322,MATCH(order_items!$D$1,products!$A$1:$F$1,0),FALSE)</f>
        <v>Electra Cruiser 1 (24-Inch) - 2016</v>
      </c>
      <c r="E912">
        <f>VLOOKUP($C912,products!$A$1:$F$322,MATCH(order_items!$E$1,products!$A$1:$F$1,0),FALSE)</f>
        <v>1</v>
      </c>
      <c r="F912" t="str">
        <f>VLOOKUP($E912,categories!$A$1:$B$8,MATCH(order_items!$F$1,categories!$A$1:$B$1,0),FALSE)</f>
        <v>Children Bicycles</v>
      </c>
      <c r="G912">
        <v>1</v>
      </c>
      <c r="H912">
        <v>269.99</v>
      </c>
      <c r="I912" s="5">
        <v>7.0000000000000007E-2</v>
      </c>
      <c r="J912">
        <f t="shared" si="28"/>
        <v>251.0907</v>
      </c>
      <c r="K912" s="9">
        <f t="shared" si="29"/>
        <v>-0.69693888525532666</v>
      </c>
    </row>
    <row r="913" spans="1:11" x14ac:dyDescent="0.3">
      <c r="A913">
        <v>323</v>
      </c>
      <c r="B913">
        <v>1</v>
      </c>
      <c r="C913">
        <v>13</v>
      </c>
      <c r="D913" t="str">
        <f>VLOOKUP($C913,products!$A$1:$F$322,MATCH(order_items!$D$1,products!$A$1:$F$1,0),FALSE)</f>
        <v>Electra Cruiser 1 (24-Inch) - 2016</v>
      </c>
      <c r="E913">
        <f>VLOOKUP($C913,products!$A$1:$F$322,MATCH(order_items!$E$1,products!$A$1:$F$1,0),FALSE)</f>
        <v>3</v>
      </c>
      <c r="F913" t="str">
        <f>VLOOKUP($E913,categories!$A$1:$B$8,MATCH(order_items!$F$1,categories!$A$1:$B$1,0),FALSE)</f>
        <v>Cruisers Bicycles</v>
      </c>
      <c r="G913">
        <v>2</v>
      </c>
      <c r="H913">
        <v>269.99</v>
      </c>
      <c r="I913" s="5">
        <v>7.0000000000000007E-2</v>
      </c>
      <c r="J913">
        <f t="shared" si="28"/>
        <v>502.1814</v>
      </c>
      <c r="K913" s="9">
        <f t="shared" si="29"/>
        <v>-0.69693888525532666</v>
      </c>
    </row>
    <row r="914" spans="1:11" x14ac:dyDescent="0.3">
      <c r="A914">
        <v>323</v>
      </c>
      <c r="B914">
        <v>2</v>
      </c>
      <c r="C914">
        <v>26</v>
      </c>
      <c r="D914" t="str">
        <f>VLOOKUP($C914,products!$A$1:$F$322,MATCH(order_items!$D$1,products!$A$1:$F$1,0),FALSE)</f>
        <v>Electra Townie Original 7D EQ - 2016</v>
      </c>
      <c r="E914">
        <f>VLOOKUP($C914,products!$A$1:$F$322,MATCH(order_items!$E$1,products!$A$1:$F$1,0),FALSE)</f>
        <v>2</v>
      </c>
      <c r="F914" t="str">
        <f>VLOOKUP($E914,categories!$A$1:$B$8,MATCH(order_items!$F$1,categories!$A$1:$B$1,0),FALSE)</f>
        <v>Comfort Bicycles</v>
      </c>
      <c r="G914">
        <v>2</v>
      </c>
      <c r="H914">
        <v>599.99</v>
      </c>
      <c r="I914" s="5">
        <v>0.1</v>
      </c>
      <c r="J914">
        <f t="shared" si="28"/>
        <v>1079.982</v>
      </c>
      <c r="K914" s="9">
        <f t="shared" si="29"/>
        <v>-0.45297423894164529</v>
      </c>
    </row>
    <row r="915" spans="1:11" x14ac:dyDescent="0.3">
      <c r="A915">
        <v>324</v>
      </c>
      <c r="B915">
        <v>1</v>
      </c>
      <c r="C915">
        <v>2</v>
      </c>
      <c r="D915" t="str">
        <f>VLOOKUP($C915,products!$A$1:$F$322,MATCH(order_items!$D$1,products!$A$1:$F$1,0),FALSE)</f>
        <v>Ritchey Timberwolf Frameset - 2016</v>
      </c>
      <c r="E915">
        <f>VLOOKUP($C915,products!$A$1:$F$322,MATCH(order_items!$E$1,products!$A$1:$F$1,0),FALSE)</f>
        <v>6</v>
      </c>
      <c r="F915" t="str">
        <f>VLOOKUP($E915,categories!$A$1:$B$8,MATCH(order_items!$F$1,categories!$A$1:$B$1,0),FALSE)</f>
        <v>Mountain Bikes</v>
      </c>
      <c r="G915">
        <v>2</v>
      </c>
      <c r="H915">
        <v>749.99</v>
      </c>
      <c r="I915" s="5">
        <v>0.1</v>
      </c>
      <c r="J915">
        <f t="shared" si="28"/>
        <v>1349.982</v>
      </c>
      <c r="K915" s="9">
        <f t="shared" si="29"/>
        <v>-0.34208121788997192</v>
      </c>
    </row>
    <row r="916" spans="1:11" x14ac:dyDescent="0.3">
      <c r="A916">
        <v>324</v>
      </c>
      <c r="B916">
        <v>2</v>
      </c>
      <c r="C916">
        <v>17</v>
      </c>
      <c r="D916" t="str">
        <f>VLOOKUP($C916,products!$A$1:$F$322,MATCH(order_items!$D$1,products!$A$1:$F$1,0),FALSE)</f>
        <v>Pure Cycles Vine 8-Speed - 2016</v>
      </c>
      <c r="E916">
        <f>VLOOKUP($C916,products!$A$1:$F$322,MATCH(order_items!$E$1,products!$A$1:$F$1,0),FALSE)</f>
        <v>3</v>
      </c>
      <c r="F916" t="str">
        <f>VLOOKUP($E916,categories!$A$1:$B$8,MATCH(order_items!$F$1,categories!$A$1:$B$1,0),FALSE)</f>
        <v>Cruisers Bicycles</v>
      </c>
      <c r="G916">
        <v>1</v>
      </c>
      <c r="H916">
        <v>429</v>
      </c>
      <c r="I916" s="5">
        <v>0.2</v>
      </c>
      <c r="J916">
        <f t="shared" si="28"/>
        <v>343.20000000000005</v>
      </c>
      <c r="K916" s="9">
        <f t="shared" si="29"/>
        <v>-0.57938489007248284</v>
      </c>
    </row>
    <row r="917" spans="1:11" x14ac:dyDescent="0.3">
      <c r="A917">
        <v>324</v>
      </c>
      <c r="B917">
        <v>3</v>
      </c>
      <c r="C917">
        <v>22</v>
      </c>
      <c r="D917" t="str">
        <f>VLOOKUP($C917,products!$A$1:$F$322,MATCH(order_items!$D$1,products!$A$1:$F$1,0),FALSE)</f>
        <v>Electra Girl's Hawaii 1 (16-inch) - 2015/2016</v>
      </c>
      <c r="E917">
        <f>VLOOKUP($C917,products!$A$1:$F$322,MATCH(order_items!$E$1,products!$A$1:$F$1,0),FALSE)</f>
        <v>1</v>
      </c>
      <c r="F917" t="str">
        <f>VLOOKUP($E917,categories!$A$1:$B$8,MATCH(order_items!$F$1,categories!$A$1:$B$1,0),FALSE)</f>
        <v>Children Bicycles</v>
      </c>
      <c r="G917">
        <v>2</v>
      </c>
      <c r="H917">
        <v>269.99</v>
      </c>
      <c r="I917" s="5">
        <v>0.2</v>
      </c>
      <c r="J917">
        <f t="shared" si="28"/>
        <v>431.98400000000004</v>
      </c>
      <c r="K917" s="9">
        <f t="shared" si="29"/>
        <v>-0.69693888525532666</v>
      </c>
    </row>
    <row r="918" spans="1:11" x14ac:dyDescent="0.3">
      <c r="A918">
        <v>324</v>
      </c>
      <c r="B918">
        <v>4</v>
      </c>
      <c r="C918">
        <v>19</v>
      </c>
      <c r="D918" t="str">
        <f>VLOOKUP($C918,products!$A$1:$F$322,MATCH(order_items!$D$1,products!$A$1:$F$1,0),FALSE)</f>
        <v>Pure Cycles William 3-Speed - 2016</v>
      </c>
      <c r="E918">
        <f>VLOOKUP($C918,products!$A$1:$F$322,MATCH(order_items!$E$1,products!$A$1:$F$1,0),FALSE)</f>
        <v>3</v>
      </c>
      <c r="F918" t="str">
        <f>VLOOKUP($E918,categories!$A$1:$B$8,MATCH(order_items!$F$1,categories!$A$1:$B$1,0),FALSE)</f>
        <v>Cruisers Bicycles</v>
      </c>
      <c r="G918">
        <v>1</v>
      </c>
      <c r="H918">
        <v>449</v>
      </c>
      <c r="I918" s="5">
        <v>0.05</v>
      </c>
      <c r="J918">
        <f t="shared" si="28"/>
        <v>426.54999999999995</v>
      </c>
      <c r="K918" s="9">
        <f t="shared" si="29"/>
        <v>-0.56459915393225968</v>
      </c>
    </row>
    <row r="919" spans="1:11" x14ac:dyDescent="0.3">
      <c r="A919">
        <v>324</v>
      </c>
      <c r="B919">
        <v>5</v>
      </c>
      <c r="C919">
        <v>12</v>
      </c>
      <c r="D919" t="str">
        <f>VLOOKUP($C919,products!$A$1:$F$322,MATCH(order_items!$D$1,products!$A$1:$F$1,0),FALSE)</f>
        <v>Electra Townie Original 21D - 2016</v>
      </c>
      <c r="E919">
        <f>VLOOKUP($C919,products!$A$1:$F$322,MATCH(order_items!$E$1,products!$A$1:$F$1,0),FALSE)</f>
        <v>3</v>
      </c>
      <c r="F919" t="str">
        <f>VLOOKUP($E919,categories!$A$1:$B$8,MATCH(order_items!$F$1,categories!$A$1:$B$1,0),FALSE)</f>
        <v>Cruisers Bicycles</v>
      </c>
      <c r="G919">
        <v>1</v>
      </c>
      <c r="H919">
        <v>549.99</v>
      </c>
      <c r="I919" s="5">
        <v>0.05</v>
      </c>
      <c r="J919">
        <f t="shared" si="28"/>
        <v>522.4905</v>
      </c>
      <c r="K919" s="9">
        <f t="shared" si="29"/>
        <v>-0.48993857929220308</v>
      </c>
    </row>
    <row r="920" spans="1:11" x14ac:dyDescent="0.3">
      <c r="A920">
        <v>325</v>
      </c>
      <c r="B920">
        <v>1</v>
      </c>
      <c r="C920">
        <v>7</v>
      </c>
      <c r="D920" t="str">
        <f>VLOOKUP($C920,products!$A$1:$F$322,MATCH(order_items!$D$1,products!$A$1:$F$1,0),FALSE)</f>
        <v>Trek Slash 8 27.5 - 2016</v>
      </c>
      <c r="E920">
        <f>VLOOKUP($C920,products!$A$1:$F$322,MATCH(order_items!$E$1,products!$A$1:$F$1,0),FALSE)</f>
        <v>6</v>
      </c>
      <c r="F920" t="str">
        <f>VLOOKUP($E920,categories!$A$1:$B$8,MATCH(order_items!$F$1,categories!$A$1:$B$1,0),FALSE)</f>
        <v>Mountain Bikes</v>
      </c>
      <c r="G920">
        <v>1</v>
      </c>
      <c r="H920">
        <v>3999.99</v>
      </c>
      <c r="I920" s="5">
        <v>0.05</v>
      </c>
      <c r="J920">
        <f t="shared" si="28"/>
        <v>3799.9904999999994</v>
      </c>
      <c r="K920" s="9">
        <f t="shared" si="29"/>
        <v>2.0606009048962846</v>
      </c>
    </row>
    <row r="921" spans="1:11" x14ac:dyDescent="0.3">
      <c r="A921">
        <v>325</v>
      </c>
      <c r="B921">
        <v>2</v>
      </c>
      <c r="C921">
        <v>12</v>
      </c>
      <c r="D921" t="str">
        <f>VLOOKUP($C921,products!$A$1:$F$322,MATCH(order_items!$D$1,products!$A$1:$F$1,0),FALSE)</f>
        <v>Electra Townie Original 21D - 2016</v>
      </c>
      <c r="E921">
        <f>VLOOKUP($C921,products!$A$1:$F$322,MATCH(order_items!$E$1,products!$A$1:$F$1,0),FALSE)</f>
        <v>3</v>
      </c>
      <c r="F921" t="str">
        <f>VLOOKUP($E921,categories!$A$1:$B$8,MATCH(order_items!$F$1,categories!$A$1:$B$1,0),FALSE)</f>
        <v>Cruisers Bicycles</v>
      </c>
      <c r="G921">
        <v>1</v>
      </c>
      <c r="H921">
        <v>549.99</v>
      </c>
      <c r="I921" s="5">
        <v>0.2</v>
      </c>
      <c r="J921">
        <f t="shared" si="28"/>
        <v>439.99200000000002</v>
      </c>
      <c r="K921" s="9">
        <f t="shared" si="29"/>
        <v>-0.48993857929220308</v>
      </c>
    </row>
    <row r="922" spans="1:11" x14ac:dyDescent="0.3">
      <c r="A922">
        <v>325</v>
      </c>
      <c r="B922">
        <v>3</v>
      </c>
      <c r="C922">
        <v>6</v>
      </c>
      <c r="D922" t="str">
        <f>VLOOKUP($C922,products!$A$1:$F$322,MATCH(order_items!$D$1,products!$A$1:$F$1,0),FALSE)</f>
        <v>Surly Ice Cream Truck Frameset - 2016</v>
      </c>
      <c r="E922">
        <f>VLOOKUP($C922,products!$A$1:$F$322,MATCH(order_items!$E$1,products!$A$1:$F$1,0),FALSE)</f>
        <v>6</v>
      </c>
      <c r="F922" t="str">
        <f>VLOOKUP($E922,categories!$A$1:$B$8,MATCH(order_items!$F$1,categories!$A$1:$B$1,0),FALSE)</f>
        <v>Mountain Bikes</v>
      </c>
      <c r="G922">
        <v>2</v>
      </c>
      <c r="H922">
        <v>469.99</v>
      </c>
      <c r="I922" s="5">
        <v>0.2</v>
      </c>
      <c r="J922">
        <f t="shared" si="28"/>
        <v>751.98400000000004</v>
      </c>
      <c r="K922" s="9">
        <f t="shared" si="29"/>
        <v>-0.5490815238530955</v>
      </c>
    </row>
    <row r="923" spans="1:11" x14ac:dyDescent="0.3">
      <c r="A923">
        <v>326</v>
      </c>
      <c r="B923">
        <v>1</v>
      </c>
      <c r="C923">
        <v>12</v>
      </c>
      <c r="D923" t="str">
        <f>VLOOKUP($C923,products!$A$1:$F$322,MATCH(order_items!$D$1,products!$A$1:$F$1,0),FALSE)</f>
        <v>Electra Townie Original 21D - 2016</v>
      </c>
      <c r="E923">
        <f>VLOOKUP($C923,products!$A$1:$F$322,MATCH(order_items!$E$1,products!$A$1:$F$1,0),FALSE)</f>
        <v>3</v>
      </c>
      <c r="F923" t="str">
        <f>VLOOKUP($E923,categories!$A$1:$B$8,MATCH(order_items!$F$1,categories!$A$1:$B$1,0),FALSE)</f>
        <v>Cruisers Bicycles</v>
      </c>
      <c r="G923">
        <v>1</v>
      </c>
      <c r="H923">
        <v>549.99</v>
      </c>
      <c r="I923" s="5">
        <v>0.1</v>
      </c>
      <c r="J923">
        <f t="shared" si="28"/>
        <v>494.99100000000004</v>
      </c>
      <c r="K923" s="9">
        <f t="shared" si="29"/>
        <v>-0.48993857929220308</v>
      </c>
    </row>
    <row r="924" spans="1:11" x14ac:dyDescent="0.3">
      <c r="A924">
        <v>326</v>
      </c>
      <c r="B924">
        <v>2</v>
      </c>
      <c r="C924">
        <v>23</v>
      </c>
      <c r="D924" t="str">
        <f>VLOOKUP($C924,products!$A$1:$F$322,MATCH(order_items!$D$1,products!$A$1:$F$1,0),FALSE)</f>
        <v>Electra Girl's Hawaii 1 (20-inch) - 2015/2016</v>
      </c>
      <c r="E924">
        <f>VLOOKUP($C924,products!$A$1:$F$322,MATCH(order_items!$E$1,products!$A$1:$F$1,0),FALSE)</f>
        <v>1</v>
      </c>
      <c r="F924" t="str">
        <f>VLOOKUP($E924,categories!$A$1:$B$8,MATCH(order_items!$F$1,categories!$A$1:$B$1,0),FALSE)</f>
        <v>Children Bicycles</v>
      </c>
      <c r="G924">
        <v>1</v>
      </c>
      <c r="H924">
        <v>299.99</v>
      </c>
      <c r="I924" s="5">
        <v>7.0000000000000007E-2</v>
      </c>
      <c r="J924">
        <f t="shared" si="28"/>
        <v>278.9907</v>
      </c>
      <c r="K924" s="9">
        <f t="shared" si="29"/>
        <v>-0.67476028104499197</v>
      </c>
    </row>
    <row r="925" spans="1:11" x14ac:dyDescent="0.3">
      <c r="A925">
        <v>327</v>
      </c>
      <c r="B925">
        <v>1</v>
      </c>
      <c r="C925">
        <v>12</v>
      </c>
      <c r="D925" t="str">
        <f>VLOOKUP($C925,products!$A$1:$F$322,MATCH(order_items!$D$1,products!$A$1:$F$1,0),FALSE)</f>
        <v>Electra Townie Original 21D - 2016</v>
      </c>
      <c r="E925">
        <f>VLOOKUP($C925,products!$A$1:$F$322,MATCH(order_items!$E$1,products!$A$1:$F$1,0),FALSE)</f>
        <v>3</v>
      </c>
      <c r="F925" t="str">
        <f>VLOOKUP($E925,categories!$A$1:$B$8,MATCH(order_items!$F$1,categories!$A$1:$B$1,0),FALSE)</f>
        <v>Cruisers Bicycles</v>
      </c>
      <c r="G925">
        <v>2</v>
      </c>
      <c r="H925">
        <v>549.99</v>
      </c>
      <c r="I925" s="5">
        <v>7.0000000000000007E-2</v>
      </c>
      <c r="J925">
        <f t="shared" si="28"/>
        <v>1022.9813999999999</v>
      </c>
      <c r="K925" s="9">
        <f t="shared" si="29"/>
        <v>-0.48993857929220308</v>
      </c>
    </row>
    <row r="926" spans="1:11" x14ac:dyDescent="0.3">
      <c r="A926">
        <v>327</v>
      </c>
      <c r="B926">
        <v>2</v>
      </c>
      <c r="C926">
        <v>13</v>
      </c>
      <c r="D926" t="str">
        <f>VLOOKUP($C926,products!$A$1:$F$322,MATCH(order_items!$D$1,products!$A$1:$F$1,0),FALSE)</f>
        <v>Electra Cruiser 1 (24-Inch) - 2016</v>
      </c>
      <c r="E926">
        <f>VLOOKUP($C926,products!$A$1:$F$322,MATCH(order_items!$E$1,products!$A$1:$F$1,0),FALSE)</f>
        <v>3</v>
      </c>
      <c r="F926" t="str">
        <f>VLOOKUP($E926,categories!$A$1:$B$8,MATCH(order_items!$F$1,categories!$A$1:$B$1,0),FALSE)</f>
        <v>Cruisers Bicycles</v>
      </c>
      <c r="G926">
        <v>1</v>
      </c>
      <c r="H926">
        <v>269.99</v>
      </c>
      <c r="I926" s="5">
        <v>7.0000000000000007E-2</v>
      </c>
      <c r="J926">
        <f t="shared" si="28"/>
        <v>251.0907</v>
      </c>
      <c r="K926" s="9">
        <f t="shared" si="29"/>
        <v>-0.69693888525532666</v>
      </c>
    </row>
    <row r="927" spans="1:11" x14ac:dyDescent="0.3">
      <c r="A927">
        <v>327</v>
      </c>
      <c r="B927">
        <v>3</v>
      </c>
      <c r="C927">
        <v>4</v>
      </c>
      <c r="D927" t="str">
        <f>VLOOKUP($C927,products!$A$1:$F$322,MATCH(order_items!$D$1,products!$A$1:$F$1,0),FALSE)</f>
        <v>Trek Fuel EX 8 29 - 2016</v>
      </c>
      <c r="E927">
        <f>VLOOKUP($C927,products!$A$1:$F$322,MATCH(order_items!$E$1,products!$A$1:$F$1,0),FALSE)</f>
        <v>6</v>
      </c>
      <c r="F927" t="str">
        <f>VLOOKUP($E927,categories!$A$1:$B$8,MATCH(order_items!$F$1,categories!$A$1:$B$1,0),FALSE)</f>
        <v>Mountain Bikes</v>
      </c>
      <c r="G927">
        <v>1</v>
      </c>
      <c r="H927">
        <v>2899.99</v>
      </c>
      <c r="I927" s="5">
        <v>0.05</v>
      </c>
      <c r="J927">
        <f t="shared" si="28"/>
        <v>2754.9904999999999</v>
      </c>
      <c r="K927" s="9">
        <f t="shared" si="29"/>
        <v>1.2473854171840129</v>
      </c>
    </row>
    <row r="928" spans="1:11" x14ac:dyDescent="0.3">
      <c r="A928">
        <v>328</v>
      </c>
      <c r="B928">
        <v>1</v>
      </c>
      <c r="C928">
        <v>6</v>
      </c>
      <c r="D928" t="str">
        <f>VLOOKUP($C928,products!$A$1:$F$322,MATCH(order_items!$D$1,products!$A$1:$F$1,0),FALSE)</f>
        <v>Surly Ice Cream Truck Frameset - 2016</v>
      </c>
      <c r="E928">
        <f>VLOOKUP($C928,products!$A$1:$F$322,MATCH(order_items!$E$1,products!$A$1:$F$1,0),FALSE)</f>
        <v>6</v>
      </c>
      <c r="F928" t="str">
        <f>VLOOKUP($E928,categories!$A$1:$B$8,MATCH(order_items!$F$1,categories!$A$1:$B$1,0),FALSE)</f>
        <v>Mountain Bikes</v>
      </c>
      <c r="G928">
        <v>2</v>
      </c>
      <c r="H928">
        <v>469.99</v>
      </c>
      <c r="I928" s="5">
        <v>0.1</v>
      </c>
      <c r="J928">
        <f t="shared" si="28"/>
        <v>845.98200000000008</v>
      </c>
      <c r="K928" s="9">
        <f t="shared" si="29"/>
        <v>-0.5490815238530955</v>
      </c>
    </row>
    <row r="929" spans="1:11" x14ac:dyDescent="0.3">
      <c r="A929">
        <v>329</v>
      </c>
      <c r="B929">
        <v>1</v>
      </c>
      <c r="C929">
        <v>14</v>
      </c>
      <c r="D929" t="str">
        <f>VLOOKUP($C929,products!$A$1:$F$322,MATCH(order_items!$D$1,products!$A$1:$F$1,0),FALSE)</f>
        <v>Electra Girl's Hawaii 1 (16-inch) - 2015/2016</v>
      </c>
      <c r="E929">
        <f>VLOOKUP($C929,products!$A$1:$F$322,MATCH(order_items!$E$1,products!$A$1:$F$1,0),FALSE)</f>
        <v>3</v>
      </c>
      <c r="F929" t="str">
        <f>VLOOKUP($E929,categories!$A$1:$B$8,MATCH(order_items!$F$1,categories!$A$1:$B$1,0),FALSE)</f>
        <v>Cruisers Bicycles</v>
      </c>
      <c r="G929">
        <v>2</v>
      </c>
      <c r="H929">
        <v>269.99</v>
      </c>
      <c r="I929" s="5">
        <v>7.0000000000000007E-2</v>
      </c>
      <c r="J929">
        <f t="shared" si="28"/>
        <v>502.1814</v>
      </c>
      <c r="K929" s="9">
        <f t="shared" si="29"/>
        <v>-0.69693888525532666</v>
      </c>
    </row>
    <row r="930" spans="1:11" x14ac:dyDescent="0.3">
      <c r="A930">
        <v>329</v>
      </c>
      <c r="B930">
        <v>2</v>
      </c>
      <c r="C930">
        <v>8</v>
      </c>
      <c r="D930" t="str">
        <f>VLOOKUP($C930,products!$A$1:$F$322,MATCH(order_items!$D$1,products!$A$1:$F$1,0),FALSE)</f>
        <v>Trek Remedy 29 Carbon Frameset - 2016</v>
      </c>
      <c r="E930">
        <f>VLOOKUP($C930,products!$A$1:$F$322,MATCH(order_items!$E$1,products!$A$1:$F$1,0),FALSE)</f>
        <v>6</v>
      </c>
      <c r="F930" t="str">
        <f>VLOOKUP($E930,categories!$A$1:$B$8,MATCH(order_items!$F$1,categories!$A$1:$B$1,0),FALSE)</f>
        <v>Mountain Bikes</v>
      </c>
      <c r="G930">
        <v>2</v>
      </c>
      <c r="H930">
        <v>1799.99</v>
      </c>
      <c r="I930" s="5">
        <v>0.05</v>
      </c>
      <c r="J930">
        <f t="shared" si="28"/>
        <v>3419.9809999999998</v>
      </c>
      <c r="K930" s="9">
        <f t="shared" si="29"/>
        <v>0.43416992947174166</v>
      </c>
    </row>
    <row r="931" spans="1:11" x14ac:dyDescent="0.3">
      <c r="A931">
        <v>329</v>
      </c>
      <c r="B931">
        <v>3</v>
      </c>
      <c r="C931">
        <v>23</v>
      </c>
      <c r="D931" t="str">
        <f>VLOOKUP($C931,products!$A$1:$F$322,MATCH(order_items!$D$1,products!$A$1:$F$1,0),FALSE)</f>
        <v>Electra Girl's Hawaii 1 (20-inch) - 2015/2016</v>
      </c>
      <c r="E931">
        <f>VLOOKUP($C931,products!$A$1:$F$322,MATCH(order_items!$E$1,products!$A$1:$F$1,0),FALSE)</f>
        <v>1</v>
      </c>
      <c r="F931" t="str">
        <f>VLOOKUP($E931,categories!$A$1:$B$8,MATCH(order_items!$F$1,categories!$A$1:$B$1,0),FALSE)</f>
        <v>Children Bicycles</v>
      </c>
      <c r="G931">
        <v>1</v>
      </c>
      <c r="H931">
        <v>299.99</v>
      </c>
      <c r="I931" s="5">
        <v>0.2</v>
      </c>
      <c r="J931">
        <f t="shared" si="28"/>
        <v>239.99200000000002</v>
      </c>
      <c r="K931" s="9">
        <f t="shared" si="29"/>
        <v>-0.67476028104499197</v>
      </c>
    </row>
    <row r="932" spans="1:11" x14ac:dyDescent="0.3">
      <c r="A932">
        <v>329</v>
      </c>
      <c r="B932">
        <v>4</v>
      </c>
      <c r="C932">
        <v>17</v>
      </c>
      <c r="D932" t="str">
        <f>VLOOKUP($C932,products!$A$1:$F$322,MATCH(order_items!$D$1,products!$A$1:$F$1,0),FALSE)</f>
        <v>Pure Cycles Vine 8-Speed - 2016</v>
      </c>
      <c r="E932">
        <f>VLOOKUP($C932,products!$A$1:$F$322,MATCH(order_items!$E$1,products!$A$1:$F$1,0),FALSE)</f>
        <v>3</v>
      </c>
      <c r="F932" t="str">
        <f>VLOOKUP($E932,categories!$A$1:$B$8,MATCH(order_items!$F$1,categories!$A$1:$B$1,0),FALSE)</f>
        <v>Cruisers Bicycles</v>
      </c>
      <c r="G932">
        <v>1</v>
      </c>
      <c r="H932">
        <v>429</v>
      </c>
      <c r="I932" s="5">
        <v>7.0000000000000007E-2</v>
      </c>
      <c r="J932">
        <f t="shared" si="28"/>
        <v>398.96999999999997</v>
      </c>
      <c r="K932" s="9">
        <f t="shared" si="29"/>
        <v>-0.57938489007248284</v>
      </c>
    </row>
    <row r="933" spans="1:11" x14ac:dyDescent="0.3">
      <c r="A933">
        <v>329</v>
      </c>
      <c r="B933">
        <v>5</v>
      </c>
      <c r="C933">
        <v>26</v>
      </c>
      <c r="D933" t="str">
        <f>VLOOKUP($C933,products!$A$1:$F$322,MATCH(order_items!$D$1,products!$A$1:$F$1,0),FALSE)</f>
        <v>Electra Townie Original 7D EQ - 2016</v>
      </c>
      <c r="E933">
        <f>VLOOKUP($C933,products!$A$1:$F$322,MATCH(order_items!$E$1,products!$A$1:$F$1,0),FALSE)</f>
        <v>2</v>
      </c>
      <c r="F933" t="str">
        <f>VLOOKUP($E933,categories!$A$1:$B$8,MATCH(order_items!$F$1,categories!$A$1:$B$1,0),FALSE)</f>
        <v>Comfort Bicycles</v>
      </c>
      <c r="G933">
        <v>2</v>
      </c>
      <c r="H933">
        <v>599.99</v>
      </c>
      <c r="I933" s="5">
        <v>0.05</v>
      </c>
      <c r="J933">
        <f t="shared" si="28"/>
        <v>1139.981</v>
      </c>
      <c r="K933" s="9">
        <f t="shared" si="29"/>
        <v>-0.45297423894164529</v>
      </c>
    </row>
    <row r="934" spans="1:11" x14ac:dyDescent="0.3">
      <c r="A934">
        <v>330</v>
      </c>
      <c r="B934">
        <v>1</v>
      </c>
      <c r="C934">
        <v>21</v>
      </c>
      <c r="D934" t="str">
        <f>VLOOKUP($C934,products!$A$1:$F$322,MATCH(order_items!$D$1,products!$A$1:$F$1,0),FALSE)</f>
        <v>Electra Cruiser 1 (24-Inch) - 2016</v>
      </c>
      <c r="E934">
        <f>VLOOKUP($C934,products!$A$1:$F$322,MATCH(order_items!$E$1,products!$A$1:$F$1,0),FALSE)</f>
        <v>1</v>
      </c>
      <c r="F934" t="str">
        <f>VLOOKUP($E934,categories!$A$1:$B$8,MATCH(order_items!$F$1,categories!$A$1:$B$1,0),FALSE)</f>
        <v>Children Bicycles</v>
      </c>
      <c r="G934">
        <v>2</v>
      </c>
      <c r="H934">
        <v>269.99</v>
      </c>
      <c r="I934" s="5">
        <v>0.05</v>
      </c>
      <c r="J934">
        <f t="shared" si="28"/>
        <v>512.98099999999999</v>
      </c>
      <c r="K934" s="9">
        <f t="shared" si="29"/>
        <v>-0.69693888525532666</v>
      </c>
    </row>
    <row r="935" spans="1:11" x14ac:dyDescent="0.3">
      <c r="A935">
        <v>331</v>
      </c>
      <c r="B935">
        <v>1</v>
      </c>
      <c r="C935">
        <v>17</v>
      </c>
      <c r="D935" t="str">
        <f>VLOOKUP($C935,products!$A$1:$F$322,MATCH(order_items!$D$1,products!$A$1:$F$1,0),FALSE)</f>
        <v>Pure Cycles Vine 8-Speed - 2016</v>
      </c>
      <c r="E935">
        <f>VLOOKUP($C935,products!$A$1:$F$322,MATCH(order_items!$E$1,products!$A$1:$F$1,0),FALSE)</f>
        <v>3</v>
      </c>
      <c r="F935" t="str">
        <f>VLOOKUP($E935,categories!$A$1:$B$8,MATCH(order_items!$F$1,categories!$A$1:$B$1,0),FALSE)</f>
        <v>Cruisers Bicycles</v>
      </c>
      <c r="G935">
        <v>2</v>
      </c>
      <c r="H935">
        <v>429</v>
      </c>
      <c r="I935" s="5">
        <v>0.1</v>
      </c>
      <c r="J935">
        <f t="shared" si="28"/>
        <v>772.2</v>
      </c>
      <c r="K935" s="9">
        <f t="shared" si="29"/>
        <v>-0.57938489007248284</v>
      </c>
    </row>
    <row r="936" spans="1:11" x14ac:dyDescent="0.3">
      <c r="A936">
        <v>332</v>
      </c>
      <c r="B936">
        <v>1</v>
      </c>
      <c r="C936">
        <v>18</v>
      </c>
      <c r="D936" t="str">
        <f>VLOOKUP($C936,products!$A$1:$F$322,MATCH(order_items!$D$1,products!$A$1:$F$1,0),FALSE)</f>
        <v>Pure Cycles Western 3-Speed - Women's - 2015/2016</v>
      </c>
      <c r="E936">
        <f>VLOOKUP($C936,products!$A$1:$F$322,MATCH(order_items!$E$1,products!$A$1:$F$1,0),FALSE)</f>
        <v>3</v>
      </c>
      <c r="F936" t="str">
        <f>VLOOKUP($E936,categories!$A$1:$B$8,MATCH(order_items!$F$1,categories!$A$1:$B$1,0),FALSE)</f>
        <v>Cruisers Bicycles</v>
      </c>
      <c r="G936">
        <v>2</v>
      </c>
      <c r="H936">
        <v>449</v>
      </c>
      <c r="I936" s="5">
        <v>0.05</v>
      </c>
      <c r="J936">
        <f t="shared" si="28"/>
        <v>853.09999999999991</v>
      </c>
      <c r="K936" s="9">
        <f t="shared" si="29"/>
        <v>-0.56459915393225968</v>
      </c>
    </row>
    <row r="937" spans="1:11" x14ac:dyDescent="0.3">
      <c r="A937">
        <v>333</v>
      </c>
      <c r="B937">
        <v>1</v>
      </c>
      <c r="C937">
        <v>18</v>
      </c>
      <c r="D937" t="str">
        <f>VLOOKUP($C937,products!$A$1:$F$322,MATCH(order_items!$D$1,products!$A$1:$F$1,0),FALSE)</f>
        <v>Pure Cycles Western 3-Speed - Women's - 2015/2016</v>
      </c>
      <c r="E937">
        <f>VLOOKUP($C937,products!$A$1:$F$322,MATCH(order_items!$E$1,products!$A$1:$F$1,0),FALSE)</f>
        <v>3</v>
      </c>
      <c r="F937" t="str">
        <f>VLOOKUP($E937,categories!$A$1:$B$8,MATCH(order_items!$F$1,categories!$A$1:$B$1,0),FALSE)</f>
        <v>Cruisers Bicycles</v>
      </c>
      <c r="G937">
        <v>2</v>
      </c>
      <c r="H937">
        <v>449</v>
      </c>
      <c r="I937" s="5">
        <v>7.0000000000000007E-2</v>
      </c>
      <c r="J937">
        <f t="shared" si="28"/>
        <v>835.14</v>
      </c>
      <c r="K937" s="9">
        <f t="shared" si="29"/>
        <v>-0.56459915393225968</v>
      </c>
    </row>
    <row r="938" spans="1:11" x14ac:dyDescent="0.3">
      <c r="A938">
        <v>333</v>
      </c>
      <c r="B938">
        <v>2</v>
      </c>
      <c r="C938">
        <v>8</v>
      </c>
      <c r="D938" t="str">
        <f>VLOOKUP($C938,products!$A$1:$F$322,MATCH(order_items!$D$1,products!$A$1:$F$1,0),FALSE)</f>
        <v>Trek Remedy 29 Carbon Frameset - 2016</v>
      </c>
      <c r="E938">
        <f>VLOOKUP($C938,products!$A$1:$F$322,MATCH(order_items!$E$1,products!$A$1:$F$1,0),FALSE)</f>
        <v>6</v>
      </c>
      <c r="F938" t="str">
        <f>VLOOKUP($E938,categories!$A$1:$B$8,MATCH(order_items!$F$1,categories!$A$1:$B$1,0),FALSE)</f>
        <v>Mountain Bikes</v>
      </c>
      <c r="G938">
        <v>2</v>
      </c>
      <c r="H938">
        <v>1799.99</v>
      </c>
      <c r="I938" s="5">
        <v>0.05</v>
      </c>
      <c r="J938">
        <f t="shared" si="28"/>
        <v>3419.9809999999998</v>
      </c>
      <c r="K938" s="9">
        <f t="shared" si="29"/>
        <v>0.43416992947174166</v>
      </c>
    </row>
    <row r="939" spans="1:11" x14ac:dyDescent="0.3">
      <c r="A939">
        <v>333</v>
      </c>
      <c r="B939">
        <v>3</v>
      </c>
      <c r="C939">
        <v>3</v>
      </c>
      <c r="D939" t="str">
        <f>VLOOKUP($C939,products!$A$1:$F$322,MATCH(order_items!$D$1,products!$A$1:$F$1,0),FALSE)</f>
        <v>Surly Wednesday Frameset - 2016</v>
      </c>
      <c r="E939">
        <f>VLOOKUP($C939,products!$A$1:$F$322,MATCH(order_items!$E$1,products!$A$1:$F$1,0),FALSE)</f>
        <v>6</v>
      </c>
      <c r="F939" t="str">
        <f>VLOOKUP($E939,categories!$A$1:$B$8,MATCH(order_items!$F$1,categories!$A$1:$B$1,0),FALSE)</f>
        <v>Mountain Bikes</v>
      </c>
      <c r="G939">
        <v>1</v>
      </c>
      <c r="H939">
        <v>999.99</v>
      </c>
      <c r="I939" s="5">
        <v>0.2</v>
      </c>
      <c r="J939">
        <f t="shared" si="28"/>
        <v>799.99200000000008</v>
      </c>
      <c r="K939" s="9">
        <f t="shared" si="29"/>
        <v>-0.15725951613718298</v>
      </c>
    </row>
    <row r="940" spans="1:11" x14ac:dyDescent="0.3">
      <c r="A940">
        <v>334</v>
      </c>
      <c r="B940">
        <v>1</v>
      </c>
      <c r="C940">
        <v>16</v>
      </c>
      <c r="D940" t="str">
        <f>VLOOKUP($C940,products!$A$1:$F$322,MATCH(order_items!$D$1,products!$A$1:$F$1,0),FALSE)</f>
        <v>Electra Townie Original 7D EQ - 2016</v>
      </c>
      <c r="E940">
        <f>VLOOKUP($C940,products!$A$1:$F$322,MATCH(order_items!$E$1,products!$A$1:$F$1,0),FALSE)</f>
        <v>3</v>
      </c>
      <c r="F940" t="str">
        <f>VLOOKUP($E940,categories!$A$1:$B$8,MATCH(order_items!$F$1,categories!$A$1:$B$1,0),FALSE)</f>
        <v>Cruisers Bicycles</v>
      </c>
      <c r="G940">
        <v>2</v>
      </c>
      <c r="H940">
        <v>599.99</v>
      </c>
      <c r="I940" s="5">
        <v>0.2</v>
      </c>
      <c r="J940">
        <f t="shared" si="28"/>
        <v>959.98400000000004</v>
      </c>
      <c r="K940" s="9">
        <f t="shared" si="29"/>
        <v>-0.45297423894164529</v>
      </c>
    </row>
    <row r="941" spans="1:11" x14ac:dyDescent="0.3">
      <c r="A941">
        <v>334</v>
      </c>
      <c r="B941">
        <v>2</v>
      </c>
      <c r="C941">
        <v>9</v>
      </c>
      <c r="D941" t="str">
        <f>VLOOKUP($C941,products!$A$1:$F$322,MATCH(order_items!$D$1,products!$A$1:$F$1,0),FALSE)</f>
        <v>Trek Conduit+ - 2016</v>
      </c>
      <c r="E941">
        <f>VLOOKUP($C941,products!$A$1:$F$322,MATCH(order_items!$E$1,products!$A$1:$F$1,0),FALSE)</f>
        <v>5</v>
      </c>
      <c r="F941" t="str">
        <f>VLOOKUP($E941,categories!$A$1:$B$8,MATCH(order_items!$F$1,categories!$A$1:$B$1,0),FALSE)</f>
        <v>Electric Bikes</v>
      </c>
      <c r="G941">
        <v>1</v>
      </c>
      <c r="H941">
        <v>2999.99</v>
      </c>
      <c r="I941" s="5">
        <v>0.05</v>
      </c>
      <c r="J941">
        <f t="shared" si="28"/>
        <v>2849.9904999999999</v>
      </c>
      <c r="K941" s="9">
        <f t="shared" si="29"/>
        <v>1.3213140978851283</v>
      </c>
    </row>
    <row r="942" spans="1:11" x14ac:dyDescent="0.3">
      <c r="A942">
        <v>334</v>
      </c>
      <c r="B942">
        <v>3</v>
      </c>
      <c r="C942">
        <v>3</v>
      </c>
      <c r="D942" t="str">
        <f>VLOOKUP($C942,products!$A$1:$F$322,MATCH(order_items!$D$1,products!$A$1:$F$1,0),FALSE)</f>
        <v>Surly Wednesday Frameset - 2016</v>
      </c>
      <c r="E942">
        <f>VLOOKUP($C942,products!$A$1:$F$322,MATCH(order_items!$E$1,products!$A$1:$F$1,0),FALSE)</f>
        <v>6</v>
      </c>
      <c r="F942" t="str">
        <f>VLOOKUP($E942,categories!$A$1:$B$8,MATCH(order_items!$F$1,categories!$A$1:$B$1,0),FALSE)</f>
        <v>Mountain Bikes</v>
      </c>
      <c r="G942">
        <v>2</v>
      </c>
      <c r="H942">
        <v>999.99</v>
      </c>
      <c r="I942" s="5">
        <v>0.05</v>
      </c>
      <c r="J942">
        <f t="shared" si="28"/>
        <v>1899.981</v>
      </c>
      <c r="K942" s="9">
        <f t="shared" si="29"/>
        <v>-0.15725951613718298</v>
      </c>
    </row>
    <row r="943" spans="1:11" x14ac:dyDescent="0.3">
      <c r="A943">
        <v>335</v>
      </c>
      <c r="B943">
        <v>1</v>
      </c>
      <c r="C943">
        <v>6</v>
      </c>
      <c r="D943" t="str">
        <f>VLOOKUP($C943,products!$A$1:$F$322,MATCH(order_items!$D$1,products!$A$1:$F$1,0),FALSE)</f>
        <v>Surly Ice Cream Truck Frameset - 2016</v>
      </c>
      <c r="E943">
        <f>VLOOKUP($C943,products!$A$1:$F$322,MATCH(order_items!$E$1,products!$A$1:$F$1,0),FALSE)</f>
        <v>6</v>
      </c>
      <c r="F943" t="str">
        <f>VLOOKUP($E943,categories!$A$1:$B$8,MATCH(order_items!$F$1,categories!$A$1:$B$1,0),FALSE)</f>
        <v>Mountain Bikes</v>
      </c>
      <c r="G943">
        <v>1</v>
      </c>
      <c r="H943">
        <v>469.99</v>
      </c>
      <c r="I943" s="5">
        <v>0.1</v>
      </c>
      <c r="J943">
        <f t="shared" si="28"/>
        <v>422.99100000000004</v>
      </c>
      <c r="K943" s="9">
        <f t="shared" si="29"/>
        <v>-0.5490815238530955</v>
      </c>
    </row>
    <row r="944" spans="1:11" x14ac:dyDescent="0.3">
      <c r="A944">
        <v>335</v>
      </c>
      <c r="B944">
        <v>2</v>
      </c>
      <c r="C944">
        <v>2</v>
      </c>
      <c r="D944" t="str">
        <f>VLOOKUP($C944,products!$A$1:$F$322,MATCH(order_items!$D$1,products!$A$1:$F$1,0),FALSE)</f>
        <v>Ritchey Timberwolf Frameset - 2016</v>
      </c>
      <c r="E944">
        <f>VLOOKUP($C944,products!$A$1:$F$322,MATCH(order_items!$E$1,products!$A$1:$F$1,0),FALSE)</f>
        <v>6</v>
      </c>
      <c r="F944" t="str">
        <f>VLOOKUP($E944,categories!$A$1:$B$8,MATCH(order_items!$F$1,categories!$A$1:$B$1,0),FALSE)</f>
        <v>Mountain Bikes</v>
      </c>
      <c r="G944">
        <v>2</v>
      </c>
      <c r="H944">
        <v>749.99</v>
      </c>
      <c r="I944" s="5">
        <v>0.1</v>
      </c>
      <c r="J944">
        <f t="shared" si="28"/>
        <v>1349.982</v>
      </c>
      <c r="K944" s="9">
        <f t="shared" si="29"/>
        <v>-0.34208121788997192</v>
      </c>
    </row>
    <row r="945" spans="1:11" x14ac:dyDescent="0.3">
      <c r="A945">
        <v>335</v>
      </c>
      <c r="B945">
        <v>3</v>
      </c>
      <c r="C945">
        <v>21</v>
      </c>
      <c r="D945" t="str">
        <f>VLOOKUP($C945,products!$A$1:$F$322,MATCH(order_items!$D$1,products!$A$1:$F$1,0),FALSE)</f>
        <v>Electra Cruiser 1 (24-Inch) - 2016</v>
      </c>
      <c r="E945">
        <f>VLOOKUP($C945,products!$A$1:$F$322,MATCH(order_items!$E$1,products!$A$1:$F$1,0),FALSE)</f>
        <v>1</v>
      </c>
      <c r="F945" t="str">
        <f>VLOOKUP($E945,categories!$A$1:$B$8,MATCH(order_items!$F$1,categories!$A$1:$B$1,0),FALSE)</f>
        <v>Children Bicycles</v>
      </c>
      <c r="G945">
        <v>1</v>
      </c>
      <c r="H945">
        <v>269.99</v>
      </c>
      <c r="I945" s="5">
        <v>7.0000000000000007E-2</v>
      </c>
      <c r="J945">
        <f t="shared" si="28"/>
        <v>251.0907</v>
      </c>
      <c r="K945" s="9">
        <f t="shared" si="29"/>
        <v>-0.69693888525532666</v>
      </c>
    </row>
    <row r="946" spans="1:11" x14ac:dyDescent="0.3">
      <c r="A946">
        <v>336</v>
      </c>
      <c r="B946">
        <v>1</v>
      </c>
      <c r="C946">
        <v>4</v>
      </c>
      <c r="D946" t="str">
        <f>VLOOKUP($C946,products!$A$1:$F$322,MATCH(order_items!$D$1,products!$A$1:$F$1,0),FALSE)</f>
        <v>Trek Fuel EX 8 29 - 2016</v>
      </c>
      <c r="E946">
        <f>VLOOKUP($C946,products!$A$1:$F$322,MATCH(order_items!$E$1,products!$A$1:$F$1,0),FALSE)</f>
        <v>6</v>
      </c>
      <c r="F946" t="str">
        <f>VLOOKUP($E946,categories!$A$1:$B$8,MATCH(order_items!$F$1,categories!$A$1:$B$1,0),FALSE)</f>
        <v>Mountain Bikes</v>
      </c>
      <c r="G946">
        <v>1</v>
      </c>
      <c r="H946">
        <v>2899.99</v>
      </c>
      <c r="I946" s="5">
        <v>0.1</v>
      </c>
      <c r="J946">
        <f t="shared" si="28"/>
        <v>2609.991</v>
      </c>
      <c r="K946" s="9">
        <f t="shared" si="29"/>
        <v>1.2473854171840129</v>
      </c>
    </row>
    <row r="947" spans="1:11" x14ac:dyDescent="0.3">
      <c r="A947">
        <v>336</v>
      </c>
      <c r="B947">
        <v>2</v>
      </c>
      <c r="C947">
        <v>12</v>
      </c>
      <c r="D947" t="str">
        <f>VLOOKUP($C947,products!$A$1:$F$322,MATCH(order_items!$D$1,products!$A$1:$F$1,0),FALSE)</f>
        <v>Electra Townie Original 21D - 2016</v>
      </c>
      <c r="E947">
        <f>VLOOKUP($C947,products!$A$1:$F$322,MATCH(order_items!$E$1,products!$A$1:$F$1,0),FALSE)</f>
        <v>3</v>
      </c>
      <c r="F947" t="str">
        <f>VLOOKUP($E947,categories!$A$1:$B$8,MATCH(order_items!$F$1,categories!$A$1:$B$1,0),FALSE)</f>
        <v>Cruisers Bicycles</v>
      </c>
      <c r="G947">
        <v>1</v>
      </c>
      <c r="H947">
        <v>549.99</v>
      </c>
      <c r="I947" s="5">
        <v>0.2</v>
      </c>
      <c r="J947">
        <f t="shared" si="28"/>
        <v>439.99200000000002</v>
      </c>
      <c r="K947" s="9">
        <f t="shared" si="29"/>
        <v>-0.48993857929220308</v>
      </c>
    </row>
    <row r="948" spans="1:11" x14ac:dyDescent="0.3">
      <c r="A948">
        <v>337</v>
      </c>
      <c r="B948">
        <v>1</v>
      </c>
      <c r="C948">
        <v>18</v>
      </c>
      <c r="D948" t="str">
        <f>VLOOKUP($C948,products!$A$1:$F$322,MATCH(order_items!$D$1,products!$A$1:$F$1,0),FALSE)</f>
        <v>Pure Cycles Western 3-Speed - Women's - 2015/2016</v>
      </c>
      <c r="E948">
        <f>VLOOKUP($C948,products!$A$1:$F$322,MATCH(order_items!$E$1,products!$A$1:$F$1,0),FALSE)</f>
        <v>3</v>
      </c>
      <c r="F948" t="str">
        <f>VLOOKUP($E948,categories!$A$1:$B$8,MATCH(order_items!$F$1,categories!$A$1:$B$1,0),FALSE)</f>
        <v>Cruisers Bicycles</v>
      </c>
      <c r="G948">
        <v>1</v>
      </c>
      <c r="H948">
        <v>449</v>
      </c>
      <c r="I948" s="5">
        <v>0.05</v>
      </c>
      <c r="J948">
        <f t="shared" si="28"/>
        <v>426.54999999999995</v>
      </c>
      <c r="K948" s="9">
        <f t="shared" si="29"/>
        <v>-0.56459915393225968</v>
      </c>
    </row>
    <row r="949" spans="1:11" x14ac:dyDescent="0.3">
      <c r="A949">
        <v>337</v>
      </c>
      <c r="B949">
        <v>2</v>
      </c>
      <c r="C949">
        <v>4</v>
      </c>
      <c r="D949" t="str">
        <f>VLOOKUP($C949,products!$A$1:$F$322,MATCH(order_items!$D$1,products!$A$1:$F$1,0),FALSE)</f>
        <v>Trek Fuel EX 8 29 - 2016</v>
      </c>
      <c r="E949">
        <f>VLOOKUP($C949,products!$A$1:$F$322,MATCH(order_items!$E$1,products!$A$1:$F$1,0),FALSE)</f>
        <v>6</v>
      </c>
      <c r="F949" t="str">
        <f>VLOOKUP($E949,categories!$A$1:$B$8,MATCH(order_items!$F$1,categories!$A$1:$B$1,0),FALSE)</f>
        <v>Mountain Bikes</v>
      </c>
      <c r="G949">
        <v>1</v>
      </c>
      <c r="H949">
        <v>2899.99</v>
      </c>
      <c r="I949" s="5">
        <v>0.05</v>
      </c>
      <c r="J949">
        <f t="shared" si="28"/>
        <v>2754.9904999999999</v>
      </c>
      <c r="K949" s="9">
        <f t="shared" si="29"/>
        <v>1.2473854171840129</v>
      </c>
    </row>
    <row r="950" spans="1:11" x14ac:dyDescent="0.3">
      <c r="A950">
        <v>338</v>
      </c>
      <c r="B950">
        <v>1</v>
      </c>
      <c r="C950">
        <v>6</v>
      </c>
      <c r="D950" t="str">
        <f>VLOOKUP($C950,products!$A$1:$F$322,MATCH(order_items!$D$1,products!$A$1:$F$1,0),FALSE)</f>
        <v>Surly Ice Cream Truck Frameset - 2016</v>
      </c>
      <c r="E950">
        <f>VLOOKUP($C950,products!$A$1:$F$322,MATCH(order_items!$E$1,products!$A$1:$F$1,0),FALSE)</f>
        <v>6</v>
      </c>
      <c r="F950" t="str">
        <f>VLOOKUP($E950,categories!$A$1:$B$8,MATCH(order_items!$F$1,categories!$A$1:$B$1,0),FALSE)</f>
        <v>Mountain Bikes</v>
      </c>
      <c r="G950">
        <v>2</v>
      </c>
      <c r="H950">
        <v>469.99</v>
      </c>
      <c r="I950" s="5">
        <v>7.0000000000000007E-2</v>
      </c>
      <c r="J950">
        <f t="shared" si="28"/>
        <v>874.18139999999994</v>
      </c>
      <c r="K950" s="9">
        <f t="shared" si="29"/>
        <v>-0.5490815238530955</v>
      </c>
    </row>
    <row r="951" spans="1:11" x14ac:dyDescent="0.3">
      <c r="A951">
        <v>338</v>
      </c>
      <c r="B951">
        <v>2</v>
      </c>
      <c r="C951">
        <v>10</v>
      </c>
      <c r="D951" t="str">
        <f>VLOOKUP($C951,products!$A$1:$F$322,MATCH(order_items!$D$1,products!$A$1:$F$1,0),FALSE)</f>
        <v>Surly Straggler - 2016</v>
      </c>
      <c r="E951">
        <f>VLOOKUP($C951,products!$A$1:$F$322,MATCH(order_items!$E$1,products!$A$1:$F$1,0),FALSE)</f>
        <v>4</v>
      </c>
      <c r="F951" t="str">
        <f>VLOOKUP($E951,categories!$A$1:$B$8,MATCH(order_items!$F$1,categories!$A$1:$B$1,0),FALSE)</f>
        <v>Cyclocross Bicycles</v>
      </c>
      <c r="G951">
        <v>1</v>
      </c>
      <c r="H951">
        <v>1549</v>
      </c>
      <c r="I951" s="5">
        <v>7.0000000000000007E-2</v>
      </c>
      <c r="J951">
        <f t="shared" si="28"/>
        <v>1440.57</v>
      </c>
      <c r="K951" s="9">
        <f t="shared" si="29"/>
        <v>0.24861633378001166</v>
      </c>
    </row>
    <row r="952" spans="1:11" x14ac:dyDescent="0.3">
      <c r="A952">
        <v>338</v>
      </c>
      <c r="B952">
        <v>3</v>
      </c>
      <c r="C952">
        <v>22</v>
      </c>
      <c r="D952" t="str">
        <f>VLOOKUP($C952,products!$A$1:$F$322,MATCH(order_items!$D$1,products!$A$1:$F$1,0),FALSE)</f>
        <v>Electra Girl's Hawaii 1 (16-inch) - 2015/2016</v>
      </c>
      <c r="E952">
        <f>VLOOKUP($C952,products!$A$1:$F$322,MATCH(order_items!$E$1,products!$A$1:$F$1,0),FALSE)</f>
        <v>1</v>
      </c>
      <c r="F952" t="str">
        <f>VLOOKUP($E952,categories!$A$1:$B$8,MATCH(order_items!$F$1,categories!$A$1:$B$1,0),FALSE)</f>
        <v>Children Bicycles</v>
      </c>
      <c r="G952">
        <v>1</v>
      </c>
      <c r="H952">
        <v>269.99</v>
      </c>
      <c r="I952" s="5">
        <v>0.1</v>
      </c>
      <c r="J952">
        <f t="shared" si="28"/>
        <v>242.99100000000001</v>
      </c>
      <c r="K952" s="9">
        <f t="shared" si="29"/>
        <v>-0.69693888525532666</v>
      </c>
    </row>
    <row r="953" spans="1:11" x14ac:dyDescent="0.3">
      <c r="A953">
        <v>338</v>
      </c>
      <c r="B953">
        <v>4</v>
      </c>
      <c r="C953">
        <v>11</v>
      </c>
      <c r="D953" t="str">
        <f>VLOOKUP($C953,products!$A$1:$F$322,MATCH(order_items!$D$1,products!$A$1:$F$1,0),FALSE)</f>
        <v>Surly Straggler 650b - 2016</v>
      </c>
      <c r="E953">
        <f>VLOOKUP($C953,products!$A$1:$F$322,MATCH(order_items!$E$1,products!$A$1:$F$1,0),FALSE)</f>
        <v>4</v>
      </c>
      <c r="F953" t="str">
        <f>VLOOKUP($E953,categories!$A$1:$B$8,MATCH(order_items!$F$1,categories!$A$1:$B$1,0),FALSE)</f>
        <v>Cyclocross Bicycles</v>
      </c>
      <c r="G953">
        <v>2</v>
      </c>
      <c r="H953">
        <v>1680.99</v>
      </c>
      <c r="I953" s="5">
        <v>7.0000000000000007E-2</v>
      </c>
      <c r="J953">
        <f t="shared" si="28"/>
        <v>3126.6414</v>
      </c>
      <c r="K953" s="9">
        <f t="shared" si="29"/>
        <v>0.3461947994374141</v>
      </c>
    </row>
    <row r="954" spans="1:11" x14ac:dyDescent="0.3">
      <c r="A954">
        <v>338</v>
      </c>
      <c r="B954">
        <v>5</v>
      </c>
      <c r="C954">
        <v>9</v>
      </c>
      <c r="D954" t="str">
        <f>VLOOKUP($C954,products!$A$1:$F$322,MATCH(order_items!$D$1,products!$A$1:$F$1,0),FALSE)</f>
        <v>Trek Conduit+ - 2016</v>
      </c>
      <c r="E954">
        <f>VLOOKUP($C954,products!$A$1:$F$322,MATCH(order_items!$E$1,products!$A$1:$F$1,0),FALSE)</f>
        <v>5</v>
      </c>
      <c r="F954" t="str">
        <f>VLOOKUP($E954,categories!$A$1:$B$8,MATCH(order_items!$F$1,categories!$A$1:$B$1,0),FALSE)</f>
        <v>Electric Bikes</v>
      </c>
      <c r="G954">
        <v>1</v>
      </c>
      <c r="H954">
        <v>2999.99</v>
      </c>
      <c r="I954" s="5">
        <v>0.05</v>
      </c>
      <c r="J954">
        <f t="shared" si="28"/>
        <v>2849.9904999999999</v>
      </c>
      <c r="K954" s="9">
        <f t="shared" si="29"/>
        <v>1.3213140978851283</v>
      </c>
    </row>
    <row r="955" spans="1:11" x14ac:dyDescent="0.3">
      <c r="A955">
        <v>339</v>
      </c>
      <c r="B955">
        <v>1</v>
      </c>
      <c r="C955">
        <v>13</v>
      </c>
      <c r="D955" t="str">
        <f>VLOOKUP($C955,products!$A$1:$F$322,MATCH(order_items!$D$1,products!$A$1:$F$1,0),FALSE)</f>
        <v>Electra Cruiser 1 (24-Inch) - 2016</v>
      </c>
      <c r="E955">
        <f>VLOOKUP($C955,products!$A$1:$F$322,MATCH(order_items!$E$1,products!$A$1:$F$1,0),FALSE)</f>
        <v>3</v>
      </c>
      <c r="F955" t="str">
        <f>VLOOKUP($E955,categories!$A$1:$B$8,MATCH(order_items!$F$1,categories!$A$1:$B$1,0),FALSE)</f>
        <v>Cruisers Bicycles</v>
      </c>
      <c r="G955">
        <v>1</v>
      </c>
      <c r="H955">
        <v>269.99</v>
      </c>
      <c r="I955" s="5">
        <v>0.1</v>
      </c>
      <c r="J955">
        <f t="shared" si="28"/>
        <v>242.99100000000001</v>
      </c>
      <c r="K955" s="9">
        <f t="shared" si="29"/>
        <v>-0.69693888525532666</v>
      </c>
    </row>
    <row r="956" spans="1:11" x14ac:dyDescent="0.3">
      <c r="A956">
        <v>339</v>
      </c>
      <c r="B956">
        <v>2</v>
      </c>
      <c r="C956">
        <v>15</v>
      </c>
      <c r="D956" t="str">
        <f>VLOOKUP($C956,products!$A$1:$F$322,MATCH(order_items!$D$1,products!$A$1:$F$1,0),FALSE)</f>
        <v>Electra Moto 1 - 2016</v>
      </c>
      <c r="E956">
        <f>VLOOKUP($C956,products!$A$1:$F$322,MATCH(order_items!$E$1,products!$A$1:$F$1,0),FALSE)</f>
        <v>3</v>
      </c>
      <c r="F956" t="str">
        <f>VLOOKUP($E956,categories!$A$1:$B$8,MATCH(order_items!$F$1,categories!$A$1:$B$1,0),FALSE)</f>
        <v>Cruisers Bicycles</v>
      </c>
      <c r="G956">
        <v>2</v>
      </c>
      <c r="H956">
        <v>529.99</v>
      </c>
      <c r="I956" s="5">
        <v>0.05</v>
      </c>
      <c r="J956">
        <f t="shared" si="28"/>
        <v>1006.981</v>
      </c>
      <c r="K956" s="9">
        <f t="shared" si="29"/>
        <v>-0.50472431543242624</v>
      </c>
    </row>
    <row r="957" spans="1:11" x14ac:dyDescent="0.3">
      <c r="A957">
        <v>340</v>
      </c>
      <c r="B957">
        <v>1</v>
      </c>
      <c r="C957">
        <v>11</v>
      </c>
      <c r="D957" t="str">
        <f>VLOOKUP($C957,products!$A$1:$F$322,MATCH(order_items!$D$1,products!$A$1:$F$1,0),FALSE)</f>
        <v>Surly Straggler 650b - 2016</v>
      </c>
      <c r="E957">
        <f>VLOOKUP($C957,products!$A$1:$F$322,MATCH(order_items!$E$1,products!$A$1:$F$1,0),FALSE)</f>
        <v>4</v>
      </c>
      <c r="F957" t="str">
        <f>VLOOKUP($E957,categories!$A$1:$B$8,MATCH(order_items!$F$1,categories!$A$1:$B$1,0),FALSE)</f>
        <v>Cyclocross Bicycles</v>
      </c>
      <c r="G957">
        <v>1</v>
      </c>
      <c r="H957">
        <v>1680.99</v>
      </c>
      <c r="I957" s="5">
        <v>0.05</v>
      </c>
      <c r="J957">
        <f t="shared" si="28"/>
        <v>1596.9404999999999</v>
      </c>
      <c r="K957" s="9">
        <f t="shared" si="29"/>
        <v>0.3461947994374141</v>
      </c>
    </row>
    <row r="958" spans="1:11" x14ac:dyDescent="0.3">
      <c r="A958">
        <v>340</v>
      </c>
      <c r="B958">
        <v>2</v>
      </c>
      <c r="C958">
        <v>24</v>
      </c>
      <c r="D958" t="str">
        <f>VLOOKUP($C958,products!$A$1:$F$322,MATCH(order_items!$D$1,products!$A$1:$F$1,0),FALSE)</f>
        <v>Electra Townie Original 21D - 2016</v>
      </c>
      <c r="E958">
        <f>VLOOKUP($C958,products!$A$1:$F$322,MATCH(order_items!$E$1,products!$A$1:$F$1,0),FALSE)</f>
        <v>2</v>
      </c>
      <c r="F958" t="str">
        <f>VLOOKUP($E958,categories!$A$1:$B$8,MATCH(order_items!$F$1,categories!$A$1:$B$1,0),FALSE)</f>
        <v>Comfort Bicycles</v>
      </c>
      <c r="G958">
        <v>1</v>
      </c>
      <c r="H958">
        <v>549.99</v>
      </c>
      <c r="I958" s="5">
        <v>0.05</v>
      </c>
      <c r="J958">
        <f t="shared" si="28"/>
        <v>522.4905</v>
      </c>
      <c r="K958" s="9">
        <f t="shared" si="29"/>
        <v>-0.48993857929220308</v>
      </c>
    </row>
    <row r="959" spans="1:11" x14ac:dyDescent="0.3">
      <c r="A959">
        <v>340</v>
      </c>
      <c r="B959">
        <v>3</v>
      </c>
      <c r="C959">
        <v>13</v>
      </c>
      <c r="D959" t="str">
        <f>VLOOKUP($C959,products!$A$1:$F$322,MATCH(order_items!$D$1,products!$A$1:$F$1,0),FALSE)</f>
        <v>Electra Cruiser 1 (24-Inch) - 2016</v>
      </c>
      <c r="E959">
        <f>VLOOKUP($C959,products!$A$1:$F$322,MATCH(order_items!$E$1,products!$A$1:$F$1,0),FALSE)</f>
        <v>3</v>
      </c>
      <c r="F959" t="str">
        <f>VLOOKUP($E959,categories!$A$1:$B$8,MATCH(order_items!$F$1,categories!$A$1:$B$1,0),FALSE)</f>
        <v>Cruisers Bicycles</v>
      </c>
      <c r="G959">
        <v>2</v>
      </c>
      <c r="H959">
        <v>269.99</v>
      </c>
      <c r="I959" s="5">
        <v>0.1</v>
      </c>
      <c r="J959">
        <f t="shared" si="28"/>
        <v>485.98200000000003</v>
      </c>
      <c r="K959" s="9">
        <f t="shared" si="29"/>
        <v>-0.69693888525532666</v>
      </c>
    </row>
    <row r="960" spans="1:11" x14ac:dyDescent="0.3">
      <c r="A960">
        <v>340</v>
      </c>
      <c r="B960">
        <v>4</v>
      </c>
      <c r="C960">
        <v>12</v>
      </c>
      <c r="D960" t="str">
        <f>VLOOKUP($C960,products!$A$1:$F$322,MATCH(order_items!$D$1,products!$A$1:$F$1,0),FALSE)</f>
        <v>Electra Townie Original 21D - 2016</v>
      </c>
      <c r="E960">
        <f>VLOOKUP($C960,products!$A$1:$F$322,MATCH(order_items!$E$1,products!$A$1:$F$1,0),FALSE)</f>
        <v>3</v>
      </c>
      <c r="F960" t="str">
        <f>VLOOKUP($E960,categories!$A$1:$B$8,MATCH(order_items!$F$1,categories!$A$1:$B$1,0),FALSE)</f>
        <v>Cruisers Bicycles</v>
      </c>
      <c r="G960">
        <v>2</v>
      </c>
      <c r="H960">
        <v>549.99</v>
      </c>
      <c r="I960" s="5">
        <v>7.0000000000000007E-2</v>
      </c>
      <c r="J960">
        <f t="shared" si="28"/>
        <v>1022.9813999999999</v>
      </c>
      <c r="K960" s="9">
        <f t="shared" si="29"/>
        <v>-0.48993857929220308</v>
      </c>
    </row>
    <row r="961" spans="1:11" x14ac:dyDescent="0.3">
      <c r="A961">
        <v>340</v>
      </c>
      <c r="B961">
        <v>5</v>
      </c>
      <c r="C961">
        <v>10</v>
      </c>
      <c r="D961" t="str">
        <f>VLOOKUP($C961,products!$A$1:$F$322,MATCH(order_items!$D$1,products!$A$1:$F$1,0),FALSE)</f>
        <v>Surly Straggler - 2016</v>
      </c>
      <c r="E961">
        <f>VLOOKUP($C961,products!$A$1:$F$322,MATCH(order_items!$E$1,products!$A$1:$F$1,0),FALSE)</f>
        <v>4</v>
      </c>
      <c r="F961" t="str">
        <f>VLOOKUP($E961,categories!$A$1:$B$8,MATCH(order_items!$F$1,categories!$A$1:$B$1,0),FALSE)</f>
        <v>Cyclocross Bicycles</v>
      </c>
      <c r="G961">
        <v>2</v>
      </c>
      <c r="H961">
        <v>1549</v>
      </c>
      <c r="I961" s="5">
        <v>0.1</v>
      </c>
      <c r="J961">
        <f t="shared" si="28"/>
        <v>2788.2000000000003</v>
      </c>
      <c r="K961" s="9">
        <f t="shared" si="29"/>
        <v>0.24861633378001166</v>
      </c>
    </row>
    <row r="962" spans="1:11" x14ac:dyDescent="0.3">
      <c r="A962">
        <v>341</v>
      </c>
      <c r="B962">
        <v>1</v>
      </c>
      <c r="C962">
        <v>23</v>
      </c>
      <c r="D962" t="str">
        <f>VLOOKUP($C962,products!$A$1:$F$322,MATCH(order_items!$D$1,products!$A$1:$F$1,0),FALSE)</f>
        <v>Electra Girl's Hawaii 1 (20-inch) - 2015/2016</v>
      </c>
      <c r="E962">
        <f>VLOOKUP($C962,products!$A$1:$F$322,MATCH(order_items!$E$1,products!$A$1:$F$1,0),FALSE)</f>
        <v>1</v>
      </c>
      <c r="F962" t="str">
        <f>VLOOKUP($E962,categories!$A$1:$B$8,MATCH(order_items!$F$1,categories!$A$1:$B$1,0),FALSE)</f>
        <v>Children Bicycles</v>
      </c>
      <c r="G962">
        <v>2</v>
      </c>
      <c r="H962">
        <v>299.99</v>
      </c>
      <c r="I962" s="5">
        <v>0.05</v>
      </c>
      <c r="J962">
        <f t="shared" ref="J962:J1025" si="30">G962*H962*(1-I962)</f>
        <v>569.98099999999999</v>
      </c>
      <c r="K962" s="9">
        <f t="shared" ref="K962:K1025" si="31">($H962-$M$7)/$M$9</f>
        <v>-0.67476028104499197</v>
      </c>
    </row>
    <row r="963" spans="1:11" x14ac:dyDescent="0.3">
      <c r="A963">
        <v>342</v>
      </c>
      <c r="B963">
        <v>1</v>
      </c>
      <c r="C963">
        <v>26</v>
      </c>
      <c r="D963" t="str">
        <f>VLOOKUP($C963,products!$A$1:$F$322,MATCH(order_items!$D$1,products!$A$1:$F$1,0),FALSE)</f>
        <v>Electra Townie Original 7D EQ - 2016</v>
      </c>
      <c r="E963">
        <f>VLOOKUP($C963,products!$A$1:$F$322,MATCH(order_items!$E$1,products!$A$1:$F$1,0),FALSE)</f>
        <v>2</v>
      </c>
      <c r="F963" t="str">
        <f>VLOOKUP($E963,categories!$A$1:$B$8,MATCH(order_items!$F$1,categories!$A$1:$B$1,0),FALSE)</f>
        <v>Comfort Bicycles</v>
      </c>
      <c r="G963">
        <v>1</v>
      </c>
      <c r="H963">
        <v>599.99</v>
      </c>
      <c r="I963" s="5">
        <v>7.0000000000000007E-2</v>
      </c>
      <c r="J963">
        <f t="shared" si="30"/>
        <v>557.99069999999995</v>
      </c>
      <c r="K963" s="9">
        <f t="shared" si="31"/>
        <v>-0.45297423894164529</v>
      </c>
    </row>
    <row r="964" spans="1:11" x14ac:dyDescent="0.3">
      <c r="A964">
        <v>342</v>
      </c>
      <c r="B964">
        <v>2</v>
      </c>
      <c r="C964">
        <v>9</v>
      </c>
      <c r="D964" t="str">
        <f>VLOOKUP($C964,products!$A$1:$F$322,MATCH(order_items!$D$1,products!$A$1:$F$1,0),FALSE)</f>
        <v>Trek Conduit+ - 2016</v>
      </c>
      <c r="E964">
        <f>VLOOKUP($C964,products!$A$1:$F$322,MATCH(order_items!$E$1,products!$A$1:$F$1,0),FALSE)</f>
        <v>5</v>
      </c>
      <c r="F964" t="str">
        <f>VLOOKUP($E964,categories!$A$1:$B$8,MATCH(order_items!$F$1,categories!$A$1:$B$1,0),FALSE)</f>
        <v>Electric Bikes</v>
      </c>
      <c r="G964">
        <v>1</v>
      </c>
      <c r="H964">
        <v>2999.99</v>
      </c>
      <c r="I964" s="5">
        <v>0.2</v>
      </c>
      <c r="J964">
        <f t="shared" si="30"/>
        <v>2399.9919999999997</v>
      </c>
      <c r="K964" s="9">
        <f t="shared" si="31"/>
        <v>1.3213140978851283</v>
      </c>
    </row>
    <row r="965" spans="1:11" x14ac:dyDescent="0.3">
      <c r="A965">
        <v>342</v>
      </c>
      <c r="B965">
        <v>3</v>
      </c>
      <c r="C965">
        <v>16</v>
      </c>
      <c r="D965" t="str">
        <f>VLOOKUP($C965,products!$A$1:$F$322,MATCH(order_items!$D$1,products!$A$1:$F$1,0),FALSE)</f>
        <v>Electra Townie Original 7D EQ - 2016</v>
      </c>
      <c r="E965">
        <f>VLOOKUP($C965,products!$A$1:$F$322,MATCH(order_items!$E$1,products!$A$1:$F$1,0),FALSE)</f>
        <v>3</v>
      </c>
      <c r="F965" t="str">
        <f>VLOOKUP($E965,categories!$A$1:$B$8,MATCH(order_items!$F$1,categories!$A$1:$B$1,0),FALSE)</f>
        <v>Cruisers Bicycles</v>
      </c>
      <c r="G965">
        <v>2</v>
      </c>
      <c r="H965">
        <v>599.99</v>
      </c>
      <c r="I965" s="5">
        <v>0.1</v>
      </c>
      <c r="J965">
        <f t="shared" si="30"/>
        <v>1079.982</v>
      </c>
      <c r="K965" s="9">
        <f t="shared" si="31"/>
        <v>-0.45297423894164529</v>
      </c>
    </row>
    <row r="966" spans="1:11" x14ac:dyDescent="0.3">
      <c r="A966">
        <v>343</v>
      </c>
      <c r="B966">
        <v>1</v>
      </c>
      <c r="C966">
        <v>20</v>
      </c>
      <c r="D966" t="str">
        <f>VLOOKUP($C966,products!$A$1:$F$322,MATCH(order_items!$D$1,products!$A$1:$F$1,0),FALSE)</f>
        <v>Electra Townie Original 7D EQ - Women's - 2016</v>
      </c>
      <c r="E966">
        <f>VLOOKUP($C966,products!$A$1:$F$322,MATCH(order_items!$E$1,products!$A$1:$F$1,0),FALSE)</f>
        <v>3</v>
      </c>
      <c r="F966" t="str">
        <f>VLOOKUP($E966,categories!$A$1:$B$8,MATCH(order_items!$F$1,categories!$A$1:$B$1,0),FALSE)</f>
        <v>Cruisers Bicycles</v>
      </c>
      <c r="G966">
        <v>2</v>
      </c>
      <c r="H966">
        <v>599.99</v>
      </c>
      <c r="I966" s="5">
        <v>0.2</v>
      </c>
      <c r="J966">
        <f t="shared" si="30"/>
        <v>959.98400000000004</v>
      </c>
      <c r="K966" s="9">
        <f t="shared" si="31"/>
        <v>-0.45297423894164529</v>
      </c>
    </row>
    <row r="967" spans="1:11" x14ac:dyDescent="0.3">
      <c r="A967">
        <v>343</v>
      </c>
      <c r="B967">
        <v>2</v>
      </c>
      <c r="C967">
        <v>25</v>
      </c>
      <c r="D967" t="str">
        <f>VLOOKUP($C967,products!$A$1:$F$322,MATCH(order_items!$D$1,products!$A$1:$F$1,0),FALSE)</f>
        <v>Electra Townie Original 7D - 2015/2016</v>
      </c>
      <c r="E967">
        <f>VLOOKUP($C967,products!$A$1:$F$322,MATCH(order_items!$E$1,products!$A$1:$F$1,0),FALSE)</f>
        <v>2</v>
      </c>
      <c r="F967" t="str">
        <f>VLOOKUP($E967,categories!$A$1:$B$8,MATCH(order_items!$F$1,categories!$A$1:$B$1,0),FALSE)</f>
        <v>Comfort Bicycles</v>
      </c>
      <c r="G967">
        <v>1</v>
      </c>
      <c r="H967">
        <v>499.99</v>
      </c>
      <c r="I967" s="5">
        <v>0.05</v>
      </c>
      <c r="J967">
        <f t="shared" si="30"/>
        <v>474.9905</v>
      </c>
      <c r="K967" s="9">
        <f t="shared" si="31"/>
        <v>-0.52690291964276081</v>
      </c>
    </row>
    <row r="968" spans="1:11" x14ac:dyDescent="0.3">
      <c r="A968">
        <v>343</v>
      </c>
      <c r="B968">
        <v>3</v>
      </c>
      <c r="C968">
        <v>5</v>
      </c>
      <c r="D968" t="str">
        <f>VLOOKUP($C968,products!$A$1:$F$322,MATCH(order_items!$D$1,products!$A$1:$F$1,0),FALSE)</f>
        <v>Heller Shagamaw Frame - 2016</v>
      </c>
      <c r="E968">
        <f>VLOOKUP($C968,products!$A$1:$F$322,MATCH(order_items!$E$1,products!$A$1:$F$1,0),FALSE)</f>
        <v>6</v>
      </c>
      <c r="F968" t="str">
        <f>VLOOKUP($E968,categories!$A$1:$B$8,MATCH(order_items!$F$1,categories!$A$1:$B$1,0),FALSE)</f>
        <v>Mountain Bikes</v>
      </c>
      <c r="G968">
        <v>2</v>
      </c>
      <c r="H968">
        <v>1320.99</v>
      </c>
      <c r="I968" s="5">
        <v>0.05</v>
      </c>
      <c r="J968">
        <f t="shared" si="30"/>
        <v>2509.8809999999999</v>
      </c>
      <c r="K968" s="9">
        <f t="shared" si="31"/>
        <v>8.0051548913398024E-2</v>
      </c>
    </row>
    <row r="969" spans="1:11" x14ac:dyDescent="0.3">
      <c r="A969">
        <v>343</v>
      </c>
      <c r="B969">
        <v>4</v>
      </c>
      <c r="C969">
        <v>10</v>
      </c>
      <c r="D969" t="str">
        <f>VLOOKUP($C969,products!$A$1:$F$322,MATCH(order_items!$D$1,products!$A$1:$F$1,0),FALSE)</f>
        <v>Surly Straggler - 2016</v>
      </c>
      <c r="E969">
        <f>VLOOKUP($C969,products!$A$1:$F$322,MATCH(order_items!$E$1,products!$A$1:$F$1,0),FALSE)</f>
        <v>4</v>
      </c>
      <c r="F969" t="str">
        <f>VLOOKUP($E969,categories!$A$1:$B$8,MATCH(order_items!$F$1,categories!$A$1:$B$1,0),FALSE)</f>
        <v>Cyclocross Bicycles</v>
      </c>
      <c r="G969">
        <v>1</v>
      </c>
      <c r="H969">
        <v>1549</v>
      </c>
      <c r="I969" s="5">
        <v>0.1</v>
      </c>
      <c r="J969">
        <f t="shared" si="30"/>
        <v>1394.1000000000001</v>
      </c>
      <c r="K969" s="9">
        <f t="shared" si="31"/>
        <v>0.24861633378001166</v>
      </c>
    </row>
    <row r="970" spans="1:11" x14ac:dyDescent="0.3">
      <c r="A970">
        <v>344</v>
      </c>
      <c r="B970">
        <v>1</v>
      </c>
      <c r="C970">
        <v>22</v>
      </c>
      <c r="D970" t="str">
        <f>VLOOKUP($C970,products!$A$1:$F$322,MATCH(order_items!$D$1,products!$A$1:$F$1,0),FALSE)</f>
        <v>Electra Girl's Hawaii 1 (16-inch) - 2015/2016</v>
      </c>
      <c r="E970">
        <f>VLOOKUP($C970,products!$A$1:$F$322,MATCH(order_items!$E$1,products!$A$1:$F$1,0),FALSE)</f>
        <v>1</v>
      </c>
      <c r="F970" t="str">
        <f>VLOOKUP($E970,categories!$A$1:$B$8,MATCH(order_items!$F$1,categories!$A$1:$B$1,0),FALSE)</f>
        <v>Children Bicycles</v>
      </c>
      <c r="G970">
        <v>1</v>
      </c>
      <c r="H970">
        <v>269.99</v>
      </c>
      <c r="I970" s="5">
        <v>0.05</v>
      </c>
      <c r="J970">
        <f t="shared" si="30"/>
        <v>256.4905</v>
      </c>
      <c r="K970" s="9">
        <f t="shared" si="31"/>
        <v>-0.69693888525532666</v>
      </c>
    </row>
    <row r="971" spans="1:11" x14ac:dyDescent="0.3">
      <c r="A971">
        <v>344</v>
      </c>
      <c r="B971">
        <v>2</v>
      </c>
      <c r="C971">
        <v>18</v>
      </c>
      <c r="D971" t="str">
        <f>VLOOKUP($C971,products!$A$1:$F$322,MATCH(order_items!$D$1,products!$A$1:$F$1,0),FALSE)</f>
        <v>Pure Cycles Western 3-Speed - Women's - 2015/2016</v>
      </c>
      <c r="E971">
        <f>VLOOKUP($C971,products!$A$1:$F$322,MATCH(order_items!$E$1,products!$A$1:$F$1,0),FALSE)</f>
        <v>3</v>
      </c>
      <c r="F971" t="str">
        <f>VLOOKUP($E971,categories!$A$1:$B$8,MATCH(order_items!$F$1,categories!$A$1:$B$1,0),FALSE)</f>
        <v>Cruisers Bicycles</v>
      </c>
      <c r="G971">
        <v>2</v>
      </c>
      <c r="H971">
        <v>449</v>
      </c>
      <c r="I971" s="5">
        <v>7.0000000000000007E-2</v>
      </c>
      <c r="J971">
        <f t="shared" si="30"/>
        <v>835.14</v>
      </c>
      <c r="K971" s="9">
        <f t="shared" si="31"/>
        <v>-0.56459915393225968</v>
      </c>
    </row>
    <row r="972" spans="1:11" x14ac:dyDescent="0.3">
      <c r="A972">
        <v>344</v>
      </c>
      <c r="B972">
        <v>3</v>
      </c>
      <c r="C972">
        <v>14</v>
      </c>
      <c r="D972" t="str">
        <f>VLOOKUP($C972,products!$A$1:$F$322,MATCH(order_items!$D$1,products!$A$1:$F$1,0),FALSE)</f>
        <v>Electra Girl's Hawaii 1 (16-inch) - 2015/2016</v>
      </c>
      <c r="E972">
        <f>VLOOKUP($C972,products!$A$1:$F$322,MATCH(order_items!$E$1,products!$A$1:$F$1,0),FALSE)</f>
        <v>3</v>
      </c>
      <c r="F972" t="str">
        <f>VLOOKUP($E972,categories!$A$1:$B$8,MATCH(order_items!$F$1,categories!$A$1:$B$1,0),FALSE)</f>
        <v>Cruisers Bicycles</v>
      </c>
      <c r="G972">
        <v>1</v>
      </c>
      <c r="H972">
        <v>269.99</v>
      </c>
      <c r="I972" s="5">
        <v>0.2</v>
      </c>
      <c r="J972">
        <f t="shared" si="30"/>
        <v>215.99200000000002</v>
      </c>
      <c r="K972" s="9">
        <f t="shared" si="31"/>
        <v>-0.69693888525532666</v>
      </c>
    </row>
    <row r="973" spans="1:11" x14ac:dyDescent="0.3">
      <c r="A973">
        <v>345</v>
      </c>
      <c r="B973">
        <v>1</v>
      </c>
      <c r="C973">
        <v>18</v>
      </c>
      <c r="D973" t="str">
        <f>VLOOKUP($C973,products!$A$1:$F$322,MATCH(order_items!$D$1,products!$A$1:$F$1,0),FALSE)</f>
        <v>Pure Cycles Western 3-Speed - Women's - 2015/2016</v>
      </c>
      <c r="E973">
        <f>VLOOKUP($C973,products!$A$1:$F$322,MATCH(order_items!$E$1,products!$A$1:$F$1,0),FALSE)</f>
        <v>3</v>
      </c>
      <c r="F973" t="str">
        <f>VLOOKUP($E973,categories!$A$1:$B$8,MATCH(order_items!$F$1,categories!$A$1:$B$1,0),FALSE)</f>
        <v>Cruisers Bicycles</v>
      </c>
      <c r="G973">
        <v>2</v>
      </c>
      <c r="H973">
        <v>449</v>
      </c>
      <c r="I973" s="5">
        <v>0.1</v>
      </c>
      <c r="J973">
        <f t="shared" si="30"/>
        <v>808.2</v>
      </c>
      <c r="K973" s="9">
        <f t="shared" si="31"/>
        <v>-0.56459915393225968</v>
      </c>
    </row>
    <row r="974" spans="1:11" x14ac:dyDescent="0.3">
      <c r="A974">
        <v>345</v>
      </c>
      <c r="B974">
        <v>2</v>
      </c>
      <c r="C974">
        <v>24</v>
      </c>
      <c r="D974" t="str">
        <f>VLOOKUP($C974,products!$A$1:$F$322,MATCH(order_items!$D$1,products!$A$1:$F$1,0),FALSE)</f>
        <v>Electra Townie Original 21D - 2016</v>
      </c>
      <c r="E974">
        <f>VLOOKUP($C974,products!$A$1:$F$322,MATCH(order_items!$E$1,products!$A$1:$F$1,0),FALSE)</f>
        <v>2</v>
      </c>
      <c r="F974" t="str">
        <f>VLOOKUP($E974,categories!$A$1:$B$8,MATCH(order_items!$F$1,categories!$A$1:$B$1,0),FALSE)</f>
        <v>Comfort Bicycles</v>
      </c>
      <c r="G974">
        <v>2</v>
      </c>
      <c r="H974">
        <v>549.99</v>
      </c>
      <c r="I974" s="5">
        <v>7.0000000000000007E-2</v>
      </c>
      <c r="J974">
        <f t="shared" si="30"/>
        <v>1022.9813999999999</v>
      </c>
      <c r="K974" s="9">
        <f t="shared" si="31"/>
        <v>-0.48993857929220308</v>
      </c>
    </row>
    <row r="975" spans="1:11" x14ac:dyDescent="0.3">
      <c r="A975">
        <v>346</v>
      </c>
      <c r="B975">
        <v>1</v>
      </c>
      <c r="C975">
        <v>13</v>
      </c>
      <c r="D975" t="str">
        <f>VLOOKUP($C975,products!$A$1:$F$322,MATCH(order_items!$D$1,products!$A$1:$F$1,0),FALSE)</f>
        <v>Electra Cruiser 1 (24-Inch) - 2016</v>
      </c>
      <c r="E975">
        <f>VLOOKUP($C975,products!$A$1:$F$322,MATCH(order_items!$E$1,products!$A$1:$F$1,0),FALSE)</f>
        <v>3</v>
      </c>
      <c r="F975" t="str">
        <f>VLOOKUP($E975,categories!$A$1:$B$8,MATCH(order_items!$F$1,categories!$A$1:$B$1,0),FALSE)</f>
        <v>Cruisers Bicycles</v>
      </c>
      <c r="G975">
        <v>1</v>
      </c>
      <c r="H975">
        <v>269.99</v>
      </c>
      <c r="I975" s="5">
        <v>7.0000000000000007E-2</v>
      </c>
      <c r="J975">
        <f t="shared" si="30"/>
        <v>251.0907</v>
      </c>
      <c r="K975" s="9">
        <f t="shared" si="31"/>
        <v>-0.69693888525532666</v>
      </c>
    </row>
    <row r="976" spans="1:11" x14ac:dyDescent="0.3">
      <c r="A976">
        <v>346</v>
      </c>
      <c r="B976">
        <v>2</v>
      </c>
      <c r="C976">
        <v>23</v>
      </c>
      <c r="D976" t="str">
        <f>VLOOKUP($C976,products!$A$1:$F$322,MATCH(order_items!$D$1,products!$A$1:$F$1,0),FALSE)</f>
        <v>Electra Girl's Hawaii 1 (20-inch) - 2015/2016</v>
      </c>
      <c r="E976">
        <f>VLOOKUP($C976,products!$A$1:$F$322,MATCH(order_items!$E$1,products!$A$1:$F$1,0),FALSE)</f>
        <v>1</v>
      </c>
      <c r="F976" t="str">
        <f>VLOOKUP($E976,categories!$A$1:$B$8,MATCH(order_items!$F$1,categories!$A$1:$B$1,0),FALSE)</f>
        <v>Children Bicycles</v>
      </c>
      <c r="G976">
        <v>1</v>
      </c>
      <c r="H976">
        <v>299.99</v>
      </c>
      <c r="I976" s="5">
        <v>0.2</v>
      </c>
      <c r="J976">
        <f t="shared" si="30"/>
        <v>239.99200000000002</v>
      </c>
      <c r="K976" s="9">
        <f t="shared" si="31"/>
        <v>-0.67476028104499197</v>
      </c>
    </row>
    <row r="977" spans="1:11" x14ac:dyDescent="0.3">
      <c r="A977">
        <v>346</v>
      </c>
      <c r="B977">
        <v>3</v>
      </c>
      <c r="C977">
        <v>21</v>
      </c>
      <c r="D977" t="str">
        <f>VLOOKUP($C977,products!$A$1:$F$322,MATCH(order_items!$D$1,products!$A$1:$F$1,0),FALSE)</f>
        <v>Electra Cruiser 1 (24-Inch) - 2016</v>
      </c>
      <c r="E977">
        <f>VLOOKUP($C977,products!$A$1:$F$322,MATCH(order_items!$E$1,products!$A$1:$F$1,0),FALSE)</f>
        <v>1</v>
      </c>
      <c r="F977" t="str">
        <f>VLOOKUP($E977,categories!$A$1:$B$8,MATCH(order_items!$F$1,categories!$A$1:$B$1,0),FALSE)</f>
        <v>Children Bicycles</v>
      </c>
      <c r="G977">
        <v>1</v>
      </c>
      <c r="H977">
        <v>269.99</v>
      </c>
      <c r="I977" s="5">
        <v>0.1</v>
      </c>
      <c r="J977">
        <f t="shared" si="30"/>
        <v>242.99100000000001</v>
      </c>
      <c r="K977" s="9">
        <f t="shared" si="31"/>
        <v>-0.69693888525532666</v>
      </c>
    </row>
    <row r="978" spans="1:11" x14ac:dyDescent="0.3">
      <c r="A978">
        <v>346</v>
      </c>
      <c r="B978">
        <v>4</v>
      </c>
      <c r="C978">
        <v>15</v>
      </c>
      <c r="D978" t="str">
        <f>VLOOKUP($C978,products!$A$1:$F$322,MATCH(order_items!$D$1,products!$A$1:$F$1,0),FALSE)</f>
        <v>Electra Moto 1 - 2016</v>
      </c>
      <c r="E978">
        <f>VLOOKUP($C978,products!$A$1:$F$322,MATCH(order_items!$E$1,products!$A$1:$F$1,0),FALSE)</f>
        <v>3</v>
      </c>
      <c r="F978" t="str">
        <f>VLOOKUP($E978,categories!$A$1:$B$8,MATCH(order_items!$F$1,categories!$A$1:$B$1,0),FALSE)</f>
        <v>Cruisers Bicycles</v>
      </c>
      <c r="G978">
        <v>1</v>
      </c>
      <c r="H978">
        <v>529.99</v>
      </c>
      <c r="I978" s="5">
        <v>0.05</v>
      </c>
      <c r="J978">
        <f t="shared" si="30"/>
        <v>503.4905</v>
      </c>
      <c r="K978" s="9">
        <f t="shared" si="31"/>
        <v>-0.50472431543242624</v>
      </c>
    </row>
    <row r="979" spans="1:11" x14ac:dyDescent="0.3">
      <c r="A979">
        <v>346</v>
      </c>
      <c r="B979">
        <v>5</v>
      </c>
      <c r="C979">
        <v>18</v>
      </c>
      <c r="D979" t="str">
        <f>VLOOKUP($C979,products!$A$1:$F$322,MATCH(order_items!$D$1,products!$A$1:$F$1,0),FALSE)</f>
        <v>Pure Cycles Western 3-Speed - Women's - 2015/2016</v>
      </c>
      <c r="E979">
        <f>VLOOKUP($C979,products!$A$1:$F$322,MATCH(order_items!$E$1,products!$A$1:$F$1,0),FALSE)</f>
        <v>3</v>
      </c>
      <c r="F979" t="str">
        <f>VLOOKUP($E979,categories!$A$1:$B$8,MATCH(order_items!$F$1,categories!$A$1:$B$1,0),FALSE)</f>
        <v>Cruisers Bicycles</v>
      </c>
      <c r="G979">
        <v>2</v>
      </c>
      <c r="H979">
        <v>449</v>
      </c>
      <c r="I979" s="5">
        <v>0.05</v>
      </c>
      <c r="J979">
        <f t="shared" si="30"/>
        <v>853.09999999999991</v>
      </c>
      <c r="K979" s="9">
        <f t="shared" si="31"/>
        <v>-0.56459915393225968</v>
      </c>
    </row>
    <row r="980" spans="1:11" x14ac:dyDescent="0.3">
      <c r="A980">
        <v>347</v>
      </c>
      <c r="B980">
        <v>1</v>
      </c>
      <c r="C980">
        <v>23</v>
      </c>
      <c r="D980" t="str">
        <f>VLOOKUP($C980,products!$A$1:$F$322,MATCH(order_items!$D$1,products!$A$1:$F$1,0),FALSE)</f>
        <v>Electra Girl's Hawaii 1 (20-inch) - 2015/2016</v>
      </c>
      <c r="E980">
        <f>VLOOKUP($C980,products!$A$1:$F$322,MATCH(order_items!$E$1,products!$A$1:$F$1,0),FALSE)</f>
        <v>1</v>
      </c>
      <c r="F980" t="str">
        <f>VLOOKUP($E980,categories!$A$1:$B$8,MATCH(order_items!$F$1,categories!$A$1:$B$1,0),FALSE)</f>
        <v>Children Bicycles</v>
      </c>
      <c r="G980">
        <v>1</v>
      </c>
      <c r="H980">
        <v>299.99</v>
      </c>
      <c r="I980" s="5">
        <v>7.0000000000000007E-2</v>
      </c>
      <c r="J980">
        <f t="shared" si="30"/>
        <v>278.9907</v>
      </c>
      <c r="K980" s="9">
        <f t="shared" si="31"/>
        <v>-0.67476028104499197</v>
      </c>
    </row>
    <row r="981" spans="1:11" x14ac:dyDescent="0.3">
      <c r="A981">
        <v>348</v>
      </c>
      <c r="B981">
        <v>1</v>
      </c>
      <c r="C981">
        <v>5</v>
      </c>
      <c r="D981" t="str">
        <f>VLOOKUP($C981,products!$A$1:$F$322,MATCH(order_items!$D$1,products!$A$1:$F$1,0),FALSE)</f>
        <v>Heller Shagamaw Frame - 2016</v>
      </c>
      <c r="E981">
        <f>VLOOKUP($C981,products!$A$1:$F$322,MATCH(order_items!$E$1,products!$A$1:$F$1,0),FALSE)</f>
        <v>6</v>
      </c>
      <c r="F981" t="str">
        <f>VLOOKUP($E981,categories!$A$1:$B$8,MATCH(order_items!$F$1,categories!$A$1:$B$1,0),FALSE)</f>
        <v>Mountain Bikes</v>
      </c>
      <c r="G981">
        <v>2</v>
      </c>
      <c r="H981">
        <v>1320.99</v>
      </c>
      <c r="I981" s="5">
        <v>0.05</v>
      </c>
      <c r="J981">
        <f t="shared" si="30"/>
        <v>2509.8809999999999</v>
      </c>
      <c r="K981" s="9">
        <f t="shared" si="31"/>
        <v>8.0051548913398024E-2</v>
      </c>
    </row>
    <row r="982" spans="1:11" x14ac:dyDescent="0.3">
      <c r="A982">
        <v>348</v>
      </c>
      <c r="B982">
        <v>2</v>
      </c>
      <c r="C982">
        <v>15</v>
      </c>
      <c r="D982" t="str">
        <f>VLOOKUP($C982,products!$A$1:$F$322,MATCH(order_items!$D$1,products!$A$1:$F$1,0),FALSE)</f>
        <v>Electra Moto 1 - 2016</v>
      </c>
      <c r="E982">
        <f>VLOOKUP($C982,products!$A$1:$F$322,MATCH(order_items!$E$1,products!$A$1:$F$1,0),FALSE)</f>
        <v>3</v>
      </c>
      <c r="F982" t="str">
        <f>VLOOKUP($E982,categories!$A$1:$B$8,MATCH(order_items!$F$1,categories!$A$1:$B$1,0),FALSE)</f>
        <v>Cruisers Bicycles</v>
      </c>
      <c r="G982">
        <v>2</v>
      </c>
      <c r="H982">
        <v>529.99</v>
      </c>
      <c r="I982" s="5">
        <v>7.0000000000000007E-2</v>
      </c>
      <c r="J982">
        <f t="shared" si="30"/>
        <v>985.78139999999996</v>
      </c>
      <c r="K982" s="9">
        <f t="shared" si="31"/>
        <v>-0.50472431543242624</v>
      </c>
    </row>
    <row r="983" spans="1:11" x14ac:dyDescent="0.3">
      <c r="A983">
        <v>349</v>
      </c>
      <c r="B983">
        <v>1</v>
      </c>
      <c r="C983">
        <v>20</v>
      </c>
      <c r="D983" t="str">
        <f>VLOOKUP($C983,products!$A$1:$F$322,MATCH(order_items!$D$1,products!$A$1:$F$1,0),FALSE)</f>
        <v>Electra Townie Original 7D EQ - Women's - 2016</v>
      </c>
      <c r="E983">
        <f>VLOOKUP($C983,products!$A$1:$F$322,MATCH(order_items!$E$1,products!$A$1:$F$1,0),FALSE)</f>
        <v>3</v>
      </c>
      <c r="F983" t="str">
        <f>VLOOKUP($E983,categories!$A$1:$B$8,MATCH(order_items!$F$1,categories!$A$1:$B$1,0),FALSE)</f>
        <v>Cruisers Bicycles</v>
      </c>
      <c r="G983">
        <v>2</v>
      </c>
      <c r="H983">
        <v>599.99</v>
      </c>
      <c r="I983" s="5">
        <v>0.2</v>
      </c>
      <c r="J983">
        <f t="shared" si="30"/>
        <v>959.98400000000004</v>
      </c>
      <c r="K983" s="9">
        <f t="shared" si="31"/>
        <v>-0.45297423894164529</v>
      </c>
    </row>
    <row r="984" spans="1:11" x14ac:dyDescent="0.3">
      <c r="A984">
        <v>350</v>
      </c>
      <c r="B984">
        <v>1</v>
      </c>
      <c r="C984">
        <v>6</v>
      </c>
      <c r="D984" t="str">
        <f>VLOOKUP($C984,products!$A$1:$F$322,MATCH(order_items!$D$1,products!$A$1:$F$1,0),FALSE)</f>
        <v>Surly Ice Cream Truck Frameset - 2016</v>
      </c>
      <c r="E984">
        <f>VLOOKUP($C984,products!$A$1:$F$322,MATCH(order_items!$E$1,products!$A$1:$F$1,0),FALSE)</f>
        <v>6</v>
      </c>
      <c r="F984" t="str">
        <f>VLOOKUP($E984,categories!$A$1:$B$8,MATCH(order_items!$F$1,categories!$A$1:$B$1,0),FALSE)</f>
        <v>Mountain Bikes</v>
      </c>
      <c r="G984">
        <v>2</v>
      </c>
      <c r="H984">
        <v>469.99</v>
      </c>
      <c r="I984" s="5">
        <v>0.05</v>
      </c>
      <c r="J984">
        <f t="shared" si="30"/>
        <v>892.98099999999999</v>
      </c>
      <c r="K984" s="9">
        <f t="shared" si="31"/>
        <v>-0.5490815238530955</v>
      </c>
    </row>
    <row r="985" spans="1:11" x14ac:dyDescent="0.3">
      <c r="A985">
        <v>350</v>
      </c>
      <c r="B985">
        <v>2</v>
      </c>
      <c r="C985">
        <v>20</v>
      </c>
      <c r="D985" t="str">
        <f>VLOOKUP($C985,products!$A$1:$F$322,MATCH(order_items!$D$1,products!$A$1:$F$1,0),FALSE)</f>
        <v>Electra Townie Original 7D EQ - Women's - 2016</v>
      </c>
      <c r="E985">
        <f>VLOOKUP($C985,products!$A$1:$F$322,MATCH(order_items!$E$1,products!$A$1:$F$1,0),FALSE)</f>
        <v>3</v>
      </c>
      <c r="F985" t="str">
        <f>VLOOKUP($E985,categories!$A$1:$B$8,MATCH(order_items!$F$1,categories!$A$1:$B$1,0),FALSE)</f>
        <v>Cruisers Bicycles</v>
      </c>
      <c r="G985">
        <v>1</v>
      </c>
      <c r="H985">
        <v>599.99</v>
      </c>
      <c r="I985" s="5">
        <v>7.0000000000000007E-2</v>
      </c>
      <c r="J985">
        <f t="shared" si="30"/>
        <v>557.99069999999995</v>
      </c>
      <c r="K985" s="9">
        <f t="shared" si="31"/>
        <v>-0.45297423894164529</v>
      </c>
    </row>
    <row r="986" spans="1:11" x14ac:dyDescent="0.3">
      <c r="A986">
        <v>350</v>
      </c>
      <c r="B986">
        <v>3</v>
      </c>
      <c r="C986">
        <v>3</v>
      </c>
      <c r="D986" t="str">
        <f>VLOOKUP($C986,products!$A$1:$F$322,MATCH(order_items!$D$1,products!$A$1:$F$1,0),FALSE)</f>
        <v>Surly Wednesday Frameset - 2016</v>
      </c>
      <c r="E986">
        <f>VLOOKUP($C986,products!$A$1:$F$322,MATCH(order_items!$E$1,products!$A$1:$F$1,0),FALSE)</f>
        <v>6</v>
      </c>
      <c r="F986" t="str">
        <f>VLOOKUP($E986,categories!$A$1:$B$8,MATCH(order_items!$F$1,categories!$A$1:$B$1,0),FALSE)</f>
        <v>Mountain Bikes</v>
      </c>
      <c r="G986">
        <v>1</v>
      </c>
      <c r="H986">
        <v>999.99</v>
      </c>
      <c r="I986" s="5">
        <v>7.0000000000000007E-2</v>
      </c>
      <c r="J986">
        <f t="shared" si="30"/>
        <v>929.99069999999995</v>
      </c>
      <c r="K986" s="9">
        <f t="shared" si="31"/>
        <v>-0.15725951613718298</v>
      </c>
    </row>
    <row r="987" spans="1:11" x14ac:dyDescent="0.3">
      <c r="A987">
        <v>351</v>
      </c>
      <c r="B987">
        <v>1</v>
      </c>
      <c r="C987">
        <v>4</v>
      </c>
      <c r="D987" t="str">
        <f>VLOOKUP($C987,products!$A$1:$F$322,MATCH(order_items!$D$1,products!$A$1:$F$1,0),FALSE)</f>
        <v>Trek Fuel EX 8 29 - 2016</v>
      </c>
      <c r="E987">
        <f>VLOOKUP($C987,products!$A$1:$F$322,MATCH(order_items!$E$1,products!$A$1:$F$1,0),FALSE)</f>
        <v>6</v>
      </c>
      <c r="F987" t="str">
        <f>VLOOKUP($E987,categories!$A$1:$B$8,MATCH(order_items!$F$1,categories!$A$1:$B$1,0),FALSE)</f>
        <v>Mountain Bikes</v>
      </c>
      <c r="G987">
        <v>2</v>
      </c>
      <c r="H987">
        <v>2899.99</v>
      </c>
      <c r="I987" s="5">
        <v>0.05</v>
      </c>
      <c r="J987">
        <f t="shared" si="30"/>
        <v>5509.9809999999998</v>
      </c>
      <c r="K987" s="9">
        <f t="shared" si="31"/>
        <v>1.2473854171840129</v>
      </c>
    </row>
    <row r="988" spans="1:11" x14ac:dyDescent="0.3">
      <c r="A988">
        <v>351</v>
      </c>
      <c r="B988">
        <v>2</v>
      </c>
      <c r="C988">
        <v>24</v>
      </c>
      <c r="D988" t="str">
        <f>VLOOKUP($C988,products!$A$1:$F$322,MATCH(order_items!$D$1,products!$A$1:$F$1,0),FALSE)</f>
        <v>Electra Townie Original 21D - 2016</v>
      </c>
      <c r="E988">
        <f>VLOOKUP($C988,products!$A$1:$F$322,MATCH(order_items!$E$1,products!$A$1:$F$1,0),FALSE)</f>
        <v>2</v>
      </c>
      <c r="F988" t="str">
        <f>VLOOKUP($E988,categories!$A$1:$B$8,MATCH(order_items!$F$1,categories!$A$1:$B$1,0),FALSE)</f>
        <v>Comfort Bicycles</v>
      </c>
      <c r="G988">
        <v>2</v>
      </c>
      <c r="H988">
        <v>549.99</v>
      </c>
      <c r="I988" s="5">
        <v>0.1</v>
      </c>
      <c r="J988">
        <f t="shared" si="30"/>
        <v>989.98200000000008</v>
      </c>
      <c r="K988" s="9">
        <f t="shared" si="31"/>
        <v>-0.48993857929220308</v>
      </c>
    </row>
    <row r="989" spans="1:11" x14ac:dyDescent="0.3">
      <c r="A989">
        <v>351</v>
      </c>
      <c r="B989">
        <v>3</v>
      </c>
      <c r="C989">
        <v>20</v>
      </c>
      <c r="D989" t="str">
        <f>VLOOKUP($C989,products!$A$1:$F$322,MATCH(order_items!$D$1,products!$A$1:$F$1,0),FALSE)</f>
        <v>Electra Townie Original 7D EQ - Women's - 2016</v>
      </c>
      <c r="E989">
        <f>VLOOKUP($C989,products!$A$1:$F$322,MATCH(order_items!$E$1,products!$A$1:$F$1,0),FALSE)</f>
        <v>3</v>
      </c>
      <c r="F989" t="str">
        <f>VLOOKUP($E989,categories!$A$1:$B$8,MATCH(order_items!$F$1,categories!$A$1:$B$1,0),FALSE)</f>
        <v>Cruisers Bicycles</v>
      </c>
      <c r="G989">
        <v>1</v>
      </c>
      <c r="H989">
        <v>599.99</v>
      </c>
      <c r="I989" s="5">
        <v>0.2</v>
      </c>
      <c r="J989">
        <f t="shared" si="30"/>
        <v>479.99200000000002</v>
      </c>
      <c r="K989" s="9">
        <f t="shared" si="31"/>
        <v>-0.45297423894164529</v>
      </c>
    </row>
    <row r="990" spans="1:11" x14ac:dyDescent="0.3">
      <c r="A990">
        <v>351</v>
      </c>
      <c r="B990">
        <v>4</v>
      </c>
      <c r="C990">
        <v>22</v>
      </c>
      <c r="D990" t="str">
        <f>VLOOKUP($C990,products!$A$1:$F$322,MATCH(order_items!$D$1,products!$A$1:$F$1,0),FALSE)</f>
        <v>Electra Girl's Hawaii 1 (16-inch) - 2015/2016</v>
      </c>
      <c r="E990">
        <f>VLOOKUP($C990,products!$A$1:$F$322,MATCH(order_items!$E$1,products!$A$1:$F$1,0),FALSE)</f>
        <v>1</v>
      </c>
      <c r="F990" t="str">
        <f>VLOOKUP($E990,categories!$A$1:$B$8,MATCH(order_items!$F$1,categories!$A$1:$B$1,0),FALSE)</f>
        <v>Children Bicycles</v>
      </c>
      <c r="G990">
        <v>2</v>
      </c>
      <c r="H990">
        <v>269.99</v>
      </c>
      <c r="I990" s="5">
        <v>7.0000000000000007E-2</v>
      </c>
      <c r="J990">
        <f t="shared" si="30"/>
        <v>502.1814</v>
      </c>
      <c r="K990" s="9">
        <f t="shared" si="31"/>
        <v>-0.69693888525532666</v>
      </c>
    </row>
    <row r="991" spans="1:11" x14ac:dyDescent="0.3">
      <c r="A991">
        <v>352</v>
      </c>
      <c r="B991">
        <v>1</v>
      </c>
      <c r="C991">
        <v>11</v>
      </c>
      <c r="D991" t="str">
        <f>VLOOKUP($C991,products!$A$1:$F$322,MATCH(order_items!$D$1,products!$A$1:$F$1,0),FALSE)</f>
        <v>Surly Straggler 650b - 2016</v>
      </c>
      <c r="E991">
        <f>VLOOKUP($C991,products!$A$1:$F$322,MATCH(order_items!$E$1,products!$A$1:$F$1,0),FALSE)</f>
        <v>4</v>
      </c>
      <c r="F991" t="str">
        <f>VLOOKUP($E991,categories!$A$1:$B$8,MATCH(order_items!$F$1,categories!$A$1:$B$1,0),FALSE)</f>
        <v>Cyclocross Bicycles</v>
      </c>
      <c r="G991">
        <v>1</v>
      </c>
      <c r="H991">
        <v>1680.99</v>
      </c>
      <c r="I991" s="5">
        <v>0.2</v>
      </c>
      <c r="J991">
        <f t="shared" si="30"/>
        <v>1344.7920000000001</v>
      </c>
      <c r="K991" s="9">
        <f t="shared" si="31"/>
        <v>0.3461947994374141</v>
      </c>
    </row>
    <row r="992" spans="1:11" x14ac:dyDescent="0.3">
      <c r="A992">
        <v>352</v>
      </c>
      <c r="B992">
        <v>2</v>
      </c>
      <c r="C992">
        <v>14</v>
      </c>
      <c r="D992" t="str">
        <f>VLOOKUP($C992,products!$A$1:$F$322,MATCH(order_items!$D$1,products!$A$1:$F$1,0),FALSE)</f>
        <v>Electra Girl's Hawaii 1 (16-inch) - 2015/2016</v>
      </c>
      <c r="E992">
        <f>VLOOKUP($C992,products!$A$1:$F$322,MATCH(order_items!$E$1,products!$A$1:$F$1,0),FALSE)</f>
        <v>3</v>
      </c>
      <c r="F992" t="str">
        <f>VLOOKUP($E992,categories!$A$1:$B$8,MATCH(order_items!$F$1,categories!$A$1:$B$1,0),FALSE)</f>
        <v>Cruisers Bicycles</v>
      </c>
      <c r="G992">
        <v>1</v>
      </c>
      <c r="H992">
        <v>269.99</v>
      </c>
      <c r="I992" s="5">
        <v>0.2</v>
      </c>
      <c r="J992">
        <f t="shared" si="30"/>
        <v>215.99200000000002</v>
      </c>
      <c r="K992" s="9">
        <f t="shared" si="31"/>
        <v>-0.69693888525532666</v>
      </c>
    </row>
    <row r="993" spans="1:11" x14ac:dyDescent="0.3">
      <c r="A993">
        <v>353</v>
      </c>
      <c r="B993">
        <v>1</v>
      </c>
      <c r="C993">
        <v>2</v>
      </c>
      <c r="D993" t="str">
        <f>VLOOKUP($C993,products!$A$1:$F$322,MATCH(order_items!$D$1,products!$A$1:$F$1,0),FALSE)</f>
        <v>Ritchey Timberwolf Frameset - 2016</v>
      </c>
      <c r="E993">
        <f>VLOOKUP($C993,products!$A$1:$F$322,MATCH(order_items!$E$1,products!$A$1:$F$1,0),FALSE)</f>
        <v>6</v>
      </c>
      <c r="F993" t="str">
        <f>VLOOKUP($E993,categories!$A$1:$B$8,MATCH(order_items!$F$1,categories!$A$1:$B$1,0),FALSE)</f>
        <v>Mountain Bikes</v>
      </c>
      <c r="G993">
        <v>2</v>
      </c>
      <c r="H993">
        <v>749.99</v>
      </c>
      <c r="I993" s="5">
        <v>0.2</v>
      </c>
      <c r="J993">
        <f t="shared" si="30"/>
        <v>1199.9840000000002</v>
      </c>
      <c r="K993" s="9">
        <f t="shared" si="31"/>
        <v>-0.34208121788997192</v>
      </c>
    </row>
    <row r="994" spans="1:11" x14ac:dyDescent="0.3">
      <c r="A994">
        <v>354</v>
      </c>
      <c r="B994">
        <v>1</v>
      </c>
      <c r="C994">
        <v>21</v>
      </c>
      <c r="D994" t="str">
        <f>VLOOKUP($C994,products!$A$1:$F$322,MATCH(order_items!$D$1,products!$A$1:$F$1,0),FALSE)</f>
        <v>Electra Cruiser 1 (24-Inch) - 2016</v>
      </c>
      <c r="E994">
        <f>VLOOKUP($C994,products!$A$1:$F$322,MATCH(order_items!$E$1,products!$A$1:$F$1,0),FALSE)</f>
        <v>1</v>
      </c>
      <c r="F994" t="str">
        <f>VLOOKUP($E994,categories!$A$1:$B$8,MATCH(order_items!$F$1,categories!$A$1:$B$1,0),FALSE)</f>
        <v>Children Bicycles</v>
      </c>
      <c r="G994">
        <v>1</v>
      </c>
      <c r="H994">
        <v>269.99</v>
      </c>
      <c r="I994" s="5">
        <v>0.2</v>
      </c>
      <c r="J994">
        <f t="shared" si="30"/>
        <v>215.99200000000002</v>
      </c>
      <c r="K994" s="9">
        <f t="shared" si="31"/>
        <v>-0.69693888525532666</v>
      </c>
    </row>
    <row r="995" spans="1:11" x14ac:dyDescent="0.3">
      <c r="A995">
        <v>354</v>
      </c>
      <c r="B995">
        <v>2</v>
      </c>
      <c r="C995">
        <v>19</v>
      </c>
      <c r="D995" t="str">
        <f>VLOOKUP($C995,products!$A$1:$F$322,MATCH(order_items!$D$1,products!$A$1:$F$1,0),FALSE)</f>
        <v>Pure Cycles William 3-Speed - 2016</v>
      </c>
      <c r="E995">
        <f>VLOOKUP($C995,products!$A$1:$F$322,MATCH(order_items!$E$1,products!$A$1:$F$1,0),FALSE)</f>
        <v>3</v>
      </c>
      <c r="F995" t="str">
        <f>VLOOKUP($E995,categories!$A$1:$B$8,MATCH(order_items!$F$1,categories!$A$1:$B$1,0),FALSE)</f>
        <v>Cruisers Bicycles</v>
      </c>
      <c r="G995">
        <v>1</v>
      </c>
      <c r="H995">
        <v>449</v>
      </c>
      <c r="I995" s="5">
        <v>0.05</v>
      </c>
      <c r="J995">
        <f t="shared" si="30"/>
        <v>426.54999999999995</v>
      </c>
      <c r="K995" s="9">
        <f t="shared" si="31"/>
        <v>-0.56459915393225968</v>
      </c>
    </row>
    <row r="996" spans="1:11" x14ac:dyDescent="0.3">
      <c r="A996">
        <v>355</v>
      </c>
      <c r="B996">
        <v>1</v>
      </c>
      <c r="C996">
        <v>16</v>
      </c>
      <c r="D996" t="str">
        <f>VLOOKUP($C996,products!$A$1:$F$322,MATCH(order_items!$D$1,products!$A$1:$F$1,0),FALSE)</f>
        <v>Electra Townie Original 7D EQ - 2016</v>
      </c>
      <c r="E996">
        <f>VLOOKUP($C996,products!$A$1:$F$322,MATCH(order_items!$E$1,products!$A$1:$F$1,0),FALSE)</f>
        <v>3</v>
      </c>
      <c r="F996" t="str">
        <f>VLOOKUP($E996,categories!$A$1:$B$8,MATCH(order_items!$F$1,categories!$A$1:$B$1,0),FALSE)</f>
        <v>Cruisers Bicycles</v>
      </c>
      <c r="G996">
        <v>1</v>
      </c>
      <c r="H996">
        <v>599.99</v>
      </c>
      <c r="I996" s="5">
        <v>0.1</v>
      </c>
      <c r="J996">
        <f t="shared" si="30"/>
        <v>539.99099999999999</v>
      </c>
      <c r="K996" s="9">
        <f t="shared" si="31"/>
        <v>-0.45297423894164529</v>
      </c>
    </row>
    <row r="997" spans="1:11" x14ac:dyDescent="0.3">
      <c r="A997">
        <v>355</v>
      </c>
      <c r="B997">
        <v>2</v>
      </c>
      <c r="C997">
        <v>14</v>
      </c>
      <c r="D997" t="str">
        <f>VLOOKUP($C997,products!$A$1:$F$322,MATCH(order_items!$D$1,products!$A$1:$F$1,0),FALSE)</f>
        <v>Electra Girl's Hawaii 1 (16-inch) - 2015/2016</v>
      </c>
      <c r="E997">
        <f>VLOOKUP($C997,products!$A$1:$F$322,MATCH(order_items!$E$1,products!$A$1:$F$1,0),FALSE)</f>
        <v>3</v>
      </c>
      <c r="F997" t="str">
        <f>VLOOKUP($E997,categories!$A$1:$B$8,MATCH(order_items!$F$1,categories!$A$1:$B$1,0),FALSE)</f>
        <v>Cruisers Bicycles</v>
      </c>
      <c r="G997">
        <v>2</v>
      </c>
      <c r="H997">
        <v>269.99</v>
      </c>
      <c r="I997" s="5">
        <v>7.0000000000000007E-2</v>
      </c>
      <c r="J997">
        <f t="shared" si="30"/>
        <v>502.1814</v>
      </c>
      <c r="K997" s="9">
        <f t="shared" si="31"/>
        <v>-0.69693888525532666</v>
      </c>
    </row>
    <row r="998" spans="1:11" x14ac:dyDescent="0.3">
      <c r="A998">
        <v>356</v>
      </c>
      <c r="B998">
        <v>1</v>
      </c>
      <c r="C998">
        <v>23</v>
      </c>
      <c r="D998" t="str">
        <f>VLOOKUP($C998,products!$A$1:$F$322,MATCH(order_items!$D$1,products!$A$1:$F$1,0),FALSE)</f>
        <v>Electra Girl's Hawaii 1 (20-inch) - 2015/2016</v>
      </c>
      <c r="E998">
        <f>VLOOKUP($C998,products!$A$1:$F$322,MATCH(order_items!$E$1,products!$A$1:$F$1,0),FALSE)</f>
        <v>1</v>
      </c>
      <c r="F998" t="str">
        <f>VLOOKUP($E998,categories!$A$1:$B$8,MATCH(order_items!$F$1,categories!$A$1:$B$1,0),FALSE)</f>
        <v>Children Bicycles</v>
      </c>
      <c r="G998">
        <v>2</v>
      </c>
      <c r="H998">
        <v>299.99</v>
      </c>
      <c r="I998" s="5">
        <v>0.05</v>
      </c>
      <c r="J998">
        <f t="shared" si="30"/>
        <v>569.98099999999999</v>
      </c>
      <c r="K998" s="9">
        <f t="shared" si="31"/>
        <v>-0.67476028104499197</v>
      </c>
    </row>
    <row r="999" spans="1:11" x14ac:dyDescent="0.3">
      <c r="A999">
        <v>356</v>
      </c>
      <c r="B999">
        <v>2</v>
      </c>
      <c r="C999">
        <v>4</v>
      </c>
      <c r="D999" t="str">
        <f>VLOOKUP($C999,products!$A$1:$F$322,MATCH(order_items!$D$1,products!$A$1:$F$1,0),FALSE)</f>
        <v>Trek Fuel EX 8 29 - 2016</v>
      </c>
      <c r="E999">
        <f>VLOOKUP($C999,products!$A$1:$F$322,MATCH(order_items!$E$1,products!$A$1:$F$1,0),FALSE)</f>
        <v>6</v>
      </c>
      <c r="F999" t="str">
        <f>VLOOKUP($E999,categories!$A$1:$B$8,MATCH(order_items!$F$1,categories!$A$1:$B$1,0),FALSE)</f>
        <v>Mountain Bikes</v>
      </c>
      <c r="G999">
        <v>1</v>
      </c>
      <c r="H999">
        <v>2899.99</v>
      </c>
      <c r="I999" s="5">
        <v>0.05</v>
      </c>
      <c r="J999">
        <f t="shared" si="30"/>
        <v>2754.9904999999999</v>
      </c>
      <c r="K999" s="9">
        <f t="shared" si="31"/>
        <v>1.2473854171840129</v>
      </c>
    </row>
    <row r="1000" spans="1:11" x14ac:dyDescent="0.3">
      <c r="A1000">
        <v>356</v>
      </c>
      <c r="B1000">
        <v>3</v>
      </c>
      <c r="C1000">
        <v>13</v>
      </c>
      <c r="D1000" t="str">
        <f>VLOOKUP($C1000,products!$A$1:$F$322,MATCH(order_items!$D$1,products!$A$1:$F$1,0),FALSE)</f>
        <v>Electra Cruiser 1 (24-Inch) - 2016</v>
      </c>
      <c r="E1000">
        <f>VLOOKUP($C1000,products!$A$1:$F$322,MATCH(order_items!$E$1,products!$A$1:$F$1,0),FALSE)</f>
        <v>3</v>
      </c>
      <c r="F1000" t="str">
        <f>VLOOKUP($E1000,categories!$A$1:$B$8,MATCH(order_items!$F$1,categories!$A$1:$B$1,0),FALSE)</f>
        <v>Cruisers Bicycles</v>
      </c>
      <c r="G1000">
        <v>1</v>
      </c>
      <c r="H1000">
        <v>269.99</v>
      </c>
      <c r="I1000" s="5">
        <v>0.05</v>
      </c>
      <c r="J1000">
        <f t="shared" si="30"/>
        <v>256.4905</v>
      </c>
      <c r="K1000" s="9">
        <f t="shared" si="31"/>
        <v>-0.69693888525532666</v>
      </c>
    </row>
    <row r="1001" spans="1:11" x14ac:dyDescent="0.3">
      <c r="A1001">
        <v>357</v>
      </c>
      <c r="B1001">
        <v>1</v>
      </c>
      <c r="C1001">
        <v>17</v>
      </c>
      <c r="D1001" t="str">
        <f>VLOOKUP($C1001,products!$A$1:$F$322,MATCH(order_items!$D$1,products!$A$1:$F$1,0),FALSE)</f>
        <v>Pure Cycles Vine 8-Speed - 2016</v>
      </c>
      <c r="E1001">
        <f>VLOOKUP($C1001,products!$A$1:$F$322,MATCH(order_items!$E$1,products!$A$1:$F$1,0),FALSE)</f>
        <v>3</v>
      </c>
      <c r="F1001" t="str">
        <f>VLOOKUP($E1001,categories!$A$1:$B$8,MATCH(order_items!$F$1,categories!$A$1:$B$1,0),FALSE)</f>
        <v>Cruisers Bicycles</v>
      </c>
      <c r="G1001">
        <v>2</v>
      </c>
      <c r="H1001">
        <v>429</v>
      </c>
      <c r="I1001" s="5">
        <v>0.05</v>
      </c>
      <c r="J1001">
        <f t="shared" si="30"/>
        <v>815.09999999999991</v>
      </c>
      <c r="K1001" s="9">
        <f t="shared" si="31"/>
        <v>-0.57938489007248284</v>
      </c>
    </row>
    <row r="1002" spans="1:11" x14ac:dyDescent="0.3">
      <c r="A1002">
        <v>357</v>
      </c>
      <c r="B1002">
        <v>2</v>
      </c>
      <c r="C1002">
        <v>21</v>
      </c>
      <c r="D1002" t="str">
        <f>VLOOKUP($C1002,products!$A$1:$F$322,MATCH(order_items!$D$1,products!$A$1:$F$1,0),FALSE)</f>
        <v>Electra Cruiser 1 (24-Inch) - 2016</v>
      </c>
      <c r="E1002">
        <f>VLOOKUP($C1002,products!$A$1:$F$322,MATCH(order_items!$E$1,products!$A$1:$F$1,0),FALSE)</f>
        <v>1</v>
      </c>
      <c r="F1002" t="str">
        <f>VLOOKUP($E1002,categories!$A$1:$B$8,MATCH(order_items!$F$1,categories!$A$1:$B$1,0),FALSE)</f>
        <v>Children Bicycles</v>
      </c>
      <c r="G1002">
        <v>2</v>
      </c>
      <c r="H1002">
        <v>269.99</v>
      </c>
      <c r="I1002" s="5">
        <v>7.0000000000000007E-2</v>
      </c>
      <c r="J1002">
        <f t="shared" si="30"/>
        <v>502.1814</v>
      </c>
      <c r="K1002" s="9">
        <f t="shared" si="31"/>
        <v>-0.69693888525532666</v>
      </c>
    </row>
    <row r="1003" spans="1:11" x14ac:dyDescent="0.3">
      <c r="A1003">
        <v>357</v>
      </c>
      <c r="B1003">
        <v>3</v>
      </c>
      <c r="C1003">
        <v>24</v>
      </c>
      <c r="D1003" t="str">
        <f>VLOOKUP($C1003,products!$A$1:$F$322,MATCH(order_items!$D$1,products!$A$1:$F$1,0),FALSE)</f>
        <v>Electra Townie Original 21D - 2016</v>
      </c>
      <c r="E1003">
        <f>VLOOKUP($C1003,products!$A$1:$F$322,MATCH(order_items!$E$1,products!$A$1:$F$1,0),FALSE)</f>
        <v>2</v>
      </c>
      <c r="F1003" t="str">
        <f>VLOOKUP($E1003,categories!$A$1:$B$8,MATCH(order_items!$F$1,categories!$A$1:$B$1,0),FALSE)</f>
        <v>Comfort Bicycles</v>
      </c>
      <c r="G1003">
        <v>1</v>
      </c>
      <c r="H1003">
        <v>549.99</v>
      </c>
      <c r="I1003" s="5">
        <v>7.0000000000000007E-2</v>
      </c>
      <c r="J1003">
        <f t="shared" si="30"/>
        <v>511.49069999999995</v>
      </c>
      <c r="K1003" s="9">
        <f t="shared" si="31"/>
        <v>-0.48993857929220308</v>
      </c>
    </row>
    <row r="1004" spans="1:11" x14ac:dyDescent="0.3">
      <c r="A1004">
        <v>357</v>
      </c>
      <c r="B1004">
        <v>4</v>
      </c>
      <c r="C1004">
        <v>9</v>
      </c>
      <c r="D1004" t="str">
        <f>VLOOKUP($C1004,products!$A$1:$F$322,MATCH(order_items!$D$1,products!$A$1:$F$1,0),FALSE)</f>
        <v>Trek Conduit+ - 2016</v>
      </c>
      <c r="E1004">
        <f>VLOOKUP($C1004,products!$A$1:$F$322,MATCH(order_items!$E$1,products!$A$1:$F$1,0),FALSE)</f>
        <v>5</v>
      </c>
      <c r="F1004" t="str">
        <f>VLOOKUP($E1004,categories!$A$1:$B$8,MATCH(order_items!$F$1,categories!$A$1:$B$1,0),FALSE)</f>
        <v>Electric Bikes</v>
      </c>
      <c r="G1004">
        <v>1</v>
      </c>
      <c r="H1004">
        <v>2999.99</v>
      </c>
      <c r="I1004" s="5">
        <v>0.05</v>
      </c>
      <c r="J1004">
        <f t="shared" si="30"/>
        <v>2849.9904999999999</v>
      </c>
      <c r="K1004" s="9">
        <f t="shared" si="31"/>
        <v>1.3213140978851283</v>
      </c>
    </row>
    <row r="1005" spans="1:11" x14ac:dyDescent="0.3">
      <c r="A1005">
        <v>358</v>
      </c>
      <c r="B1005">
        <v>1</v>
      </c>
      <c r="C1005">
        <v>21</v>
      </c>
      <c r="D1005" t="str">
        <f>VLOOKUP($C1005,products!$A$1:$F$322,MATCH(order_items!$D$1,products!$A$1:$F$1,0),FALSE)</f>
        <v>Electra Cruiser 1 (24-Inch) - 2016</v>
      </c>
      <c r="E1005">
        <f>VLOOKUP($C1005,products!$A$1:$F$322,MATCH(order_items!$E$1,products!$A$1:$F$1,0),FALSE)</f>
        <v>1</v>
      </c>
      <c r="F1005" t="str">
        <f>VLOOKUP($E1005,categories!$A$1:$B$8,MATCH(order_items!$F$1,categories!$A$1:$B$1,0),FALSE)</f>
        <v>Children Bicycles</v>
      </c>
      <c r="G1005">
        <v>2</v>
      </c>
      <c r="H1005">
        <v>269.99</v>
      </c>
      <c r="I1005" s="5">
        <v>0.1</v>
      </c>
      <c r="J1005">
        <f t="shared" si="30"/>
        <v>485.98200000000003</v>
      </c>
      <c r="K1005" s="9">
        <f t="shared" si="31"/>
        <v>-0.69693888525532666</v>
      </c>
    </row>
    <row r="1006" spans="1:11" x14ac:dyDescent="0.3">
      <c r="A1006">
        <v>358</v>
      </c>
      <c r="B1006">
        <v>2</v>
      </c>
      <c r="C1006">
        <v>6</v>
      </c>
      <c r="D1006" t="str">
        <f>VLOOKUP($C1006,products!$A$1:$F$322,MATCH(order_items!$D$1,products!$A$1:$F$1,0),FALSE)</f>
        <v>Surly Ice Cream Truck Frameset - 2016</v>
      </c>
      <c r="E1006">
        <f>VLOOKUP($C1006,products!$A$1:$F$322,MATCH(order_items!$E$1,products!$A$1:$F$1,0),FALSE)</f>
        <v>6</v>
      </c>
      <c r="F1006" t="str">
        <f>VLOOKUP($E1006,categories!$A$1:$B$8,MATCH(order_items!$F$1,categories!$A$1:$B$1,0),FALSE)</f>
        <v>Mountain Bikes</v>
      </c>
      <c r="G1006">
        <v>2</v>
      </c>
      <c r="H1006">
        <v>469.99</v>
      </c>
      <c r="I1006" s="5">
        <v>7.0000000000000007E-2</v>
      </c>
      <c r="J1006">
        <f t="shared" si="30"/>
        <v>874.18139999999994</v>
      </c>
      <c r="K1006" s="9">
        <f t="shared" si="31"/>
        <v>-0.5490815238530955</v>
      </c>
    </row>
    <row r="1007" spans="1:11" x14ac:dyDescent="0.3">
      <c r="A1007">
        <v>358</v>
      </c>
      <c r="B1007">
        <v>3</v>
      </c>
      <c r="C1007">
        <v>8</v>
      </c>
      <c r="D1007" t="str">
        <f>VLOOKUP($C1007,products!$A$1:$F$322,MATCH(order_items!$D$1,products!$A$1:$F$1,0),FALSE)</f>
        <v>Trek Remedy 29 Carbon Frameset - 2016</v>
      </c>
      <c r="E1007">
        <f>VLOOKUP($C1007,products!$A$1:$F$322,MATCH(order_items!$E$1,products!$A$1:$F$1,0),FALSE)</f>
        <v>6</v>
      </c>
      <c r="F1007" t="str">
        <f>VLOOKUP($E1007,categories!$A$1:$B$8,MATCH(order_items!$F$1,categories!$A$1:$B$1,0),FALSE)</f>
        <v>Mountain Bikes</v>
      </c>
      <c r="G1007">
        <v>2</v>
      </c>
      <c r="H1007">
        <v>1799.99</v>
      </c>
      <c r="I1007" s="5">
        <v>0.05</v>
      </c>
      <c r="J1007">
        <f t="shared" si="30"/>
        <v>3419.9809999999998</v>
      </c>
      <c r="K1007" s="9">
        <f t="shared" si="31"/>
        <v>0.43416992947174166</v>
      </c>
    </row>
    <row r="1008" spans="1:11" x14ac:dyDescent="0.3">
      <c r="A1008">
        <v>358</v>
      </c>
      <c r="B1008">
        <v>4</v>
      </c>
      <c r="C1008">
        <v>18</v>
      </c>
      <c r="D1008" t="str">
        <f>VLOOKUP($C1008,products!$A$1:$F$322,MATCH(order_items!$D$1,products!$A$1:$F$1,0),FALSE)</f>
        <v>Pure Cycles Western 3-Speed - Women's - 2015/2016</v>
      </c>
      <c r="E1008">
        <f>VLOOKUP($C1008,products!$A$1:$F$322,MATCH(order_items!$E$1,products!$A$1:$F$1,0),FALSE)</f>
        <v>3</v>
      </c>
      <c r="F1008" t="str">
        <f>VLOOKUP($E1008,categories!$A$1:$B$8,MATCH(order_items!$F$1,categories!$A$1:$B$1,0),FALSE)</f>
        <v>Cruisers Bicycles</v>
      </c>
      <c r="G1008">
        <v>2</v>
      </c>
      <c r="H1008">
        <v>449</v>
      </c>
      <c r="I1008" s="5">
        <v>0.1</v>
      </c>
      <c r="J1008">
        <f t="shared" si="30"/>
        <v>808.2</v>
      </c>
      <c r="K1008" s="9">
        <f t="shared" si="31"/>
        <v>-0.56459915393225968</v>
      </c>
    </row>
    <row r="1009" spans="1:11" x14ac:dyDescent="0.3">
      <c r="A1009">
        <v>359</v>
      </c>
      <c r="B1009">
        <v>1</v>
      </c>
      <c r="C1009">
        <v>15</v>
      </c>
      <c r="D1009" t="str">
        <f>VLOOKUP($C1009,products!$A$1:$F$322,MATCH(order_items!$D$1,products!$A$1:$F$1,0),FALSE)</f>
        <v>Electra Moto 1 - 2016</v>
      </c>
      <c r="E1009">
        <f>VLOOKUP($C1009,products!$A$1:$F$322,MATCH(order_items!$E$1,products!$A$1:$F$1,0),FALSE)</f>
        <v>3</v>
      </c>
      <c r="F1009" t="str">
        <f>VLOOKUP($E1009,categories!$A$1:$B$8,MATCH(order_items!$F$1,categories!$A$1:$B$1,0),FALSE)</f>
        <v>Cruisers Bicycles</v>
      </c>
      <c r="G1009">
        <v>2</v>
      </c>
      <c r="H1009">
        <v>529.99</v>
      </c>
      <c r="I1009" s="5">
        <v>7.0000000000000007E-2</v>
      </c>
      <c r="J1009">
        <f t="shared" si="30"/>
        <v>985.78139999999996</v>
      </c>
      <c r="K1009" s="9">
        <f t="shared" si="31"/>
        <v>-0.50472431543242624</v>
      </c>
    </row>
    <row r="1010" spans="1:11" x14ac:dyDescent="0.3">
      <c r="A1010">
        <v>359</v>
      </c>
      <c r="B1010">
        <v>2</v>
      </c>
      <c r="C1010">
        <v>9</v>
      </c>
      <c r="D1010" t="str">
        <f>VLOOKUP($C1010,products!$A$1:$F$322,MATCH(order_items!$D$1,products!$A$1:$F$1,0),FALSE)</f>
        <v>Trek Conduit+ - 2016</v>
      </c>
      <c r="E1010">
        <f>VLOOKUP($C1010,products!$A$1:$F$322,MATCH(order_items!$E$1,products!$A$1:$F$1,0),FALSE)</f>
        <v>5</v>
      </c>
      <c r="F1010" t="str">
        <f>VLOOKUP($E1010,categories!$A$1:$B$8,MATCH(order_items!$F$1,categories!$A$1:$B$1,0),FALSE)</f>
        <v>Electric Bikes</v>
      </c>
      <c r="G1010">
        <v>2</v>
      </c>
      <c r="H1010">
        <v>2999.99</v>
      </c>
      <c r="I1010" s="5">
        <v>7.0000000000000007E-2</v>
      </c>
      <c r="J1010">
        <f t="shared" si="30"/>
        <v>5579.9813999999997</v>
      </c>
      <c r="K1010" s="9">
        <f t="shared" si="31"/>
        <v>1.3213140978851283</v>
      </c>
    </row>
    <row r="1011" spans="1:11" x14ac:dyDescent="0.3">
      <c r="A1011">
        <v>359</v>
      </c>
      <c r="B1011">
        <v>3</v>
      </c>
      <c r="C1011">
        <v>7</v>
      </c>
      <c r="D1011" t="str">
        <f>VLOOKUP($C1011,products!$A$1:$F$322,MATCH(order_items!$D$1,products!$A$1:$F$1,0),FALSE)</f>
        <v>Trek Slash 8 27.5 - 2016</v>
      </c>
      <c r="E1011">
        <f>VLOOKUP($C1011,products!$A$1:$F$322,MATCH(order_items!$E$1,products!$A$1:$F$1,0),FALSE)</f>
        <v>6</v>
      </c>
      <c r="F1011" t="str">
        <f>VLOOKUP($E1011,categories!$A$1:$B$8,MATCH(order_items!$F$1,categories!$A$1:$B$1,0),FALSE)</f>
        <v>Mountain Bikes</v>
      </c>
      <c r="G1011">
        <v>2</v>
      </c>
      <c r="H1011">
        <v>3999.99</v>
      </c>
      <c r="I1011" s="5">
        <v>0.2</v>
      </c>
      <c r="J1011">
        <f t="shared" si="30"/>
        <v>6399.9840000000004</v>
      </c>
      <c r="K1011" s="9">
        <f t="shared" si="31"/>
        <v>2.0606009048962846</v>
      </c>
    </row>
    <row r="1012" spans="1:11" x14ac:dyDescent="0.3">
      <c r="A1012">
        <v>360</v>
      </c>
      <c r="B1012">
        <v>1</v>
      </c>
      <c r="C1012">
        <v>26</v>
      </c>
      <c r="D1012" t="str">
        <f>VLOOKUP($C1012,products!$A$1:$F$322,MATCH(order_items!$D$1,products!$A$1:$F$1,0),FALSE)</f>
        <v>Electra Townie Original 7D EQ - 2016</v>
      </c>
      <c r="E1012">
        <f>VLOOKUP($C1012,products!$A$1:$F$322,MATCH(order_items!$E$1,products!$A$1:$F$1,0),FALSE)</f>
        <v>2</v>
      </c>
      <c r="F1012" t="str">
        <f>VLOOKUP($E1012,categories!$A$1:$B$8,MATCH(order_items!$F$1,categories!$A$1:$B$1,0),FALSE)</f>
        <v>Comfort Bicycles</v>
      </c>
      <c r="G1012">
        <v>1</v>
      </c>
      <c r="H1012">
        <v>599.99</v>
      </c>
      <c r="I1012" s="5">
        <v>0.05</v>
      </c>
      <c r="J1012">
        <f t="shared" si="30"/>
        <v>569.9905</v>
      </c>
      <c r="K1012" s="9">
        <f t="shared" si="31"/>
        <v>-0.45297423894164529</v>
      </c>
    </row>
    <row r="1013" spans="1:11" x14ac:dyDescent="0.3">
      <c r="A1013">
        <v>360</v>
      </c>
      <c r="B1013">
        <v>2</v>
      </c>
      <c r="C1013">
        <v>7</v>
      </c>
      <c r="D1013" t="str">
        <f>VLOOKUP($C1013,products!$A$1:$F$322,MATCH(order_items!$D$1,products!$A$1:$F$1,0),FALSE)</f>
        <v>Trek Slash 8 27.5 - 2016</v>
      </c>
      <c r="E1013">
        <f>VLOOKUP($C1013,products!$A$1:$F$322,MATCH(order_items!$E$1,products!$A$1:$F$1,0),FALSE)</f>
        <v>6</v>
      </c>
      <c r="F1013" t="str">
        <f>VLOOKUP($E1013,categories!$A$1:$B$8,MATCH(order_items!$F$1,categories!$A$1:$B$1,0),FALSE)</f>
        <v>Mountain Bikes</v>
      </c>
      <c r="G1013">
        <v>2</v>
      </c>
      <c r="H1013">
        <v>3999.99</v>
      </c>
      <c r="I1013" s="5">
        <v>0.2</v>
      </c>
      <c r="J1013">
        <f t="shared" si="30"/>
        <v>6399.9840000000004</v>
      </c>
      <c r="K1013" s="9">
        <f t="shared" si="31"/>
        <v>2.0606009048962846</v>
      </c>
    </row>
    <row r="1014" spans="1:11" x14ac:dyDescent="0.3">
      <c r="A1014">
        <v>360</v>
      </c>
      <c r="B1014">
        <v>3</v>
      </c>
      <c r="C1014">
        <v>13</v>
      </c>
      <c r="D1014" t="str">
        <f>VLOOKUP($C1014,products!$A$1:$F$322,MATCH(order_items!$D$1,products!$A$1:$F$1,0),FALSE)</f>
        <v>Electra Cruiser 1 (24-Inch) - 2016</v>
      </c>
      <c r="E1014">
        <f>VLOOKUP($C1014,products!$A$1:$F$322,MATCH(order_items!$E$1,products!$A$1:$F$1,0),FALSE)</f>
        <v>3</v>
      </c>
      <c r="F1014" t="str">
        <f>VLOOKUP($E1014,categories!$A$1:$B$8,MATCH(order_items!$F$1,categories!$A$1:$B$1,0),FALSE)</f>
        <v>Cruisers Bicycles</v>
      </c>
      <c r="G1014">
        <v>2</v>
      </c>
      <c r="H1014">
        <v>269.99</v>
      </c>
      <c r="I1014" s="5">
        <v>0.05</v>
      </c>
      <c r="J1014">
        <f t="shared" si="30"/>
        <v>512.98099999999999</v>
      </c>
      <c r="K1014" s="9">
        <f t="shared" si="31"/>
        <v>-0.69693888525532666</v>
      </c>
    </row>
    <row r="1015" spans="1:11" x14ac:dyDescent="0.3">
      <c r="A1015">
        <v>360</v>
      </c>
      <c r="B1015">
        <v>4</v>
      </c>
      <c r="C1015">
        <v>25</v>
      </c>
      <c r="D1015" t="str">
        <f>VLOOKUP($C1015,products!$A$1:$F$322,MATCH(order_items!$D$1,products!$A$1:$F$1,0),FALSE)</f>
        <v>Electra Townie Original 7D - 2015/2016</v>
      </c>
      <c r="E1015">
        <f>VLOOKUP($C1015,products!$A$1:$F$322,MATCH(order_items!$E$1,products!$A$1:$F$1,0),FALSE)</f>
        <v>2</v>
      </c>
      <c r="F1015" t="str">
        <f>VLOOKUP($E1015,categories!$A$1:$B$8,MATCH(order_items!$F$1,categories!$A$1:$B$1,0),FALSE)</f>
        <v>Comfort Bicycles</v>
      </c>
      <c r="G1015">
        <v>1</v>
      </c>
      <c r="H1015">
        <v>499.99</v>
      </c>
      <c r="I1015" s="5">
        <v>0.1</v>
      </c>
      <c r="J1015">
        <f t="shared" si="30"/>
        <v>449.99100000000004</v>
      </c>
      <c r="K1015" s="9">
        <f t="shared" si="31"/>
        <v>-0.52690291964276081</v>
      </c>
    </row>
    <row r="1016" spans="1:11" x14ac:dyDescent="0.3">
      <c r="A1016">
        <v>361</v>
      </c>
      <c r="B1016">
        <v>1</v>
      </c>
      <c r="C1016">
        <v>24</v>
      </c>
      <c r="D1016" t="str">
        <f>VLOOKUP($C1016,products!$A$1:$F$322,MATCH(order_items!$D$1,products!$A$1:$F$1,0),FALSE)</f>
        <v>Electra Townie Original 21D - 2016</v>
      </c>
      <c r="E1016">
        <f>VLOOKUP($C1016,products!$A$1:$F$322,MATCH(order_items!$E$1,products!$A$1:$F$1,0),FALSE)</f>
        <v>2</v>
      </c>
      <c r="F1016" t="str">
        <f>VLOOKUP($E1016,categories!$A$1:$B$8,MATCH(order_items!$F$1,categories!$A$1:$B$1,0),FALSE)</f>
        <v>Comfort Bicycles</v>
      </c>
      <c r="G1016">
        <v>2</v>
      </c>
      <c r="H1016">
        <v>549.99</v>
      </c>
      <c r="I1016" s="5">
        <v>0.05</v>
      </c>
      <c r="J1016">
        <f t="shared" si="30"/>
        <v>1044.981</v>
      </c>
      <c r="K1016" s="9">
        <f t="shared" si="31"/>
        <v>-0.48993857929220308</v>
      </c>
    </row>
    <row r="1017" spans="1:11" x14ac:dyDescent="0.3">
      <c r="A1017">
        <v>361</v>
      </c>
      <c r="B1017">
        <v>2</v>
      </c>
      <c r="C1017">
        <v>6</v>
      </c>
      <c r="D1017" t="str">
        <f>VLOOKUP($C1017,products!$A$1:$F$322,MATCH(order_items!$D$1,products!$A$1:$F$1,0),FALSE)</f>
        <v>Surly Ice Cream Truck Frameset - 2016</v>
      </c>
      <c r="E1017">
        <f>VLOOKUP($C1017,products!$A$1:$F$322,MATCH(order_items!$E$1,products!$A$1:$F$1,0),FALSE)</f>
        <v>6</v>
      </c>
      <c r="F1017" t="str">
        <f>VLOOKUP($E1017,categories!$A$1:$B$8,MATCH(order_items!$F$1,categories!$A$1:$B$1,0),FALSE)</f>
        <v>Mountain Bikes</v>
      </c>
      <c r="G1017">
        <v>2</v>
      </c>
      <c r="H1017">
        <v>469.99</v>
      </c>
      <c r="I1017" s="5">
        <v>0.1</v>
      </c>
      <c r="J1017">
        <f t="shared" si="30"/>
        <v>845.98200000000008</v>
      </c>
      <c r="K1017" s="9">
        <f t="shared" si="31"/>
        <v>-0.5490815238530955</v>
      </c>
    </row>
    <row r="1018" spans="1:11" x14ac:dyDescent="0.3">
      <c r="A1018">
        <v>361</v>
      </c>
      <c r="B1018">
        <v>3</v>
      </c>
      <c r="C1018">
        <v>11</v>
      </c>
      <c r="D1018" t="str">
        <f>VLOOKUP($C1018,products!$A$1:$F$322,MATCH(order_items!$D$1,products!$A$1:$F$1,0),FALSE)</f>
        <v>Surly Straggler 650b - 2016</v>
      </c>
      <c r="E1018">
        <f>VLOOKUP($C1018,products!$A$1:$F$322,MATCH(order_items!$E$1,products!$A$1:$F$1,0),FALSE)</f>
        <v>4</v>
      </c>
      <c r="F1018" t="str">
        <f>VLOOKUP($E1018,categories!$A$1:$B$8,MATCH(order_items!$F$1,categories!$A$1:$B$1,0),FALSE)</f>
        <v>Cyclocross Bicycles</v>
      </c>
      <c r="G1018">
        <v>1</v>
      </c>
      <c r="H1018">
        <v>1680.99</v>
      </c>
      <c r="I1018" s="5">
        <v>0.1</v>
      </c>
      <c r="J1018">
        <f t="shared" si="30"/>
        <v>1512.8910000000001</v>
      </c>
      <c r="K1018" s="9">
        <f t="shared" si="31"/>
        <v>0.3461947994374141</v>
      </c>
    </row>
    <row r="1019" spans="1:11" x14ac:dyDescent="0.3">
      <c r="A1019">
        <v>362</v>
      </c>
      <c r="B1019">
        <v>1</v>
      </c>
      <c r="C1019">
        <v>2</v>
      </c>
      <c r="D1019" t="str">
        <f>VLOOKUP($C1019,products!$A$1:$F$322,MATCH(order_items!$D$1,products!$A$1:$F$1,0),FALSE)</f>
        <v>Ritchey Timberwolf Frameset - 2016</v>
      </c>
      <c r="E1019">
        <f>VLOOKUP($C1019,products!$A$1:$F$322,MATCH(order_items!$E$1,products!$A$1:$F$1,0),FALSE)</f>
        <v>6</v>
      </c>
      <c r="F1019" t="str">
        <f>VLOOKUP($E1019,categories!$A$1:$B$8,MATCH(order_items!$F$1,categories!$A$1:$B$1,0),FALSE)</f>
        <v>Mountain Bikes</v>
      </c>
      <c r="G1019">
        <v>1</v>
      </c>
      <c r="H1019">
        <v>749.99</v>
      </c>
      <c r="I1019" s="5">
        <v>7.0000000000000007E-2</v>
      </c>
      <c r="J1019">
        <f t="shared" si="30"/>
        <v>697.49069999999995</v>
      </c>
      <c r="K1019" s="9">
        <f t="shared" si="31"/>
        <v>-0.34208121788997192</v>
      </c>
    </row>
    <row r="1020" spans="1:11" x14ac:dyDescent="0.3">
      <c r="A1020">
        <v>363</v>
      </c>
      <c r="B1020">
        <v>1</v>
      </c>
      <c r="C1020">
        <v>21</v>
      </c>
      <c r="D1020" t="str">
        <f>VLOOKUP($C1020,products!$A$1:$F$322,MATCH(order_items!$D$1,products!$A$1:$F$1,0),FALSE)</f>
        <v>Electra Cruiser 1 (24-Inch) - 2016</v>
      </c>
      <c r="E1020">
        <f>VLOOKUP($C1020,products!$A$1:$F$322,MATCH(order_items!$E$1,products!$A$1:$F$1,0),FALSE)</f>
        <v>1</v>
      </c>
      <c r="F1020" t="str">
        <f>VLOOKUP($E1020,categories!$A$1:$B$8,MATCH(order_items!$F$1,categories!$A$1:$B$1,0),FALSE)</f>
        <v>Children Bicycles</v>
      </c>
      <c r="G1020">
        <v>2</v>
      </c>
      <c r="H1020">
        <v>269.99</v>
      </c>
      <c r="I1020" s="5">
        <v>0.1</v>
      </c>
      <c r="J1020">
        <f t="shared" si="30"/>
        <v>485.98200000000003</v>
      </c>
      <c r="K1020" s="9">
        <f t="shared" si="31"/>
        <v>-0.69693888525532666</v>
      </c>
    </row>
    <row r="1021" spans="1:11" x14ac:dyDescent="0.3">
      <c r="A1021">
        <v>363</v>
      </c>
      <c r="B1021">
        <v>2</v>
      </c>
      <c r="C1021">
        <v>14</v>
      </c>
      <c r="D1021" t="str">
        <f>VLOOKUP($C1021,products!$A$1:$F$322,MATCH(order_items!$D$1,products!$A$1:$F$1,0),FALSE)</f>
        <v>Electra Girl's Hawaii 1 (16-inch) - 2015/2016</v>
      </c>
      <c r="E1021">
        <f>VLOOKUP($C1021,products!$A$1:$F$322,MATCH(order_items!$E$1,products!$A$1:$F$1,0),FALSE)</f>
        <v>3</v>
      </c>
      <c r="F1021" t="str">
        <f>VLOOKUP($E1021,categories!$A$1:$B$8,MATCH(order_items!$F$1,categories!$A$1:$B$1,0),FALSE)</f>
        <v>Cruisers Bicycles</v>
      </c>
      <c r="G1021">
        <v>1</v>
      </c>
      <c r="H1021">
        <v>269.99</v>
      </c>
      <c r="I1021" s="5">
        <v>7.0000000000000007E-2</v>
      </c>
      <c r="J1021">
        <f t="shared" si="30"/>
        <v>251.0907</v>
      </c>
      <c r="K1021" s="9">
        <f t="shared" si="31"/>
        <v>-0.69693888525532666</v>
      </c>
    </row>
    <row r="1022" spans="1:11" x14ac:dyDescent="0.3">
      <c r="A1022">
        <v>363</v>
      </c>
      <c r="B1022">
        <v>3</v>
      </c>
      <c r="C1022">
        <v>15</v>
      </c>
      <c r="D1022" t="str">
        <f>VLOOKUP($C1022,products!$A$1:$F$322,MATCH(order_items!$D$1,products!$A$1:$F$1,0),FALSE)</f>
        <v>Electra Moto 1 - 2016</v>
      </c>
      <c r="E1022">
        <f>VLOOKUP($C1022,products!$A$1:$F$322,MATCH(order_items!$E$1,products!$A$1:$F$1,0),FALSE)</f>
        <v>3</v>
      </c>
      <c r="F1022" t="str">
        <f>VLOOKUP($E1022,categories!$A$1:$B$8,MATCH(order_items!$F$1,categories!$A$1:$B$1,0),FALSE)</f>
        <v>Cruisers Bicycles</v>
      </c>
      <c r="G1022">
        <v>1</v>
      </c>
      <c r="H1022">
        <v>529.99</v>
      </c>
      <c r="I1022" s="5">
        <v>0.1</v>
      </c>
      <c r="J1022">
        <f t="shared" si="30"/>
        <v>476.99100000000004</v>
      </c>
      <c r="K1022" s="9">
        <f t="shared" si="31"/>
        <v>-0.50472431543242624</v>
      </c>
    </row>
    <row r="1023" spans="1:11" x14ac:dyDescent="0.3">
      <c r="A1023">
        <v>363</v>
      </c>
      <c r="B1023">
        <v>4</v>
      </c>
      <c r="C1023">
        <v>20</v>
      </c>
      <c r="D1023" t="str">
        <f>VLOOKUP($C1023,products!$A$1:$F$322,MATCH(order_items!$D$1,products!$A$1:$F$1,0),FALSE)</f>
        <v>Electra Townie Original 7D EQ - Women's - 2016</v>
      </c>
      <c r="E1023">
        <f>VLOOKUP($C1023,products!$A$1:$F$322,MATCH(order_items!$E$1,products!$A$1:$F$1,0),FALSE)</f>
        <v>3</v>
      </c>
      <c r="F1023" t="str">
        <f>VLOOKUP($E1023,categories!$A$1:$B$8,MATCH(order_items!$F$1,categories!$A$1:$B$1,0),FALSE)</f>
        <v>Cruisers Bicycles</v>
      </c>
      <c r="G1023">
        <v>1</v>
      </c>
      <c r="H1023">
        <v>599.99</v>
      </c>
      <c r="I1023" s="5">
        <v>0.2</v>
      </c>
      <c r="J1023">
        <f t="shared" si="30"/>
        <v>479.99200000000002</v>
      </c>
      <c r="K1023" s="9">
        <f t="shared" si="31"/>
        <v>-0.45297423894164529</v>
      </c>
    </row>
    <row r="1024" spans="1:11" x14ac:dyDescent="0.3">
      <c r="A1024">
        <v>364</v>
      </c>
      <c r="B1024">
        <v>1</v>
      </c>
      <c r="C1024">
        <v>25</v>
      </c>
      <c r="D1024" t="str">
        <f>VLOOKUP($C1024,products!$A$1:$F$322,MATCH(order_items!$D$1,products!$A$1:$F$1,0),FALSE)</f>
        <v>Electra Townie Original 7D - 2015/2016</v>
      </c>
      <c r="E1024">
        <f>VLOOKUP($C1024,products!$A$1:$F$322,MATCH(order_items!$E$1,products!$A$1:$F$1,0),FALSE)</f>
        <v>2</v>
      </c>
      <c r="F1024" t="str">
        <f>VLOOKUP($E1024,categories!$A$1:$B$8,MATCH(order_items!$F$1,categories!$A$1:$B$1,0),FALSE)</f>
        <v>Comfort Bicycles</v>
      </c>
      <c r="G1024">
        <v>2</v>
      </c>
      <c r="H1024">
        <v>499.99</v>
      </c>
      <c r="I1024" s="5">
        <v>0.05</v>
      </c>
      <c r="J1024">
        <f t="shared" si="30"/>
        <v>949.98099999999999</v>
      </c>
      <c r="K1024" s="9">
        <f t="shared" si="31"/>
        <v>-0.52690291964276081</v>
      </c>
    </row>
    <row r="1025" spans="1:11" x14ac:dyDescent="0.3">
      <c r="A1025">
        <v>365</v>
      </c>
      <c r="B1025">
        <v>1</v>
      </c>
      <c r="C1025">
        <v>24</v>
      </c>
      <c r="D1025" t="str">
        <f>VLOOKUP($C1025,products!$A$1:$F$322,MATCH(order_items!$D$1,products!$A$1:$F$1,0),FALSE)</f>
        <v>Electra Townie Original 21D - 2016</v>
      </c>
      <c r="E1025">
        <f>VLOOKUP($C1025,products!$A$1:$F$322,MATCH(order_items!$E$1,products!$A$1:$F$1,0),FALSE)</f>
        <v>2</v>
      </c>
      <c r="F1025" t="str">
        <f>VLOOKUP($E1025,categories!$A$1:$B$8,MATCH(order_items!$F$1,categories!$A$1:$B$1,0),FALSE)</f>
        <v>Comfort Bicycles</v>
      </c>
      <c r="G1025">
        <v>2</v>
      </c>
      <c r="H1025">
        <v>549.99</v>
      </c>
      <c r="I1025" s="5">
        <v>7.0000000000000007E-2</v>
      </c>
      <c r="J1025">
        <f t="shared" si="30"/>
        <v>1022.9813999999999</v>
      </c>
      <c r="K1025" s="9">
        <f t="shared" si="31"/>
        <v>-0.48993857929220308</v>
      </c>
    </row>
    <row r="1026" spans="1:11" x14ac:dyDescent="0.3">
      <c r="A1026">
        <v>366</v>
      </c>
      <c r="B1026">
        <v>1</v>
      </c>
      <c r="C1026">
        <v>21</v>
      </c>
      <c r="D1026" t="str">
        <f>VLOOKUP($C1026,products!$A$1:$F$322,MATCH(order_items!$D$1,products!$A$1:$F$1,0),FALSE)</f>
        <v>Electra Cruiser 1 (24-Inch) - 2016</v>
      </c>
      <c r="E1026">
        <f>VLOOKUP($C1026,products!$A$1:$F$322,MATCH(order_items!$E$1,products!$A$1:$F$1,0),FALSE)</f>
        <v>1</v>
      </c>
      <c r="F1026" t="str">
        <f>VLOOKUP($E1026,categories!$A$1:$B$8,MATCH(order_items!$F$1,categories!$A$1:$B$1,0),FALSE)</f>
        <v>Children Bicycles</v>
      </c>
      <c r="G1026">
        <v>1</v>
      </c>
      <c r="H1026">
        <v>269.99</v>
      </c>
      <c r="I1026" s="5">
        <v>0.1</v>
      </c>
      <c r="J1026">
        <f t="shared" ref="J1026:J1089" si="32">G1026*H1026*(1-I1026)</f>
        <v>242.99100000000001</v>
      </c>
      <c r="K1026" s="9">
        <f t="shared" ref="K1026:K1089" si="33">($H1026-$M$7)/$M$9</f>
        <v>-0.69693888525532666</v>
      </c>
    </row>
    <row r="1027" spans="1:11" x14ac:dyDescent="0.3">
      <c r="A1027">
        <v>366</v>
      </c>
      <c r="B1027">
        <v>2</v>
      </c>
      <c r="C1027">
        <v>4</v>
      </c>
      <c r="D1027" t="str">
        <f>VLOOKUP($C1027,products!$A$1:$F$322,MATCH(order_items!$D$1,products!$A$1:$F$1,0),FALSE)</f>
        <v>Trek Fuel EX 8 29 - 2016</v>
      </c>
      <c r="E1027">
        <f>VLOOKUP($C1027,products!$A$1:$F$322,MATCH(order_items!$E$1,products!$A$1:$F$1,0),FALSE)</f>
        <v>6</v>
      </c>
      <c r="F1027" t="str">
        <f>VLOOKUP($E1027,categories!$A$1:$B$8,MATCH(order_items!$F$1,categories!$A$1:$B$1,0),FALSE)</f>
        <v>Mountain Bikes</v>
      </c>
      <c r="G1027">
        <v>1</v>
      </c>
      <c r="H1027">
        <v>2899.99</v>
      </c>
      <c r="I1027" s="5">
        <v>7.0000000000000007E-2</v>
      </c>
      <c r="J1027">
        <f t="shared" si="32"/>
        <v>2696.9906999999998</v>
      </c>
      <c r="K1027" s="9">
        <f t="shared" si="33"/>
        <v>1.2473854171840129</v>
      </c>
    </row>
    <row r="1028" spans="1:11" x14ac:dyDescent="0.3">
      <c r="A1028">
        <v>366</v>
      </c>
      <c r="B1028">
        <v>3</v>
      </c>
      <c r="C1028">
        <v>16</v>
      </c>
      <c r="D1028" t="str">
        <f>VLOOKUP($C1028,products!$A$1:$F$322,MATCH(order_items!$D$1,products!$A$1:$F$1,0),FALSE)</f>
        <v>Electra Townie Original 7D EQ - 2016</v>
      </c>
      <c r="E1028">
        <f>VLOOKUP($C1028,products!$A$1:$F$322,MATCH(order_items!$E$1,products!$A$1:$F$1,0),FALSE)</f>
        <v>3</v>
      </c>
      <c r="F1028" t="str">
        <f>VLOOKUP($E1028,categories!$A$1:$B$8,MATCH(order_items!$F$1,categories!$A$1:$B$1,0),FALSE)</f>
        <v>Cruisers Bicycles</v>
      </c>
      <c r="G1028">
        <v>2</v>
      </c>
      <c r="H1028">
        <v>599.99</v>
      </c>
      <c r="I1028" s="5">
        <v>0.2</v>
      </c>
      <c r="J1028">
        <f t="shared" si="32"/>
        <v>959.98400000000004</v>
      </c>
      <c r="K1028" s="9">
        <f t="shared" si="33"/>
        <v>-0.45297423894164529</v>
      </c>
    </row>
    <row r="1029" spans="1:11" x14ac:dyDescent="0.3">
      <c r="A1029">
        <v>367</v>
      </c>
      <c r="B1029">
        <v>1</v>
      </c>
      <c r="C1029">
        <v>26</v>
      </c>
      <c r="D1029" t="str">
        <f>VLOOKUP($C1029,products!$A$1:$F$322,MATCH(order_items!$D$1,products!$A$1:$F$1,0),FALSE)</f>
        <v>Electra Townie Original 7D EQ - 2016</v>
      </c>
      <c r="E1029">
        <f>VLOOKUP($C1029,products!$A$1:$F$322,MATCH(order_items!$E$1,products!$A$1:$F$1,0),FALSE)</f>
        <v>2</v>
      </c>
      <c r="F1029" t="str">
        <f>VLOOKUP($E1029,categories!$A$1:$B$8,MATCH(order_items!$F$1,categories!$A$1:$B$1,0),FALSE)</f>
        <v>Comfort Bicycles</v>
      </c>
      <c r="G1029">
        <v>2</v>
      </c>
      <c r="H1029">
        <v>599.99</v>
      </c>
      <c r="I1029" s="5">
        <v>0.1</v>
      </c>
      <c r="J1029">
        <f t="shared" si="32"/>
        <v>1079.982</v>
      </c>
      <c r="K1029" s="9">
        <f t="shared" si="33"/>
        <v>-0.45297423894164529</v>
      </c>
    </row>
    <row r="1030" spans="1:11" x14ac:dyDescent="0.3">
      <c r="A1030">
        <v>367</v>
      </c>
      <c r="B1030">
        <v>2</v>
      </c>
      <c r="C1030">
        <v>14</v>
      </c>
      <c r="D1030" t="str">
        <f>VLOOKUP($C1030,products!$A$1:$F$322,MATCH(order_items!$D$1,products!$A$1:$F$1,0),FALSE)</f>
        <v>Electra Girl's Hawaii 1 (16-inch) - 2015/2016</v>
      </c>
      <c r="E1030">
        <f>VLOOKUP($C1030,products!$A$1:$F$322,MATCH(order_items!$E$1,products!$A$1:$F$1,0),FALSE)</f>
        <v>3</v>
      </c>
      <c r="F1030" t="str">
        <f>VLOOKUP($E1030,categories!$A$1:$B$8,MATCH(order_items!$F$1,categories!$A$1:$B$1,0),FALSE)</f>
        <v>Cruisers Bicycles</v>
      </c>
      <c r="G1030">
        <v>1</v>
      </c>
      <c r="H1030">
        <v>269.99</v>
      </c>
      <c r="I1030" s="5">
        <v>0.05</v>
      </c>
      <c r="J1030">
        <f t="shared" si="32"/>
        <v>256.4905</v>
      </c>
      <c r="K1030" s="9">
        <f t="shared" si="33"/>
        <v>-0.69693888525532666</v>
      </c>
    </row>
    <row r="1031" spans="1:11" x14ac:dyDescent="0.3">
      <c r="A1031">
        <v>367</v>
      </c>
      <c r="B1031">
        <v>3</v>
      </c>
      <c r="C1031">
        <v>10</v>
      </c>
      <c r="D1031" t="str">
        <f>VLOOKUP($C1031,products!$A$1:$F$322,MATCH(order_items!$D$1,products!$A$1:$F$1,0),FALSE)</f>
        <v>Surly Straggler - 2016</v>
      </c>
      <c r="E1031">
        <f>VLOOKUP($C1031,products!$A$1:$F$322,MATCH(order_items!$E$1,products!$A$1:$F$1,0),FALSE)</f>
        <v>4</v>
      </c>
      <c r="F1031" t="str">
        <f>VLOOKUP($E1031,categories!$A$1:$B$8,MATCH(order_items!$F$1,categories!$A$1:$B$1,0),FALSE)</f>
        <v>Cyclocross Bicycles</v>
      </c>
      <c r="G1031">
        <v>2</v>
      </c>
      <c r="H1031">
        <v>1549</v>
      </c>
      <c r="I1031" s="5">
        <v>0.05</v>
      </c>
      <c r="J1031">
        <f t="shared" si="32"/>
        <v>2943.1</v>
      </c>
      <c r="K1031" s="9">
        <f t="shared" si="33"/>
        <v>0.24861633378001166</v>
      </c>
    </row>
    <row r="1032" spans="1:11" x14ac:dyDescent="0.3">
      <c r="A1032">
        <v>368</v>
      </c>
      <c r="B1032">
        <v>1</v>
      </c>
      <c r="C1032">
        <v>5</v>
      </c>
      <c r="D1032" t="str">
        <f>VLOOKUP($C1032,products!$A$1:$F$322,MATCH(order_items!$D$1,products!$A$1:$F$1,0),FALSE)</f>
        <v>Heller Shagamaw Frame - 2016</v>
      </c>
      <c r="E1032">
        <f>VLOOKUP($C1032,products!$A$1:$F$322,MATCH(order_items!$E$1,products!$A$1:$F$1,0),FALSE)</f>
        <v>6</v>
      </c>
      <c r="F1032" t="str">
        <f>VLOOKUP($E1032,categories!$A$1:$B$8,MATCH(order_items!$F$1,categories!$A$1:$B$1,0),FALSE)</f>
        <v>Mountain Bikes</v>
      </c>
      <c r="G1032">
        <v>1</v>
      </c>
      <c r="H1032">
        <v>1320.99</v>
      </c>
      <c r="I1032" s="5">
        <v>0.2</v>
      </c>
      <c r="J1032">
        <f t="shared" si="32"/>
        <v>1056.7920000000001</v>
      </c>
      <c r="K1032" s="9">
        <f t="shared" si="33"/>
        <v>8.0051548913398024E-2</v>
      </c>
    </row>
    <row r="1033" spans="1:11" x14ac:dyDescent="0.3">
      <c r="A1033">
        <v>368</v>
      </c>
      <c r="B1033">
        <v>2</v>
      </c>
      <c r="C1033">
        <v>10</v>
      </c>
      <c r="D1033" t="str">
        <f>VLOOKUP($C1033,products!$A$1:$F$322,MATCH(order_items!$D$1,products!$A$1:$F$1,0),FALSE)</f>
        <v>Surly Straggler - 2016</v>
      </c>
      <c r="E1033">
        <f>VLOOKUP($C1033,products!$A$1:$F$322,MATCH(order_items!$E$1,products!$A$1:$F$1,0),FALSE)</f>
        <v>4</v>
      </c>
      <c r="F1033" t="str">
        <f>VLOOKUP($E1033,categories!$A$1:$B$8,MATCH(order_items!$F$1,categories!$A$1:$B$1,0),FALSE)</f>
        <v>Cyclocross Bicycles</v>
      </c>
      <c r="G1033">
        <v>2</v>
      </c>
      <c r="H1033">
        <v>1549</v>
      </c>
      <c r="I1033" s="5">
        <v>0.2</v>
      </c>
      <c r="J1033">
        <f t="shared" si="32"/>
        <v>2478.4</v>
      </c>
      <c r="K1033" s="9">
        <f t="shared" si="33"/>
        <v>0.24861633378001166</v>
      </c>
    </row>
    <row r="1034" spans="1:11" x14ac:dyDescent="0.3">
      <c r="A1034">
        <v>368</v>
      </c>
      <c r="B1034">
        <v>3</v>
      </c>
      <c r="C1034">
        <v>21</v>
      </c>
      <c r="D1034" t="str">
        <f>VLOOKUP($C1034,products!$A$1:$F$322,MATCH(order_items!$D$1,products!$A$1:$F$1,0),FALSE)</f>
        <v>Electra Cruiser 1 (24-Inch) - 2016</v>
      </c>
      <c r="E1034">
        <f>VLOOKUP($C1034,products!$A$1:$F$322,MATCH(order_items!$E$1,products!$A$1:$F$1,0),FALSE)</f>
        <v>1</v>
      </c>
      <c r="F1034" t="str">
        <f>VLOOKUP($E1034,categories!$A$1:$B$8,MATCH(order_items!$F$1,categories!$A$1:$B$1,0),FALSE)</f>
        <v>Children Bicycles</v>
      </c>
      <c r="G1034">
        <v>2</v>
      </c>
      <c r="H1034">
        <v>269.99</v>
      </c>
      <c r="I1034" s="5">
        <v>0.1</v>
      </c>
      <c r="J1034">
        <f t="shared" si="32"/>
        <v>485.98200000000003</v>
      </c>
      <c r="K1034" s="9">
        <f t="shared" si="33"/>
        <v>-0.69693888525532666</v>
      </c>
    </row>
    <row r="1035" spans="1:11" x14ac:dyDescent="0.3">
      <c r="A1035">
        <v>368</v>
      </c>
      <c r="B1035">
        <v>4</v>
      </c>
      <c r="C1035">
        <v>19</v>
      </c>
      <c r="D1035" t="str">
        <f>VLOOKUP($C1035,products!$A$1:$F$322,MATCH(order_items!$D$1,products!$A$1:$F$1,0),FALSE)</f>
        <v>Pure Cycles William 3-Speed - 2016</v>
      </c>
      <c r="E1035">
        <f>VLOOKUP($C1035,products!$A$1:$F$322,MATCH(order_items!$E$1,products!$A$1:$F$1,0),FALSE)</f>
        <v>3</v>
      </c>
      <c r="F1035" t="str">
        <f>VLOOKUP($E1035,categories!$A$1:$B$8,MATCH(order_items!$F$1,categories!$A$1:$B$1,0),FALSE)</f>
        <v>Cruisers Bicycles</v>
      </c>
      <c r="G1035">
        <v>1</v>
      </c>
      <c r="H1035">
        <v>449</v>
      </c>
      <c r="I1035" s="5">
        <v>0.05</v>
      </c>
      <c r="J1035">
        <f t="shared" si="32"/>
        <v>426.54999999999995</v>
      </c>
      <c r="K1035" s="9">
        <f t="shared" si="33"/>
        <v>-0.56459915393225968</v>
      </c>
    </row>
    <row r="1036" spans="1:11" x14ac:dyDescent="0.3">
      <c r="A1036">
        <v>369</v>
      </c>
      <c r="B1036">
        <v>1</v>
      </c>
      <c r="C1036">
        <v>10</v>
      </c>
      <c r="D1036" t="str">
        <f>VLOOKUP($C1036,products!$A$1:$F$322,MATCH(order_items!$D$1,products!$A$1:$F$1,0),FALSE)</f>
        <v>Surly Straggler - 2016</v>
      </c>
      <c r="E1036">
        <f>VLOOKUP($C1036,products!$A$1:$F$322,MATCH(order_items!$E$1,products!$A$1:$F$1,0),FALSE)</f>
        <v>4</v>
      </c>
      <c r="F1036" t="str">
        <f>VLOOKUP($E1036,categories!$A$1:$B$8,MATCH(order_items!$F$1,categories!$A$1:$B$1,0),FALSE)</f>
        <v>Cyclocross Bicycles</v>
      </c>
      <c r="G1036">
        <v>2</v>
      </c>
      <c r="H1036">
        <v>1549</v>
      </c>
      <c r="I1036" s="5">
        <v>7.0000000000000007E-2</v>
      </c>
      <c r="J1036">
        <f t="shared" si="32"/>
        <v>2881.14</v>
      </c>
      <c r="K1036" s="9">
        <f t="shared" si="33"/>
        <v>0.24861633378001166</v>
      </c>
    </row>
    <row r="1037" spans="1:11" x14ac:dyDescent="0.3">
      <c r="A1037">
        <v>370</v>
      </c>
      <c r="B1037">
        <v>1</v>
      </c>
      <c r="C1037">
        <v>25</v>
      </c>
      <c r="D1037" t="str">
        <f>VLOOKUP($C1037,products!$A$1:$F$322,MATCH(order_items!$D$1,products!$A$1:$F$1,0),FALSE)</f>
        <v>Electra Townie Original 7D - 2015/2016</v>
      </c>
      <c r="E1037">
        <f>VLOOKUP($C1037,products!$A$1:$F$322,MATCH(order_items!$E$1,products!$A$1:$F$1,0),FALSE)</f>
        <v>2</v>
      </c>
      <c r="F1037" t="str">
        <f>VLOOKUP($E1037,categories!$A$1:$B$8,MATCH(order_items!$F$1,categories!$A$1:$B$1,0),FALSE)</f>
        <v>Comfort Bicycles</v>
      </c>
      <c r="G1037">
        <v>2</v>
      </c>
      <c r="H1037">
        <v>499.99</v>
      </c>
      <c r="I1037" s="5">
        <v>0.05</v>
      </c>
      <c r="J1037">
        <f t="shared" si="32"/>
        <v>949.98099999999999</v>
      </c>
      <c r="K1037" s="9">
        <f t="shared" si="33"/>
        <v>-0.52690291964276081</v>
      </c>
    </row>
    <row r="1038" spans="1:11" x14ac:dyDescent="0.3">
      <c r="A1038">
        <v>370</v>
      </c>
      <c r="B1038">
        <v>2</v>
      </c>
      <c r="C1038">
        <v>4</v>
      </c>
      <c r="D1038" t="str">
        <f>VLOOKUP($C1038,products!$A$1:$F$322,MATCH(order_items!$D$1,products!$A$1:$F$1,0),FALSE)</f>
        <v>Trek Fuel EX 8 29 - 2016</v>
      </c>
      <c r="E1038">
        <f>VLOOKUP($C1038,products!$A$1:$F$322,MATCH(order_items!$E$1,products!$A$1:$F$1,0),FALSE)</f>
        <v>6</v>
      </c>
      <c r="F1038" t="str">
        <f>VLOOKUP($E1038,categories!$A$1:$B$8,MATCH(order_items!$F$1,categories!$A$1:$B$1,0),FALSE)</f>
        <v>Mountain Bikes</v>
      </c>
      <c r="G1038">
        <v>2</v>
      </c>
      <c r="H1038">
        <v>2899.99</v>
      </c>
      <c r="I1038" s="5">
        <v>0.1</v>
      </c>
      <c r="J1038">
        <f t="shared" si="32"/>
        <v>5219.982</v>
      </c>
      <c r="K1038" s="9">
        <f t="shared" si="33"/>
        <v>1.2473854171840129</v>
      </c>
    </row>
    <row r="1039" spans="1:11" x14ac:dyDescent="0.3">
      <c r="A1039">
        <v>371</v>
      </c>
      <c r="B1039">
        <v>1</v>
      </c>
      <c r="C1039">
        <v>14</v>
      </c>
      <c r="D1039" t="str">
        <f>VLOOKUP($C1039,products!$A$1:$F$322,MATCH(order_items!$D$1,products!$A$1:$F$1,0),FALSE)</f>
        <v>Electra Girl's Hawaii 1 (16-inch) - 2015/2016</v>
      </c>
      <c r="E1039">
        <f>VLOOKUP($C1039,products!$A$1:$F$322,MATCH(order_items!$E$1,products!$A$1:$F$1,0),FALSE)</f>
        <v>3</v>
      </c>
      <c r="F1039" t="str">
        <f>VLOOKUP($E1039,categories!$A$1:$B$8,MATCH(order_items!$F$1,categories!$A$1:$B$1,0),FALSE)</f>
        <v>Cruisers Bicycles</v>
      </c>
      <c r="G1039">
        <v>1</v>
      </c>
      <c r="H1039">
        <v>269.99</v>
      </c>
      <c r="I1039" s="5">
        <v>0.2</v>
      </c>
      <c r="J1039">
        <f t="shared" si="32"/>
        <v>215.99200000000002</v>
      </c>
      <c r="K1039" s="9">
        <f t="shared" si="33"/>
        <v>-0.69693888525532666</v>
      </c>
    </row>
    <row r="1040" spans="1:11" x14ac:dyDescent="0.3">
      <c r="A1040">
        <v>371</v>
      </c>
      <c r="B1040">
        <v>2</v>
      </c>
      <c r="C1040">
        <v>12</v>
      </c>
      <c r="D1040" t="str">
        <f>VLOOKUP($C1040,products!$A$1:$F$322,MATCH(order_items!$D$1,products!$A$1:$F$1,0),FALSE)</f>
        <v>Electra Townie Original 21D - 2016</v>
      </c>
      <c r="E1040">
        <f>VLOOKUP($C1040,products!$A$1:$F$322,MATCH(order_items!$E$1,products!$A$1:$F$1,0),FALSE)</f>
        <v>3</v>
      </c>
      <c r="F1040" t="str">
        <f>VLOOKUP($E1040,categories!$A$1:$B$8,MATCH(order_items!$F$1,categories!$A$1:$B$1,0),FALSE)</f>
        <v>Cruisers Bicycles</v>
      </c>
      <c r="G1040">
        <v>1</v>
      </c>
      <c r="H1040">
        <v>549.99</v>
      </c>
      <c r="I1040" s="5">
        <v>0.2</v>
      </c>
      <c r="J1040">
        <f t="shared" si="32"/>
        <v>439.99200000000002</v>
      </c>
      <c r="K1040" s="9">
        <f t="shared" si="33"/>
        <v>-0.48993857929220308</v>
      </c>
    </row>
    <row r="1041" spans="1:11" x14ac:dyDescent="0.3">
      <c r="A1041">
        <v>372</v>
      </c>
      <c r="B1041">
        <v>1</v>
      </c>
      <c r="C1041">
        <v>11</v>
      </c>
      <c r="D1041" t="str">
        <f>VLOOKUP($C1041,products!$A$1:$F$322,MATCH(order_items!$D$1,products!$A$1:$F$1,0),FALSE)</f>
        <v>Surly Straggler 650b - 2016</v>
      </c>
      <c r="E1041">
        <f>VLOOKUP($C1041,products!$A$1:$F$322,MATCH(order_items!$E$1,products!$A$1:$F$1,0),FALSE)</f>
        <v>4</v>
      </c>
      <c r="F1041" t="str">
        <f>VLOOKUP($E1041,categories!$A$1:$B$8,MATCH(order_items!$F$1,categories!$A$1:$B$1,0),FALSE)</f>
        <v>Cyclocross Bicycles</v>
      </c>
      <c r="G1041">
        <v>1</v>
      </c>
      <c r="H1041">
        <v>1680.99</v>
      </c>
      <c r="I1041" s="5">
        <v>0.05</v>
      </c>
      <c r="J1041">
        <f t="shared" si="32"/>
        <v>1596.9404999999999</v>
      </c>
      <c r="K1041" s="9">
        <f t="shared" si="33"/>
        <v>0.3461947994374141</v>
      </c>
    </row>
    <row r="1042" spans="1:11" x14ac:dyDescent="0.3">
      <c r="A1042">
        <v>372</v>
      </c>
      <c r="B1042">
        <v>2</v>
      </c>
      <c r="C1042">
        <v>14</v>
      </c>
      <c r="D1042" t="str">
        <f>VLOOKUP($C1042,products!$A$1:$F$322,MATCH(order_items!$D$1,products!$A$1:$F$1,0),FALSE)</f>
        <v>Electra Girl's Hawaii 1 (16-inch) - 2015/2016</v>
      </c>
      <c r="E1042">
        <f>VLOOKUP($C1042,products!$A$1:$F$322,MATCH(order_items!$E$1,products!$A$1:$F$1,0),FALSE)</f>
        <v>3</v>
      </c>
      <c r="F1042" t="str">
        <f>VLOOKUP($E1042,categories!$A$1:$B$8,MATCH(order_items!$F$1,categories!$A$1:$B$1,0),FALSE)</f>
        <v>Cruisers Bicycles</v>
      </c>
      <c r="G1042">
        <v>2</v>
      </c>
      <c r="H1042">
        <v>269.99</v>
      </c>
      <c r="I1042" s="5">
        <v>0.1</v>
      </c>
      <c r="J1042">
        <f t="shared" si="32"/>
        <v>485.98200000000003</v>
      </c>
      <c r="K1042" s="9">
        <f t="shared" si="33"/>
        <v>-0.69693888525532666</v>
      </c>
    </row>
    <row r="1043" spans="1:11" x14ac:dyDescent="0.3">
      <c r="A1043">
        <v>372</v>
      </c>
      <c r="B1043">
        <v>3</v>
      </c>
      <c r="C1043">
        <v>5</v>
      </c>
      <c r="D1043" t="str">
        <f>VLOOKUP($C1043,products!$A$1:$F$322,MATCH(order_items!$D$1,products!$A$1:$F$1,0),FALSE)</f>
        <v>Heller Shagamaw Frame - 2016</v>
      </c>
      <c r="E1043">
        <f>VLOOKUP($C1043,products!$A$1:$F$322,MATCH(order_items!$E$1,products!$A$1:$F$1,0),FALSE)</f>
        <v>6</v>
      </c>
      <c r="F1043" t="str">
        <f>VLOOKUP($E1043,categories!$A$1:$B$8,MATCH(order_items!$F$1,categories!$A$1:$B$1,0),FALSE)</f>
        <v>Mountain Bikes</v>
      </c>
      <c r="G1043">
        <v>1</v>
      </c>
      <c r="H1043">
        <v>1320.99</v>
      </c>
      <c r="I1043" s="5">
        <v>0.1</v>
      </c>
      <c r="J1043">
        <f t="shared" si="32"/>
        <v>1188.8910000000001</v>
      </c>
      <c r="K1043" s="9">
        <f t="shared" si="33"/>
        <v>8.0051548913398024E-2</v>
      </c>
    </row>
    <row r="1044" spans="1:11" x14ac:dyDescent="0.3">
      <c r="A1044">
        <v>373</v>
      </c>
      <c r="B1044">
        <v>1</v>
      </c>
      <c r="C1044">
        <v>8</v>
      </c>
      <c r="D1044" t="str">
        <f>VLOOKUP($C1044,products!$A$1:$F$322,MATCH(order_items!$D$1,products!$A$1:$F$1,0),FALSE)</f>
        <v>Trek Remedy 29 Carbon Frameset - 2016</v>
      </c>
      <c r="E1044">
        <f>VLOOKUP($C1044,products!$A$1:$F$322,MATCH(order_items!$E$1,products!$A$1:$F$1,0),FALSE)</f>
        <v>6</v>
      </c>
      <c r="F1044" t="str">
        <f>VLOOKUP($E1044,categories!$A$1:$B$8,MATCH(order_items!$F$1,categories!$A$1:$B$1,0),FALSE)</f>
        <v>Mountain Bikes</v>
      </c>
      <c r="G1044">
        <v>2</v>
      </c>
      <c r="H1044">
        <v>1799.99</v>
      </c>
      <c r="I1044" s="5">
        <v>0.05</v>
      </c>
      <c r="J1044">
        <f t="shared" si="32"/>
        <v>3419.9809999999998</v>
      </c>
      <c r="K1044" s="9">
        <f t="shared" si="33"/>
        <v>0.43416992947174166</v>
      </c>
    </row>
    <row r="1045" spans="1:11" x14ac:dyDescent="0.3">
      <c r="A1045">
        <v>373</v>
      </c>
      <c r="B1045">
        <v>2</v>
      </c>
      <c r="C1045">
        <v>22</v>
      </c>
      <c r="D1045" t="str">
        <f>VLOOKUP($C1045,products!$A$1:$F$322,MATCH(order_items!$D$1,products!$A$1:$F$1,0),FALSE)</f>
        <v>Electra Girl's Hawaii 1 (16-inch) - 2015/2016</v>
      </c>
      <c r="E1045">
        <f>VLOOKUP($C1045,products!$A$1:$F$322,MATCH(order_items!$E$1,products!$A$1:$F$1,0),FALSE)</f>
        <v>1</v>
      </c>
      <c r="F1045" t="str">
        <f>VLOOKUP($E1045,categories!$A$1:$B$8,MATCH(order_items!$F$1,categories!$A$1:$B$1,0),FALSE)</f>
        <v>Children Bicycles</v>
      </c>
      <c r="G1045">
        <v>1</v>
      </c>
      <c r="H1045">
        <v>269.99</v>
      </c>
      <c r="I1045" s="5">
        <v>0.1</v>
      </c>
      <c r="J1045">
        <f t="shared" si="32"/>
        <v>242.99100000000001</v>
      </c>
      <c r="K1045" s="9">
        <f t="shared" si="33"/>
        <v>-0.69693888525532666</v>
      </c>
    </row>
    <row r="1046" spans="1:11" x14ac:dyDescent="0.3">
      <c r="A1046">
        <v>373</v>
      </c>
      <c r="B1046">
        <v>3</v>
      </c>
      <c r="C1046">
        <v>19</v>
      </c>
      <c r="D1046" t="str">
        <f>VLOOKUP($C1046,products!$A$1:$F$322,MATCH(order_items!$D$1,products!$A$1:$F$1,0),FALSE)</f>
        <v>Pure Cycles William 3-Speed - 2016</v>
      </c>
      <c r="E1046">
        <f>VLOOKUP($C1046,products!$A$1:$F$322,MATCH(order_items!$E$1,products!$A$1:$F$1,0),FALSE)</f>
        <v>3</v>
      </c>
      <c r="F1046" t="str">
        <f>VLOOKUP($E1046,categories!$A$1:$B$8,MATCH(order_items!$F$1,categories!$A$1:$B$1,0),FALSE)</f>
        <v>Cruisers Bicycles</v>
      </c>
      <c r="G1046">
        <v>2</v>
      </c>
      <c r="H1046">
        <v>449</v>
      </c>
      <c r="I1046" s="5">
        <v>0.2</v>
      </c>
      <c r="J1046">
        <f t="shared" si="32"/>
        <v>718.40000000000009</v>
      </c>
      <c r="K1046" s="9">
        <f t="shared" si="33"/>
        <v>-0.56459915393225968</v>
      </c>
    </row>
    <row r="1047" spans="1:11" x14ac:dyDescent="0.3">
      <c r="A1047">
        <v>373</v>
      </c>
      <c r="B1047">
        <v>4</v>
      </c>
      <c r="C1047">
        <v>12</v>
      </c>
      <c r="D1047" t="str">
        <f>VLOOKUP($C1047,products!$A$1:$F$322,MATCH(order_items!$D$1,products!$A$1:$F$1,0),FALSE)</f>
        <v>Electra Townie Original 21D - 2016</v>
      </c>
      <c r="E1047">
        <f>VLOOKUP($C1047,products!$A$1:$F$322,MATCH(order_items!$E$1,products!$A$1:$F$1,0),FALSE)</f>
        <v>3</v>
      </c>
      <c r="F1047" t="str">
        <f>VLOOKUP($E1047,categories!$A$1:$B$8,MATCH(order_items!$F$1,categories!$A$1:$B$1,0),FALSE)</f>
        <v>Cruisers Bicycles</v>
      </c>
      <c r="G1047">
        <v>1</v>
      </c>
      <c r="H1047">
        <v>549.99</v>
      </c>
      <c r="I1047" s="5">
        <v>0.1</v>
      </c>
      <c r="J1047">
        <f t="shared" si="32"/>
        <v>494.99100000000004</v>
      </c>
      <c r="K1047" s="9">
        <f t="shared" si="33"/>
        <v>-0.48993857929220308</v>
      </c>
    </row>
    <row r="1048" spans="1:11" x14ac:dyDescent="0.3">
      <c r="A1048">
        <v>373</v>
      </c>
      <c r="B1048">
        <v>5</v>
      </c>
      <c r="C1048">
        <v>13</v>
      </c>
      <c r="D1048" t="str">
        <f>VLOOKUP($C1048,products!$A$1:$F$322,MATCH(order_items!$D$1,products!$A$1:$F$1,0),FALSE)</f>
        <v>Electra Cruiser 1 (24-Inch) - 2016</v>
      </c>
      <c r="E1048">
        <f>VLOOKUP($C1048,products!$A$1:$F$322,MATCH(order_items!$E$1,products!$A$1:$F$1,0),FALSE)</f>
        <v>3</v>
      </c>
      <c r="F1048" t="str">
        <f>VLOOKUP($E1048,categories!$A$1:$B$8,MATCH(order_items!$F$1,categories!$A$1:$B$1,0),FALSE)</f>
        <v>Cruisers Bicycles</v>
      </c>
      <c r="G1048">
        <v>1</v>
      </c>
      <c r="H1048">
        <v>269.99</v>
      </c>
      <c r="I1048" s="5">
        <v>0.1</v>
      </c>
      <c r="J1048">
        <f t="shared" si="32"/>
        <v>242.99100000000001</v>
      </c>
      <c r="K1048" s="9">
        <f t="shared" si="33"/>
        <v>-0.69693888525532666</v>
      </c>
    </row>
    <row r="1049" spans="1:11" x14ac:dyDescent="0.3">
      <c r="A1049">
        <v>374</v>
      </c>
      <c r="B1049">
        <v>1</v>
      </c>
      <c r="C1049">
        <v>10</v>
      </c>
      <c r="D1049" t="str">
        <f>VLOOKUP($C1049,products!$A$1:$F$322,MATCH(order_items!$D$1,products!$A$1:$F$1,0),FALSE)</f>
        <v>Surly Straggler - 2016</v>
      </c>
      <c r="E1049">
        <f>VLOOKUP($C1049,products!$A$1:$F$322,MATCH(order_items!$E$1,products!$A$1:$F$1,0),FALSE)</f>
        <v>4</v>
      </c>
      <c r="F1049" t="str">
        <f>VLOOKUP($E1049,categories!$A$1:$B$8,MATCH(order_items!$F$1,categories!$A$1:$B$1,0),FALSE)</f>
        <v>Cyclocross Bicycles</v>
      </c>
      <c r="G1049">
        <v>1</v>
      </c>
      <c r="H1049">
        <v>1549</v>
      </c>
      <c r="I1049" s="5">
        <v>0.1</v>
      </c>
      <c r="J1049">
        <f t="shared" si="32"/>
        <v>1394.1000000000001</v>
      </c>
      <c r="K1049" s="9">
        <f t="shared" si="33"/>
        <v>0.24861633378001166</v>
      </c>
    </row>
    <row r="1050" spans="1:11" x14ac:dyDescent="0.3">
      <c r="A1050">
        <v>374</v>
      </c>
      <c r="B1050">
        <v>2</v>
      </c>
      <c r="C1050">
        <v>7</v>
      </c>
      <c r="D1050" t="str">
        <f>VLOOKUP($C1050,products!$A$1:$F$322,MATCH(order_items!$D$1,products!$A$1:$F$1,0),FALSE)</f>
        <v>Trek Slash 8 27.5 - 2016</v>
      </c>
      <c r="E1050">
        <f>VLOOKUP($C1050,products!$A$1:$F$322,MATCH(order_items!$E$1,products!$A$1:$F$1,0),FALSE)</f>
        <v>6</v>
      </c>
      <c r="F1050" t="str">
        <f>VLOOKUP($E1050,categories!$A$1:$B$8,MATCH(order_items!$F$1,categories!$A$1:$B$1,0),FALSE)</f>
        <v>Mountain Bikes</v>
      </c>
      <c r="G1050">
        <v>1</v>
      </c>
      <c r="H1050">
        <v>3999.99</v>
      </c>
      <c r="I1050" s="5">
        <v>7.0000000000000007E-2</v>
      </c>
      <c r="J1050">
        <f t="shared" si="32"/>
        <v>3719.9906999999994</v>
      </c>
      <c r="K1050" s="9">
        <f t="shared" si="33"/>
        <v>2.0606009048962846</v>
      </c>
    </row>
    <row r="1051" spans="1:11" x14ac:dyDescent="0.3">
      <c r="A1051">
        <v>375</v>
      </c>
      <c r="B1051">
        <v>1</v>
      </c>
      <c r="C1051">
        <v>21</v>
      </c>
      <c r="D1051" t="str">
        <f>VLOOKUP($C1051,products!$A$1:$F$322,MATCH(order_items!$D$1,products!$A$1:$F$1,0),FALSE)</f>
        <v>Electra Cruiser 1 (24-Inch) - 2016</v>
      </c>
      <c r="E1051">
        <f>VLOOKUP($C1051,products!$A$1:$F$322,MATCH(order_items!$E$1,products!$A$1:$F$1,0),FALSE)</f>
        <v>1</v>
      </c>
      <c r="F1051" t="str">
        <f>VLOOKUP($E1051,categories!$A$1:$B$8,MATCH(order_items!$F$1,categories!$A$1:$B$1,0),FALSE)</f>
        <v>Children Bicycles</v>
      </c>
      <c r="G1051">
        <v>2</v>
      </c>
      <c r="H1051">
        <v>269.99</v>
      </c>
      <c r="I1051" s="5">
        <v>0.05</v>
      </c>
      <c r="J1051">
        <f t="shared" si="32"/>
        <v>512.98099999999999</v>
      </c>
      <c r="K1051" s="9">
        <f t="shared" si="33"/>
        <v>-0.69693888525532666</v>
      </c>
    </row>
    <row r="1052" spans="1:11" x14ac:dyDescent="0.3">
      <c r="A1052">
        <v>375</v>
      </c>
      <c r="B1052">
        <v>2</v>
      </c>
      <c r="C1052">
        <v>2</v>
      </c>
      <c r="D1052" t="str">
        <f>VLOOKUP($C1052,products!$A$1:$F$322,MATCH(order_items!$D$1,products!$A$1:$F$1,0),FALSE)</f>
        <v>Ritchey Timberwolf Frameset - 2016</v>
      </c>
      <c r="E1052">
        <f>VLOOKUP($C1052,products!$A$1:$F$322,MATCH(order_items!$E$1,products!$A$1:$F$1,0),FALSE)</f>
        <v>6</v>
      </c>
      <c r="F1052" t="str">
        <f>VLOOKUP($E1052,categories!$A$1:$B$8,MATCH(order_items!$F$1,categories!$A$1:$B$1,0),FALSE)</f>
        <v>Mountain Bikes</v>
      </c>
      <c r="G1052">
        <v>2</v>
      </c>
      <c r="H1052">
        <v>749.99</v>
      </c>
      <c r="I1052" s="5">
        <v>0.05</v>
      </c>
      <c r="J1052">
        <f t="shared" si="32"/>
        <v>1424.981</v>
      </c>
      <c r="K1052" s="9">
        <f t="shared" si="33"/>
        <v>-0.34208121788997192</v>
      </c>
    </row>
    <row r="1053" spans="1:11" x14ac:dyDescent="0.3">
      <c r="A1053">
        <v>375</v>
      </c>
      <c r="B1053">
        <v>3</v>
      </c>
      <c r="C1053">
        <v>4</v>
      </c>
      <c r="D1053" t="str">
        <f>VLOOKUP($C1053,products!$A$1:$F$322,MATCH(order_items!$D$1,products!$A$1:$F$1,0),FALSE)</f>
        <v>Trek Fuel EX 8 29 - 2016</v>
      </c>
      <c r="E1053">
        <f>VLOOKUP($C1053,products!$A$1:$F$322,MATCH(order_items!$E$1,products!$A$1:$F$1,0),FALSE)</f>
        <v>6</v>
      </c>
      <c r="F1053" t="str">
        <f>VLOOKUP($E1053,categories!$A$1:$B$8,MATCH(order_items!$F$1,categories!$A$1:$B$1,0),FALSE)</f>
        <v>Mountain Bikes</v>
      </c>
      <c r="G1053">
        <v>2</v>
      </c>
      <c r="H1053">
        <v>2899.99</v>
      </c>
      <c r="I1053" s="5">
        <v>7.0000000000000007E-2</v>
      </c>
      <c r="J1053">
        <f t="shared" si="32"/>
        <v>5393.9813999999997</v>
      </c>
      <c r="K1053" s="9">
        <f t="shared" si="33"/>
        <v>1.2473854171840129</v>
      </c>
    </row>
    <row r="1054" spans="1:11" x14ac:dyDescent="0.3">
      <c r="A1054">
        <v>375</v>
      </c>
      <c r="B1054">
        <v>4</v>
      </c>
      <c r="C1054">
        <v>12</v>
      </c>
      <c r="D1054" t="str">
        <f>VLOOKUP($C1054,products!$A$1:$F$322,MATCH(order_items!$D$1,products!$A$1:$F$1,0),FALSE)</f>
        <v>Electra Townie Original 21D - 2016</v>
      </c>
      <c r="E1054">
        <f>VLOOKUP($C1054,products!$A$1:$F$322,MATCH(order_items!$E$1,products!$A$1:$F$1,0),FALSE)</f>
        <v>3</v>
      </c>
      <c r="F1054" t="str">
        <f>VLOOKUP($E1054,categories!$A$1:$B$8,MATCH(order_items!$F$1,categories!$A$1:$B$1,0),FALSE)</f>
        <v>Cruisers Bicycles</v>
      </c>
      <c r="G1054">
        <v>2</v>
      </c>
      <c r="H1054">
        <v>549.99</v>
      </c>
      <c r="I1054" s="5">
        <v>0.05</v>
      </c>
      <c r="J1054">
        <f t="shared" si="32"/>
        <v>1044.981</v>
      </c>
      <c r="K1054" s="9">
        <f t="shared" si="33"/>
        <v>-0.48993857929220308</v>
      </c>
    </row>
    <row r="1055" spans="1:11" x14ac:dyDescent="0.3">
      <c r="A1055">
        <v>376</v>
      </c>
      <c r="B1055">
        <v>1</v>
      </c>
      <c r="C1055">
        <v>2</v>
      </c>
      <c r="D1055" t="str">
        <f>VLOOKUP($C1055,products!$A$1:$F$322,MATCH(order_items!$D$1,products!$A$1:$F$1,0),FALSE)</f>
        <v>Ritchey Timberwolf Frameset - 2016</v>
      </c>
      <c r="E1055">
        <f>VLOOKUP($C1055,products!$A$1:$F$322,MATCH(order_items!$E$1,products!$A$1:$F$1,0),FALSE)</f>
        <v>6</v>
      </c>
      <c r="F1055" t="str">
        <f>VLOOKUP($E1055,categories!$A$1:$B$8,MATCH(order_items!$F$1,categories!$A$1:$B$1,0),FALSE)</f>
        <v>Mountain Bikes</v>
      </c>
      <c r="G1055">
        <v>2</v>
      </c>
      <c r="H1055">
        <v>749.99</v>
      </c>
      <c r="I1055" s="5">
        <v>7.0000000000000007E-2</v>
      </c>
      <c r="J1055">
        <f t="shared" si="32"/>
        <v>1394.9813999999999</v>
      </c>
      <c r="K1055" s="9">
        <f t="shared" si="33"/>
        <v>-0.34208121788997192</v>
      </c>
    </row>
    <row r="1056" spans="1:11" x14ac:dyDescent="0.3">
      <c r="A1056">
        <v>376</v>
      </c>
      <c r="B1056">
        <v>2</v>
      </c>
      <c r="C1056">
        <v>23</v>
      </c>
      <c r="D1056" t="str">
        <f>VLOOKUP($C1056,products!$A$1:$F$322,MATCH(order_items!$D$1,products!$A$1:$F$1,0),FALSE)</f>
        <v>Electra Girl's Hawaii 1 (20-inch) - 2015/2016</v>
      </c>
      <c r="E1056">
        <f>VLOOKUP($C1056,products!$A$1:$F$322,MATCH(order_items!$E$1,products!$A$1:$F$1,0),FALSE)</f>
        <v>1</v>
      </c>
      <c r="F1056" t="str">
        <f>VLOOKUP($E1056,categories!$A$1:$B$8,MATCH(order_items!$F$1,categories!$A$1:$B$1,0),FALSE)</f>
        <v>Children Bicycles</v>
      </c>
      <c r="G1056">
        <v>2</v>
      </c>
      <c r="H1056">
        <v>299.99</v>
      </c>
      <c r="I1056" s="5">
        <v>0.1</v>
      </c>
      <c r="J1056">
        <f t="shared" si="32"/>
        <v>539.98200000000008</v>
      </c>
      <c r="K1056" s="9">
        <f t="shared" si="33"/>
        <v>-0.67476028104499197</v>
      </c>
    </row>
    <row r="1057" spans="1:11" x14ac:dyDescent="0.3">
      <c r="A1057">
        <v>377</v>
      </c>
      <c r="B1057">
        <v>1</v>
      </c>
      <c r="C1057">
        <v>8</v>
      </c>
      <c r="D1057" t="str">
        <f>VLOOKUP($C1057,products!$A$1:$F$322,MATCH(order_items!$D$1,products!$A$1:$F$1,0),FALSE)</f>
        <v>Trek Remedy 29 Carbon Frameset - 2016</v>
      </c>
      <c r="E1057">
        <f>VLOOKUP($C1057,products!$A$1:$F$322,MATCH(order_items!$E$1,products!$A$1:$F$1,0),FALSE)</f>
        <v>6</v>
      </c>
      <c r="F1057" t="str">
        <f>VLOOKUP($E1057,categories!$A$1:$B$8,MATCH(order_items!$F$1,categories!$A$1:$B$1,0),FALSE)</f>
        <v>Mountain Bikes</v>
      </c>
      <c r="G1057">
        <v>1</v>
      </c>
      <c r="H1057">
        <v>1799.99</v>
      </c>
      <c r="I1057" s="5">
        <v>0.05</v>
      </c>
      <c r="J1057">
        <f t="shared" si="32"/>
        <v>1709.9904999999999</v>
      </c>
      <c r="K1057" s="9">
        <f t="shared" si="33"/>
        <v>0.43416992947174166</v>
      </c>
    </row>
    <row r="1058" spans="1:11" x14ac:dyDescent="0.3">
      <c r="A1058">
        <v>377</v>
      </c>
      <c r="B1058">
        <v>2</v>
      </c>
      <c r="C1058">
        <v>14</v>
      </c>
      <c r="D1058" t="str">
        <f>VLOOKUP($C1058,products!$A$1:$F$322,MATCH(order_items!$D$1,products!$A$1:$F$1,0),FALSE)</f>
        <v>Electra Girl's Hawaii 1 (16-inch) - 2015/2016</v>
      </c>
      <c r="E1058">
        <f>VLOOKUP($C1058,products!$A$1:$F$322,MATCH(order_items!$E$1,products!$A$1:$F$1,0),FALSE)</f>
        <v>3</v>
      </c>
      <c r="F1058" t="str">
        <f>VLOOKUP($E1058,categories!$A$1:$B$8,MATCH(order_items!$F$1,categories!$A$1:$B$1,0),FALSE)</f>
        <v>Cruisers Bicycles</v>
      </c>
      <c r="G1058">
        <v>1</v>
      </c>
      <c r="H1058">
        <v>269.99</v>
      </c>
      <c r="I1058" s="5">
        <v>7.0000000000000007E-2</v>
      </c>
      <c r="J1058">
        <f t="shared" si="32"/>
        <v>251.0907</v>
      </c>
      <c r="K1058" s="9">
        <f t="shared" si="33"/>
        <v>-0.69693888525532666</v>
      </c>
    </row>
    <row r="1059" spans="1:11" x14ac:dyDescent="0.3">
      <c r="A1059">
        <v>378</v>
      </c>
      <c r="B1059">
        <v>1</v>
      </c>
      <c r="C1059">
        <v>26</v>
      </c>
      <c r="D1059" t="str">
        <f>VLOOKUP($C1059,products!$A$1:$F$322,MATCH(order_items!$D$1,products!$A$1:$F$1,0),FALSE)</f>
        <v>Electra Townie Original 7D EQ - 2016</v>
      </c>
      <c r="E1059">
        <f>VLOOKUP($C1059,products!$A$1:$F$322,MATCH(order_items!$E$1,products!$A$1:$F$1,0),FALSE)</f>
        <v>2</v>
      </c>
      <c r="F1059" t="str">
        <f>VLOOKUP($E1059,categories!$A$1:$B$8,MATCH(order_items!$F$1,categories!$A$1:$B$1,0),FALSE)</f>
        <v>Comfort Bicycles</v>
      </c>
      <c r="G1059">
        <v>2</v>
      </c>
      <c r="H1059">
        <v>599.99</v>
      </c>
      <c r="I1059" s="5">
        <v>0.05</v>
      </c>
      <c r="J1059">
        <f t="shared" si="32"/>
        <v>1139.981</v>
      </c>
      <c r="K1059" s="9">
        <f t="shared" si="33"/>
        <v>-0.45297423894164529</v>
      </c>
    </row>
    <row r="1060" spans="1:11" x14ac:dyDescent="0.3">
      <c r="A1060">
        <v>379</v>
      </c>
      <c r="B1060">
        <v>1</v>
      </c>
      <c r="C1060">
        <v>9</v>
      </c>
      <c r="D1060" t="str">
        <f>VLOOKUP($C1060,products!$A$1:$F$322,MATCH(order_items!$D$1,products!$A$1:$F$1,0),FALSE)</f>
        <v>Trek Conduit+ - 2016</v>
      </c>
      <c r="E1060">
        <f>VLOOKUP($C1060,products!$A$1:$F$322,MATCH(order_items!$E$1,products!$A$1:$F$1,0),FALSE)</f>
        <v>5</v>
      </c>
      <c r="F1060" t="str">
        <f>VLOOKUP($E1060,categories!$A$1:$B$8,MATCH(order_items!$F$1,categories!$A$1:$B$1,0),FALSE)</f>
        <v>Electric Bikes</v>
      </c>
      <c r="G1060">
        <v>1</v>
      </c>
      <c r="H1060">
        <v>2999.99</v>
      </c>
      <c r="I1060" s="5">
        <v>7.0000000000000007E-2</v>
      </c>
      <c r="J1060">
        <f t="shared" si="32"/>
        <v>2789.9906999999998</v>
      </c>
      <c r="K1060" s="9">
        <f t="shared" si="33"/>
        <v>1.3213140978851283</v>
      </c>
    </row>
    <row r="1061" spans="1:11" x14ac:dyDescent="0.3">
      <c r="A1061">
        <v>379</v>
      </c>
      <c r="B1061">
        <v>2</v>
      </c>
      <c r="C1061">
        <v>16</v>
      </c>
      <c r="D1061" t="str">
        <f>VLOOKUP($C1061,products!$A$1:$F$322,MATCH(order_items!$D$1,products!$A$1:$F$1,0),FALSE)</f>
        <v>Electra Townie Original 7D EQ - 2016</v>
      </c>
      <c r="E1061">
        <f>VLOOKUP($C1061,products!$A$1:$F$322,MATCH(order_items!$E$1,products!$A$1:$F$1,0),FALSE)</f>
        <v>3</v>
      </c>
      <c r="F1061" t="str">
        <f>VLOOKUP($E1061,categories!$A$1:$B$8,MATCH(order_items!$F$1,categories!$A$1:$B$1,0),FALSE)</f>
        <v>Cruisers Bicycles</v>
      </c>
      <c r="G1061">
        <v>1</v>
      </c>
      <c r="H1061">
        <v>599.99</v>
      </c>
      <c r="I1061" s="5">
        <v>0.2</v>
      </c>
      <c r="J1061">
        <f t="shared" si="32"/>
        <v>479.99200000000002</v>
      </c>
      <c r="K1061" s="9">
        <f t="shared" si="33"/>
        <v>-0.45297423894164529</v>
      </c>
    </row>
    <row r="1062" spans="1:11" x14ac:dyDescent="0.3">
      <c r="A1062">
        <v>380</v>
      </c>
      <c r="B1062">
        <v>1</v>
      </c>
      <c r="C1062">
        <v>16</v>
      </c>
      <c r="D1062" t="str">
        <f>VLOOKUP($C1062,products!$A$1:$F$322,MATCH(order_items!$D$1,products!$A$1:$F$1,0),FALSE)</f>
        <v>Electra Townie Original 7D EQ - 2016</v>
      </c>
      <c r="E1062">
        <f>VLOOKUP($C1062,products!$A$1:$F$322,MATCH(order_items!$E$1,products!$A$1:$F$1,0),FALSE)</f>
        <v>3</v>
      </c>
      <c r="F1062" t="str">
        <f>VLOOKUP($E1062,categories!$A$1:$B$8,MATCH(order_items!$F$1,categories!$A$1:$B$1,0),FALSE)</f>
        <v>Cruisers Bicycles</v>
      </c>
      <c r="G1062">
        <v>1</v>
      </c>
      <c r="H1062">
        <v>599.99</v>
      </c>
      <c r="I1062" s="5">
        <v>0.05</v>
      </c>
      <c r="J1062">
        <f t="shared" si="32"/>
        <v>569.9905</v>
      </c>
      <c r="K1062" s="9">
        <f t="shared" si="33"/>
        <v>-0.45297423894164529</v>
      </c>
    </row>
    <row r="1063" spans="1:11" x14ac:dyDescent="0.3">
      <c r="A1063">
        <v>380</v>
      </c>
      <c r="B1063">
        <v>2</v>
      </c>
      <c r="C1063">
        <v>11</v>
      </c>
      <c r="D1063" t="str">
        <f>VLOOKUP($C1063,products!$A$1:$F$322,MATCH(order_items!$D$1,products!$A$1:$F$1,0),FALSE)</f>
        <v>Surly Straggler 650b - 2016</v>
      </c>
      <c r="E1063">
        <f>VLOOKUP($C1063,products!$A$1:$F$322,MATCH(order_items!$E$1,products!$A$1:$F$1,0),FALSE)</f>
        <v>4</v>
      </c>
      <c r="F1063" t="str">
        <f>VLOOKUP($E1063,categories!$A$1:$B$8,MATCH(order_items!$F$1,categories!$A$1:$B$1,0),FALSE)</f>
        <v>Cyclocross Bicycles</v>
      </c>
      <c r="G1063">
        <v>2</v>
      </c>
      <c r="H1063">
        <v>1680.99</v>
      </c>
      <c r="I1063" s="5">
        <v>0.05</v>
      </c>
      <c r="J1063">
        <f t="shared" si="32"/>
        <v>3193.8809999999999</v>
      </c>
      <c r="K1063" s="9">
        <f t="shared" si="33"/>
        <v>0.3461947994374141</v>
      </c>
    </row>
    <row r="1064" spans="1:11" x14ac:dyDescent="0.3">
      <c r="A1064">
        <v>381</v>
      </c>
      <c r="B1064">
        <v>1</v>
      </c>
      <c r="C1064">
        <v>21</v>
      </c>
      <c r="D1064" t="str">
        <f>VLOOKUP($C1064,products!$A$1:$F$322,MATCH(order_items!$D$1,products!$A$1:$F$1,0),FALSE)</f>
        <v>Electra Cruiser 1 (24-Inch) - 2016</v>
      </c>
      <c r="E1064">
        <f>VLOOKUP($C1064,products!$A$1:$F$322,MATCH(order_items!$E$1,products!$A$1:$F$1,0),FALSE)</f>
        <v>1</v>
      </c>
      <c r="F1064" t="str">
        <f>VLOOKUP($E1064,categories!$A$1:$B$8,MATCH(order_items!$F$1,categories!$A$1:$B$1,0),FALSE)</f>
        <v>Children Bicycles</v>
      </c>
      <c r="G1064">
        <v>2</v>
      </c>
      <c r="H1064">
        <v>269.99</v>
      </c>
      <c r="I1064" s="5">
        <v>7.0000000000000007E-2</v>
      </c>
      <c r="J1064">
        <f t="shared" si="32"/>
        <v>502.1814</v>
      </c>
      <c r="K1064" s="9">
        <f t="shared" si="33"/>
        <v>-0.69693888525532666</v>
      </c>
    </row>
    <row r="1065" spans="1:11" x14ac:dyDescent="0.3">
      <c r="A1065">
        <v>382</v>
      </c>
      <c r="B1065">
        <v>1</v>
      </c>
      <c r="C1065">
        <v>8</v>
      </c>
      <c r="D1065" t="str">
        <f>VLOOKUP($C1065,products!$A$1:$F$322,MATCH(order_items!$D$1,products!$A$1:$F$1,0),FALSE)</f>
        <v>Trek Remedy 29 Carbon Frameset - 2016</v>
      </c>
      <c r="E1065">
        <f>VLOOKUP($C1065,products!$A$1:$F$322,MATCH(order_items!$E$1,products!$A$1:$F$1,0),FALSE)</f>
        <v>6</v>
      </c>
      <c r="F1065" t="str">
        <f>VLOOKUP($E1065,categories!$A$1:$B$8,MATCH(order_items!$F$1,categories!$A$1:$B$1,0),FALSE)</f>
        <v>Mountain Bikes</v>
      </c>
      <c r="G1065">
        <v>1</v>
      </c>
      <c r="H1065">
        <v>1799.99</v>
      </c>
      <c r="I1065" s="5">
        <v>0.1</v>
      </c>
      <c r="J1065">
        <f t="shared" si="32"/>
        <v>1619.991</v>
      </c>
      <c r="K1065" s="9">
        <f t="shared" si="33"/>
        <v>0.43416992947174166</v>
      </c>
    </row>
    <row r="1066" spans="1:11" x14ac:dyDescent="0.3">
      <c r="A1066">
        <v>382</v>
      </c>
      <c r="B1066">
        <v>2</v>
      </c>
      <c r="C1066">
        <v>9</v>
      </c>
      <c r="D1066" t="str">
        <f>VLOOKUP($C1066,products!$A$1:$F$322,MATCH(order_items!$D$1,products!$A$1:$F$1,0),FALSE)</f>
        <v>Trek Conduit+ - 2016</v>
      </c>
      <c r="E1066">
        <f>VLOOKUP($C1066,products!$A$1:$F$322,MATCH(order_items!$E$1,products!$A$1:$F$1,0),FALSE)</f>
        <v>5</v>
      </c>
      <c r="F1066" t="str">
        <f>VLOOKUP($E1066,categories!$A$1:$B$8,MATCH(order_items!$F$1,categories!$A$1:$B$1,0),FALSE)</f>
        <v>Electric Bikes</v>
      </c>
      <c r="G1066">
        <v>1</v>
      </c>
      <c r="H1066">
        <v>2999.99</v>
      </c>
      <c r="I1066" s="5">
        <v>0.1</v>
      </c>
      <c r="J1066">
        <f t="shared" si="32"/>
        <v>2699.991</v>
      </c>
      <c r="K1066" s="9">
        <f t="shared" si="33"/>
        <v>1.3213140978851283</v>
      </c>
    </row>
    <row r="1067" spans="1:11" x14ac:dyDescent="0.3">
      <c r="A1067">
        <v>382</v>
      </c>
      <c r="B1067">
        <v>3</v>
      </c>
      <c r="C1067">
        <v>13</v>
      </c>
      <c r="D1067" t="str">
        <f>VLOOKUP($C1067,products!$A$1:$F$322,MATCH(order_items!$D$1,products!$A$1:$F$1,0),FALSE)</f>
        <v>Electra Cruiser 1 (24-Inch) - 2016</v>
      </c>
      <c r="E1067">
        <f>VLOOKUP($C1067,products!$A$1:$F$322,MATCH(order_items!$E$1,products!$A$1:$F$1,0),FALSE)</f>
        <v>3</v>
      </c>
      <c r="F1067" t="str">
        <f>VLOOKUP($E1067,categories!$A$1:$B$8,MATCH(order_items!$F$1,categories!$A$1:$B$1,0),FALSE)</f>
        <v>Cruisers Bicycles</v>
      </c>
      <c r="G1067">
        <v>1</v>
      </c>
      <c r="H1067">
        <v>269.99</v>
      </c>
      <c r="I1067" s="5">
        <v>7.0000000000000007E-2</v>
      </c>
      <c r="J1067">
        <f t="shared" si="32"/>
        <v>251.0907</v>
      </c>
      <c r="K1067" s="9">
        <f t="shared" si="33"/>
        <v>-0.69693888525532666</v>
      </c>
    </row>
    <row r="1068" spans="1:11" x14ac:dyDescent="0.3">
      <c r="A1068">
        <v>383</v>
      </c>
      <c r="B1068">
        <v>1</v>
      </c>
      <c r="C1068">
        <v>19</v>
      </c>
      <c r="D1068" t="str">
        <f>VLOOKUP($C1068,products!$A$1:$F$322,MATCH(order_items!$D$1,products!$A$1:$F$1,0),FALSE)</f>
        <v>Pure Cycles William 3-Speed - 2016</v>
      </c>
      <c r="E1068">
        <f>VLOOKUP($C1068,products!$A$1:$F$322,MATCH(order_items!$E$1,products!$A$1:$F$1,0),FALSE)</f>
        <v>3</v>
      </c>
      <c r="F1068" t="str">
        <f>VLOOKUP($E1068,categories!$A$1:$B$8,MATCH(order_items!$F$1,categories!$A$1:$B$1,0),FALSE)</f>
        <v>Cruisers Bicycles</v>
      </c>
      <c r="G1068">
        <v>1</v>
      </c>
      <c r="H1068">
        <v>449</v>
      </c>
      <c r="I1068" s="5">
        <v>7.0000000000000007E-2</v>
      </c>
      <c r="J1068">
        <f t="shared" si="32"/>
        <v>417.57</v>
      </c>
      <c r="K1068" s="9">
        <f t="shared" si="33"/>
        <v>-0.56459915393225968</v>
      </c>
    </row>
    <row r="1069" spans="1:11" x14ac:dyDescent="0.3">
      <c r="A1069">
        <v>383</v>
      </c>
      <c r="B1069">
        <v>2</v>
      </c>
      <c r="C1069">
        <v>22</v>
      </c>
      <c r="D1069" t="str">
        <f>VLOOKUP($C1069,products!$A$1:$F$322,MATCH(order_items!$D$1,products!$A$1:$F$1,0),FALSE)</f>
        <v>Electra Girl's Hawaii 1 (16-inch) - 2015/2016</v>
      </c>
      <c r="E1069">
        <f>VLOOKUP($C1069,products!$A$1:$F$322,MATCH(order_items!$E$1,products!$A$1:$F$1,0),FALSE)</f>
        <v>1</v>
      </c>
      <c r="F1069" t="str">
        <f>VLOOKUP($E1069,categories!$A$1:$B$8,MATCH(order_items!$F$1,categories!$A$1:$B$1,0),FALSE)</f>
        <v>Children Bicycles</v>
      </c>
      <c r="G1069">
        <v>2</v>
      </c>
      <c r="H1069">
        <v>269.99</v>
      </c>
      <c r="I1069" s="5">
        <v>0.05</v>
      </c>
      <c r="J1069">
        <f t="shared" si="32"/>
        <v>512.98099999999999</v>
      </c>
      <c r="K1069" s="9">
        <f t="shared" si="33"/>
        <v>-0.69693888525532666</v>
      </c>
    </row>
    <row r="1070" spans="1:11" x14ac:dyDescent="0.3">
      <c r="A1070">
        <v>383</v>
      </c>
      <c r="B1070">
        <v>3</v>
      </c>
      <c r="C1070">
        <v>13</v>
      </c>
      <c r="D1070" t="str">
        <f>VLOOKUP($C1070,products!$A$1:$F$322,MATCH(order_items!$D$1,products!$A$1:$F$1,0),FALSE)</f>
        <v>Electra Cruiser 1 (24-Inch) - 2016</v>
      </c>
      <c r="E1070">
        <f>VLOOKUP($C1070,products!$A$1:$F$322,MATCH(order_items!$E$1,products!$A$1:$F$1,0),FALSE)</f>
        <v>3</v>
      </c>
      <c r="F1070" t="str">
        <f>VLOOKUP($E1070,categories!$A$1:$B$8,MATCH(order_items!$F$1,categories!$A$1:$B$1,0),FALSE)</f>
        <v>Cruisers Bicycles</v>
      </c>
      <c r="G1070">
        <v>1</v>
      </c>
      <c r="H1070">
        <v>269.99</v>
      </c>
      <c r="I1070" s="5">
        <v>0.1</v>
      </c>
      <c r="J1070">
        <f t="shared" si="32"/>
        <v>242.99100000000001</v>
      </c>
      <c r="K1070" s="9">
        <f t="shared" si="33"/>
        <v>-0.69693888525532666</v>
      </c>
    </row>
    <row r="1071" spans="1:11" x14ac:dyDescent="0.3">
      <c r="A1071">
        <v>383</v>
      </c>
      <c r="B1071">
        <v>4</v>
      </c>
      <c r="C1071">
        <v>21</v>
      </c>
      <c r="D1071" t="str">
        <f>VLOOKUP($C1071,products!$A$1:$F$322,MATCH(order_items!$D$1,products!$A$1:$F$1,0),FALSE)</f>
        <v>Electra Cruiser 1 (24-Inch) - 2016</v>
      </c>
      <c r="E1071">
        <f>VLOOKUP($C1071,products!$A$1:$F$322,MATCH(order_items!$E$1,products!$A$1:$F$1,0),FALSE)</f>
        <v>1</v>
      </c>
      <c r="F1071" t="str">
        <f>VLOOKUP($E1071,categories!$A$1:$B$8,MATCH(order_items!$F$1,categories!$A$1:$B$1,0),FALSE)</f>
        <v>Children Bicycles</v>
      </c>
      <c r="G1071">
        <v>2</v>
      </c>
      <c r="H1071">
        <v>269.99</v>
      </c>
      <c r="I1071" s="5">
        <v>0.05</v>
      </c>
      <c r="J1071">
        <f t="shared" si="32"/>
        <v>512.98099999999999</v>
      </c>
      <c r="K1071" s="9">
        <f t="shared" si="33"/>
        <v>-0.69693888525532666</v>
      </c>
    </row>
    <row r="1072" spans="1:11" x14ac:dyDescent="0.3">
      <c r="A1072">
        <v>383</v>
      </c>
      <c r="B1072">
        <v>5</v>
      </c>
      <c r="C1072">
        <v>14</v>
      </c>
      <c r="D1072" t="str">
        <f>VLOOKUP($C1072,products!$A$1:$F$322,MATCH(order_items!$D$1,products!$A$1:$F$1,0),FALSE)</f>
        <v>Electra Girl's Hawaii 1 (16-inch) - 2015/2016</v>
      </c>
      <c r="E1072">
        <f>VLOOKUP($C1072,products!$A$1:$F$322,MATCH(order_items!$E$1,products!$A$1:$F$1,0),FALSE)</f>
        <v>3</v>
      </c>
      <c r="F1072" t="str">
        <f>VLOOKUP($E1072,categories!$A$1:$B$8,MATCH(order_items!$F$1,categories!$A$1:$B$1,0),FALSE)</f>
        <v>Cruisers Bicycles</v>
      </c>
      <c r="G1072">
        <v>1</v>
      </c>
      <c r="H1072">
        <v>269.99</v>
      </c>
      <c r="I1072" s="5">
        <v>0.1</v>
      </c>
      <c r="J1072">
        <f t="shared" si="32"/>
        <v>242.99100000000001</v>
      </c>
      <c r="K1072" s="9">
        <f t="shared" si="33"/>
        <v>-0.69693888525532666</v>
      </c>
    </row>
    <row r="1073" spans="1:11" x14ac:dyDescent="0.3">
      <c r="A1073">
        <v>384</v>
      </c>
      <c r="B1073">
        <v>1</v>
      </c>
      <c r="C1073">
        <v>20</v>
      </c>
      <c r="D1073" t="str">
        <f>VLOOKUP($C1073,products!$A$1:$F$322,MATCH(order_items!$D$1,products!$A$1:$F$1,0),FALSE)</f>
        <v>Electra Townie Original 7D EQ - Women's - 2016</v>
      </c>
      <c r="E1073">
        <f>VLOOKUP($C1073,products!$A$1:$F$322,MATCH(order_items!$E$1,products!$A$1:$F$1,0),FALSE)</f>
        <v>3</v>
      </c>
      <c r="F1073" t="str">
        <f>VLOOKUP($E1073,categories!$A$1:$B$8,MATCH(order_items!$F$1,categories!$A$1:$B$1,0),FALSE)</f>
        <v>Cruisers Bicycles</v>
      </c>
      <c r="G1073">
        <v>1</v>
      </c>
      <c r="H1073">
        <v>599.99</v>
      </c>
      <c r="I1073" s="5">
        <v>0.1</v>
      </c>
      <c r="J1073">
        <f t="shared" si="32"/>
        <v>539.99099999999999</v>
      </c>
      <c r="K1073" s="9">
        <f t="shared" si="33"/>
        <v>-0.45297423894164529</v>
      </c>
    </row>
    <row r="1074" spans="1:11" x14ac:dyDescent="0.3">
      <c r="A1074">
        <v>384</v>
      </c>
      <c r="B1074">
        <v>2</v>
      </c>
      <c r="C1074">
        <v>21</v>
      </c>
      <c r="D1074" t="str">
        <f>VLOOKUP($C1074,products!$A$1:$F$322,MATCH(order_items!$D$1,products!$A$1:$F$1,0),FALSE)</f>
        <v>Electra Cruiser 1 (24-Inch) - 2016</v>
      </c>
      <c r="E1074">
        <f>VLOOKUP($C1074,products!$A$1:$F$322,MATCH(order_items!$E$1,products!$A$1:$F$1,0),FALSE)</f>
        <v>1</v>
      </c>
      <c r="F1074" t="str">
        <f>VLOOKUP($E1074,categories!$A$1:$B$8,MATCH(order_items!$F$1,categories!$A$1:$B$1,0),FALSE)</f>
        <v>Children Bicycles</v>
      </c>
      <c r="G1074">
        <v>2</v>
      </c>
      <c r="H1074">
        <v>269.99</v>
      </c>
      <c r="I1074" s="5">
        <v>0.2</v>
      </c>
      <c r="J1074">
        <f t="shared" si="32"/>
        <v>431.98400000000004</v>
      </c>
      <c r="K1074" s="9">
        <f t="shared" si="33"/>
        <v>-0.69693888525532666</v>
      </c>
    </row>
    <row r="1075" spans="1:11" x14ac:dyDescent="0.3">
      <c r="A1075">
        <v>384</v>
      </c>
      <c r="B1075">
        <v>3</v>
      </c>
      <c r="C1075">
        <v>8</v>
      </c>
      <c r="D1075" t="str">
        <f>VLOOKUP($C1075,products!$A$1:$F$322,MATCH(order_items!$D$1,products!$A$1:$F$1,0),FALSE)</f>
        <v>Trek Remedy 29 Carbon Frameset - 2016</v>
      </c>
      <c r="E1075">
        <f>VLOOKUP($C1075,products!$A$1:$F$322,MATCH(order_items!$E$1,products!$A$1:$F$1,0),FALSE)</f>
        <v>6</v>
      </c>
      <c r="F1075" t="str">
        <f>VLOOKUP($E1075,categories!$A$1:$B$8,MATCH(order_items!$F$1,categories!$A$1:$B$1,0),FALSE)</f>
        <v>Mountain Bikes</v>
      </c>
      <c r="G1075">
        <v>1</v>
      </c>
      <c r="H1075">
        <v>1799.99</v>
      </c>
      <c r="I1075" s="5">
        <v>0.05</v>
      </c>
      <c r="J1075">
        <f t="shared" si="32"/>
        <v>1709.9904999999999</v>
      </c>
      <c r="K1075" s="9">
        <f t="shared" si="33"/>
        <v>0.43416992947174166</v>
      </c>
    </row>
    <row r="1076" spans="1:11" x14ac:dyDescent="0.3">
      <c r="A1076">
        <v>384</v>
      </c>
      <c r="B1076">
        <v>4</v>
      </c>
      <c r="C1076">
        <v>15</v>
      </c>
      <c r="D1076" t="str">
        <f>VLOOKUP($C1076,products!$A$1:$F$322,MATCH(order_items!$D$1,products!$A$1:$F$1,0),FALSE)</f>
        <v>Electra Moto 1 - 2016</v>
      </c>
      <c r="E1076">
        <f>VLOOKUP($C1076,products!$A$1:$F$322,MATCH(order_items!$E$1,products!$A$1:$F$1,0),FALSE)</f>
        <v>3</v>
      </c>
      <c r="F1076" t="str">
        <f>VLOOKUP($E1076,categories!$A$1:$B$8,MATCH(order_items!$F$1,categories!$A$1:$B$1,0),FALSE)</f>
        <v>Cruisers Bicycles</v>
      </c>
      <c r="G1076">
        <v>1</v>
      </c>
      <c r="H1076">
        <v>529.99</v>
      </c>
      <c r="I1076" s="5">
        <v>0.1</v>
      </c>
      <c r="J1076">
        <f t="shared" si="32"/>
        <v>476.99100000000004</v>
      </c>
      <c r="K1076" s="9">
        <f t="shared" si="33"/>
        <v>-0.50472431543242624</v>
      </c>
    </row>
    <row r="1077" spans="1:11" x14ac:dyDescent="0.3">
      <c r="A1077">
        <v>384</v>
      </c>
      <c r="B1077">
        <v>5</v>
      </c>
      <c r="C1077">
        <v>4</v>
      </c>
      <c r="D1077" t="str">
        <f>VLOOKUP($C1077,products!$A$1:$F$322,MATCH(order_items!$D$1,products!$A$1:$F$1,0),FALSE)</f>
        <v>Trek Fuel EX 8 29 - 2016</v>
      </c>
      <c r="E1077">
        <f>VLOOKUP($C1077,products!$A$1:$F$322,MATCH(order_items!$E$1,products!$A$1:$F$1,0),FALSE)</f>
        <v>6</v>
      </c>
      <c r="F1077" t="str">
        <f>VLOOKUP($E1077,categories!$A$1:$B$8,MATCH(order_items!$F$1,categories!$A$1:$B$1,0),FALSE)</f>
        <v>Mountain Bikes</v>
      </c>
      <c r="G1077">
        <v>1</v>
      </c>
      <c r="H1077">
        <v>2899.99</v>
      </c>
      <c r="I1077" s="5">
        <v>0.2</v>
      </c>
      <c r="J1077">
        <f t="shared" si="32"/>
        <v>2319.9919999999997</v>
      </c>
      <c r="K1077" s="9">
        <f t="shared" si="33"/>
        <v>1.2473854171840129</v>
      </c>
    </row>
    <row r="1078" spans="1:11" x14ac:dyDescent="0.3">
      <c r="A1078">
        <v>385</v>
      </c>
      <c r="B1078">
        <v>1</v>
      </c>
      <c r="C1078">
        <v>21</v>
      </c>
      <c r="D1078" t="str">
        <f>VLOOKUP($C1078,products!$A$1:$F$322,MATCH(order_items!$D$1,products!$A$1:$F$1,0),FALSE)</f>
        <v>Electra Cruiser 1 (24-Inch) - 2016</v>
      </c>
      <c r="E1078">
        <f>VLOOKUP($C1078,products!$A$1:$F$322,MATCH(order_items!$E$1,products!$A$1:$F$1,0),FALSE)</f>
        <v>1</v>
      </c>
      <c r="F1078" t="str">
        <f>VLOOKUP($E1078,categories!$A$1:$B$8,MATCH(order_items!$F$1,categories!$A$1:$B$1,0),FALSE)</f>
        <v>Children Bicycles</v>
      </c>
      <c r="G1078">
        <v>1</v>
      </c>
      <c r="H1078">
        <v>269.99</v>
      </c>
      <c r="I1078" s="5">
        <v>7.0000000000000007E-2</v>
      </c>
      <c r="J1078">
        <f t="shared" si="32"/>
        <v>251.0907</v>
      </c>
      <c r="K1078" s="9">
        <f t="shared" si="33"/>
        <v>-0.69693888525532666</v>
      </c>
    </row>
    <row r="1079" spans="1:11" x14ac:dyDescent="0.3">
      <c r="A1079">
        <v>385</v>
      </c>
      <c r="B1079">
        <v>2</v>
      </c>
      <c r="C1079">
        <v>7</v>
      </c>
      <c r="D1079" t="str">
        <f>VLOOKUP($C1079,products!$A$1:$F$322,MATCH(order_items!$D$1,products!$A$1:$F$1,0),FALSE)</f>
        <v>Trek Slash 8 27.5 - 2016</v>
      </c>
      <c r="E1079">
        <f>VLOOKUP($C1079,products!$A$1:$F$322,MATCH(order_items!$E$1,products!$A$1:$F$1,0),FALSE)</f>
        <v>6</v>
      </c>
      <c r="F1079" t="str">
        <f>VLOOKUP($E1079,categories!$A$1:$B$8,MATCH(order_items!$F$1,categories!$A$1:$B$1,0),FALSE)</f>
        <v>Mountain Bikes</v>
      </c>
      <c r="G1079">
        <v>2</v>
      </c>
      <c r="H1079">
        <v>3999.99</v>
      </c>
      <c r="I1079" s="5">
        <v>0.2</v>
      </c>
      <c r="J1079">
        <f t="shared" si="32"/>
        <v>6399.9840000000004</v>
      </c>
      <c r="K1079" s="9">
        <f t="shared" si="33"/>
        <v>2.0606009048962846</v>
      </c>
    </row>
    <row r="1080" spans="1:11" x14ac:dyDescent="0.3">
      <c r="A1080">
        <v>385</v>
      </c>
      <c r="B1080">
        <v>3</v>
      </c>
      <c r="C1080">
        <v>26</v>
      </c>
      <c r="D1080" t="str">
        <f>VLOOKUP($C1080,products!$A$1:$F$322,MATCH(order_items!$D$1,products!$A$1:$F$1,0),FALSE)</f>
        <v>Electra Townie Original 7D EQ - 2016</v>
      </c>
      <c r="E1080">
        <f>VLOOKUP($C1080,products!$A$1:$F$322,MATCH(order_items!$E$1,products!$A$1:$F$1,0),FALSE)</f>
        <v>2</v>
      </c>
      <c r="F1080" t="str">
        <f>VLOOKUP($E1080,categories!$A$1:$B$8,MATCH(order_items!$F$1,categories!$A$1:$B$1,0),FALSE)</f>
        <v>Comfort Bicycles</v>
      </c>
      <c r="G1080">
        <v>2</v>
      </c>
      <c r="H1080">
        <v>599.99</v>
      </c>
      <c r="I1080" s="5">
        <v>0.05</v>
      </c>
      <c r="J1080">
        <f t="shared" si="32"/>
        <v>1139.981</v>
      </c>
      <c r="K1080" s="9">
        <f t="shared" si="33"/>
        <v>-0.45297423894164529</v>
      </c>
    </row>
    <row r="1081" spans="1:11" x14ac:dyDescent="0.3">
      <c r="A1081">
        <v>386</v>
      </c>
      <c r="B1081">
        <v>1</v>
      </c>
      <c r="C1081">
        <v>8</v>
      </c>
      <c r="D1081" t="str">
        <f>VLOOKUP($C1081,products!$A$1:$F$322,MATCH(order_items!$D$1,products!$A$1:$F$1,0),FALSE)</f>
        <v>Trek Remedy 29 Carbon Frameset - 2016</v>
      </c>
      <c r="E1081">
        <f>VLOOKUP($C1081,products!$A$1:$F$322,MATCH(order_items!$E$1,products!$A$1:$F$1,0),FALSE)</f>
        <v>6</v>
      </c>
      <c r="F1081" t="str">
        <f>VLOOKUP($E1081,categories!$A$1:$B$8,MATCH(order_items!$F$1,categories!$A$1:$B$1,0),FALSE)</f>
        <v>Mountain Bikes</v>
      </c>
      <c r="G1081">
        <v>1</v>
      </c>
      <c r="H1081">
        <v>1799.99</v>
      </c>
      <c r="I1081" s="5">
        <v>0.2</v>
      </c>
      <c r="J1081">
        <f t="shared" si="32"/>
        <v>1439.9920000000002</v>
      </c>
      <c r="K1081" s="9">
        <f t="shared" si="33"/>
        <v>0.43416992947174166</v>
      </c>
    </row>
    <row r="1082" spans="1:11" x14ac:dyDescent="0.3">
      <c r="A1082">
        <v>386</v>
      </c>
      <c r="B1082">
        <v>2</v>
      </c>
      <c r="C1082">
        <v>3</v>
      </c>
      <c r="D1082" t="str">
        <f>VLOOKUP($C1082,products!$A$1:$F$322,MATCH(order_items!$D$1,products!$A$1:$F$1,0),FALSE)</f>
        <v>Surly Wednesday Frameset - 2016</v>
      </c>
      <c r="E1082">
        <f>VLOOKUP($C1082,products!$A$1:$F$322,MATCH(order_items!$E$1,products!$A$1:$F$1,0),FALSE)</f>
        <v>6</v>
      </c>
      <c r="F1082" t="str">
        <f>VLOOKUP($E1082,categories!$A$1:$B$8,MATCH(order_items!$F$1,categories!$A$1:$B$1,0),FALSE)</f>
        <v>Mountain Bikes</v>
      </c>
      <c r="G1082">
        <v>2</v>
      </c>
      <c r="H1082">
        <v>999.99</v>
      </c>
      <c r="I1082" s="5">
        <v>0.05</v>
      </c>
      <c r="J1082">
        <f t="shared" si="32"/>
        <v>1899.981</v>
      </c>
      <c r="K1082" s="9">
        <f t="shared" si="33"/>
        <v>-0.15725951613718298</v>
      </c>
    </row>
    <row r="1083" spans="1:11" x14ac:dyDescent="0.3">
      <c r="A1083">
        <v>386</v>
      </c>
      <c r="B1083">
        <v>3</v>
      </c>
      <c r="C1083">
        <v>16</v>
      </c>
      <c r="D1083" t="str">
        <f>VLOOKUP($C1083,products!$A$1:$F$322,MATCH(order_items!$D$1,products!$A$1:$F$1,0),FALSE)</f>
        <v>Electra Townie Original 7D EQ - 2016</v>
      </c>
      <c r="E1083">
        <f>VLOOKUP($C1083,products!$A$1:$F$322,MATCH(order_items!$E$1,products!$A$1:$F$1,0),FALSE)</f>
        <v>3</v>
      </c>
      <c r="F1083" t="str">
        <f>VLOOKUP($E1083,categories!$A$1:$B$8,MATCH(order_items!$F$1,categories!$A$1:$B$1,0),FALSE)</f>
        <v>Cruisers Bicycles</v>
      </c>
      <c r="G1083">
        <v>2</v>
      </c>
      <c r="H1083">
        <v>599.99</v>
      </c>
      <c r="I1083" s="5">
        <v>0.2</v>
      </c>
      <c r="J1083">
        <f t="shared" si="32"/>
        <v>959.98400000000004</v>
      </c>
      <c r="K1083" s="9">
        <f t="shared" si="33"/>
        <v>-0.45297423894164529</v>
      </c>
    </row>
    <row r="1084" spans="1:11" x14ac:dyDescent="0.3">
      <c r="A1084">
        <v>387</v>
      </c>
      <c r="B1084">
        <v>1</v>
      </c>
      <c r="C1084">
        <v>18</v>
      </c>
      <c r="D1084" t="str">
        <f>VLOOKUP($C1084,products!$A$1:$F$322,MATCH(order_items!$D$1,products!$A$1:$F$1,0),FALSE)</f>
        <v>Pure Cycles Western 3-Speed - Women's - 2015/2016</v>
      </c>
      <c r="E1084">
        <f>VLOOKUP($C1084,products!$A$1:$F$322,MATCH(order_items!$E$1,products!$A$1:$F$1,0),FALSE)</f>
        <v>3</v>
      </c>
      <c r="F1084" t="str">
        <f>VLOOKUP($E1084,categories!$A$1:$B$8,MATCH(order_items!$F$1,categories!$A$1:$B$1,0),FALSE)</f>
        <v>Cruisers Bicycles</v>
      </c>
      <c r="G1084">
        <v>1</v>
      </c>
      <c r="H1084">
        <v>449</v>
      </c>
      <c r="I1084" s="5">
        <v>0.2</v>
      </c>
      <c r="J1084">
        <f t="shared" si="32"/>
        <v>359.20000000000005</v>
      </c>
      <c r="K1084" s="9">
        <f t="shared" si="33"/>
        <v>-0.56459915393225968</v>
      </c>
    </row>
    <row r="1085" spans="1:11" x14ac:dyDescent="0.3">
      <c r="A1085">
        <v>388</v>
      </c>
      <c r="B1085">
        <v>1</v>
      </c>
      <c r="C1085">
        <v>19</v>
      </c>
      <c r="D1085" t="str">
        <f>VLOOKUP($C1085,products!$A$1:$F$322,MATCH(order_items!$D$1,products!$A$1:$F$1,0),FALSE)</f>
        <v>Pure Cycles William 3-Speed - 2016</v>
      </c>
      <c r="E1085">
        <f>VLOOKUP($C1085,products!$A$1:$F$322,MATCH(order_items!$E$1,products!$A$1:$F$1,0),FALSE)</f>
        <v>3</v>
      </c>
      <c r="F1085" t="str">
        <f>VLOOKUP($E1085,categories!$A$1:$B$8,MATCH(order_items!$F$1,categories!$A$1:$B$1,0),FALSE)</f>
        <v>Cruisers Bicycles</v>
      </c>
      <c r="G1085">
        <v>2</v>
      </c>
      <c r="H1085">
        <v>449</v>
      </c>
      <c r="I1085" s="5">
        <v>0.2</v>
      </c>
      <c r="J1085">
        <f t="shared" si="32"/>
        <v>718.40000000000009</v>
      </c>
      <c r="K1085" s="9">
        <f t="shared" si="33"/>
        <v>-0.56459915393225968</v>
      </c>
    </row>
    <row r="1086" spans="1:11" x14ac:dyDescent="0.3">
      <c r="A1086">
        <v>388</v>
      </c>
      <c r="B1086">
        <v>2</v>
      </c>
      <c r="C1086">
        <v>13</v>
      </c>
      <c r="D1086" t="str">
        <f>VLOOKUP($C1086,products!$A$1:$F$322,MATCH(order_items!$D$1,products!$A$1:$F$1,0),FALSE)</f>
        <v>Electra Cruiser 1 (24-Inch) - 2016</v>
      </c>
      <c r="E1086">
        <f>VLOOKUP($C1086,products!$A$1:$F$322,MATCH(order_items!$E$1,products!$A$1:$F$1,0),FALSE)</f>
        <v>3</v>
      </c>
      <c r="F1086" t="str">
        <f>VLOOKUP($E1086,categories!$A$1:$B$8,MATCH(order_items!$F$1,categories!$A$1:$B$1,0),FALSE)</f>
        <v>Cruisers Bicycles</v>
      </c>
      <c r="G1086">
        <v>2</v>
      </c>
      <c r="H1086">
        <v>269.99</v>
      </c>
      <c r="I1086" s="5">
        <v>7.0000000000000007E-2</v>
      </c>
      <c r="J1086">
        <f t="shared" si="32"/>
        <v>502.1814</v>
      </c>
      <c r="K1086" s="9">
        <f t="shared" si="33"/>
        <v>-0.69693888525532666</v>
      </c>
    </row>
    <row r="1087" spans="1:11" x14ac:dyDescent="0.3">
      <c r="A1087">
        <v>388</v>
      </c>
      <c r="B1087">
        <v>3</v>
      </c>
      <c r="C1087">
        <v>2</v>
      </c>
      <c r="D1087" t="str">
        <f>VLOOKUP($C1087,products!$A$1:$F$322,MATCH(order_items!$D$1,products!$A$1:$F$1,0),FALSE)</f>
        <v>Ritchey Timberwolf Frameset - 2016</v>
      </c>
      <c r="E1087">
        <f>VLOOKUP($C1087,products!$A$1:$F$322,MATCH(order_items!$E$1,products!$A$1:$F$1,0),FALSE)</f>
        <v>6</v>
      </c>
      <c r="F1087" t="str">
        <f>VLOOKUP($E1087,categories!$A$1:$B$8,MATCH(order_items!$F$1,categories!$A$1:$B$1,0),FALSE)</f>
        <v>Mountain Bikes</v>
      </c>
      <c r="G1087">
        <v>1</v>
      </c>
      <c r="H1087">
        <v>749.99</v>
      </c>
      <c r="I1087" s="5">
        <v>7.0000000000000007E-2</v>
      </c>
      <c r="J1087">
        <f t="shared" si="32"/>
        <v>697.49069999999995</v>
      </c>
      <c r="K1087" s="9">
        <f t="shared" si="33"/>
        <v>-0.34208121788997192</v>
      </c>
    </row>
    <row r="1088" spans="1:11" x14ac:dyDescent="0.3">
      <c r="A1088">
        <v>388</v>
      </c>
      <c r="B1088">
        <v>4</v>
      </c>
      <c r="C1088">
        <v>11</v>
      </c>
      <c r="D1088" t="str">
        <f>VLOOKUP($C1088,products!$A$1:$F$322,MATCH(order_items!$D$1,products!$A$1:$F$1,0),FALSE)</f>
        <v>Surly Straggler 650b - 2016</v>
      </c>
      <c r="E1088">
        <f>VLOOKUP($C1088,products!$A$1:$F$322,MATCH(order_items!$E$1,products!$A$1:$F$1,0),FALSE)</f>
        <v>4</v>
      </c>
      <c r="F1088" t="str">
        <f>VLOOKUP($E1088,categories!$A$1:$B$8,MATCH(order_items!$F$1,categories!$A$1:$B$1,0),FALSE)</f>
        <v>Cyclocross Bicycles</v>
      </c>
      <c r="G1088">
        <v>1</v>
      </c>
      <c r="H1088">
        <v>1680.99</v>
      </c>
      <c r="I1088" s="5">
        <v>0.1</v>
      </c>
      <c r="J1088">
        <f t="shared" si="32"/>
        <v>1512.8910000000001</v>
      </c>
      <c r="K1088" s="9">
        <f t="shared" si="33"/>
        <v>0.3461947994374141</v>
      </c>
    </row>
    <row r="1089" spans="1:11" x14ac:dyDescent="0.3">
      <c r="A1089">
        <v>389</v>
      </c>
      <c r="B1089">
        <v>1</v>
      </c>
      <c r="C1089">
        <v>2</v>
      </c>
      <c r="D1089" t="str">
        <f>VLOOKUP($C1089,products!$A$1:$F$322,MATCH(order_items!$D$1,products!$A$1:$F$1,0),FALSE)</f>
        <v>Ritchey Timberwolf Frameset - 2016</v>
      </c>
      <c r="E1089">
        <f>VLOOKUP($C1089,products!$A$1:$F$322,MATCH(order_items!$E$1,products!$A$1:$F$1,0),FALSE)</f>
        <v>6</v>
      </c>
      <c r="F1089" t="str">
        <f>VLOOKUP($E1089,categories!$A$1:$B$8,MATCH(order_items!$F$1,categories!$A$1:$B$1,0),FALSE)</f>
        <v>Mountain Bikes</v>
      </c>
      <c r="G1089">
        <v>1</v>
      </c>
      <c r="H1089">
        <v>749.99</v>
      </c>
      <c r="I1089" s="5">
        <v>7.0000000000000007E-2</v>
      </c>
      <c r="J1089">
        <f t="shared" si="32"/>
        <v>697.49069999999995</v>
      </c>
      <c r="K1089" s="9">
        <f t="shared" si="33"/>
        <v>-0.34208121788997192</v>
      </c>
    </row>
    <row r="1090" spans="1:11" x14ac:dyDescent="0.3">
      <c r="A1090">
        <v>389</v>
      </c>
      <c r="B1090">
        <v>2</v>
      </c>
      <c r="C1090">
        <v>15</v>
      </c>
      <c r="D1090" t="str">
        <f>VLOOKUP($C1090,products!$A$1:$F$322,MATCH(order_items!$D$1,products!$A$1:$F$1,0),FALSE)</f>
        <v>Electra Moto 1 - 2016</v>
      </c>
      <c r="E1090">
        <f>VLOOKUP($C1090,products!$A$1:$F$322,MATCH(order_items!$E$1,products!$A$1:$F$1,0),FALSE)</f>
        <v>3</v>
      </c>
      <c r="F1090" t="str">
        <f>VLOOKUP($E1090,categories!$A$1:$B$8,MATCH(order_items!$F$1,categories!$A$1:$B$1,0),FALSE)</f>
        <v>Cruisers Bicycles</v>
      </c>
      <c r="G1090">
        <v>2</v>
      </c>
      <c r="H1090">
        <v>529.99</v>
      </c>
      <c r="I1090" s="5">
        <v>7.0000000000000007E-2</v>
      </c>
      <c r="J1090">
        <f t="shared" ref="J1090:J1153" si="34">G1090*H1090*(1-I1090)</f>
        <v>985.78139999999996</v>
      </c>
      <c r="K1090" s="9">
        <f t="shared" ref="K1090:K1153" si="35">($H1090-$M$7)/$M$9</f>
        <v>-0.50472431543242624</v>
      </c>
    </row>
    <row r="1091" spans="1:11" x14ac:dyDescent="0.3">
      <c r="A1091">
        <v>389</v>
      </c>
      <c r="B1091">
        <v>3</v>
      </c>
      <c r="C1091">
        <v>10</v>
      </c>
      <c r="D1091" t="str">
        <f>VLOOKUP($C1091,products!$A$1:$F$322,MATCH(order_items!$D$1,products!$A$1:$F$1,0),FALSE)</f>
        <v>Surly Straggler - 2016</v>
      </c>
      <c r="E1091">
        <f>VLOOKUP($C1091,products!$A$1:$F$322,MATCH(order_items!$E$1,products!$A$1:$F$1,0),FALSE)</f>
        <v>4</v>
      </c>
      <c r="F1091" t="str">
        <f>VLOOKUP($E1091,categories!$A$1:$B$8,MATCH(order_items!$F$1,categories!$A$1:$B$1,0),FALSE)</f>
        <v>Cyclocross Bicycles</v>
      </c>
      <c r="G1091">
        <v>2</v>
      </c>
      <c r="H1091">
        <v>1549</v>
      </c>
      <c r="I1091" s="5">
        <v>0.05</v>
      </c>
      <c r="J1091">
        <f t="shared" si="34"/>
        <v>2943.1</v>
      </c>
      <c r="K1091" s="9">
        <f t="shared" si="35"/>
        <v>0.24861633378001166</v>
      </c>
    </row>
    <row r="1092" spans="1:11" x14ac:dyDescent="0.3">
      <c r="A1092">
        <v>389</v>
      </c>
      <c r="B1092">
        <v>4</v>
      </c>
      <c r="C1092">
        <v>5</v>
      </c>
      <c r="D1092" t="str">
        <f>VLOOKUP($C1092,products!$A$1:$F$322,MATCH(order_items!$D$1,products!$A$1:$F$1,0),FALSE)</f>
        <v>Heller Shagamaw Frame - 2016</v>
      </c>
      <c r="E1092">
        <f>VLOOKUP($C1092,products!$A$1:$F$322,MATCH(order_items!$E$1,products!$A$1:$F$1,0),FALSE)</f>
        <v>6</v>
      </c>
      <c r="F1092" t="str">
        <f>VLOOKUP($E1092,categories!$A$1:$B$8,MATCH(order_items!$F$1,categories!$A$1:$B$1,0),FALSE)</f>
        <v>Mountain Bikes</v>
      </c>
      <c r="G1092">
        <v>1</v>
      </c>
      <c r="H1092">
        <v>1320.99</v>
      </c>
      <c r="I1092" s="5">
        <v>0.05</v>
      </c>
      <c r="J1092">
        <f t="shared" si="34"/>
        <v>1254.9404999999999</v>
      </c>
      <c r="K1092" s="9">
        <f t="shared" si="35"/>
        <v>8.0051548913398024E-2</v>
      </c>
    </row>
    <row r="1093" spans="1:11" x14ac:dyDescent="0.3">
      <c r="A1093">
        <v>389</v>
      </c>
      <c r="B1093">
        <v>5</v>
      </c>
      <c r="C1093">
        <v>9</v>
      </c>
      <c r="D1093" t="str">
        <f>VLOOKUP($C1093,products!$A$1:$F$322,MATCH(order_items!$D$1,products!$A$1:$F$1,0),FALSE)</f>
        <v>Trek Conduit+ - 2016</v>
      </c>
      <c r="E1093">
        <f>VLOOKUP($C1093,products!$A$1:$F$322,MATCH(order_items!$E$1,products!$A$1:$F$1,0),FALSE)</f>
        <v>5</v>
      </c>
      <c r="F1093" t="str">
        <f>VLOOKUP($E1093,categories!$A$1:$B$8,MATCH(order_items!$F$1,categories!$A$1:$B$1,0),FALSE)</f>
        <v>Electric Bikes</v>
      </c>
      <c r="G1093">
        <v>1</v>
      </c>
      <c r="H1093">
        <v>2999.99</v>
      </c>
      <c r="I1093" s="5">
        <v>0.2</v>
      </c>
      <c r="J1093">
        <f t="shared" si="34"/>
        <v>2399.9919999999997</v>
      </c>
      <c r="K1093" s="9">
        <f t="shared" si="35"/>
        <v>1.3213140978851283</v>
      </c>
    </row>
    <row r="1094" spans="1:11" x14ac:dyDescent="0.3">
      <c r="A1094">
        <v>390</v>
      </c>
      <c r="B1094">
        <v>1</v>
      </c>
      <c r="C1094">
        <v>23</v>
      </c>
      <c r="D1094" t="str">
        <f>VLOOKUP($C1094,products!$A$1:$F$322,MATCH(order_items!$D$1,products!$A$1:$F$1,0),FALSE)</f>
        <v>Electra Girl's Hawaii 1 (20-inch) - 2015/2016</v>
      </c>
      <c r="E1094">
        <f>VLOOKUP($C1094,products!$A$1:$F$322,MATCH(order_items!$E$1,products!$A$1:$F$1,0),FALSE)</f>
        <v>1</v>
      </c>
      <c r="F1094" t="str">
        <f>VLOOKUP($E1094,categories!$A$1:$B$8,MATCH(order_items!$F$1,categories!$A$1:$B$1,0),FALSE)</f>
        <v>Children Bicycles</v>
      </c>
      <c r="G1094">
        <v>1</v>
      </c>
      <c r="H1094">
        <v>299.99</v>
      </c>
      <c r="I1094" s="5">
        <v>0.05</v>
      </c>
      <c r="J1094">
        <f t="shared" si="34"/>
        <v>284.9905</v>
      </c>
      <c r="K1094" s="9">
        <f t="shared" si="35"/>
        <v>-0.67476028104499197</v>
      </c>
    </row>
    <row r="1095" spans="1:11" x14ac:dyDescent="0.3">
      <c r="A1095">
        <v>390</v>
      </c>
      <c r="B1095">
        <v>2</v>
      </c>
      <c r="C1095">
        <v>7</v>
      </c>
      <c r="D1095" t="str">
        <f>VLOOKUP($C1095,products!$A$1:$F$322,MATCH(order_items!$D$1,products!$A$1:$F$1,0),FALSE)</f>
        <v>Trek Slash 8 27.5 - 2016</v>
      </c>
      <c r="E1095">
        <f>VLOOKUP($C1095,products!$A$1:$F$322,MATCH(order_items!$E$1,products!$A$1:$F$1,0),FALSE)</f>
        <v>6</v>
      </c>
      <c r="F1095" t="str">
        <f>VLOOKUP($E1095,categories!$A$1:$B$8,MATCH(order_items!$F$1,categories!$A$1:$B$1,0),FALSE)</f>
        <v>Mountain Bikes</v>
      </c>
      <c r="G1095">
        <v>2</v>
      </c>
      <c r="H1095">
        <v>3999.99</v>
      </c>
      <c r="I1095" s="5">
        <v>7.0000000000000007E-2</v>
      </c>
      <c r="J1095">
        <f t="shared" si="34"/>
        <v>7439.9813999999988</v>
      </c>
      <c r="K1095" s="9">
        <f t="shared" si="35"/>
        <v>2.0606009048962846</v>
      </c>
    </row>
    <row r="1096" spans="1:11" x14ac:dyDescent="0.3">
      <c r="A1096">
        <v>390</v>
      </c>
      <c r="B1096">
        <v>3</v>
      </c>
      <c r="C1096">
        <v>9</v>
      </c>
      <c r="D1096" t="str">
        <f>VLOOKUP($C1096,products!$A$1:$F$322,MATCH(order_items!$D$1,products!$A$1:$F$1,0),FALSE)</f>
        <v>Trek Conduit+ - 2016</v>
      </c>
      <c r="E1096">
        <f>VLOOKUP($C1096,products!$A$1:$F$322,MATCH(order_items!$E$1,products!$A$1:$F$1,0),FALSE)</f>
        <v>5</v>
      </c>
      <c r="F1096" t="str">
        <f>VLOOKUP($E1096,categories!$A$1:$B$8,MATCH(order_items!$F$1,categories!$A$1:$B$1,0),FALSE)</f>
        <v>Electric Bikes</v>
      </c>
      <c r="G1096">
        <v>1</v>
      </c>
      <c r="H1096">
        <v>2999.99</v>
      </c>
      <c r="I1096" s="5">
        <v>0.05</v>
      </c>
      <c r="J1096">
        <f t="shared" si="34"/>
        <v>2849.9904999999999</v>
      </c>
      <c r="K1096" s="9">
        <f t="shared" si="35"/>
        <v>1.3213140978851283</v>
      </c>
    </row>
    <row r="1097" spans="1:11" x14ac:dyDescent="0.3">
      <c r="A1097">
        <v>391</v>
      </c>
      <c r="B1097">
        <v>1</v>
      </c>
      <c r="C1097">
        <v>8</v>
      </c>
      <c r="D1097" t="str">
        <f>VLOOKUP($C1097,products!$A$1:$F$322,MATCH(order_items!$D$1,products!$A$1:$F$1,0),FALSE)</f>
        <v>Trek Remedy 29 Carbon Frameset - 2016</v>
      </c>
      <c r="E1097">
        <f>VLOOKUP($C1097,products!$A$1:$F$322,MATCH(order_items!$E$1,products!$A$1:$F$1,0),FALSE)</f>
        <v>6</v>
      </c>
      <c r="F1097" t="str">
        <f>VLOOKUP($E1097,categories!$A$1:$B$8,MATCH(order_items!$F$1,categories!$A$1:$B$1,0),FALSE)</f>
        <v>Mountain Bikes</v>
      </c>
      <c r="G1097">
        <v>1</v>
      </c>
      <c r="H1097">
        <v>1799.99</v>
      </c>
      <c r="I1097" s="5">
        <v>7.0000000000000007E-2</v>
      </c>
      <c r="J1097">
        <f t="shared" si="34"/>
        <v>1673.9906999999998</v>
      </c>
      <c r="K1097" s="9">
        <f t="shared" si="35"/>
        <v>0.43416992947174166</v>
      </c>
    </row>
    <row r="1098" spans="1:11" x14ac:dyDescent="0.3">
      <c r="A1098">
        <v>391</v>
      </c>
      <c r="B1098">
        <v>2</v>
      </c>
      <c r="C1098">
        <v>5</v>
      </c>
      <c r="D1098" t="str">
        <f>VLOOKUP($C1098,products!$A$1:$F$322,MATCH(order_items!$D$1,products!$A$1:$F$1,0),FALSE)</f>
        <v>Heller Shagamaw Frame - 2016</v>
      </c>
      <c r="E1098">
        <f>VLOOKUP($C1098,products!$A$1:$F$322,MATCH(order_items!$E$1,products!$A$1:$F$1,0),FALSE)</f>
        <v>6</v>
      </c>
      <c r="F1098" t="str">
        <f>VLOOKUP($E1098,categories!$A$1:$B$8,MATCH(order_items!$F$1,categories!$A$1:$B$1,0),FALSE)</f>
        <v>Mountain Bikes</v>
      </c>
      <c r="G1098">
        <v>2</v>
      </c>
      <c r="H1098">
        <v>1320.99</v>
      </c>
      <c r="I1098" s="5">
        <v>0.2</v>
      </c>
      <c r="J1098">
        <f t="shared" si="34"/>
        <v>2113.5840000000003</v>
      </c>
      <c r="K1098" s="9">
        <f t="shared" si="35"/>
        <v>8.0051548913398024E-2</v>
      </c>
    </row>
    <row r="1099" spans="1:11" x14ac:dyDescent="0.3">
      <c r="A1099">
        <v>391</v>
      </c>
      <c r="B1099">
        <v>3</v>
      </c>
      <c r="C1099">
        <v>24</v>
      </c>
      <c r="D1099" t="str">
        <f>VLOOKUP($C1099,products!$A$1:$F$322,MATCH(order_items!$D$1,products!$A$1:$F$1,0),FALSE)</f>
        <v>Electra Townie Original 21D - 2016</v>
      </c>
      <c r="E1099">
        <f>VLOOKUP($C1099,products!$A$1:$F$322,MATCH(order_items!$E$1,products!$A$1:$F$1,0),FALSE)</f>
        <v>2</v>
      </c>
      <c r="F1099" t="str">
        <f>VLOOKUP($E1099,categories!$A$1:$B$8,MATCH(order_items!$F$1,categories!$A$1:$B$1,0),FALSE)</f>
        <v>Comfort Bicycles</v>
      </c>
      <c r="G1099">
        <v>2</v>
      </c>
      <c r="H1099">
        <v>549.99</v>
      </c>
      <c r="I1099" s="5">
        <v>7.0000000000000007E-2</v>
      </c>
      <c r="J1099">
        <f t="shared" si="34"/>
        <v>1022.9813999999999</v>
      </c>
      <c r="K1099" s="9">
        <f t="shared" si="35"/>
        <v>-0.48993857929220308</v>
      </c>
    </row>
    <row r="1100" spans="1:11" x14ac:dyDescent="0.3">
      <c r="A1100">
        <v>392</v>
      </c>
      <c r="B1100">
        <v>1</v>
      </c>
      <c r="C1100">
        <v>14</v>
      </c>
      <c r="D1100" t="str">
        <f>VLOOKUP($C1100,products!$A$1:$F$322,MATCH(order_items!$D$1,products!$A$1:$F$1,0),FALSE)</f>
        <v>Electra Girl's Hawaii 1 (16-inch) - 2015/2016</v>
      </c>
      <c r="E1100">
        <f>VLOOKUP($C1100,products!$A$1:$F$322,MATCH(order_items!$E$1,products!$A$1:$F$1,0),FALSE)</f>
        <v>3</v>
      </c>
      <c r="F1100" t="str">
        <f>VLOOKUP($E1100,categories!$A$1:$B$8,MATCH(order_items!$F$1,categories!$A$1:$B$1,0),FALSE)</f>
        <v>Cruisers Bicycles</v>
      </c>
      <c r="G1100">
        <v>2</v>
      </c>
      <c r="H1100">
        <v>269.99</v>
      </c>
      <c r="I1100" s="5">
        <v>0.1</v>
      </c>
      <c r="J1100">
        <f t="shared" si="34"/>
        <v>485.98200000000003</v>
      </c>
      <c r="K1100" s="9">
        <f t="shared" si="35"/>
        <v>-0.69693888525532666</v>
      </c>
    </row>
    <row r="1101" spans="1:11" x14ac:dyDescent="0.3">
      <c r="A1101">
        <v>392</v>
      </c>
      <c r="B1101">
        <v>2</v>
      </c>
      <c r="C1101">
        <v>3</v>
      </c>
      <c r="D1101" t="str">
        <f>VLOOKUP($C1101,products!$A$1:$F$322,MATCH(order_items!$D$1,products!$A$1:$F$1,0),FALSE)</f>
        <v>Surly Wednesday Frameset - 2016</v>
      </c>
      <c r="E1101">
        <f>VLOOKUP($C1101,products!$A$1:$F$322,MATCH(order_items!$E$1,products!$A$1:$F$1,0),FALSE)</f>
        <v>6</v>
      </c>
      <c r="F1101" t="str">
        <f>VLOOKUP($E1101,categories!$A$1:$B$8,MATCH(order_items!$F$1,categories!$A$1:$B$1,0),FALSE)</f>
        <v>Mountain Bikes</v>
      </c>
      <c r="G1101">
        <v>2</v>
      </c>
      <c r="H1101">
        <v>999.99</v>
      </c>
      <c r="I1101" s="5">
        <v>0.05</v>
      </c>
      <c r="J1101">
        <f t="shared" si="34"/>
        <v>1899.981</v>
      </c>
      <c r="K1101" s="9">
        <f t="shared" si="35"/>
        <v>-0.15725951613718298</v>
      </c>
    </row>
    <row r="1102" spans="1:11" x14ac:dyDescent="0.3">
      <c r="A1102">
        <v>393</v>
      </c>
      <c r="B1102">
        <v>1</v>
      </c>
      <c r="C1102">
        <v>6</v>
      </c>
      <c r="D1102" t="str">
        <f>VLOOKUP($C1102,products!$A$1:$F$322,MATCH(order_items!$D$1,products!$A$1:$F$1,0),FALSE)</f>
        <v>Surly Ice Cream Truck Frameset - 2016</v>
      </c>
      <c r="E1102">
        <f>VLOOKUP($C1102,products!$A$1:$F$322,MATCH(order_items!$E$1,products!$A$1:$F$1,0),FALSE)</f>
        <v>6</v>
      </c>
      <c r="F1102" t="str">
        <f>VLOOKUP($E1102,categories!$A$1:$B$8,MATCH(order_items!$F$1,categories!$A$1:$B$1,0),FALSE)</f>
        <v>Mountain Bikes</v>
      </c>
      <c r="G1102">
        <v>2</v>
      </c>
      <c r="H1102">
        <v>469.99</v>
      </c>
      <c r="I1102" s="5">
        <v>0.2</v>
      </c>
      <c r="J1102">
        <f t="shared" si="34"/>
        <v>751.98400000000004</v>
      </c>
      <c r="K1102" s="9">
        <f t="shared" si="35"/>
        <v>-0.5490815238530955</v>
      </c>
    </row>
    <row r="1103" spans="1:11" x14ac:dyDescent="0.3">
      <c r="A1103">
        <v>394</v>
      </c>
      <c r="B1103">
        <v>1</v>
      </c>
      <c r="C1103">
        <v>23</v>
      </c>
      <c r="D1103" t="str">
        <f>VLOOKUP($C1103,products!$A$1:$F$322,MATCH(order_items!$D$1,products!$A$1:$F$1,0),FALSE)</f>
        <v>Electra Girl's Hawaii 1 (20-inch) - 2015/2016</v>
      </c>
      <c r="E1103">
        <f>VLOOKUP($C1103,products!$A$1:$F$322,MATCH(order_items!$E$1,products!$A$1:$F$1,0),FALSE)</f>
        <v>1</v>
      </c>
      <c r="F1103" t="str">
        <f>VLOOKUP($E1103,categories!$A$1:$B$8,MATCH(order_items!$F$1,categories!$A$1:$B$1,0),FALSE)</f>
        <v>Children Bicycles</v>
      </c>
      <c r="G1103">
        <v>1</v>
      </c>
      <c r="H1103">
        <v>299.99</v>
      </c>
      <c r="I1103" s="5">
        <v>0.05</v>
      </c>
      <c r="J1103">
        <f t="shared" si="34"/>
        <v>284.9905</v>
      </c>
      <c r="K1103" s="9">
        <f t="shared" si="35"/>
        <v>-0.67476028104499197</v>
      </c>
    </row>
    <row r="1104" spans="1:11" x14ac:dyDescent="0.3">
      <c r="A1104">
        <v>394</v>
      </c>
      <c r="B1104">
        <v>2</v>
      </c>
      <c r="C1104">
        <v>16</v>
      </c>
      <c r="D1104" t="str">
        <f>VLOOKUP($C1104,products!$A$1:$F$322,MATCH(order_items!$D$1,products!$A$1:$F$1,0),FALSE)</f>
        <v>Electra Townie Original 7D EQ - 2016</v>
      </c>
      <c r="E1104">
        <f>VLOOKUP($C1104,products!$A$1:$F$322,MATCH(order_items!$E$1,products!$A$1:$F$1,0),FALSE)</f>
        <v>3</v>
      </c>
      <c r="F1104" t="str">
        <f>VLOOKUP($E1104,categories!$A$1:$B$8,MATCH(order_items!$F$1,categories!$A$1:$B$1,0),FALSE)</f>
        <v>Cruisers Bicycles</v>
      </c>
      <c r="G1104">
        <v>1</v>
      </c>
      <c r="H1104">
        <v>599.99</v>
      </c>
      <c r="I1104" s="5">
        <v>0.2</v>
      </c>
      <c r="J1104">
        <f t="shared" si="34"/>
        <v>479.99200000000002</v>
      </c>
      <c r="K1104" s="9">
        <f t="shared" si="35"/>
        <v>-0.45297423894164529</v>
      </c>
    </row>
    <row r="1105" spans="1:11" x14ac:dyDescent="0.3">
      <c r="A1105">
        <v>394</v>
      </c>
      <c r="B1105">
        <v>3</v>
      </c>
      <c r="C1105">
        <v>14</v>
      </c>
      <c r="D1105" t="str">
        <f>VLOOKUP($C1105,products!$A$1:$F$322,MATCH(order_items!$D$1,products!$A$1:$F$1,0),FALSE)</f>
        <v>Electra Girl's Hawaii 1 (16-inch) - 2015/2016</v>
      </c>
      <c r="E1105">
        <f>VLOOKUP($C1105,products!$A$1:$F$322,MATCH(order_items!$E$1,products!$A$1:$F$1,0),FALSE)</f>
        <v>3</v>
      </c>
      <c r="F1105" t="str">
        <f>VLOOKUP($E1105,categories!$A$1:$B$8,MATCH(order_items!$F$1,categories!$A$1:$B$1,0),FALSE)</f>
        <v>Cruisers Bicycles</v>
      </c>
      <c r="G1105">
        <v>2</v>
      </c>
      <c r="H1105">
        <v>269.99</v>
      </c>
      <c r="I1105" s="5">
        <v>0.2</v>
      </c>
      <c r="J1105">
        <f t="shared" si="34"/>
        <v>431.98400000000004</v>
      </c>
      <c r="K1105" s="9">
        <f t="shared" si="35"/>
        <v>-0.69693888525532666</v>
      </c>
    </row>
    <row r="1106" spans="1:11" x14ac:dyDescent="0.3">
      <c r="A1106">
        <v>395</v>
      </c>
      <c r="B1106">
        <v>1</v>
      </c>
      <c r="C1106">
        <v>14</v>
      </c>
      <c r="D1106" t="str">
        <f>VLOOKUP($C1106,products!$A$1:$F$322,MATCH(order_items!$D$1,products!$A$1:$F$1,0),FALSE)</f>
        <v>Electra Girl's Hawaii 1 (16-inch) - 2015/2016</v>
      </c>
      <c r="E1106">
        <f>VLOOKUP($C1106,products!$A$1:$F$322,MATCH(order_items!$E$1,products!$A$1:$F$1,0),FALSE)</f>
        <v>3</v>
      </c>
      <c r="F1106" t="str">
        <f>VLOOKUP($E1106,categories!$A$1:$B$8,MATCH(order_items!$F$1,categories!$A$1:$B$1,0),FALSE)</f>
        <v>Cruisers Bicycles</v>
      </c>
      <c r="G1106">
        <v>1</v>
      </c>
      <c r="H1106">
        <v>269.99</v>
      </c>
      <c r="I1106" s="5">
        <v>0.05</v>
      </c>
      <c r="J1106">
        <f t="shared" si="34"/>
        <v>256.4905</v>
      </c>
      <c r="K1106" s="9">
        <f t="shared" si="35"/>
        <v>-0.69693888525532666</v>
      </c>
    </row>
    <row r="1107" spans="1:11" x14ac:dyDescent="0.3">
      <c r="A1107">
        <v>396</v>
      </c>
      <c r="B1107">
        <v>1</v>
      </c>
      <c r="C1107">
        <v>12</v>
      </c>
      <c r="D1107" t="str">
        <f>VLOOKUP($C1107,products!$A$1:$F$322,MATCH(order_items!$D$1,products!$A$1:$F$1,0),FALSE)</f>
        <v>Electra Townie Original 21D - 2016</v>
      </c>
      <c r="E1107">
        <f>VLOOKUP($C1107,products!$A$1:$F$322,MATCH(order_items!$E$1,products!$A$1:$F$1,0),FALSE)</f>
        <v>3</v>
      </c>
      <c r="F1107" t="str">
        <f>VLOOKUP($E1107,categories!$A$1:$B$8,MATCH(order_items!$F$1,categories!$A$1:$B$1,0),FALSE)</f>
        <v>Cruisers Bicycles</v>
      </c>
      <c r="G1107">
        <v>1</v>
      </c>
      <c r="H1107">
        <v>549.99</v>
      </c>
      <c r="I1107" s="5">
        <v>0.1</v>
      </c>
      <c r="J1107">
        <f t="shared" si="34"/>
        <v>494.99100000000004</v>
      </c>
      <c r="K1107" s="9">
        <f t="shared" si="35"/>
        <v>-0.48993857929220308</v>
      </c>
    </row>
    <row r="1108" spans="1:11" x14ac:dyDescent="0.3">
      <c r="A1108">
        <v>396</v>
      </c>
      <c r="B1108">
        <v>2</v>
      </c>
      <c r="C1108">
        <v>25</v>
      </c>
      <c r="D1108" t="str">
        <f>VLOOKUP($C1108,products!$A$1:$F$322,MATCH(order_items!$D$1,products!$A$1:$F$1,0),FALSE)</f>
        <v>Electra Townie Original 7D - 2015/2016</v>
      </c>
      <c r="E1108">
        <f>VLOOKUP($C1108,products!$A$1:$F$322,MATCH(order_items!$E$1,products!$A$1:$F$1,0),FALSE)</f>
        <v>2</v>
      </c>
      <c r="F1108" t="str">
        <f>VLOOKUP($E1108,categories!$A$1:$B$8,MATCH(order_items!$F$1,categories!$A$1:$B$1,0),FALSE)</f>
        <v>Comfort Bicycles</v>
      </c>
      <c r="G1108">
        <v>2</v>
      </c>
      <c r="H1108">
        <v>499.99</v>
      </c>
      <c r="I1108" s="5">
        <v>0.05</v>
      </c>
      <c r="J1108">
        <f t="shared" si="34"/>
        <v>949.98099999999999</v>
      </c>
      <c r="K1108" s="9">
        <f t="shared" si="35"/>
        <v>-0.52690291964276081</v>
      </c>
    </row>
    <row r="1109" spans="1:11" x14ac:dyDescent="0.3">
      <c r="A1109">
        <v>396</v>
      </c>
      <c r="B1109">
        <v>3</v>
      </c>
      <c r="C1109">
        <v>5</v>
      </c>
      <c r="D1109" t="str">
        <f>VLOOKUP($C1109,products!$A$1:$F$322,MATCH(order_items!$D$1,products!$A$1:$F$1,0),FALSE)</f>
        <v>Heller Shagamaw Frame - 2016</v>
      </c>
      <c r="E1109">
        <f>VLOOKUP($C1109,products!$A$1:$F$322,MATCH(order_items!$E$1,products!$A$1:$F$1,0),FALSE)</f>
        <v>6</v>
      </c>
      <c r="F1109" t="str">
        <f>VLOOKUP($E1109,categories!$A$1:$B$8,MATCH(order_items!$F$1,categories!$A$1:$B$1,0),FALSE)</f>
        <v>Mountain Bikes</v>
      </c>
      <c r="G1109">
        <v>1</v>
      </c>
      <c r="H1109">
        <v>1320.99</v>
      </c>
      <c r="I1109" s="5">
        <v>0.2</v>
      </c>
      <c r="J1109">
        <f t="shared" si="34"/>
        <v>1056.7920000000001</v>
      </c>
      <c r="K1109" s="9">
        <f t="shared" si="35"/>
        <v>8.0051548913398024E-2</v>
      </c>
    </row>
    <row r="1110" spans="1:11" x14ac:dyDescent="0.3">
      <c r="A1110">
        <v>397</v>
      </c>
      <c r="B1110">
        <v>1</v>
      </c>
      <c r="C1110">
        <v>7</v>
      </c>
      <c r="D1110" t="str">
        <f>VLOOKUP($C1110,products!$A$1:$F$322,MATCH(order_items!$D$1,products!$A$1:$F$1,0),FALSE)</f>
        <v>Trek Slash 8 27.5 - 2016</v>
      </c>
      <c r="E1110">
        <f>VLOOKUP($C1110,products!$A$1:$F$322,MATCH(order_items!$E$1,products!$A$1:$F$1,0),FALSE)</f>
        <v>6</v>
      </c>
      <c r="F1110" t="str">
        <f>VLOOKUP($E1110,categories!$A$1:$B$8,MATCH(order_items!$F$1,categories!$A$1:$B$1,0),FALSE)</f>
        <v>Mountain Bikes</v>
      </c>
      <c r="G1110">
        <v>1</v>
      </c>
      <c r="H1110">
        <v>3999.99</v>
      </c>
      <c r="I1110" s="5">
        <v>0.05</v>
      </c>
      <c r="J1110">
        <f t="shared" si="34"/>
        <v>3799.9904999999994</v>
      </c>
      <c r="K1110" s="9">
        <f t="shared" si="35"/>
        <v>2.0606009048962846</v>
      </c>
    </row>
    <row r="1111" spans="1:11" x14ac:dyDescent="0.3">
      <c r="A1111">
        <v>398</v>
      </c>
      <c r="B1111">
        <v>1</v>
      </c>
      <c r="C1111">
        <v>8</v>
      </c>
      <c r="D1111" t="str">
        <f>VLOOKUP($C1111,products!$A$1:$F$322,MATCH(order_items!$D$1,products!$A$1:$F$1,0),FALSE)</f>
        <v>Trek Remedy 29 Carbon Frameset - 2016</v>
      </c>
      <c r="E1111">
        <f>VLOOKUP($C1111,products!$A$1:$F$322,MATCH(order_items!$E$1,products!$A$1:$F$1,0),FALSE)</f>
        <v>6</v>
      </c>
      <c r="F1111" t="str">
        <f>VLOOKUP($E1111,categories!$A$1:$B$8,MATCH(order_items!$F$1,categories!$A$1:$B$1,0),FALSE)</f>
        <v>Mountain Bikes</v>
      </c>
      <c r="G1111">
        <v>2</v>
      </c>
      <c r="H1111">
        <v>1799.99</v>
      </c>
      <c r="I1111" s="5">
        <v>0.05</v>
      </c>
      <c r="J1111">
        <f t="shared" si="34"/>
        <v>3419.9809999999998</v>
      </c>
      <c r="K1111" s="9">
        <f t="shared" si="35"/>
        <v>0.43416992947174166</v>
      </c>
    </row>
    <row r="1112" spans="1:11" x14ac:dyDescent="0.3">
      <c r="A1112">
        <v>398</v>
      </c>
      <c r="B1112">
        <v>2</v>
      </c>
      <c r="C1112">
        <v>18</v>
      </c>
      <c r="D1112" t="str">
        <f>VLOOKUP($C1112,products!$A$1:$F$322,MATCH(order_items!$D$1,products!$A$1:$F$1,0),FALSE)</f>
        <v>Pure Cycles Western 3-Speed - Women's - 2015/2016</v>
      </c>
      <c r="E1112">
        <f>VLOOKUP($C1112,products!$A$1:$F$322,MATCH(order_items!$E$1,products!$A$1:$F$1,0),FALSE)</f>
        <v>3</v>
      </c>
      <c r="F1112" t="str">
        <f>VLOOKUP($E1112,categories!$A$1:$B$8,MATCH(order_items!$F$1,categories!$A$1:$B$1,0),FALSE)</f>
        <v>Cruisers Bicycles</v>
      </c>
      <c r="G1112">
        <v>2</v>
      </c>
      <c r="H1112">
        <v>449</v>
      </c>
      <c r="I1112" s="5">
        <v>0.05</v>
      </c>
      <c r="J1112">
        <f t="shared" si="34"/>
        <v>853.09999999999991</v>
      </c>
      <c r="K1112" s="9">
        <f t="shared" si="35"/>
        <v>-0.56459915393225968</v>
      </c>
    </row>
    <row r="1113" spans="1:11" x14ac:dyDescent="0.3">
      <c r="A1113">
        <v>398</v>
      </c>
      <c r="B1113">
        <v>3</v>
      </c>
      <c r="C1113">
        <v>25</v>
      </c>
      <c r="D1113" t="str">
        <f>VLOOKUP($C1113,products!$A$1:$F$322,MATCH(order_items!$D$1,products!$A$1:$F$1,0),FALSE)</f>
        <v>Electra Townie Original 7D - 2015/2016</v>
      </c>
      <c r="E1113">
        <f>VLOOKUP($C1113,products!$A$1:$F$322,MATCH(order_items!$E$1,products!$A$1:$F$1,0),FALSE)</f>
        <v>2</v>
      </c>
      <c r="F1113" t="str">
        <f>VLOOKUP($E1113,categories!$A$1:$B$8,MATCH(order_items!$F$1,categories!$A$1:$B$1,0),FALSE)</f>
        <v>Comfort Bicycles</v>
      </c>
      <c r="G1113">
        <v>1</v>
      </c>
      <c r="H1113">
        <v>499.99</v>
      </c>
      <c r="I1113" s="5">
        <v>0.2</v>
      </c>
      <c r="J1113">
        <f t="shared" si="34"/>
        <v>399.99200000000002</v>
      </c>
      <c r="K1113" s="9">
        <f t="shared" si="35"/>
        <v>-0.52690291964276081</v>
      </c>
    </row>
    <row r="1114" spans="1:11" x14ac:dyDescent="0.3">
      <c r="A1114">
        <v>398</v>
      </c>
      <c r="B1114">
        <v>4</v>
      </c>
      <c r="C1114">
        <v>17</v>
      </c>
      <c r="D1114" t="str">
        <f>VLOOKUP($C1114,products!$A$1:$F$322,MATCH(order_items!$D$1,products!$A$1:$F$1,0),FALSE)</f>
        <v>Pure Cycles Vine 8-Speed - 2016</v>
      </c>
      <c r="E1114">
        <f>VLOOKUP($C1114,products!$A$1:$F$322,MATCH(order_items!$E$1,products!$A$1:$F$1,0),FALSE)</f>
        <v>3</v>
      </c>
      <c r="F1114" t="str">
        <f>VLOOKUP($E1114,categories!$A$1:$B$8,MATCH(order_items!$F$1,categories!$A$1:$B$1,0),FALSE)</f>
        <v>Cruisers Bicycles</v>
      </c>
      <c r="G1114">
        <v>1</v>
      </c>
      <c r="H1114">
        <v>429</v>
      </c>
      <c r="I1114" s="5">
        <v>0.05</v>
      </c>
      <c r="J1114">
        <f t="shared" si="34"/>
        <v>407.54999999999995</v>
      </c>
      <c r="K1114" s="9">
        <f t="shared" si="35"/>
        <v>-0.57938489007248284</v>
      </c>
    </row>
    <row r="1115" spans="1:11" x14ac:dyDescent="0.3">
      <c r="A1115">
        <v>399</v>
      </c>
      <c r="B1115">
        <v>1</v>
      </c>
      <c r="C1115">
        <v>25</v>
      </c>
      <c r="D1115" t="str">
        <f>VLOOKUP($C1115,products!$A$1:$F$322,MATCH(order_items!$D$1,products!$A$1:$F$1,0),FALSE)</f>
        <v>Electra Townie Original 7D - 2015/2016</v>
      </c>
      <c r="E1115">
        <f>VLOOKUP($C1115,products!$A$1:$F$322,MATCH(order_items!$E$1,products!$A$1:$F$1,0),FALSE)</f>
        <v>2</v>
      </c>
      <c r="F1115" t="str">
        <f>VLOOKUP($E1115,categories!$A$1:$B$8,MATCH(order_items!$F$1,categories!$A$1:$B$1,0),FALSE)</f>
        <v>Comfort Bicycles</v>
      </c>
      <c r="G1115">
        <v>1</v>
      </c>
      <c r="H1115">
        <v>499.99</v>
      </c>
      <c r="I1115" s="5">
        <v>0.05</v>
      </c>
      <c r="J1115">
        <f t="shared" si="34"/>
        <v>474.9905</v>
      </c>
      <c r="K1115" s="9">
        <f t="shared" si="35"/>
        <v>-0.52690291964276081</v>
      </c>
    </row>
    <row r="1116" spans="1:11" x14ac:dyDescent="0.3">
      <c r="A1116">
        <v>399</v>
      </c>
      <c r="B1116">
        <v>2</v>
      </c>
      <c r="C1116">
        <v>11</v>
      </c>
      <c r="D1116" t="str">
        <f>VLOOKUP($C1116,products!$A$1:$F$322,MATCH(order_items!$D$1,products!$A$1:$F$1,0),FALSE)</f>
        <v>Surly Straggler 650b - 2016</v>
      </c>
      <c r="E1116">
        <f>VLOOKUP($C1116,products!$A$1:$F$322,MATCH(order_items!$E$1,products!$A$1:$F$1,0),FALSE)</f>
        <v>4</v>
      </c>
      <c r="F1116" t="str">
        <f>VLOOKUP($E1116,categories!$A$1:$B$8,MATCH(order_items!$F$1,categories!$A$1:$B$1,0),FALSE)</f>
        <v>Cyclocross Bicycles</v>
      </c>
      <c r="G1116">
        <v>2</v>
      </c>
      <c r="H1116">
        <v>1680.99</v>
      </c>
      <c r="I1116" s="5">
        <v>0.05</v>
      </c>
      <c r="J1116">
        <f t="shared" si="34"/>
        <v>3193.8809999999999</v>
      </c>
      <c r="K1116" s="9">
        <f t="shared" si="35"/>
        <v>0.3461947994374141</v>
      </c>
    </row>
    <row r="1117" spans="1:11" x14ac:dyDescent="0.3">
      <c r="A1117">
        <v>399</v>
      </c>
      <c r="B1117">
        <v>3</v>
      </c>
      <c r="C1117">
        <v>14</v>
      </c>
      <c r="D1117" t="str">
        <f>VLOOKUP($C1117,products!$A$1:$F$322,MATCH(order_items!$D$1,products!$A$1:$F$1,0),FALSE)</f>
        <v>Electra Girl's Hawaii 1 (16-inch) - 2015/2016</v>
      </c>
      <c r="E1117">
        <f>VLOOKUP($C1117,products!$A$1:$F$322,MATCH(order_items!$E$1,products!$A$1:$F$1,0),FALSE)</f>
        <v>3</v>
      </c>
      <c r="F1117" t="str">
        <f>VLOOKUP($E1117,categories!$A$1:$B$8,MATCH(order_items!$F$1,categories!$A$1:$B$1,0),FALSE)</f>
        <v>Cruisers Bicycles</v>
      </c>
      <c r="G1117">
        <v>1</v>
      </c>
      <c r="H1117">
        <v>269.99</v>
      </c>
      <c r="I1117" s="5">
        <v>0.1</v>
      </c>
      <c r="J1117">
        <f t="shared" si="34"/>
        <v>242.99100000000001</v>
      </c>
      <c r="K1117" s="9">
        <f t="shared" si="35"/>
        <v>-0.69693888525532666</v>
      </c>
    </row>
    <row r="1118" spans="1:11" x14ac:dyDescent="0.3">
      <c r="A1118">
        <v>400</v>
      </c>
      <c r="B1118">
        <v>1</v>
      </c>
      <c r="C1118">
        <v>24</v>
      </c>
      <c r="D1118" t="str">
        <f>VLOOKUP($C1118,products!$A$1:$F$322,MATCH(order_items!$D$1,products!$A$1:$F$1,0),FALSE)</f>
        <v>Electra Townie Original 21D - 2016</v>
      </c>
      <c r="E1118">
        <f>VLOOKUP($C1118,products!$A$1:$F$322,MATCH(order_items!$E$1,products!$A$1:$F$1,0),FALSE)</f>
        <v>2</v>
      </c>
      <c r="F1118" t="str">
        <f>VLOOKUP($E1118,categories!$A$1:$B$8,MATCH(order_items!$F$1,categories!$A$1:$B$1,0),FALSE)</f>
        <v>Comfort Bicycles</v>
      </c>
      <c r="G1118">
        <v>2</v>
      </c>
      <c r="H1118">
        <v>549.99</v>
      </c>
      <c r="I1118" s="5">
        <v>7.0000000000000007E-2</v>
      </c>
      <c r="J1118">
        <f t="shared" si="34"/>
        <v>1022.9813999999999</v>
      </c>
      <c r="K1118" s="9">
        <f t="shared" si="35"/>
        <v>-0.48993857929220308</v>
      </c>
    </row>
    <row r="1119" spans="1:11" x14ac:dyDescent="0.3">
      <c r="A1119">
        <v>400</v>
      </c>
      <c r="B1119">
        <v>2</v>
      </c>
      <c r="C1119">
        <v>9</v>
      </c>
      <c r="D1119" t="str">
        <f>VLOOKUP($C1119,products!$A$1:$F$322,MATCH(order_items!$D$1,products!$A$1:$F$1,0),FALSE)</f>
        <v>Trek Conduit+ - 2016</v>
      </c>
      <c r="E1119">
        <f>VLOOKUP($C1119,products!$A$1:$F$322,MATCH(order_items!$E$1,products!$A$1:$F$1,0),FALSE)</f>
        <v>5</v>
      </c>
      <c r="F1119" t="str">
        <f>VLOOKUP($E1119,categories!$A$1:$B$8,MATCH(order_items!$F$1,categories!$A$1:$B$1,0),FALSE)</f>
        <v>Electric Bikes</v>
      </c>
      <c r="G1119">
        <v>1</v>
      </c>
      <c r="H1119">
        <v>2999.99</v>
      </c>
      <c r="I1119" s="5">
        <v>0.2</v>
      </c>
      <c r="J1119">
        <f t="shared" si="34"/>
        <v>2399.9919999999997</v>
      </c>
      <c r="K1119" s="9">
        <f t="shared" si="35"/>
        <v>1.3213140978851283</v>
      </c>
    </row>
    <row r="1120" spans="1:11" x14ac:dyDescent="0.3">
      <c r="A1120">
        <v>400</v>
      </c>
      <c r="B1120">
        <v>3</v>
      </c>
      <c r="C1120">
        <v>3</v>
      </c>
      <c r="D1120" t="str">
        <f>VLOOKUP($C1120,products!$A$1:$F$322,MATCH(order_items!$D$1,products!$A$1:$F$1,0),FALSE)</f>
        <v>Surly Wednesday Frameset - 2016</v>
      </c>
      <c r="E1120">
        <f>VLOOKUP($C1120,products!$A$1:$F$322,MATCH(order_items!$E$1,products!$A$1:$F$1,0),FALSE)</f>
        <v>6</v>
      </c>
      <c r="F1120" t="str">
        <f>VLOOKUP($E1120,categories!$A$1:$B$8,MATCH(order_items!$F$1,categories!$A$1:$B$1,0),FALSE)</f>
        <v>Mountain Bikes</v>
      </c>
      <c r="G1120">
        <v>2</v>
      </c>
      <c r="H1120">
        <v>999.99</v>
      </c>
      <c r="I1120" s="5">
        <v>0.2</v>
      </c>
      <c r="J1120">
        <f t="shared" si="34"/>
        <v>1599.9840000000002</v>
      </c>
      <c r="K1120" s="9">
        <f t="shared" si="35"/>
        <v>-0.15725951613718298</v>
      </c>
    </row>
    <row r="1121" spans="1:11" x14ac:dyDescent="0.3">
      <c r="A1121">
        <v>401</v>
      </c>
      <c r="B1121">
        <v>1</v>
      </c>
      <c r="C1121">
        <v>23</v>
      </c>
      <c r="D1121" t="str">
        <f>VLOOKUP($C1121,products!$A$1:$F$322,MATCH(order_items!$D$1,products!$A$1:$F$1,0),FALSE)</f>
        <v>Electra Girl's Hawaii 1 (20-inch) - 2015/2016</v>
      </c>
      <c r="E1121">
        <f>VLOOKUP($C1121,products!$A$1:$F$322,MATCH(order_items!$E$1,products!$A$1:$F$1,0),FALSE)</f>
        <v>1</v>
      </c>
      <c r="F1121" t="str">
        <f>VLOOKUP($E1121,categories!$A$1:$B$8,MATCH(order_items!$F$1,categories!$A$1:$B$1,0),FALSE)</f>
        <v>Children Bicycles</v>
      </c>
      <c r="G1121">
        <v>1</v>
      </c>
      <c r="H1121">
        <v>299.99</v>
      </c>
      <c r="I1121" s="5">
        <v>0.2</v>
      </c>
      <c r="J1121">
        <f t="shared" si="34"/>
        <v>239.99200000000002</v>
      </c>
      <c r="K1121" s="9">
        <f t="shared" si="35"/>
        <v>-0.67476028104499197</v>
      </c>
    </row>
    <row r="1122" spans="1:11" x14ac:dyDescent="0.3">
      <c r="A1122">
        <v>401</v>
      </c>
      <c r="B1122">
        <v>2</v>
      </c>
      <c r="C1122">
        <v>10</v>
      </c>
      <c r="D1122" t="str">
        <f>VLOOKUP($C1122,products!$A$1:$F$322,MATCH(order_items!$D$1,products!$A$1:$F$1,0),FALSE)</f>
        <v>Surly Straggler - 2016</v>
      </c>
      <c r="E1122">
        <f>VLOOKUP($C1122,products!$A$1:$F$322,MATCH(order_items!$E$1,products!$A$1:$F$1,0),FALSE)</f>
        <v>4</v>
      </c>
      <c r="F1122" t="str">
        <f>VLOOKUP($E1122,categories!$A$1:$B$8,MATCH(order_items!$F$1,categories!$A$1:$B$1,0),FALSE)</f>
        <v>Cyclocross Bicycles</v>
      </c>
      <c r="G1122">
        <v>2</v>
      </c>
      <c r="H1122">
        <v>1549</v>
      </c>
      <c r="I1122" s="5">
        <v>0.2</v>
      </c>
      <c r="J1122">
        <f t="shared" si="34"/>
        <v>2478.4</v>
      </c>
      <c r="K1122" s="9">
        <f t="shared" si="35"/>
        <v>0.24861633378001166</v>
      </c>
    </row>
    <row r="1123" spans="1:11" x14ac:dyDescent="0.3">
      <c r="A1123">
        <v>402</v>
      </c>
      <c r="B1123">
        <v>1</v>
      </c>
      <c r="C1123">
        <v>6</v>
      </c>
      <c r="D1123" t="str">
        <f>VLOOKUP($C1123,products!$A$1:$F$322,MATCH(order_items!$D$1,products!$A$1:$F$1,0),FALSE)</f>
        <v>Surly Ice Cream Truck Frameset - 2016</v>
      </c>
      <c r="E1123">
        <f>VLOOKUP($C1123,products!$A$1:$F$322,MATCH(order_items!$E$1,products!$A$1:$F$1,0),FALSE)</f>
        <v>6</v>
      </c>
      <c r="F1123" t="str">
        <f>VLOOKUP($E1123,categories!$A$1:$B$8,MATCH(order_items!$F$1,categories!$A$1:$B$1,0),FALSE)</f>
        <v>Mountain Bikes</v>
      </c>
      <c r="G1123">
        <v>2</v>
      </c>
      <c r="H1123">
        <v>469.99</v>
      </c>
      <c r="I1123" s="5">
        <v>7.0000000000000007E-2</v>
      </c>
      <c r="J1123">
        <f t="shared" si="34"/>
        <v>874.18139999999994</v>
      </c>
      <c r="K1123" s="9">
        <f t="shared" si="35"/>
        <v>-0.5490815238530955</v>
      </c>
    </row>
    <row r="1124" spans="1:11" x14ac:dyDescent="0.3">
      <c r="A1124">
        <v>402</v>
      </c>
      <c r="B1124">
        <v>2</v>
      </c>
      <c r="C1124">
        <v>5</v>
      </c>
      <c r="D1124" t="str">
        <f>VLOOKUP($C1124,products!$A$1:$F$322,MATCH(order_items!$D$1,products!$A$1:$F$1,0),FALSE)</f>
        <v>Heller Shagamaw Frame - 2016</v>
      </c>
      <c r="E1124">
        <f>VLOOKUP($C1124,products!$A$1:$F$322,MATCH(order_items!$E$1,products!$A$1:$F$1,0),FALSE)</f>
        <v>6</v>
      </c>
      <c r="F1124" t="str">
        <f>VLOOKUP($E1124,categories!$A$1:$B$8,MATCH(order_items!$F$1,categories!$A$1:$B$1,0),FALSE)</f>
        <v>Mountain Bikes</v>
      </c>
      <c r="G1124">
        <v>1</v>
      </c>
      <c r="H1124">
        <v>1320.99</v>
      </c>
      <c r="I1124" s="5">
        <v>7.0000000000000007E-2</v>
      </c>
      <c r="J1124">
        <f t="shared" si="34"/>
        <v>1228.5207</v>
      </c>
      <c r="K1124" s="9">
        <f t="shared" si="35"/>
        <v>8.0051548913398024E-2</v>
      </c>
    </row>
    <row r="1125" spans="1:11" x14ac:dyDescent="0.3">
      <c r="A1125">
        <v>402</v>
      </c>
      <c r="B1125">
        <v>3</v>
      </c>
      <c r="C1125">
        <v>26</v>
      </c>
      <c r="D1125" t="str">
        <f>VLOOKUP($C1125,products!$A$1:$F$322,MATCH(order_items!$D$1,products!$A$1:$F$1,0),FALSE)</f>
        <v>Electra Townie Original 7D EQ - 2016</v>
      </c>
      <c r="E1125">
        <f>VLOOKUP($C1125,products!$A$1:$F$322,MATCH(order_items!$E$1,products!$A$1:$F$1,0),FALSE)</f>
        <v>2</v>
      </c>
      <c r="F1125" t="str">
        <f>VLOOKUP($E1125,categories!$A$1:$B$8,MATCH(order_items!$F$1,categories!$A$1:$B$1,0),FALSE)</f>
        <v>Comfort Bicycles</v>
      </c>
      <c r="G1125">
        <v>1</v>
      </c>
      <c r="H1125">
        <v>599.99</v>
      </c>
      <c r="I1125" s="5">
        <v>0.05</v>
      </c>
      <c r="J1125">
        <f t="shared" si="34"/>
        <v>569.9905</v>
      </c>
      <c r="K1125" s="9">
        <f t="shared" si="35"/>
        <v>-0.45297423894164529</v>
      </c>
    </row>
    <row r="1126" spans="1:11" x14ac:dyDescent="0.3">
      <c r="A1126">
        <v>403</v>
      </c>
      <c r="B1126">
        <v>1</v>
      </c>
      <c r="C1126">
        <v>12</v>
      </c>
      <c r="D1126" t="str">
        <f>VLOOKUP($C1126,products!$A$1:$F$322,MATCH(order_items!$D$1,products!$A$1:$F$1,0),FALSE)</f>
        <v>Electra Townie Original 21D - 2016</v>
      </c>
      <c r="E1126">
        <f>VLOOKUP($C1126,products!$A$1:$F$322,MATCH(order_items!$E$1,products!$A$1:$F$1,0),FALSE)</f>
        <v>3</v>
      </c>
      <c r="F1126" t="str">
        <f>VLOOKUP($E1126,categories!$A$1:$B$8,MATCH(order_items!$F$1,categories!$A$1:$B$1,0),FALSE)</f>
        <v>Cruisers Bicycles</v>
      </c>
      <c r="G1126">
        <v>2</v>
      </c>
      <c r="H1126">
        <v>549.99</v>
      </c>
      <c r="I1126" s="5">
        <v>0.1</v>
      </c>
      <c r="J1126">
        <f t="shared" si="34"/>
        <v>989.98200000000008</v>
      </c>
      <c r="K1126" s="9">
        <f t="shared" si="35"/>
        <v>-0.48993857929220308</v>
      </c>
    </row>
    <row r="1127" spans="1:11" x14ac:dyDescent="0.3">
      <c r="A1127">
        <v>403</v>
      </c>
      <c r="B1127">
        <v>2</v>
      </c>
      <c r="C1127">
        <v>7</v>
      </c>
      <c r="D1127" t="str">
        <f>VLOOKUP($C1127,products!$A$1:$F$322,MATCH(order_items!$D$1,products!$A$1:$F$1,0),FALSE)</f>
        <v>Trek Slash 8 27.5 - 2016</v>
      </c>
      <c r="E1127">
        <f>VLOOKUP($C1127,products!$A$1:$F$322,MATCH(order_items!$E$1,products!$A$1:$F$1,0),FALSE)</f>
        <v>6</v>
      </c>
      <c r="F1127" t="str">
        <f>VLOOKUP($E1127,categories!$A$1:$B$8,MATCH(order_items!$F$1,categories!$A$1:$B$1,0),FALSE)</f>
        <v>Mountain Bikes</v>
      </c>
      <c r="G1127">
        <v>2</v>
      </c>
      <c r="H1127">
        <v>3999.99</v>
      </c>
      <c r="I1127" s="5">
        <v>0.2</v>
      </c>
      <c r="J1127">
        <f t="shared" si="34"/>
        <v>6399.9840000000004</v>
      </c>
      <c r="K1127" s="9">
        <f t="shared" si="35"/>
        <v>2.0606009048962846</v>
      </c>
    </row>
    <row r="1128" spans="1:11" x14ac:dyDescent="0.3">
      <c r="A1128">
        <v>403</v>
      </c>
      <c r="B1128">
        <v>3</v>
      </c>
      <c r="C1128">
        <v>22</v>
      </c>
      <c r="D1128" t="str">
        <f>VLOOKUP($C1128,products!$A$1:$F$322,MATCH(order_items!$D$1,products!$A$1:$F$1,0),FALSE)</f>
        <v>Electra Girl's Hawaii 1 (16-inch) - 2015/2016</v>
      </c>
      <c r="E1128">
        <f>VLOOKUP($C1128,products!$A$1:$F$322,MATCH(order_items!$E$1,products!$A$1:$F$1,0),FALSE)</f>
        <v>1</v>
      </c>
      <c r="F1128" t="str">
        <f>VLOOKUP($E1128,categories!$A$1:$B$8,MATCH(order_items!$F$1,categories!$A$1:$B$1,0),FALSE)</f>
        <v>Children Bicycles</v>
      </c>
      <c r="G1128">
        <v>2</v>
      </c>
      <c r="H1128">
        <v>269.99</v>
      </c>
      <c r="I1128" s="5">
        <v>0.05</v>
      </c>
      <c r="J1128">
        <f t="shared" si="34"/>
        <v>512.98099999999999</v>
      </c>
      <c r="K1128" s="9">
        <f t="shared" si="35"/>
        <v>-0.69693888525532666</v>
      </c>
    </row>
    <row r="1129" spans="1:11" x14ac:dyDescent="0.3">
      <c r="A1129">
        <v>403</v>
      </c>
      <c r="B1129">
        <v>4</v>
      </c>
      <c r="C1129">
        <v>24</v>
      </c>
      <c r="D1129" t="str">
        <f>VLOOKUP($C1129,products!$A$1:$F$322,MATCH(order_items!$D$1,products!$A$1:$F$1,0),FALSE)</f>
        <v>Electra Townie Original 21D - 2016</v>
      </c>
      <c r="E1129">
        <f>VLOOKUP($C1129,products!$A$1:$F$322,MATCH(order_items!$E$1,products!$A$1:$F$1,0),FALSE)</f>
        <v>2</v>
      </c>
      <c r="F1129" t="str">
        <f>VLOOKUP($E1129,categories!$A$1:$B$8,MATCH(order_items!$F$1,categories!$A$1:$B$1,0),FALSE)</f>
        <v>Comfort Bicycles</v>
      </c>
      <c r="G1129">
        <v>1</v>
      </c>
      <c r="H1129">
        <v>549.99</v>
      </c>
      <c r="I1129" s="5">
        <v>0.2</v>
      </c>
      <c r="J1129">
        <f t="shared" si="34"/>
        <v>439.99200000000002</v>
      </c>
      <c r="K1129" s="9">
        <f t="shared" si="35"/>
        <v>-0.48993857929220308</v>
      </c>
    </row>
    <row r="1130" spans="1:11" x14ac:dyDescent="0.3">
      <c r="A1130">
        <v>404</v>
      </c>
      <c r="B1130">
        <v>1</v>
      </c>
      <c r="C1130">
        <v>9</v>
      </c>
      <c r="D1130" t="str">
        <f>VLOOKUP($C1130,products!$A$1:$F$322,MATCH(order_items!$D$1,products!$A$1:$F$1,0),FALSE)</f>
        <v>Trek Conduit+ - 2016</v>
      </c>
      <c r="E1130">
        <f>VLOOKUP($C1130,products!$A$1:$F$322,MATCH(order_items!$E$1,products!$A$1:$F$1,0),FALSE)</f>
        <v>5</v>
      </c>
      <c r="F1130" t="str">
        <f>VLOOKUP($E1130,categories!$A$1:$B$8,MATCH(order_items!$F$1,categories!$A$1:$B$1,0),FALSE)</f>
        <v>Electric Bikes</v>
      </c>
      <c r="G1130">
        <v>1</v>
      </c>
      <c r="H1130">
        <v>2999.99</v>
      </c>
      <c r="I1130" s="5">
        <v>7.0000000000000007E-2</v>
      </c>
      <c r="J1130">
        <f t="shared" si="34"/>
        <v>2789.9906999999998</v>
      </c>
      <c r="K1130" s="9">
        <f t="shared" si="35"/>
        <v>1.3213140978851283</v>
      </c>
    </row>
    <row r="1131" spans="1:11" x14ac:dyDescent="0.3">
      <c r="A1131">
        <v>404</v>
      </c>
      <c r="B1131">
        <v>2</v>
      </c>
      <c r="C1131">
        <v>25</v>
      </c>
      <c r="D1131" t="str">
        <f>VLOOKUP($C1131,products!$A$1:$F$322,MATCH(order_items!$D$1,products!$A$1:$F$1,0),FALSE)</f>
        <v>Electra Townie Original 7D - 2015/2016</v>
      </c>
      <c r="E1131">
        <f>VLOOKUP($C1131,products!$A$1:$F$322,MATCH(order_items!$E$1,products!$A$1:$F$1,0),FALSE)</f>
        <v>2</v>
      </c>
      <c r="F1131" t="str">
        <f>VLOOKUP($E1131,categories!$A$1:$B$8,MATCH(order_items!$F$1,categories!$A$1:$B$1,0),FALSE)</f>
        <v>Comfort Bicycles</v>
      </c>
      <c r="G1131">
        <v>2</v>
      </c>
      <c r="H1131">
        <v>499.99</v>
      </c>
      <c r="I1131" s="5">
        <v>0.05</v>
      </c>
      <c r="J1131">
        <f t="shared" si="34"/>
        <v>949.98099999999999</v>
      </c>
      <c r="K1131" s="9">
        <f t="shared" si="35"/>
        <v>-0.52690291964276081</v>
      </c>
    </row>
    <row r="1132" spans="1:11" x14ac:dyDescent="0.3">
      <c r="A1132">
        <v>404</v>
      </c>
      <c r="B1132">
        <v>3</v>
      </c>
      <c r="C1132">
        <v>16</v>
      </c>
      <c r="D1132" t="str">
        <f>VLOOKUP($C1132,products!$A$1:$F$322,MATCH(order_items!$D$1,products!$A$1:$F$1,0),FALSE)</f>
        <v>Electra Townie Original 7D EQ - 2016</v>
      </c>
      <c r="E1132">
        <f>VLOOKUP($C1132,products!$A$1:$F$322,MATCH(order_items!$E$1,products!$A$1:$F$1,0),FALSE)</f>
        <v>3</v>
      </c>
      <c r="F1132" t="str">
        <f>VLOOKUP($E1132,categories!$A$1:$B$8,MATCH(order_items!$F$1,categories!$A$1:$B$1,0),FALSE)</f>
        <v>Cruisers Bicycles</v>
      </c>
      <c r="G1132">
        <v>2</v>
      </c>
      <c r="H1132">
        <v>599.99</v>
      </c>
      <c r="I1132" s="5">
        <v>0.2</v>
      </c>
      <c r="J1132">
        <f t="shared" si="34"/>
        <v>959.98400000000004</v>
      </c>
      <c r="K1132" s="9">
        <f t="shared" si="35"/>
        <v>-0.45297423894164529</v>
      </c>
    </row>
    <row r="1133" spans="1:11" x14ac:dyDescent="0.3">
      <c r="A1133">
        <v>405</v>
      </c>
      <c r="B1133">
        <v>1</v>
      </c>
      <c r="C1133">
        <v>3</v>
      </c>
      <c r="D1133" t="str">
        <f>VLOOKUP($C1133,products!$A$1:$F$322,MATCH(order_items!$D$1,products!$A$1:$F$1,0),FALSE)</f>
        <v>Surly Wednesday Frameset - 2016</v>
      </c>
      <c r="E1133">
        <f>VLOOKUP($C1133,products!$A$1:$F$322,MATCH(order_items!$E$1,products!$A$1:$F$1,0),FALSE)</f>
        <v>6</v>
      </c>
      <c r="F1133" t="str">
        <f>VLOOKUP($E1133,categories!$A$1:$B$8,MATCH(order_items!$F$1,categories!$A$1:$B$1,0),FALSE)</f>
        <v>Mountain Bikes</v>
      </c>
      <c r="G1133">
        <v>2</v>
      </c>
      <c r="H1133">
        <v>999.99</v>
      </c>
      <c r="I1133" s="5">
        <v>0.2</v>
      </c>
      <c r="J1133">
        <f t="shared" si="34"/>
        <v>1599.9840000000002</v>
      </c>
      <c r="K1133" s="9">
        <f t="shared" si="35"/>
        <v>-0.15725951613718298</v>
      </c>
    </row>
    <row r="1134" spans="1:11" x14ac:dyDescent="0.3">
      <c r="A1134">
        <v>405</v>
      </c>
      <c r="B1134">
        <v>2</v>
      </c>
      <c r="C1134">
        <v>10</v>
      </c>
      <c r="D1134" t="str">
        <f>VLOOKUP($C1134,products!$A$1:$F$322,MATCH(order_items!$D$1,products!$A$1:$F$1,0),FALSE)</f>
        <v>Surly Straggler - 2016</v>
      </c>
      <c r="E1134">
        <f>VLOOKUP($C1134,products!$A$1:$F$322,MATCH(order_items!$E$1,products!$A$1:$F$1,0),FALSE)</f>
        <v>4</v>
      </c>
      <c r="F1134" t="str">
        <f>VLOOKUP($E1134,categories!$A$1:$B$8,MATCH(order_items!$F$1,categories!$A$1:$B$1,0),FALSE)</f>
        <v>Cyclocross Bicycles</v>
      </c>
      <c r="G1134">
        <v>2</v>
      </c>
      <c r="H1134">
        <v>1549</v>
      </c>
      <c r="I1134" s="5">
        <v>0.1</v>
      </c>
      <c r="J1134">
        <f t="shared" si="34"/>
        <v>2788.2000000000003</v>
      </c>
      <c r="K1134" s="9">
        <f t="shared" si="35"/>
        <v>0.24861633378001166</v>
      </c>
    </row>
    <row r="1135" spans="1:11" x14ac:dyDescent="0.3">
      <c r="A1135">
        <v>405</v>
      </c>
      <c r="B1135">
        <v>3</v>
      </c>
      <c r="C1135">
        <v>14</v>
      </c>
      <c r="D1135" t="str">
        <f>VLOOKUP($C1135,products!$A$1:$F$322,MATCH(order_items!$D$1,products!$A$1:$F$1,0),FALSE)</f>
        <v>Electra Girl's Hawaii 1 (16-inch) - 2015/2016</v>
      </c>
      <c r="E1135">
        <f>VLOOKUP($C1135,products!$A$1:$F$322,MATCH(order_items!$E$1,products!$A$1:$F$1,0),FALSE)</f>
        <v>3</v>
      </c>
      <c r="F1135" t="str">
        <f>VLOOKUP($E1135,categories!$A$1:$B$8,MATCH(order_items!$F$1,categories!$A$1:$B$1,0),FALSE)</f>
        <v>Cruisers Bicycles</v>
      </c>
      <c r="G1135">
        <v>2</v>
      </c>
      <c r="H1135">
        <v>269.99</v>
      </c>
      <c r="I1135" s="5">
        <v>7.0000000000000007E-2</v>
      </c>
      <c r="J1135">
        <f t="shared" si="34"/>
        <v>502.1814</v>
      </c>
      <c r="K1135" s="9">
        <f t="shared" si="35"/>
        <v>-0.69693888525532666</v>
      </c>
    </row>
    <row r="1136" spans="1:11" x14ac:dyDescent="0.3">
      <c r="A1136">
        <v>406</v>
      </c>
      <c r="B1136">
        <v>1</v>
      </c>
      <c r="C1136">
        <v>4</v>
      </c>
      <c r="D1136" t="str">
        <f>VLOOKUP($C1136,products!$A$1:$F$322,MATCH(order_items!$D$1,products!$A$1:$F$1,0),FALSE)</f>
        <v>Trek Fuel EX 8 29 - 2016</v>
      </c>
      <c r="E1136">
        <f>VLOOKUP($C1136,products!$A$1:$F$322,MATCH(order_items!$E$1,products!$A$1:$F$1,0),FALSE)</f>
        <v>6</v>
      </c>
      <c r="F1136" t="str">
        <f>VLOOKUP($E1136,categories!$A$1:$B$8,MATCH(order_items!$F$1,categories!$A$1:$B$1,0),FALSE)</f>
        <v>Mountain Bikes</v>
      </c>
      <c r="G1136">
        <v>1</v>
      </c>
      <c r="H1136">
        <v>2899.99</v>
      </c>
      <c r="I1136" s="5">
        <v>0.2</v>
      </c>
      <c r="J1136">
        <f t="shared" si="34"/>
        <v>2319.9919999999997</v>
      </c>
      <c r="K1136" s="9">
        <f t="shared" si="35"/>
        <v>1.2473854171840129</v>
      </c>
    </row>
    <row r="1137" spans="1:11" x14ac:dyDescent="0.3">
      <c r="A1137">
        <v>407</v>
      </c>
      <c r="B1137">
        <v>1</v>
      </c>
      <c r="C1137">
        <v>20</v>
      </c>
      <c r="D1137" t="str">
        <f>VLOOKUP($C1137,products!$A$1:$F$322,MATCH(order_items!$D$1,products!$A$1:$F$1,0),FALSE)</f>
        <v>Electra Townie Original 7D EQ - Women's - 2016</v>
      </c>
      <c r="E1137">
        <f>VLOOKUP($C1137,products!$A$1:$F$322,MATCH(order_items!$E$1,products!$A$1:$F$1,0),FALSE)</f>
        <v>3</v>
      </c>
      <c r="F1137" t="str">
        <f>VLOOKUP($E1137,categories!$A$1:$B$8,MATCH(order_items!$F$1,categories!$A$1:$B$1,0),FALSE)</f>
        <v>Cruisers Bicycles</v>
      </c>
      <c r="G1137">
        <v>1</v>
      </c>
      <c r="H1137">
        <v>599.99</v>
      </c>
      <c r="I1137" s="5">
        <v>0.2</v>
      </c>
      <c r="J1137">
        <f t="shared" si="34"/>
        <v>479.99200000000002</v>
      </c>
      <c r="K1137" s="9">
        <f t="shared" si="35"/>
        <v>-0.45297423894164529</v>
      </c>
    </row>
    <row r="1138" spans="1:11" x14ac:dyDescent="0.3">
      <c r="A1138">
        <v>407</v>
      </c>
      <c r="B1138">
        <v>2</v>
      </c>
      <c r="C1138">
        <v>5</v>
      </c>
      <c r="D1138" t="str">
        <f>VLOOKUP($C1138,products!$A$1:$F$322,MATCH(order_items!$D$1,products!$A$1:$F$1,0),FALSE)</f>
        <v>Heller Shagamaw Frame - 2016</v>
      </c>
      <c r="E1138">
        <f>VLOOKUP($C1138,products!$A$1:$F$322,MATCH(order_items!$E$1,products!$A$1:$F$1,0),FALSE)</f>
        <v>6</v>
      </c>
      <c r="F1138" t="str">
        <f>VLOOKUP($E1138,categories!$A$1:$B$8,MATCH(order_items!$F$1,categories!$A$1:$B$1,0),FALSE)</f>
        <v>Mountain Bikes</v>
      </c>
      <c r="G1138">
        <v>1</v>
      </c>
      <c r="H1138">
        <v>1320.99</v>
      </c>
      <c r="I1138" s="5">
        <v>0.05</v>
      </c>
      <c r="J1138">
        <f t="shared" si="34"/>
        <v>1254.9404999999999</v>
      </c>
      <c r="K1138" s="9">
        <f t="shared" si="35"/>
        <v>8.0051548913398024E-2</v>
      </c>
    </row>
    <row r="1139" spans="1:11" x14ac:dyDescent="0.3">
      <c r="A1139">
        <v>408</v>
      </c>
      <c r="B1139">
        <v>1</v>
      </c>
      <c r="C1139">
        <v>18</v>
      </c>
      <c r="D1139" t="str">
        <f>VLOOKUP($C1139,products!$A$1:$F$322,MATCH(order_items!$D$1,products!$A$1:$F$1,0),FALSE)</f>
        <v>Pure Cycles Western 3-Speed - Women's - 2015/2016</v>
      </c>
      <c r="E1139">
        <f>VLOOKUP($C1139,products!$A$1:$F$322,MATCH(order_items!$E$1,products!$A$1:$F$1,0),FALSE)</f>
        <v>3</v>
      </c>
      <c r="F1139" t="str">
        <f>VLOOKUP($E1139,categories!$A$1:$B$8,MATCH(order_items!$F$1,categories!$A$1:$B$1,0),FALSE)</f>
        <v>Cruisers Bicycles</v>
      </c>
      <c r="G1139">
        <v>1</v>
      </c>
      <c r="H1139">
        <v>449</v>
      </c>
      <c r="I1139" s="5">
        <v>0.2</v>
      </c>
      <c r="J1139">
        <f t="shared" si="34"/>
        <v>359.20000000000005</v>
      </c>
      <c r="K1139" s="9">
        <f t="shared" si="35"/>
        <v>-0.56459915393225968</v>
      </c>
    </row>
    <row r="1140" spans="1:11" x14ac:dyDescent="0.3">
      <c r="A1140">
        <v>408</v>
      </c>
      <c r="B1140">
        <v>2</v>
      </c>
      <c r="C1140">
        <v>3</v>
      </c>
      <c r="D1140" t="str">
        <f>VLOOKUP($C1140,products!$A$1:$F$322,MATCH(order_items!$D$1,products!$A$1:$F$1,0),FALSE)</f>
        <v>Surly Wednesday Frameset - 2016</v>
      </c>
      <c r="E1140">
        <f>VLOOKUP($C1140,products!$A$1:$F$322,MATCH(order_items!$E$1,products!$A$1:$F$1,0),FALSE)</f>
        <v>6</v>
      </c>
      <c r="F1140" t="str">
        <f>VLOOKUP($E1140,categories!$A$1:$B$8,MATCH(order_items!$F$1,categories!$A$1:$B$1,0),FALSE)</f>
        <v>Mountain Bikes</v>
      </c>
      <c r="G1140">
        <v>1</v>
      </c>
      <c r="H1140">
        <v>999.99</v>
      </c>
      <c r="I1140" s="5">
        <v>7.0000000000000007E-2</v>
      </c>
      <c r="J1140">
        <f t="shared" si="34"/>
        <v>929.99069999999995</v>
      </c>
      <c r="K1140" s="9">
        <f t="shared" si="35"/>
        <v>-0.15725951613718298</v>
      </c>
    </row>
    <row r="1141" spans="1:11" x14ac:dyDescent="0.3">
      <c r="A1141">
        <v>408</v>
      </c>
      <c r="B1141">
        <v>3</v>
      </c>
      <c r="C1141">
        <v>2</v>
      </c>
      <c r="D1141" t="str">
        <f>VLOOKUP($C1141,products!$A$1:$F$322,MATCH(order_items!$D$1,products!$A$1:$F$1,0),FALSE)</f>
        <v>Ritchey Timberwolf Frameset - 2016</v>
      </c>
      <c r="E1141">
        <f>VLOOKUP($C1141,products!$A$1:$F$322,MATCH(order_items!$E$1,products!$A$1:$F$1,0),FALSE)</f>
        <v>6</v>
      </c>
      <c r="F1141" t="str">
        <f>VLOOKUP($E1141,categories!$A$1:$B$8,MATCH(order_items!$F$1,categories!$A$1:$B$1,0),FALSE)</f>
        <v>Mountain Bikes</v>
      </c>
      <c r="G1141">
        <v>2</v>
      </c>
      <c r="H1141">
        <v>749.99</v>
      </c>
      <c r="I1141" s="5">
        <v>7.0000000000000007E-2</v>
      </c>
      <c r="J1141">
        <f t="shared" si="34"/>
        <v>1394.9813999999999</v>
      </c>
      <c r="K1141" s="9">
        <f t="shared" si="35"/>
        <v>-0.34208121788997192</v>
      </c>
    </row>
    <row r="1142" spans="1:11" x14ac:dyDescent="0.3">
      <c r="A1142">
        <v>408</v>
      </c>
      <c r="B1142">
        <v>4</v>
      </c>
      <c r="C1142">
        <v>17</v>
      </c>
      <c r="D1142" t="str">
        <f>VLOOKUP($C1142,products!$A$1:$F$322,MATCH(order_items!$D$1,products!$A$1:$F$1,0),FALSE)</f>
        <v>Pure Cycles Vine 8-Speed - 2016</v>
      </c>
      <c r="E1142">
        <f>VLOOKUP($C1142,products!$A$1:$F$322,MATCH(order_items!$E$1,products!$A$1:$F$1,0),FALSE)</f>
        <v>3</v>
      </c>
      <c r="F1142" t="str">
        <f>VLOOKUP($E1142,categories!$A$1:$B$8,MATCH(order_items!$F$1,categories!$A$1:$B$1,0),FALSE)</f>
        <v>Cruisers Bicycles</v>
      </c>
      <c r="G1142">
        <v>2</v>
      </c>
      <c r="H1142">
        <v>429</v>
      </c>
      <c r="I1142" s="5">
        <v>0.2</v>
      </c>
      <c r="J1142">
        <f t="shared" si="34"/>
        <v>686.40000000000009</v>
      </c>
      <c r="K1142" s="9">
        <f t="shared" si="35"/>
        <v>-0.57938489007248284</v>
      </c>
    </row>
    <row r="1143" spans="1:11" x14ac:dyDescent="0.3">
      <c r="A1143">
        <v>409</v>
      </c>
      <c r="B1143">
        <v>1</v>
      </c>
      <c r="C1143">
        <v>15</v>
      </c>
      <c r="D1143" t="str">
        <f>VLOOKUP($C1143,products!$A$1:$F$322,MATCH(order_items!$D$1,products!$A$1:$F$1,0),FALSE)</f>
        <v>Electra Moto 1 - 2016</v>
      </c>
      <c r="E1143">
        <f>VLOOKUP($C1143,products!$A$1:$F$322,MATCH(order_items!$E$1,products!$A$1:$F$1,0),FALSE)</f>
        <v>3</v>
      </c>
      <c r="F1143" t="str">
        <f>VLOOKUP($E1143,categories!$A$1:$B$8,MATCH(order_items!$F$1,categories!$A$1:$B$1,0),FALSE)</f>
        <v>Cruisers Bicycles</v>
      </c>
      <c r="G1143">
        <v>1</v>
      </c>
      <c r="H1143">
        <v>529.99</v>
      </c>
      <c r="I1143" s="5">
        <v>7.0000000000000007E-2</v>
      </c>
      <c r="J1143">
        <f t="shared" si="34"/>
        <v>492.89069999999998</v>
      </c>
      <c r="K1143" s="9">
        <f t="shared" si="35"/>
        <v>-0.50472431543242624</v>
      </c>
    </row>
    <row r="1144" spans="1:11" x14ac:dyDescent="0.3">
      <c r="A1144">
        <v>409</v>
      </c>
      <c r="B1144">
        <v>2</v>
      </c>
      <c r="C1144">
        <v>16</v>
      </c>
      <c r="D1144" t="str">
        <f>VLOOKUP($C1144,products!$A$1:$F$322,MATCH(order_items!$D$1,products!$A$1:$F$1,0),FALSE)</f>
        <v>Electra Townie Original 7D EQ - 2016</v>
      </c>
      <c r="E1144">
        <f>VLOOKUP($C1144,products!$A$1:$F$322,MATCH(order_items!$E$1,products!$A$1:$F$1,0),FALSE)</f>
        <v>3</v>
      </c>
      <c r="F1144" t="str">
        <f>VLOOKUP($E1144,categories!$A$1:$B$8,MATCH(order_items!$F$1,categories!$A$1:$B$1,0),FALSE)</f>
        <v>Cruisers Bicycles</v>
      </c>
      <c r="G1144">
        <v>2</v>
      </c>
      <c r="H1144">
        <v>599.99</v>
      </c>
      <c r="I1144" s="5">
        <v>0.2</v>
      </c>
      <c r="J1144">
        <f t="shared" si="34"/>
        <v>959.98400000000004</v>
      </c>
      <c r="K1144" s="9">
        <f t="shared" si="35"/>
        <v>-0.45297423894164529</v>
      </c>
    </row>
    <row r="1145" spans="1:11" x14ac:dyDescent="0.3">
      <c r="A1145">
        <v>409</v>
      </c>
      <c r="B1145">
        <v>3</v>
      </c>
      <c r="C1145">
        <v>21</v>
      </c>
      <c r="D1145" t="str">
        <f>VLOOKUP($C1145,products!$A$1:$F$322,MATCH(order_items!$D$1,products!$A$1:$F$1,0),FALSE)</f>
        <v>Electra Cruiser 1 (24-Inch) - 2016</v>
      </c>
      <c r="E1145">
        <f>VLOOKUP($C1145,products!$A$1:$F$322,MATCH(order_items!$E$1,products!$A$1:$F$1,0),FALSE)</f>
        <v>1</v>
      </c>
      <c r="F1145" t="str">
        <f>VLOOKUP($E1145,categories!$A$1:$B$8,MATCH(order_items!$F$1,categories!$A$1:$B$1,0),FALSE)</f>
        <v>Children Bicycles</v>
      </c>
      <c r="G1145">
        <v>1</v>
      </c>
      <c r="H1145">
        <v>269.99</v>
      </c>
      <c r="I1145" s="5">
        <v>0.05</v>
      </c>
      <c r="J1145">
        <f t="shared" si="34"/>
        <v>256.4905</v>
      </c>
      <c r="K1145" s="9">
        <f t="shared" si="35"/>
        <v>-0.69693888525532666</v>
      </c>
    </row>
    <row r="1146" spans="1:11" x14ac:dyDescent="0.3">
      <c r="A1146">
        <v>410</v>
      </c>
      <c r="B1146">
        <v>1</v>
      </c>
      <c r="C1146">
        <v>25</v>
      </c>
      <c r="D1146" t="str">
        <f>VLOOKUP($C1146,products!$A$1:$F$322,MATCH(order_items!$D$1,products!$A$1:$F$1,0),FALSE)</f>
        <v>Electra Townie Original 7D - 2015/2016</v>
      </c>
      <c r="E1146">
        <f>VLOOKUP($C1146,products!$A$1:$F$322,MATCH(order_items!$E$1,products!$A$1:$F$1,0),FALSE)</f>
        <v>2</v>
      </c>
      <c r="F1146" t="str">
        <f>VLOOKUP($E1146,categories!$A$1:$B$8,MATCH(order_items!$F$1,categories!$A$1:$B$1,0),FALSE)</f>
        <v>Comfort Bicycles</v>
      </c>
      <c r="G1146">
        <v>1</v>
      </c>
      <c r="H1146">
        <v>499.99</v>
      </c>
      <c r="I1146" s="5">
        <v>0.1</v>
      </c>
      <c r="J1146">
        <f t="shared" si="34"/>
        <v>449.99100000000004</v>
      </c>
      <c r="K1146" s="9">
        <f t="shared" si="35"/>
        <v>-0.52690291964276081</v>
      </c>
    </row>
    <row r="1147" spans="1:11" x14ac:dyDescent="0.3">
      <c r="A1147">
        <v>410</v>
      </c>
      <c r="B1147">
        <v>2</v>
      </c>
      <c r="C1147">
        <v>9</v>
      </c>
      <c r="D1147" t="str">
        <f>VLOOKUP($C1147,products!$A$1:$F$322,MATCH(order_items!$D$1,products!$A$1:$F$1,0),FALSE)</f>
        <v>Trek Conduit+ - 2016</v>
      </c>
      <c r="E1147">
        <f>VLOOKUP($C1147,products!$A$1:$F$322,MATCH(order_items!$E$1,products!$A$1:$F$1,0),FALSE)</f>
        <v>5</v>
      </c>
      <c r="F1147" t="str">
        <f>VLOOKUP($E1147,categories!$A$1:$B$8,MATCH(order_items!$F$1,categories!$A$1:$B$1,0),FALSE)</f>
        <v>Electric Bikes</v>
      </c>
      <c r="G1147">
        <v>2</v>
      </c>
      <c r="H1147">
        <v>2999.99</v>
      </c>
      <c r="I1147" s="5">
        <v>0.05</v>
      </c>
      <c r="J1147">
        <f t="shared" si="34"/>
        <v>5699.9809999999998</v>
      </c>
      <c r="K1147" s="9">
        <f t="shared" si="35"/>
        <v>1.3213140978851283</v>
      </c>
    </row>
    <row r="1148" spans="1:11" x14ac:dyDescent="0.3">
      <c r="A1148">
        <v>410</v>
      </c>
      <c r="B1148">
        <v>3</v>
      </c>
      <c r="C1148">
        <v>24</v>
      </c>
      <c r="D1148" t="str">
        <f>VLOOKUP($C1148,products!$A$1:$F$322,MATCH(order_items!$D$1,products!$A$1:$F$1,0),FALSE)</f>
        <v>Electra Townie Original 21D - 2016</v>
      </c>
      <c r="E1148">
        <f>VLOOKUP($C1148,products!$A$1:$F$322,MATCH(order_items!$E$1,products!$A$1:$F$1,0),FALSE)</f>
        <v>2</v>
      </c>
      <c r="F1148" t="str">
        <f>VLOOKUP($E1148,categories!$A$1:$B$8,MATCH(order_items!$F$1,categories!$A$1:$B$1,0),FALSE)</f>
        <v>Comfort Bicycles</v>
      </c>
      <c r="G1148">
        <v>2</v>
      </c>
      <c r="H1148">
        <v>549.99</v>
      </c>
      <c r="I1148" s="5">
        <v>0.1</v>
      </c>
      <c r="J1148">
        <f t="shared" si="34"/>
        <v>989.98200000000008</v>
      </c>
      <c r="K1148" s="9">
        <f t="shared" si="35"/>
        <v>-0.48993857929220308</v>
      </c>
    </row>
    <row r="1149" spans="1:11" x14ac:dyDescent="0.3">
      <c r="A1149">
        <v>411</v>
      </c>
      <c r="B1149">
        <v>1</v>
      </c>
      <c r="C1149">
        <v>2</v>
      </c>
      <c r="D1149" t="str">
        <f>VLOOKUP($C1149,products!$A$1:$F$322,MATCH(order_items!$D$1,products!$A$1:$F$1,0),FALSE)</f>
        <v>Ritchey Timberwolf Frameset - 2016</v>
      </c>
      <c r="E1149">
        <f>VLOOKUP($C1149,products!$A$1:$F$322,MATCH(order_items!$E$1,products!$A$1:$F$1,0),FALSE)</f>
        <v>6</v>
      </c>
      <c r="F1149" t="str">
        <f>VLOOKUP($E1149,categories!$A$1:$B$8,MATCH(order_items!$F$1,categories!$A$1:$B$1,0),FALSE)</f>
        <v>Mountain Bikes</v>
      </c>
      <c r="G1149">
        <v>1</v>
      </c>
      <c r="H1149">
        <v>749.99</v>
      </c>
      <c r="I1149" s="5">
        <v>7.0000000000000007E-2</v>
      </c>
      <c r="J1149">
        <f t="shared" si="34"/>
        <v>697.49069999999995</v>
      </c>
      <c r="K1149" s="9">
        <f t="shared" si="35"/>
        <v>-0.34208121788997192</v>
      </c>
    </row>
    <row r="1150" spans="1:11" x14ac:dyDescent="0.3">
      <c r="A1150">
        <v>411</v>
      </c>
      <c r="B1150">
        <v>2</v>
      </c>
      <c r="C1150">
        <v>26</v>
      </c>
      <c r="D1150" t="str">
        <f>VLOOKUP($C1150,products!$A$1:$F$322,MATCH(order_items!$D$1,products!$A$1:$F$1,0),FALSE)</f>
        <v>Electra Townie Original 7D EQ - 2016</v>
      </c>
      <c r="E1150">
        <f>VLOOKUP($C1150,products!$A$1:$F$322,MATCH(order_items!$E$1,products!$A$1:$F$1,0),FALSE)</f>
        <v>2</v>
      </c>
      <c r="F1150" t="str">
        <f>VLOOKUP($E1150,categories!$A$1:$B$8,MATCH(order_items!$F$1,categories!$A$1:$B$1,0),FALSE)</f>
        <v>Comfort Bicycles</v>
      </c>
      <c r="G1150">
        <v>2</v>
      </c>
      <c r="H1150">
        <v>599.99</v>
      </c>
      <c r="I1150" s="5">
        <v>0.05</v>
      </c>
      <c r="J1150">
        <f t="shared" si="34"/>
        <v>1139.981</v>
      </c>
      <c r="K1150" s="9">
        <f t="shared" si="35"/>
        <v>-0.45297423894164529</v>
      </c>
    </row>
    <row r="1151" spans="1:11" x14ac:dyDescent="0.3">
      <c r="A1151">
        <v>412</v>
      </c>
      <c r="B1151">
        <v>1</v>
      </c>
      <c r="C1151">
        <v>7</v>
      </c>
      <c r="D1151" t="str">
        <f>VLOOKUP($C1151,products!$A$1:$F$322,MATCH(order_items!$D$1,products!$A$1:$F$1,0),FALSE)</f>
        <v>Trek Slash 8 27.5 - 2016</v>
      </c>
      <c r="E1151">
        <f>VLOOKUP($C1151,products!$A$1:$F$322,MATCH(order_items!$E$1,products!$A$1:$F$1,0),FALSE)</f>
        <v>6</v>
      </c>
      <c r="F1151" t="str">
        <f>VLOOKUP($E1151,categories!$A$1:$B$8,MATCH(order_items!$F$1,categories!$A$1:$B$1,0),FALSE)</f>
        <v>Mountain Bikes</v>
      </c>
      <c r="G1151">
        <v>1</v>
      </c>
      <c r="H1151">
        <v>3999.99</v>
      </c>
      <c r="I1151" s="5">
        <v>0.1</v>
      </c>
      <c r="J1151">
        <f t="shared" si="34"/>
        <v>3599.991</v>
      </c>
      <c r="K1151" s="9">
        <f t="shared" si="35"/>
        <v>2.0606009048962846</v>
      </c>
    </row>
    <row r="1152" spans="1:11" x14ac:dyDescent="0.3">
      <c r="A1152">
        <v>412</v>
      </c>
      <c r="B1152">
        <v>2</v>
      </c>
      <c r="C1152">
        <v>24</v>
      </c>
      <c r="D1152" t="str">
        <f>VLOOKUP($C1152,products!$A$1:$F$322,MATCH(order_items!$D$1,products!$A$1:$F$1,0),FALSE)</f>
        <v>Electra Townie Original 21D - 2016</v>
      </c>
      <c r="E1152">
        <f>VLOOKUP($C1152,products!$A$1:$F$322,MATCH(order_items!$E$1,products!$A$1:$F$1,0),FALSE)</f>
        <v>2</v>
      </c>
      <c r="F1152" t="str">
        <f>VLOOKUP($E1152,categories!$A$1:$B$8,MATCH(order_items!$F$1,categories!$A$1:$B$1,0),FALSE)</f>
        <v>Comfort Bicycles</v>
      </c>
      <c r="G1152">
        <v>1</v>
      </c>
      <c r="H1152">
        <v>549.99</v>
      </c>
      <c r="I1152" s="5">
        <v>7.0000000000000007E-2</v>
      </c>
      <c r="J1152">
        <f t="shared" si="34"/>
        <v>511.49069999999995</v>
      </c>
      <c r="K1152" s="9">
        <f t="shared" si="35"/>
        <v>-0.48993857929220308</v>
      </c>
    </row>
    <row r="1153" spans="1:11" x14ac:dyDescent="0.3">
      <c r="A1153">
        <v>412</v>
      </c>
      <c r="B1153">
        <v>3</v>
      </c>
      <c r="C1153">
        <v>17</v>
      </c>
      <c r="D1153" t="str">
        <f>VLOOKUP($C1153,products!$A$1:$F$322,MATCH(order_items!$D$1,products!$A$1:$F$1,0),FALSE)</f>
        <v>Pure Cycles Vine 8-Speed - 2016</v>
      </c>
      <c r="E1153">
        <f>VLOOKUP($C1153,products!$A$1:$F$322,MATCH(order_items!$E$1,products!$A$1:$F$1,0),FALSE)</f>
        <v>3</v>
      </c>
      <c r="F1153" t="str">
        <f>VLOOKUP($E1153,categories!$A$1:$B$8,MATCH(order_items!$F$1,categories!$A$1:$B$1,0),FALSE)</f>
        <v>Cruisers Bicycles</v>
      </c>
      <c r="G1153">
        <v>1</v>
      </c>
      <c r="H1153">
        <v>429</v>
      </c>
      <c r="I1153" s="5">
        <v>0.1</v>
      </c>
      <c r="J1153">
        <f t="shared" si="34"/>
        <v>386.1</v>
      </c>
      <c r="K1153" s="9">
        <f t="shared" si="35"/>
        <v>-0.57938489007248284</v>
      </c>
    </row>
    <row r="1154" spans="1:11" x14ac:dyDescent="0.3">
      <c r="A1154">
        <v>413</v>
      </c>
      <c r="B1154">
        <v>1</v>
      </c>
      <c r="C1154">
        <v>8</v>
      </c>
      <c r="D1154" t="str">
        <f>VLOOKUP($C1154,products!$A$1:$F$322,MATCH(order_items!$D$1,products!$A$1:$F$1,0),FALSE)</f>
        <v>Trek Remedy 29 Carbon Frameset - 2016</v>
      </c>
      <c r="E1154">
        <f>VLOOKUP($C1154,products!$A$1:$F$322,MATCH(order_items!$E$1,products!$A$1:$F$1,0),FALSE)</f>
        <v>6</v>
      </c>
      <c r="F1154" t="str">
        <f>VLOOKUP($E1154,categories!$A$1:$B$8,MATCH(order_items!$F$1,categories!$A$1:$B$1,0),FALSE)</f>
        <v>Mountain Bikes</v>
      </c>
      <c r="G1154">
        <v>2</v>
      </c>
      <c r="H1154">
        <v>1799.99</v>
      </c>
      <c r="I1154" s="5">
        <v>0.05</v>
      </c>
      <c r="J1154">
        <f t="shared" ref="J1154:J1217" si="36">G1154*H1154*(1-I1154)</f>
        <v>3419.9809999999998</v>
      </c>
      <c r="K1154" s="9">
        <f t="shared" ref="K1154:K1217" si="37">($H1154-$M$7)/$M$9</f>
        <v>0.43416992947174166</v>
      </c>
    </row>
    <row r="1155" spans="1:11" x14ac:dyDescent="0.3">
      <c r="A1155">
        <v>413</v>
      </c>
      <c r="B1155">
        <v>2</v>
      </c>
      <c r="C1155">
        <v>25</v>
      </c>
      <c r="D1155" t="str">
        <f>VLOOKUP($C1155,products!$A$1:$F$322,MATCH(order_items!$D$1,products!$A$1:$F$1,0),FALSE)</f>
        <v>Electra Townie Original 7D - 2015/2016</v>
      </c>
      <c r="E1155">
        <f>VLOOKUP($C1155,products!$A$1:$F$322,MATCH(order_items!$E$1,products!$A$1:$F$1,0),FALSE)</f>
        <v>2</v>
      </c>
      <c r="F1155" t="str">
        <f>VLOOKUP($E1155,categories!$A$1:$B$8,MATCH(order_items!$F$1,categories!$A$1:$B$1,0),FALSE)</f>
        <v>Comfort Bicycles</v>
      </c>
      <c r="G1155">
        <v>1</v>
      </c>
      <c r="H1155">
        <v>499.99</v>
      </c>
      <c r="I1155" s="5">
        <v>0.1</v>
      </c>
      <c r="J1155">
        <f t="shared" si="36"/>
        <v>449.99100000000004</v>
      </c>
      <c r="K1155" s="9">
        <f t="shared" si="37"/>
        <v>-0.52690291964276081</v>
      </c>
    </row>
    <row r="1156" spans="1:11" x14ac:dyDescent="0.3">
      <c r="A1156">
        <v>413</v>
      </c>
      <c r="B1156">
        <v>3</v>
      </c>
      <c r="C1156">
        <v>9</v>
      </c>
      <c r="D1156" t="str">
        <f>VLOOKUP($C1156,products!$A$1:$F$322,MATCH(order_items!$D$1,products!$A$1:$F$1,0),FALSE)</f>
        <v>Trek Conduit+ - 2016</v>
      </c>
      <c r="E1156">
        <f>VLOOKUP($C1156,products!$A$1:$F$322,MATCH(order_items!$E$1,products!$A$1:$F$1,0),FALSE)</f>
        <v>5</v>
      </c>
      <c r="F1156" t="str">
        <f>VLOOKUP($E1156,categories!$A$1:$B$8,MATCH(order_items!$F$1,categories!$A$1:$B$1,0),FALSE)</f>
        <v>Electric Bikes</v>
      </c>
      <c r="G1156">
        <v>1</v>
      </c>
      <c r="H1156">
        <v>2999.99</v>
      </c>
      <c r="I1156" s="5">
        <v>7.0000000000000007E-2</v>
      </c>
      <c r="J1156">
        <f t="shared" si="36"/>
        <v>2789.9906999999998</v>
      </c>
      <c r="K1156" s="9">
        <f t="shared" si="37"/>
        <v>1.3213140978851283</v>
      </c>
    </row>
    <row r="1157" spans="1:11" x14ac:dyDescent="0.3">
      <c r="A1157">
        <v>414</v>
      </c>
      <c r="B1157">
        <v>1</v>
      </c>
      <c r="C1157">
        <v>4</v>
      </c>
      <c r="D1157" t="str">
        <f>VLOOKUP($C1157,products!$A$1:$F$322,MATCH(order_items!$D$1,products!$A$1:$F$1,0),FALSE)</f>
        <v>Trek Fuel EX 8 29 - 2016</v>
      </c>
      <c r="E1157">
        <f>VLOOKUP($C1157,products!$A$1:$F$322,MATCH(order_items!$E$1,products!$A$1:$F$1,0),FALSE)</f>
        <v>6</v>
      </c>
      <c r="F1157" t="str">
        <f>VLOOKUP($E1157,categories!$A$1:$B$8,MATCH(order_items!$F$1,categories!$A$1:$B$1,0),FALSE)</f>
        <v>Mountain Bikes</v>
      </c>
      <c r="G1157">
        <v>2</v>
      </c>
      <c r="H1157">
        <v>2899.99</v>
      </c>
      <c r="I1157" s="5">
        <v>0.1</v>
      </c>
      <c r="J1157">
        <f t="shared" si="36"/>
        <v>5219.982</v>
      </c>
      <c r="K1157" s="9">
        <f t="shared" si="37"/>
        <v>1.2473854171840129</v>
      </c>
    </row>
    <row r="1158" spans="1:11" x14ac:dyDescent="0.3">
      <c r="A1158">
        <v>415</v>
      </c>
      <c r="B1158">
        <v>1</v>
      </c>
      <c r="C1158">
        <v>3</v>
      </c>
      <c r="D1158" t="str">
        <f>VLOOKUP($C1158,products!$A$1:$F$322,MATCH(order_items!$D$1,products!$A$1:$F$1,0),FALSE)</f>
        <v>Surly Wednesday Frameset - 2016</v>
      </c>
      <c r="E1158">
        <f>VLOOKUP($C1158,products!$A$1:$F$322,MATCH(order_items!$E$1,products!$A$1:$F$1,0),FALSE)</f>
        <v>6</v>
      </c>
      <c r="F1158" t="str">
        <f>VLOOKUP($E1158,categories!$A$1:$B$8,MATCH(order_items!$F$1,categories!$A$1:$B$1,0),FALSE)</f>
        <v>Mountain Bikes</v>
      </c>
      <c r="G1158">
        <v>1</v>
      </c>
      <c r="H1158">
        <v>999.99</v>
      </c>
      <c r="I1158" s="5">
        <v>7.0000000000000007E-2</v>
      </c>
      <c r="J1158">
        <f t="shared" si="36"/>
        <v>929.99069999999995</v>
      </c>
      <c r="K1158" s="9">
        <f t="shared" si="37"/>
        <v>-0.15725951613718298</v>
      </c>
    </row>
    <row r="1159" spans="1:11" x14ac:dyDescent="0.3">
      <c r="A1159">
        <v>415</v>
      </c>
      <c r="B1159">
        <v>2</v>
      </c>
      <c r="C1159">
        <v>23</v>
      </c>
      <c r="D1159" t="str">
        <f>VLOOKUP($C1159,products!$A$1:$F$322,MATCH(order_items!$D$1,products!$A$1:$F$1,0),FALSE)</f>
        <v>Electra Girl's Hawaii 1 (20-inch) - 2015/2016</v>
      </c>
      <c r="E1159">
        <f>VLOOKUP($C1159,products!$A$1:$F$322,MATCH(order_items!$E$1,products!$A$1:$F$1,0),FALSE)</f>
        <v>1</v>
      </c>
      <c r="F1159" t="str">
        <f>VLOOKUP($E1159,categories!$A$1:$B$8,MATCH(order_items!$F$1,categories!$A$1:$B$1,0),FALSE)</f>
        <v>Children Bicycles</v>
      </c>
      <c r="G1159">
        <v>2</v>
      </c>
      <c r="H1159">
        <v>299.99</v>
      </c>
      <c r="I1159" s="5">
        <v>0.2</v>
      </c>
      <c r="J1159">
        <f t="shared" si="36"/>
        <v>479.98400000000004</v>
      </c>
      <c r="K1159" s="9">
        <f t="shared" si="37"/>
        <v>-0.67476028104499197</v>
      </c>
    </row>
    <row r="1160" spans="1:11" x14ac:dyDescent="0.3">
      <c r="A1160">
        <v>415</v>
      </c>
      <c r="B1160">
        <v>3</v>
      </c>
      <c r="C1160">
        <v>5</v>
      </c>
      <c r="D1160" t="str">
        <f>VLOOKUP($C1160,products!$A$1:$F$322,MATCH(order_items!$D$1,products!$A$1:$F$1,0),FALSE)</f>
        <v>Heller Shagamaw Frame - 2016</v>
      </c>
      <c r="E1160">
        <f>VLOOKUP($C1160,products!$A$1:$F$322,MATCH(order_items!$E$1,products!$A$1:$F$1,0),FALSE)</f>
        <v>6</v>
      </c>
      <c r="F1160" t="str">
        <f>VLOOKUP($E1160,categories!$A$1:$B$8,MATCH(order_items!$F$1,categories!$A$1:$B$1,0),FALSE)</f>
        <v>Mountain Bikes</v>
      </c>
      <c r="G1160">
        <v>1</v>
      </c>
      <c r="H1160">
        <v>1320.99</v>
      </c>
      <c r="I1160" s="5">
        <v>0.2</v>
      </c>
      <c r="J1160">
        <f t="shared" si="36"/>
        <v>1056.7920000000001</v>
      </c>
      <c r="K1160" s="9">
        <f t="shared" si="37"/>
        <v>8.0051548913398024E-2</v>
      </c>
    </row>
    <row r="1161" spans="1:11" x14ac:dyDescent="0.3">
      <c r="A1161">
        <v>415</v>
      </c>
      <c r="B1161">
        <v>4</v>
      </c>
      <c r="C1161">
        <v>6</v>
      </c>
      <c r="D1161" t="str">
        <f>VLOOKUP($C1161,products!$A$1:$F$322,MATCH(order_items!$D$1,products!$A$1:$F$1,0),FALSE)</f>
        <v>Surly Ice Cream Truck Frameset - 2016</v>
      </c>
      <c r="E1161">
        <f>VLOOKUP($C1161,products!$A$1:$F$322,MATCH(order_items!$E$1,products!$A$1:$F$1,0),FALSE)</f>
        <v>6</v>
      </c>
      <c r="F1161" t="str">
        <f>VLOOKUP($E1161,categories!$A$1:$B$8,MATCH(order_items!$F$1,categories!$A$1:$B$1,0),FALSE)</f>
        <v>Mountain Bikes</v>
      </c>
      <c r="G1161">
        <v>2</v>
      </c>
      <c r="H1161">
        <v>469.99</v>
      </c>
      <c r="I1161" s="5">
        <v>0.05</v>
      </c>
      <c r="J1161">
        <f t="shared" si="36"/>
        <v>892.98099999999999</v>
      </c>
      <c r="K1161" s="9">
        <f t="shared" si="37"/>
        <v>-0.5490815238530955</v>
      </c>
    </row>
    <row r="1162" spans="1:11" x14ac:dyDescent="0.3">
      <c r="A1162">
        <v>416</v>
      </c>
      <c r="B1162">
        <v>1</v>
      </c>
      <c r="C1162">
        <v>22</v>
      </c>
      <c r="D1162" t="str">
        <f>VLOOKUP($C1162,products!$A$1:$F$322,MATCH(order_items!$D$1,products!$A$1:$F$1,0),FALSE)</f>
        <v>Electra Girl's Hawaii 1 (16-inch) - 2015/2016</v>
      </c>
      <c r="E1162">
        <f>VLOOKUP($C1162,products!$A$1:$F$322,MATCH(order_items!$E$1,products!$A$1:$F$1,0),FALSE)</f>
        <v>1</v>
      </c>
      <c r="F1162" t="str">
        <f>VLOOKUP($E1162,categories!$A$1:$B$8,MATCH(order_items!$F$1,categories!$A$1:$B$1,0),FALSE)</f>
        <v>Children Bicycles</v>
      </c>
      <c r="G1162">
        <v>1</v>
      </c>
      <c r="H1162">
        <v>269.99</v>
      </c>
      <c r="I1162" s="5">
        <v>7.0000000000000007E-2</v>
      </c>
      <c r="J1162">
        <f t="shared" si="36"/>
        <v>251.0907</v>
      </c>
      <c r="K1162" s="9">
        <f t="shared" si="37"/>
        <v>-0.69693888525532666</v>
      </c>
    </row>
    <row r="1163" spans="1:11" x14ac:dyDescent="0.3">
      <c r="A1163">
        <v>416</v>
      </c>
      <c r="B1163">
        <v>2</v>
      </c>
      <c r="C1163">
        <v>14</v>
      </c>
      <c r="D1163" t="str">
        <f>VLOOKUP($C1163,products!$A$1:$F$322,MATCH(order_items!$D$1,products!$A$1:$F$1,0),FALSE)</f>
        <v>Electra Girl's Hawaii 1 (16-inch) - 2015/2016</v>
      </c>
      <c r="E1163">
        <f>VLOOKUP($C1163,products!$A$1:$F$322,MATCH(order_items!$E$1,products!$A$1:$F$1,0),FALSE)</f>
        <v>3</v>
      </c>
      <c r="F1163" t="str">
        <f>VLOOKUP($E1163,categories!$A$1:$B$8,MATCH(order_items!$F$1,categories!$A$1:$B$1,0),FALSE)</f>
        <v>Cruisers Bicycles</v>
      </c>
      <c r="G1163">
        <v>1</v>
      </c>
      <c r="H1163">
        <v>269.99</v>
      </c>
      <c r="I1163" s="5">
        <v>7.0000000000000007E-2</v>
      </c>
      <c r="J1163">
        <f t="shared" si="36"/>
        <v>251.0907</v>
      </c>
      <c r="K1163" s="9">
        <f t="shared" si="37"/>
        <v>-0.69693888525532666</v>
      </c>
    </row>
    <row r="1164" spans="1:11" x14ac:dyDescent="0.3">
      <c r="A1164">
        <v>416</v>
      </c>
      <c r="B1164">
        <v>3</v>
      </c>
      <c r="C1164">
        <v>24</v>
      </c>
      <c r="D1164" t="str">
        <f>VLOOKUP($C1164,products!$A$1:$F$322,MATCH(order_items!$D$1,products!$A$1:$F$1,0),FALSE)</f>
        <v>Electra Townie Original 21D - 2016</v>
      </c>
      <c r="E1164">
        <f>VLOOKUP($C1164,products!$A$1:$F$322,MATCH(order_items!$E$1,products!$A$1:$F$1,0),FALSE)</f>
        <v>2</v>
      </c>
      <c r="F1164" t="str">
        <f>VLOOKUP($E1164,categories!$A$1:$B$8,MATCH(order_items!$F$1,categories!$A$1:$B$1,0),FALSE)</f>
        <v>Comfort Bicycles</v>
      </c>
      <c r="G1164">
        <v>1</v>
      </c>
      <c r="H1164">
        <v>549.99</v>
      </c>
      <c r="I1164" s="5">
        <v>0.1</v>
      </c>
      <c r="J1164">
        <f t="shared" si="36"/>
        <v>494.99100000000004</v>
      </c>
      <c r="K1164" s="9">
        <f t="shared" si="37"/>
        <v>-0.48993857929220308</v>
      </c>
    </row>
    <row r="1165" spans="1:11" x14ac:dyDescent="0.3">
      <c r="A1165">
        <v>417</v>
      </c>
      <c r="B1165">
        <v>1</v>
      </c>
      <c r="C1165">
        <v>26</v>
      </c>
      <c r="D1165" t="str">
        <f>VLOOKUP($C1165,products!$A$1:$F$322,MATCH(order_items!$D$1,products!$A$1:$F$1,0),FALSE)</f>
        <v>Electra Townie Original 7D EQ - 2016</v>
      </c>
      <c r="E1165">
        <f>VLOOKUP($C1165,products!$A$1:$F$322,MATCH(order_items!$E$1,products!$A$1:$F$1,0),FALSE)</f>
        <v>2</v>
      </c>
      <c r="F1165" t="str">
        <f>VLOOKUP($E1165,categories!$A$1:$B$8,MATCH(order_items!$F$1,categories!$A$1:$B$1,0),FALSE)</f>
        <v>Comfort Bicycles</v>
      </c>
      <c r="G1165">
        <v>2</v>
      </c>
      <c r="H1165">
        <v>599.99</v>
      </c>
      <c r="I1165" s="5">
        <v>7.0000000000000007E-2</v>
      </c>
      <c r="J1165">
        <f t="shared" si="36"/>
        <v>1115.9813999999999</v>
      </c>
      <c r="K1165" s="9">
        <f t="shared" si="37"/>
        <v>-0.45297423894164529</v>
      </c>
    </row>
    <row r="1166" spans="1:11" x14ac:dyDescent="0.3">
      <c r="A1166">
        <v>417</v>
      </c>
      <c r="B1166">
        <v>2</v>
      </c>
      <c r="C1166">
        <v>6</v>
      </c>
      <c r="D1166" t="str">
        <f>VLOOKUP($C1166,products!$A$1:$F$322,MATCH(order_items!$D$1,products!$A$1:$F$1,0),FALSE)</f>
        <v>Surly Ice Cream Truck Frameset - 2016</v>
      </c>
      <c r="E1166">
        <f>VLOOKUP($C1166,products!$A$1:$F$322,MATCH(order_items!$E$1,products!$A$1:$F$1,0),FALSE)</f>
        <v>6</v>
      </c>
      <c r="F1166" t="str">
        <f>VLOOKUP($E1166,categories!$A$1:$B$8,MATCH(order_items!$F$1,categories!$A$1:$B$1,0),FALSE)</f>
        <v>Mountain Bikes</v>
      </c>
      <c r="G1166">
        <v>2</v>
      </c>
      <c r="H1166">
        <v>469.99</v>
      </c>
      <c r="I1166" s="5">
        <v>7.0000000000000007E-2</v>
      </c>
      <c r="J1166">
        <f t="shared" si="36"/>
        <v>874.18139999999994</v>
      </c>
      <c r="K1166" s="9">
        <f t="shared" si="37"/>
        <v>-0.5490815238530955</v>
      </c>
    </row>
    <row r="1167" spans="1:11" x14ac:dyDescent="0.3">
      <c r="A1167">
        <v>418</v>
      </c>
      <c r="B1167">
        <v>1</v>
      </c>
      <c r="C1167">
        <v>12</v>
      </c>
      <c r="D1167" t="str">
        <f>VLOOKUP($C1167,products!$A$1:$F$322,MATCH(order_items!$D$1,products!$A$1:$F$1,0),FALSE)</f>
        <v>Electra Townie Original 21D - 2016</v>
      </c>
      <c r="E1167">
        <f>VLOOKUP($C1167,products!$A$1:$F$322,MATCH(order_items!$E$1,products!$A$1:$F$1,0),FALSE)</f>
        <v>3</v>
      </c>
      <c r="F1167" t="str">
        <f>VLOOKUP($E1167,categories!$A$1:$B$8,MATCH(order_items!$F$1,categories!$A$1:$B$1,0),FALSE)</f>
        <v>Cruisers Bicycles</v>
      </c>
      <c r="G1167">
        <v>1</v>
      </c>
      <c r="H1167">
        <v>549.99</v>
      </c>
      <c r="I1167" s="5">
        <v>0.05</v>
      </c>
      <c r="J1167">
        <f t="shared" si="36"/>
        <v>522.4905</v>
      </c>
      <c r="K1167" s="9">
        <f t="shared" si="37"/>
        <v>-0.48993857929220308</v>
      </c>
    </row>
    <row r="1168" spans="1:11" x14ac:dyDescent="0.3">
      <c r="A1168">
        <v>418</v>
      </c>
      <c r="B1168">
        <v>2</v>
      </c>
      <c r="C1168">
        <v>20</v>
      </c>
      <c r="D1168" t="str">
        <f>VLOOKUP($C1168,products!$A$1:$F$322,MATCH(order_items!$D$1,products!$A$1:$F$1,0),FALSE)</f>
        <v>Electra Townie Original 7D EQ - Women's - 2016</v>
      </c>
      <c r="E1168">
        <f>VLOOKUP($C1168,products!$A$1:$F$322,MATCH(order_items!$E$1,products!$A$1:$F$1,0),FALSE)</f>
        <v>3</v>
      </c>
      <c r="F1168" t="str">
        <f>VLOOKUP($E1168,categories!$A$1:$B$8,MATCH(order_items!$F$1,categories!$A$1:$B$1,0),FALSE)</f>
        <v>Cruisers Bicycles</v>
      </c>
      <c r="G1168">
        <v>1</v>
      </c>
      <c r="H1168">
        <v>599.99</v>
      </c>
      <c r="I1168" s="5">
        <v>0.05</v>
      </c>
      <c r="J1168">
        <f t="shared" si="36"/>
        <v>569.9905</v>
      </c>
      <c r="K1168" s="9">
        <f t="shared" si="37"/>
        <v>-0.45297423894164529</v>
      </c>
    </row>
    <row r="1169" spans="1:11" x14ac:dyDescent="0.3">
      <c r="A1169">
        <v>419</v>
      </c>
      <c r="B1169">
        <v>1</v>
      </c>
      <c r="C1169">
        <v>9</v>
      </c>
      <c r="D1169" t="str">
        <f>VLOOKUP($C1169,products!$A$1:$F$322,MATCH(order_items!$D$1,products!$A$1:$F$1,0),FALSE)</f>
        <v>Trek Conduit+ - 2016</v>
      </c>
      <c r="E1169">
        <f>VLOOKUP($C1169,products!$A$1:$F$322,MATCH(order_items!$E$1,products!$A$1:$F$1,0),FALSE)</f>
        <v>5</v>
      </c>
      <c r="F1169" t="str">
        <f>VLOOKUP($E1169,categories!$A$1:$B$8,MATCH(order_items!$F$1,categories!$A$1:$B$1,0),FALSE)</f>
        <v>Electric Bikes</v>
      </c>
      <c r="G1169">
        <v>1</v>
      </c>
      <c r="H1169">
        <v>2999.99</v>
      </c>
      <c r="I1169" s="5">
        <v>0.05</v>
      </c>
      <c r="J1169">
        <f t="shared" si="36"/>
        <v>2849.9904999999999</v>
      </c>
      <c r="K1169" s="9">
        <f t="shared" si="37"/>
        <v>1.3213140978851283</v>
      </c>
    </row>
    <row r="1170" spans="1:11" x14ac:dyDescent="0.3">
      <c r="A1170">
        <v>420</v>
      </c>
      <c r="B1170">
        <v>1</v>
      </c>
      <c r="C1170">
        <v>17</v>
      </c>
      <c r="D1170" t="str">
        <f>VLOOKUP($C1170,products!$A$1:$F$322,MATCH(order_items!$D$1,products!$A$1:$F$1,0),FALSE)</f>
        <v>Pure Cycles Vine 8-Speed - 2016</v>
      </c>
      <c r="E1170">
        <f>VLOOKUP($C1170,products!$A$1:$F$322,MATCH(order_items!$E$1,products!$A$1:$F$1,0),FALSE)</f>
        <v>3</v>
      </c>
      <c r="F1170" t="str">
        <f>VLOOKUP($E1170,categories!$A$1:$B$8,MATCH(order_items!$F$1,categories!$A$1:$B$1,0),FALSE)</f>
        <v>Cruisers Bicycles</v>
      </c>
      <c r="G1170">
        <v>2</v>
      </c>
      <c r="H1170">
        <v>429</v>
      </c>
      <c r="I1170" s="5">
        <v>0.2</v>
      </c>
      <c r="J1170">
        <f t="shared" si="36"/>
        <v>686.40000000000009</v>
      </c>
      <c r="K1170" s="9">
        <f t="shared" si="37"/>
        <v>-0.57938489007248284</v>
      </c>
    </row>
    <row r="1171" spans="1:11" x14ac:dyDescent="0.3">
      <c r="A1171">
        <v>420</v>
      </c>
      <c r="B1171">
        <v>2</v>
      </c>
      <c r="C1171">
        <v>15</v>
      </c>
      <c r="D1171" t="str">
        <f>VLOOKUP($C1171,products!$A$1:$F$322,MATCH(order_items!$D$1,products!$A$1:$F$1,0),FALSE)</f>
        <v>Electra Moto 1 - 2016</v>
      </c>
      <c r="E1171">
        <f>VLOOKUP($C1171,products!$A$1:$F$322,MATCH(order_items!$E$1,products!$A$1:$F$1,0),FALSE)</f>
        <v>3</v>
      </c>
      <c r="F1171" t="str">
        <f>VLOOKUP($E1171,categories!$A$1:$B$8,MATCH(order_items!$F$1,categories!$A$1:$B$1,0),FALSE)</f>
        <v>Cruisers Bicycles</v>
      </c>
      <c r="G1171">
        <v>2</v>
      </c>
      <c r="H1171">
        <v>529.99</v>
      </c>
      <c r="I1171" s="5">
        <v>0.1</v>
      </c>
      <c r="J1171">
        <f t="shared" si="36"/>
        <v>953.98200000000008</v>
      </c>
      <c r="K1171" s="9">
        <f t="shared" si="37"/>
        <v>-0.50472431543242624</v>
      </c>
    </row>
    <row r="1172" spans="1:11" x14ac:dyDescent="0.3">
      <c r="A1172">
        <v>420</v>
      </c>
      <c r="B1172">
        <v>3</v>
      </c>
      <c r="C1172">
        <v>3</v>
      </c>
      <c r="D1172" t="str">
        <f>VLOOKUP($C1172,products!$A$1:$F$322,MATCH(order_items!$D$1,products!$A$1:$F$1,0),FALSE)</f>
        <v>Surly Wednesday Frameset - 2016</v>
      </c>
      <c r="E1172">
        <f>VLOOKUP($C1172,products!$A$1:$F$322,MATCH(order_items!$E$1,products!$A$1:$F$1,0),FALSE)</f>
        <v>6</v>
      </c>
      <c r="F1172" t="str">
        <f>VLOOKUP($E1172,categories!$A$1:$B$8,MATCH(order_items!$F$1,categories!$A$1:$B$1,0),FALSE)</f>
        <v>Mountain Bikes</v>
      </c>
      <c r="G1172">
        <v>2</v>
      </c>
      <c r="H1172">
        <v>999.99</v>
      </c>
      <c r="I1172" s="5">
        <v>0.05</v>
      </c>
      <c r="J1172">
        <f t="shared" si="36"/>
        <v>1899.981</v>
      </c>
      <c r="K1172" s="9">
        <f t="shared" si="37"/>
        <v>-0.15725951613718298</v>
      </c>
    </row>
    <row r="1173" spans="1:11" x14ac:dyDescent="0.3">
      <c r="A1173">
        <v>421</v>
      </c>
      <c r="B1173">
        <v>1</v>
      </c>
      <c r="C1173">
        <v>6</v>
      </c>
      <c r="D1173" t="str">
        <f>VLOOKUP($C1173,products!$A$1:$F$322,MATCH(order_items!$D$1,products!$A$1:$F$1,0),FALSE)</f>
        <v>Surly Ice Cream Truck Frameset - 2016</v>
      </c>
      <c r="E1173">
        <f>VLOOKUP($C1173,products!$A$1:$F$322,MATCH(order_items!$E$1,products!$A$1:$F$1,0),FALSE)</f>
        <v>6</v>
      </c>
      <c r="F1173" t="str">
        <f>VLOOKUP($E1173,categories!$A$1:$B$8,MATCH(order_items!$F$1,categories!$A$1:$B$1,0),FALSE)</f>
        <v>Mountain Bikes</v>
      </c>
      <c r="G1173">
        <v>2</v>
      </c>
      <c r="H1173">
        <v>469.99</v>
      </c>
      <c r="I1173" s="5">
        <v>7.0000000000000007E-2</v>
      </c>
      <c r="J1173">
        <f t="shared" si="36"/>
        <v>874.18139999999994</v>
      </c>
      <c r="K1173" s="9">
        <f t="shared" si="37"/>
        <v>-0.5490815238530955</v>
      </c>
    </row>
    <row r="1174" spans="1:11" x14ac:dyDescent="0.3">
      <c r="A1174">
        <v>421</v>
      </c>
      <c r="B1174">
        <v>2</v>
      </c>
      <c r="C1174">
        <v>3</v>
      </c>
      <c r="D1174" t="str">
        <f>VLOOKUP($C1174,products!$A$1:$F$322,MATCH(order_items!$D$1,products!$A$1:$F$1,0),FALSE)</f>
        <v>Surly Wednesday Frameset - 2016</v>
      </c>
      <c r="E1174">
        <f>VLOOKUP($C1174,products!$A$1:$F$322,MATCH(order_items!$E$1,products!$A$1:$F$1,0),FALSE)</f>
        <v>6</v>
      </c>
      <c r="F1174" t="str">
        <f>VLOOKUP($E1174,categories!$A$1:$B$8,MATCH(order_items!$F$1,categories!$A$1:$B$1,0),FALSE)</f>
        <v>Mountain Bikes</v>
      </c>
      <c r="G1174">
        <v>2</v>
      </c>
      <c r="H1174">
        <v>999.99</v>
      </c>
      <c r="I1174" s="5">
        <v>0.2</v>
      </c>
      <c r="J1174">
        <f t="shared" si="36"/>
        <v>1599.9840000000002</v>
      </c>
      <c r="K1174" s="9">
        <f t="shared" si="37"/>
        <v>-0.15725951613718298</v>
      </c>
    </row>
    <row r="1175" spans="1:11" x14ac:dyDescent="0.3">
      <c r="A1175">
        <v>421</v>
      </c>
      <c r="B1175">
        <v>3</v>
      </c>
      <c r="C1175">
        <v>20</v>
      </c>
      <c r="D1175" t="str">
        <f>VLOOKUP($C1175,products!$A$1:$F$322,MATCH(order_items!$D$1,products!$A$1:$F$1,0),FALSE)</f>
        <v>Electra Townie Original 7D EQ - Women's - 2016</v>
      </c>
      <c r="E1175">
        <f>VLOOKUP($C1175,products!$A$1:$F$322,MATCH(order_items!$E$1,products!$A$1:$F$1,0),FALSE)</f>
        <v>3</v>
      </c>
      <c r="F1175" t="str">
        <f>VLOOKUP($E1175,categories!$A$1:$B$8,MATCH(order_items!$F$1,categories!$A$1:$B$1,0),FALSE)</f>
        <v>Cruisers Bicycles</v>
      </c>
      <c r="G1175">
        <v>2</v>
      </c>
      <c r="H1175">
        <v>599.99</v>
      </c>
      <c r="I1175" s="5">
        <v>0.2</v>
      </c>
      <c r="J1175">
        <f t="shared" si="36"/>
        <v>959.98400000000004</v>
      </c>
      <c r="K1175" s="9">
        <f t="shared" si="37"/>
        <v>-0.45297423894164529</v>
      </c>
    </row>
    <row r="1176" spans="1:11" x14ac:dyDescent="0.3">
      <c r="A1176">
        <v>421</v>
      </c>
      <c r="B1176">
        <v>4</v>
      </c>
      <c r="C1176">
        <v>4</v>
      </c>
      <c r="D1176" t="str">
        <f>VLOOKUP($C1176,products!$A$1:$F$322,MATCH(order_items!$D$1,products!$A$1:$F$1,0),FALSE)</f>
        <v>Trek Fuel EX 8 29 - 2016</v>
      </c>
      <c r="E1176">
        <f>VLOOKUP($C1176,products!$A$1:$F$322,MATCH(order_items!$E$1,products!$A$1:$F$1,0),FALSE)</f>
        <v>6</v>
      </c>
      <c r="F1176" t="str">
        <f>VLOOKUP($E1176,categories!$A$1:$B$8,MATCH(order_items!$F$1,categories!$A$1:$B$1,0),FALSE)</f>
        <v>Mountain Bikes</v>
      </c>
      <c r="G1176">
        <v>1</v>
      </c>
      <c r="H1176">
        <v>2899.99</v>
      </c>
      <c r="I1176" s="5">
        <v>7.0000000000000007E-2</v>
      </c>
      <c r="J1176">
        <f t="shared" si="36"/>
        <v>2696.9906999999998</v>
      </c>
      <c r="K1176" s="9">
        <f t="shared" si="37"/>
        <v>1.2473854171840129</v>
      </c>
    </row>
    <row r="1177" spans="1:11" x14ac:dyDescent="0.3">
      <c r="A1177">
        <v>421</v>
      </c>
      <c r="B1177">
        <v>5</v>
      </c>
      <c r="C1177">
        <v>23</v>
      </c>
      <c r="D1177" t="str">
        <f>VLOOKUP($C1177,products!$A$1:$F$322,MATCH(order_items!$D$1,products!$A$1:$F$1,0),FALSE)</f>
        <v>Electra Girl's Hawaii 1 (20-inch) - 2015/2016</v>
      </c>
      <c r="E1177">
        <f>VLOOKUP($C1177,products!$A$1:$F$322,MATCH(order_items!$E$1,products!$A$1:$F$1,0),FALSE)</f>
        <v>1</v>
      </c>
      <c r="F1177" t="str">
        <f>VLOOKUP($E1177,categories!$A$1:$B$8,MATCH(order_items!$F$1,categories!$A$1:$B$1,0),FALSE)</f>
        <v>Children Bicycles</v>
      </c>
      <c r="G1177">
        <v>2</v>
      </c>
      <c r="H1177">
        <v>299.99</v>
      </c>
      <c r="I1177" s="5">
        <v>0.2</v>
      </c>
      <c r="J1177">
        <f t="shared" si="36"/>
        <v>479.98400000000004</v>
      </c>
      <c r="K1177" s="9">
        <f t="shared" si="37"/>
        <v>-0.67476028104499197</v>
      </c>
    </row>
    <row r="1178" spans="1:11" x14ac:dyDescent="0.3">
      <c r="A1178">
        <v>422</v>
      </c>
      <c r="B1178">
        <v>1</v>
      </c>
      <c r="C1178">
        <v>20</v>
      </c>
      <c r="D1178" t="str">
        <f>VLOOKUP($C1178,products!$A$1:$F$322,MATCH(order_items!$D$1,products!$A$1:$F$1,0),FALSE)</f>
        <v>Electra Townie Original 7D EQ - Women's - 2016</v>
      </c>
      <c r="E1178">
        <f>VLOOKUP($C1178,products!$A$1:$F$322,MATCH(order_items!$E$1,products!$A$1:$F$1,0),FALSE)</f>
        <v>3</v>
      </c>
      <c r="F1178" t="str">
        <f>VLOOKUP($E1178,categories!$A$1:$B$8,MATCH(order_items!$F$1,categories!$A$1:$B$1,0),FALSE)</f>
        <v>Cruisers Bicycles</v>
      </c>
      <c r="G1178">
        <v>2</v>
      </c>
      <c r="H1178">
        <v>599.99</v>
      </c>
      <c r="I1178" s="5">
        <v>0.05</v>
      </c>
      <c r="J1178">
        <f t="shared" si="36"/>
        <v>1139.981</v>
      </c>
      <c r="K1178" s="9">
        <f t="shared" si="37"/>
        <v>-0.45297423894164529</v>
      </c>
    </row>
    <row r="1179" spans="1:11" x14ac:dyDescent="0.3">
      <c r="A1179">
        <v>423</v>
      </c>
      <c r="B1179">
        <v>1</v>
      </c>
      <c r="C1179">
        <v>8</v>
      </c>
      <c r="D1179" t="str">
        <f>VLOOKUP($C1179,products!$A$1:$F$322,MATCH(order_items!$D$1,products!$A$1:$F$1,0),FALSE)</f>
        <v>Trek Remedy 29 Carbon Frameset - 2016</v>
      </c>
      <c r="E1179">
        <f>VLOOKUP($C1179,products!$A$1:$F$322,MATCH(order_items!$E$1,products!$A$1:$F$1,0),FALSE)</f>
        <v>6</v>
      </c>
      <c r="F1179" t="str">
        <f>VLOOKUP($E1179,categories!$A$1:$B$8,MATCH(order_items!$F$1,categories!$A$1:$B$1,0),FALSE)</f>
        <v>Mountain Bikes</v>
      </c>
      <c r="G1179">
        <v>2</v>
      </c>
      <c r="H1179">
        <v>1799.99</v>
      </c>
      <c r="I1179" s="5">
        <v>0.05</v>
      </c>
      <c r="J1179">
        <f t="shared" si="36"/>
        <v>3419.9809999999998</v>
      </c>
      <c r="K1179" s="9">
        <f t="shared" si="37"/>
        <v>0.43416992947174166</v>
      </c>
    </row>
    <row r="1180" spans="1:11" x14ac:dyDescent="0.3">
      <c r="A1180">
        <v>423</v>
      </c>
      <c r="B1180">
        <v>2</v>
      </c>
      <c r="C1180">
        <v>17</v>
      </c>
      <c r="D1180" t="str">
        <f>VLOOKUP($C1180,products!$A$1:$F$322,MATCH(order_items!$D$1,products!$A$1:$F$1,0),FALSE)</f>
        <v>Pure Cycles Vine 8-Speed - 2016</v>
      </c>
      <c r="E1180">
        <f>VLOOKUP($C1180,products!$A$1:$F$322,MATCH(order_items!$E$1,products!$A$1:$F$1,0),FALSE)</f>
        <v>3</v>
      </c>
      <c r="F1180" t="str">
        <f>VLOOKUP($E1180,categories!$A$1:$B$8,MATCH(order_items!$F$1,categories!$A$1:$B$1,0),FALSE)</f>
        <v>Cruisers Bicycles</v>
      </c>
      <c r="G1180">
        <v>1</v>
      </c>
      <c r="H1180">
        <v>429</v>
      </c>
      <c r="I1180" s="5">
        <v>0.2</v>
      </c>
      <c r="J1180">
        <f t="shared" si="36"/>
        <v>343.20000000000005</v>
      </c>
      <c r="K1180" s="9">
        <f t="shared" si="37"/>
        <v>-0.57938489007248284</v>
      </c>
    </row>
    <row r="1181" spans="1:11" x14ac:dyDescent="0.3">
      <c r="A1181">
        <v>423</v>
      </c>
      <c r="B1181">
        <v>3</v>
      </c>
      <c r="C1181">
        <v>23</v>
      </c>
      <c r="D1181" t="str">
        <f>VLOOKUP($C1181,products!$A$1:$F$322,MATCH(order_items!$D$1,products!$A$1:$F$1,0),FALSE)</f>
        <v>Electra Girl's Hawaii 1 (20-inch) - 2015/2016</v>
      </c>
      <c r="E1181">
        <f>VLOOKUP($C1181,products!$A$1:$F$322,MATCH(order_items!$E$1,products!$A$1:$F$1,0),FALSE)</f>
        <v>1</v>
      </c>
      <c r="F1181" t="str">
        <f>VLOOKUP($E1181,categories!$A$1:$B$8,MATCH(order_items!$F$1,categories!$A$1:$B$1,0),FALSE)</f>
        <v>Children Bicycles</v>
      </c>
      <c r="G1181">
        <v>2</v>
      </c>
      <c r="H1181">
        <v>299.99</v>
      </c>
      <c r="I1181" s="5">
        <v>7.0000000000000007E-2</v>
      </c>
      <c r="J1181">
        <f t="shared" si="36"/>
        <v>557.98140000000001</v>
      </c>
      <c r="K1181" s="9">
        <f t="shared" si="37"/>
        <v>-0.67476028104499197</v>
      </c>
    </row>
    <row r="1182" spans="1:11" x14ac:dyDescent="0.3">
      <c r="A1182">
        <v>423</v>
      </c>
      <c r="B1182">
        <v>4</v>
      </c>
      <c r="C1182">
        <v>2</v>
      </c>
      <c r="D1182" t="str">
        <f>VLOOKUP($C1182,products!$A$1:$F$322,MATCH(order_items!$D$1,products!$A$1:$F$1,0),FALSE)</f>
        <v>Ritchey Timberwolf Frameset - 2016</v>
      </c>
      <c r="E1182">
        <f>VLOOKUP($C1182,products!$A$1:$F$322,MATCH(order_items!$E$1,products!$A$1:$F$1,0),FALSE)</f>
        <v>6</v>
      </c>
      <c r="F1182" t="str">
        <f>VLOOKUP($E1182,categories!$A$1:$B$8,MATCH(order_items!$F$1,categories!$A$1:$B$1,0),FALSE)</f>
        <v>Mountain Bikes</v>
      </c>
      <c r="G1182">
        <v>1</v>
      </c>
      <c r="H1182">
        <v>749.99</v>
      </c>
      <c r="I1182" s="5">
        <v>0.2</v>
      </c>
      <c r="J1182">
        <f t="shared" si="36"/>
        <v>599.99200000000008</v>
      </c>
      <c r="K1182" s="9">
        <f t="shared" si="37"/>
        <v>-0.34208121788997192</v>
      </c>
    </row>
    <row r="1183" spans="1:11" x14ac:dyDescent="0.3">
      <c r="A1183">
        <v>424</v>
      </c>
      <c r="B1183">
        <v>1</v>
      </c>
      <c r="C1183">
        <v>22</v>
      </c>
      <c r="D1183" t="str">
        <f>VLOOKUP($C1183,products!$A$1:$F$322,MATCH(order_items!$D$1,products!$A$1:$F$1,0),FALSE)</f>
        <v>Electra Girl's Hawaii 1 (16-inch) - 2015/2016</v>
      </c>
      <c r="E1183">
        <f>VLOOKUP($C1183,products!$A$1:$F$322,MATCH(order_items!$E$1,products!$A$1:$F$1,0),FALSE)</f>
        <v>1</v>
      </c>
      <c r="F1183" t="str">
        <f>VLOOKUP($E1183,categories!$A$1:$B$8,MATCH(order_items!$F$1,categories!$A$1:$B$1,0),FALSE)</f>
        <v>Children Bicycles</v>
      </c>
      <c r="G1183">
        <v>1</v>
      </c>
      <c r="H1183">
        <v>269.99</v>
      </c>
      <c r="I1183" s="5">
        <v>0.1</v>
      </c>
      <c r="J1183">
        <f t="shared" si="36"/>
        <v>242.99100000000001</v>
      </c>
      <c r="K1183" s="9">
        <f t="shared" si="37"/>
        <v>-0.69693888525532666</v>
      </c>
    </row>
    <row r="1184" spans="1:11" x14ac:dyDescent="0.3">
      <c r="A1184">
        <v>424</v>
      </c>
      <c r="B1184">
        <v>2</v>
      </c>
      <c r="C1184">
        <v>6</v>
      </c>
      <c r="D1184" t="str">
        <f>VLOOKUP($C1184,products!$A$1:$F$322,MATCH(order_items!$D$1,products!$A$1:$F$1,0),FALSE)</f>
        <v>Surly Ice Cream Truck Frameset - 2016</v>
      </c>
      <c r="E1184">
        <f>VLOOKUP($C1184,products!$A$1:$F$322,MATCH(order_items!$E$1,products!$A$1:$F$1,0),FALSE)</f>
        <v>6</v>
      </c>
      <c r="F1184" t="str">
        <f>VLOOKUP($E1184,categories!$A$1:$B$8,MATCH(order_items!$F$1,categories!$A$1:$B$1,0),FALSE)</f>
        <v>Mountain Bikes</v>
      </c>
      <c r="G1184">
        <v>1</v>
      </c>
      <c r="H1184">
        <v>469.99</v>
      </c>
      <c r="I1184" s="5">
        <v>0.05</v>
      </c>
      <c r="J1184">
        <f t="shared" si="36"/>
        <v>446.4905</v>
      </c>
      <c r="K1184" s="9">
        <f t="shared" si="37"/>
        <v>-0.5490815238530955</v>
      </c>
    </row>
    <row r="1185" spans="1:11" x14ac:dyDescent="0.3">
      <c r="A1185">
        <v>425</v>
      </c>
      <c r="B1185">
        <v>1</v>
      </c>
      <c r="C1185">
        <v>6</v>
      </c>
      <c r="D1185" t="str">
        <f>VLOOKUP($C1185,products!$A$1:$F$322,MATCH(order_items!$D$1,products!$A$1:$F$1,0),FALSE)</f>
        <v>Surly Ice Cream Truck Frameset - 2016</v>
      </c>
      <c r="E1185">
        <f>VLOOKUP($C1185,products!$A$1:$F$322,MATCH(order_items!$E$1,products!$A$1:$F$1,0),FALSE)</f>
        <v>6</v>
      </c>
      <c r="F1185" t="str">
        <f>VLOOKUP($E1185,categories!$A$1:$B$8,MATCH(order_items!$F$1,categories!$A$1:$B$1,0),FALSE)</f>
        <v>Mountain Bikes</v>
      </c>
      <c r="G1185">
        <v>1</v>
      </c>
      <c r="H1185">
        <v>469.99</v>
      </c>
      <c r="I1185" s="5">
        <v>0.1</v>
      </c>
      <c r="J1185">
        <f t="shared" si="36"/>
        <v>422.99100000000004</v>
      </c>
      <c r="K1185" s="9">
        <f t="shared" si="37"/>
        <v>-0.5490815238530955</v>
      </c>
    </row>
    <row r="1186" spans="1:11" x14ac:dyDescent="0.3">
      <c r="A1186">
        <v>425</v>
      </c>
      <c r="B1186">
        <v>2</v>
      </c>
      <c r="C1186">
        <v>21</v>
      </c>
      <c r="D1186" t="str">
        <f>VLOOKUP($C1186,products!$A$1:$F$322,MATCH(order_items!$D$1,products!$A$1:$F$1,0),FALSE)</f>
        <v>Electra Cruiser 1 (24-Inch) - 2016</v>
      </c>
      <c r="E1186">
        <f>VLOOKUP($C1186,products!$A$1:$F$322,MATCH(order_items!$E$1,products!$A$1:$F$1,0),FALSE)</f>
        <v>1</v>
      </c>
      <c r="F1186" t="str">
        <f>VLOOKUP($E1186,categories!$A$1:$B$8,MATCH(order_items!$F$1,categories!$A$1:$B$1,0),FALSE)</f>
        <v>Children Bicycles</v>
      </c>
      <c r="G1186">
        <v>2</v>
      </c>
      <c r="H1186">
        <v>269.99</v>
      </c>
      <c r="I1186" s="5">
        <v>7.0000000000000007E-2</v>
      </c>
      <c r="J1186">
        <f t="shared" si="36"/>
        <v>502.1814</v>
      </c>
      <c r="K1186" s="9">
        <f t="shared" si="37"/>
        <v>-0.69693888525532666</v>
      </c>
    </row>
    <row r="1187" spans="1:11" x14ac:dyDescent="0.3">
      <c r="A1187">
        <v>425</v>
      </c>
      <c r="B1187">
        <v>3</v>
      </c>
      <c r="C1187">
        <v>19</v>
      </c>
      <c r="D1187" t="str">
        <f>VLOOKUP($C1187,products!$A$1:$F$322,MATCH(order_items!$D$1,products!$A$1:$F$1,0),FALSE)</f>
        <v>Pure Cycles William 3-Speed - 2016</v>
      </c>
      <c r="E1187">
        <f>VLOOKUP($C1187,products!$A$1:$F$322,MATCH(order_items!$E$1,products!$A$1:$F$1,0),FALSE)</f>
        <v>3</v>
      </c>
      <c r="F1187" t="str">
        <f>VLOOKUP($E1187,categories!$A$1:$B$8,MATCH(order_items!$F$1,categories!$A$1:$B$1,0),FALSE)</f>
        <v>Cruisers Bicycles</v>
      </c>
      <c r="G1187">
        <v>1</v>
      </c>
      <c r="H1187">
        <v>449</v>
      </c>
      <c r="I1187" s="5">
        <v>0.05</v>
      </c>
      <c r="J1187">
        <f t="shared" si="36"/>
        <v>426.54999999999995</v>
      </c>
      <c r="K1187" s="9">
        <f t="shared" si="37"/>
        <v>-0.56459915393225968</v>
      </c>
    </row>
    <row r="1188" spans="1:11" x14ac:dyDescent="0.3">
      <c r="A1188">
        <v>426</v>
      </c>
      <c r="B1188">
        <v>1</v>
      </c>
      <c r="C1188">
        <v>10</v>
      </c>
      <c r="D1188" t="str">
        <f>VLOOKUP($C1188,products!$A$1:$F$322,MATCH(order_items!$D$1,products!$A$1:$F$1,0),FALSE)</f>
        <v>Surly Straggler - 2016</v>
      </c>
      <c r="E1188">
        <f>VLOOKUP($C1188,products!$A$1:$F$322,MATCH(order_items!$E$1,products!$A$1:$F$1,0),FALSE)</f>
        <v>4</v>
      </c>
      <c r="F1188" t="str">
        <f>VLOOKUP($E1188,categories!$A$1:$B$8,MATCH(order_items!$F$1,categories!$A$1:$B$1,0),FALSE)</f>
        <v>Cyclocross Bicycles</v>
      </c>
      <c r="G1188">
        <v>1</v>
      </c>
      <c r="H1188">
        <v>1549</v>
      </c>
      <c r="I1188" s="5">
        <v>0.1</v>
      </c>
      <c r="J1188">
        <f t="shared" si="36"/>
        <v>1394.1000000000001</v>
      </c>
      <c r="K1188" s="9">
        <f t="shared" si="37"/>
        <v>0.24861633378001166</v>
      </c>
    </row>
    <row r="1189" spans="1:11" x14ac:dyDescent="0.3">
      <c r="A1189">
        <v>426</v>
      </c>
      <c r="B1189">
        <v>2</v>
      </c>
      <c r="C1189">
        <v>23</v>
      </c>
      <c r="D1189" t="str">
        <f>VLOOKUP($C1189,products!$A$1:$F$322,MATCH(order_items!$D$1,products!$A$1:$F$1,0),FALSE)</f>
        <v>Electra Girl's Hawaii 1 (20-inch) - 2015/2016</v>
      </c>
      <c r="E1189">
        <f>VLOOKUP($C1189,products!$A$1:$F$322,MATCH(order_items!$E$1,products!$A$1:$F$1,0),FALSE)</f>
        <v>1</v>
      </c>
      <c r="F1189" t="str">
        <f>VLOOKUP($E1189,categories!$A$1:$B$8,MATCH(order_items!$F$1,categories!$A$1:$B$1,0),FALSE)</f>
        <v>Children Bicycles</v>
      </c>
      <c r="G1189">
        <v>2</v>
      </c>
      <c r="H1189">
        <v>299.99</v>
      </c>
      <c r="I1189" s="5">
        <v>0.05</v>
      </c>
      <c r="J1189">
        <f t="shared" si="36"/>
        <v>569.98099999999999</v>
      </c>
      <c r="K1189" s="9">
        <f t="shared" si="37"/>
        <v>-0.67476028104499197</v>
      </c>
    </row>
    <row r="1190" spans="1:11" x14ac:dyDescent="0.3">
      <c r="A1190">
        <v>427</v>
      </c>
      <c r="B1190">
        <v>1</v>
      </c>
      <c r="C1190">
        <v>12</v>
      </c>
      <c r="D1190" t="str">
        <f>VLOOKUP($C1190,products!$A$1:$F$322,MATCH(order_items!$D$1,products!$A$1:$F$1,0),FALSE)</f>
        <v>Electra Townie Original 21D - 2016</v>
      </c>
      <c r="E1190">
        <f>VLOOKUP($C1190,products!$A$1:$F$322,MATCH(order_items!$E$1,products!$A$1:$F$1,0),FALSE)</f>
        <v>3</v>
      </c>
      <c r="F1190" t="str">
        <f>VLOOKUP($E1190,categories!$A$1:$B$8,MATCH(order_items!$F$1,categories!$A$1:$B$1,0),FALSE)</f>
        <v>Cruisers Bicycles</v>
      </c>
      <c r="G1190">
        <v>2</v>
      </c>
      <c r="H1190">
        <v>549.99</v>
      </c>
      <c r="I1190" s="5">
        <v>7.0000000000000007E-2</v>
      </c>
      <c r="J1190">
        <f t="shared" si="36"/>
        <v>1022.9813999999999</v>
      </c>
      <c r="K1190" s="9">
        <f t="shared" si="37"/>
        <v>-0.48993857929220308</v>
      </c>
    </row>
    <row r="1191" spans="1:11" x14ac:dyDescent="0.3">
      <c r="A1191">
        <v>427</v>
      </c>
      <c r="B1191">
        <v>2</v>
      </c>
      <c r="C1191">
        <v>15</v>
      </c>
      <c r="D1191" t="str">
        <f>VLOOKUP($C1191,products!$A$1:$F$322,MATCH(order_items!$D$1,products!$A$1:$F$1,0),FALSE)</f>
        <v>Electra Moto 1 - 2016</v>
      </c>
      <c r="E1191">
        <f>VLOOKUP($C1191,products!$A$1:$F$322,MATCH(order_items!$E$1,products!$A$1:$F$1,0),FALSE)</f>
        <v>3</v>
      </c>
      <c r="F1191" t="str">
        <f>VLOOKUP($E1191,categories!$A$1:$B$8,MATCH(order_items!$F$1,categories!$A$1:$B$1,0),FALSE)</f>
        <v>Cruisers Bicycles</v>
      </c>
      <c r="G1191">
        <v>2</v>
      </c>
      <c r="H1191">
        <v>529.99</v>
      </c>
      <c r="I1191" s="5">
        <v>0.1</v>
      </c>
      <c r="J1191">
        <f t="shared" si="36"/>
        <v>953.98200000000008</v>
      </c>
      <c r="K1191" s="9">
        <f t="shared" si="37"/>
        <v>-0.50472431543242624</v>
      </c>
    </row>
    <row r="1192" spans="1:11" x14ac:dyDescent="0.3">
      <c r="A1192">
        <v>427</v>
      </c>
      <c r="B1192">
        <v>3</v>
      </c>
      <c r="C1192">
        <v>26</v>
      </c>
      <c r="D1192" t="str">
        <f>VLOOKUP($C1192,products!$A$1:$F$322,MATCH(order_items!$D$1,products!$A$1:$F$1,0),FALSE)</f>
        <v>Electra Townie Original 7D EQ - 2016</v>
      </c>
      <c r="E1192">
        <f>VLOOKUP($C1192,products!$A$1:$F$322,MATCH(order_items!$E$1,products!$A$1:$F$1,0),FALSE)</f>
        <v>2</v>
      </c>
      <c r="F1192" t="str">
        <f>VLOOKUP($E1192,categories!$A$1:$B$8,MATCH(order_items!$F$1,categories!$A$1:$B$1,0),FALSE)</f>
        <v>Comfort Bicycles</v>
      </c>
      <c r="G1192">
        <v>2</v>
      </c>
      <c r="H1192">
        <v>599.99</v>
      </c>
      <c r="I1192" s="5">
        <v>7.0000000000000007E-2</v>
      </c>
      <c r="J1192">
        <f t="shared" si="36"/>
        <v>1115.9813999999999</v>
      </c>
      <c r="K1192" s="9">
        <f t="shared" si="37"/>
        <v>-0.45297423894164529</v>
      </c>
    </row>
    <row r="1193" spans="1:11" x14ac:dyDescent="0.3">
      <c r="A1193">
        <v>428</v>
      </c>
      <c r="B1193">
        <v>1</v>
      </c>
      <c r="C1193">
        <v>5</v>
      </c>
      <c r="D1193" t="str">
        <f>VLOOKUP($C1193,products!$A$1:$F$322,MATCH(order_items!$D$1,products!$A$1:$F$1,0),FALSE)</f>
        <v>Heller Shagamaw Frame - 2016</v>
      </c>
      <c r="E1193">
        <f>VLOOKUP($C1193,products!$A$1:$F$322,MATCH(order_items!$E$1,products!$A$1:$F$1,0),FALSE)</f>
        <v>6</v>
      </c>
      <c r="F1193" t="str">
        <f>VLOOKUP($E1193,categories!$A$1:$B$8,MATCH(order_items!$F$1,categories!$A$1:$B$1,0),FALSE)</f>
        <v>Mountain Bikes</v>
      </c>
      <c r="G1193">
        <v>2</v>
      </c>
      <c r="H1193">
        <v>1320.99</v>
      </c>
      <c r="I1193" s="5">
        <v>0.2</v>
      </c>
      <c r="J1193">
        <f t="shared" si="36"/>
        <v>2113.5840000000003</v>
      </c>
      <c r="K1193" s="9">
        <f t="shared" si="37"/>
        <v>8.0051548913398024E-2</v>
      </c>
    </row>
    <row r="1194" spans="1:11" x14ac:dyDescent="0.3">
      <c r="A1194">
        <v>428</v>
      </c>
      <c r="B1194">
        <v>2</v>
      </c>
      <c r="C1194">
        <v>14</v>
      </c>
      <c r="D1194" t="str">
        <f>VLOOKUP($C1194,products!$A$1:$F$322,MATCH(order_items!$D$1,products!$A$1:$F$1,0),FALSE)</f>
        <v>Electra Girl's Hawaii 1 (16-inch) - 2015/2016</v>
      </c>
      <c r="E1194">
        <f>VLOOKUP($C1194,products!$A$1:$F$322,MATCH(order_items!$E$1,products!$A$1:$F$1,0),FALSE)</f>
        <v>3</v>
      </c>
      <c r="F1194" t="str">
        <f>VLOOKUP($E1194,categories!$A$1:$B$8,MATCH(order_items!$F$1,categories!$A$1:$B$1,0),FALSE)</f>
        <v>Cruisers Bicycles</v>
      </c>
      <c r="G1194">
        <v>1</v>
      </c>
      <c r="H1194">
        <v>269.99</v>
      </c>
      <c r="I1194" s="5">
        <v>0.2</v>
      </c>
      <c r="J1194">
        <f t="shared" si="36"/>
        <v>215.99200000000002</v>
      </c>
      <c r="K1194" s="9">
        <f t="shared" si="37"/>
        <v>-0.69693888525532666</v>
      </c>
    </row>
    <row r="1195" spans="1:11" x14ac:dyDescent="0.3">
      <c r="A1195">
        <v>429</v>
      </c>
      <c r="B1195">
        <v>1</v>
      </c>
      <c r="C1195">
        <v>11</v>
      </c>
      <c r="D1195" t="str">
        <f>VLOOKUP($C1195,products!$A$1:$F$322,MATCH(order_items!$D$1,products!$A$1:$F$1,0),FALSE)</f>
        <v>Surly Straggler 650b - 2016</v>
      </c>
      <c r="E1195">
        <f>VLOOKUP($C1195,products!$A$1:$F$322,MATCH(order_items!$E$1,products!$A$1:$F$1,0),FALSE)</f>
        <v>4</v>
      </c>
      <c r="F1195" t="str">
        <f>VLOOKUP($E1195,categories!$A$1:$B$8,MATCH(order_items!$F$1,categories!$A$1:$B$1,0),FALSE)</f>
        <v>Cyclocross Bicycles</v>
      </c>
      <c r="G1195">
        <v>1</v>
      </c>
      <c r="H1195">
        <v>1680.99</v>
      </c>
      <c r="I1195" s="5">
        <v>0.2</v>
      </c>
      <c r="J1195">
        <f t="shared" si="36"/>
        <v>1344.7920000000001</v>
      </c>
      <c r="K1195" s="9">
        <f t="shared" si="37"/>
        <v>0.3461947994374141</v>
      </c>
    </row>
    <row r="1196" spans="1:11" x14ac:dyDescent="0.3">
      <c r="A1196">
        <v>429</v>
      </c>
      <c r="B1196">
        <v>2</v>
      </c>
      <c r="C1196">
        <v>4</v>
      </c>
      <c r="D1196" t="str">
        <f>VLOOKUP($C1196,products!$A$1:$F$322,MATCH(order_items!$D$1,products!$A$1:$F$1,0),FALSE)</f>
        <v>Trek Fuel EX 8 29 - 2016</v>
      </c>
      <c r="E1196">
        <f>VLOOKUP($C1196,products!$A$1:$F$322,MATCH(order_items!$E$1,products!$A$1:$F$1,0),FALSE)</f>
        <v>6</v>
      </c>
      <c r="F1196" t="str">
        <f>VLOOKUP($E1196,categories!$A$1:$B$8,MATCH(order_items!$F$1,categories!$A$1:$B$1,0),FALSE)</f>
        <v>Mountain Bikes</v>
      </c>
      <c r="G1196">
        <v>2</v>
      </c>
      <c r="H1196">
        <v>2899.99</v>
      </c>
      <c r="I1196" s="5">
        <v>0.1</v>
      </c>
      <c r="J1196">
        <f t="shared" si="36"/>
        <v>5219.982</v>
      </c>
      <c r="K1196" s="9">
        <f t="shared" si="37"/>
        <v>1.2473854171840129</v>
      </c>
    </row>
    <row r="1197" spans="1:11" x14ac:dyDescent="0.3">
      <c r="A1197">
        <v>429</v>
      </c>
      <c r="B1197">
        <v>3</v>
      </c>
      <c r="C1197">
        <v>5</v>
      </c>
      <c r="D1197" t="str">
        <f>VLOOKUP($C1197,products!$A$1:$F$322,MATCH(order_items!$D$1,products!$A$1:$F$1,0),FALSE)</f>
        <v>Heller Shagamaw Frame - 2016</v>
      </c>
      <c r="E1197">
        <f>VLOOKUP($C1197,products!$A$1:$F$322,MATCH(order_items!$E$1,products!$A$1:$F$1,0),FALSE)</f>
        <v>6</v>
      </c>
      <c r="F1197" t="str">
        <f>VLOOKUP($E1197,categories!$A$1:$B$8,MATCH(order_items!$F$1,categories!$A$1:$B$1,0),FALSE)</f>
        <v>Mountain Bikes</v>
      </c>
      <c r="G1197">
        <v>2</v>
      </c>
      <c r="H1197">
        <v>1320.99</v>
      </c>
      <c r="I1197" s="5">
        <v>0.05</v>
      </c>
      <c r="J1197">
        <f t="shared" si="36"/>
        <v>2509.8809999999999</v>
      </c>
      <c r="K1197" s="9">
        <f t="shared" si="37"/>
        <v>8.0051548913398024E-2</v>
      </c>
    </row>
    <row r="1198" spans="1:11" x14ac:dyDescent="0.3">
      <c r="A1198">
        <v>429</v>
      </c>
      <c r="B1198">
        <v>4</v>
      </c>
      <c r="C1198">
        <v>6</v>
      </c>
      <c r="D1198" t="str">
        <f>VLOOKUP($C1198,products!$A$1:$F$322,MATCH(order_items!$D$1,products!$A$1:$F$1,0),FALSE)</f>
        <v>Surly Ice Cream Truck Frameset - 2016</v>
      </c>
      <c r="E1198">
        <f>VLOOKUP($C1198,products!$A$1:$F$322,MATCH(order_items!$E$1,products!$A$1:$F$1,0),FALSE)</f>
        <v>6</v>
      </c>
      <c r="F1198" t="str">
        <f>VLOOKUP($E1198,categories!$A$1:$B$8,MATCH(order_items!$F$1,categories!$A$1:$B$1,0),FALSE)</f>
        <v>Mountain Bikes</v>
      </c>
      <c r="G1198">
        <v>1</v>
      </c>
      <c r="H1198">
        <v>469.99</v>
      </c>
      <c r="I1198" s="5">
        <v>7.0000000000000007E-2</v>
      </c>
      <c r="J1198">
        <f t="shared" si="36"/>
        <v>437.09069999999997</v>
      </c>
      <c r="K1198" s="9">
        <f t="shared" si="37"/>
        <v>-0.5490815238530955</v>
      </c>
    </row>
    <row r="1199" spans="1:11" x14ac:dyDescent="0.3">
      <c r="A1199">
        <v>429</v>
      </c>
      <c r="B1199">
        <v>5</v>
      </c>
      <c r="C1199">
        <v>2</v>
      </c>
      <c r="D1199" t="str">
        <f>VLOOKUP($C1199,products!$A$1:$F$322,MATCH(order_items!$D$1,products!$A$1:$F$1,0),FALSE)</f>
        <v>Ritchey Timberwolf Frameset - 2016</v>
      </c>
      <c r="E1199">
        <f>VLOOKUP($C1199,products!$A$1:$F$322,MATCH(order_items!$E$1,products!$A$1:$F$1,0),FALSE)</f>
        <v>6</v>
      </c>
      <c r="F1199" t="str">
        <f>VLOOKUP($E1199,categories!$A$1:$B$8,MATCH(order_items!$F$1,categories!$A$1:$B$1,0),FALSE)</f>
        <v>Mountain Bikes</v>
      </c>
      <c r="G1199">
        <v>1</v>
      </c>
      <c r="H1199">
        <v>749.99</v>
      </c>
      <c r="I1199" s="5">
        <v>0.1</v>
      </c>
      <c r="J1199">
        <f t="shared" si="36"/>
        <v>674.99099999999999</v>
      </c>
      <c r="K1199" s="9">
        <f t="shared" si="37"/>
        <v>-0.34208121788997192</v>
      </c>
    </row>
    <row r="1200" spans="1:11" x14ac:dyDescent="0.3">
      <c r="A1200">
        <v>430</v>
      </c>
      <c r="B1200">
        <v>1</v>
      </c>
      <c r="C1200">
        <v>22</v>
      </c>
      <c r="D1200" t="str">
        <f>VLOOKUP($C1200,products!$A$1:$F$322,MATCH(order_items!$D$1,products!$A$1:$F$1,0),FALSE)</f>
        <v>Electra Girl's Hawaii 1 (16-inch) - 2015/2016</v>
      </c>
      <c r="E1200">
        <f>VLOOKUP($C1200,products!$A$1:$F$322,MATCH(order_items!$E$1,products!$A$1:$F$1,0),FALSE)</f>
        <v>1</v>
      </c>
      <c r="F1200" t="str">
        <f>VLOOKUP($E1200,categories!$A$1:$B$8,MATCH(order_items!$F$1,categories!$A$1:$B$1,0),FALSE)</f>
        <v>Children Bicycles</v>
      </c>
      <c r="G1200">
        <v>2</v>
      </c>
      <c r="H1200">
        <v>269.99</v>
      </c>
      <c r="I1200" s="5">
        <v>0.1</v>
      </c>
      <c r="J1200">
        <f t="shared" si="36"/>
        <v>485.98200000000003</v>
      </c>
      <c r="K1200" s="9">
        <f t="shared" si="37"/>
        <v>-0.69693888525532666</v>
      </c>
    </row>
    <row r="1201" spans="1:11" x14ac:dyDescent="0.3">
      <c r="A1201">
        <v>430</v>
      </c>
      <c r="B1201">
        <v>2</v>
      </c>
      <c r="C1201">
        <v>11</v>
      </c>
      <c r="D1201" t="str">
        <f>VLOOKUP($C1201,products!$A$1:$F$322,MATCH(order_items!$D$1,products!$A$1:$F$1,0),FALSE)</f>
        <v>Surly Straggler 650b - 2016</v>
      </c>
      <c r="E1201">
        <f>VLOOKUP($C1201,products!$A$1:$F$322,MATCH(order_items!$E$1,products!$A$1:$F$1,0),FALSE)</f>
        <v>4</v>
      </c>
      <c r="F1201" t="str">
        <f>VLOOKUP($E1201,categories!$A$1:$B$8,MATCH(order_items!$F$1,categories!$A$1:$B$1,0),FALSE)</f>
        <v>Cyclocross Bicycles</v>
      </c>
      <c r="G1201">
        <v>1</v>
      </c>
      <c r="H1201">
        <v>1680.99</v>
      </c>
      <c r="I1201" s="5">
        <v>7.0000000000000007E-2</v>
      </c>
      <c r="J1201">
        <f t="shared" si="36"/>
        <v>1563.3207</v>
      </c>
      <c r="K1201" s="9">
        <f t="shared" si="37"/>
        <v>0.3461947994374141</v>
      </c>
    </row>
    <row r="1202" spans="1:11" x14ac:dyDescent="0.3">
      <c r="A1202">
        <v>430</v>
      </c>
      <c r="B1202">
        <v>3</v>
      </c>
      <c r="C1202">
        <v>4</v>
      </c>
      <c r="D1202" t="str">
        <f>VLOOKUP($C1202,products!$A$1:$F$322,MATCH(order_items!$D$1,products!$A$1:$F$1,0),FALSE)</f>
        <v>Trek Fuel EX 8 29 - 2016</v>
      </c>
      <c r="E1202">
        <f>VLOOKUP($C1202,products!$A$1:$F$322,MATCH(order_items!$E$1,products!$A$1:$F$1,0),FALSE)</f>
        <v>6</v>
      </c>
      <c r="F1202" t="str">
        <f>VLOOKUP($E1202,categories!$A$1:$B$8,MATCH(order_items!$F$1,categories!$A$1:$B$1,0),FALSE)</f>
        <v>Mountain Bikes</v>
      </c>
      <c r="G1202">
        <v>2</v>
      </c>
      <c r="H1202">
        <v>2899.99</v>
      </c>
      <c r="I1202" s="5">
        <v>0.2</v>
      </c>
      <c r="J1202">
        <f t="shared" si="36"/>
        <v>4639.9839999999995</v>
      </c>
      <c r="K1202" s="9">
        <f t="shared" si="37"/>
        <v>1.2473854171840129</v>
      </c>
    </row>
    <row r="1203" spans="1:11" x14ac:dyDescent="0.3">
      <c r="A1203">
        <v>430</v>
      </c>
      <c r="B1203">
        <v>4</v>
      </c>
      <c r="C1203">
        <v>13</v>
      </c>
      <c r="D1203" t="str">
        <f>VLOOKUP($C1203,products!$A$1:$F$322,MATCH(order_items!$D$1,products!$A$1:$F$1,0),FALSE)</f>
        <v>Electra Cruiser 1 (24-Inch) - 2016</v>
      </c>
      <c r="E1203">
        <f>VLOOKUP($C1203,products!$A$1:$F$322,MATCH(order_items!$E$1,products!$A$1:$F$1,0),FALSE)</f>
        <v>3</v>
      </c>
      <c r="F1203" t="str">
        <f>VLOOKUP($E1203,categories!$A$1:$B$8,MATCH(order_items!$F$1,categories!$A$1:$B$1,0),FALSE)</f>
        <v>Cruisers Bicycles</v>
      </c>
      <c r="G1203">
        <v>2</v>
      </c>
      <c r="H1203">
        <v>269.99</v>
      </c>
      <c r="I1203" s="5">
        <v>0.2</v>
      </c>
      <c r="J1203">
        <f t="shared" si="36"/>
        <v>431.98400000000004</v>
      </c>
      <c r="K1203" s="9">
        <f t="shared" si="37"/>
        <v>-0.69693888525532666</v>
      </c>
    </row>
    <row r="1204" spans="1:11" x14ac:dyDescent="0.3">
      <c r="A1204">
        <v>430</v>
      </c>
      <c r="B1204">
        <v>5</v>
      </c>
      <c r="C1204">
        <v>8</v>
      </c>
      <c r="D1204" t="str">
        <f>VLOOKUP($C1204,products!$A$1:$F$322,MATCH(order_items!$D$1,products!$A$1:$F$1,0),FALSE)</f>
        <v>Trek Remedy 29 Carbon Frameset - 2016</v>
      </c>
      <c r="E1204">
        <f>VLOOKUP($C1204,products!$A$1:$F$322,MATCH(order_items!$E$1,products!$A$1:$F$1,0),FALSE)</f>
        <v>6</v>
      </c>
      <c r="F1204" t="str">
        <f>VLOOKUP($E1204,categories!$A$1:$B$8,MATCH(order_items!$F$1,categories!$A$1:$B$1,0),FALSE)</f>
        <v>Mountain Bikes</v>
      </c>
      <c r="G1204">
        <v>1</v>
      </c>
      <c r="H1204">
        <v>1799.99</v>
      </c>
      <c r="I1204" s="5">
        <v>0.2</v>
      </c>
      <c r="J1204">
        <f t="shared" si="36"/>
        <v>1439.9920000000002</v>
      </c>
      <c r="K1204" s="9">
        <f t="shared" si="37"/>
        <v>0.43416992947174166</v>
      </c>
    </row>
    <row r="1205" spans="1:11" x14ac:dyDescent="0.3">
      <c r="A1205">
        <v>431</v>
      </c>
      <c r="B1205">
        <v>1</v>
      </c>
      <c r="C1205">
        <v>14</v>
      </c>
      <c r="D1205" t="str">
        <f>VLOOKUP($C1205,products!$A$1:$F$322,MATCH(order_items!$D$1,products!$A$1:$F$1,0),FALSE)</f>
        <v>Electra Girl's Hawaii 1 (16-inch) - 2015/2016</v>
      </c>
      <c r="E1205">
        <f>VLOOKUP($C1205,products!$A$1:$F$322,MATCH(order_items!$E$1,products!$A$1:$F$1,0),FALSE)</f>
        <v>3</v>
      </c>
      <c r="F1205" t="str">
        <f>VLOOKUP($E1205,categories!$A$1:$B$8,MATCH(order_items!$F$1,categories!$A$1:$B$1,0),FALSE)</f>
        <v>Cruisers Bicycles</v>
      </c>
      <c r="G1205">
        <v>2</v>
      </c>
      <c r="H1205">
        <v>269.99</v>
      </c>
      <c r="I1205" s="5">
        <v>0.2</v>
      </c>
      <c r="J1205">
        <f t="shared" si="36"/>
        <v>431.98400000000004</v>
      </c>
      <c r="K1205" s="9">
        <f t="shared" si="37"/>
        <v>-0.69693888525532666</v>
      </c>
    </row>
    <row r="1206" spans="1:11" x14ac:dyDescent="0.3">
      <c r="A1206">
        <v>431</v>
      </c>
      <c r="B1206">
        <v>2</v>
      </c>
      <c r="C1206">
        <v>6</v>
      </c>
      <c r="D1206" t="str">
        <f>VLOOKUP($C1206,products!$A$1:$F$322,MATCH(order_items!$D$1,products!$A$1:$F$1,0),FALSE)</f>
        <v>Surly Ice Cream Truck Frameset - 2016</v>
      </c>
      <c r="E1206">
        <f>VLOOKUP($C1206,products!$A$1:$F$322,MATCH(order_items!$E$1,products!$A$1:$F$1,0),FALSE)</f>
        <v>6</v>
      </c>
      <c r="F1206" t="str">
        <f>VLOOKUP($E1206,categories!$A$1:$B$8,MATCH(order_items!$F$1,categories!$A$1:$B$1,0),FALSE)</f>
        <v>Mountain Bikes</v>
      </c>
      <c r="G1206">
        <v>1</v>
      </c>
      <c r="H1206">
        <v>469.99</v>
      </c>
      <c r="I1206" s="5">
        <v>0.1</v>
      </c>
      <c r="J1206">
        <f t="shared" si="36"/>
        <v>422.99100000000004</v>
      </c>
      <c r="K1206" s="9">
        <f t="shared" si="37"/>
        <v>-0.5490815238530955</v>
      </c>
    </row>
    <row r="1207" spans="1:11" x14ac:dyDescent="0.3">
      <c r="A1207">
        <v>431</v>
      </c>
      <c r="B1207">
        <v>3</v>
      </c>
      <c r="C1207">
        <v>18</v>
      </c>
      <c r="D1207" t="str">
        <f>VLOOKUP($C1207,products!$A$1:$F$322,MATCH(order_items!$D$1,products!$A$1:$F$1,0),FALSE)</f>
        <v>Pure Cycles Western 3-Speed - Women's - 2015/2016</v>
      </c>
      <c r="E1207">
        <f>VLOOKUP($C1207,products!$A$1:$F$322,MATCH(order_items!$E$1,products!$A$1:$F$1,0),FALSE)</f>
        <v>3</v>
      </c>
      <c r="F1207" t="str">
        <f>VLOOKUP($E1207,categories!$A$1:$B$8,MATCH(order_items!$F$1,categories!$A$1:$B$1,0),FALSE)</f>
        <v>Cruisers Bicycles</v>
      </c>
      <c r="G1207">
        <v>1</v>
      </c>
      <c r="H1207">
        <v>449</v>
      </c>
      <c r="I1207" s="5">
        <v>0.2</v>
      </c>
      <c r="J1207">
        <f t="shared" si="36"/>
        <v>359.20000000000005</v>
      </c>
      <c r="K1207" s="9">
        <f t="shared" si="37"/>
        <v>-0.56459915393225968</v>
      </c>
    </row>
    <row r="1208" spans="1:11" x14ac:dyDescent="0.3">
      <c r="A1208">
        <v>431</v>
      </c>
      <c r="B1208">
        <v>4</v>
      </c>
      <c r="C1208">
        <v>13</v>
      </c>
      <c r="D1208" t="str">
        <f>VLOOKUP($C1208,products!$A$1:$F$322,MATCH(order_items!$D$1,products!$A$1:$F$1,0),FALSE)</f>
        <v>Electra Cruiser 1 (24-Inch) - 2016</v>
      </c>
      <c r="E1208">
        <f>VLOOKUP($C1208,products!$A$1:$F$322,MATCH(order_items!$E$1,products!$A$1:$F$1,0),FALSE)</f>
        <v>3</v>
      </c>
      <c r="F1208" t="str">
        <f>VLOOKUP($E1208,categories!$A$1:$B$8,MATCH(order_items!$F$1,categories!$A$1:$B$1,0),FALSE)</f>
        <v>Cruisers Bicycles</v>
      </c>
      <c r="G1208">
        <v>2</v>
      </c>
      <c r="H1208">
        <v>269.99</v>
      </c>
      <c r="I1208" s="5">
        <v>7.0000000000000007E-2</v>
      </c>
      <c r="J1208">
        <f t="shared" si="36"/>
        <v>502.1814</v>
      </c>
      <c r="K1208" s="9">
        <f t="shared" si="37"/>
        <v>-0.69693888525532666</v>
      </c>
    </row>
    <row r="1209" spans="1:11" x14ac:dyDescent="0.3">
      <c r="A1209">
        <v>431</v>
      </c>
      <c r="B1209">
        <v>5</v>
      </c>
      <c r="C1209">
        <v>19</v>
      </c>
      <c r="D1209" t="str">
        <f>VLOOKUP($C1209,products!$A$1:$F$322,MATCH(order_items!$D$1,products!$A$1:$F$1,0),FALSE)</f>
        <v>Pure Cycles William 3-Speed - 2016</v>
      </c>
      <c r="E1209">
        <f>VLOOKUP($C1209,products!$A$1:$F$322,MATCH(order_items!$E$1,products!$A$1:$F$1,0),FALSE)</f>
        <v>3</v>
      </c>
      <c r="F1209" t="str">
        <f>VLOOKUP($E1209,categories!$A$1:$B$8,MATCH(order_items!$F$1,categories!$A$1:$B$1,0),FALSE)</f>
        <v>Cruisers Bicycles</v>
      </c>
      <c r="G1209">
        <v>1</v>
      </c>
      <c r="H1209">
        <v>449</v>
      </c>
      <c r="I1209" s="5">
        <v>7.0000000000000007E-2</v>
      </c>
      <c r="J1209">
        <f t="shared" si="36"/>
        <v>417.57</v>
      </c>
      <c r="K1209" s="9">
        <f t="shared" si="37"/>
        <v>-0.56459915393225968</v>
      </c>
    </row>
    <row r="1210" spans="1:11" x14ac:dyDescent="0.3">
      <c r="A1210">
        <v>432</v>
      </c>
      <c r="B1210">
        <v>1</v>
      </c>
      <c r="C1210">
        <v>10</v>
      </c>
      <c r="D1210" t="str">
        <f>VLOOKUP($C1210,products!$A$1:$F$322,MATCH(order_items!$D$1,products!$A$1:$F$1,0),FALSE)</f>
        <v>Surly Straggler - 2016</v>
      </c>
      <c r="E1210">
        <f>VLOOKUP($C1210,products!$A$1:$F$322,MATCH(order_items!$E$1,products!$A$1:$F$1,0),FALSE)</f>
        <v>4</v>
      </c>
      <c r="F1210" t="str">
        <f>VLOOKUP($E1210,categories!$A$1:$B$8,MATCH(order_items!$F$1,categories!$A$1:$B$1,0),FALSE)</f>
        <v>Cyclocross Bicycles</v>
      </c>
      <c r="G1210">
        <v>2</v>
      </c>
      <c r="H1210">
        <v>1549</v>
      </c>
      <c r="I1210" s="5">
        <v>0.2</v>
      </c>
      <c r="J1210">
        <f t="shared" si="36"/>
        <v>2478.4</v>
      </c>
      <c r="K1210" s="9">
        <f t="shared" si="37"/>
        <v>0.24861633378001166</v>
      </c>
    </row>
    <row r="1211" spans="1:11" x14ac:dyDescent="0.3">
      <c r="A1211">
        <v>432</v>
      </c>
      <c r="B1211">
        <v>2</v>
      </c>
      <c r="C1211">
        <v>7</v>
      </c>
      <c r="D1211" t="str">
        <f>VLOOKUP($C1211,products!$A$1:$F$322,MATCH(order_items!$D$1,products!$A$1:$F$1,0),FALSE)</f>
        <v>Trek Slash 8 27.5 - 2016</v>
      </c>
      <c r="E1211">
        <f>VLOOKUP($C1211,products!$A$1:$F$322,MATCH(order_items!$E$1,products!$A$1:$F$1,0),FALSE)</f>
        <v>6</v>
      </c>
      <c r="F1211" t="str">
        <f>VLOOKUP($E1211,categories!$A$1:$B$8,MATCH(order_items!$F$1,categories!$A$1:$B$1,0),FALSE)</f>
        <v>Mountain Bikes</v>
      </c>
      <c r="G1211">
        <v>2</v>
      </c>
      <c r="H1211">
        <v>3999.99</v>
      </c>
      <c r="I1211" s="5">
        <v>0.05</v>
      </c>
      <c r="J1211">
        <f t="shared" si="36"/>
        <v>7599.9809999999989</v>
      </c>
      <c r="K1211" s="9">
        <f t="shared" si="37"/>
        <v>2.0606009048962846</v>
      </c>
    </row>
    <row r="1212" spans="1:11" x14ac:dyDescent="0.3">
      <c r="A1212">
        <v>433</v>
      </c>
      <c r="B1212">
        <v>1</v>
      </c>
      <c r="C1212">
        <v>6</v>
      </c>
      <c r="D1212" t="str">
        <f>VLOOKUP($C1212,products!$A$1:$F$322,MATCH(order_items!$D$1,products!$A$1:$F$1,0),FALSE)</f>
        <v>Surly Ice Cream Truck Frameset - 2016</v>
      </c>
      <c r="E1212">
        <f>VLOOKUP($C1212,products!$A$1:$F$322,MATCH(order_items!$E$1,products!$A$1:$F$1,0),FALSE)</f>
        <v>6</v>
      </c>
      <c r="F1212" t="str">
        <f>VLOOKUP($E1212,categories!$A$1:$B$8,MATCH(order_items!$F$1,categories!$A$1:$B$1,0),FALSE)</f>
        <v>Mountain Bikes</v>
      </c>
      <c r="G1212">
        <v>1</v>
      </c>
      <c r="H1212">
        <v>469.99</v>
      </c>
      <c r="I1212" s="5">
        <v>0.1</v>
      </c>
      <c r="J1212">
        <f t="shared" si="36"/>
        <v>422.99100000000004</v>
      </c>
      <c r="K1212" s="9">
        <f t="shared" si="37"/>
        <v>-0.5490815238530955</v>
      </c>
    </row>
    <row r="1213" spans="1:11" x14ac:dyDescent="0.3">
      <c r="A1213">
        <v>433</v>
      </c>
      <c r="B1213">
        <v>2</v>
      </c>
      <c r="C1213">
        <v>10</v>
      </c>
      <c r="D1213" t="str">
        <f>VLOOKUP($C1213,products!$A$1:$F$322,MATCH(order_items!$D$1,products!$A$1:$F$1,0),FALSE)</f>
        <v>Surly Straggler - 2016</v>
      </c>
      <c r="E1213">
        <f>VLOOKUP($C1213,products!$A$1:$F$322,MATCH(order_items!$E$1,products!$A$1:$F$1,0),FALSE)</f>
        <v>4</v>
      </c>
      <c r="F1213" t="str">
        <f>VLOOKUP($E1213,categories!$A$1:$B$8,MATCH(order_items!$F$1,categories!$A$1:$B$1,0),FALSE)</f>
        <v>Cyclocross Bicycles</v>
      </c>
      <c r="G1213">
        <v>1</v>
      </c>
      <c r="H1213">
        <v>1549</v>
      </c>
      <c r="I1213" s="5">
        <v>0.2</v>
      </c>
      <c r="J1213">
        <f t="shared" si="36"/>
        <v>1239.2</v>
      </c>
      <c r="K1213" s="9">
        <f t="shared" si="37"/>
        <v>0.24861633378001166</v>
      </c>
    </row>
    <row r="1214" spans="1:11" x14ac:dyDescent="0.3">
      <c r="A1214">
        <v>433</v>
      </c>
      <c r="B1214">
        <v>3</v>
      </c>
      <c r="C1214">
        <v>24</v>
      </c>
      <c r="D1214" t="str">
        <f>VLOOKUP($C1214,products!$A$1:$F$322,MATCH(order_items!$D$1,products!$A$1:$F$1,0),FALSE)</f>
        <v>Electra Townie Original 21D - 2016</v>
      </c>
      <c r="E1214">
        <f>VLOOKUP($C1214,products!$A$1:$F$322,MATCH(order_items!$E$1,products!$A$1:$F$1,0),FALSE)</f>
        <v>2</v>
      </c>
      <c r="F1214" t="str">
        <f>VLOOKUP($E1214,categories!$A$1:$B$8,MATCH(order_items!$F$1,categories!$A$1:$B$1,0),FALSE)</f>
        <v>Comfort Bicycles</v>
      </c>
      <c r="G1214">
        <v>1</v>
      </c>
      <c r="H1214">
        <v>549.99</v>
      </c>
      <c r="I1214" s="5">
        <v>0.1</v>
      </c>
      <c r="J1214">
        <f t="shared" si="36"/>
        <v>494.99100000000004</v>
      </c>
      <c r="K1214" s="9">
        <f t="shared" si="37"/>
        <v>-0.48993857929220308</v>
      </c>
    </row>
    <row r="1215" spans="1:11" x14ac:dyDescent="0.3">
      <c r="A1215">
        <v>433</v>
      </c>
      <c r="B1215">
        <v>4</v>
      </c>
      <c r="C1215">
        <v>4</v>
      </c>
      <c r="D1215" t="str">
        <f>VLOOKUP($C1215,products!$A$1:$F$322,MATCH(order_items!$D$1,products!$A$1:$F$1,0),FALSE)</f>
        <v>Trek Fuel EX 8 29 - 2016</v>
      </c>
      <c r="E1215">
        <f>VLOOKUP($C1215,products!$A$1:$F$322,MATCH(order_items!$E$1,products!$A$1:$F$1,0),FALSE)</f>
        <v>6</v>
      </c>
      <c r="F1215" t="str">
        <f>VLOOKUP($E1215,categories!$A$1:$B$8,MATCH(order_items!$F$1,categories!$A$1:$B$1,0),FALSE)</f>
        <v>Mountain Bikes</v>
      </c>
      <c r="G1215">
        <v>1</v>
      </c>
      <c r="H1215">
        <v>2899.99</v>
      </c>
      <c r="I1215" s="5">
        <v>0.2</v>
      </c>
      <c r="J1215">
        <f t="shared" si="36"/>
        <v>2319.9919999999997</v>
      </c>
      <c r="K1215" s="9">
        <f t="shared" si="37"/>
        <v>1.2473854171840129</v>
      </c>
    </row>
    <row r="1216" spans="1:11" x14ac:dyDescent="0.3">
      <c r="A1216">
        <v>434</v>
      </c>
      <c r="B1216">
        <v>1</v>
      </c>
      <c r="C1216">
        <v>21</v>
      </c>
      <c r="D1216" t="str">
        <f>VLOOKUP($C1216,products!$A$1:$F$322,MATCH(order_items!$D$1,products!$A$1:$F$1,0),FALSE)</f>
        <v>Electra Cruiser 1 (24-Inch) - 2016</v>
      </c>
      <c r="E1216">
        <f>VLOOKUP($C1216,products!$A$1:$F$322,MATCH(order_items!$E$1,products!$A$1:$F$1,0),FALSE)</f>
        <v>1</v>
      </c>
      <c r="F1216" t="str">
        <f>VLOOKUP($E1216,categories!$A$1:$B$8,MATCH(order_items!$F$1,categories!$A$1:$B$1,0),FALSE)</f>
        <v>Children Bicycles</v>
      </c>
      <c r="G1216">
        <v>1</v>
      </c>
      <c r="H1216">
        <v>269.99</v>
      </c>
      <c r="I1216" s="5">
        <v>0.05</v>
      </c>
      <c r="J1216">
        <f t="shared" si="36"/>
        <v>256.4905</v>
      </c>
      <c r="K1216" s="9">
        <f t="shared" si="37"/>
        <v>-0.69693888525532666</v>
      </c>
    </row>
    <row r="1217" spans="1:11" x14ac:dyDescent="0.3">
      <c r="A1217">
        <v>434</v>
      </c>
      <c r="B1217">
        <v>2</v>
      </c>
      <c r="C1217">
        <v>20</v>
      </c>
      <c r="D1217" t="str">
        <f>VLOOKUP($C1217,products!$A$1:$F$322,MATCH(order_items!$D$1,products!$A$1:$F$1,0),FALSE)</f>
        <v>Electra Townie Original 7D EQ - Women's - 2016</v>
      </c>
      <c r="E1217">
        <f>VLOOKUP($C1217,products!$A$1:$F$322,MATCH(order_items!$E$1,products!$A$1:$F$1,0),FALSE)</f>
        <v>3</v>
      </c>
      <c r="F1217" t="str">
        <f>VLOOKUP($E1217,categories!$A$1:$B$8,MATCH(order_items!$F$1,categories!$A$1:$B$1,0),FALSE)</f>
        <v>Cruisers Bicycles</v>
      </c>
      <c r="G1217">
        <v>1</v>
      </c>
      <c r="H1217">
        <v>599.99</v>
      </c>
      <c r="I1217" s="5">
        <v>0.1</v>
      </c>
      <c r="J1217">
        <f t="shared" si="36"/>
        <v>539.99099999999999</v>
      </c>
      <c r="K1217" s="9">
        <f t="shared" si="37"/>
        <v>-0.45297423894164529</v>
      </c>
    </row>
    <row r="1218" spans="1:11" x14ac:dyDescent="0.3">
      <c r="A1218">
        <v>434</v>
      </c>
      <c r="B1218">
        <v>3</v>
      </c>
      <c r="C1218">
        <v>9</v>
      </c>
      <c r="D1218" t="str">
        <f>VLOOKUP($C1218,products!$A$1:$F$322,MATCH(order_items!$D$1,products!$A$1:$F$1,0),FALSE)</f>
        <v>Trek Conduit+ - 2016</v>
      </c>
      <c r="E1218">
        <f>VLOOKUP($C1218,products!$A$1:$F$322,MATCH(order_items!$E$1,products!$A$1:$F$1,0),FALSE)</f>
        <v>5</v>
      </c>
      <c r="F1218" t="str">
        <f>VLOOKUP($E1218,categories!$A$1:$B$8,MATCH(order_items!$F$1,categories!$A$1:$B$1,0),FALSE)</f>
        <v>Electric Bikes</v>
      </c>
      <c r="G1218">
        <v>1</v>
      </c>
      <c r="H1218">
        <v>2999.99</v>
      </c>
      <c r="I1218" s="5">
        <v>0.2</v>
      </c>
      <c r="J1218">
        <f t="shared" ref="J1218:J1281" si="38">G1218*H1218*(1-I1218)</f>
        <v>2399.9919999999997</v>
      </c>
      <c r="K1218" s="9">
        <f t="shared" ref="K1218:K1281" si="39">($H1218-$M$7)/$M$9</f>
        <v>1.3213140978851283</v>
      </c>
    </row>
    <row r="1219" spans="1:11" x14ac:dyDescent="0.3">
      <c r="A1219">
        <v>434</v>
      </c>
      <c r="B1219">
        <v>4</v>
      </c>
      <c r="C1219">
        <v>11</v>
      </c>
      <c r="D1219" t="str">
        <f>VLOOKUP($C1219,products!$A$1:$F$322,MATCH(order_items!$D$1,products!$A$1:$F$1,0),FALSE)</f>
        <v>Surly Straggler 650b - 2016</v>
      </c>
      <c r="E1219">
        <f>VLOOKUP($C1219,products!$A$1:$F$322,MATCH(order_items!$E$1,products!$A$1:$F$1,0),FALSE)</f>
        <v>4</v>
      </c>
      <c r="F1219" t="str">
        <f>VLOOKUP($E1219,categories!$A$1:$B$8,MATCH(order_items!$F$1,categories!$A$1:$B$1,0),FALSE)</f>
        <v>Cyclocross Bicycles</v>
      </c>
      <c r="G1219">
        <v>2</v>
      </c>
      <c r="H1219">
        <v>1680.99</v>
      </c>
      <c r="I1219" s="5">
        <v>7.0000000000000007E-2</v>
      </c>
      <c r="J1219">
        <f t="shared" si="38"/>
        <v>3126.6414</v>
      </c>
      <c r="K1219" s="9">
        <f t="shared" si="39"/>
        <v>0.3461947994374141</v>
      </c>
    </row>
    <row r="1220" spans="1:11" x14ac:dyDescent="0.3">
      <c r="A1220">
        <v>434</v>
      </c>
      <c r="B1220">
        <v>5</v>
      </c>
      <c r="C1220">
        <v>18</v>
      </c>
      <c r="D1220" t="str">
        <f>VLOOKUP($C1220,products!$A$1:$F$322,MATCH(order_items!$D$1,products!$A$1:$F$1,0),FALSE)</f>
        <v>Pure Cycles Western 3-Speed - Women's - 2015/2016</v>
      </c>
      <c r="E1220">
        <f>VLOOKUP($C1220,products!$A$1:$F$322,MATCH(order_items!$E$1,products!$A$1:$F$1,0),FALSE)</f>
        <v>3</v>
      </c>
      <c r="F1220" t="str">
        <f>VLOOKUP($E1220,categories!$A$1:$B$8,MATCH(order_items!$F$1,categories!$A$1:$B$1,0),FALSE)</f>
        <v>Cruisers Bicycles</v>
      </c>
      <c r="G1220">
        <v>2</v>
      </c>
      <c r="H1220">
        <v>449</v>
      </c>
      <c r="I1220" s="5">
        <v>0.05</v>
      </c>
      <c r="J1220">
        <f t="shared" si="38"/>
        <v>853.09999999999991</v>
      </c>
      <c r="K1220" s="9">
        <f t="shared" si="39"/>
        <v>-0.56459915393225968</v>
      </c>
    </row>
    <row r="1221" spans="1:11" x14ac:dyDescent="0.3">
      <c r="A1221">
        <v>435</v>
      </c>
      <c r="B1221">
        <v>1</v>
      </c>
      <c r="C1221">
        <v>22</v>
      </c>
      <c r="D1221" t="str">
        <f>VLOOKUP($C1221,products!$A$1:$F$322,MATCH(order_items!$D$1,products!$A$1:$F$1,0),FALSE)</f>
        <v>Electra Girl's Hawaii 1 (16-inch) - 2015/2016</v>
      </c>
      <c r="E1221">
        <f>VLOOKUP($C1221,products!$A$1:$F$322,MATCH(order_items!$E$1,products!$A$1:$F$1,0),FALSE)</f>
        <v>1</v>
      </c>
      <c r="F1221" t="str">
        <f>VLOOKUP($E1221,categories!$A$1:$B$8,MATCH(order_items!$F$1,categories!$A$1:$B$1,0),FALSE)</f>
        <v>Children Bicycles</v>
      </c>
      <c r="G1221">
        <v>1</v>
      </c>
      <c r="H1221">
        <v>269.99</v>
      </c>
      <c r="I1221" s="5">
        <v>0.05</v>
      </c>
      <c r="J1221">
        <f t="shared" si="38"/>
        <v>256.4905</v>
      </c>
      <c r="K1221" s="9">
        <f t="shared" si="39"/>
        <v>-0.69693888525532666</v>
      </c>
    </row>
    <row r="1222" spans="1:11" x14ac:dyDescent="0.3">
      <c r="A1222">
        <v>435</v>
      </c>
      <c r="B1222">
        <v>2</v>
      </c>
      <c r="C1222">
        <v>9</v>
      </c>
      <c r="D1222" t="str">
        <f>VLOOKUP($C1222,products!$A$1:$F$322,MATCH(order_items!$D$1,products!$A$1:$F$1,0),FALSE)</f>
        <v>Trek Conduit+ - 2016</v>
      </c>
      <c r="E1222">
        <f>VLOOKUP($C1222,products!$A$1:$F$322,MATCH(order_items!$E$1,products!$A$1:$F$1,0),FALSE)</f>
        <v>5</v>
      </c>
      <c r="F1222" t="str">
        <f>VLOOKUP($E1222,categories!$A$1:$B$8,MATCH(order_items!$F$1,categories!$A$1:$B$1,0),FALSE)</f>
        <v>Electric Bikes</v>
      </c>
      <c r="G1222">
        <v>1</v>
      </c>
      <c r="H1222">
        <v>2999.99</v>
      </c>
      <c r="I1222" s="5">
        <v>0.05</v>
      </c>
      <c r="J1222">
        <f t="shared" si="38"/>
        <v>2849.9904999999999</v>
      </c>
      <c r="K1222" s="9">
        <f t="shared" si="39"/>
        <v>1.3213140978851283</v>
      </c>
    </row>
    <row r="1223" spans="1:11" x14ac:dyDescent="0.3">
      <c r="A1223">
        <v>435</v>
      </c>
      <c r="B1223">
        <v>3</v>
      </c>
      <c r="C1223">
        <v>18</v>
      </c>
      <c r="D1223" t="str">
        <f>VLOOKUP($C1223,products!$A$1:$F$322,MATCH(order_items!$D$1,products!$A$1:$F$1,0),FALSE)</f>
        <v>Pure Cycles Western 3-Speed - Women's - 2015/2016</v>
      </c>
      <c r="E1223">
        <f>VLOOKUP($C1223,products!$A$1:$F$322,MATCH(order_items!$E$1,products!$A$1:$F$1,0),FALSE)</f>
        <v>3</v>
      </c>
      <c r="F1223" t="str">
        <f>VLOOKUP($E1223,categories!$A$1:$B$8,MATCH(order_items!$F$1,categories!$A$1:$B$1,0),FALSE)</f>
        <v>Cruisers Bicycles</v>
      </c>
      <c r="G1223">
        <v>1</v>
      </c>
      <c r="H1223">
        <v>449</v>
      </c>
      <c r="I1223" s="5">
        <v>0.05</v>
      </c>
      <c r="J1223">
        <f t="shared" si="38"/>
        <v>426.54999999999995</v>
      </c>
      <c r="K1223" s="9">
        <f t="shared" si="39"/>
        <v>-0.56459915393225968</v>
      </c>
    </row>
    <row r="1224" spans="1:11" x14ac:dyDescent="0.3">
      <c r="A1224">
        <v>436</v>
      </c>
      <c r="B1224">
        <v>1</v>
      </c>
      <c r="C1224">
        <v>3</v>
      </c>
      <c r="D1224" t="str">
        <f>VLOOKUP($C1224,products!$A$1:$F$322,MATCH(order_items!$D$1,products!$A$1:$F$1,0),FALSE)</f>
        <v>Surly Wednesday Frameset - 2016</v>
      </c>
      <c r="E1224">
        <f>VLOOKUP($C1224,products!$A$1:$F$322,MATCH(order_items!$E$1,products!$A$1:$F$1,0),FALSE)</f>
        <v>6</v>
      </c>
      <c r="F1224" t="str">
        <f>VLOOKUP($E1224,categories!$A$1:$B$8,MATCH(order_items!$F$1,categories!$A$1:$B$1,0),FALSE)</f>
        <v>Mountain Bikes</v>
      </c>
      <c r="G1224">
        <v>1</v>
      </c>
      <c r="H1224">
        <v>999.99</v>
      </c>
      <c r="I1224" s="5">
        <v>0.05</v>
      </c>
      <c r="J1224">
        <f t="shared" si="38"/>
        <v>949.9905</v>
      </c>
      <c r="K1224" s="9">
        <f t="shared" si="39"/>
        <v>-0.15725951613718298</v>
      </c>
    </row>
    <row r="1225" spans="1:11" x14ac:dyDescent="0.3">
      <c r="A1225">
        <v>436</v>
      </c>
      <c r="B1225">
        <v>2</v>
      </c>
      <c r="C1225">
        <v>23</v>
      </c>
      <c r="D1225" t="str">
        <f>VLOOKUP($C1225,products!$A$1:$F$322,MATCH(order_items!$D$1,products!$A$1:$F$1,0),FALSE)</f>
        <v>Electra Girl's Hawaii 1 (20-inch) - 2015/2016</v>
      </c>
      <c r="E1225">
        <f>VLOOKUP($C1225,products!$A$1:$F$322,MATCH(order_items!$E$1,products!$A$1:$F$1,0),FALSE)</f>
        <v>1</v>
      </c>
      <c r="F1225" t="str">
        <f>VLOOKUP($E1225,categories!$A$1:$B$8,MATCH(order_items!$F$1,categories!$A$1:$B$1,0),FALSE)</f>
        <v>Children Bicycles</v>
      </c>
      <c r="G1225">
        <v>1</v>
      </c>
      <c r="H1225">
        <v>299.99</v>
      </c>
      <c r="I1225" s="5">
        <v>0.2</v>
      </c>
      <c r="J1225">
        <f t="shared" si="38"/>
        <v>239.99200000000002</v>
      </c>
      <c r="K1225" s="9">
        <f t="shared" si="39"/>
        <v>-0.67476028104499197</v>
      </c>
    </row>
    <row r="1226" spans="1:11" x14ac:dyDescent="0.3">
      <c r="A1226">
        <v>437</v>
      </c>
      <c r="B1226">
        <v>1</v>
      </c>
      <c r="C1226">
        <v>3</v>
      </c>
      <c r="D1226" t="str">
        <f>VLOOKUP($C1226,products!$A$1:$F$322,MATCH(order_items!$D$1,products!$A$1:$F$1,0),FALSE)</f>
        <v>Surly Wednesday Frameset - 2016</v>
      </c>
      <c r="E1226">
        <f>VLOOKUP($C1226,products!$A$1:$F$322,MATCH(order_items!$E$1,products!$A$1:$F$1,0),FALSE)</f>
        <v>6</v>
      </c>
      <c r="F1226" t="str">
        <f>VLOOKUP($E1226,categories!$A$1:$B$8,MATCH(order_items!$F$1,categories!$A$1:$B$1,0),FALSE)</f>
        <v>Mountain Bikes</v>
      </c>
      <c r="G1226">
        <v>1</v>
      </c>
      <c r="H1226">
        <v>999.99</v>
      </c>
      <c r="I1226" s="5">
        <v>0.05</v>
      </c>
      <c r="J1226">
        <f t="shared" si="38"/>
        <v>949.9905</v>
      </c>
      <c r="K1226" s="9">
        <f t="shared" si="39"/>
        <v>-0.15725951613718298</v>
      </c>
    </row>
    <row r="1227" spans="1:11" x14ac:dyDescent="0.3">
      <c r="A1227">
        <v>437</v>
      </c>
      <c r="B1227">
        <v>2</v>
      </c>
      <c r="C1227">
        <v>10</v>
      </c>
      <c r="D1227" t="str">
        <f>VLOOKUP($C1227,products!$A$1:$F$322,MATCH(order_items!$D$1,products!$A$1:$F$1,0),FALSE)</f>
        <v>Surly Straggler - 2016</v>
      </c>
      <c r="E1227">
        <f>VLOOKUP($C1227,products!$A$1:$F$322,MATCH(order_items!$E$1,products!$A$1:$F$1,0),FALSE)</f>
        <v>4</v>
      </c>
      <c r="F1227" t="str">
        <f>VLOOKUP($E1227,categories!$A$1:$B$8,MATCH(order_items!$F$1,categories!$A$1:$B$1,0),FALSE)</f>
        <v>Cyclocross Bicycles</v>
      </c>
      <c r="G1227">
        <v>1</v>
      </c>
      <c r="H1227">
        <v>1549</v>
      </c>
      <c r="I1227" s="5">
        <v>0.05</v>
      </c>
      <c r="J1227">
        <f t="shared" si="38"/>
        <v>1471.55</v>
      </c>
      <c r="K1227" s="9">
        <f t="shared" si="39"/>
        <v>0.24861633378001166</v>
      </c>
    </row>
    <row r="1228" spans="1:11" x14ac:dyDescent="0.3">
      <c r="A1228">
        <v>437</v>
      </c>
      <c r="B1228">
        <v>3</v>
      </c>
      <c r="C1228">
        <v>8</v>
      </c>
      <c r="D1228" t="str">
        <f>VLOOKUP($C1228,products!$A$1:$F$322,MATCH(order_items!$D$1,products!$A$1:$F$1,0),FALSE)</f>
        <v>Trek Remedy 29 Carbon Frameset - 2016</v>
      </c>
      <c r="E1228">
        <f>VLOOKUP($C1228,products!$A$1:$F$322,MATCH(order_items!$E$1,products!$A$1:$F$1,0),FALSE)</f>
        <v>6</v>
      </c>
      <c r="F1228" t="str">
        <f>VLOOKUP($E1228,categories!$A$1:$B$8,MATCH(order_items!$F$1,categories!$A$1:$B$1,0),FALSE)</f>
        <v>Mountain Bikes</v>
      </c>
      <c r="G1228">
        <v>2</v>
      </c>
      <c r="H1228">
        <v>1799.99</v>
      </c>
      <c r="I1228" s="5">
        <v>0.05</v>
      </c>
      <c r="J1228">
        <f t="shared" si="38"/>
        <v>3419.9809999999998</v>
      </c>
      <c r="K1228" s="9">
        <f t="shared" si="39"/>
        <v>0.43416992947174166</v>
      </c>
    </row>
    <row r="1229" spans="1:11" x14ac:dyDescent="0.3">
      <c r="A1229">
        <v>438</v>
      </c>
      <c r="B1229">
        <v>1</v>
      </c>
      <c r="C1229">
        <v>4</v>
      </c>
      <c r="D1229" t="str">
        <f>VLOOKUP($C1229,products!$A$1:$F$322,MATCH(order_items!$D$1,products!$A$1:$F$1,0),FALSE)</f>
        <v>Trek Fuel EX 8 29 - 2016</v>
      </c>
      <c r="E1229">
        <f>VLOOKUP($C1229,products!$A$1:$F$322,MATCH(order_items!$E$1,products!$A$1:$F$1,0),FALSE)</f>
        <v>6</v>
      </c>
      <c r="F1229" t="str">
        <f>VLOOKUP($E1229,categories!$A$1:$B$8,MATCH(order_items!$F$1,categories!$A$1:$B$1,0),FALSE)</f>
        <v>Mountain Bikes</v>
      </c>
      <c r="G1229">
        <v>1</v>
      </c>
      <c r="H1229">
        <v>2899.99</v>
      </c>
      <c r="I1229" s="5">
        <v>7.0000000000000007E-2</v>
      </c>
      <c r="J1229">
        <f t="shared" si="38"/>
        <v>2696.9906999999998</v>
      </c>
      <c r="K1229" s="9">
        <f t="shared" si="39"/>
        <v>1.2473854171840129</v>
      </c>
    </row>
    <row r="1230" spans="1:11" x14ac:dyDescent="0.3">
      <c r="A1230">
        <v>438</v>
      </c>
      <c r="B1230">
        <v>2</v>
      </c>
      <c r="C1230">
        <v>22</v>
      </c>
      <c r="D1230" t="str">
        <f>VLOOKUP($C1230,products!$A$1:$F$322,MATCH(order_items!$D$1,products!$A$1:$F$1,0),FALSE)</f>
        <v>Electra Girl's Hawaii 1 (16-inch) - 2015/2016</v>
      </c>
      <c r="E1230">
        <f>VLOOKUP($C1230,products!$A$1:$F$322,MATCH(order_items!$E$1,products!$A$1:$F$1,0),FALSE)</f>
        <v>1</v>
      </c>
      <c r="F1230" t="str">
        <f>VLOOKUP($E1230,categories!$A$1:$B$8,MATCH(order_items!$F$1,categories!$A$1:$B$1,0),FALSE)</f>
        <v>Children Bicycles</v>
      </c>
      <c r="G1230">
        <v>1</v>
      </c>
      <c r="H1230">
        <v>269.99</v>
      </c>
      <c r="I1230" s="5">
        <v>0.1</v>
      </c>
      <c r="J1230">
        <f t="shared" si="38"/>
        <v>242.99100000000001</v>
      </c>
      <c r="K1230" s="9">
        <f t="shared" si="39"/>
        <v>-0.69693888525532666</v>
      </c>
    </row>
    <row r="1231" spans="1:11" x14ac:dyDescent="0.3">
      <c r="A1231">
        <v>438</v>
      </c>
      <c r="B1231">
        <v>3</v>
      </c>
      <c r="C1231">
        <v>8</v>
      </c>
      <c r="D1231" t="str">
        <f>VLOOKUP($C1231,products!$A$1:$F$322,MATCH(order_items!$D$1,products!$A$1:$F$1,0),FALSE)</f>
        <v>Trek Remedy 29 Carbon Frameset - 2016</v>
      </c>
      <c r="E1231">
        <f>VLOOKUP($C1231,products!$A$1:$F$322,MATCH(order_items!$E$1,products!$A$1:$F$1,0),FALSE)</f>
        <v>6</v>
      </c>
      <c r="F1231" t="str">
        <f>VLOOKUP($E1231,categories!$A$1:$B$8,MATCH(order_items!$F$1,categories!$A$1:$B$1,0),FALSE)</f>
        <v>Mountain Bikes</v>
      </c>
      <c r="G1231">
        <v>2</v>
      </c>
      <c r="H1231">
        <v>1799.99</v>
      </c>
      <c r="I1231" s="5">
        <v>0.05</v>
      </c>
      <c r="J1231">
        <f t="shared" si="38"/>
        <v>3419.9809999999998</v>
      </c>
      <c r="K1231" s="9">
        <f t="shared" si="39"/>
        <v>0.43416992947174166</v>
      </c>
    </row>
    <row r="1232" spans="1:11" x14ac:dyDescent="0.3">
      <c r="A1232">
        <v>438</v>
      </c>
      <c r="B1232">
        <v>4</v>
      </c>
      <c r="C1232">
        <v>13</v>
      </c>
      <c r="D1232" t="str">
        <f>VLOOKUP($C1232,products!$A$1:$F$322,MATCH(order_items!$D$1,products!$A$1:$F$1,0),FALSE)</f>
        <v>Electra Cruiser 1 (24-Inch) - 2016</v>
      </c>
      <c r="E1232">
        <f>VLOOKUP($C1232,products!$A$1:$F$322,MATCH(order_items!$E$1,products!$A$1:$F$1,0),FALSE)</f>
        <v>3</v>
      </c>
      <c r="F1232" t="str">
        <f>VLOOKUP($E1232,categories!$A$1:$B$8,MATCH(order_items!$F$1,categories!$A$1:$B$1,0),FALSE)</f>
        <v>Cruisers Bicycles</v>
      </c>
      <c r="G1232">
        <v>2</v>
      </c>
      <c r="H1232">
        <v>269.99</v>
      </c>
      <c r="I1232" s="5">
        <v>0.05</v>
      </c>
      <c r="J1232">
        <f t="shared" si="38"/>
        <v>512.98099999999999</v>
      </c>
      <c r="K1232" s="9">
        <f t="shared" si="39"/>
        <v>-0.69693888525532666</v>
      </c>
    </row>
    <row r="1233" spans="1:11" x14ac:dyDescent="0.3">
      <c r="A1233">
        <v>439</v>
      </c>
      <c r="B1233">
        <v>1</v>
      </c>
      <c r="C1233">
        <v>6</v>
      </c>
      <c r="D1233" t="str">
        <f>VLOOKUP($C1233,products!$A$1:$F$322,MATCH(order_items!$D$1,products!$A$1:$F$1,0),FALSE)</f>
        <v>Surly Ice Cream Truck Frameset - 2016</v>
      </c>
      <c r="E1233">
        <f>VLOOKUP($C1233,products!$A$1:$F$322,MATCH(order_items!$E$1,products!$A$1:$F$1,0),FALSE)</f>
        <v>6</v>
      </c>
      <c r="F1233" t="str">
        <f>VLOOKUP($E1233,categories!$A$1:$B$8,MATCH(order_items!$F$1,categories!$A$1:$B$1,0),FALSE)</f>
        <v>Mountain Bikes</v>
      </c>
      <c r="G1233">
        <v>2</v>
      </c>
      <c r="H1233">
        <v>469.99</v>
      </c>
      <c r="I1233" s="5">
        <v>7.0000000000000007E-2</v>
      </c>
      <c r="J1233">
        <f t="shared" si="38"/>
        <v>874.18139999999994</v>
      </c>
      <c r="K1233" s="9">
        <f t="shared" si="39"/>
        <v>-0.5490815238530955</v>
      </c>
    </row>
    <row r="1234" spans="1:11" x14ac:dyDescent="0.3">
      <c r="A1234">
        <v>439</v>
      </c>
      <c r="B1234">
        <v>2</v>
      </c>
      <c r="C1234">
        <v>7</v>
      </c>
      <c r="D1234" t="str">
        <f>VLOOKUP($C1234,products!$A$1:$F$322,MATCH(order_items!$D$1,products!$A$1:$F$1,0),FALSE)</f>
        <v>Trek Slash 8 27.5 - 2016</v>
      </c>
      <c r="E1234">
        <f>VLOOKUP($C1234,products!$A$1:$F$322,MATCH(order_items!$E$1,products!$A$1:$F$1,0),FALSE)</f>
        <v>6</v>
      </c>
      <c r="F1234" t="str">
        <f>VLOOKUP($E1234,categories!$A$1:$B$8,MATCH(order_items!$F$1,categories!$A$1:$B$1,0),FALSE)</f>
        <v>Mountain Bikes</v>
      </c>
      <c r="G1234">
        <v>2</v>
      </c>
      <c r="H1234">
        <v>3999.99</v>
      </c>
      <c r="I1234" s="5">
        <v>0.05</v>
      </c>
      <c r="J1234">
        <f t="shared" si="38"/>
        <v>7599.9809999999989</v>
      </c>
      <c r="K1234" s="9">
        <f t="shared" si="39"/>
        <v>2.0606009048962846</v>
      </c>
    </row>
    <row r="1235" spans="1:11" x14ac:dyDescent="0.3">
      <c r="A1235">
        <v>440</v>
      </c>
      <c r="B1235">
        <v>1</v>
      </c>
      <c r="C1235">
        <v>19</v>
      </c>
      <c r="D1235" t="str">
        <f>VLOOKUP($C1235,products!$A$1:$F$322,MATCH(order_items!$D$1,products!$A$1:$F$1,0),FALSE)</f>
        <v>Pure Cycles William 3-Speed - 2016</v>
      </c>
      <c r="E1235">
        <f>VLOOKUP($C1235,products!$A$1:$F$322,MATCH(order_items!$E$1,products!$A$1:$F$1,0),FALSE)</f>
        <v>3</v>
      </c>
      <c r="F1235" t="str">
        <f>VLOOKUP($E1235,categories!$A$1:$B$8,MATCH(order_items!$F$1,categories!$A$1:$B$1,0),FALSE)</f>
        <v>Cruisers Bicycles</v>
      </c>
      <c r="G1235">
        <v>2</v>
      </c>
      <c r="H1235">
        <v>449</v>
      </c>
      <c r="I1235" s="5">
        <v>7.0000000000000007E-2</v>
      </c>
      <c r="J1235">
        <f t="shared" si="38"/>
        <v>835.14</v>
      </c>
      <c r="K1235" s="9">
        <f t="shared" si="39"/>
        <v>-0.56459915393225968</v>
      </c>
    </row>
    <row r="1236" spans="1:11" x14ac:dyDescent="0.3">
      <c r="A1236">
        <v>440</v>
      </c>
      <c r="B1236">
        <v>2</v>
      </c>
      <c r="C1236">
        <v>4</v>
      </c>
      <c r="D1236" t="str">
        <f>VLOOKUP($C1236,products!$A$1:$F$322,MATCH(order_items!$D$1,products!$A$1:$F$1,0),FALSE)</f>
        <v>Trek Fuel EX 8 29 - 2016</v>
      </c>
      <c r="E1236">
        <f>VLOOKUP($C1236,products!$A$1:$F$322,MATCH(order_items!$E$1,products!$A$1:$F$1,0),FALSE)</f>
        <v>6</v>
      </c>
      <c r="F1236" t="str">
        <f>VLOOKUP($E1236,categories!$A$1:$B$8,MATCH(order_items!$F$1,categories!$A$1:$B$1,0),FALSE)</f>
        <v>Mountain Bikes</v>
      </c>
      <c r="G1236">
        <v>2</v>
      </c>
      <c r="H1236">
        <v>2899.99</v>
      </c>
      <c r="I1236" s="5">
        <v>7.0000000000000007E-2</v>
      </c>
      <c r="J1236">
        <f t="shared" si="38"/>
        <v>5393.9813999999997</v>
      </c>
      <c r="K1236" s="9">
        <f t="shared" si="39"/>
        <v>1.2473854171840129</v>
      </c>
    </row>
    <row r="1237" spans="1:11" x14ac:dyDescent="0.3">
      <c r="A1237">
        <v>441</v>
      </c>
      <c r="B1237">
        <v>1</v>
      </c>
      <c r="C1237">
        <v>12</v>
      </c>
      <c r="D1237" t="str">
        <f>VLOOKUP($C1237,products!$A$1:$F$322,MATCH(order_items!$D$1,products!$A$1:$F$1,0),FALSE)</f>
        <v>Electra Townie Original 21D - 2016</v>
      </c>
      <c r="E1237">
        <f>VLOOKUP($C1237,products!$A$1:$F$322,MATCH(order_items!$E$1,products!$A$1:$F$1,0),FALSE)</f>
        <v>3</v>
      </c>
      <c r="F1237" t="str">
        <f>VLOOKUP($E1237,categories!$A$1:$B$8,MATCH(order_items!$F$1,categories!$A$1:$B$1,0),FALSE)</f>
        <v>Cruisers Bicycles</v>
      </c>
      <c r="G1237">
        <v>1</v>
      </c>
      <c r="H1237">
        <v>549.99</v>
      </c>
      <c r="I1237" s="5">
        <v>7.0000000000000007E-2</v>
      </c>
      <c r="J1237">
        <f t="shared" si="38"/>
        <v>511.49069999999995</v>
      </c>
      <c r="K1237" s="9">
        <f t="shared" si="39"/>
        <v>-0.48993857929220308</v>
      </c>
    </row>
    <row r="1238" spans="1:11" x14ac:dyDescent="0.3">
      <c r="A1238">
        <v>441</v>
      </c>
      <c r="B1238">
        <v>2</v>
      </c>
      <c r="C1238">
        <v>15</v>
      </c>
      <c r="D1238" t="str">
        <f>VLOOKUP($C1238,products!$A$1:$F$322,MATCH(order_items!$D$1,products!$A$1:$F$1,0),FALSE)</f>
        <v>Electra Moto 1 - 2016</v>
      </c>
      <c r="E1238">
        <f>VLOOKUP($C1238,products!$A$1:$F$322,MATCH(order_items!$E$1,products!$A$1:$F$1,0),FALSE)</f>
        <v>3</v>
      </c>
      <c r="F1238" t="str">
        <f>VLOOKUP($E1238,categories!$A$1:$B$8,MATCH(order_items!$F$1,categories!$A$1:$B$1,0),FALSE)</f>
        <v>Cruisers Bicycles</v>
      </c>
      <c r="G1238">
        <v>1</v>
      </c>
      <c r="H1238">
        <v>529.99</v>
      </c>
      <c r="I1238" s="5">
        <v>0.1</v>
      </c>
      <c r="J1238">
        <f t="shared" si="38"/>
        <v>476.99100000000004</v>
      </c>
      <c r="K1238" s="9">
        <f t="shared" si="39"/>
        <v>-0.50472431543242624</v>
      </c>
    </row>
    <row r="1239" spans="1:11" x14ac:dyDescent="0.3">
      <c r="A1239">
        <v>442</v>
      </c>
      <c r="B1239">
        <v>1</v>
      </c>
      <c r="C1239">
        <v>16</v>
      </c>
      <c r="D1239" t="str">
        <f>VLOOKUP($C1239,products!$A$1:$F$322,MATCH(order_items!$D$1,products!$A$1:$F$1,0),FALSE)</f>
        <v>Electra Townie Original 7D EQ - 2016</v>
      </c>
      <c r="E1239">
        <f>VLOOKUP($C1239,products!$A$1:$F$322,MATCH(order_items!$E$1,products!$A$1:$F$1,0),FALSE)</f>
        <v>3</v>
      </c>
      <c r="F1239" t="str">
        <f>VLOOKUP($E1239,categories!$A$1:$B$8,MATCH(order_items!$F$1,categories!$A$1:$B$1,0),FALSE)</f>
        <v>Cruisers Bicycles</v>
      </c>
      <c r="G1239">
        <v>2</v>
      </c>
      <c r="H1239">
        <v>599.99</v>
      </c>
      <c r="I1239" s="5">
        <v>7.0000000000000007E-2</v>
      </c>
      <c r="J1239">
        <f t="shared" si="38"/>
        <v>1115.9813999999999</v>
      </c>
      <c r="K1239" s="9">
        <f t="shared" si="39"/>
        <v>-0.45297423894164529</v>
      </c>
    </row>
    <row r="1240" spans="1:11" x14ac:dyDescent="0.3">
      <c r="A1240">
        <v>442</v>
      </c>
      <c r="B1240">
        <v>2</v>
      </c>
      <c r="C1240">
        <v>26</v>
      </c>
      <c r="D1240" t="str">
        <f>VLOOKUP($C1240,products!$A$1:$F$322,MATCH(order_items!$D$1,products!$A$1:$F$1,0),FALSE)</f>
        <v>Electra Townie Original 7D EQ - 2016</v>
      </c>
      <c r="E1240">
        <f>VLOOKUP($C1240,products!$A$1:$F$322,MATCH(order_items!$E$1,products!$A$1:$F$1,0),FALSE)</f>
        <v>2</v>
      </c>
      <c r="F1240" t="str">
        <f>VLOOKUP($E1240,categories!$A$1:$B$8,MATCH(order_items!$F$1,categories!$A$1:$B$1,0),FALSE)</f>
        <v>Comfort Bicycles</v>
      </c>
      <c r="G1240">
        <v>2</v>
      </c>
      <c r="H1240">
        <v>599.99</v>
      </c>
      <c r="I1240" s="5">
        <v>0.2</v>
      </c>
      <c r="J1240">
        <f t="shared" si="38"/>
        <v>959.98400000000004</v>
      </c>
      <c r="K1240" s="9">
        <f t="shared" si="39"/>
        <v>-0.45297423894164529</v>
      </c>
    </row>
    <row r="1241" spans="1:11" x14ac:dyDescent="0.3">
      <c r="A1241">
        <v>442</v>
      </c>
      <c r="B1241">
        <v>3</v>
      </c>
      <c r="C1241">
        <v>6</v>
      </c>
      <c r="D1241" t="str">
        <f>VLOOKUP($C1241,products!$A$1:$F$322,MATCH(order_items!$D$1,products!$A$1:$F$1,0),FALSE)</f>
        <v>Surly Ice Cream Truck Frameset - 2016</v>
      </c>
      <c r="E1241">
        <f>VLOOKUP($C1241,products!$A$1:$F$322,MATCH(order_items!$E$1,products!$A$1:$F$1,0),FALSE)</f>
        <v>6</v>
      </c>
      <c r="F1241" t="str">
        <f>VLOOKUP($E1241,categories!$A$1:$B$8,MATCH(order_items!$F$1,categories!$A$1:$B$1,0),FALSE)</f>
        <v>Mountain Bikes</v>
      </c>
      <c r="G1241">
        <v>2</v>
      </c>
      <c r="H1241">
        <v>469.99</v>
      </c>
      <c r="I1241" s="5">
        <v>0.2</v>
      </c>
      <c r="J1241">
        <f t="shared" si="38"/>
        <v>751.98400000000004</v>
      </c>
      <c r="K1241" s="9">
        <f t="shared" si="39"/>
        <v>-0.5490815238530955</v>
      </c>
    </row>
    <row r="1242" spans="1:11" x14ac:dyDescent="0.3">
      <c r="A1242">
        <v>443</v>
      </c>
      <c r="B1242">
        <v>1</v>
      </c>
      <c r="C1242">
        <v>5</v>
      </c>
      <c r="D1242" t="str">
        <f>VLOOKUP($C1242,products!$A$1:$F$322,MATCH(order_items!$D$1,products!$A$1:$F$1,0),FALSE)</f>
        <v>Heller Shagamaw Frame - 2016</v>
      </c>
      <c r="E1242">
        <f>VLOOKUP($C1242,products!$A$1:$F$322,MATCH(order_items!$E$1,products!$A$1:$F$1,0),FALSE)</f>
        <v>6</v>
      </c>
      <c r="F1242" t="str">
        <f>VLOOKUP($E1242,categories!$A$1:$B$8,MATCH(order_items!$F$1,categories!$A$1:$B$1,0),FALSE)</f>
        <v>Mountain Bikes</v>
      </c>
      <c r="G1242">
        <v>1</v>
      </c>
      <c r="H1242">
        <v>1320.99</v>
      </c>
      <c r="I1242" s="5">
        <v>0.05</v>
      </c>
      <c r="J1242">
        <f t="shared" si="38"/>
        <v>1254.9404999999999</v>
      </c>
      <c r="K1242" s="9">
        <f t="shared" si="39"/>
        <v>8.0051548913398024E-2</v>
      </c>
    </row>
    <row r="1243" spans="1:11" x14ac:dyDescent="0.3">
      <c r="A1243">
        <v>443</v>
      </c>
      <c r="B1243">
        <v>2</v>
      </c>
      <c r="C1243">
        <v>26</v>
      </c>
      <c r="D1243" t="str">
        <f>VLOOKUP($C1243,products!$A$1:$F$322,MATCH(order_items!$D$1,products!$A$1:$F$1,0),FALSE)</f>
        <v>Electra Townie Original 7D EQ - 2016</v>
      </c>
      <c r="E1243">
        <f>VLOOKUP($C1243,products!$A$1:$F$322,MATCH(order_items!$E$1,products!$A$1:$F$1,0),FALSE)</f>
        <v>2</v>
      </c>
      <c r="F1243" t="str">
        <f>VLOOKUP($E1243,categories!$A$1:$B$8,MATCH(order_items!$F$1,categories!$A$1:$B$1,0),FALSE)</f>
        <v>Comfort Bicycles</v>
      </c>
      <c r="G1243">
        <v>1</v>
      </c>
      <c r="H1243">
        <v>599.99</v>
      </c>
      <c r="I1243" s="5">
        <v>0.2</v>
      </c>
      <c r="J1243">
        <f t="shared" si="38"/>
        <v>479.99200000000002</v>
      </c>
      <c r="K1243" s="9">
        <f t="shared" si="39"/>
        <v>-0.45297423894164529</v>
      </c>
    </row>
    <row r="1244" spans="1:11" x14ac:dyDescent="0.3">
      <c r="A1244">
        <v>444</v>
      </c>
      <c r="B1244">
        <v>1</v>
      </c>
      <c r="C1244">
        <v>22</v>
      </c>
      <c r="D1244" t="str">
        <f>VLOOKUP($C1244,products!$A$1:$F$322,MATCH(order_items!$D$1,products!$A$1:$F$1,0),FALSE)</f>
        <v>Electra Girl's Hawaii 1 (16-inch) - 2015/2016</v>
      </c>
      <c r="E1244">
        <f>VLOOKUP($C1244,products!$A$1:$F$322,MATCH(order_items!$E$1,products!$A$1:$F$1,0),FALSE)</f>
        <v>1</v>
      </c>
      <c r="F1244" t="str">
        <f>VLOOKUP($E1244,categories!$A$1:$B$8,MATCH(order_items!$F$1,categories!$A$1:$B$1,0),FALSE)</f>
        <v>Children Bicycles</v>
      </c>
      <c r="G1244">
        <v>1</v>
      </c>
      <c r="H1244">
        <v>269.99</v>
      </c>
      <c r="I1244" s="5">
        <v>7.0000000000000007E-2</v>
      </c>
      <c r="J1244">
        <f t="shared" si="38"/>
        <v>251.0907</v>
      </c>
      <c r="K1244" s="9">
        <f t="shared" si="39"/>
        <v>-0.69693888525532666</v>
      </c>
    </row>
    <row r="1245" spans="1:11" x14ac:dyDescent="0.3">
      <c r="A1245">
        <v>444</v>
      </c>
      <c r="B1245">
        <v>2</v>
      </c>
      <c r="C1245">
        <v>15</v>
      </c>
      <c r="D1245" t="str">
        <f>VLOOKUP($C1245,products!$A$1:$F$322,MATCH(order_items!$D$1,products!$A$1:$F$1,0),FALSE)</f>
        <v>Electra Moto 1 - 2016</v>
      </c>
      <c r="E1245">
        <f>VLOOKUP($C1245,products!$A$1:$F$322,MATCH(order_items!$E$1,products!$A$1:$F$1,0),FALSE)</f>
        <v>3</v>
      </c>
      <c r="F1245" t="str">
        <f>VLOOKUP($E1245,categories!$A$1:$B$8,MATCH(order_items!$F$1,categories!$A$1:$B$1,0),FALSE)</f>
        <v>Cruisers Bicycles</v>
      </c>
      <c r="G1245">
        <v>2</v>
      </c>
      <c r="H1245">
        <v>529.99</v>
      </c>
      <c r="I1245" s="5">
        <v>7.0000000000000007E-2</v>
      </c>
      <c r="J1245">
        <f t="shared" si="38"/>
        <v>985.78139999999996</v>
      </c>
      <c r="K1245" s="9">
        <f t="shared" si="39"/>
        <v>-0.50472431543242624</v>
      </c>
    </row>
    <row r="1246" spans="1:11" x14ac:dyDescent="0.3">
      <c r="A1246">
        <v>444</v>
      </c>
      <c r="B1246">
        <v>3</v>
      </c>
      <c r="C1246">
        <v>20</v>
      </c>
      <c r="D1246" t="str">
        <f>VLOOKUP($C1246,products!$A$1:$F$322,MATCH(order_items!$D$1,products!$A$1:$F$1,0),FALSE)</f>
        <v>Electra Townie Original 7D EQ - Women's - 2016</v>
      </c>
      <c r="E1246">
        <f>VLOOKUP($C1246,products!$A$1:$F$322,MATCH(order_items!$E$1,products!$A$1:$F$1,0),FALSE)</f>
        <v>3</v>
      </c>
      <c r="F1246" t="str">
        <f>VLOOKUP($E1246,categories!$A$1:$B$8,MATCH(order_items!$F$1,categories!$A$1:$B$1,0),FALSE)</f>
        <v>Cruisers Bicycles</v>
      </c>
      <c r="G1246">
        <v>2</v>
      </c>
      <c r="H1246">
        <v>599.99</v>
      </c>
      <c r="I1246" s="5">
        <v>0.05</v>
      </c>
      <c r="J1246">
        <f t="shared" si="38"/>
        <v>1139.981</v>
      </c>
      <c r="K1246" s="9">
        <f t="shared" si="39"/>
        <v>-0.45297423894164529</v>
      </c>
    </row>
    <row r="1247" spans="1:11" x14ac:dyDescent="0.3">
      <c r="A1247">
        <v>444</v>
      </c>
      <c r="B1247">
        <v>4</v>
      </c>
      <c r="C1247">
        <v>16</v>
      </c>
      <c r="D1247" t="str">
        <f>VLOOKUP($C1247,products!$A$1:$F$322,MATCH(order_items!$D$1,products!$A$1:$F$1,0),FALSE)</f>
        <v>Electra Townie Original 7D EQ - 2016</v>
      </c>
      <c r="E1247">
        <f>VLOOKUP($C1247,products!$A$1:$F$322,MATCH(order_items!$E$1,products!$A$1:$F$1,0),FALSE)</f>
        <v>3</v>
      </c>
      <c r="F1247" t="str">
        <f>VLOOKUP($E1247,categories!$A$1:$B$8,MATCH(order_items!$F$1,categories!$A$1:$B$1,0),FALSE)</f>
        <v>Cruisers Bicycles</v>
      </c>
      <c r="G1247">
        <v>1</v>
      </c>
      <c r="H1247">
        <v>599.99</v>
      </c>
      <c r="I1247" s="5">
        <v>0.1</v>
      </c>
      <c r="J1247">
        <f t="shared" si="38"/>
        <v>539.99099999999999</v>
      </c>
      <c r="K1247" s="9">
        <f t="shared" si="39"/>
        <v>-0.45297423894164529</v>
      </c>
    </row>
    <row r="1248" spans="1:11" x14ac:dyDescent="0.3">
      <c r="A1248">
        <v>444</v>
      </c>
      <c r="B1248">
        <v>5</v>
      </c>
      <c r="C1248">
        <v>10</v>
      </c>
      <c r="D1248" t="str">
        <f>VLOOKUP($C1248,products!$A$1:$F$322,MATCH(order_items!$D$1,products!$A$1:$F$1,0),FALSE)</f>
        <v>Surly Straggler - 2016</v>
      </c>
      <c r="E1248">
        <f>VLOOKUP($C1248,products!$A$1:$F$322,MATCH(order_items!$E$1,products!$A$1:$F$1,0),FALSE)</f>
        <v>4</v>
      </c>
      <c r="F1248" t="str">
        <f>VLOOKUP($E1248,categories!$A$1:$B$8,MATCH(order_items!$F$1,categories!$A$1:$B$1,0),FALSE)</f>
        <v>Cyclocross Bicycles</v>
      </c>
      <c r="G1248">
        <v>2</v>
      </c>
      <c r="H1248">
        <v>1549</v>
      </c>
      <c r="I1248" s="5">
        <v>0.2</v>
      </c>
      <c r="J1248">
        <f t="shared" si="38"/>
        <v>2478.4</v>
      </c>
      <c r="K1248" s="9">
        <f t="shared" si="39"/>
        <v>0.24861633378001166</v>
      </c>
    </row>
    <row r="1249" spans="1:11" x14ac:dyDescent="0.3">
      <c r="A1249">
        <v>445</v>
      </c>
      <c r="B1249">
        <v>1</v>
      </c>
      <c r="C1249">
        <v>7</v>
      </c>
      <c r="D1249" t="str">
        <f>VLOOKUP($C1249,products!$A$1:$F$322,MATCH(order_items!$D$1,products!$A$1:$F$1,0),FALSE)</f>
        <v>Trek Slash 8 27.5 - 2016</v>
      </c>
      <c r="E1249">
        <f>VLOOKUP($C1249,products!$A$1:$F$322,MATCH(order_items!$E$1,products!$A$1:$F$1,0),FALSE)</f>
        <v>6</v>
      </c>
      <c r="F1249" t="str">
        <f>VLOOKUP($E1249,categories!$A$1:$B$8,MATCH(order_items!$F$1,categories!$A$1:$B$1,0),FALSE)</f>
        <v>Mountain Bikes</v>
      </c>
      <c r="G1249">
        <v>1</v>
      </c>
      <c r="H1249">
        <v>3999.99</v>
      </c>
      <c r="I1249" s="5">
        <v>0.2</v>
      </c>
      <c r="J1249">
        <f t="shared" si="38"/>
        <v>3199.9920000000002</v>
      </c>
      <c r="K1249" s="9">
        <f t="shared" si="39"/>
        <v>2.0606009048962846</v>
      </c>
    </row>
    <row r="1250" spans="1:11" x14ac:dyDescent="0.3">
      <c r="A1250">
        <v>445</v>
      </c>
      <c r="B1250">
        <v>2</v>
      </c>
      <c r="C1250">
        <v>16</v>
      </c>
      <c r="D1250" t="str">
        <f>VLOOKUP($C1250,products!$A$1:$F$322,MATCH(order_items!$D$1,products!$A$1:$F$1,0),FALSE)</f>
        <v>Electra Townie Original 7D EQ - 2016</v>
      </c>
      <c r="E1250">
        <f>VLOOKUP($C1250,products!$A$1:$F$322,MATCH(order_items!$E$1,products!$A$1:$F$1,0),FALSE)</f>
        <v>3</v>
      </c>
      <c r="F1250" t="str">
        <f>VLOOKUP($E1250,categories!$A$1:$B$8,MATCH(order_items!$F$1,categories!$A$1:$B$1,0),FALSE)</f>
        <v>Cruisers Bicycles</v>
      </c>
      <c r="G1250">
        <v>1</v>
      </c>
      <c r="H1250">
        <v>599.99</v>
      </c>
      <c r="I1250" s="5">
        <v>7.0000000000000007E-2</v>
      </c>
      <c r="J1250">
        <f t="shared" si="38"/>
        <v>557.99069999999995</v>
      </c>
      <c r="K1250" s="9">
        <f t="shared" si="39"/>
        <v>-0.45297423894164529</v>
      </c>
    </row>
    <row r="1251" spans="1:11" x14ac:dyDescent="0.3">
      <c r="A1251">
        <v>445</v>
      </c>
      <c r="B1251">
        <v>3</v>
      </c>
      <c r="C1251">
        <v>23</v>
      </c>
      <c r="D1251" t="str">
        <f>VLOOKUP($C1251,products!$A$1:$F$322,MATCH(order_items!$D$1,products!$A$1:$F$1,0),FALSE)</f>
        <v>Electra Girl's Hawaii 1 (20-inch) - 2015/2016</v>
      </c>
      <c r="E1251">
        <f>VLOOKUP($C1251,products!$A$1:$F$322,MATCH(order_items!$E$1,products!$A$1:$F$1,0),FALSE)</f>
        <v>1</v>
      </c>
      <c r="F1251" t="str">
        <f>VLOOKUP($E1251,categories!$A$1:$B$8,MATCH(order_items!$F$1,categories!$A$1:$B$1,0),FALSE)</f>
        <v>Children Bicycles</v>
      </c>
      <c r="G1251">
        <v>1</v>
      </c>
      <c r="H1251">
        <v>299.99</v>
      </c>
      <c r="I1251" s="5">
        <v>0.2</v>
      </c>
      <c r="J1251">
        <f t="shared" si="38"/>
        <v>239.99200000000002</v>
      </c>
      <c r="K1251" s="9">
        <f t="shared" si="39"/>
        <v>-0.67476028104499197</v>
      </c>
    </row>
    <row r="1252" spans="1:11" x14ac:dyDescent="0.3">
      <c r="A1252">
        <v>446</v>
      </c>
      <c r="B1252">
        <v>1</v>
      </c>
      <c r="C1252">
        <v>22</v>
      </c>
      <c r="D1252" t="str">
        <f>VLOOKUP($C1252,products!$A$1:$F$322,MATCH(order_items!$D$1,products!$A$1:$F$1,0),FALSE)</f>
        <v>Electra Girl's Hawaii 1 (16-inch) - 2015/2016</v>
      </c>
      <c r="E1252">
        <f>VLOOKUP($C1252,products!$A$1:$F$322,MATCH(order_items!$E$1,products!$A$1:$F$1,0),FALSE)</f>
        <v>1</v>
      </c>
      <c r="F1252" t="str">
        <f>VLOOKUP($E1252,categories!$A$1:$B$8,MATCH(order_items!$F$1,categories!$A$1:$B$1,0),FALSE)</f>
        <v>Children Bicycles</v>
      </c>
      <c r="G1252">
        <v>1</v>
      </c>
      <c r="H1252">
        <v>269.99</v>
      </c>
      <c r="I1252" s="5">
        <v>0.2</v>
      </c>
      <c r="J1252">
        <f t="shared" si="38"/>
        <v>215.99200000000002</v>
      </c>
      <c r="K1252" s="9">
        <f t="shared" si="39"/>
        <v>-0.69693888525532666</v>
      </c>
    </row>
    <row r="1253" spans="1:11" x14ac:dyDescent="0.3">
      <c r="A1253">
        <v>446</v>
      </c>
      <c r="B1253">
        <v>2</v>
      </c>
      <c r="C1253">
        <v>16</v>
      </c>
      <c r="D1253" t="str">
        <f>VLOOKUP($C1253,products!$A$1:$F$322,MATCH(order_items!$D$1,products!$A$1:$F$1,0),FALSE)</f>
        <v>Electra Townie Original 7D EQ - 2016</v>
      </c>
      <c r="E1253">
        <f>VLOOKUP($C1253,products!$A$1:$F$322,MATCH(order_items!$E$1,products!$A$1:$F$1,0),FALSE)</f>
        <v>3</v>
      </c>
      <c r="F1253" t="str">
        <f>VLOOKUP($E1253,categories!$A$1:$B$8,MATCH(order_items!$F$1,categories!$A$1:$B$1,0),FALSE)</f>
        <v>Cruisers Bicycles</v>
      </c>
      <c r="G1253">
        <v>2</v>
      </c>
      <c r="H1253">
        <v>599.99</v>
      </c>
      <c r="I1253" s="5">
        <v>7.0000000000000007E-2</v>
      </c>
      <c r="J1253">
        <f t="shared" si="38"/>
        <v>1115.9813999999999</v>
      </c>
      <c r="K1253" s="9">
        <f t="shared" si="39"/>
        <v>-0.45297423894164529</v>
      </c>
    </row>
    <row r="1254" spans="1:11" x14ac:dyDescent="0.3">
      <c r="A1254">
        <v>447</v>
      </c>
      <c r="B1254">
        <v>1</v>
      </c>
      <c r="C1254">
        <v>4</v>
      </c>
      <c r="D1254" t="str">
        <f>VLOOKUP($C1254,products!$A$1:$F$322,MATCH(order_items!$D$1,products!$A$1:$F$1,0),FALSE)</f>
        <v>Trek Fuel EX 8 29 - 2016</v>
      </c>
      <c r="E1254">
        <f>VLOOKUP($C1254,products!$A$1:$F$322,MATCH(order_items!$E$1,products!$A$1:$F$1,0),FALSE)</f>
        <v>6</v>
      </c>
      <c r="F1254" t="str">
        <f>VLOOKUP($E1254,categories!$A$1:$B$8,MATCH(order_items!$F$1,categories!$A$1:$B$1,0),FALSE)</f>
        <v>Mountain Bikes</v>
      </c>
      <c r="G1254">
        <v>2</v>
      </c>
      <c r="H1254">
        <v>2899.99</v>
      </c>
      <c r="I1254" s="5">
        <v>0.05</v>
      </c>
      <c r="J1254">
        <f t="shared" si="38"/>
        <v>5509.9809999999998</v>
      </c>
      <c r="K1254" s="9">
        <f t="shared" si="39"/>
        <v>1.2473854171840129</v>
      </c>
    </row>
    <row r="1255" spans="1:11" x14ac:dyDescent="0.3">
      <c r="A1255">
        <v>447</v>
      </c>
      <c r="B1255">
        <v>2</v>
      </c>
      <c r="C1255">
        <v>3</v>
      </c>
      <c r="D1255" t="str">
        <f>VLOOKUP($C1255,products!$A$1:$F$322,MATCH(order_items!$D$1,products!$A$1:$F$1,0),FALSE)</f>
        <v>Surly Wednesday Frameset - 2016</v>
      </c>
      <c r="E1255">
        <f>VLOOKUP($C1255,products!$A$1:$F$322,MATCH(order_items!$E$1,products!$A$1:$F$1,0),FALSE)</f>
        <v>6</v>
      </c>
      <c r="F1255" t="str">
        <f>VLOOKUP($E1255,categories!$A$1:$B$8,MATCH(order_items!$F$1,categories!$A$1:$B$1,0),FALSE)</f>
        <v>Mountain Bikes</v>
      </c>
      <c r="G1255">
        <v>1</v>
      </c>
      <c r="H1255">
        <v>999.99</v>
      </c>
      <c r="I1255" s="5">
        <v>0.1</v>
      </c>
      <c r="J1255">
        <f t="shared" si="38"/>
        <v>899.99099999999999</v>
      </c>
      <c r="K1255" s="9">
        <f t="shared" si="39"/>
        <v>-0.15725951613718298</v>
      </c>
    </row>
    <row r="1256" spans="1:11" x14ac:dyDescent="0.3">
      <c r="A1256">
        <v>447</v>
      </c>
      <c r="B1256">
        <v>3</v>
      </c>
      <c r="C1256">
        <v>8</v>
      </c>
      <c r="D1256" t="str">
        <f>VLOOKUP($C1256,products!$A$1:$F$322,MATCH(order_items!$D$1,products!$A$1:$F$1,0),FALSE)</f>
        <v>Trek Remedy 29 Carbon Frameset - 2016</v>
      </c>
      <c r="E1256">
        <f>VLOOKUP($C1256,products!$A$1:$F$322,MATCH(order_items!$E$1,products!$A$1:$F$1,0),FALSE)</f>
        <v>6</v>
      </c>
      <c r="F1256" t="str">
        <f>VLOOKUP($E1256,categories!$A$1:$B$8,MATCH(order_items!$F$1,categories!$A$1:$B$1,0),FALSE)</f>
        <v>Mountain Bikes</v>
      </c>
      <c r="G1256">
        <v>1</v>
      </c>
      <c r="H1256">
        <v>1799.99</v>
      </c>
      <c r="I1256" s="5">
        <v>7.0000000000000007E-2</v>
      </c>
      <c r="J1256">
        <f t="shared" si="38"/>
        <v>1673.9906999999998</v>
      </c>
      <c r="K1256" s="9">
        <f t="shared" si="39"/>
        <v>0.43416992947174166</v>
      </c>
    </row>
    <row r="1257" spans="1:11" x14ac:dyDescent="0.3">
      <c r="A1257">
        <v>448</v>
      </c>
      <c r="B1257">
        <v>1</v>
      </c>
      <c r="C1257">
        <v>13</v>
      </c>
      <c r="D1257" t="str">
        <f>VLOOKUP($C1257,products!$A$1:$F$322,MATCH(order_items!$D$1,products!$A$1:$F$1,0),FALSE)</f>
        <v>Electra Cruiser 1 (24-Inch) - 2016</v>
      </c>
      <c r="E1257">
        <f>VLOOKUP($C1257,products!$A$1:$F$322,MATCH(order_items!$E$1,products!$A$1:$F$1,0),FALSE)</f>
        <v>3</v>
      </c>
      <c r="F1257" t="str">
        <f>VLOOKUP($E1257,categories!$A$1:$B$8,MATCH(order_items!$F$1,categories!$A$1:$B$1,0),FALSE)</f>
        <v>Cruisers Bicycles</v>
      </c>
      <c r="G1257">
        <v>2</v>
      </c>
      <c r="H1257">
        <v>269.99</v>
      </c>
      <c r="I1257" s="5">
        <v>0.05</v>
      </c>
      <c r="J1257">
        <f t="shared" si="38"/>
        <v>512.98099999999999</v>
      </c>
      <c r="K1257" s="9">
        <f t="shared" si="39"/>
        <v>-0.69693888525532666</v>
      </c>
    </row>
    <row r="1258" spans="1:11" x14ac:dyDescent="0.3">
      <c r="A1258">
        <v>448</v>
      </c>
      <c r="B1258">
        <v>2</v>
      </c>
      <c r="C1258">
        <v>6</v>
      </c>
      <c r="D1258" t="str">
        <f>VLOOKUP($C1258,products!$A$1:$F$322,MATCH(order_items!$D$1,products!$A$1:$F$1,0),FALSE)</f>
        <v>Surly Ice Cream Truck Frameset - 2016</v>
      </c>
      <c r="E1258">
        <f>VLOOKUP($C1258,products!$A$1:$F$322,MATCH(order_items!$E$1,products!$A$1:$F$1,0),FALSE)</f>
        <v>6</v>
      </c>
      <c r="F1258" t="str">
        <f>VLOOKUP($E1258,categories!$A$1:$B$8,MATCH(order_items!$F$1,categories!$A$1:$B$1,0),FALSE)</f>
        <v>Mountain Bikes</v>
      </c>
      <c r="G1258">
        <v>2</v>
      </c>
      <c r="H1258">
        <v>469.99</v>
      </c>
      <c r="I1258" s="5">
        <v>0.05</v>
      </c>
      <c r="J1258">
        <f t="shared" si="38"/>
        <v>892.98099999999999</v>
      </c>
      <c r="K1258" s="9">
        <f t="shared" si="39"/>
        <v>-0.5490815238530955</v>
      </c>
    </row>
    <row r="1259" spans="1:11" x14ac:dyDescent="0.3">
      <c r="A1259">
        <v>449</v>
      </c>
      <c r="B1259">
        <v>1</v>
      </c>
      <c r="C1259">
        <v>17</v>
      </c>
      <c r="D1259" t="str">
        <f>VLOOKUP($C1259,products!$A$1:$F$322,MATCH(order_items!$D$1,products!$A$1:$F$1,0),FALSE)</f>
        <v>Pure Cycles Vine 8-Speed - 2016</v>
      </c>
      <c r="E1259">
        <f>VLOOKUP($C1259,products!$A$1:$F$322,MATCH(order_items!$E$1,products!$A$1:$F$1,0),FALSE)</f>
        <v>3</v>
      </c>
      <c r="F1259" t="str">
        <f>VLOOKUP($E1259,categories!$A$1:$B$8,MATCH(order_items!$F$1,categories!$A$1:$B$1,0),FALSE)</f>
        <v>Cruisers Bicycles</v>
      </c>
      <c r="G1259">
        <v>2</v>
      </c>
      <c r="H1259">
        <v>429</v>
      </c>
      <c r="I1259" s="5">
        <v>0.05</v>
      </c>
      <c r="J1259">
        <f t="shared" si="38"/>
        <v>815.09999999999991</v>
      </c>
      <c r="K1259" s="9">
        <f t="shared" si="39"/>
        <v>-0.57938489007248284</v>
      </c>
    </row>
    <row r="1260" spans="1:11" x14ac:dyDescent="0.3">
      <c r="A1260">
        <v>449</v>
      </c>
      <c r="B1260">
        <v>2</v>
      </c>
      <c r="C1260">
        <v>2</v>
      </c>
      <c r="D1260" t="str">
        <f>VLOOKUP($C1260,products!$A$1:$F$322,MATCH(order_items!$D$1,products!$A$1:$F$1,0),FALSE)</f>
        <v>Ritchey Timberwolf Frameset - 2016</v>
      </c>
      <c r="E1260">
        <f>VLOOKUP($C1260,products!$A$1:$F$322,MATCH(order_items!$E$1,products!$A$1:$F$1,0),FALSE)</f>
        <v>6</v>
      </c>
      <c r="F1260" t="str">
        <f>VLOOKUP($E1260,categories!$A$1:$B$8,MATCH(order_items!$F$1,categories!$A$1:$B$1,0),FALSE)</f>
        <v>Mountain Bikes</v>
      </c>
      <c r="G1260">
        <v>1</v>
      </c>
      <c r="H1260">
        <v>749.99</v>
      </c>
      <c r="I1260" s="5">
        <v>0.05</v>
      </c>
      <c r="J1260">
        <f t="shared" si="38"/>
        <v>712.4905</v>
      </c>
      <c r="K1260" s="9">
        <f t="shared" si="39"/>
        <v>-0.34208121788997192</v>
      </c>
    </row>
    <row r="1261" spans="1:11" x14ac:dyDescent="0.3">
      <c r="A1261">
        <v>449</v>
      </c>
      <c r="B1261">
        <v>3</v>
      </c>
      <c r="C1261">
        <v>7</v>
      </c>
      <c r="D1261" t="str">
        <f>VLOOKUP($C1261,products!$A$1:$F$322,MATCH(order_items!$D$1,products!$A$1:$F$1,0),FALSE)</f>
        <v>Trek Slash 8 27.5 - 2016</v>
      </c>
      <c r="E1261">
        <f>VLOOKUP($C1261,products!$A$1:$F$322,MATCH(order_items!$E$1,products!$A$1:$F$1,0),FALSE)</f>
        <v>6</v>
      </c>
      <c r="F1261" t="str">
        <f>VLOOKUP($E1261,categories!$A$1:$B$8,MATCH(order_items!$F$1,categories!$A$1:$B$1,0),FALSE)</f>
        <v>Mountain Bikes</v>
      </c>
      <c r="G1261">
        <v>2</v>
      </c>
      <c r="H1261">
        <v>3999.99</v>
      </c>
      <c r="I1261" s="5">
        <v>7.0000000000000007E-2</v>
      </c>
      <c r="J1261">
        <f t="shared" si="38"/>
        <v>7439.9813999999988</v>
      </c>
      <c r="K1261" s="9">
        <f t="shared" si="39"/>
        <v>2.0606009048962846</v>
      </c>
    </row>
    <row r="1262" spans="1:11" x14ac:dyDescent="0.3">
      <c r="A1262">
        <v>449</v>
      </c>
      <c r="B1262">
        <v>4</v>
      </c>
      <c r="C1262">
        <v>26</v>
      </c>
      <c r="D1262" t="str">
        <f>VLOOKUP($C1262,products!$A$1:$F$322,MATCH(order_items!$D$1,products!$A$1:$F$1,0),FALSE)</f>
        <v>Electra Townie Original 7D EQ - 2016</v>
      </c>
      <c r="E1262">
        <f>VLOOKUP($C1262,products!$A$1:$F$322,MATCH(order_items!$E$1,products!$A$1:$F$1,0),FALSE)</f>
        <v>2</v>
      </c>
      <c r="F1262" t="str">
        <f>VLOOKUP($E1262,categories!$A$1:$B$8,MATCH(order_items!$F$1,categories!$A$1:$B$1,0),FALSE)</f>
        <v>Comfort Bicycles</v>
      </c>
      <c r="G1262">
        <v>2</v>
      </c>
      <c r="H1262">
        <v>599.99</v>
      </c>
      <c r="I1262" s="5">
        <v>0.2</v>
      </c>
      <c r="J1262">
        <f t="shared" si="38"/>
        <v>959.98400000000004</v>
      </c>
      <c r="K1262" s="9">
        <f t="shared" si="39"/>
        <v>-0.45297423894164529</v>
      </c>
    </row>
    <row r="1263" spans="1:11" x14ac:dyDescent="0.3">
      <c r="A1263">
        <v>450</v>
      </c>
      <c r="B1263">
        <v>1</v>
      </c>
      <c r="C1263">
        <v>24</v>
      </c>
      <c r="D1263" t="str">
        <f>VLOOKUP($C1263,products!$A$1:$F$322,MATCH(order_items!$D$1,products!$A$1:$F$1,0),FALSE)</f>
        <v>Electra Townie Original 21D - 2016</v>
      </c>
      <c r="E1263">
        <f>VLOOKUP($C1263,products!$A$1:$F$322,MATCH(order_items!$E$1,products!$A$1:$F$1,0),FALSE)</f>
        <v>2</v>
      </c>
      <c r="F1263" t="str">
        <f>VLOOKUP($E1263,categories!$A$1:$B$8,MATCH(order_items!$F$1,categories!$A$1:$B$1,0),FALSE)</f>
        <v>Comfort Bicycles</v>
      </c>
      <c r="G1263">
        <v>1</v>
      </c>
      <c r="H1263">
        <v>549.99</v>
      </c>
      <c r="I1263" s="5">
        <v>0.05</v>
      </c>
      <c r="J1263">
        <f t="shared" si="38"/>
        <v>522.4905</v>
      </c>
      <c r="K1263" s="9">
        <f t="shared" si="39"/>
        <v>-0.48993857929220308</v>
      </c>
    </row>
    <row r="1264" spans="1:11" x14ac:dyDescent="0.3">
      <c r="A1264">
        <v>450</v>
      </c>
      <c r="B1264">
        <v>2</v>
      </c>
      <c r="C1264">
        <v>12</v>
      </c>
      <c r="D1264" t="str">
        <f>VLOOKUP($C1264,products!$A$1:$F$322,MATCH(order_items!$D$1,products!$A$1:$F$1,0),FALSE)</f>
        <v>Electra Townie Original 21D - 2016</v>
      </c>
      <c r="E1264">
        <f>VLOOKUP($C1264,products!$A$1:$F$322,MATCH(order_items!$E$1,products!$A$1:$F$1,0),FALSE)</f>
        <v>3</v>
      </c>
      <c r="F1264" t="str">
        <f>VLOOKUP($E1264,categories!$A$1:$B$8,MATCH(order_items!$F$1,categories!$A$1:$B$1,0),FALSE)</f>
        <v>Cruisers Bicycles</v>
      </c>
      <c r="G1264">
        <v>1</v>
      </c>
      <c r="H1264">
        <v>549.99</v>
      </c>
      <c r="I1264" s="5">
        <v>7.0000000000000007E-2</v>
      </c>
      <c r="J1264">
        <f t="shared" si="38"/>
        <v>511.49069999999995</v>
      </c>
      <c r="K1264" s="9">
        <f t="shared" si="39"/>
        <v>-0.48993857929220308</v>
      </c>
    </row>
    <row r="1265" spans="1:11" x14ac:dyDescent="0.3">
      <c r="A1265">
        <v>450</v>
      </c>
      <c r="B1265">
        <v>3</v>
      </c>
      <c r="C1265">
        <v>5</v>
      </c>
      <c r="D1265" t="str">
        <f>VLOOKUP($C1265,products!$A$1:$F$322,MATCH(order_items!$D$1,products!$A$1:$F$1,0),FALSE)</f>
        <v>Heller Shagamaw Frame - 2016</v>
      </c>
      <c r="E1265">
        <f>VLOOKUP($C1265,products!$A$1:$F$322,MATCH(order_items!$E$1,products!$A$1:$F$1,0),FALSE)</f>
        <v>6</v>
      </c>
      <c r="F1265" t="str">
        <f>VLOOKUP($E1265,categories!$A$1:$B$8,MATCH(order_items!$F$1,categories!$A$1:$B$1,0),FALSE)</f>
        <v>Mountain Bikes</v>
      </c>
      <c r="G1265">
        <v>1</v>
      </c>
      <c r="H1265">
        <v>1320.99</v>
      </c>
      <c r="I1265" s="5">
        <v>0.1</v>
      </c>
      <c r="J1265">
        <f t="shared" si="38"/>
        <v>1188.8910000000001</v>
      </c>
      <c r="K1265" s="9">
        <f t="shared" si="39"/>
        <v>8.0051548913398024E-2</v>
      </c>
    </row>
    <row r="1266" spans="1:11" x14ac:dyDescent="0.3">
      <c r="A1266">
        <v>451</v>
      </c>
      <c r="B1266">
        <v>1</v>
      </c>
      <c r="C1266">
        <v>14</v>
      </c>
      <c r="D1266" t="str">
        <f>VLOOKUP($C1266,products!$A$1:$F$322,MATCH(order_items!$D$1,products!$A$1:$F$1,0),FALSE)</f>
        <v>Electra Girl's Hawaii 1 (16-inch) - 2015/2016</v>
      </c>
      <c r="E1266">
        <f>VLOOKUP($C1266,products!$A$1:$F$322,MATCH(order_items!$E$1,products!$A$1:$F$1,0),FALSE)</f>
        <v>3</v>
      </c>
      <c r="F1266" t="str">
        <f>VLOOKUP($E1266,categories!$A$1:$B$8,MATCH(order_items!$F$1,categories!$A$1:$B$1,0),FALSE)</f>
        <v>Cruisers Bicycles</v>
      </c>
      <c r="G1266">
        <v>2</v>
      </c>
      <c r="H1266">
        <v>269.99</v>
      </c>
      <c r="I1266" s="5">
        <v>0.05</v>
      </c>
      <c r="J1266">
        <f t="shared" si="38"/>
        <v>512.98099999999999</v>
      </c>
      <c r="K1266" s="9">
        <f t="shared" si="39"/>
        <v>-0.69693888525532666</v>
      </c>
    </row>
    <row r="1267" spans="1:11" x14ac:dyDescent="0.3">
      <c r="A1267">
        <v>452</v>
      </c>
      <c r="B1267">
        <v>1</v>
      </c>
      <c r="C1267">
        <v>11</v>
      </c>
      <c r="D1267" t="str">
        <f>VLOOKUP($C1267,products!$A$1:$F$322,MATCH(order_items!$D$1,products!$A$1:$F$1,0),FALSE)</f>
        <v>Surly Straggler 650b - 2016</v>
      </c>
      <c r="E1267">
        <f>VLOOKUP($C1267,products!$A$1:$F$322,MATCH(order_items!$E$1,products!$A$1:$F$1,0),FALSE)</f>
        <v>4</v>
      </c>
      <c r="F1267" t="str">
        <f>VLOOKUP($E1267,categories!$A$1:$B$8,MATCH(order_items!$F$1,categories!$A$1:$B$1,0),FALSE)</f>
        <v>Cyclocross Bicycles</v>
      </c>
      <c r="G1267">
        <v>1</v>
      </c>
      <c r="H1267">
        <v>1680.99</v>
      </c>
      <c r="I1267" s="5">
        <v>0.05</v>
      </c>
      <c r="J1267">
        <f t="shared" si="38"/>
        <v>1596.9404999999999</v>
      </c>
      <c r="K1267" s="9">
        <f t="shared" si="39"/>
        <v>0.3461947994374141</v>
      </c>
    </row>
    <row r="1268" spans="1:11" x14ac:dyDescent="0.3">
      <c r="A1268">
        <v>452</v>
      </c>
      <c r="B1268">
        <v>2</v>
      </c>
      <c r="C1268">
        <v>16</v>
      </c>
      <c r="D1268" t="str">
        <f>VLOOKUP($C1268,products!$A$1:$F$322,MATCH(order_items!$D$1,products!$A$1:$F$1,0),FALSE)</f>
        <v>Electra Townie Original 7D EQ - 2016</v>
      </c>
      <c r="E1268">
        <f>VLOOKUP($C1268,products!$A$1:$F$322,MATCH(order_items!$E$1,products!$A$1:$F$1,0),FALSE)</f>
        <v>3</v>
      </c>
      <c r="F1268" t="str">
        <f>VLOOKUP($E1268,categories!$A$1:$B$8,MATCH(order_items!$F$1,categories!$A$1:$B$1,0),FALSE)</f>
        <v>Cruisers Bicycles</v>
      </c>
      <c r="G1268">
        <v>1</v>
      </c>
      <c r="H1268">
        <v>599.99</v>
      </c>
      <c r="I1268" s="5">
        <v>0.05</v>
      </c>
      <c r="J1268">
        <f t="shared" si="38"/>
        <v>569.9905</v>
      </c>
      <c r="K1268" s="9">
        <f t="shared" si="39"/>
        <v>-0.45297423894164529</v>
      </c>
    </row>
    <row r="1269" spans="1:11" x14ac:dyDescent="0.3">
      <c r="A1269">
        <v>452</v>
      </c>
      <c r="B1269">
        <v>3</v>
      </c>
      <c r="C1269">
        <v>7</v>
      </c>
      <c r="D1269" t="str">
        <f>VLOOKUP($C1269,products!$A$1:$F$322,MATCH(order_items!$D$1,products!$A$1:$F$1,0),FALSE)</f>
        <v>Trek Slash 8 27.5 - 2016</v>
      </c>
      <c r="E1269">
        <f>VLOOKUP($C1269,products!$A$1:$F$322,MATCH(order_items!$E$1,products!$A$1:$F$1,0),FALSE)</f>
        <v>6</v>
      </c>
      <c r="F1269" t="str">
        <f>VLOOKUP($E1269,categories!$A$1:$B$8,MATCH(order_items!$F$1,categories!$A$1:$B$1,0),FALSE)</f>
        <v>Mountain Bikes</v>
      </c>
      <c r="G1269">
        <v>2</v>
      </c>
      <c r="H1269">
        <v>3999.99</v>
      </c>
      <c r="I1269" s="5">
        <v>0.1</v>
      </c>
      <c r="J1269">
        <f t="shared" si="38"/>
        <v>7199.982</v>
      </c>
      <c r="K1269" s="9">
        <f t="shared" si="39"/>
        <v>2.0606009048962846</v>
      </c>
    </row>
    <row r="1270" spans="1:11" x14ac:dyDescent="0.3">
      <c r="A1270">
        <v>452</v>
      </c>
      <c r="B1270">
        <v>4</v>
      </c>
      <c r="C1270">
        <v>8</v>
      </c>
      <c r="D1270" t="str">
        <f>VLOOKUP($C1270,products!$A$1:$F$322,MATCH(order_items!$D$1,products!$A$1:$F$1,0),FALSE)</f>
        <v>Trek Remedy 29 Carbon Frameset - 2016</v>
      </c>
      <c r="E1270">
        <f>VLOOKUP($C1270,products!$A$1:$F$322,MATCH(order_items!$E$1,products!$A$1:$F$1,0),FALSE)</f>
        <v>6</v>
      </c>
      <c r="F1270" t="str">
        <f>VLOOKUP($E1270,categories!$A$1:$B$8,MATCH(order_items!$F$1,categories!$A$1:$B$1,0),FALSE)</f>
        <v>Mountain Bikes</v>
      </c>
      <c r="G1270">
        <v>1</v>
      </c>
      <c r="H1270">
        <v>1799.99</v>
      </c>
      <c r="I1270" s="5">
        <v>0.1</v>
      </c>
      <c r="J1270">
        <f t="shared" si="38"/>
        <v>1619.991</v>
      </c>
      <c r="K1270" s="9">
        <f t="shared" si="39"/>
        <v>0.43416992947174166</v>
      </c>
    </row>
    <row r="1271" spans="1:11" x14ac:dyDescent="0.3">
      <c r="A1271">
        <v>453</v>
      </c>
      <c r="B1271">
        <v>1</v>
      </c>
      <c r="C1271">
        <v>23</v>
      </c>
      <c r="D1271" t="str">
        <f>VLOOKUP($C1271,products!$A$1:$F$322,MATCH(order_items!$D$1,products!$A$1:$F$1,0),FALSE)</f>
        <v>Electra Girl's Hawaii 1 (20-inch) - 2015/2016</v>
      </c>
      <c r="E1271">
        <f>VLOOKUP($C1271,products!$A$1:$F$322,MATCH(order_items!$E$1,products!$A$1:$F$1,0),FALSE)</f>
        <v>1</v>
      </c>
      <c r="F1271" t="str">
        <f>VLOOKUP($E1271,categories!$A$1:$B$8,MATCH(order_items!$F$1,categories!$A$1:$B$1,0),FALSE)</f>
        <v>Children Bicycles</v>
      </c>
      <c r="G1271">
        <v>1</v>
      </c>
      <c r="H1271">
        <v>299.99</v>
      </c>
      <c r="I1271" s="5">
        <v>0.05</v>
      </c>
      <c r="J1271">
        <f t="shared" si="38"/>
        <v>284.9905</v>
      </c>
      <c r="K1271" s="9">
        <f t="shared" si="39"/>
        <v>-0.67476028104499197</v>
      </c>
    </row>
    <row r="1272" spans="1:11" x14ac:dyDescent="0.3">
      <c r="A1272">
        <v>453</v>
      </c>
      <c r="B1272">
        <v>2</v>
      </c>
      <c r="C1272">
        <v>20</v>
      </c>
      <c r="D1272" t="str">
        <f>VLOOKUP($C1272,products!$A$1:$F$322,MATCH(order_items!$D$1,products!$A$1:$F$1,0),FALSE)</f>
        <v>Electra Townie Original 7D EQ - Women's - 2016</v>
      </c>
      <c r="E1272">
        <f>VLOOKUP($C1272,products!$A$1:$F$322,MATCH(order_items!$E$1,products!$A$1:$F$1,0),FALSE)</f>
        <v>3</v>
      </c>
      <c r="F1272" t="str">
        <f>VLOOKUP($E1272,categories!$A$1:$B$8,MATCH(order_items!$F$1,categories!$A$1:$B$1,0),FALSE)</f>
        <v>Cruisers Bicycles</v>
      </c>
      <c r="G1272">
        <v>2</v>
      </c>
      <c r="H1272">
        <v>599.99</v>
      </c>
      <c r="I1272" s="5">
        <v>0.2</v>
      </c>
      <c r="J1272">
        <f t="shared" si="38"/>
        <v>959.98400000000004</v>
      </c>
      <c r="K1272" s="9">
        <f t="shared" si="39"/>
        <v>-0.45297423894164529</v>
      </c>
    </row>
    <row r="1273" spans="1:11" x14ac:dyDescent="0.3">
      <c r="A1273">
        <v>453</v>
      </c>
      <c r="B1273">
        <v>3</v>
      </c>
      <c r="C1273">
        <v>4</v>
      </c>
      <c r="D1273" t="str">
        <f>VLOOKUP($C1273,products!$A$1:$F$322,MATCH(order_items!$D$1,products!$A$1:$F$1,0),FALSE)</f>
        <v>Trek Fuel EX 8 29 - 2016</v>
      </c>
      <c r="E1273">
        <f>VLOOKUP($C1273,products!$A$1:$F$322,MATCH(order_items!$E$1,products!$A$1:$F$1,0),FALSE)</f>
        <v>6</v>
      </c>
      <c r="F1273" t="str">
        <f>VLOOKUP($E1273,categories!$A$1:$B$8,MATCH(order_items!$F$1,categories!$A$1:$B$1,0),FALSE)</f>
        <v>Mountain Bikes</v>
      </c>
      <c r="G1273">
        <v>1</v>
      </c>
      <c r="H1273">
        <v>2899.99</v>
      </c>
      <c r="I1273" s="5">
        <v>0.2</v>
      </c>
      <c r="J1273">
        <f t="shared" si="38"/>
        <v>2319.9919999999997</v>
      </c>
      <c r="K1273" s="9">
        <f t="shared" si="39"/>
        <v>1.2473854171840129</v>
      </c>
    </row>
    <row r="1274" spans="1:11" x14ac:dyDescent="0.3">
      <c r="A1274">
        <v>454</v>
      </c>
      <c r="B1274">
        <v>1</v>
      </c>
      <c r="C1274">
        <v>25</v>
      </c>
      <c r="D1274" t="str">
        <f>VLOOKUP($C1274,products!$A$1:$F$322,MATCH(order_items!$D$1,products!$A$1:$F$1,0),FALSE)</f>
        <v>Electra Townie Original 7D - 2015/2016</v>
      </c>
      <c r="E1274">
        <f>VLOOKUP($C1274,products!$A$1:$F$322,MATCH(order_items!$E$1,products!$A$1:$F$1,0),FALSE)</f>
        <v>2</v>
      </c>
      <c r="F1274" t="str">
        <f>VLOOKUP($E1274,categories!$A$1:$B$8,MATCH(order_items!$F$1,categories!$A$1:$B$1,0),FALSE)</f>
        <v>Comfort Bicycles</v>
      </c>
      <c r="G1274">
        <v>2</v>
      </c>
      <c r="H1274">
        <v>499.99</v>
      </c>
      <c r="I1274" s="5">
        <v>7.0000000000000007E-2</v>
      </c>
      <c r="J1274">
        <f t="shared" si="38"/>
        <v>929.98140000000001</v>
      </c>
      <c r="K1274" s="9">
        <f t="shared" si="39"/>
        <v>-0.52690291964276081</v>
      </c>
    </row>
    <row r="1275" spans="1:11" x14ac:dyDescent="0.3">
      <c r="A1275">
        <v>454</v>
      </c>
      <c r="B1275">
        <v>2</v>
      </c>
      <c r="C1275">
        <v>13</v>
      </c>
      <c r="D1275" t="str">
        <f>VLOOKUP($C1275,products!$A$1:$F$322,MATCH(order_items!$D$1,products!$A$1:$F$1,0),FALSE)</f>
        <v>Electra Cruiser 1 (24-Inch) - 2016</v>
      </c>
      <c r="E1275">
        <f>VLOOKUP($C1275,products!$A$1:$F$322,MATCH(order_items!$E$1,products!$A$1:$F$1,0),FALSE)</f>
        <v>3</v>
      </c>
      <c r="F1275" t="str">
        <f>VLOOKUP($E1275,categories!$A$1:$B$8,MATCH(order_items!$F$1,categories!$A$1:$B$1,0),FALSE)</f>
        <v>Cruisers Bicycles</v>
      </c>
      <c r="G1275">
        <v>2</v>
      </c>
      <c r="H1275">
        <v>269.99</v>
      </c>
      <c r="I1275" s="5">
        <v>0.05</v>
      </c>
      <c r="J1275">
        <f t="shared" si="38"/>
        <v>512.98099999999999</v>
      </c>
      <c r="K1275" s="9">
        <f t="shared" si="39"/>
        <v>-0.69693888525532666</v>
      </c>
    </row>
    <row r="1276" spans="1:11" x14ac:dyDescent="0.3">
      <c r="A1276">
        <v>454</v>
      </c>
      <c r="B1276">
        <v>3</v>
      </c>
      <c r="C1276">
        <v>24</v>
      </c>
      <c r="D1276" t="str">
        <f>VLOOKUP($C1276,products!$A$1:$F$322,MATCH(order_items!$D$1,products!$A$1:$F$1,0),FALSE)</f>
        <v>Electra Townie Original 21D - 2016</v>
      </c>
      <c r="E1276">
        <f>VLOOKUP($C1276,products!$A$1:$F$322,MATCH(order_items!$E$1,products!$A$1:$F$1,0),FALSE)</f>
        <v>2</v>
      </c>
      <c r="F1276" t="str">
        <f>VLOOKUP($E1276,categories!$A$1:$B$8,MATCH(order_items!$F$1,categories!$A$1:$B$1,0),FALSE)</f>
        <v>Comfort Bicycles</v>
      </c>
      <c r="G1276">
        <v>2</v>
      </c>
      <c r="H1276">
        <v>549.99</v>
      </c>
      <c r="I1276" s="5">
        <v>0.1</v>
      </c>
      <c r="J1276">
        <f t="shared" si="38"/>
        <v>989.98200000000008</v>
      </c>
      <c r="K1276" s="9">
        <f t="shared" si="39"/>
        <v>-0.48993857929220308</v>
      </c>
    </row>
    <row r="1277" spans="1:11" x14ac:dyDescent="0.3">
      <c r="A1277">
        <v>455</v>
      </c>
      <c r="B1277">
        <v>1</v>
      </c>
      <c r="C1277">
        <v>9</v>
      </c>
      <c r="D1277" t="str">
        <f>VLOOKUP($C1277,products!$A$1:$F$322,MATCH(order_items!$D$1,products!$A$1:$F$1,0),FALSE)</f>
        <v>Trek Conduit+ - 2016</v>
      </c>
      <c r="E1277">
        <f>VLOOKUP($C1277,products!$A$1:$F$322,MATCH(order_items!$E$1,products!$A$1:$F$1,0),FALSE)</f>
        <v>5</v>
      </c>
      <c r="F1277" t="str">
        <f>VLOOKUP($E1277,categories!$A$1:$B$8,MATCH(order_items!$F$1,categories!$A$1:$B$1,0),FALSE)</f>
        <v>Electric Bikes</v>
      </c>
      <c r="G1277">
        <v>1</v>
      </c>
      <c r="H1277">
        <v>2999.99</v>
      </c>
      <c r="I1277" s="5">
        <v>0.05</v>
      </c>
      <c r="J1277">
        <f t="shared" si="38"/>
        <v>2849.9904999999999</v>
      </c>
      <c r="K1277" s="9">
        <f t="shared" si="39"/>
        <v>1.3213140978851283</v>
      </c>
    </row>
    <row r="1278" spans="1:11" x14ac:dyDescent="0.3">
      <c r="A1278">
        <v>456</v>
      </c>
      <c r="B1278">
        <v>1</v>
      </c>
      <c r="C1278">
        <v>17</v>
      </c>
      <c r="D1278" t="str">
        <f>VLOOKUP($C1278,products!$A$1:$F$322,MATCH(order_items!$D$1,products!$A$1:$F$1,0),FALSE)</f>
        <v>Pure Cycles Vine 8-Speed - 2016</v>
      </c>
      <c r="E1278">
        <f>VLOOKUP($C1278,products!$A$1:$F$322,MATCH(order_items!$E$1,products!$A$1:$F$1,0),FALSE)</f>
        <v>3</v>
      </c>
      <c r="F1278" t="str">
        <f>VLOOKUP($E1278,categories!$A$1:$B$8,MATCH(order_items!$F$1,categories!$A$1:$B$1,0),FALSE)</f>
        <v>Cruisers Bicycles</v>
      </c>
      <c r="G1278">
        <v>2</v>
      </c>
      <c r="H1278">
        <v>429</v>
      </c>
      <c r="I1278" s="5">
        <v>7.0000000000000007E-2</v>
      </c>
      <c r="J1278">
        <f t="shared" si="38"/>
        <v>797.93999999999994</v>
      </c>
      <c r="K1278" s="9">
        <f t="shared" si="39"/>
        <v>-0.57938489007248284</v>
      </c>
    </row>
    <row r="1279" spans="1:11" x14ac:dyDescent="0.3">
      <c r="A1279">
        <v>456</v>
      </c>
      <c r="B1279">
        <v>2</v>
      </c>
      <c r="C1279">
        <v>23</v>
      </c>
      <c r="D1279" t="str">
        <f>VLOOKUP($C1279,products!$A$1:$F$322,MATCH(order_items!$D$1,products!$A$1:$F$1,0),FALSE)</f>
        <v>Electra Girl's Hawaii 1 (20-inch) - 2015/2016</v>
      </c>
      <c r="E1279">
        <f>VLOOKUP($C1279,products!$A$1:$F$322,MATCH(order_items!$E$1,products!$A$1:$F$1,0),FALSE)</f>
        <v>1</v>
      </c>
      <c r="F1279" t="str">
        <f>VLOOKUP($E1279,categories!$A$1:$B$8,MATCH(order_items!$F$1,categories!$A$1:$B$1,0),FALSE)</f>
        <v>Children Bicycles</v>
      </c>
      <c r="G1279">
        <v>1</v>
      </c>
      <c r="H1279">
        <v>299.99</v>
      </c>
      <c r="I1279" s="5">
        <v>7.0000000000000007E-2</v>
      </c>
      <c r="J1279">
        <f t="shared" si="38"/>
        <v>278.9907</v>
      </c>
      <c r="K1279" s="9">
        <f t="shared" si="39"/>
        <v>-0.67476028104499197</v>
      </c>
    </row>
    <row r="1280" spans="1:11" x14ac:dyDescent="0.3">
      <c r="A1280">
        <v>457</v>
      </c>
      <c r="B1280">
        <v>1</v>
      </c>
      <c r="C1280">
        <v>24</v>
      </c>
      <c r="D1280" t="str">
        <f>VLOOKUP($C1280,products!$A$1:$F$322,MATCH(order_items!$D$1,products!$A$1:$F$1,0),FALSE)</f>
        <v>Electra Townie Original 21D - 2016</v>
      </c>
      <c r="E1280">
        <f>VLOOKUP($C1280,products!$A$1:$F$322,MATCH(order_items!$E$1,products!$A$1:$F$1,0),FALSE)</f>
        <v>2</v>
      </c>
      <c r="F1280" t="str">
        <f>VLOOKUP($E1280,categories!$A$1:$B$8,MATCH(order_items!$F$1,categories!$A$1:$B$1,0),FALSE)</f>
        <v>Comfort Bicycles</v>
      </c>
      <c r="G1280">
        <v>2</v>
      </c>
      <c r="H1280">
        <v>549.99</v>
      </c>
      <c r="I1280" s="5">
        <v>7.0000000000000007E-2</v>
      </c>
      <c r="J1280">
        <f t="shared" si="38"/>
        <v>1022.9813999999999</v>
      </c>
      <c r="K1280" s="9">
        <f t="shared" si="39"/>
        <v>-0.48993857929220308</v>
      </c>
    </row>
    <row r="1281" spans="1:11" x14ac:dyDescent="0.3">
      <c r="A1281">
        <v>457</v>
      </c>
      <c r="B1281">
        <v>2</v>
      </c>
      <c r="C1281">
        <v>2</v>
      </c>
      <c r="D1281" t="str">
        <f>VLOOKUP($C1281,products!$A$1:$F$322,MATCH(order_items!$D$1,products!$A$1:$F$1,0),FALSE)</f>
        <v>Ritchey Timberwolf Frameset - 2016</v>
      </c>
      <c r="E1281">
        <f>VLOOKUP($C1281,products!$A$1:$F$322,MATCH(order_items!$E$1,products!$A$1:$F$1,0),FALSE)</f>
        <v>6</v>
      </c>
      <c r="F1281" t="str">
        <f>VLOOKUP($E1281,categories!$A$1:$B$8,MATCH(order_items!$F$1,categories!$A$1:$B$1,0),FALSE)</f>
        <v>Mountain Bikes</v>
      </c>
      <c r="G1281">
        <v>1</v>
      </c>
      <c r="H1281">
        <v>749.99</v>
      </c>
      <c r="I1281" s="5">
        <v>0.05</v>
      </c>
      <c r="J1281">
        <f t="shared" si="38"/>
        <v>712.4905</v>
      </c>
      <c r="K1281" s="9">
        <f t="shared" si="39"/>
        <v>-0.34208121788997192</v>
      </c>
    </row>
    <row r="1282" spans="1:11" x14ac:dyDescent="0.3">
      <c r="A1282">
        <v>457</v>
      </c>
      <c r="B1282">
        <v>3</v>
      </c>
      <c r="C1282">
        <v>7</v>
      </c>
      <c r="D1282" t="str">
        <f>VLOOKUP($C1282,products!$A$1:$F$322,MATCH(order_items!$D$1,products!$A$1:$F$1,0),FALSE)</f>
        <v>Trek Slash 8 27.5 - 2016</v>
      </c>
      <c r="E1282">
        <f>VLOOKUP($C1282,products!$A$1:$F$322,MATCH(order_items!$E$1,products!$A$1:$F$1,0),FALSE)</f>
        <v>6</v>
      </c>
      <c r="F1282" t="str">
        <f>VLOOKUP($E1282,categories!$A$1:$B$8,MATCH(order_items!$F$1,categories!$A$1:$B$1,0),FALSE)</f>
        <v>Mountain Bikes</v>
      </c>
      <c r="G1282">
        <v>2</v>
      </c>
      <c r="H1282">
        <v>3999.99</v>
      </c>
      <c r="I1282" s="5">
        <v>0.1</v>
      </c>
      <c r="J1282">
        <f t="shared" ref="J1282:J1345" si="40">G1282*H1282*(1-I1282)</f>
        <v>7199.982</v>
      </c>
      <c r="K1282" s="9">
        <f t="shared" ref="K1282:K1345" si="41">($H1282-$M$7)/$M$9</f>
        <v>2.0606009048962846</v>
      </c>
    </row>
    <row r="1283" spans="1:11" x14ac:dyDescent="0.3">
      <c r="A1283">
        <v>457</v>
      </c>
      <c r="B1283">
        <v>4</v>
      </c>
      <c r="C1283">
        <v>17</v>
      </c>
      <c r="D1283" t="str">
        <f>VLOOKUP($C1283,products!$A$1:$F$322,MATCH(order_items!$D$1,products!$A$1:$F$1,0),FALSE)</f>
        <v>Pure Cycles Vine 8-Speed - 2016</v>
      </c>
      <c r="E1283">
        <f>VLOOKUP($C1283,products!$A$1:$F$322,MATCH(order_items!$E$1,products!$A$1:$F$1,0),FALSE)</f>
        <v>3</v>
      </c>
      <c r="F1283" t="str">
        <f>VLOOKUP($E1283,categories!$A$1:$B$8,MATCH(order_items!$F$1,categories!$A$1:$B$1,0),FALSE)</f>
        <v>Cruisers Bicycles</v>
      </c>
      <c r="G1283">
        <v>1</v>
      </c>
      <c r="H1283">
        <v>429</v>
      </c>
      <c r="I1283" s="5">
        <v>0.2</v>
      </c>
      <c r="J1283">
        <f t="shared" si="40"/>
        <v>343.20000000000005</v>
      </c>
      <c r="K1283" s="9">
        <f t="shared" si="41"/>
        <v>-0.57938489007248284</v>
      </c>
    </row>
    <row r="1284" spans="1:11" x14ac:dyDescent="0.3">
      <c r="A1284">
        <v>458</v>
      </c>
      <c r="B1284">
        <v>1</v>
      </c>
      <c r="C1284">
        <v>2</v>
      </c>
      <c r="D1284" t="str">
        <f>VLOOKUP($C1284,products!$A$1:$F$322,MATCH(order_items!$D$1,products!$A$1:$F$1,0),FALSE)</f>
        <v>Ritchey Timberwolf Frameset - 2016</v>
      </c>
      <c r="E1284">
        <f>VLOOKUP($C1284,products!$A$1:$F$322,MATCH(order_items!$E$1,products!$A$1:$F$1,0),FALSE)</f>
        <v>6</v>
      </c>
      <c r="F1284" t="str">
        <f>VLOOKUP($E1284,categories!$A$1:$B$8,MATCH(order_items!$F$1,categories!$A$1:$B$1,0),FALSE)</f>
        <v>Mountain Bikes</v>
      </c>
      <c r="G1284">
        <v>1</v>
      </c>
      <c r="H1284">
        <v>749.99</v>
      </c>
      <c r="I1284" s="5">
        <v>0.2</v>
      </c>
      <c r="J1284">
        <f t="shared" si="40"/>
        <v>599.99200000000008</v>
      </c>
      <c r="K1284" s="9">
        <f t="shared" si="41"/>
        <v>-0.34208121788997192</v>
      </c>
    </row>
    <row r="1285" spans="1:11" x14ac:dyDescent="0.3">
      <c r="A1285">
        <v>458</v>
      </c>
      <c r="B1285">
        <v>2</v>
      </c>
      <c r="C1285">
        <v>21</v>
      </c>
      <c r="D1285" t="str">
        <f>VLOOKUP($C1285,products!$A$1:$F$322,MATCH(order_items!$D$1,products!$A$1:$F$1,0),FALSE)</f>
        <v>Electra Cruiser 1 (24-Inch) - 2016</v>
      </c>
      <c r="E1285">
        <f>VLOOKUP($C1285,products!$A$1:$F$322,MATCH(order_items!$E$1,products!$A$1:$F$1,0),FALSE)</f>
        <v>1</v>
      </c>
      <c r="F1285" t="str">
        <f>VLOOKUP($E1285,categories!$A$1:$B$8,MATCH(order_items!$F$1,categories!$A$1:$B$1,0),FALSE)</f>
        <v>Children Bicycles</v>
      </c>
      <c r="G1285">
        <v>2</v>
      </c>
      <c r="H1285">
        <v>269.99</v>
      </c>
      <c r="I1285" s="5">
        <v>7.0000000000000007E-2</v>
      </c>
      <c r="J1285">
        <f t="shared" si="40"/>
        <v>502.1814</v>
      </c>
      <c r="K1285" s="9">
        <f t="shared" si="41"/>
        <v>-0.69693888525532666</v>
      </c>
    </row>
    <row r="1286" spans="1:11" x14ac:dyDescent="0.3">
      <c r="A1286">
        <v>458</v>
      </c>
      <c r="B1286">
        <v>3</v>
      </c>
      <c r="C1286">
        <v>11</v>
      </c>
      <c r="D1286" t="str">
        <f>VLOOKUP($C1286,products!$A$1:$F$322,MATCH(order_items!$D$1,products!$A$1:$F$1,0),FALSE)</f>
        <v>Surly Straggler 650b - 2016</v>
      </c>
      <c r="E1286">
        <f>VLOOKUP($C1286,products!$A$1:$F$322,MATCH(order_items!$E$1,products!$A$1:$F$1,0),FALSE)</f>
        <v>4</v>
      </c>
      <c r="F1286" t="str">
        <f>VLOOKUP($E1286,categories!$A$1:$B$8,MATCH(order_items!$F$1,categories!$A$1:$B$1,0),FALSE)</f>
        <v>Cyclocross Bicycles</v>
      </c>
      <c r="G1286">
        <v>1</v>
      </c>
      <c r="H1286">
        <v>1680.99</v>
      </c>
      <c r="I1286" s="5">
        <v>0.1</v>
      </c>
      <c r="J1286">
        <f t="shared" si="40"/>
        <v>1512.8910000000001</v>
      </c>
      <c r="K1286" s="9">
        <f t="shared" si="41"/>
        <v>0.3461947994374141</v>
      </c>
    </row>
    <row r="1287" spans="1:11" x14ac:dyDescent="0.3">
      <c r="A1287">
        <v>458</v>
      </c>
      <c r="B1287">
        <v>4</v>
      </c>
      <c r="C1287">
        <v>24</v>
      </c>
      <c r="D1287" t="str">
        <f>VLOOKUP($C1287,products!$A$1:$F$322,MATCH(order_items!$D$1,products!$A$1:$F$1,0),FALSE)</f>
        <v>Electra Townie Original 21D - 2016</v>
      </c>
      <c r="E1287">
        <f>VLOOKUP($C1287,products!$A$1:$F$322,MATCH(order_items!$E$1,products!$A$1:$F$1,0),FALSE)</f>
        <v>2</v>
      </c>
      <c r="F1287" t="str">
        <f>VLOOKUP($E1287,categories!$A$1:$B$8,MATCH(order_items!$F$1,categories!$A$1:$B$1,0),FALSE)</f>
        <v>Comfort Bicycles</v>
      </c>
      <c r="G1287">
        <v>1</v>
      </c>
      <c r="H1287">
        <v>549.99</v>
      </c>
      <c r="I1287" s="5">
        <v>0.2</v>
      </c>
      <c r="J1287">
        <f t="shared" si="40"/>
        <v>439.99200000000002</v>
      </c>
      <c r="K1287" s="9">
        <f t="shared" si="41"/>
        <v>-0.48993857929220308</v>
      </c>
    </row>
    <row r="1288" spans="1:11" x14ac:dyDescent="0.3">
      <c r="A1288">
        <v>458</v>
      </c>
      <c r="B1288">
        <v>5</v>
      </c>
      <c r="C1288">
        <v>3</v>
      </c>
      <c r="D1288" t="str">
        <f>VLOOKUP($C1288,products!$A$1:$F$322,MATCH(order_items!$D$1,products!$A$1:$F$1,0),FALSE)</f>
        <v>Surly Wednesday Frameset - 2016</v>
      </c>
      <c r="E1288">
        <f>VLOOKUP($C1288,products!$A$1:$F$322,MATCH(order_items!$E$1,products!$A$1:$F$1,0),FALSE)</f>
        <v>6</v>
      </c>
      <c r="F1288" t="str">
        <f>VLOOKUP($E1288,categories!$A$1:$B$8,MATCH(order_items!$F$1,categories!$A$1:$B$1,0),FALSE)</f>
        <v>Mountain Bikes</v>
      </c>
      <c r="G1288">
        <v>2</v>
      </c>
      <c r="H1288">
        <v>999.99</v>
      </c>
      <c r="I1288" s="5">
        <v>0.2</v>
      </c>
      <c r="J1288">
        <f t="shared" si="40"/>
        <v>1599.9840000000002</v>
      </c>
      <c r="K1288" s="9">
        <f t="shared" si="41"/>
        <v>-0.15725951613718298</v>
      </c>
    </row>
    <row r="1289" spans="1:11" x14ac:dyDescent="0.3">
      <c r="A1289">
        <v>459</v>
      </c>
      <c r="B1289">
        <v>1</v>
      </c>
      <c r="C1289">
        <v>11</v>
      </c>
      <c r="D1289" t="str">
        <f>VLOOKUP($C1289,products!$A$1:$F$322,MATCH(order_items!$D$1,products!$A$1:$F$1,0),FALSE)</f>
        <v>Surly Straggler 650b - 2016</v>
      </c>
      <c r="E1289">
        <f>VLOOKUP($C1289,products!$A$1:$F$322,MATCH(order_items!$E$1,products!$A$1:$F$1,0),FALSE)</f>
        <v>4</v>
      </c>
      <c r="F1289" t="str">
        <f>VLOOKUP($E1289,categories!$A$1:$B$8,MATCH(order_items!$F$1,categories!$A$1:$B$1,0),FALSE)</f>
        <v>Cyclocross Bicycles</v>
      </c>
      <c r="G1289">
        <v>1</v>
      </c>
      <c r="H1289">
        <v>1680.99</v>
      </c>
      <c r="I1289" s="5">
        <v>0.2</v>
      </c>
      <c r="J1289">
        <f t="shared" si="40"/>
        <v>1344.7920000000001</v>
      </c>
      <c r="K1289" s="9">
        <f t="shared" si="41"/>
        <v>0.3461947994374141</v>
      </c>
    </row>
    <row r="1290" spans="1:11" x14ac:dyDescent="0.3">
      <c r="A1290">
        <v>460</v>
      </c>
      <c r="B1290">
        <v>1</v>
      </c>
      <c r="C1290">
        <v>19</v>
      </c>
      <c r="D1290" t="str">
        <f>VLOOKUP($C1290,products!$A$1:$F$322,MATCH(order_items!$D$1,products!$A$1:$F$1,0),FALSE)</f>
        <v>Pure Cycles William 3-Speed - 2016</v>
      </c>
      <c r="E1290">
        <f>VLOOKUP($C1290,products!$A$1:$F$322,MATCH(order_items!$E$1,products!$A$1:$F$1,0),FALSE)</f>
        <v>3</v>
      </c>
      <c r="F1290" t="str">
        <f>VLOOKUP($E1290,categories!$A$1:$B$8,MATCH(order_items!$F$1,categories!$A$1:$B$1,0),FALSE)</f>
        <v>Cruisers Bicycles</v>
      </c>
      <c r="G1290">
        <v>1</v>
      </c>
      <c r="H1290">
        <v>449</v>
      </c>
      <c r="I1290" s="5">
        <v>0.05</v>
      </c>
      <c r="J1290">
        <f t="shared" si="40"/>
        <v>426.54999999999995</v>
      </c>
      <c r="K1290" s="9">
        <f t="shared" si="41"/>
        <v>-0.56459915393225968</v>
      </c>
    </row>
    <row r="1291" spans="1:11" x14ac:dyDescent="0.3">
      <c r="A1291">
        <v>460</v>
      </c>
      <c r="B1291">
        <v>2</v>
      </c>
      <c r="C1291">
        <v>18</v>
      </c>
      <c r="D1291" t="str">
        <f>VLOOKUP($C1291,products!$A$1:$F$322,MATCH(order_items!$D$1,products!$A$1:$F$1,0),FALSE)</f>
        <v>Pure Cycles Western 3-Speed - Women's - 2015/2016</v>
      </c>
      <c r="E1291">
        <f>VLOOKUP($C1291,products!$A$1:$F$322,MATCH(order_items!$E$1,products!$A$1:$F$1,0),FALSE)</f>
        <v>3</v>
      </c>
      <c r="F1291" t="str">
        <f>VLOOKUP($E1291,categories!$A$1:$B$8,MATCH(order_items!$F$1,categories!$A$1:$B$1,0),FALSE)</f>
        <v>Cruisers Bicycles</v>
      </c>
      <c r="G1291">
        <v>2</v>
      </c>
      <c r="H1291">
        <v>449</v>
      </c>
      <c r="I1291" s="5">
        <v>7.0000000000000007E-2</v>
      </c>
      <c r="J1291">
        <f t="shared" si="40"/>
        <v>835.14</v>
      </c>
      <c r="K1291" s="9">
        <f t="shared" si="41"/>
        <v>-0.56459915393225968</v>
      </c>
    </row>
    <row r="1292" spans="1:11" x14ac:dyDescent="0.3">
      <c r="A1292">
        <v>460</v>
      </c>
      <c r="B1292">
        <v>3</v>
      </c>
      <c r="C1292">
        <v>4</v>
      </c>
      <c r="D1292" t="str">
        <f>VLOOKUP($C1292,products!$A$1:$F$322,MATCH(order_items!$D$1,products!$A$1:$F$1,0),FALSE)</f>
        <v>Trek Fuel EX 8 29 - 2016</v>
      </c>
      <c r="E1292">
        <f>VLOOKUP($C1292,products!$A$1:$F$322,MATCH(order_items!$E$1,products!$A$1:$F$1,0),FALSE)</f>
        <v>6</v>
      </c>
      <c r="F1292" t="str">
        <f>VLOOKUP($E1292,categories!$A$1:$B$8,MATCH(order_items!$F$1,categories!$A$1:$B$1,0),FALSE)</f>
        <v>Mountain Bikes</v>
      </c>
      <c r="G1292">
        <v>1</v>
      </c>
      <c r="H1292">
        <v>2899.99</v>
      </c>
      <c r="I1292" s="5">
        <v>0.2</v>
      </c>
      <c r="J1292">
        <f t="shared" si="40"/>
        <v>2319.9919999999997</v>
      </c>
      <c r="K1292" s="9">
        <f t="shared" si="41"/>
        <v>1.2473854171840129</v>
      </c>
    </row>
    <row r="1293" spans="1:11" x14ac:dyDescent="0.3">
      <c r="A1293">
        <v>460</v>
      </c>
      <c r="B1293">
        <v>4</v>
      </c>
      <c r="C1293">
        <v>22</v>
      </c>
      <c r="D1293" t="str">
        <f>VLOOKUP($C1293,products!$A$1:$F$322,MATCH(order_items!$D$1,products!$A$1:$F$1,0),FALSE)</f>
        <v>Electra Girl's Hawaii 1 (16-inch) - 2015/2016</v>
      </c>
      <c r="E1293">
        <f>VLOOKUP($C1293,products!$A$1:$F$322,MATCH(order_items!$E$1,products!$A$1:$F$1,0),FALSE)</f>
        <v>1</v>
      </c>
      <c r="F1293" t="str">
        <f>VLOOKUP($E1293,categories!$A$1:$B$8,MATCH(order_items!$F$1,categories!$A$1:$B$1,0),FALSE)</f>
        <v>Children Bicycles</v>
      </c>
      <c r="G1293">
        <v>2</v>
      </c>
      <c r="H1293">
        <v>269.99</v>
      </c>
      <c r="I1293" s="5">
        <v>0.1</v>
      </c>
      <c r="J1293">
        <f t="shared" si="40"/>
        <v>485.98200000000003</v>
      </c>
      <c r="K1293" s="9">
        <f t="shared" si="41"/>
        <v>-0.69693888525532666</v>
      </c>
    </row>
    <row r="1294" spans="1:11" x14ac:dyDescent="0.3">
      <c r="A1294">
        <v>461</v>
      </c>
      <c r="B1294">
        <v>1</v>
      </c>
      <c r="C1294">
        <v>16</v>
      </c>
      <c r="D1294" t="str">
        <f>VLOOKUP($C1294,products!$A$1:$F$322,MATCH(order_items!$D$1,products!$A$1:$F$1,0),FALSE)</f>
        <v>Electra Townie Original 7D EQ - 2016</v>
      </c>
      <c r="E1294">
        <f>VLOOKUP($C1294,products!$A$1:$F$322,MATCH(order_items!$E$1,products!$A$1:$F$1,0),FALSE)</f>
        <v>3</v>
      </c>
      <c r="F1294" t="str">
        <f>VLOOKUP($E1294,categories!$A$1:$B$8,MATCH(order_items!$F$1,categories!$A$1:$B$1,0),FALSE)</f>
        <v>Cruisers Bicycles</v>
      </c>
      <c r="G1294">
        <v>1</v>
      </c>
      <c r="H1294">
        <v>599.99</v>
      </c>
      <c r="I1294" s="5">
        <v>7.0000000000000007E-2</v>
      </c>
      <c r="J1294">
        <f t="shared" si="40"/>
        <v>557.99069999999995</v>
      </c>
      <c r="K1294" s="9">
        <f t="shared" si="41"/>
        <v>-0.45297423894164529</v>
      </c>
    </row>
    <row r="1295" spans="1:11" x14ac:dyDescent="0.3">
      <c r="A1295">
        <v>461</v>
      </c>
      <c r="B1295">
        <v>2</v>
      </c>
      <c r="C1295">
        <v>4</v>
      </c>
      <c r="D1295" t="str">
        <f>VLOOKUP($C1295,products!$A$1:$F$322,MATCH(order_items!$D$1,products!$A$1:$F$1,0),FALSE)</f>
        <v>Trek Fuel EX 8 29 - 2016</v>
      </c>
      <c r="E1295">
        <f>VLOOKUP($C1295,products!$A$1:$F$322,MATCH(order_items!$E$1,products!$A$1:$F$1,0),FALSE)</f>
        <v>6</v>
      </c>
      <c r="F1295" t="str">
        <f>VLOOKUP($E1295,categories!$A$1:$B$8,MATCH(order_items!$F$1,categories!$A$1:$B$1,0),FALSE)</f>
        <v>Mountain Bikes</v>
      </c>
      <c r="G1295">
        <v>1</v>
      </c>
      <c r="H1295">
        <v>2899.99</v>
      </c>
      <c r="I1295" s="5">
        <v>0.2</v>
      </c>
      <c r="J1295">
        <f t="shared" si="40"/>
        <v>2319.9919999999997</v>
      </c>
      <c r="K1295" s="9">
        <f t="shared" si="41"/>
        <v>1.2473854171840129</v>
      </c>
    </row>
    <row r="1296" spans="1:11" x14ac:dyDescent="0.3">
      <c r="A1296">
        <v>461</v>
      </c>
      <c r="B1296">
        <v>3</v>
      </c>
      <c r="C1296">
        <v>8</v>
      </c>
      <c r="D1296" t="str">
        <f>VLOOKUP($C1296,products!$A$1:$F$322,MATCH(order_items!$D$1,products!$A$1:$F$1,0),FALSE)</f>
        <v>Trek Remedy 29 Carbon Frameset - 2016</v>
      </c>
      <c r="E1296">
        <f>VLOOKUP($C1296,products!$A$1:$F$322,MATCH(order_items!$E$1,products!$A$1:$F$1,0),FALSE)</f>
        <v>6</v>
      </c>
      <c r="F1296" t="str">
        <f>VLOOKUP($E1296,categories!$A$1:$B$8,MATCH(order_items!$F$1,categories!$A$1:$B$1,0),FALSE)</f>
        <v>Mountain Bikes</v>
      </c>
      <c r="G1296">
        <v>2</v>
      </c>
      <c r="H1296">
        <v>1799.99</v>
      </c>
      <c r="I1296" s="5">
        <v>0.05</v>
      </c>
      <c r="J1296">
        <f t="shared" si="40"/>
        <v>3419.9809999999998</v>
      </c>
      <c r="K1296" s="9">
        <f t="shared" si="41"/>
        <v>0.43416992947174166</v>
      </c>
    </row>
    <row r="1297" spans="1:11" x14ac:dyDescent="0.3">
      <c r="A1297">
        <v>461</v>
      </c>
      <c r="B1297">
        <v>4</v>
      </c>
      <c r="C1297">
        <v>24</v>
      </c>
      <c r="D1297" t="str">
        <f>VLOOKUP($C1297,products!$A$1:$F$322,MATCH(order_items!$D$1,products!$A$1:$F$1,0),FALSE)</f>
        <v>Electra Townie Original 21D - 2016</v>
      </c>
      <c r="E1297">
        <f>VLOOKUP($C1297,products!$A$1:$F$322,MATCH(order_items!$E$1,products!$A$1:$F$1,0),FALSE)</f>
        <v>2</v>
      </c>
      <c r="F1297" t="str">
        <f>VLOOKUP($E1297,categories!$A$1:$B$8,MATCH(order_items!$F$1,categories!$A$1:$B$1,0),FALSE)</f>
        <v>Comfort Bicycles</v>
      </c>
      <c r="G1297">
        <v>1</v>
      </c>
      <c r="H1297">
        <v>549.99</v>
      </c>
      <c r="I1297" s="5">
        <v>0.1</v>
      </c>
      <c r="J1297">
        <f t="shared" si="40"/>
        <v>494.99100000000004</v>
      </c>
      <c r="K1297" s="9">
        <f t="shared" si="41"/>
        <v>-0.48993857929220308</v>
      </c>
    </row>
    <row r="1298" spans="1:11" x14ac:dyDescent="0.3">
      <c r="A1298">
        <v>461</v>
      </c>
      <c r="B1298">
        <v>5</v>
      </c>
      <c r="C1298">
        <v>18</v>
      </c>
      <c r="D1298" t="str">
        <f>VLOOKUP($C1298,products!$A$1:$F$322,MATCH(order_items!$D$1,products!$A$1:$F$1,0),FALSE)</f>
        <v>Pure Cycles Western 3-Speed - Women's - 2015/2016</v>
      </c>
      <c r="E1298">
        <f>VLOOKUP($C1298,products!$A$1:$F$322,MATCH(order_items!$E$1,products!$A$1:$F$1,0),FALSE)</f>
        <v>3</v>
      </c>
      <c r="F1298" t="str">
        <f>VLOOKUP($E1298,categories!$A$1:$B$8,MATCH(order_items!$F$1,categories!$A$1:$B$1,0),FALSE)</f>
        <v>Cruisers Bicycles</v>
      </c>
      <c r="G1298">
        <v>2</v>
      </c>
      <c r="H1298">
        <v>449</v>
      </c>
      <c r="I1298" s="5">
        <v>0.1</v>
      </c>
      <c r="J1298">
        <f t="shared" si="40"/>
        <v>808.2</v>
      </c>
      <c r="K1298" s="9">
        <f t="shared" si="41"/>
        <v>-0.56459915393225968</v>
      </c>
    </row>
    <row r="1299" spans="1:11" x14ac:dyDescent="0.3">
      <c r="A1299">
        <v>462</v>
      </c>
      <c r="B1299">
        <v>1</v>
      </c>
      <c r="C1299">
        <v>12</v>
      </c>
      <c r="D1299" t="str">
        <f>VLOOKUP($C1299,products!$A$1:$F$322,MATCH(order_items!$D$1,products!$A$1:$F$1,0),FALSE)</f>
        <v>Electra Townie Original 21D - 2016</v>
      </c>
      <c r="E1299">
        <f>VLOOKUP($C1299,products!$A$1:$F$322,MATCH(order_items!$E$1,products!$A$1:$F$1,0),FALSE)</f>
        <v>3</v>
      </c>
      <c r="F1299" t="str">
        <f>VLOOKUP($E1299,categories!$A$1:$B$8,MATCH(order_items!$F$1,categories!$A$1:$B$1,0),FALSE)</f>
        <v>Cruisers Bicycles</v>
      </c>
      <c r="G1299">
        <v>2</v>
      </c>
      <c r="H1299">
        <v>549.99</v>
      </c>
      <c r="I1299" s="5">
        <v>0.1</v>
      </c>
      <c r="J1299">
        <f t="shared" si="40"/>
        <v>989.98200000000008</v>
      </c>
      <c r="K1299" s="9">
        <f t="shared" si="41"/>
        <v>-0.48993857929220308</v>
      </c>
    </row>
    <row r="1300" spans="1:11" x14ac:dyDescent="0.3">
      <c r="A1300">
        <v>463</v>
      </c>
      <c r="B1300">
        <v>1</v>
      </c>
      <c r="C1300">
        <v>13</v>
      </c>
      <c r="D1300" t="str">
        <f>VLOOKUP($C1300,products!$A$1:$F$322,MATCH(order_items!$D$1,products!$A$1:$F$1,0),FALSE)</f>
        <v>Electra Cruiser 1 (24-Inch) - 2016</v>
      </c>
      <c r="E1300">
        <f>VLOOKUP($C1300,products!$A$1:$F$322,MATCH(order_items!$E$1,products!$A$1:$F$1,0),FALSE)</f>
        <v>3</v>
      </c>
      <c r="F1300" t="str">
        <f>VLOOKUP($E1300,categories!$A$1:$B$8,MATCH(order_items!$F$1,categories!$A$1:$B$1,0),FALSE)</f>
        <v>Cruisers Bicycles</v>
      </c>
      <c r="G1300">
        <v>2</v>
      </c>
      <c r="H1300">
        <v>269.99</v>
      </c>
      <c r="I1300" s="5">
        <v>7.0000000000000007E-2</v>
      </c>
      <c r="J1300">
        <f t="shared" si="40"/>
        <v>502.1814</v>
      </c>
      <c r="K1300" s="9">
        <f t="shared" si="41"/>
        <v>-0.69693888525532666</v>
      </c>
    </row>
    <row r="1301" spans="1:11" x14ac:dyDescent="0.3">
      <c r="A1301">
        <v>464</v>
      </c>
      <c r="B1301">
        <v>1</v>
      </c>
      <c r="C1301">
        <v>7</v>
      </c>
      <c r="D1301" t="str">
        <f>VLOOKUP($C1301,products!$A$1:$F$322,MATCH(order_items!$D$1,products!$A$1:$F$1,0),FALSE)</f>
        <v>Trek Slash 8 27.5 - 2016</v>
      </c>
      <c r="E1301">
        <f>VLOOKUP($C1301,products!$A$1:$F$322,MATCH(order_items!$E$1,products!$A$1:$F$1,0),FALSE)</f>
        <v>6</v>
      </c>
      <c r="F1301" t="str">
        <f>VLOOKUP($E1301,categories!$A$1:$B$8,MATCH(order_items!$F$1,categories!$A$1:$B$1,0),FALSE)</f>
        <v>Mountain Bikes</v>
      </c>
      <c r="G1301">
        <v>1</v>
      </c>
      <c r="H1301">
        <v>3999.99</v>
      </c>
      <c r="I1301" s="5">
        <v>0.1</v>
      </c>
      <c r="J1301">
        <f t="shared" si="40"/>
        <v>3599.991</v>
      </c>
      <c r="K1301" s="9">
        <f t="shared" si="41"/>
        <v>2.0606009048962846</v>
      </c>
    </row>
    <row r="1302" spans="1:11" x14ac:dyDescent="0.3">
      <c r="A1302">
        <v>465</v>
      </c>
      <c r="B1302">
        <v>1</v>
      </c>
      <c r="C1302">
        <v>6</v>
      </c>
      <c r="D1302" t="str">
        <f>VLOOKUP($C1302,products!$A$1:$F$322,MATCH(order_items!$D$1,products!$A$1:$F$1,0),FALSE)</f>
        <v>Surly Ice Cream Truck Frameset - 2016</v>
      </c>
      <c r="E1302">
        <f>VLOOKUP($C1302,products!$A$1:$F$322,MATCH(order_items!$E$1,products!$A$1:$F$1,0),FALSE)</f>
        <v>6</v>
      </c>
      <c r="F1302" t="str">
        <f>VLOOKUP($E1302,categories!$A$1:$B$8,MATCH(order_items!$F$1,categories!$A$1:$B$1,0),FALSE)</f>
        <v>Mountain Bikes</v>
      </c>
      <c r="G1302">
        <v>2</v>
      </c>
      <c r="H1302">
        <v>469.99</v>
      </c>
      <c r="I1302" s="5">
        <v>0.1</v>
      </c>
      <c r="J1302">
        <f t="shared" si="40"/>
        <v>845.98200000000008</v>
      </c>
      <c r="K1302" s="9">
        <f t="shared" si="41"/>
        <v>-0.5490815238530955</v>
      </c>
    </row>
    <row r="1303" spans="1:11" x14ac:dyDescent="0.3">
      <c r="A1303">
        <v>465</v>
      </c>
      <c r="B1303">
        <v>2</v>
      </c>
      <c r="C1303">
        <v>25</v>
      </c>
      <c r="D1303" t="str">
        <f>VLOOKUP($C1303,products!$A$1:$F$322,MATCH(order_items!$D$1,products!$A$1:$F$1,0),FALSE)</f>
        <v>Electra Townie Original 7D - 2015/2016</v>
      </c>
      <c r="E1303">
        <f>VLOOKUP($C1303,products!$A$1:$F$322,MATCH(order_items!$E$1,products!$A$1:$F$1,0),FALSE)</f>
        <v>2</v>
      </c>
      <c r="F1303" t="str">
        <f>VLOOKUP($E1303,categories!$A$1:$B$8,MATCH(order_items!$F$1,categories!$A$1:$B$1,0),FALSE)</f>
        <v>Comfort Bicycles</v>
      </c>
      <c r="G1303">
        <v>2</v>
      </c>
      <c r="H1303">
        <v>499.99</v>
      </c>
      <c r="I1303" s="5">
        <v>0.1</v>
      </c>
      <c r="J1303">
        <f t="shared" si="40"/>
        <v>899.98200000000008</v>
      </c>
      <c r="K1303" s="9">
        <f t="shared" si="41"/>
        <v>-0.52690291964276081</v>
      </c>
    </row>
    <row r="1304" spans="1:11" x14ac:dyDescent="0.3">
      <c r="A1304">
        <v>466</v>
      </c>
      <c r="B1304">
        <v>1</v>
      </c>
      <c r="C1304">
        <v>19</v>
      </c>
      <c r="D1304" t="str">
        <f>VLOOKUP($C1304,products!$A$1:$F$322,MATCH(order_items!$D$1,products!$A$1:$F$1,0),FALSE)</f>
        <v>Pure Cycles William 3-Speed - 2016</v>
      </c>
      <c r="E1304">
        <f>VLOOKUP($C1304,products!$A$1:$F$322,MATCH(order_items!$E$1,products!$A$1:$F$1,0),FALSE)</f>
        <v>3</v>
      </c>
      <c r="F1304" t="str">
        <f>VLOOKUP($E1304,categories!$A$1:$B$8,MATCH(order_items!$F$1,categories!$A$1:$B$1,0),FALSE)</f>
        <v>Cruisers Bicycles</v>
      </c>
      <c r="G1304">
        <v>2</v>
      </c>
      <c r="H1304">
        <v>449</v>
      </c>
      <c r="I1304" s="5">
        <v>0.2</v>
      </c>
      <c r="J1304">
        <f t="shared" si="40"/>
        <v>718.40000000000009</v>
      </c>
      <c r="K1304" s="9">
        <f t="shared" si="41"/>
        <v>-0.56459915393225968</v>
      </c>
    </row>
    <row r="1305" spans="1:11" x14ac:dyDescent="0.3">
      <c r="A1305">
        <v>466</v>
      </c>
      <c r="B1305">
        <v>2</v>
      </c>
      <c r="C1305">
        <v>6</v>
      </c>
      <c r="D1305" t="str">
        <f>VLOOKUP($C1305,products!$A$1:$F$322,MATCH(order_items!$D$1,products!$A$1:$F$1,0),FALSE)</f>
        <v>Surly Ice Cream Truck Frameset - 2016</v>
      </c>
      <c r="E1305">
        <f>VLOOKUP($C1305,products!$A$1:$F$322,MATCH(order_items!$E$1,products!$A$1:$F$1,0),FALSE)</f>
        <v>6</v>
      </c>
      <c r="F1305" t="str">
        <f>VLOOKUP($E1305,categories!$A$1:$B$8,MATCH(order_items!$F$1,categories!$A$1:$B$1,0),FALSE)</f>
        <v>Mountain Bikes</v>
      </c>
      <c r="G1305">
        <v>1</v>
      </c>
      <c r="H1305">
        <v>469.99</v>
      </c>
      <c r="I1305" s="5">
        <v>0.2</v>
      </c>
      <c r="J1305">
        <f t="shared" si="40"/>
        <v>375.99200000000002</v>
      </c>
      <c r="K1305" s="9">
        <f t="shared" si="41"/>
        <v>-0.5490815238530955</v>
      </c>
    </row>
    <row r="1306" spans="1:11" x14ac:dyDescent="0.3">
      <c r="A1306">
        <v>466</v>
      </c>
      <c r="B1306">
        <v>3</v>
      </c>
      <c r="C1306">
        <v>7</v>
      </c>
      <c r="D1306" t="str">
        <f>VLOOKUP($C1306,products!$A$1:$F$322,MATCH(order_items!$D$1,products!$A$1:$F$1,0),FALSE)</f>
        <v>Trek Slash 8 27.5 - 2016</v>
      </c>
      <c r="E1306">
        <f>VLOOKUP($C1306,products!$A$1:$F$322,MATCH(order_items!$E$1,products!$A$1:$F$1,0),FALSE)</f>
        <v>6</v>
      </c>
      <c r="F1306" t="str">
        <f>VLOOKUP($E1306,categories!$A$1:$B$8,MATCH(order_items!$F$1,categories!$A$1:$B$1,0),FALSE)</f>
        <v>Mountain Bikes</v>
      </c>
      <c r="G1306">
        <v>2</v>
      </c>
      <c r="H1306">
        <v>3999.99</v>
      </c>
      <c r="I1306" s="5">
        <v>0.05</v>
      </c>
      <c r="J1306">
        <f t="shared" si="40"/>
        <v>7599.9809999999989</v>
      </c>
      <c r="K1306" s="9">
        <f t="shared" si="41"/>
        <v>2.0606009048962846</v>
      </c>
    </row>
    <row r="1307" spans="1:11" x14ac:dyDescent="0.3">
      <c r="A1307">
        <v>466</v>
      </c>
      <c r="B1307">
        <v>4</v>
      </c>
      <c r="C1307">
        <v>15</v>
      </c>
      <c r="D1307" t="str">
        <f>VLOOKUP($C1307,products!$A$1:$F$322,MATCH(order_items!$D$1,products!$A$1:$F$1,0),FALSE)</f>
        <v>Electra Moto 1 - 2016</v>
      </c>
      <c r="E1307">
        <f>VLOOKUP($C1307,products!$A$1:$F$322,MATCH(order_items!$E$1,products!$A$1:$F$1,0),FALSE)</f>
        <v>3</v>
      </c>
      <c r="F1307" t="str">
        <f>VLOOKUP($E1307,categories!$A$1:$B$8,MATCH(order_items!$F$1,categories!$A$1:$B$1,0),FALSE)</f>
        <v>Cruisers Bicycles</v>
      </c>
      <c r="G1307">
        <v>1</v>
      </c>
      <c r="H1307">
        <v>529.99</v>
      </c>
      <c r="I1307" s="5">
        <v>0.1</v>
      </c>
      <c r="J1307">
        <f t="shared" si="40"/>
        <v>476.99100000000004</v>
      </c>
      <c r="K1307" s="9">
        <f t="shared" si="41"/>
        <v>-0.50472431543242624</v>
      </c>
    </row>
    <row r="1308" spans="1:11" x14ac:dyDescent="0.3">
      <c r="A1308">
        <v>466</v>
      </c>
      <c r="B1308">
        <v>5</v>
      </c>
      <c r="C1308">
        <v>5</v>
      </c>
      <c r="D1308" t="str">
        <f>VLOOKUP($C1308,products!$A$1:$F$322,MATCH(order_items!$D$1,products!$A$1:$F$1,0),FALSE)</f>
        <v>Heller Shagamaw Frame - 2016</v>
      </c>
      <c r="E1308">
        <f>VLOOKUP($C1308,products!$A$1:$F$322,MATCH(order_items!$E$1,products!$A$1:$F$1,0),FALSE)</f>
        <v>6</v>
      </c>
      <c r="F1308" t="str">
        <f>VLOOKUP($E1308,categories!$A$1:$B$8,MATCH(order_items!$F$1,categories!$A$1:$B$1,0),FALSE)</f>
        <v>Mountain Bikes</v>
      </c>
      <c r="G1308">
        <v>1</v>
      </c>
      <c r="H1308">
        <v>1320.99</v>
      </c>
      <c r="I1308" s="5">
        <v>0.1</v>
      </c>
      <c r="J1308">
        <f t="shared" si="40"/>
        <v>1188.8910000000001</v>
      </c>
      <c r="K1308" s="9">
        <f t="shared" si="41"/>
        <v>8.0051548913398024E-2</v>
      </c>
    </row>
    <row r="1309" spans="1:11" x14ac:dyDescent="0.3">
      <c r="A1309">
        <v>467</v>
      </c>
      <c r="B1309">
        <v>1</v>
      </c>
      <c r="C1309">
        <v>19</v>
      </c>
      <c r="D1309" t="str">
        <f>VLOOKUP($C1309,products!$A$1:$F$322,MATCH(order_items!$D$1,products!$A$1:$F$1,0),FALSE)</f>
        <v>Pure Cycles William 3-Speed - 2016</v>
      </c>
      <c r="E1309">
        <f>VLOOKUP($C1309,products!$A$1:$F$322,MATCH(order_items!$E$1,products!$A$1:$F$1,0),FALSE)</f>
        <v>3</v>
      </c>
      <c r="F1309" t="str">
        <f>VLOOKUP($E1309,categories!$A$1:$B$8,MATCH(order_items!$F$1,categories!$A$1:$B$1,0),FALSE)</f>
        <v>Cruisers Bicycles</v>
      </c>
      <c r="G1309">
        <v>1</v>
      </c>
      <c r="H1309">
        <v>449</v>
      </c>
      <c r="I1309" s="5">
        <v>7.0000000000000007E-2</v>
      </c>
      <c r="J1309">
        <f t="shared" si="40"/>
        <v>417.57</v>
      </c>
      <c r="K1309" s="9">
        <f t="shared" si="41"/>
        <v>-0.56459915393225968</v>
      </c>
    </row>
    <row r="1310" spans="1:11" x14ac:dyDescent="0.3">
      <c r="A1310">
        <v>467</v>
      </c>
      <c r="B1310">
        <v>2</v>
      </c>
      <c r="C1310">
        <v>10</v>
      </c>
      <c r="D1310" t="str">
        <f>VLOOKUP($C1310,products!$A$1:$F$322,MATCH(order_items!$D$1,products!$A$1:$F$1,0),FALSE)</f>
        <v>Surly Straggler - 2016</v>
      </c>
      <c r="E1310">
        <f>VLOOKUP($C1310,products!$A$1:$F$322,MATCH(order_items!$E$1,products!$A$1:$F$1,0),FALSE)</f>
        <v>4</v>
      </c>
      <c r="F1310" t="str">
        <f>VLOOKUP($E1310,categories!$A$1:$B$8,MATCH(order_items!$F$1,categories!$A$1:$B$1,0),FALSE)</f>
        <v>Cyclocross Bicycles</v>
      </c>
      <c r="G1310">
        <v>1</v>
      </c>
      <c r="H1310">
        <v>1549</v>
      </c>
      <c r="I1310" s="5">
        <v>7.0000000000000007E-2</v>
      </c>
      <c r="J1310">
        <f t="shared" si="40"/>
        <v>1440.57</v>
      </c>
      <c r="K1310" s="9">
        <f t="shared" si="41"/>
        <v>0.24861633378001166</v>
      </c>
    </row>
    <row r="1311" spans="1:11" x14ac:dyDescent="0.3">
      <c r="A1311">
        <v>467</v>
      </c>
      <c r="B1311">
        <v>3</v>
      </c>
      <c r="C1311">
        <v>22</v>
      </c>
      <c r="D1311" t="str">
        <f>VLOOKUP($C1311,products!$A$1:$F$322,MATCH(order_items!$D$1,products!$A$1:$F$1,0),FALSE)</f>
        <v>Electra Girl's Hawaii 1 (16-inch) - 2015/2016</v>
      </c>
      <c r="E1311">
        <f>VLOOKUP($C1311,products!$A$1:$F$322,MATCH(order_items!$E$1,products!$A$1:$F$1,0),FALSE)</f>
        <v>1</v>
      </c>
      <c r="F1311" t="str">
        <f>VLOOKUP($E1311,categories!$A$1:$B$8,MATCH(order_items!$F$1,categories!$A$1:$B$1,0),FALSE)</f>
        <v>Children Bicycles</v>
      </c>
      <c r="G1311">
        <v>2</v>
      </c>
      <c r="H1311">
        <v>269.99</v>
      </c>
      <c r="I1311" s="5">
        <v>0.1</v>
      </c>
      <c r="J1311">
        <f t="shared" si="40"/>
        <v>485.98200000000003</v>
      </c>
      <c r="K1311" s="9">
        <f t="shared" si="41"/>
        <v>-0.69693888525532666</v>
      </c>
    </row>
    <row r="1312" spans="1:11" x14ac:dyDescent="0.3">
      <c r="A1312">
        <v>467</v>
      </c>
      <c r="B1312">
        <v>4</v>
      </c>
      <c r="C1312">
        <v>17</v>
      </c>
      <c r="D1312" t="str">
        <f>VLOOKUP($C1312,products!$A$1:$F$322,MATCH(order_items!$D$1,products!$A$1:$F$1,0),FALSE)</f>
        <v>Pure Cycles Vine 8-Speed - 2016</v>
      </c>
      <c r="E1312">
        <f>VLOOKUP($C1312,products!$A$1:$F$322,MATCH(order_items!$E$1,products!$A$1:$F$1,0),FALSE)</f>
        <v>3</v>
      </c>
      <c r="F1312" t="str">
        <f>VLOOKUP($E1312,categories!$A$1:$B$8,MATCH(order_items!$F$1,categories!$A$1:$B$1,0),FALSE)</f>
        <v>Cruisers Bicycles</v>
      </c>
      <c r="G1312">
        <v>2</v>
      </c>
      <c r="H1312">
        <v>429</v>
      </c>
      <c r="I1312" s="5">
        <v>7.0000000000000007E-2</v>
      </c>
      <c r="J1312">
        <f t="shared" si="40"/>
        <v>797.93999999999994</v>
      </c>
      <c r="K1312" s="9">
        <f t="shared" si="41"/>
        <v>-0.57938489007248284</v>
      </c>
    </row>
    <row r="1313" spans="1:11" x14ac:dyDescent="0.3">
      <c r="A1313">
        <v>467</v>
      </c>
      <c r="B1313">
        <v>5</v>
      </c>
      <c r="C1313">
        <v>11</v>
      </c>
      <c r="D1313" t="str">
        <f>VLOOKUP($C1313,products!$A$1:$F$322,MATCH(order_items!$D$1,products!$A$1:$F$1,0),FALSE)</f>
        <v>Surly Straggler 650b - 2016</v>
      </c>
      <c r="E1313">
        <f>VLOOKUP($C1313,products!$A$1:$F$322,MATCH(order_items!$E$1,products!$A$1:$F$1,0),FALSE)</f>
        <v>4</v>
      </c>
      <c r="F1313" t="str">
        <f>VLOOKUP($E1313,categories!$A$1:$B$8,MATCH(order_items!$F$1,categories!$A$1:$B$1,0),FALSE)</f>
        <v>Cyclocross Bicycles</v>
      </c>
      <c r="G1313">
        <v>1</v>
      </c>
      <c r="H1313">
        <v>1680.99</v>
      </c>
      <c r="I1313" s="5">
        <v>0.1</v>
      </c>
      <c r="J1313">
        <f t="shared" si="40"/>
        <v>1512.8910000000001</v>
      </c>
      <c r="K1313" s="9">
        <f t="shared" si="41"/>
        <v>0.3461947994374141</v>
      </c>
    </row>
    <row r="1314" spans="1:11" x14ac:dyDescent="0.3">
      <c r="A1314">
        <v>468</v>
      </c>
      <c r="B1314">
        <v>1</v>
      </c>
      <c r="C1314">
        <v>19</v>
      </c>
      <c r="D1314" t="str">
        <f>VLOOKUP($C1314,products!$A$1:$F$322,MATCH(order_items!$D$1,products!$A$1:$F$1,0),FALSE)</f>
        <v>Pure Cycles William 3-Speed - 2016</v>
      </c>
      <c r="E1314">
        <f>VLOOKUP($C1314,products!$A$1:$F$322,MATCH(order_items!$E$1,products!$A$1:$F$1,0),FALSE)</f>
        <v>3</v>
      </c>
      <c r="F1314" t="str">
        <f>VLOOKUP($E1314,categories!$A$1:$B$8,MATCH(order_items!$F$1,categories!$A$1:$B$1,0),FALSE)</f>
        <v>Cruisers Bicycles</v>
      </c>
      <c r="G1314">
        <v>1</v>
      </c>
      <c r="H1314">
        <v>449</v>
      </c>
      <c r="I1314" s="5">
        <v>0.1</v>
      </c>
      <c r="J1314">
        <f t="shared" si="40"/>
        <v>404.1</v>
      </c>
      <c r="K1314" s="9">
        <f t="shared" si="41"/>
        <v>-0.56459915393225968</v>
      </c>
    </row>
    <row r="1315" spans="1:11" x14ac:dyDescent="0.3">
      <c r="A1315">
        <v>468</v>
      </c>
      <c r="B1315">
        <v>2</v>
      </c>
      <c r="C1315">
        <v>9</v>
      </c>
      <c r="D1315" t="str">
        <f>VLOOKUP($C1315,products!$A$1:$F$322,MATCH(order_items!$D$1,products!$A$1:$F$1,0),FALSE)</f>
        <v>Trek Conduit+ - 2016</v>
      </c>
      <c r="E1315">
        <f>VLOOKUP($C1315,products!$A$1:$F$322,MATCH(order_items!$E$1,products!$A$1:$F$1,0),FALSE)</f>
        <v>5</v>
      </c>
      <c r="F1315" t="str">
        <f>VLOOKUP($E1315,categories!$A$1:$B$8,MATCH(order_items!$F$1,categories!$A$1:$B$1,0),FALSE)</f>
        <v>Electric Bikes</v>
      </c>
      <c r="G1315">
        <v>2</v>
      </c>
      <c r="H1315">
        <v>2999.99</v>
      </c>
      <c r="I1315" s="5">
        <v>0.05</v>
      </c>
      <c r="J1315">
        <f t="shared" si="40"/>
        <v>5699.9809999999998</v>
      </c>
      <c r="K1315" s="9">
        <f t="shared" si="41"/>
        <v>1.3213140978851283</v>
      </c>
    </row>
    <row r="1316" spans="1:11" x14ac:dyDescent="0.3">
      <c r="A1316">
        <v>468</v>
      </c>
      <c r="B1316">
        <v>3</v>
      </c>
      <c r="C1316">
        <v>10</v>
      </c>
      <c r="D1316" t="str">
        <f>VLOOKUP($C1316,products!$A$1:$F$322,MATCH(order_items!$D$1,products!$A$1:$F$1,0),FALSE)</f>
        <v>Surly Straggler - 2016</v>
      </c>
      <c r="E1316">
        <f>VLOOKUP($C1316,products!$A$1:$F$322,MATCH(order_items!$E$1,products!$A$1:$F$1,0),FALSE)</f>
        <v>4</v>
      </c>
      <c r="F1316" t="str">
        <f>VLOOKUP($E1316,categories!$A$1:$B$8,MATCH(order_items!$F$1,categories!$A$1:$B$1,0),FALSE)</f>
        <v>Cyclocross Bicycles</v>
      </c>
      <c r="G1316">
        <v>2</v>
      </c>
      <c r="H1316">
        <v>1549</v>
      </c>
      <c r="I1316" s="5">
        <v>0.05</v>
      </c>
      <c r="J1316">
        <f t="shared" si="40"/>
        <v>2943.1</v>
      </c>
      <c r="K1316" s="9">
        <f t="shared" si="41"/>
        <v>0.24861633378001166</v>
      </c>
    </row>
    <row r="1317" spans="1:11" x14ac:dyDescent="0.3">
      <c r="A1317">
        <v>468</v>
      </c>
      <c r="B1317">
        <v>4</v>
      </c>
      <c r="C1317">
        <v>25</v>
      </c>
      <c r="D1317" t="str">
        <f>VLOOKUP($C1317,products!$A$1:$F$322,MATCH(order_items!$D$1,products!$A$1:$F$1,0),FALSE)</f>
        <v>Electra Townie Original 7D - 2015/2016</v>
      </c>
      <c r="E1317">
        <f>VLOOKUP($C1317,products!$A$1:$F$322,MATCH(order_items!$E$1,products!$A$1:$F$1,0),FALSE)</f>
        <v>2</v>
      </c>
      <c r="F1317" t="str">
        <f>VLOOKUP($E1317,categories!$A$1:$B$8,MATCH(order_items!$F$1,categories!$A$1:$B$1,0),FALSE)</f>
        <v>Comfort Bicycles</v>
      </c>
      <c r="G1317">
        <v>1</v>
      </c>
      <c r="H1317">
        <v>499.99</v>
      </c>
      <c r="I1317" s="5">
        <v>0.1</v>
      </c>
      <c r="J1317">
        <f t="shared" si="40"/>
        <v>449.99100000000004</v>
      </c>
      <c r="K1317" s="9">
        <f t="shared" si="41"/>
        <v>-0.52690291964276081</v>
      </c>
    </row>
    <row r="1318" spans="1:11" x14ac:dyDescent="0.3">
      <c r="A1318">
        <v>469</v>
      </c>
      <c r="B1318">
        <v>1</v>
      </c>
      <c r="C1318">
        <v>8</v>
      </c>
      <c r="D1318" t="str">
        <f>VLOOKUP($C1318,products!$A$1:$F$322,MATCH(order_items!$D$1,products!$A$1:$F$1,0),FALSE)</f>
        <v>Trek Remedy 29 Carbon Frameset - 2016</v>
      </c>
      <c r="E1318">
        <f>VLOOKUP($C1318,products!$A$1:$F$322,MATCH(order_items!$E$1,products!$A$1:$F$1,0),FALSE)</f>
        <v>6</v>
      </c>
      <c r="F1318" t="str">
        <f>VLOOKUP($E1318,categories!$A$1:$B$8,MATCH(order_items!$F$1,categories!$A$1:$B$1,0),FALSE)</f>
        <v>Mountain Bikes</v>
      </c>
      <c r="G1318">
        <v>2</v>
      </c>
      <c r="H1318">
        <v>1799.99</v>
      </c>
      <c r="I1318" s="5">
        <v>0.1</v>
      </c>
      <c r="J1318">
        <f t="shared" si="40"/>
        <v>3239.982</v>
      </c>
      <c r="K1318" s="9">
        <f t="shared" si="41"/>
        <v>0.43416992947174166</v>
      </c>
    </row>
    <row r="1319" spans="1:11" x14ac:dyDescent="0.3">
      <c r="A1319">
        <v>469</v>
      </c>
      <c r="B1319">
        <v>2</v>
      </c>
      <c r="C1319">
        <v>4</v>
      </c>
      <c r="D1319" t="str">
        <f>VLOOKUP($C1319,products!$A$1:$F$322,MATCH(order_items!$D$1,products!$A$1:$F$1,0),FALSE)</f>
        <v>Trek Fuel EX 8 29 - 2016</v>
      </c>
      <c r="E1319">
        <f>VLOOKUP($C1319,products!$A$1:$F$322,MATCH(order_items!$E$1,products!$A$1:$F$1,0),FALSE)</f>
        <v>6</v>
      </c>
      <c r="F1319" t="str">
        <f>VLOOKUP($E1319,categories!$A$1:$B$8,MATCH(order_items!$F$1,categories!$A$1:$B$1,0),FALSE)</f>
        <v>Mountain Bikes</v>
      </c>
      <c r="G1319">
        <v>1</v>
      </c>
      <c r="H1319">
        <v>2899.99</v>
      </c>
      <c r="I1319" s="5">
        <v>7.0000000000000007E-2</v>
      </c>
      <c r="J1319">
        <f t="shared" si="40"/>
        <v>2696.9906999999998</v>
      </c>
      <c r="K1319" s="9">
        <f t="shared" si="41"/>
        <v>1.2473854171840129</v>
      </c>
    </row>
    <row r="1320" spans="1:11" x14ac:dyDescent="0.3">
      <c r="A1320">
        <v>469</v>
      </c>
      <c r="B1320">
        <v>3</v>
      </c>
      <c r="C1320">
        <v>15</v>
      </c>
      <c r="D1320" t="str">
        <f>VLOOKUP($C1320,products!$A$1:$F$322,MATCH(order_items!$D$1,products!$A$1:$F$1,0),FALSE)</f>
        <v>Electra Moto 1 - 2016</v>
      </c>
      <c r="E1320">
        <f>VLOOKUP($C1320,products!$A$1:$F$322,MATCH(order_items!$E$1,products!$A$1:$F$1,0),FALSE)</f>
        <v>3</v>
      </c>
      <c r="F1320" t="str">
        <f>VLOOKUP($E1320,categories!$A$1:$B$8,MATCH(order_items!$F$1,categories!$A$1:$B$1,0),FALSE)</f>
        <v>Cruisers Bicycles</v>
      </c>
      <c r="G1320">
        <v>2</v>
      </c>
      <c r="H1320">
        <v>529.99</v>
      </c>
      <c r="I1320" s="5">
        <v>0.2</v>
      </c>
      <c r="J1320">
        <f t="shared" si="40"/>
        <v>847.98400000000004</v>
      </c>
      <c r="K1320" s="9">
        <f t="shared" si="41"/>
        <v>-0.50472431543242624</v>
      </c>
    </row>
    <row r="1321" spans="1:11" x14ac:dyDescent="0.3">
      <c r="A1321">
        <v>470</v>
      </c>
      <c r="B1321">
        <v>1</v>
      </c>
      <c r="C1321">
        <v>18</v>
      </c>
      <c r="D1321" t="str">
        <f>VLOOKUP($C1321,products!$A$1:$F$322,MATCH(order_items!$D$1,products!$A$1:$F$1,0),FALSE)</f>
        <v>Pure Cycles Western 3-Speed - Women's - 2015/2016</v>
      </c>
      <c r="E1321">
        <f>VLOOKUP($C1321,products!$A$1:$F$322,MATCH(order_items!$E$1,products!$A$1:$F$1,0),FALSE)</f>
        <v>3</v>
      </c>
      <c r="F1321" t="str">
        <f>VLOOKUP($E1321,categories!$A$1:$B$8,MATCH(order_items!$F$1,categories!$A$1:$B$1,0),FALSE)</f>
        <v>Cruisers Bicycles</v>
      </c>
      <c r="G1321">
        <v>1</v>
      </c>
      <c r="H1321">
        <v>449</v>
      </c>
      <c r="I1321" s="5">
        <v>0.05</v>
      </c>
      <c r="J1321">
        <f t="shared" si="40"/>
        <v>426.54999999999995</v>
      </c>
      <c r="K1321" s="9">
        <f t="shared" si="41"/>
        <v>-0.56459915393225968</v>
      </c>
    </row>
    <row r="1322" spans="1:11" x14ac:dyDescent="0.3">
      <c r="A1322">
        <v>470</v>
      </c>
      <c r="B1322">
        <v>2</v>
      </c>
      <c r="C1322">
        <v>13</v>
      </c>
      <c r="D1322" t="str">
        <f>VLOOKUP($C1322,products!$A$1:$F$322,MATCH(order_items!$D$1,products!$A$1:$F$1,0),FALSE)</f>
        <v>Electra Cruiser 1 (24-Inch) - 2016</v>
      </c>
      <c r="E1322">
        <f>VLOOKUP($C1322,products!$A$1:$F$322,MATCH(order_items!$E$1,products!$A$1:$F$1,0),FALSE)</f>
        <v>3</v>
      </c>
      <c r="F1322" t="str">
        <f>VLOOKUP($E1322,categories!$A$1:$B$8,MATCH(order_items!$F$1,categories!$A$1:$B$1,0),FALSE)</f>
        <v>Cruisers Bicycles</v>
      </c>
      <c r="G1322">
        <v>1</v>
      </c>
      <c r="H1322">
        <v>269.99</v>
      </c>
      <c r="I1322" s="5">
        <v>0.05</v>
      </c>
      <c r="J1322">
        <f t="shared" si="40"/>
        <v>256.4905</v>
      </c>
      <c r="K1322" s="9">
        <f t="shared" si="41"/>
        <v>-0.69693888525532666</v>
      </c>
    </row>
    <row r="1323" spans="1:11" x14ac:dyDescent="0.3">
      <c r="A1323">
        <v>470</v>
      </c>
      <c r="B1323">
        <v>3</v>
      </c>
      <c r="C1323">
        <v>8</v>
      </c>
      <c r="D1323" t="str">
        <f>VLOOKUP($C1323,products!$A$1:$F$322,MATCH(order_items!$D$1,products!$A$1:$F$1,0),FALSE)</f>
        <v>Trek Remedy 29 Carbon Frameset - 2016</v>
      </c>
      <c r="E1323">
        <f>VLOOKUP($C1323,products!$A$1:$F$322,MATCH(order_items!$E$1,products!$A$1:$F$1,0),FALSE)</f>
        <v>6</v>
      </c>
      <c r="F1323" t="str">
        <f>VLOOKUP($E1323,categories!$A$1:$B$8,MATCH(order_items!$F$1,categories!$A$1:$B$1,0),FALSE)</f>
        <v>Mountain Bikes</v>
      </c>
      <c r="G1323">
        <v>2</v>
      </c>
      <c r="H1323">
        <v>1799.99</v>
      </c>
      <c r="I1323" s="5">
        <v>0.2</v>
      </c>
      <c r="J1323">
        <f t="shared" si="40"/>
        <v>2879.9840000000004</v>
      </c>
      <c r="K1323" s="9">
        <f t="shared" si="41"/>
        <v>0.43416992947174166</v>
      </c>
    </row>
    <row r="1324" spans="1:11" x14ac:dyDescent="0.3">
      <c r="A1324">
        <v>471</v>
      </c>
      <c r="B1324">
        <v>1</v>
      </c>
      <c r="C1324">
        <v>14</v>
      </c>
      <c r="D1324" t="str">
        <f>VLOOKUP($C1324,products!$A$1:$F$322,MATCH(order_items!$D$1,products!$A$1:$F$1,0),FALSE)</f>
        <v>Electra Girl's Hawaii 1 (16-inch) - 2015/2016</v>
      </c>
      <c r="E1324">
        <f>VLOOKUP($C1324,products!$A$1:$F$322,MATCH(order_items!$E$1,products!$A$1:$F$1,0),FALSE)</f>
        <v>3</v>
      </c>
      <c r="F1324" t="str">
        <f>VLOOKUP($E1324,categories!$A$1:$B$8,MATCH(order_items!$F$1,categories!$A$1:$B$1,0),FALSE)</f>
        <v>Cruisers Bicycles</v>
      </c>
      <c r="G1324">
        <v>1</v>
      </c>
      <c r="H1324">
        <v>269.99</v>
      </c>
      <c r="I1324" s="5">
        <v>0.2</v>
      </c>
      <c r="J1324">
        <f t="shared" si="40"/>
        <v>215.99200000000002</v>
      </c>
      <c r="K1324" s="9">
        <f t="shared" si="41"/>
        <v>-0.69693888525532666</v>
      </c>
    </row>
    <row r="1325" spans="1:11" x14ac:dyDescent="0.3">
      <c r="A1325">
        <v>471</v>
      </c>
      <c r="B1325">
        <v>2</v>
      </c>
      <c r="C1325">
        <v>13</v>
      </c>
      <c r="D1325" t="str">
        <f>VLOOKUP($C1325,products!$A$1:$F$322,MATCH(order_items!$D$1,products!$A$1:$F$1,0),FALSE)</f>
        <v>Electra Cruiser 1 (24-Inch) - 2016</v>
      </c>
      <c r="E1325">
        <f>VLOOKUP($C1325,products!$A$1:$F$322,MATCH(order_items!$E$1,products!$A$1:$F$1,0),FALSE)</f>
        <v>3</v>
      </c>
      <c r="F1325" t="str">
        <f>VLOOKUP($E1325,categories!$A$1:$B$8,MATCH(order_items!$F$1,categories!$A$1:$B$1,0),FALSE)</f>
        <v>Cruisers Bicycles</v>
      </c>
      <c r="G1325">
        <v>2</v>
      </c>
      <c r="H1325">
        <v>269.99</v>
      </c>
      <c r="I1325" s="5">
        <v>0.05</v>
      </c>
      <c r="J1325">
        <f t="shared" si="40"/>
        <v>512.98099999999999</v>
      </c>
      <c r="K1325" s="9">
        <f t="shared" si="41"/>
        <v>-0.69693888525532666</v>
      </c>
    </row>
    <row r="1326" spans="1:11" x14ac:dyDescent="0.3">
      <c r="A1326">
        <v>472</v>
      </c>
      <c r="B1326">
        <v>1</v>
      </c>
      <c r="C1326">
        <v>15</v>
      </c>
      <c r="D1326" t="str">
        <f>VLOOKUP($C1326,products!$A$1:$F$322,MATCH(order_items!$D$1,products!$A$1:$F$1,0),FALSE)</f>
        <v>Electra Moto 1 - 2016</v>
      </c>
      <c r="E1326">
        <f>VLOOKUP($C1326,products!$A$1:$F$322,MATCH(order_items!$E$1,products!$A$1:$F$1,0),FALSE)</f>
        <v>3</v>
      </c>
      <c r="F1326" t="str">
        <f>VLOOKUP($E1326,categories!$A$1:$B$8,MATCH(order_items!$F$1,categories!$A$1:$B$1,0),FALSE)</f>
        <v>Cruisers Bicycles</v>
      </c>
      <c r="G1326">
        <v>1</v>
      </c>
      <c r="H1326">
        <v>529.99</v>
      </c>
      <c r="I1326" s="5">
        <v>0.1</v>
      </c>
      <c r="J1326">
        <f t="shared" si="40"/>
        <v>476.99100000000004</v>
      </c>
      <c r="K1326" s="9">
        <f t="shared" si="41"/>
        <v>-0.50472431543242624</v>
      </c>
    </row>
    <row r="1327" spans="1:11" x14ac:dyDescent="0.3">
      <c r="A1327">
        <v>472</v>
      </c>
      <c r="B1327">
        <v>2</v>
      </c>
      <c r="C1327">
        <v>21</v>
      </c>
      <c r="D1327" t="str">
        <f>VLOOKUP($C1327,products!$A$1:$F$322,MATCH(order_items!$D$1,products!$A$1:$F$1,0),FALSE)</f>
        <v>Electra Cruiser 1 (24-Inch) - 2016</v>
      </c>
      <c r="E1327">
        <f>VLOOKUP($C1327,products!$A$1:$F$322,MATCH(order_items!$E$1,products!$A$1:$F$1,0),FALSE)</f>
        <v>1</v>
      </c>
      <c r="F1327" t="str">
        <f>VLOOKUP($E1327,categories!$A$1:$B$8,MATCH(order_items!$F$1,categories!$A$1:$B$1,0),FALSE)</f>
        <v>Children Bicycles</v>
      </c>
      <c r="G1327">
        <v>2</v>
      </c>
      <c r="H1327">
        <v>269.99</v>
      </c>
      <c r="I1327" s="5">
        <v>0.1</v>
      </c>
      <c r="J1327">
        <f t="shared" si="40"/>
        <v>485.98200000000003</v>
      </c>
      <c r="K1327" s="9">
        <f t="shared" si="41"/>
        <v>-0.69693888525532666</v>
      </c>
    </row>
    <row r="1328" spans="1:11" x14ac:dyDescent="0.3">
      <c r="A1328">
        <v>473</v>
      </c>
      <c r="B1328">
        <v>1</v>
      </c>
      <c r="C1328">
        <v>26</v>
      </c>
      <c r="D1328" t="str">
        <f>VLOOKUP($C1328,products!$A$1:$F$322,MATCH(order_items!$D$1,products!$A$1:$F$1,0),FALSE)</f>
        <v>Electra Townie Original 7D EQ - 2016</v>
      </c>
      <c r="E1328">
        <f>VLOOKUP($C1328,products!$A$1:$F$322,MATCH(order_items!$E$1,products!$A$1:$F$1,0),FALSE)</f>
        <v>2</v>
      </c>
      <c r="F1328" t="str">
        <f>VLOOKUP($E1328,categories!$A$1:$B$8,MATCH(order_items!$F$1,categories!$A$1:$B$1,0),FALSE)</f>
        <v>Comfort Bicycles</v>
      </c>
      <c r="G1328">
        <v>1</v>
      </c>
      <c r="H1328">
        <v>599.99</v>
      </c>
      <c r="I1328" s="5">
        <v>7.0000000000000007E-2</v>
      </c>
      <c r="J1328">
        <f t="shared" si="40"/>
        <v>557.99069999999995</v>
      </c>
      <c r="K1328" s="9">
        <f t="shared" si="41"/>
        <v>-0.45297423894164529</v>
      </c>
    </row>
    <row r="1329" spans="1:11" x14ac:dyDescent="0.3">
      <c r="A1329">
        <v>474</v>
      </c>
      <c r="B1329">
        <v>1</v>
      </c>
      <c r="C1329">
        <v>19</v>
      </c>
      <c r="D1329" t="str">
        <f>VLOOKUP($C1329,products!$A$1:$F$322,MATCH(order_items!$D$1,products!$A$1:$F$1,0),FALSE)</f>
        <v>Pure Cycles William 3-Speed - 2016</v>
      </c>
      <c r="E1329">
        <f>VLOOKUP($C1329,products!$A$1:$F$322,MATCH(order_items!$E$1,products!$A$1:$F$1,0),FALSE)</f>
        <v>3</v>
      </c>
      <c r="F1329" t="str">
        <f>VLOOKUP($E1329,categories!$A$1:$B$8,MATCH(order_items!$F$1,categories!$A$1:$B$1,0),FALSE)</f>
        <v>Cruisers Bicycles</v>
      </c>
      <c r="G1329">
        <v>2</v>
      </c>
      <c r="H1329">
        <v>449</v>
      </c>
      <c r="I1329" s="5">
        <v>0.05</v>
      </c>
      <c r="J1329">
        <f t="shared" si="40"/>
        <v>853.09999999999991</v>
      </c>
      <c r="K1329" s="9">
        <f t="shared" si="41"/>
        <v>-0.56459915393225968</v>
      </c>
    </row>
    <row r="1330" spans="1:11" x14ac:dyDescent="0.3">
      <c r="A1330">
        <v>474</v>
      </c>
      <c r="B1330">
        <v>2</v>
      </c>
      <c r="C1330">
        <v>11</v>
      </c>
      <c r="D1330" t="str">
        <f>VLOOKUP($C1330,products!$A$1:$F$322,MATCH(order_items!$D$1,products!$A$1:$F$1,0),FALSE)</f>
        <v>Surly Straggler 650b - 2016</v>
      </c>
      <c r="E1330">
        <f>VLOOKUP($C1330,products!$A$1:$F$322,MATCH(order_items!$E$1,products!$A$1:$F$1,0),FALSE)</f>
        <v>4</v>
      </c>
      <c r="F1330" t="str">
        <f>VLOOKUP($E1330,categories!$A$1:$B$8,MATCH(order_items!$F$1,categories!$A$1:$B$1,0),FALSE)</f>
        <v>Cyclocross Bicycles</v>
      </c>
      <c r="G1330">
        <v>1</v>
      </c>
      <c r="H1330">
        <v>1680.99</v>
      </c>
      <c r="I1330" s="5">
        <v>0.2</v>
      </c>
      <c r="J1330">
        <f t="shared" si="40"/>
        <v>1344.7920000000001</v>
      </c>
      <c r="K1330" s="9">
        <f t="shared" si="41"/>
        <v>0.3461947994374141</v>
      </c>
    </row>
    <row r="1331" spans="1:11" x14ac:dyDescent="0.3">
      <c r="A1331">
        <v>475</v>
      </c>
      <c r="B1331">
        <v>1</v>
      </c>
      <c r="C1331">
        <v>17</v>
      </c>
      <c r="D1331" t="str">
        <f>VLOOKUP($C1331,products!$A$1:$F$322,MATCH(order_items!$D$1,products!$A$1:$F$1,0),FALSE)</f>
        <v>Pure Cycles Vine 8-Speed - 2016</v>
      </c>
      <c r="E1331">
        <f>VLOOKUP($C1331,products!$A$1:$F$322,MATCH(order_items!$E$1,products!$A$1:$F$1,0),FALSE)</f>
        <v>3</v>
      </c>
      <c r="F1331" t="str">
        <f>VLOOKUP($E1331,categories!$A$1:$B$8,MATCH(order_items!$F$1,categories!$A$1:$B$1,0),FALSE)</f>
        <v>Cruisers Bicycles</v>
      </c>
      <c r="G1331">
        <v>2</v>
      </c>
      <c r="H1331">
        <v>429</v>
      </c>
      <c r="I1331" s="5">
        <v>7.0000000000000007E-2</v>
      </c>
      <c r="J1331">
        <f t="shared" si="40"/>
        <v>797.93999999999994</v>
      </c>
      <c r="K1331" s="9">
        <f t="shared" si="41"/>
        <v>-0.57938489007248284</v>
      </c>
    </row>
    <row r="1332" spans="1:11" x14ac:dyDescent="0.3">
      <c r="A1332">
        <v>475</v>
      </c>
      <c r="B1332">
        <v>2</v>
      </c>
      <c r="C1332">
        <v>26</v>
      </c>
      <c r="D1332" t="str">
        <f>VLOOKUP($C1332,products!$A$1:$F$322,MATCH(order_items!$D$1,products!$A$1:$F$1,0),FALSE)</f>
        <v>Electra Townie Original 7D EQ - 2016</v>
      </c>
      <c r="E1332">
        <f>VLOOKUP($C1332,products!$A$1:$F$322,MATCH(order_items!$E$1,products!$A$1:$F$1,0),FALSE)</f>
        <v>2</v>
      </c>
      <c r="F1332" t="str">
        <f>VLOOKUP($E1332,categories!$A$1:$B$8,MATCH(order_items!$F$1,categories!$A$1:$B$1,0),FALSE)</f>
        <v>Comfort Bicycles</v>
      </c>
      <c r="G1332">
        <v>2</v>
      </c>
      <c r="H1332">
        <v>599.99</v>
      </c>
      <c r="I1332" s="5">
        <v>0.2</v>
      </c>
      <c r="J1332">
        <f t="shared" si="40"/>
        <v>959.98400000000004</v>
      </c>
      <c r="K1332" s="9">
        <f t="shared" si="41"/>
        <v>-0.45297423894164529</v>
      </c>
    </row>
    <row r="1333" spans="1:11" x14ac:dyDescent="0.3">
      <c r="A1333">
        <v>475</v>
      </c>
      <c r="B1333">
        <v>3</v>
      </c>
      <c r="C1333">
        <v>25</v>
      </c>
      <c r="D1333" t="str">
        <f>VLOOKUP($C1333,products!$A$1:$F$322,MATCH(order_items!$D$1,products!$A$1:$F$1,0),FALSE)</f>
        <v>Electra Townie Original 7D - 2015/2016</v>
      </c>
      <c r="E1333">
        <f>VLOOKUP($C1333,products!$A$1:$F$322,MATCH(order_items!$E$1,products!$A$1:$F$1,0),FALSE)</f>
        <v>2</v>
      </c>
      <c r="F1333" t="str">
        <f>VLOOKUP($E1333,categories!$A$1:$B$8,MATCH(order_items!$F$1,categories!$A$1:$B$1,0),FALSE)</f>
        <v>Comfort Bicycles</v>
      </c>
      <c r="G1333">
        <v>1</v>
      </c>
      <c r="H1333">
        <v>499.99</v>
      </c>
      <c r="I1333" s="5">
        <v>0.2</v>
      </c>
      <c r="J1333">
        <f t="shared" si="40"/>
        <v>399.99200000000002</v>
      </c>
      <c r="K1333" s="9">
        <f t="shared" si="41"/>
        <v>-0.52690291964276081</v>
      </c>
    </row>
    <row r="1334" spans="1:11" x14ac:dyDescent="0.3">
      <c r="A1334">
        <v>476</v>
      </c>
      <c r="B1334">
        <v>1</v>
      </c>
      <c r="C1334">
        <v>22</v>
      </c>
      <c r="D1334" t="str">
        <f>VLOOKUP($C1334,products!$A$1:$F$322,MATCH(order_items!$D$1,products!$A$1:$F$1,0),FALSE)</f>
        <v>Electra Girl's Hawaii 1 (16-inch) - 2015/2016</v>
      </c>
      <c r="E1334">
        <f>VLOOKUP($C1334,products!$A$1:$F$322,MATCH(order_items!$E$1,products!$A$1:$F$1,0),FALSE)</f>
        <v>1</v>
      </c>
      <c r="F1334" t="str">
        <f>VLOOKUP($E1334,categories!$A$1:$B$8,MATCH(order_items!$F$1,categories!$A$1:$B$1,0),FALSE)</f>
        <v>Children Bicycles</v>
      </c>
      <c r="G1334">
        <v>2</v>
      </c>
      <c r="H1334">
        <v>269.99</v>
      </c>
      <c r="I1334" s="5">
        <v>7.0000000000000007E-2</v>
      </c>
      <c r="J1334">
        <f t="shared" si="40"/>
        <v>502.1814</v>
      </c>
      <c r="K1334" s="9">
        <f t="shared" si="41"/>
        <v>-0.69693888525532666</v>
      </c>
    </row>
    <row r="1335" spans="1:11" x14ac:dyDescent="0.3">
      <c r="A1335">
        <v>476</v>
      </c>
      <c r="B1335">
        <v>2</v>
      </c>
      <c r="C1335">
        <v>4</v>
      </c>
      <c r="D1335" t="str">
        <f>VLOOKUP($C1335,products!$A$1:$F$322,MATCH(order_items!$D$1,products!$A$1:$F$1,0),FALSE)</f>
        <v>Trek Fuel EX 8 29 - 2016</v>
      </c>
      <c r="E1335">
        <f>VLOOKUP($C1335,products!$A$1:$F$322,MATCH(order_items!$E$1,products!$A$1:$F$1,0),FALSE)</f>
        <v>6</v>
      </c>
      <c r="F1335" t="str">
        <f>VLOOKUP($E1335,categories!$A$1:$B$8,MATCH(order_items!$F$1,categories!$A$1:$B$1,0),FALSE)</f>
        <v>Mountain Bikes</v>
      </c>
      <c r="G1335">
        <v>2</v>
      </c>
      <c r="H1335">
        <v>2899.99</v>
      </c>
      <c r="I1335" s="5">
        <v>0.2</v>
      </c>
      <c r="J1335">
        <f t="shared" si="40"/>
        <v>4639.9839999999995</v>
      </c>
      <c r="K1335" s="9">
        <f t="shared" si="41"/>
        <v>1.2473854171840129</v>
      </c>
    </row>
    <row r="1336" spans="1:11" x14ac:dyDescent="0.3">
      <c r="A1336">
        <v>476</v>
      </c>
      <c r="B1336">
        <v>3</v>
      </c>
      <c r="C1336">
        <v>11</v>
      </c>
      <c r="D1336" t="str">
        <f>VLOOKUP($C1336,products!$A$1:$F$322,MATCH(order_items!$D$1,products!$A$1:$F$1,0),FALSE)</f>
        <v>Surly Straggler 650b - 2016</v>
      </c>
      <c r="E1336">
        <f>VLOOKUP($C1336,products!$A$1:$F$322,MATCH(order_items!$E$1,products!$A$1:$F$1,0),FALSE)</f>
        <v>4</v>
      </c>
      <c r="F1336" t="str">
        <f>VLOOKUP($E1336,categories!$A$1:$B$8,MATCH(order_items!$F$1,categories!$A$1:$B$1,0),FALSE)</f>
        <v>Cyclocross Bicycles</v>
      </c>
      <c r="G1336">
        <v>2</v>
      </c>
      <c r="H1336">
        <v>1680.99</v>
      </c>
      <c r="I1336" s="5">
        <v>7.0000000000000007E-2</v>
      </c>
      <c r="J1336">
        <f t="shared" si="40"/>
        <v>3126.6414</v>
      </c>
      <c r="K1336" s="9">
        <f t="shared" si="41"/>
        <v>0.3461947994374141</v>
      </c>
    </row>
    <row r="1337" spans="1:11" x14ac:dyDescent="0.3">
      <c r="A1337">
        <v>476</v>
      </c>
      <c r="B1337">
        <v>4</v>
      </c>
      <c r="C1337">
        <v>20</v>
      </c>
      <c r="D1337" t="str">
        <f>VLOOKUP($C1337,products!$A$1:$F$322,MATCH(order_items!$D$1,products!$A$1:$F$1,0),FALSE)</f>
        <v>Electra Townie Original 7D EQ - Women's - 2016</v>
      </c>
      <c r="E1337">
        <f>VLOOKUP($C1337,products!$A$1:$F$322,MATCH(order_items!$E$1,products!$A$1:$F$1,0),FALSE)</f>
        <v>3</v>
      </c>
      <c r="F1337" t="str">
        <f>VLOOKUP($E1337,categories!$A$1:$B$8,MATCH(order_items!$F$1,categories!$A$1:$B$1,0),FALSE)</f>
        <v>Cruisers Bicycles</v>
      </c>
      <c r="G1337">
        <v>2</v>
      </c>
      <c r="H1337">
        <v>599.99</v>
      </c>
      <c r="I1337" s="5">
        <v>0.05</v>
      </c>
      <c r="J1337">
        <f t="shared" si="40"/>
        <v>1139.981</v>
      </c>
      <c r="K1337" s="9">
        <f t="shared" si="41"/>
        <v>-0.45297423894164529</v>
      </c>
    </row>
    <row r="1338" spans="1:11" x14ac:dyDescent="0.3">
      <c r="A1338">
        <v>477</v>
      </c>
      <c r="B1338">
        <v>1</v>
      </c>
      <c r="C1338">
        <v>6</v>
      </c>
      <c r="D1338" t="str">
        <f>VLOOKUP($C1338,products!$A$1:$F$322,MATCH(order_items!$D$1,products!$A$1:$F$1,0),FALSE)</f>
        <v>Surly Ice Cream Truck Frameset - 2016</v>
      </c>
      <c r="E1338">
        <f>VLOOKUP($C1338,products!$A$1:$F$322,MATCH(order_items!$E$1,products!$A$1:$F$1,0),FALSE)</f>
        <v>6</v>
      </c>
      <c r="F1338" t="str">
        <f>VLOOKUP($E1338,categories!$A$1:$B$8,MATCH(order_items!$F$1,categories!$A$1:$B$1,0),FALSE)</f>
        <v>Mountain Bikes</v>
      </c>
      <c r="G1338">
        <v>1</v>
      </c>
      <c r="H1338">
        <v>469.99</v>
      </c>
      <c r="I1338" s="5">
        <v>0.1</v>
      </c>
      <c r="J1338">
        <f t="shared" si="40"/>
        <v>422.99100000000004</v>
      </c>
      <c r="K1338" s="9">
        <f t="shared" si="41"/>
        <v>-0.5490815238530955</v>
      </c>
    </row>
    <row r="1339" spans="1:11" x14ac:dyDescent="0.3">
      <c r="A1339">
        <v>477</v>
      </c>
      <c r="B1339">
        <v>2</v>
      </c>
      <c r="C1339">
        <v>10</v>
      </c>
      <c r="D1339" t="str">
        <f>VLOOKUP($C1339,products!$A$1:$F$322,MATCH(order_items!$D$1,products!$A$1:$F$1,0),FALSE)</f>
        <v>Surly Straggler - 2016</v>
      </c>
      <c r="E1339">
        <f>VLOOKUP($C1339,products!$A$1:$F$322,MATCH(order_items!$E$1,products!$A$1:$F$1,0),FALSE)</f>
        <v>4</v>
      </c>
      <c r="F1339" t="str">
        <f>VLOOKUP($E1339,categories!$A$1:$B$8,MATCH(order_items!$F$1,categories!$A$1:$B$1,0),FALSE)</f>
        <v>Cyclocross Bicycles</v>
      </c>
      <c r="G1339">
        <v>1</v>
      </c>
      <c r="H1339">
        <v>1549</v>
      </c>
      <c r="I1339" s="5">
        <v>0.05</v>
      </c>
      <c r="J1339">
        <f t="shared" si="40"/>
        <v>1471.55</v>
      </c>
      <c r="K1339" s="9">
        <f t="shared" si="41"/>
        <v>0.24861633378001166</v>
      </c>
    </row>
    <row r="1340" spans="1:11" x14ac:dyDescent="0.3">
      <c r="A1340">
        <v>478</v>
      </c>
      <c r="B1340">
        <v>1</v>
      </c>
      <c r="C1340">
        <v>21</v>
      </c>
      <c r="D1340" t="str">
        <f>VLOOKUP($C1340,products!$A$1:$F$322,MATCH(order_items!$D$1,products!$A$1:$F$1,0),FALSE)</f>
        <v>Electra Cruiser 1 (24-Inch) - 2016</v>
      </c>
      <c r="E1340">
        <f>VLOOKUP($C1340,products!$A$1:$F$322,MATCH(order_items!$E$1,products!$A$1:$F$1,0),FALSE)</f>
        <v>1</v>
      </c>
      <c r="F1340" t="str">
        <f>VLOOKUP($E1340,categories!$A$1:$B$8,MATCH(order_items!$F$1,categories!$A$1:$B$1,0),FALSE)</f>
        <v>Children Bicycles</v>
      </c>
      <c r="G1340">
        <v>2</v>
      </c>
      <c r="H1340">
        <v>269.99</v>
      </c>
      <c r="I1340" s="5">
        <v>7.0000000000000007E-2</v>
      </c>
      <c r="J1340">
        <f t="shared" si="40"/>
        <v>502.1814</v>
      </c>
      <c r="K1340" s="9">
        <f t="shared" si="41"/>
        <v>-0.69693888525532666</v>
      </c>
    </row>
    <row r="1341" spans="1:11" x14ac:dyDescent="0.3">
      <c r="A1341">
        <v>479</v>
      </c>
      <c r="B1341">
        <v>1</v>
      </c>
      <c r="C1341">
        <v>26</v>
      </c>
      <c r="D1341" t="str">
        <f>VLOOKUP($C1341,products!$A$1:$F$322,MATCH(order_items!$D$1,products!$A$1:$F$1,0),FALSE)</f>
        <v>Electra Townie Original 7D EQ - 2016</v>
      </c>
      <c r="E1341">
        <f>VLOOKUP($C1341,products!$A$1:$F$322,MATCH(order_items!$E$1,products!$A$1:$F$1,0),FALSE)</f>
        <v>2</v>
      </c>
      <c r="F1341" t="str">
        <f>VLOOKUP($E1341,categories!$A$1:$B$8,MATCH(order_items!$F$1,categories!$A$1:$B$1,0),FALSE)</f>
        <v>Comfort Bicycles</v>
      </c>
      <c r="G1341">
        <v>1</v>
      </c>
      <c r="H1341">
        <v>599.99</v>
      </c>
      <c r="I1341" s="5">
        <v>7.0000000000000007E-2</v>
      </c>
      <c r="J1341">
        <f t="shared" si="40"/>
        <v>557.99069999999995</v>
      </c>
      <c r="K1341" s="9">
        <f t="shared" si="41"/>
        <v>-0.45297423894164529</v>
      </c>
    </row>
    <row r="1342" spans="1:11" x14ac:dyDescent="0.3">
      <c r="A1342">
        <v>479</v>
      </c>
      <c r="B1342">
        <v>2</v>
      </c>
      <c r="C1342">
        <v>12</v>
      </c>
      <c r="D1342" t="str">
        <f>VLOOKUP($C1342,products!$A$1:$F$322,MATCH(order_items!$D$1,products!$A$1:$F$1,0),FALSE)</f>
        <v>Electra Townie Original 21D - 2016</v>
      </c>
      <c r="E1342">
        <f>VLOOKUP($C1342,products!$A$1:$F$322,MATCH(order_items!$E$1,products!$A$1:$F$1,0),FALSE)</f>
        <v>3</v>
      </c>
      <c r="F1342" t="str">
        <f>VLOOKUP($E1342,categories!$A$1:$B$8,MATCH(order_items!$F$1,categories!$A$1:$B$1,0),FALSE)</f>
        <v>Cruisers Bicycles</v>
      </c>
      <c r="G1342">
        <v>1</v>
      </c>
      <c r="H1342">
        <v>549.99</v>
      </c>
      <c r="I1342" s="5">
        <v>0.05</v>
      </c>
      <c r="J1342">
        <f t="shared" si="40"/>
        <v>522.4905</v>
      </c>
      <c r="K1342" s="9">
        <f t="shared" si="41"/>
        <v>-0.48993857929220308</v>
      </c>
    </row>
    <row r="1343" spans="1:11" x14ac:dyDescent="0.3">
      <c r="A1343">
        <v>479</v>
      </c>
      <c r="B1343">
        <v>3</v>
      </c>
      <c r="C1343">
        <v>21</v>
      </c>
      <c r="D1343" t="str">
        <f>VLOOKUP($C1343,products!$A$1:$F$322,MATCH(order_items!$D$1,products!$A$1:$F$1,0),FALSE)</f>
        <v>Electra Cruiser 1 (24-Inch) - 2016</v>
      </c>
      <c r="E1343">
        <f>VLOOKUP($C1343,products!$A$1:$F$322,MATCH(order_items!$E$1,products!$A$1:$F$1,0),FALSE)</f>
        <v>1</v>
      </c>
      <c r="F1343" t="str">
        <f>VLOOKUP($E1343,categories!$A$1:$B$8,MATCH(order_items!$F$1,categories!$A$1:$B$1,0),FALSE)</f>
        <v>Children Bicycles</v>
      </c>
      <c r="G1343">
        <v>1</v>
      </c>
      <c r="H1343">
        <v>269.99</v>
      </c>
      <c r="I1343" s="5">
        <v>0.2</v>
      </c>
      <c r="J1343">
        <f t="shared" si="40"/>
        <v>215.99200000000002</v>
      </c>
      <c r="K1343" s="9">
        <f t="shared" si="41"/>
        <v>-0.69693888525532666</v>
      </c>
    </row>
    <row r="1344" spans="1:11" x14ac:dyDescent="0.3">
      <c r="A1344">
        <v>479</v>
      </c>
      <c r="B1344">
        <v>4</v>
      </c>
      <c r="C1344">
        <v>7</v>
      </c>
      <c r="D1344" t="str">
        <f>VLOOKUP($C1344,products!$A$1:$F$322,MATCH(order_items!$D$1,products!$A$1:$F$1,0),FALSE)</f>
        <v>Trek Slash 8 27.5 - 2016</v>
      </c>
      <c r="E1344">
        <f>VLOOKUP($C1344,products!$A$1:$F$322,MATCH(order_items!$E$1,products!$A$1:$F$1,0),FALSE)</f>
        <v>6</v>
      </c>
      <c r="F1344" t="str">
        <f>VLOOKUP($E1344,categories!$A$1:$B$8,MATCH(order_items!$F$1,categories!$A$1:$B$1,0),FALSE)</f>
        <v>Mountain Bikes</v>
      </c>
      <c r="G1344">
        <v>1</v>
      </c>
      <c r="H1344">
        <v>3999.99</v>
      </c>
      <c r="I1344" s="5">
        <v>0.05</v>
      </c>
      <c r="J1344">
        <f t="shared" si="40"/>
        <v>3799.9904999999994</v>
      </c>
      <c r="K1344" s="9">
        <f t="shared" si="41"/>
        <v>2.0606009048962846</v>
      </c>
    </row>
    <row r="1345" spans="1:11" x14ac:dyDescent="0.3">
      <c r="A1345">
        <v>479</v>
      </c>
      <c r="B1345">
        <v>5</v>
      </c>
      <c r="C1345">
        <v>10</v>
      </c>
      <c r="D1345" t="str">
        <f>VLOOKUP($C1345,products!$A$1:$F$322,MATCH(order_items!$D$1,products!$A$1:$F$1,0),FALSE)</f>
        <v>Surly Straggler - 2016</v>
      </c>
      <c r="E1345">
        <f>VLOOKUP($C1345,products!$A$1:$F$322,MATCH(order_items!$E$1,products!$A$1:$F$1,0),FALSE)</f>
        <v>4</v>
      </c>
      <c r="F1345" t="str">
        <f>VLOOKUP($E1345,categories!$A$1:$B$8,MATCH(order_items!$F$1,categories!$A$1:$B$1,0),FALSE)</f>
        <v>Cyclocross Bicycles</v>
      </c>
      <c r="G1345">
        <v>1</v>
      </c>
      <c r="H1345">
        <v>1549</v>
      </c>
      <c r="I1345" s="5">
        <v>0.2</v>
      </c>
      <c r="J1345">
        <f t="shared" si="40"/>
        <v>1239.2</v>
      </c>
      <c r="K1345" s="9">
        <f t="shared" si="41"/>
        <v>0.24861633378001166</v>
      </c>
    </row>
    <row r="1346" spans="1:11" x14ac:dyDescent="0.3">
      <c r="A1346">
        <v>480</v>
      </c>
      <c r="B1346">
        <v>1</v>
      </c>
      <c r="C1346">
        <v>4</v>
      </c>
      <c r="D1346" t="str">
        <f>VLOOKUP($C1346,products!$A$1:$F$322,MATCH(order_items!$D$1,products!$A$1:$F$1,0),FALSE)</f>
        <v>Trek Fuel EX 8 29 - 2016</v>
      </c>
      <c r="E1346">
        <f>VLOOKUP($C1346,products!$A$1:$F$322,MATCH(order_items!$E$1,products!$A$1:$F$1,0),FALSE)</f>
        <v>6</v>
      </c>
      <c r="F1346" t="str">
        <f>VLOOKUP($E1346,categories!$A$1:$B$8,MATCH(order_items!$F$1,categories!$A$1:$B$1,0),FALSE)</f>
        <v>Mountain Bikes</v>
      </c>
      <c r="G1346">
        <v>1</v>
      </c>
      <c r="H1346">
        <v>2899.99</v>
      </c>
      <c r="I1346" s="5">
        <v>0.05</v>
      </c>
      <c r="J1346">
        <f t="shared" ref="J1346:J1409" si="42">G1346*H1346*(1-I1346)</f>
        <v>2754.9904999999999</v>
      </c>
      <c r="K1346" s="9">
        <f t="shared" ref="K1346:K1409" si="43">($H1346-$M$7)/$M$9</f>
        <v>1.2473854171840129</v>
      </c>
    </row>
    <row r="1347" spans="1:11" x14ac:dyDescent="0.3">
      <c r="A1347">
        <v>480</v>
      </c>
      <c r="B1347">
        <v>2</v>
      </c>
      <c r="C1347">
        <v>15</v>
      </c>
      <c r="D1347" t="str">
        <f>VLOOKUP($C1347,products!$A$1:$F$322,MATCH(order_items!$D$1,products!$A$1:$F$1,0),FALSE)</f>
        <v>Electra Moto 1 - 2016</v>
      </c>
      <c r="E1347">
        <f>VLOOKUP($C1347,products!$A$1:$F$322,MATCH(order_items!$E$1,products!$A$1:$F$1,0),FALSE)</f>
        <v>3</v>
      </c>
      <c r="F1347" t="str">
        <f>VLOOKUP($E1347,categories!$A$1:$B$8,MATCH(order_items!$F$1,categories!$A$1:$B$1,0),FALSE)</f>
        <v>Cruisers Bicycles</v>
      </c>
      <c r="G1347">
        <v>1</v>
      </c>
      <c r="H1347">
        <v>529.99</v>
      </c>
      <c r="I1347" s="5">
        <v>0.05</v>
      </c>
      <c r="J1347">
        <f t="shared" si="42"/>
        <v>503.4905</v>
      </c>
      <c r="K1347" s="9">
        <f t="shared" si="43"/>
        <v>-0.50472431543242624</v>
      </c>
    </row>
    <row r="1348" spans="1:11" x14ac:dyDescent="0.3">
      <c r="A1348">
        <v>480</v>
      </c>
      <c r="B1348">
        <v>3</v>
      </c>
      <c r="C1348">
        <v>23</v>
      </c>
      <c r="D1348" t="str">
        <f>VLOOKUP($C1348,products!$A$1:$F$322,MATCH(order_items!$D$1,products!$A$1:$F$1,0),FALSE)</f>
        <v>Electra Girl's Hawaii 1 (20-inch) - 2015/2016</v>
      </c>
      <c r="E1348">
        <f>VLOOKUP($C1348,products!$A$1:$F$322,MATCH(order_items!$E$1,products!$A$1:$F$1,0),FALSE)</f>
        <v>1</v>
      </c>
      <c r="F1348" t="str">
        <f>VLOOKUP($E1348,categories!$A$1:$B$8,MATCH(order_items!$F$1,categories!$A$1:$B$1,0),FALSE)</f>
        <v>Children Bicycles</v>
      </c>
      <c r="G1348">
        <v>2</v>
      </c>
      <c r="H1348">
        <v>299.99</v>
      </c>
      <c r="I1348" s="5">
        <v>7.0000000000000007E-2</v>
      </c>
      <c r="J1348">
        <f t="shared" si="42"/>
        <v>557.98140000000001</v>
      </c>
      <c r="K1348" s="9">
        <f t="shared" si="43"/>
        <v>-0.67476028104499197</v>
      </c>
    </row>
    <row r="1349" spans="1:11" x14ac:dyDescent="0.3">
      <c r="A1349">
        <v>481</v>
      </c>
      <c r="B1349">
        <v>1</v>
      </c>
      <c r="C1349">
        <v>13</v>
      </c>
      <c r="D1349" t="str">
        <f>VLOOKUP($C1349,products!$A$1:$F$322,MATCH(order_items!$D$1,products!$A$1:$F$1,0),FALSE)</f>
        <v>Electra Cruiser 1 (24-Inch) - 2016</v>
      </c>
      <c r="E1349">
        <f>VLOOKUP($C1349,products!$A$1:$F$322,MATCH(order_items!$E$1,products!$A$1:$F$1,0),FALSE)</f>
        <v>3</v>
      </c>
      <c r="F1349" t="str">
        <f>VLOOKUP($E1349,categories!$A$1:$B$8,MATCH(order_items!$F$1,categories!$A$1:$B$1,0),FALSE)</f>
        <v>Cruisers Bicycles</v>
      </c>
      <c r="G1349">
        <v>2</v>
      </c>
      <c r="H1349">
        <v>269.99</v>
      </c>
      <c r="I1349" s="5">
        <v>0.2</v>
      </c>
      <c r="J1349">
        <f t="shared" si="42"/>
        <v>431.98400000000004</v>
      </c>
      <c r="K1349" s="9">
        <f t="shared" si="43"/>
        <v>-0.69693888525532666</v>
      </c>
    </row>
    <row r="1350" spans="1:11" x14ac:dyDescent="0.3">
      <c r="A1350">
        <v>481</v>
      </c>
      <c r="B1350">
        <v>2</v>
      </c>
      <c r="C1350">
        <v>16</v>
      </c>
      <c r="D1350" t="str">
        <f>VLOOKUP($C1350,products!$A$1:$F$322,MATCH(order_items!$D$1,products!$A$1:$F$1,0),FALSE)</f>
        <v>Electra Townie Original 7D EQ - 2016</v>
      </c>
      <c r="E1350">
        <f>VLOOKUP($C1350,products!$A$1:$F$322,MATCH(order_items!$E$1,products!$A$1:$F$1,0),FALSE)</f>
        <v>3</v>
      </c>
      <c r="F1350" t="str">
        <f>VLOOKUP($E1350,categories!$A$1:$B$8,MATCH(order_items!$F$1,categories!$A$1:$B$1,0),FALSE)</f>
        <v>Cruisers Bicycles</v>
      </c>
      <c r="G1350">
        <v>2</v>
      </c>
      <c r="H1350">
        <v>599.99</v>
      </c>
      <c r="I1350" s="5">
        <v>7.0000000000000007E-2</v>
      </c>
      <c r="J1350">
        <f t="shared" si="42"/>
        <v>1115.9813999999999</v>
      </c>
      <c r="K1350" s="9">
        <f t="shared" si="43"/>
        <v>-0.45297423894164529</v>
      </c>
    </row>
    <row r="1351" spans="1:11" x14ac:dyDescent="0.3">
      <c r="A1351">
        <v>481</v>
      </c>
      <c r="B1351">
        <v>3</v>
      </c>
      <c r="C1351">
        <v>9</v>
      </c>
      <c r="D1351" t="str">
        <f>VLOOKUP($C1351,products!$A$1:$F$322,MATCH(order_items!$D$1,products!$A$1:$F$1,0),FALSE)</f>
        <v>Trek Conduit+ - 2016</v>
      </c>
      <c r="E1351">
        <f>VLOOKUP($C1351,products!$A$1:$F$322,MATCH(order_items!$E$1,products!$A$1:$F$1,0),FALSE)</f>
        <v>5</v>
      </c>
      <c r="F1351" t="str">
        <f>VLOOKUP($E1351,categories!$A$1:$B$8,MATCH(order_items!$F$1,categories!$A$1:$B$1,0),FALSE)</f>
        <v>Electric Bikes</v>
      </c>
      <c r="G1351">
        <v>2</v>
      </c>
      <c r="H1351">
        <v>2999.99</v>
      </c>
      <c r="I1351" s="5">
        <v>0.1</v>
      </c>
      <c r="J1351">
        <f t="shared" si="42"/>
        <v>5399.982</v>
      </c>
      <c r="K1351" s="9">
        <f t="shared" si="43"/>
        <v>1.3213140978851283</v>
      </c>
    </row>
    <row r="1352" spans="1:11" x14ac:dyDescent="0.3">
      <c r="A1352">
        <v>482</v>
      </c>
      <c r="B1352">
        <v>1</v>
      </c>
      <c r="C1352">
        <v>13</v>
      </c>
      <c r="D1352" t="str">
        <f>VLOOKUP($C1352,products!$A$1:$F$322,MATCH(order_items!$D$1,products!$A$1:$F$1,0),FALSE)</f>
        <v>Electra Cruiser 1 (24-Inch) - 2016</v>
      </c>
      <c r="E1352">
        <f>VLOOKUP($C1352,products!$A$1:$F$322,MATCH(order_items!$E$1,products!$A$1:$F$1,0),FALSE)</f>
        <v>3</v>
      </c>
      <c r="F1352" t="str">
        <f>VLOOKUP($E1352,categories!$A$1:$B$8,MATCH(order_items!$F$1,categories!$A$1:$B$1,0),FALSE)</f>
        <v>Cruisers Bicycles</v>
      </c>
      <c r="G1352">
        <v>1</v>
      </c>
      <c r="H1352">
        <v>269.99</v>
      </c>
      <c r="I1352" s="5">
        <v>0.2</v>
      </c>
      <c r="J1352">
        <f t="shared" si="42"/>
        <v>215.99200000000002</v>
      </c>
      <c r="K1352" s="9">
        <f t="shared" si="43"/>
        <v>-0.69693888525532666</v>
      </c>
    </row>
    <row r="1353" spans="1:11" x14ac:dyDescent="0.3">
      <c r="A1353">
        <v>482</v>
      </c>
      <c r="B1353">
        <v>2</v>
      </c>
      <c r="C1353">
        <v>14</v>
      </c>
      <c r="D1353" t="str">
        <f>VLOOKUP($C1353,products!$A$1:$F$322,MATCH(order_items!$D$1,products!$A$1:$F$1,0),FALSE)</f>
        <v>Electra Girl's Hawaii 1 (16-inch) - 2015/2016</v>
      </c>
      <c r="E1353">
        <f>VLOOKUP($C1353,products!$A$1:$F$322,MATCH(order_items!$E$1,products!$A$1:$F$1,0),FALSE)</f>
        <v>3</v>
      </c>
      <c r="F1353" t="str">
        <f>VLOOKUP($E1353,categories!$A$1:$B$8,MATCH(order_items!$F$1,categories!$A$1:$B$1,0),FALSE)</f>
        <v>Cruisers Bicycles</v>
      </c>
      <c r="G1353">
        <v>1</v>
      </c>
      <c r="H1353">
        <v>269.99</v>
      </c>
      <c r="I1353" s="5">
        <v>0.1</v>
      </c>
      <c r="J1353">
        <f t="shared" si="42"/>
        <v>242.99100000000001</v>
      </c>
      <c r="K1353" s="9">
        <f t="shared" si="43"/>
        <v>-0.69693888525532666</v>
      </c>
    </row>
    <row r="1354" spans="1:11" x14ac:dyDescent="0.3">
      <c r="A1354">
        <v>483</v>
      </c>
      <c r="B1354">
        <v>1</v>
      </c>
      <c r="C1354">
        <v>17</v>
      </c>
      <c r="D1354" t="str">
        <f>VLOOKUP($C1354,products!$A$1:$F$322,MATCH(order_items!$D$1,products!$A$1:$F$1,0),FALSE)</f>
        <v>Pure Cycles Vine 8-Speed - 2016</v>
      </c>
      <c r="E1354">
        <f>VLOOKUP($C1354,products!$A$1:$F$322,MATCH(order_items!$E$1,products!$A$1:$F$1,0),FALSE)</f>
        <v>3</v>
      </c>
      <c r="F1354" t="str">
        <f>VLOOKUP($E1354,categories!$A$1:$B$8,MATCH(order_items!$F$1,categories!$A$1:$B$1,0),FALSE)</f>
        <v>Cruisers Bicycles</v>
      </c>
      <c r="G1354">
        <v>1</v>
      </c>
      <c r="H1354">
        <v>429</v>
      </c>
      <c r="I1354" s="5">
        <v>7.0000000000000007E-2</v>
      </c>
      <c r="J1354">
        <f t="shared" si="42"/>
        <v>398.96999999999997</v>
      </c>
      <c r="K1354" s="9">
        <f t="shared" si="43"/>
        <v>-0.57938489007248284</v>
      </c>
    </row>
    <row r="1355" spans="1:11" x14ac:dyDescent="0.3">
      <c r="A1355">
        <v>484</v>
      </c>
      <c r="B1355">
        <v>1</v>
      </c>
      <c r="C1355">
        <v>8</v>
      </c>
      <c r="D1355" t="str">
        <f>VLOOKUP($C1355,products!$A$1:$F$322,MATCH(order_items!$D$1,products!$A$1:$F$1,0),FALSE)</f>
        <v>Trek Remedy 29 Carbon Frameset - 2016</v>
      </c>
      <c r="E1355">
        <f>VLOOKUP($C1355,products!$A$1:$F$322,MATCH(order_items!$E$1,products!$A$1:$F$1,0),FALSE)</f>
        <v>6</v>
      </c>
      <c r="F1355" t="str">
        <f>VLOOKUP($E1355,categories!$A$1:$B$8,MATCH(order_items!$F$1,categories!$A$1:$B$1,0),FALSE)</f>
        <v>Mountain Bikes</v>
      </c>
      <c r="G1355">
        <v>2</v>
      </c>
      <c r="H1355">
        <v>1799.99</v>
      </c>
      <c r="I1355" s="5">
        <v>0.1</v>
      </c>
      <c r="J1355">
        <f t="shared" si="42"/>
        <v>3239.982</v>
      </c>
      <c r="K1355" s="9">
        <f t="shared" si="43"/>
        <v>0.43416992947174166</v>
      </c>
    </row>
    <row r="1356" spans="1:11" x14ac:dyDescent="0.3">
      <c r="A1356">
        <v>484</v>
      </c>
      <c r="B1356">
        <v>2</v>
      </c>
      <c r="C1356">
        <v>24</v>
      </c>
      <c r="D1356" t="str">
        <f>VLOOKUP($C1356,products!$A$1:$F$322,MATCH(order_items!$D$1,products!$A$1:$F$1,0),FALSE)</f>
        <v>Electra Townie Original 21D - 2016</v>
      </c>
      <c r="E1356">
        <f>VLOOKUP($C1356,products!$A$1:$F$322,MATCH(order_items!$E$1,products!$A$1:$F$1,0),FALSE)</f>
        <v>2</v>
      </c>
      <c r="F1356" t="str">
        <f>VLOOKUP($E1356,categories!$A$1:$B$8,MATCH(order_items!$F$1,categories!$A$1:$B$1,0),FALSE)</f>
        <v>Comfort Bicycles</v>
      </c>
      <c r="G1356">
        <v>1</v>
      </c>
      <c r="H1356">
        <v>549.99</v>
      </c>
      <c r="I1356" s="5">
        <v>0.05</v>
      </c>
      <c r="J1356">
        <f t="shared" si="42"/>
        <v>522.4905</v>
      </c>
      <c r="K1356" s="9">
        <f t="shared" si="43"/>
        <v>-0.48993857929220308</v>
      </c>
    </row>
    <row r="1357" spans="1:11" x14ac:dyDescent="0.3">
      <c r="A1357">
        <v>484</v>
      </c>
      <c r="B1357">
        <v>3</v>
      </c>
      <c r="C1357">
        <v>9</v>
      </c>
      <c r="D1357" t="str">
        <f>VLOOKUP($C1357,products!$A$1:$F$322,MATCH(order_items!$D$1,products!$A$1:$F$1,0),FALSE)</f>
        <v>Trek Conduit+ - 2016</v>
      </c>
      <c r="E1357">
        <f>VLOOKUP($C1357,products!$A$1:$F$322,MATCH(order_items!$E$1,products!$A$1:$F$1,0),FALSE)</f>
        <v>5</v>
      </c>
      <c r="F1357" t="str">
        <f>VLOOKUP($E1357,categories!$A$1:$B$8,MATCH(order_items!$F$1,categories!$A$1:$B$1,0),FALSE)</f>
        <v>Electric Bikes</v>
      </c>
      <c r="G1357">
        <v>2</v>
      </c>
      <c r="H1357">
        <v>2999.99</v>
      </c>
      <c r="I1357" s="5">
        <v>0.05</v>
      </c>
      <c r="J1357">
        <f t="shared" si="42"/>
        <v>5699.9809999999998</v>
      </c>
      <c r="K1357" s="9">
        <f t="shared" si="43"/>
        <v>1.3213140978851283</v>
      </c>
    </row>
    <row r="1358" spans="1:11" x14ac:dyDescent="0.3">
      <c r="A1358">
        <v>484</v>
      </c>
      <c r="B1358">
        <v>4</v>
      </c>
      <c r="C1358">
        <v>6</v>
      </c>
      <c r="D1358" t="str">
        <f>VLOOKUP($C1358,products!$A$1:$F$322,MATCH(order_items!$D$1,products!$A$1:$F$1,0),FALSE)</f>
        <v>Surly Ice Cream Truck Frameset - 2016</v>
      </c>
      <c r="E1358">
        <f>VLOOKUP($C1358,products!$A$1:$F$322,MATCH(order_items!$E$1,products!$A$1:$F$1,0),FALSE)</f>
        <v>6</v>
      </c>
      <c r="F1358" t="str">
        <f>VLOOKUP($E1358,categories!$A$1:$B$8,MATCH(order_items!$F$1,categories!$A$1:$B$1,0),FALSE)</f>
        <v>Mountain Bikes</v>
      </c>
      <c r="G1358">
        <v>1</v>
      </c>
      <c r="H1358">
        <v>469.99</v>
      </c>
      <c r="I1358" s="5">
        <v>0.2</v>
      </c>
      <c r="J1358">
        <f t="shared" si="42"/>
        <v>375.99200000000002</v>
      </c>
      <c r="K1358" s="9">
        <f t="shared" si="43"/>
        <v>-0.5490815238530955</v>
      </c>
    </row>
    <row r="1359" spans="1:11" x14ac:dyDescent="0.3">
      <c r="A1359">
        <v>485</v>
      </c>
      <c r="B1359">
        <v>1</v>
      </c>
      <c r="C1359">
        <v>13</v>
      </c>
      <c r="D1359" t="str">
        <f>VLOOKUP($C1359,products!$A$1:$F$322,MATCH(order_items!$D$1,products!$A$1:$F$1,0),FALSE)</f>
        <v>Electra Cruiser 1 (24-Inch) - 2016</v>
      </c>
      <c r="E1359">
        <f>VLOOKUP($C1359,products!$A$1:$F$322,MATCH(order_items!$E$1,products!$A$1:$F$1,0),FALSE)</f>
        <v>3</v>
      </c>
      <c r="F1359" t="str">
        <f>VLOOKUP($E1359,categories!$A$1:$B$8,MATCH(order_items!$F$1,categories!$A$1:$B$1,0),FALSE)</f>
        <v>Cruisers Bicycles</v>
      </c>
      <c r="G1359">
        <v>1</v>
      </c>
      <c r="H1359">
        <v>269.99</v>
      </c>
      <c r="I1359" s="5">
        <v>0.1</v>
      </c>
      <c r="J1359">
        <f t="shared" si="42"/>
        <v>242.99100000000001</v>
      </c>
      <c r="K1359" s="9">
        <f t="shared" si="43"/>
        <v>-0.69693888525532666</v>
      </c>
    </row>
    <row r="1360" spans="1:11" x14ac:dyDescent="0.3">
      <c r="A1360">
        <v>485</v>
      </c>
      <c r="B1360">
        <v>2</v>
      </c>
      <c r="C1360">
        <v>26</v>
      </c>
      <c r="D1360" t="str">
        <f>VLOOKUP($C1360,products!$A$1:$F$322,MATCH(order_items!$D$1,products!$A$1:$F$1,0),FALSE)</f>
        <v>Electra Townie Original 7D EQ - 2016</v>
      </c>
      <c r="E1360">
        <f>VLOOKUP($C1360,products!$A$1:$F$322,MATCH(order_items!$E$1,products!$A$1:$F$1,0),FALSE)</f>
        <v>2</v>
      </c>
      <c r="F1360" t="str">
        <f>VLOOKUP($E1360,categories!$A$1:$B$8,MATCH(order_items!$F$1,categories!$A$1:$B$1,0),FALSE)</f>
        <v>Comfort Bicycles</v>
      </c>
      <c r="G1360">
        <v>2</v>
      </c>
      <c r="H1360">
        <v>599.99</v>
      </c>
      <c r="I1360" s="5">
        <v>0.05</v>
      </c>
      <c r="J1360">
        <f t="shared" si="42"/>
        <v>1139.981</v>
      </c>
      <c r="K1360" s="9">
        <f t="shared" si="43"/>
        <v>-0.45297423894164529</v>
      </c>
    </row>
    <row r="1361" spans="1:11" x14ac:dyDescent="0.3">
      <c r="A1361">
        <v>486</v>
      </c>
      <c r="B1361">
        <v>1</v>
      </c>
      <c r="C1361">
        <v>9</v>
      </c>
      <c r="D1361" t="str">
        <f>VLOOKUP($C1361,products!$A$1:$F$322,MATCH(order_items!$D$1,products!$A$1:$F$1,0),FALSE)</f>
        <v>Trek Conduit+ - 2016</v>
      </c>
      <c r="E1361">
        <f>VLOOKUP($C1361,products!$A$1:$F$322,MATCH(order_items!$E$1,products!$A$1:$F$1,0),FALSE)</f>
        <v>5</v>
      </c>
      <c r="F1361" t="str">
        <f>VLOOKUP($E1361,categories!$A$1:$B$8,MATCH(order_items!$F$1,categories!$A$1:$B$1,0),FALSE)</f>
        <v>Electric Bikes</v>
      </c>
      <c r="G1361">
        <v>1</v>
      </c>
      <c r="H1361">
        <v>2999.99</v>
      </c>
      <c r="I1361" s="5">
        <v>7.0000000000000007E-2</v>
      </c>
      <c r="J1361">
        <f t="shared" si="42"/>
        <v>2789.9906999999998</v>
      </c>
      <c r="K1361" s="9">
        <f t="shared" si="43"/>
        <v>1.3213140978851283</v>
      </c>
    </row>
    <row r="1362" spans="1:11" x14ac:dyDescent="0.3">
      <c r="A1362">
        <v>486</v>
      </c>
      <c r="B1362">
        <v>2</v>
      </c>
      <c r="C1362">
        <v>23</v>
      </c>
      <c r="D1362" t="str">
        <f>VLOOKUP($C1362,products!$A$1:$F$322,MATCH(order_items!$D$1,products!$A$1:$F$1,0),FALSE)</f>
        <v>Electra Girl's Hawaii 1 (20-inch) - 2015/2016</v>
      </c>
      <c r="E1362">
        <f>VLOOKUP($C1362,products!$A$1:$F$322,MATCH(order_items!$E$1,products!$A$1:$F$1,0),FALSE)</f>
        <v>1</v>
      </c>
      <c r="F1362" t="str">
        <f>VLOOKUP($E1362,categories!$A$1:$B$8,MATCH(order_items!$F$1,categories!$A$1:$B$1,0),FALSE)</f>
        <v>Children Bicycles</v>
      </c>
      <c r="G1362">
        <v>2</v>
      </c>
      <c r="H1362">
        <v>299.99</v>
      </c>
      <c r="I1362" s="5">
        <v>0.05</v>
      </c>
      <c r="J1362">
        <f t="shared" si="42"/>
        <v>569.98099999999999</v>
      </c>
      <c r="K1362" s="9">
        <f t="shared" si="43"/>
        <v>-0.67476028104499197</v>
      </c>
    </row>
    <row r="1363" spans="1:11" x14ac:dyDescent="0.3">
      <c r="A1363">
        <v>487</v>
      </c>
      <c r="B1363">
        <v>1</v>
      </c>
      <c r="C1363">
        <v>6</v>
      </c>
      <c r="D1363" t="str">
        <f>VLOOKUP($C1363,products!$A$1:$F$322,MATCH(order_items!$D$1,products!$A$1:$F$1,0),FALSE)</f>
        <v>Surly Ice Cream Truck Frameset - 2016</v>
      </c>
      <c r="E1363">
        <f>VLOOKUP($C1363,products!$A$1:$F$322,MATCH(order_items!$E$1,products!$A$1:$F$1,0),FALSE)</f>
        <v>6</v>
      </c>
      <c r="F1363" t="str">
        <f>VLOOKUP($E1363,categories!$A$1:$B$8,MATCH(order_items!$F$1,categories!$A$1:$B$1,0),FALSE)</f>
        <v>Mountain Bikes</v>
      </c>
      <c r="G1363">
        <v>1</v>
      </c>
      <c r="H1363">
        <v>469.99</v>
      </c>
      <c r="I1363" s="5">
        <v>0.2</v>
      </c>
      <c r="J1363">
        <f t="shared" si="42"/>
        <v>375.99200000000002</v>
      </c>
      <c r="K1363" s="9">
        <f t="shared" si="43"/>
        <v>-0.5490815238530955</v>
      </c>
    </row>
    <row r="1364" spans="1:11" x14ac:dyDescent="0.3">
      <c r="A1364">
        <v>488</v>
      </c>
      <c r="B1364">
        <v>1</v>
      </c>
      <c r="C1364">
        <v>13</v>
      </c>
      <c r="D1364" t="str">
        <f>VLOOKUP($C1364,products!$A$1:$F$322,MATCH(order_items!$D$1,products!$A$1:$F$1,0),FALSE)</f>
        <v>Electra Cruiser 1 (24-Inch) - 2016</v>
      </c>
      <c r="E1364">
        <f>VLOOKUP($C1364,products!$A$1:$F$322,MATCH(order_items!$E$1,products!$A$1:$F$1,0),FALSE)</f>
        <v>3</v>
      </c>
      <c r="F1364" t="str">
        <f>VLOOKUP($E1364,categories!$A$1:$B$8,MATCH(order_items!$F$1,categories!$A$1:$B$1,0),FALSE)</f>
        <v>Cruisers Bicycles</v>
      </c>
      <c r="G1364">
        <v>2</v>
      </c>
      <c r="H1364">
        <v>269.99</v>
      </c>
      <c r="I1364" s="5">
        <v>7.0000000000000007E-2</v>
      </c>
      <c r="J1364">
        <f t="shared" si="42"/>
        <v>502.1814</v>
      </c>
      <c r="K1364" s="9">
        <f t="shared" si="43"/>
        <v>-0.69693888525532666</v>
      </c>
    </row>
    <row r="1365" spans="1:11" x14ac:dyDescent="0.3">
      <c r="A1365">
        <v>488</v>
      </c>
      <c r="B1365">
        <v>2</v>
      </c>
      <c r="C1365">
        <v>23</v>
      </c>
      <c r="D1365" t="str">
        <f>VLOOKUP($C1365,products!$A$1:$F$322,MATCH(order_items!$D$1,products!$A$1:$F$1,0),FALSE)</f>
        <v>Electra Girl's Hawaii 1 (20-inch) - 2015/2016</v>
      </c>
      <c r="E1365">
        <f>VLOOKUP($C1365,products!$A$1:$F$322,MATCH(order_items!$E$1,products!$A$1:$F$1,0),FALSE)</f>
        <v>1</v>
      </c>
      <c r="F1365" t="str">
        <f>VLOOKUP($E1365,categories!$A$1:$B$8,MATCH(order_items!$F$1,categories!$A$1:$B$1,0),FALSE)</f>
        <v>Children Bicycles</v>
      </c>
      <c r="G1365">
        <v>2</v>
      </c>
      <c r="H1365">
        <v>299.99</v>
      </c>
      <c r="I1365" s="5">
        <v>0.05</v>
      </c>
      <c r="J1365">
        <f t="shared" si="42"/>
        <v>569.98099999999999</v>
      </c>
      <c r="K1365" s="9">
        <f t="shared" si="43"/>
        <v>-0.67476028104499197</v>
      </c>
    </row>
    <row r="1366" spans="1:11" x14ac:dyDescent="0.3">
      <c r="A1366">
        <v>488</v>
      </c>
      <c r="B1366">
        <v>3</v>
      </c>
      <c r="C1366">
        <v>22</v>
      </c>
      <c r="D1366" t="str">
        <f>VLOOKUP($C1366,products!$A$1:$F$322,MATCH(order_items!$D$1,products!$A$1:$F$1,0),FALSE)</f>
        <v>Electra Girl's Hawaii 1 (16-inch) - 2015/2016</v>
      </c>
      <c r="E1366">
        <f>VLOOKUP($C1366,products!$A$1:$F$322,MATCH(order_items!$E$1,products!$A$1:$F$1,0),FALSE)</f>
        <v>1</v>
      </c>
      <c r="F1366" t="str">
        <f>VLOOKUP($E1366,categories!$A$1:$B$8,MATCH(order_items!$F$1,categories!$A$1:$B$1,0),FALSE)</f>
        <v>Children Bicycles</v>
      </c>
      <c r="G1366">
        <v>1</v>
      </c>
      <c r="H1366">
        <v>269.99</v>
      </c>
      <c r="I1366" s="5">
        <v>0.05</v>
      </c>
      <c r="J1366">
        <f t="shared" si="42"/>
        <v>256.4905</v>
      </c>
      <c r="K1366" s="9">
        <f t="shared" si="43"/>
        <v>-0.69693888525532666</v>
      </c>
    </row>
    <row r="1367" spans="1:11" x14ac:dyDescent="0.3">
      <c r="A1367">
        <v>489</v>
      </c>
      <c r="B1367">
        <v>1</v>
      </c>
      <c r="C1367">
        <v>8</v>
      </c>
      <c r="D1367" t="str">
        <f>VLOOKUP($C1367,products!$A$1:$F$322,MATCH(order_items!$D$1,products!$A$1:$F$1,0),FALSE)</f>
        <v>Trek Remedy 29 Carbon Frameset - 2016</v>
      </c>
      <c r="E1367">
        <f>VLOOKUP($C1367,products!$A$1:$F$322,MATCH(order_items!$E$1,products!$A$1:$F$1,0),FALSE)</f>
        <v>6</v>
      </c>
      <c r="F1367" t="str">
        <f>VLOOKUP($E1367,categories!$A$1:$B$8,MATCH(order_items!$F$1,categories!$A$1:$B$1,0),FALSE)</f>
        <v>Mountain Bikes</v>
      </c>
      <c r="G1367">
        <v>2</v>
      </c>
      <c r="H1367">
        <v>1799.99</v>
      </c>
      <c r="I1367" s="5">
        <v>0.1</v>
      </c>
      <c r="J1367">
        <f t="shared" si="42"/>
        <v>3239.982</v>
      </c>
      <c r="K1367" s="9">
        <f t="shared" si="43"/>
        <v>0.43416992947174166</v>
      </c>
    </row>
    <row r="1368" spans="1:11" x14ac:dyDescent="0.3">
      <c r="A1368">
        <v>490</v>
      </c>
      <c r="B1368">
        <v>1</v>
      </c>
      <c r="C1368">
        <v>12</v>
      </c>
      <c r="D1368" t="str">
        <f>VLOOKUP($C1368,products!$A$1:$F$322,MATCH(order_items!$D$1,products!$A$1:$F$1,0),FALSE)</f>
        <v>Electra Townie Original 21D - 2016</v>
      </c>
      <c r="E1368">
        <f>VLOOKUP($C1368,products!$A$1:$F$322,MATCH(order_items!$E$1,products!$A$1:$F$1,0),FALSE)</f>
        <v>3</v>
      </c>
      <c r="F1368" t="str">
        <f>VLOOKUP($E1368,categories!$A$1:$B$8,MATCH(order_items!$F$1,categories!$A$1:$B$1,0),FALSE)</f>
        <v>Cruisers Bicycles</v>
      </c>
      <c r="G1368">
        <v>1</v>
      </c>
      <c r="H1368">
        <v>549.99</v>
      </c>
      <c r="I1368" s="5">
        <v>0.1</v>
      </c>
      <c r="J1368">
        <f t="shared" si="42"/>
        <v>494.99100000000004</v>
      </c>
      <c r="K1368" s="9">
        <f t="shared" si="43"/>
        <v>-0.48993857929220308</v>
      </c>
    </row>
    <row r="1369" spans="1:11" x14ac:dyDescent="0.3">
      <c r="A1369">
        <v>490</v>
      </c>
      <c r="B1369">
        <v>2</v>
      </c>
      <c r="C1369">
        <v>23</v>
      </c>
      <c r="D1369" t="str">
        <f>VLOOKUP($C1369,products!$A$1:$F$322,MATCH(order_items!$D$1,products!$A$1:$F$1,0),FALSE)</f>
        <v>Electra Girl's Hawaii 1 (20-inch) - 2015/2016</v>
      </c>
      <c r="E1369">
        <f>VLOOKUP($C1369,products!$A$1:$F$322,MATCH(order_items!$E$1,products!$A$1:$F$1,0),FALSE)</f>
        <v>1</v>
      </c>
      <c r="F1369" t="str">
        <f>VLOOKUP($E1369,categories!$A$1:$B$8,MATCH(order_items!$F$1,categories!$A$1:$B$1,0),FALSE)</f>
        <v>Children Bicycles</v>
      </c>
      <c r="G1369">
        <v>1</v>
      </c>
      <c r="H1369">
        <v>299.99</v>
      </c>
      <c r="I1369" s="5">
        <v>0.05</v>
      </c>
      <c r="J1369">
        <f t="shared" si="42"/>
        <v>284.9905</v>
      </c>
      <c r="K1369" s="9">
        <f t="shared" si="43"/>
        <v>-0.67476028104499197</v>
      </c>
    </row>
    <row r="1370" spans="1:11" x14ac:dyDescent="0.3">
      <c r="A1370">
        <v>490</v>
      </c>
      <c r="B1370">
        <v>3</v>
      </c>
      <c r="C1370">
        <v>14</v>
      </c>
      <c r="D1370" t="str">
        <f>VLOOKUP($C1370,products!$A$1:$F$322,MATCH(order_items!$D$1,products!$A$1:$F$1,0),FALSE)</f>
        <v>Electra Girl's Hawaii 1 (16-inch) - 2015/2016</v>
      </c>
      <c r="E1370">
        <f>VLOOKUP($C1370,products!$A$1:$F$322,MATCH(order_items!$E$1,products!$A$1:$F$1,0),FALSE)</f>
        <v>3</v>
      </c>
      <c r="F1370" t="str">
        <f>VLOOKUP($E1370,categories!$A$1:$B$8,MATCH(order_items!$F$1,categories!$A$1:$B$1,0),FALSE)</f>
        <v>Cruisers Bicycles</v>
      </c>
      <c r="G1370">
        <v>1</v>
      </c>
      <c r="H1370">
        <v>269.99</v>
      </c>
      <c r="I1370" s="5">
        <v>0.1</v>
      </c>
      <c r="J1370">
        <f t="shared" si="42"/>
        <v>242.99100000000001</v>
      </c>
      <c r="K1370" s="9">
        <f t="shared" si="43"/>
        <v>-0.69693888525532666</v>
      </c>
    </row>
    <row r="1371" spans="1:11" x14ac:dyDescent="0.3">
      <c r="A1371">
        <v>490</v>
      </c>
      <c r="B1371">
        <v>4</v>
      </c>
      <c r="C1371">
        <v>13</v>
      </c>
      <c r="D1371" t="str">
        <f>VLOOKUP($C1371,products!$A$1:$F$322,MATCH(order_items!$D$1,products!$A$1:$F$1,0),FALSE)</f>
        <v>Electra Cruiser 1 (24-Inch) - 2016</v>
      </c>
      <c r="E1371">
        <f>VLOOKUP($C1371,products!$A$1:$F$322,MATCH(order_items!$E$1,products!$A$1:$F$1,0),FALSE)</f>
        <v>3</v>
      </c>
      <c r="F1371" t="str">
        <f>VLOOKUP($E1371,categories!$A$1:$B$8,MATCH(order_items!$F$1,categories!$A$1:$B$1,0),FALSE)</f>
        <v>Cruisers Bicycles</v>
      </c>
      <c r="G1371">
        <v>2</v>
      </c>
      <c r="H1371">
        <v>269.99</v>
      </c>
      <c r="I1371" s="5">
        <v>7.0000000000000007E-2</v>
      </c>
      <c r="J1371">
        <f t="shared" si="42"/>
        <v>502.1814</v>
      </c>
      <c r="K1371" s="9">
        <f t="shared" si="43"/>
        <v>-0.69693888525532666</v>
      </c>
    </row>
    <row r="1372" spans="1:11" x14ac:dyDescent="0.3">
      <c r="A1372">
        <v>491</v>
      </c>
      <c r="B1372">
        <v>1</v>
      </c>
      <c r="C1372">
        <v>9</v>
      </c>
      <c r="D1372" t="str">
        <f>VLOOKUP($C1372,products!$A$1:$F$322,MATCH(order_items!$D$1,products!$A$1:$F$1,0),FALSE)</f>
        <v>Trek Conduit+ - 2016</v>
      </c>
      <c r="E1372">
        <f>VLOOKUP($C1372,products!$A$1:$F$322,MATCH(order_items!$E$1,products!$A$1:$F$1,0),FALSE)</f>
        <v>5</v>
      </c>
      <c r="F1372" t="str">
        <f>VLOOKUP($E1372,categories!$A$1:$B$8,MATCH(order_items!$F$1,categories!$A$1:$B$1,0),FALSE)</f>
        <v>Electric Bikes</v>
      </c>
      <c r="G1372">
        <v>2</v>
      </c>
      <c r="H1372">
        <v>2999.99</v>
      </c>
      <c r="I1372" s="5">
        <v>0.2</v>
      </c>
      <c r="J1372">
        <f t="shared" si="42"/>
        <v>4799.9839999999995</v>
      </c>
      <c r="K1372" s="9">
        <f t="shared" si="43"/>
        <v>1.3213140978851283</v>
      </c>
    </row>
    <row r="1373" spans="1:11" x14ac:dyDescent="0.3">
      <c r="A1373">
        <v>491</v>
      </c>
      <c r="B1373">
        <v>2</v>
      </c>
      <c r="C1373">
        <v>21</v>
      </c>
      <c r="D1373" t="str">
        <f>VLOOKUP($C1373,products!$A$1:$F$322,MATCH(order_items!$D$1,products!$A$1:$F$1,0),FALSE)</f>
        <v>Electra Cruiser 1 (24-Inch) - 2016</v>
      </c>
      <c r="E1373">
        <f>VLOOKUP($C1373,products!$A$1:$F$322,MATCH(order_items!$E$1,products!$A$1:$F$1,0),FALSE)</f>
        <v>1</v>
      </c>
      <c r="F1373" t="str">
        <f>VLOOKUP($E1373,categories!$A$1:$B$8,MATCH(order_items!$F$1,categories!$A$1:$B$1,0),FALSE)</f>
        <v>Children Bicycles</v>
      </c>
      <c r="G1373">
        <v>2</v>
      </c>
      <c r="H1373">
        <v>269.99</v>
      </c>
      <c r="I1373" s="5">
        <v>0.05</v>
      </c>
      <c r="J1373">
        <f t="shared" si="42"/>
        <v>512.98099999999999</v>
      </c>
      <c r="K1373" s="9">
        <f t="shared" si="43"/>
        <v>-0.69693888525532666</v>
      </c>
    </row>
    <row r="1374" spans="1:11" x14ac:dyDescent="0.3">
      <c r="A1374">
        <v>491</v>
      </c>
      <c r="B1374">
        <v>3</v>
      </c>
      <c r="C1374">
        <v>15</v>
      </c>
      <c r="D1374" t="str">
        <f>VLOOKUP($C1374,products!$A$1:$F$322,MATCH(order_items!$D$1,products!$A$1:$F$1,0),FALSE)</f>
        <v>Electra Moto 1 - 2016</v>
      </c>
      <c r="E1374">
        <f>VLOOKUP($C1374,products!$A$1:$F$322,MATCH(order_items!$E$1,products!$A$1:$F$1,0),FALSE)</f>
        <v>3</v>
      </c>
      <c r="F1374" t="str">
        <f>VLOOKUP($E1374,categories!$A$1:$B$8,MATCH(order_items!$F$1,categories!$A$1:$B$1,0),FALSE)</f>
        <v>Cruisers Bicycles</v>
      </c>
      <c r="G1374">
        <v>2</v>
      </c>
      <c r="H1374">
        <v>529.99</v>
      </c>
      <c r="I1374" s="5">
        <v>0.05</v>
      </c>
      <c r="J1374">
        <f t="shared" si="42"/>
        <v>1006.981</v>
      </c>
      <c r="K1374" s="9">
        <f t="shared" si="43"/>
        <v>-0.50472431543242624</v>
      </c>
    </row>
    <row r="1375" spans="1:11" x14ac:dyDescent="0.3">
      <c r="A1375">
        <v>492</v>
      </c>
      <c r="B1375">
        <v>1</v>
      </c>
      <c r="C1375">
        <v>6</v>
      </c>
      <c r="D1375" t="str">
        <f>VLOOKUP($C1375,products!$A$1:$F$322,MATCH(order_items!$D$1,products!$A$1:$F$1,0),FALSE)</f>
        <v>Surly Ice Cream Truck Frameset - 2016</v>
      </c>
      <c r="E1375">
        <f>VLOOKUP($C1375,products!$A$1:$F$322,MATCH(order_items!$E$1,products!$A$1:$F$1,0),FALSE)</f>
        <v>6</v>
      </c>
      <c r="F1375" t="str">
        <f>VLOOKUP($E1375,categories!$A$1:$B$8,MATCH(order_items!$F$1,categories!$A$1:$B$1,0),FALSE)</f>
        <v>Mountain Bikes</v>
      </c>
      <c r="G1375">
        <v>1</v>
      </c>
      <c r="H1375">
        <v>469.99</v>
      </c>
      <c r="I1375" s="5">
        <v>0.1</v>
      </c>
      <c r="J1375">
        <f t="shared" si="42"/>
        <v>422.99100000000004</v>
      </c>
      <c r="K1375" s="9">
        <f t="shared" si="43"/>
        <v>-0.5490815238530955</v>
      </c>
    </row>
    <row r="1376" spans="1:11" x14ac:dyDescent="0.3">
      <c r="A1376">
        <v>492</v>
      </c>
      <c r="B1376">
        <v>2</v>
      </c>
      <c r="C1376">
        <v>22</v>
      </c>
      <c r="D1376" t="str">
        <f>VLOOKUP($C1376,products!$A$1:$F$322,MATCH(order_items!$D$1,products!$A$1:$F$1,0),FALSE)</f>
        <v>Electra Girl's Hawaii 1 (16-inch) - 2015/2016</v>
      </c>
      <c r="E1376">
        <f>VLOOKUP($C1376,products!$A$1:$F$322,MATCH(order_items!$E$1,products!$A$1:$F$1,0),FALSE)</f>
        <v>1</v>
      </c>
      <c r="F1376" t="str">
        <f>VLOOKUP($E1376,categories!$A$1:$B$8,MATCH(order_items!$F$1,categories!$A$1:$B$1,0),FALSE)</f>
        <v>Children Bicycles</v>
      </c>
      <c r="G1376">
        <v>2</v>
      </c>
      <c r="H1376">
        <v>269.99</v>
      </c>
      <c r="I1376" s="5">
        <v>0.1</v>
      </c>
      <c r="J1376">
        <f t="shared" si="42"/>
        <v>485.98200000000003</v>
      </c>
      <c r="K1376" s="9">
        <f t="shared" si="43"/>
        <v>-0.69693888525532666</v>
      </c>
    </row>
    <row r="1377" spans="1:11" x14ac:dyDescent="0.3">
      <c r="A1377">
        <v>492</v>
      </c>
      <c r="B1377">
        <v>3</v>
      </c>
      <c r="C1377">
        <v>26</v>
      </c>
      <c r="D1377" t="str">
        <f>VLOOKUP($C1377,products!$A$1:$F$322,MATCH(order_items!$D$1,products!$A$1:$F$1,0),FALSE)</f>
        <v>Electra Townie Original 7D EQ - 2016</v>
      </c>
      <c r="E1377">
        <f>VLOOKUP($C1377,products!$A$1:$F$322,MATCH(order_items!$E$1,products!$A$1:$F$1,0),FALSE)</f>
        <v>2</v>
      </c>
      <c r="F1377" t="str">
        <f>VLOOKUP($E1377,categories!$A$1:$B$8,MATCH(order_items!$F$1,categories!$A$1:$B$1,0),FALSE)</f>
        <v>Comfort Bicycles</v>
      </c>
      <c r="G1377">
        <v>1</v>
      </c>
      <c r="H1377">
        <v>599.99</v>
      </c>
      <c r="I1377" s="5">
        <v>0.05</v>
      </c>
      <c r="J1377">
        <f t="shared" si="42"/>
        <v>569.9905</v>
      </c>
      <c r="K1377" s="9">
        <f t="shared" si="43"/>
        <v>-0.45297423894164529</v>
      </c>
    </row>
    <row r="1378" spans="1:11" x14ac:dyDescent="0.3">
      <c r="A1378">
        <v>493</v>
      </c>
      <c r="B1378">
        <v>1</v>
      </c>
      <c r="C1378">
        <v>15</v>
      </c>
      <c r="D1378" t="str">
        <f>VLOOKUP($C1378,products!$A$1:$F$322,MATCH(order_items!$D$1,products!$A$1:$F$1,0),FALSE)</f>
        <v>Electra Moto 1 - 2016</v>
      </c>
      <c r="E1378">
        <f>VLOOKUP($C1378,products!$A$1:$F$322,MATCH(order_items!$E$1,products!$A$1:$F$1,0),FALSE)</f>
        <v>3</v>
      </c>
      <c r="F1378" t="str">
        <f>VLOOKUP($E1378,categories!$A$1:$B$8,MATCH(order_items!$F$1,categories!$A$1:$B$1,0),FALSE)</f>
        <v>Cruisers Bicycles</v>
      </c>
      <c r="G1378">
        <v>1</v>
      </c>
      <c r="H1378">
        <v>529.99</v>
      </c>
      <c r="I1378" s="5">
        <v>0.05</v>
      </c>
      <c r="J1378">
        <f t="shared" si="42"/>
        <v>503.4905</v>
      </c>
      <c r="K1378" s="9">
        <f t="shared" si="43"/>
        <v>-0.50472431543242624</v>
      </c>
    </row>
    <row r="1379" spans="1:11" x14ac:dyDescent="0.3">
      <c r="A1379">
        <v>493</v>
      </c>
      <c r="B1379">
        <v>2</v>
      </c>
      <c r="C1379">
        <v>18</v>
      </c>
      <c r="D1379" t="str">
        <f>VLOOKUP($C1379,products!$A$1:$F$322,MATCH(order_items!$D$1,products!$A$1:$F$1,0),FALSE)</f>
        <v>Pure Cycles Western 3-Speed - Women's - 2015/2016</v>
      </c>
      <c r="E1379">
        <f>VLOOKUP($C1379,products!$A$1:$F$322,MATCH(order_items!$E$1,products!$A$1:$F$1,0),FALSE)</f>
        <v>3</v>
      </c>
      <c r="F1379" t="str">
        <f>VLOOKUP($E1379,categories!$A$1:$B$8,MATCH(order_items!$F$1,categories!$A$1:$B$1,0),FALSE)</f>
        <v>Cruisers Bicycles</v>
      </c>
      <c r="G1379">
        <v>2</v>
      </c>
      <c r="H1379">
        <v>449</v>
      </c>
      <c r="I1379" s="5">
        <v>0.05</v>
      </c>
      <c r="J1379">
        <f t="shared" si="42"/>
        <v>853.09999999999991</v>
      </c>
      <c r="K1379" s="9">
        <f t="shared" si="43"/>
        <v>-0.56459915393225968</v>
      </c>
    </row>
    <row r="1380" spans="1:11" x14ac:dyDescent="0.3">
      <c r="A1380">
        <v>493</v>
      </c>
      <c r="B1380">
        <v>3</v>
      </c>
      <c r="C1380">
        <v>26</v>
      </c>
      <c r="D1380" t="str">
        <f>VLOOKUP($C1380,products!$A$1:$F$322,MATCH(order_items!$D$1,products!$A$1:$F$1,0),FALSE)</f>
        <v>Electra Townie Original 7D EQ - 2016</v>
      </c>
      <c r="E1380">
        <f>VLOOKUP($C1380,products!$A$1:$F$322,MATCH(order_items!$E$1,products!$A$1:$F$1,0),FALSE)</f>
        <v>2</v>
      </c>
      <c r="F1380" t="str">
        <f>VLOOKUP($E1380,categories!$A$1:$B$8,MATCH(order_items!$F$1,categories!$A$1:$B$1,0),FALSE)</f>
        <v>Comfort Bicycles</v>
      </c>
      <c r="G1380">
        <v>1</v>
      </c>
      <c r="H1380">
        <v>599.99</v>
      </c>
      <c r="I1380" s="5">
        <v>0.05</v>
      </c>
      <c r="J1380">
        <f t="shared" si="42"/>
        <v>569.9905</v>
      </c>
      <c r="K1380" s="9">
        <f t="shared" si="43"/>
        <v>-0.45297423894164529</v>
      </c>
    </row>
    <row r="1381" spans="1:11" x14ac:dyDescent="0.3">
      <c r="A1381">
        <v>494</v>
      </c>
      <c r="B1381">
        <v>1</v>
      </c>
      <c r="C1381">
        <v>23</v>
      </c>
      <c r="D1381" t="str">
        <f>VLOOKUP($C1381,products!$A$1:$F$322,MATCH(order_items!$D$1,products!$A$1:$F$1,0),FALSE)</f>
        <v>Electra Girl's Hawaii 1 (20-inch) - 2015/2016</v>
      </c>
      <c r="E1381">
        <f>VLOOKUP($C1381,products!$A$1:$F$322,MATCH(order_items!$E$1,products!$A$1:$F$1,0),FALSE)</f>
        <v>1</v>
      </c>
      <c r="F1381" t="str">
        <f>VLOOKUP($E1381,categories!$A$1:$B$8,MATCH(order_items!$F$1,categories!$A$1:$B$1,0),FALSE)</f>
        <v>Children Bicycles</v>
      </c>
      <c r="G1381">
        <v>1</v>
      </c>
      <c r="H1381">
        <v>299.99</v>
      </c>
      <c r="I1381" s="5">
        <v>0.1</v>
      </c>
      <c r="J1381">
        <f t="shared" si="42"/>
        <v>269.99100000000004</v>
      </c>
      <c r="K1381" s="9">
        <f t="shared" si="43"/>
        <v>-0.67476028104499197</v>
      </c>
    </row>
    <row r="1382" spans="1:11" x14ac:dyDescent="0.3">
      <c r="A1382">
        <v>495</v>
      </c>
      <c r="B1382">
        <v>1</v>
      </c>
      <c r="C1382">
        <v>22</v>
      </c>
      <c r="D1382" t="str">
        <f>VLOOKUP($C1382,products!$A$1:$F$322,MATCH(order_items!$D$1,products!$A$1:$F$1,0),FALSE)</f>
        <v>Electra Girl's Hawaii 1 (16-inch) - 2015/2016</v>
      </c>
      <c r="E1382">
        <f>VLOOKUP($C1382,products!$A$1:$F$322,MATCH(order_items!$E$1,products!$A$1:$F$1,0),FALSE)</f>
        <v>1</v>
      </c>
      <c r="F1382" t="str">
        <f>VLOOKUP($E1382,categories!$A$1:$B$8,MATCH(order_items!$F$1,categories!$A$1:$B$1,0),FALSE)</f>
        <v>Children Bicycles</v>
      </c>
      <c r="G1382">
        <v>1</v>
      </c>
      <c r="H1382">
        <v>269.99</v>
      </c>
      <c r="I1382" s="5">
        <v>0.2</v>
      </c>
      <c r="J1382">
        <f t="shared" si="42"/>
        <v>215.99200000000002</v>
      </c>
      <c r="K1382" s="9">
        <f t="shared" si="43"/>
        <v>-0.69693888525532666</v>
      </c>
    </row>
    <row r="1383" spans="1:11" x14ac:dyDescent="0.3">
      <c r="A1383">
        <v>495</v>
      </c>
      <c r="B1383">
        <v>2</v>
      </c>
      <c r="C1383">
        <v>9</v>
      </c>
      <c r="D1383" t="str">
        <f>VLOOKUP($C1383,products!$A$1:$F$322,MATCH(order_items!$D$1,products!$A$1:$F$1,0),FALSE)</f>
        <v>Trek Conduit+ - 2016</v>
      </c>
      <c r="E1383">
        <f>VLOOKUP($C1383,products!$A$1:$F$322,MATCH(order_items!$E$1,products!$A$1:$F$1,0),FALSE)</f>
        <v>5</v>
      </c>
      <c r="F1383" t="str">
        <f>VLOOKUP($E1383,categories!$A$1:$B$8,MATCH(order_items!$F$1,categories!$A$1:$B$1,0),FALSE)</f>
        <v>Electric Bikes</v>
      </c>
      <c r="G1383">
        <v>1</v>
      </c>
      <c r="H1383">
        <v>2999.99</v>
      </c>
      <c r="I1383" s="5">
        <v>0.05</v>
      </c>
      <c r="J1383">
        <f t="shared" si="42"/>
        <v>2849.9904999999999</v>
      </c>
      <c r="K1383" s="9">
        <f t="shared" si="43"/>
        <v>1.3213140978851283</v>
      </c>
    </row>
    <row r="1384" spans="1:11" x14ac:dyDescent="0.3">
      <c r="A1384">
        <v>496</v>
      </c>
      <c r="B1384">
        <v>1</v>
      </c>
      <c r="C1384">
        <v>23</v>
      </c>
      <c r="D1384" t="str">
        <f>VLOOKUP($C1384,products!$A$1:$F$322,MATCH(order_items!$D$1,products!$A$1:$F$1,0),FALSE)</f>
        <v>Electra Girl's Hawaii 1 (20-inch) - 2015/2016</v>
      </c>
      <c r="E1384">
        <f>VLOOKUP($C1384,products!$A$1:$F$322,MATCH(order_items!$E$1,products!$A$1:$F$1,0),FALSE)</f>
        <v>1</v>
      </c>
      <c r="F1384" t="str">
        <f>VLOOKUP($E1384,categories!$A$1:$B$8,MATCH(order_items!$F$1,categories!$A$1:$B$1,0),FALSE)</f>
        <v>Children Bicycles</v>
      </c>
      <c r="G1384">
        <v>1</v>
      </c>
      <c r="H1384">
        <v>299.99</v>
      </c>
      <c r="I1384" s="5">
        <v>0.2</v>
      </c>
      <c r="J1384">
        <f t="shared" si="42"/>
        <v>239.99200000000002</v>
      </c>
      <c r="K1384" s="9">
        <f t="shared" si="43"/>
        <v>-0.67476028104499197</v>
      </c>
    </row>
    <row r="1385" spans="1:11" x14ac:dyDescent="0.3">
      <c r="A1385">
        <v>496</v>
      </c>
      <c r="B1385">
        <v>2</v>
      </c>
      <c r="C1385">
        <v>13</v>
      </c>
      <c r="D1385" t="str">
        <f>VLOOKUP($C1385,products!$A$1:$F$322,MATCH(order_items!$D$1,products!$A$1:$F$1,0),FALSE)</f>
        <v>Electra Cruiser 1 (24-Inch) - 2016</v>
      </c>
      <c r="E1385">
        <f>VLOOKUP($C1385,products!$A$1:$F$322,MATCH(order_items!$E$1,products!$A$1:$F$1,0),FALSE)</f>
        <v>3</v>
      </c>
      <c r="F1385" t="str">
        <f>VLOOKUP($E1385,categories!$A$1:$B$8,MATCH(order_items!$F$1,categories!$A$1:$B$1,0),FALSE)</f>
        <v>Cruisers Bicycles</v>
      </c>
      <c r="G1385">
        <v>1</v>
      </c>
      <c r="H1385">
        <v>269.99</v>
      </c>
      <c r="I1385" s="5">
        <v>0.1</v>
      </c>
      <c r="J1385">
        <f t="shared" si="42"/>
        <v>242.99100000000001</v>
      </c>
      <c r="K1385" s="9">
        <f t="shared" si="43"/>
        <v>-0.69693888525532666</v>
      </c>
    </row>
    <row r="1386" spans="1:11" x14ac:dyDescent="0.3">
      <c r="A1386">
        <v>496</v>
      </c>
      <c r="B1386">
        <v>3</v>
      </c>
      <c r="C1386">
        <v>21</v>
      </c>
      <c r="D1386" t="str">
        <f>VLOOKUP($C1386,products!$A$1:$F$322,MATCH(order_items!$D$1,products!$A$1:$F$1,0),FALSE)</f>
        <v>Electra Cruiser 1 (24-Inch) - 2016</v>
      </c>
      <c r="E1386">
        <f>VLOOKUP($C1386,products!$A$1:$F$322,MATCH(order_items!$E$1,products!$A$1:$F$1,0),FALSE)</f>
        <v>1</v>
      </c>
      <c r="F1386" t="str">
        <f>VLOOKUP($E1386,categories!$A$1:$B$8,MATCH(order_items!$F$1,categories!$A$1:$B$1,0),FALSE)</f>
        <v>Children Bicycles</v>
      </c>
      <c r="G1386">
        <v>2</v>
      </c>
      <c r="H1386">
        <v>269.99</v>
      </c>
      <c r="I1386" s="5">
        <v>0.2</v>
      </c>
      <c r="J1386">
        <f t="shared" si="42"/>
        <v>431.98400000000004</v>
      </c>
      <c r="K1386" s="9">
        <f t="shared" si="43"/>
        <v>-0.69693888525532666</v>
      </c>
    </row>
    <row r="1387" spans="1:11" x14ac:dyDescent="0.3">
      <c r="A1387">
        <v>497</v>
      </c>
      <c r="B1387">
        <v>1</v>
      </c>
      <c r="C1387">
        <v>25</v>
      </c>
      <c r="D1387" t="str">
        <f>VLOOKUP($C1387,products!$A$1:$F$322,MATCH(order_items!$D$1,products!$A$1:$F$1,0),FALSE)</f>
        <v>Electra Townie Original 7D - 2015/2016</v>
      </c>
      <c r="E1387">
        <f>VLOOKUP($C1387,products!$A$1:$F$322,MATCH(order_items!$E$1,products!$A$1:$F$1,0),FALSE)</f>
        <v>2</v>
      </c>
      <c r="F1387" t="str">
        <f>VLOOKUP($E1387,categories!$A$1:$B$8,MATCH(order_items!$F$1,categories!$A$1:$B$1,0),FALSE)</f>
        <v>Comfort Bicycles</v>
      </c>
      <c r="G1387">
        <v>2</v>
      </c>
      <c r="H1387">
        <v>499.99</v>
      </c>
      <c r="I1387" s="5">
        <v>7.0000000000000007E-2</v>
      </c>
      <c r="J1387">
        <f t="shared" si="42"/>
        <v>929.98140000000001</v>
      </c>
      <c r="K1387" s="9">
        <f t="shared" si="43"/>
        <v>-0.52690291964276081</v>
      </c>
    </row>
    <row r="1388" spans="1:11" x14ac:dyDescent="0.3">
      <c r="A1388">
        <v>498</v>
      </c>
      <c r="B1388">
        <v>1</v>
      </c>
      <c r="C1388">
        <v>24</v>
      </c>
      <c r="D1388" t="str">
        <f>VLOOKUP($C1388,products!$A$1:$F$322,MATCH(order_items!$D$1,products!$A$1:$F$1,0),FALSE)</f>
        <v>Electra Townie Original 21D - 2016</v>
      </c>
      <c r="E1388">
        <f>VLOOKUP($C1388,products!$A$1:$F$322,MATCH(order_items!$E$1,products!$A$1:$F$1,0),FALSE)</f>
        <v>2</v>
      </c>
      <c r="F1388" t="str">
        <f>VLOOKUP($E1388,categories!$A$1:$B$8,MATCH(order_items!$F$1,categories!$A$1:$B$1,0),FALSE)</f>
        <v>Comfort Bicycles</v>
      </c>
      <c r="G1388">
        <v>1</v>
      </c>
      <c r="H1388">
        <v>549.99</v>
      </c>
      <c r="I1388" s="5">
        <v>7.0000000000000007E-2</v>
      </c>
      <c r="J1388">
        <f t="shared" si="42"/>
        <v>511.49069999999995</v>
      </c>
      <c r="K1388" s="9">
        <f t="shared" si="43"/>
        <v>-0.48993857929220308</v>
      </c>
    </row>
    <row r="1389" spans="1:11" x14ac:dyDescent="0.3">
      <c r="A1389">
        <v>498</v>
      </c>
      <c r="B1389">
        <v>2</v>
      </c>
      <c r="C1389">
        <v>21</v>
      </c>
      <c r="D1389" t="str">
        <f>VLOOKUP($C1389,products!$A$1:$F$322,MATCH(order_items!$D$1,products!$A$1:$F$1,0),FALSE)</f>
        <v>Electra Cruiser 1 (24-Inch) - 2016</v>
      </c>
      <c r="E1389">
        <f>VLOOKUP($C1389,products!$A$1:$F$322,MATCH(order_items!$E$1,products!$A$1:$F$1,0),FALSE)</f>
        <v>1</v>
      </c>
      <c r="F1389" t="str">
        <f>VLOOKUP($E1389,categories!$A$1:$B$8,MATCH(order_items!$F$1,categories!$A$1:$B$1,0),FALSE)</f>
        <v>Children Bicycles</v>
      </c>
      <c r="G1389">
        <v>1</v>
      </c>
      <c r="H1389">
        <v>269.99</v>
      </c>
      <c r="I1389" s="5">
        <v>0.1</v>
      </c>
      <c r="J1389">
        <f t="shared" si="42"/>
        <v>242.99100000000001</v>
      </c>
      <c r="K1389" s="9">
        <f t="shared" si="43"/>
        <v>-0.69693888525532666</v>
      </c>
    </row>
    <row r="1390" spans="1:11" x14ac:dyDescent="0.3">
      <c r="A1390">
        <v>498</v>
      </c>
      <c r="B1390">
        <v>3</v>
      </c>
      <c r="C1390">
        <v>10</v>
      </c>
      <c r="D1390" t="str">
        <f>VLOOKUP($C1390,products!$A$1:$F$322,MATCH(order_items!$D$1,products!$A$1:$F$1,0),FALSE)</f>
        <v>Surly Straggler - 2016</v>
      </c>
      <c r="E1390">
        <f>VLOOKUP($C1390,products!$A$1:$F$322,MATCH(order_items!$E$1,products!$A$1:$F$1,0),FALSE)</f>
        <v>4</v>
      </c>
      <c r="F1390" t="str">
        <f>VLOOKUP($E1390,categories!$A$1:$B$8,MATCH(order_items!$F$1,categories!$A$1:$B$1,0),FALSE)</f>
        <v>Cyclocross Bicycles</v>
      </c>
      <c r="G1390">
        <v>1</v>
      </c>
      <c r="H1390">
        <v>1549</v>
      </c>
      <c r="I1390" s="5">
        <v>7.0000000000000007E-2</v>
      </c>
      <c r="J1390">
        <f t="shared" si="42"/>
        <v>1440.57</v>
      </c>
      <c r="K1390" s="9">
        <f t="shared" si="43"/>
        <v>0.24861633378001166</v>
      </c>
    </row>
    <row r="1391" spans="1:11" x14ac:dyDescent="0.3">
      <c r="A1391">
        <v>499</v>
      </c>
      <c r="B1391">
        <v>1</v>
      </c>
      <c r="C1391">
        <v>11</v>
      </c>
      <c r="D1391" t="str">
        <f>VLOOKUP($C1391,products!$A$1:$F$322,MATCH(order_items!$D$1,products!$A$1:$F$1,0),FALSE)</f>
        <v>Surly Straggler 650b - 2016</v>
      </c>
      <c r="E1391">
        <f>VLOOKUP($C1391,products!$A$1:$F$322,MATCH(order_items!$E$1,products!$A$1:$F$1,0),FALSE)</f>
        <v>4</v>
      </c>
      <c r="F1391" t="str">
        <f>VLOOKUP($E1391,categories!$A$1:$B$8,MATCH(order_items!$F$1,categories!$A$1:$B$1,0),FALSE)</f>
        <v>Cyclocross Bicycles</v>
      </c>
      <c r="G1391">
        <v>1</v>
      </c>
      <c r="H1391">
        <v>1680.99</v>
      </c>
      <c r="I1391" s="5">
        <v>0.2</v>
      </c>
      <c r="J1391">
        <f t="shared" si="42"/>
        <v>1344.7920000000001</v>
      </c>
      <c r="K1391" s="9">
        <f t="shared" si="43"/>
        <v>0.3461947994374141</v>
      </c>
    </row>
    <row r="1392" spans="1:11" x14ac:dyDescent="0.3">
      <c r="A1392">
        <v>499</v>
      </c>
      <c r="B1392">
        <v>2</v>
      </c>
      <c r="C1392">
        <v>15</v>
      </c>
      <c r="D1392" t="str">
        <f>VLOOKUP($C1392,products!$A$1:$F$322,MATCH(order_items!$D$1,products!$A$1:$F$1,0),FALSE)</f>
        <v>Electra Moto 1 - 2016</v>
      </c>
      <c r="E1392">
        <f>VLOOKUP($C1392,products!$A$1:$F$322,MATCH(order_items!$E$1,products!$A$1:$F$1,0),FALSE)</f>
        <v>3</v>
      </c>
      <c r="F1392" t="str">
        <f>VLOOKUP($E1392,categories!$A$1:$B$8,MATCH(order_items!$F$1,categories!$A$1:$B$1,0),FALSE)</f>
        <v>Cruisers Bicycles</v>
      </c>
      <c r="G1392">
        <v>1</v>
      </c>
      <c r="H1392">
        <v>529.99</v>
      </c>
      <c r="I1392" s="5">
        <v>7.0000000000000007E-2</v>
      </c>
      <c r="J1392">
        <f t="shared" si="42"/>
        <v>492.89069999999998</v>
      </c>
      <c r="K1392" s="9">
        <f t="shared" si="43"/>
        <v>-0.50472431543242624</v>
      </c>
    </row>
    <row r="1393" spans="1:11" x14ac:dyDescent="0.3">
      <c r="A1393">
        <v>499</v>
      </c>
      <c r="B1393">
        <v>3</v>
      </c>
      <c r="C1393">
        <v>14</v>
      </c>
      <c r="D1393" t="str">
        <f>VLOOKUP($C1393,products!$A$1:$F$322,MATCH(order_items!$D$1,products!$A$1:$F$1,0),FALSE)</f>
        <v>Electra Girl's Hawaii 1 (16-inch) - 2015/2016</v>
      </c>
      <c r="E1393">
        <f>VLOOKUP($C1393,products!$A$1:$F$322,MATCH(order_items!$E$1,products!$A$1:$F$1,0),FALSE)</f>
        <v>3</v>
      </c>
      <c r="F1393" t="str">
        <f>VLOOKUP($E1393,categories!$A$1:$B$8,MATCH(order_items!$F$1,categories!$A$1:$B$1,0),FALSE)</f>
        <v>Cruisers Bicycles</v>
      </c>
      <c r="G1393">
        <v>2</v>
      </c>
      <c r="H1393">
        <v>269.99</v>
      </c>
      <c r="I1393" s="5">
        <v>0.2</v>
      </c>
      <c r="J1393">
        <f t="shared" si="42"/>
        <v>431.98400000000004</v>
      </c>
      <c r="K1393" s="9">
        <f t="shared" si="43"/>
        <v>-0.69693888525532666</v>
      </c>
    </row>
    <row r="1394" spans="1:11" x14ac:dyDescent="0.3">
      <c r="A1394">
        <v>499</v>
      </c>
      <c r="B1394">
        <v>4</v>
      </c>
      <c r="C1394">
        <v>20</v>
      </c>
      <c r="D1394" t="str">
        <f>VLOOKUP($C1394,products!$A$1:$F$322,MATCH(order_items!$D$1,products!$A$1:$F$1,0),FALSE)</f>
        <v>Electra Townie Original 7D EQ - Women's - 2016</v>
      </c>
      <c r="E1394">
        <f>VLOOKUP($C1394,products!$A$1:$F$322,MATCH(order_items!$E$1,products!$A$1:$F$1,0),FALSE)</f>
        <v>3</v>
      </c>
      <c r="F1394" t="str">
        <f>VLOOKUP($E1394,categories!$A$1:$B$8,MATCH(order_items!$F$1,categories!$A$1:$B$1,0),FALSE)</f>
        <v>Cruisers Bicycles</v>
      </c>
      <c r="G1394">
        <v>2</v>
      </c>
      <c r="H1394">
        <v>599.99</v>
      </c>
      <c r="I1394" s="5">
        <v>0.1</v>
      </c>
      <c r="J1394">
        <f t="shared" si="42"/>
        <v>1079.982</v>
      </c>
      <c r="K1394" s="9">
        <f t="shared" si="43"/>
        <v>-0.45297423894164529</v>
      </c>
    </row>
    <row r="1395" spans="1:11" x14ac:dyDescent="0.3">
      <c r="A1395">
        <v>500</v>
      </c>
      <c r="B1395">
        <v>1</v>
      </c>
      <c r="C1395">
        <v>12</v>
      </c>
      <c r="D1395" t="str">
        <f>VLOOKUP($C1395,products!$A$1:$F$322,MATCH(order_items!$D$1,products!$A$1:$F$1,0),FALSE)</f>
        <v>Electra Townie Original 21D - 2016</v>
      </c>
      <c r="E1395">
        <f>VLOOKUP($C1395,products!$A$1:$F$322,MATCH(order_items!$E$1,products!$A$1:$F$1,0),FALSE)</f>
        <v>3</v>
      </c>
      <c r="F1395" t="str">
        <f>VLOOKUP($E1395,categories!$A$1:$B$8,MATCH(order_items!$F$1,categories!$A$1:$B$1,0),FALSE)</f>
        <v>Cruisers Bicycles</v>
      </c>
      <c r="G1395">
        <v>2</v>
      </c>
      <c r="H1395">
        <v>549.99</v>
      </c>
      <c r="I1395" s="5">
        <v>0.05</v>
      </c>
      <c r="J1395">
        <f t="shared" si="42"/>
        <v>1044.981</v>
      </c>
      <c r="K1395" s="9">
        <f t="shared" si="43"/>
        <v>-0.48993857929220308</v>
      </c>
    </row>
    <row r="1396" spans="1:11" x14ac:dyDescent="0.3">
      <c r="A1396">
        <v>500</v>
      </c>
      <c r="B1396">
        <v>2</v>
      </c>
      <c r="C1396">
        <v>14</v>
      </c>
      <c r="D1396" t="str">
        <f>VLOOKUP($C1396,products!$A$1:$F$322,MATCH(order_items!$D$1,products!$A$1:$F$1,0),FALSE)</f>
        <v>Electra Girl's Hawaii 1 (16-inch) - 2015/2016</v>
      </c>
      <c r="E1396">
        <f>VLOOKUP($C1396,products!$A$1:$F$322,MATCH(order_items!$E$1,products!$A$1:$F$1,0),FALSE)</f>
        <v>3</v>
      </c>
      <c r="F1396" t="str">
        <f>VLOOKUP($E1396,categories!$A$1:$B$8,MATCH(order_items!$F$1,categories!$A$1:$B$1,0),FALSE)</f>
        <v>Cruisers Bicycles</v>
      </c>
      <c r="G1396">
        <v>1</v>
      </c>
      <c r="H1396">
        <v>269.99</v>
      </c>
      <c r="I1396" s="5">
        <v>0.2</v>
      </c>
      <c r="J1396">
        <f t="shared" si="42"/>
        <v>215.99200000000002</v>
      </c>
      <c r="K1396" s="9">
        <f t="shared" si="43"/>
        <v>-0.69693888525532666</v>
      </c>
    </row>
    <row r="1397" spans="1:11" x14ac:dyDescent="0.3">
      <c r="A1397">
        <v>501</v>
      </c>
      <c r="B1397">
        <v>1</v>
      </c>
      <c r="C1397">
        <v>19</v>
      </c>
      <c r="D1397" t="str">
        <f>VLOOKUP($C1397,products!$A$1:$F$322,MATCH(order_items!$D$1,products!$A$1:$F$1,0),FALSE)</f>
        <v>Pure Cycles William 3-Speed - 2016</v>
      </c>
      <c r="E1397">
        <f>VLOOKUP($C1397,products!$A$1:$F$322,MATCH(order_items!$E$1,products!$A$1:$F$1,0),FALSE)</f>
        <v>3</v>
      </c>
      <c r="F1397" t="str">
        <f>VLOOKUP($E1397,categories!$A$1:$B$8,MATCH(order_items!$F$1,categories!$A$1:$B$1,0),FALSE)</f>
        <v>Cruisers Bicycles</v>
      </c>
      <c r="G1397">
        <v>2</v>
      </c>
      <c r="H1397">
        <v>449</v>
      </c>
      <c r="I1397" s="5">
        <v>0.05</v>
      </c>
      <c r="J1397">
        <f t="shared" si="42"/>
        <v>853.09999999999991</v>
      </c>
      <c r="K1397" s="9">
        <f t="shared" si="43"/>
        <v>-0.56459915393225968</v>
      </c>
    </row>
    <row r="1398" spans="1:11" x14ac:dyDescent="0.3">
      <c r="A1398">
        <v>501</v>
      </c>
      <c r="B1398">
        <v>2</v>
      </c>
      <c r="C1398">
        <v>8</v>
      </c>
      <c r="D1398" t="str">
        <f>VLOOKUP($C1398,products!$A$1:$F$322,MATCH(order_items!$D$1,products!$A$1:$F$1,0),FALSE)</f>
        <v>Trek Remedy 29 Carbon Frameset - 2016</v>
      </c>
      <c r="E1398">
        <f>VLOOKUP($C1398,products!$A$1:$F$322,MATCH(order_items!$E$1,products!$A$1:$F$1,0),FALSE)</f>
        <v>6</v>
      </c>
      <c r="F1398" t="str">
        <f>VLOOKUP($E1398,categories!$A$1:$B$8,MATCH(order_items!$F$1,categories!$A$1:$B$1,0),FALSE)</f>
        <v>Mountain Bikes</v>
      </c>
      <c r="G1398">
        <v>1</v>
      </c>
      <c r="H1398">
        <v>1799.99</v>
      </c>
      <c r="I1398" s="5">
        <v>7.0000000000000007E-2</v>
      </c>
      <c r="J1398">
        <f t="shared" si="42"/>
        <v>1673.9906999999998</v>
      </c>
      <c r="K1398" s="9">
        <f t="shared" si="43"/>
        <v>0.43416992947174166</v>
      </c>
    </row>
    <row r="1399" spans="1:11" x14ac:dyDescent="0.3">
      <c r="A1399">
        <v>501</v>
      </c>
      <c r="B1399">
        <v>3</v>
      </c>
      <c r="C1399">
        <v>14</v>
      </c>
      <c r="D1399" t="str">
        <f>VLOOKUP($C1399,products!$A$1:$F$322,MATCH(order_items!$D$1,products!$A$1:$F$1,0),FALSE)</f>
        <v>Electra Girl's Hawaii 1 (16-inch) - 2015/2016</v>
      </c>
      <c r="E1399">
        <f>VLOOKUP($C1399,products!$A$1:$F$322,MATCH(order_items!$E$1,products!$A$1:$F$1,0),FALSE)</f>
        <v>3</v>
      </c>
      <c r="F1399" t="str">
        <f>VLOOKUP($E1399,categories!$A$1:$B$8,MATCH(order_items!$F$1,categories!$A$1:$B$1,0),FALSE)</f>
        <v>Cruisers Bicycles</v>
      </c>
      <c r="G1399">
        <v>1</v>
      </c>
      <c r="H1399">
        <v>269.99</v>
      </c>
      <c r="I1399" s="5">
        <v>0.1</v>
      </c>
      <c r="J1399">
        <f t="shared" si="42"/>
        <v>242.99100000000001</v>
      </c>
      <c r="K1399" s="9">
        <f t="shared" si="43"/>
        <v>-0.69693888525532666</v>
      </c>
    </row>
    <row r="1400" spans="1:11" x14ac:dyDescent="0.3">
      <c r="A1400">
        <v>501</v>
      </c>
      <c r="B1400">
        <v>4</v>
      </c>
      <c r="C1400">
        <v>23</v>
      </c>
      <c r="D1400" t="str">
        <f>VLOOKUP($C1400,products!$A$1:$F$322,MATCH(order_items!$D$1,products!$A$1:$F$1,0),FALSE)</f>
        <v>Electra Girl's Hawaii 1 (20-inch) - 2015/2016</v>
      </c>
      <c r="E1400">
        <f>VLOOKUP($C1400,products!$A$1:$F$322,MATCH(order_items!$E$1,products!$A$1:$F$1,0),FALSE)</f>
        <v>1</v>
      </c>
      <c r="F1400" t="str">
        <f>VLOOKUP($E1400,categories!$A$1:$B$8,MATCH(order_items!$F$1,categories!$A$1:$B$1,0),FALSE)</f>
        <v>Children Bicycles</v>
      </c>
      <c r="G1400">
        <v>2</v>
      </c>
      <c r="H1400">
        <v>299.99</v>
      </c>
      <c r="I1400" s="5">
        <v>7.0000000000000007E-2</v>
      </c>
      <c r="J1400">
        <f t="shared" si="42"/>
        <v>557.98140000000001</v>
      </c>
      <c r="K1400" s="9">
        <f t="shared" si="43"/>
        <v>-0.67476028104499197</v>
      </c>
    </row>
    <row r="1401" spans="1:11" x14ac:dyDescent="0.3">
      <c r="A1401">
        <v>502</v>
      </c>
      <c r="B1401">
        <v>1</v>
      </c>
      <c r="C1401">
        <v>13</v>
      </c>
      <c r="D1401" t="str">
        <f>VLOOKUP($C1401,products!$A$1:$F$322,MATCH(order_items!$D$1,products!$A$1:$F$1,0),FALSE)</f>
        <v>Electra Cruiser 1 (24-Inch) - 2016</v>
      </c>
      <c r="E1401">
        <f>VLOOKUP($C1401,products!$A$1:$F$322,MATCH(order_items!$E$1,products!$A$1:$F$1,0),FALSE)</f>
        <v>3</v>
      </c>
      <c r="F1401" t="str">
        <f>VLOOKUP($E1401,categories!$A$1:$B$8,MATCH(order_items!$F$1,categories!$A$1:$B$1,0),FALSE)</f>
        <v>Cruisers Bicycles</v>
      </c>
      <c r="G1401">
        <v>1</v>
      </c>
      <c r="H1401">
        <v>269.99</v>
      </c>
      <c r="I1401" s="5">
        <v>0.05</v>
      </c>
      <c r="J1401">
        <f t="shared" si="42"/>
        <v>256.4905</v>
      </c>
      <c r="K1401" s="9">
        <f t="shared" si="43"/>
        <v>-0.69693888525532666</v>
      </c>
    </row>
    <row r="1402" spans="1:11" x14ac:dyDescent="0.3">
      <c r="A1402">
        <v>503</v>
      </c>
      <c r="B1402">
        <v>1</v>
      </c>
      <c r="C1402">
        <v>13</v>
      </c>
      <c r="D1402" t="str">
        <f>VLOOKUP($C1402,products!$A$1:$F$322,MATCH(order_items!$D$1,products!$A$1:$F$1,0),FALSE)</f>
        <v>Electra Cruiser 1 (24-Inch) - 2016</v>
      </c>
      <c r="E1402">
        <f>VLOOKUP($C1402,products!$A$1:$F$322,MATCH(order_items!$E$1,products!$A$1:$F$1,0),FALSE)</f>
        <v>3</v>
      </c>
      <c r="F1402" t="str">
        <f>VLOOKUP($E1402,categories!$A$1:$B$8,MATCH(order_items!$F$1,categories!$A$1:$B$1,0),FALSE)</f>
        <v>Cruisers Bicycles</v>
      </c>
      <c r="G1402">
        <v>2</v>
      </c>
      <c r="H1402">
        <v>269.99</v>
      </c>
      <c r="I1402" s="5">
        <v>7.0000000000000007E-2</v>
      </c>
      <c r="J1402">
        <f t="shared" si="42"/>
        <v>502.1814</v>
      </c>
      <c r="K1402" s="9">
        <f t="shared" si="43"/>
        <v>-0.69693888525532666</v>
      </c>
    </row>
    <row r="1403" spans="1:11" x14ac:dyDescent="0.3">
      <c r="A1403">
        <v>503</v>
      </c>
      <c r="B1403">
        <v>2</v>
      </c>
      <c r="C1403">
        <v>10</v>
      </c>
      <c r="D1403" t="str">
        <f>VLOOKUP($C1403,products!$A$1:$F$322,MATCH(order_items!$D$1,products!$A$1:$F$1,0),FALSE)</f>
        <v>Surly Straggler - 2016</v>
      </c>
      <c r="E1403">
        <f>VLOOKUP($C1403,products!$A$1:$F$322,MATCH(order_items!$E$1,products!$A$1:$F$1,0),FALSE)</f>
        <v>4</v>
      </c>
      <c r="F1403" t="str">
        <f>VLOOKUP($E1403,categories!$A$1:$B$8,MATCH(order_items!$F$1,categories!$A$1:$B$1,0),FALSE)</f>
        <v>Cyclocross Bicycles</v>
      </c>
      <c r="G1403">
        <v>1</v>
      </c>
      <c r="H1403">
        <v>1549</v>
      </c>
      <c r="I1403" s="5">
        <v>0.05</v>
      </c>
      <c r="J1403">
        <f t="shared" si="42"/>
        <v>1471.55</v>
      </c>
      <c r="K1403" s="9">
        <f t="shared" si="43"/>
        <v>0.24861633378001166</v>
      </c>
    </row>
    <row r="1404" spans="1:11" x14ac:dyDescent="0.3">
      <c r="A1404">
        <v>504</v>
      </c>
      <c r="B1404">
        <v>1</v>
      </c>
      <c r="C1404">
        <v>24</v>
      </c>
      <c r="D1404" t="str">
        <f>VLOOKUP($C1404,products!$A$1:$F$322,MATCH(order_items!$D$1,products!$A$1:$F$1,0),FALSE)</f>
        <v>Electra Townie Original 21D - 2016</v>
      </c>
      <c r="E1404">
        <f>VLOOKUP($C1404,products!$A$1:$F$322,MATCH(order_items!$E$1,products!$A$1:$F$1,0),FALSE)</f>
        <v>2</v>
      </c>
      <c r="F1404" t="str">
        <f>VLOOKUP($E1404,categories!$A$1:$B$8,MATCH(order_items!$F$1,categories!$A$1:$B$1,0),FALSE)</f>
        <v>Comfort Bicycles</v>
      </c>
      <c r="G1404">
        <v>2</v>
      </c>
      <c r="H1404">
        <v>549.99</v>
      </c>
      <c r="I1404" s="5">
        <v>0.1</v>
      </c>
      <c r="J1404">
        <f t="shared" si="42"/>
        <v>989.98200000000008</v>
      </c>
      <c r="K1404" s="9">
        <f t="shared" si="43"/>
        <v>-0.48993857929220308</v>
      </c>
    </row>
    <row r="1405" spans="1:11" x14ac:dyDescent="0.3">
      <c r="A1405">
        <v>504</v>
      </c>
      <c r="B1405">
        <v>2</v>
      </c>
      <c r="C1405">
        <v>2</v>
      </c>
      <c r="D1405" t="str">
        <f>VLOOKUP($C1405,products!$A$1:$F$322,MATCH(order_items!$D$1,products!$A$1:$F$1,0),FALSE)</f>
        <v>Ritchey Timberwolf Frameset - 2016</v>
      </c>
      <c r="E1405">
        <f>VLOOKUP($C1405,products!$A$1:$F$322,MATCH(order_items!$E$1,products!$A$1:$F$1,0),FALSE)</f>
        <v>6</v>
      </c>
      <c r="F1405" t="str">
        <f>VLOOKUP($E1405,categories!$A$1:$B$8,MATCH(order_items!$F$1,categories!$A$1:$B$1,0),FALSE)</f>
        <v>Mountain Bikes</v>
      </c>
      <c r="G1405">
        <v>2</v>
      </c>
      <c r="H1405">
        <v>749.99</v>
      </c>
      <c r="I1405" s="5">
        <v>0.05</v>
      </c>
      <c r="J1405">
        <f t="shared" si="42"/>
        <v>1424.981</v>
      </c>
      <c r="K1405" s="9">
        <f t="shared" si="43"/>
        <v>-0.34208121788997192</v>
      </c>
    </row>
    <row r="1406" spans="1:11" x14ac:dyDescent="0.3">
      <c r="A1406">
        <v>505</v>
      </c>
      <c r="B1406">
        <v>1</v>
      </c>
      <c r="C1406">
        <v>26</v>
      </c>
      <c r="D1406" t="str">
        <f>VLOOKUP($C1406,products!$A$1:$F$322,MATCH(order_items!$D$1,products!$A$1:$F$1,0),FALSE)</f>
        <v>Electra Townie Original 7D EQ - 2016</v>
      </c>
      <c r="E1406">
        <f>VLOOKUP($C1406,products!$A$1:$F$322,MATCH(order_items!$E$1,products!$A$1:$F$1,0),FALSE)</f>
        <v>2</v>
      </c>
      <c r="F1406" t="str">
        <f>VLOOKUP($E1406,categories!$A$1:$B$8,MATCH(order_items!$F$1,categories!$A$1:$B$1,0),FALSE)</f>
        <v>Comfort Bicycles</v>
      </c>
      <c r="G1406">
        <v>1</v>
      </c>
      <c r="H1406">
        <v>599.99</v>
      </c>
      <c r="I1406" s="5">
        <v>0.2</v>
      </c>
      <c r="J1406">
        <f t="shared" si="42"/>
        <v>479.99200000000002</v>
      </c>
      <c r="K1406" s="9">
        <f t="shared" si="43"/>
        <v>-0.45297423894164529</v>
      </c>
    </row>
    <row r="1407" spans="1:11" x14ac:dyDescent="0.3">
      <c r="A1407">
        <v>506</v>
      </c>
      <c r="B1407">
        <v>1</v>
      </c>
      <c r="C1407">
        <v>25</v>
      </c>
      <c r="D1407" t="str">
        <f>VLOOKUP($C1407,products!$A$1:$F$322,MATCH(order_items!$D$1,products!$A$1:$F$1,0),FALSE)</f>
        <v>Electra Townie Original 7D - 2015/2016</v>
      </c>
      <c r="E1407">
        <f>VLOOKUP($C1407,products!$A$1:$F$322,MATCH(order_items!$E$1,products!$A$1:$F$1,0),FALSE)</f>
        <v>2</v>
      </c>
      <c r="F1407" t="str">
        <f>VLOOKUP($E1407,categories!$A$1:$B$8,MATCH(order_items!$F$1,categories!$A$1:$B$1,0),FALSE)</f>
        <v>Comfort Bicycles</v>
      </c>
      <c r="G1407">
        <v>1</v>
      </c>
      <c r="H1407">
        <v>499.99</v>
      </c>
      <c r="I1407" s="5">
        <v>0.1</v>
      </c>
      <c r="J1407">
        <f t="shared" si="42"/>
        <v>449.99100000000004</v>
      </c>
      <c r="K1407" s="9">
        <f t="shared" si="43"/>
        <v>-0.52690291964276081</v>
      </c>
    </row>
    <row r="1408" spans="1:11" x14ac:dyDescent="0.3">
      <c r="A1408">
        <v>506</v>
      </c>
      <c r="B1408">
        <v>2</v>
      </c>
      <c r="C1408">
        <v>7</v>
      </c>
      <c r="D1408" t="str">
        <f>VLOOKUP($C1408,products!$A$1:$F$322,MATCH(order_items!$D$1,products!$A$1:$F$1,0),FALSE)</f>
        <v>Trek Slash 8 27.5 - 2016</v>
      </c>
      <c r="E1408">
        <f>VLOOKUP($C1408,products!$A$1:$F$322,MATCH(order_items!$E$1,products!$A$1:$F$1,0),FALSE)</f>
        <v>6</v>
      </c>
      <c r="F1408" t="str">
        <f>VLOOKUP($E1408,categories!$A$1:$B$8,MATCH(order_items!$F$1,categories!$A$1:$B$1,0),FALSE)</f>
        <v>Mountain Bikes</v>
      </c>
      <c r="G1408">
        <v>1</v>
      </c>
      <c r="H1408">
        <v>3999.99</v>
      </c>
      <c r="I1408" s="5">
        <v>7.0000000000000007E-2</v>
      </c>
      <c r="J1408">
        <f t="shared" si="42"/>
        <v>3719.9906999999994</v>
      </c>
      <c r="K1408" s="9">
        <f t="shared" si="43"/>
        <v>2.0606009048962846</v>
      </c>
    </row>
    <row r="1409" spans="1:11" x14ac:dyDescent="0.3">
      <c r="A1409">
        <v>507</v>
      </c>
      <c r="B1409">
        <v>1</v>
      </c>
      <c r="C1409">
        <v>11</v>
      </c>
      <c r="D1409" t="str">
        <f>VLOOKUP($C1409,products!$A$1:$F$322,MATCH(order_items!$D$1,products!$A$1:$F$1,0),FALSE)</f>
        <v>Surly Straggler 650b - 2016</v>
      </c>
      <c r="E1409">
        <f>VLOOKUP($C1409,products!$A$1:$F$322,MATCH(order_items!$E$1,products!$A$1:$F$1,0),FALSE)</f>
        <v>4</v>
      </c>
      <c r="F1409" t="str">
        <f>VLOOKUP($E1409,categories!$A$1:$B$8,MATCH(order_items!$F$1,categories!$A$1:$B$1,0),FALSE)</f>
        <v>Cyclocross Bicycles</v>
      </c>
      <c r="G1409">
        <v>2</v>
      </c>
      <c r="H1409">
        <v>1680.99</v>
      </c>
      <c r="I1409" s="5">
        <v>0.05</v>
      </c>
      <c r="J1409">
        <f t="shared" si="42"/>
        <v>3193.8809999999999</v>
      </c>
      <c r="K1409" s="9">
        <f t="shared" si="43"/>
        <v>0.3461947994374141</v>
      </c>
    </row>
    <row r="1410" spans="1:11" x14ac:dyDescent="0.3">
      <c r="A1410">
        <v>507</v>
      </c>
      <c r="B1410">
        <v>2</v>
      </c>
      <c r="C1410">
        <v>13</v>
      </c>
      <c r="D1410" t="str">
        <f>VLOOKUP($C1410,products!$A$1:$F$322,MATCH(order_items!$D$1,products!$A$1:$F$1,0),FALSE)</f>
        <v>Electra Cruiser 1 (24-Inch) - 2016</v>
      </c>
      <c r="E1410">
        <f>VLOOKUP($C1410,products!$A$1:$F$322,MATCH(order_items!$E$1,products!$A$1:$F$1,0),FALSE)</f>
        <v>3</v>
      </c>
      <c r="F1410" t="str">
        <f>VLOOKUP($E1410,categories!$A$1:$B$8,MATCH(order_items!$F$1,categories!$A$1:$B$1,0),FALSE)</f>
        <v>Cruisers Bicycles</v>
      </c>
      <c r="G1410">
        <v>2</v>
      </c>
      <c r="H1410">
        <v>269.99</v>
      </c>
      <c r="I1410" s="5">
        <v>7.0000000000000007E-2</v>
      </c>
      <c r="J1410">
        <f t="shared" ref="J1410:J1473" si="44">G1410*H1410*(1-I1410)</f>
        <v>502.1814</v>
      </c>
      <c r="K1410" s="9">
        <f t="shared" ref="K1410:K1473" si="45">($H1410-$M$7)/$M$9</f>
        <v>-0.69693888525532666</v>
      </c>
    </row>
    <row r="1411" spans="1:11" x14ac:dyDescent="0.3">
      <c r="A1411">
        <v>507</v>
      </c>
      <c r="B1411">
        <v>3</v>
      </c>
      <c r="C1411">
        <v>20</v>
      </c>
      <c r="D1411" t="str">
        <f>VLOOKUP($C1411,products!$A$1:$F$322,MATCH(order_items!$D$1,products!$A$1:$F$1,0),FALSE)</f>
        <v>Electra Townie Original 7D EQ - Women's - 2016</v>
      </c>
      <c r="E1411">
        <f>VLOOKUP($C1411,products!$A$1:$F$322,MATCH(order_items!$E$1,products!$A$1:$F$1,0),FALSE)</f>
        <v>3</v>
      </c>
      <c r="F1411" t="str">
        <f>VLOOKUP($E1411,categories!$A$1:$B$8,MATCH(order_items!$F$1,categories!$A$1:$B$1,0),FALSE)</f>
        <v>Cruisers Bicycles</v>
      </c>
      <c r="G1411">
        <v>2</v>
      </c>
      <c r="H1411">
        <v>599.99</v>
      </c>
      <c r="I1411" s="5">
        <v>0.1</v>
      </c>
      <c r="J1411">
        <f t="shared" si="44"/>
        <v>1079.982</v>
      </c>
      <c r="K1411" s="9">
        <f t="shared" si="45"/>
        <v>-0.45297423894164529</v>
      </c>
    </row>
    <row r="1412" spans="1:11" x14ac:dyDescent="0.3">
      <c r="A1412">
        <v>508</v>
      </c>
      <c r="B1412">
        <v>1</v>
      </c>
      <c r="C1412">
        <v>8</v>
      </c>
      <c r="D1412" t="str">
        <f>VLOOKUP($C1412,products!$A$1:$F$322,MATCH(order_items!$D$1,products!$A$1:$F$1,0),FALSE)</f>
        <v>Trek Remedy 29 Carbon Frameset - 2016</v>
      </c>
      <c r="E1412">
        <f>VLOOKUP($C1412,products!$A$1:$F$322,MATCH(order_items!$E$1,products!$A$1:$F$1,0),FALSE)</f>
        <v>6</v>
      </c>
      <c r="F1412" t="str">
        <f>VLOOKUP($E1412,categories!$A$1:$B$8,MATCH(order_items!$F$1,categories!$A$1:$B$1,0),FALSE)</f>
        <v>Mountain Bikes</v>
      </c>
      <c r="G1412">
        <v>1</v>
      </c>
      <c r="H1412">
        <v>1799.99</v>
      </c>
      <c r="I1412" s="5">
        <v>0.05</v>
      </c>
      <c r="J1412">
        <f t="shared" si="44"/>
        <v>1709.9904999999999</v>
      </c>
      <c r="K1412" s="9">
        <f t="shared" si="45"/>
        <v>0.43416992947174166</v>
      </c>
    </row>
    <row r="1413" spans="1:11" x14ac:dyDescent="0.3">
      <c r="A1413">
        <v>508</v>
      </c>
      <c r="B1413">
        <v>2</v>
      </c>
      <c r="C1413">
        <v>2</v>
      </c>
      <c r="D1413" t="str">
        <f>VLOOKUP($C1413,products!$A$1:$F$322,MATCH(order_items!$D$1,products!$A$1:$F$1,0),FALSE)</f>
        <v>Ritchey Timberwolf Frameset - 2016</v>
      </c>
      <c r="E1413">
        <f>VLOOKUP($C1413,products!$A$1:$F$322,MATCH(order_items!$E$1,products!$A$1:$F$1,0),FALSE)</f>
        <v>6</v>
      </c>
      <c r="F1413" t="str">
        <f>VLOOKUP($E1413,categories!$A$1:$B$8,MATCH(order_items!$F$1,categories!$A$1:$B$1,0),FALSE)</f>
        <v>Mountain Bikes</v>
      </c>
      <c r="G1413">
        <v>2</v>
      </c>
      <c r="H1413">
        <v>749.99</v>
      </c>
      <c r="I1413" s="5">
        <v>0.05</v>
      </c>
      <c r="J1413">
        <f t="shared" si="44"/>
        <v>1424.981</v>
      </c>
      <c r="K1413" s="9">
        <f t="shared" si="45"/>
        <v>-0.34208121788997192</v>
      </c>
    </row>
    <row r="1414" spans="1:11" x14ac:dyDescent="0.3">
      <c r="A1414">
        <v>508</v>
      </c>
      <c r="B1414">
        <v>3</v>
      </c>
      <c r="C1414">
        <v>10</v>
      </c>
      <c r="D1414" t="str">
        <f>VLOOKUP($C1414,products!$A$1:$F$322,MATCH(order_items!$D$1,products!$A$1:$F$1,0),FALSE)</f>
        <v>Surly Straggler - 2016</v>
      </c>
      <c r="E1414">
        <f>VLOOKUP($C1414,products!$A$1:$F$322,MATCH(order_items!$E$1,products!$A$1:$F$1,0),FALSE)</f>
        <v>4</v>
      </c>
      <c r="F1414" t="str">
        <f>VLOOKUP($E1414,categories!$A$1:$B$8,MATCH(order_items!$F$1,categories!$A$1:$B$1,0),FALSE)</f>
        <v>Cyclocross Bicycles</v>
      </c>
      <c r="G1414">
        <v>2</v>
      </c>
      <c r="H1414">
        <v>1549</v>
      </c>
      <c r="I1414" s="5">
        <v>0.05</v>
      </c>
      <c r="J1414">
        <f t="shared" si="44"/>
        <v>2943.1</v>
      </c>
      <c r="K1414" s="9">
        <f t="shared" si="45"/>
        <v>0.24861633378001166</v>
      </c>
    </row>
    <row r="1415" spans="1:11" x14ac:dyDescent="0.3">
      <c r="A1415">
        <v>508</v>
      </c>
      <c r="B1415">
        <v>4</v>
      </c>
      <c r="C1415">
        <v>25</v>
      </c>
      <c r="D1415" t="str">
        <f>VLOOKUP($C1415,products!$A$1:$F$322,MATCH(order_items!$D$1,products!$A$1:$F$1,0),FALSE)</f>
        <v>Electra Townie Original 7D - 2015/2016</v>
      </c>
      <c r="E1415">
        <f>VLOOKUP($C1415,products!$A$1:$F$322,MATCH(order_items!$E$1,products!$A$1:$F$1,0),FALSE)</f>
        <v>2</v>
      </c>
      <c r="F1415" t="str">
        <f>VLOOKUP($E1415,categories!$A$1:$B$8,MATCH(order_items!$F$1,categories!$A$1:$B$1,0),FALSE)</f>
        <v>Comfort Bicycles</v>
      </c>
      <c r="G1415">
        <v>1</v>
      </c>
      <c r="H1415">
        <v>499.99</v>
      </c>
      <c r="I1415" s="5">
        <v>7.0000000000000007E-2</v>
      </c>
      <c r="J1415">
        <f t="shared" si="44"/>
        <v>464.9907</v>
      </c>
      <c r="K1415" s="9">
        <f t="shared" si="45"/>
        <v>-0.52690291964276081</v>
      </c>
    </row>
    <row r="1416" spans="1:11" x14ac:dyDescent="0.3">
      <c r="A1416">
        <v>509</v>
      </c>
      <c r="B1416">
        <v>1</v>
      </c>
      <c r="C1416">
        <v>23</v>
      </c>
      <c r="D1416" t="str">
        <f>VLOOKUP($C1416,products!$A$1:$F$322,MATCH(order_items!$D$1,products!$A$1:$F$1,0),FALSE)</f>
        <v>Electra Girl's Hawaii 1 (20-inch) - 2015/2016</v>
      </c>
      <c r="E1416">
        <f>VLOOKUP($C1416,products!$A$1:$F$322,MATCH(order_items!$E$1,products!$A$1:$F$1,0),FALSE)</f>
        <v>1</v>
      </c>
      <c r="F1416" t="str">
        <f>VLOOKUP($E1416,categories!$A$1:$B$8,MATCH(order_items!$F$1,categories!$A$1:$B$1,0),FALSE)</f>
        <v>Children Bicycles</v>
      </c>
      <c r="G1416">
        <v>2</v>
      </c>
      <c r="H1416">
        <v>299.99</v>
      </c>
      <c r="I1416" s="5">
        <v>0.2</v>
      </c>
      <c r="J1416">
        <f t="shared" si="44"/>
        <v>479.98400000000004</v>
      </c>
      <c r="K1416" s="9">
        <f t="shared" si="45"/>
        <v>-0.67476028104499197</v>
      </c>
    </row>
    <row r="1417" spans="1:11" x14ac:dyDescent="0.3">
      <c r="A1417">
        <v>509</v>
      </c>
      <c r="B1417">
        <v>2</v>
      </c>
      <c r="C1417">
        <v>4</v>
      </c>
      <c r="D1417" t="str">
        <f>VLOOKUP($C1417,products!$A$1:$F$322,MATCH(order_items!$D$1,products!$A$1:$F$1,0),FALSE)</f>
        <v>Trek Fuel EX 8 29 - 2016</v>
      </c>
      <c r="E1417">
        <f>VLOOKUP($C1417,products!$A$1:$F$322,MATCH(order_items!$E$1,products!$A$1:$F$1,0),FALSE)</f>
        <v>6</v>
      </c>
      <c r="F1417" t="str">
        <f>VLOOKUP($E1417,categories!$A$1:$B$8,MATCH(order_items!$F$1,categories!$A$1:$B$1,0),FALSE)</f>
        <v>Mountain Bikes</v>
      </c>
      <c r="G1417">
        <v>2</v>
      </c>
      <c r="H1417">
        <v>2899.99</v>
      </c>
      <c r="I1417" s="5">
        <v>0.05</v>
      </c>
      <c r="J1417">
        <f t="shared" si="44"/>
        <v>5509.9809999999998</v>
      </c>
      <c r="K1417" s="9">
        <f t="shared" si="45"/>
        <v>1.2473854171840129</v>
      </c>
    </row>
    <row r="1418" spans="1:11" x14ac:dyDescent="0.3">
      <c r="A1418">
        <v>510</v>
      </c>
      <c r="B1418">
        <v>1</v>
      </c>
      <c r="C1418">
        <v>17</v>
      </c>
      <c r="D1418" t="str">
        <f>VLOOKUP($C1418,products!$A$1:$F$322,MATCH(order_items!$D$1,products!$A$1:$F$1,0),FALSE)</f>
        <v>Pure Cycles Vine 8-Speed - 2016</v>
      </c>
      <c r="E1418">
        <f>VLOOKUP($C1418,products!$A$1:$F$322,MATCH(order_items!$E$1,products!$A$1:$F$1,0),FALSE)</f>
        <v>3</v>
      </c>
      <c r="F1418" t="str">
        <f>VLOOKUP($E1418,categories!$A$1:$B$8,MATCH(order_items!$F$1,categories!$A$1:$B$1,0),FALSE)</f>
        <v>Cruisers Bicycles</v>
      </c>
      <c r="G1418">
        <v>1</v>
      </c>
      <c r="H1418">
        <v>429</v>
      </c>
      <c r="I1418" s="5">
        <v>0.1</v>
      </c>
      <c r="J1418">
        <f t="shared" si="44"/>
        <v>386.1</v>
      </c>
      <c r="K1418" s="9">
        <f t="shared" si="45"/>
        <v>-0.57938489007248284</v>
      </c>
    </row>
    <row r="1419" spans="1:11" x14ac:dyDescent="0.3">
      <c r="A1419">
        <v>511</v>
      </c>
      <c r="B1419">
        <v>1</v>
      </c>
      <c r="C1419">
        <v>22</v>
      </c>
      <c r="D1419" t="str">
        <f>VLOOKUP($C1419,products!$A$1:$F$322,MATCH(order_items!$D$1,products!$A$1:$F$1,0),FALSE)</f>
        <v>Electra Girl's Hawaii 1 (16-inch) - 2015/2016</v>
      </c>
      <c r="E1419">
        <f>VLOOKUP($C1419,products!$A$1:$F$322,MATCH(order_items!$E$1,products!$A$1:$F$1,0),FALSE)</f>
        <v>1</v>
      </c>
      <c r="F1419" t="str">
        <f>VLOOKUP($E1419,categories!$A$1:$B$8,MATCH(order_items!$F$1,categories!$A$1:$B$1,0),FALSE)</f>
        <v>Children Bicycles</v>
      </c>
      <c r="G1419">
        <v>2</v>
      </c>
      <c r="H1419">
        <v>269.99</v>
      </c>
      <c r="I1419" s="5">
        <v>0.05</v>
      </c>
      <c r="J1419">
        <f t="shared" si="44"/>
        <v>512.98099999999999</v>
      </c>
      <c r="K1419" s="9">
        <f t="shared" si="45"/>
        <v>-0.69693888525532666</v>
      </c>
    </row>
    <row r="1420" spans="1:11" x14ac:dyDescent="0.3">
      <c r="A1420">
        <v>511</v>
      </c>
      <c r="B1420">
        <v>2</v>
      </c>
      <c r="C1420">
        <v>13</v>
      </c>
      <c r="D1420" t="str">
        <f>VLOOKUP($C1420,products!$A$1:$F$322,MATCH(order_items!$D$1,products!$A$1:$F$1,0),FALSE)</f>
        <v>Electra Cruiser 1 (24-Inch) - 2016</v>
      </c>
      <c r="E1420">
        <f>VLOOKUP($C1420,products!$A$1:$F$322,MATCH(order_items!$E$1,products!$A$1:$F$1,0),FALSE)</f>
        <v>3</v>
      </c>
      <c r="F1420" t="str">
        <f>VLOOKUP($E1420,categories!$A$1:$B$8,MATCH(order_items!$F$1,categories!$A$1:$B$1,0),FALSE)</f>
        <v>Cruisers Bicycles</v>
      </c>
      <c r="G1420">
        <v>1</v>
      </c>
      <c r="H1420">
        <v>269.99</v>
      </c>
      <c r="I1420" s="5">
        <v>0.1</v>
      </c>
      <c r="J1420">
        <f t="shared" si="44"/>
        <v>242.99100000000001</v>
      </c>
      <c r="K1420" s="9">
        <f t="shared" si="45"/>
        <v>-0.69693888525532666</v>
      </c>
    </row>
    <row r="1421" spans="1:11" x14ac:dyDescent="0.3">
      <c r="A1421">
        <v>512</v>
      </c>
      <c r="B1421">
        <v>1</v>
      </c>
      <c r="C1421">
        <v>21</v>
      </c>
      <c r="D1421" t="str">
        <f>VLOOKUP($C1421,products!$A$1:$F$322,MATCH(order_items!$D$1,products!$A$1:$F$1,0),FALSE)</f>
        <v>Electra Cruiser 1 (24-Inch) - 2016</v>
      </c>
      <c r="E1421">
        <f>VLOOKUP($C1421,products!$A$1:$F$322,MATCH(order_items!$E$1,products!$A$1:$F$1,0),FALSE)</f>
        <v>1</v>
      </c>
      <c r="F1421" t="str">
        <f>VLOOKUP($E1421,categories!$A$1:$B$8,MATCH(order_items!$F$1,categories!$A$1:$B$1,0),FALSE)</f>
        <v>Children Bicycles</v>
      </c>
      <c r="G1421">
        <v>1</v>
      </c>
      <c r="H1421">
        <v>269.99</v>
      </c>
      <c r="I1421" s="5">
        <v>7.0000000000000007E-2</v>
      </c>
      <c r="J1421">
        <f t="shared" si="44"/>
        <v>251.0907</v>
      </c>
      <c r="K1421" s="9">
        <f t="shared" si="45"/>
        <v>-0.69693888525532666</v>
      </c>
    </row>
    <row r="1422" spans="1:11" x14ac:dyDescent="0.3">
      <c r="A1422">
        <v>513</v>
      </c>
      <c r="B1422">
        <v>1</v>
      </c>
      <c r="C1422">
        <v>7</v>
      </c>
      <c r="D1422" t="str">
        <f>VLOOKUP($C1422,products!$A$1:$F$322,MATCH(order_items!$D$1,products!$A$1:$F$1,0),FALSE)</f>
        <v>Trek Slash 8 27.5 - 2016</v>
      </c>
      <c r="E1422">
        <f>VLOOKUP($C1422,products!$A$1:$F$322,MATCH(order_items!$E$1,products!$A$1:$F$1,0),FALSE)</f>
        <v>6</v>
      </c>
      <c r="F1422" t="str">
        <f>VLOOKUP($E1422,categories!$A$1:$B$8,MATCH(order_items!$F$1,categories!$A$1:$B$1,0),FALSE)</f>
        <v>Mountain Bikes</v>
      </c>
      <c r="G1422">
        <v>1</v>
      </c>
      <c r="H1422">
        <v>3999.99</v>
      </c>
      <c r="I1422" s="5">
        <v>7.0000000000000007E-2</v>
      </c>
      <c r="J1422">
        <f t="shared" si="44"/>
        <v>3719.9906999999994</v>
      </c>
      <c r="K1422" s="9">
        <f t="shared" si="45"/>
        <v>2.0606009048962846</v>
      </c>
    </row>
    <row r="1423" spans="1:11" x14ac:dyDescent="0.3">
      <c r="A1423">
        <v>513</v>
      </c>
      <c r="B1423">
        <v>2</v>
      </c>
      <c r="C1423">
        <v>13</v>
      </c>
      <c r="D1423" t="str">
        <f>VLOOKUP($C1423,products!$A$1:$F$322,MATCH(order_items!$D$1,products!$A$1:$F$1,0),FALSE)</f>
        <v>Electra Cruiser 1 (24-Inch) - 2016</v>
      </c>
      <c r="E1423">
        <f>VLOOKUP($C1423,products!$A$1:$F$322,MATCH(order_items!$E$1,products!$A$1:$F$1,0),FALSE)</f>
        <v>3</v>
      </c>
      <c r="F1423" t="str">
        <f>VLOOKUP($E1423,categories!$A$1:$B$8,MATCH(order_items!$F$1,categories!$A$1:$B$1,0),FALSE)</f>
        <v>Cruisers Bicycles</v>
      </c>
      <c r="G1423">
        <v>1</v>
      </c>
      <c r="H1423">
        <v>269.99</v>
      </c>
      <c r="I1423" s="5">
        <v>0.2</v>
      </c>
      <c r="J1423">
        <f t="shared" si="44"/>
        <v>215.99200000000002</v>
      </c>
      <c r="K1423" s="9">
        <f t="shared" si="45"/>
        <v>-0.69693888525532666</v>
      </c>
    </row>
    <row r="1424" spans="1:11" x14ac:dyDescent="0.3">
      <c r="A1424">
        <v>513</v>
      </c>
      <c r="B1424">
        <v>3</v>
      </c>
      <c r="C1424">
        <v>23</v>
      </c>
      <c r="D1424" t="str">
        <f>VLOOKUP($C1424,products!$A$1:$F$322,MATCH(order_items!$D$1,products!$A$1:$F$1,0),FALSE)</f>
        <v>Electra Girl's Hawaii 1 (20-inch) - 2015/2016</v>
      </c>
      <c r="E1424">
        <f>VLOOKUP($C1424,products!$A$1:$F$322,MATCH(order_items!$E$1,products!$A$1:$F$1,0),FALSE)</f>
        <v>1</v>
      </c>
      <c r="F1424" t="str">
        <f>VLOOKUP($E1424,categories!$A$1:$B$8,MATCH(order_items!$F$1,categories!$A$1:$B$1,0),FALSE)</f>
        <v>Children Bicycles</v>
      </c>
      <c r="G1424">
        <v>1</v>
      </c>
      <c r="H1424">
        <v>299.99</v>
      </c>
      <c r="I1424" s="5">
        <v>7.0000000000000007E-2</v>
      </c>
      <c r="J1424">
        <f t="shared" si="44"/>
        <v>278.9907</v>
      </c>
      <c r="K1424" s="9">
        <f t="shared" si="45"/>
        <v>-0.67476028104499197</v>
      </c>
    </row>
    <row r="1425" spans="1:11" x14ac:dyDescent="0.3">
      <c r="A1425">
        <v>514</v>
      </c>
      <c r="B1425">
        <v>1</v>
      </c>
      <c r="C1425">
        <v>18</v>
      </c>
      <c r="D1425" t="str">
        <f>VLOOKUP($C1425,products!$A$1:$F$322,MATCH(order_items!$D$1,products!$A$1:$F$1,0),FALSE)</f>
        <v>Pure Cycles Western 3-Speed - Women's - 2015/2016</v>
      </c>
      <c r="E1425">
        <f>VLOOKUP($C1425,products!$A$1:$F$322,MATCH(order_items!$E$1,products!$A$1:$F$1,0),FALSE)</f>
        <v>3</v>
      </c>
      <c r="F1425" t="str">
        <f>VLOOKUP($E1425,categories!$A$1:$B$8,MATCH(order_items!$F$1,categories!$A$1:$B$1,0),FALSE)</f>
        <v>Cruisers Bicycles</v>
      </c>
      <c r="G1425">
        <v>2</v>
      </c>
      <c r="H1425">
        <v>449</v>
      </c>
      <c r="I1425" s="5">
        <v>0.2</v>
      </c>
      <c r="J1425">
        <f t="shared" si="44"/>
        <v>718.40000000000009</v>
      </c>
      <c r="K1425" s="9">
        <f t="shared" si="45"/>
        <v>-0.56459915393225968</v>
      </c>
    </row>
    <row r="1426" spans="1:11" x14ac:dyDescent="0.3">
      <c r="A1426">
        <v>514</v>
      </c>
      <c r="B1426">
        <v>2</v>
      </c>
      <c r="C1426">
        <v>17</v>
      </c>
      <c r="D1426" t="str">
        <f>VLOOKUP($C1426,products!$A$1:$F$322,MATCH(order_items!$D$1,products!$A$1:$F$1,0),FALSE)</f>
        <v>Pure Cycles Vine 8-Speed - 2016</v>
      </c>
      <c r="E1426">
        <f>VLOOKUP($C1426,products!$A$1:$F$322,MATCH(order_items!$E$1,products!$A$1:$F$1,0),FALSE)</f>
        <v>3</v>
      </c>
      <c r="F1426" t="str">
        <f>VLOOKUP($E1426,categories!$A$1:$B$8,MATCH(order_items!$F$1,categories!$A$1:$B$1,0),FALSE)</f>
        <v>Cruisers Bicycles</v>
      </c>
      <c r="G1426">
        <v>2</v>
      </c>
      <c r="H1426">
        <v>429</v>
      </c>
      <c r="I1426" s="5">
        <v>7.0000000000000007E-2</v>
      </c>
      <c r="J1426">
        <f t="shared" si="44"/>
        <v>797.93999999999994</v>
      </c>
      <c r="K1426" s="9">
        <f t="shared" si="45"/>
        <v>-0.57938489007248284</v>
      </c>
    </row>
    <row r="1427" spans="1:11" x14ac:dyDescent="0.3">
      <c r="A1427">
        <v>515</v>
      </c>
      <c r="B1427">
        <v>1</v>
      </c>
      <c r="C1427">
        <v>8</v>
      </c>
      <c r="D1427" t="str">
        <f>VLOOKUP($C1427,products!$A$1:$F$322,MATCH(order_items!$D$1,products!$A$1:$F$1,0),FALSE)</f>
        <v>Trek Remedy 29 Carbon Frameset - 2016</v>
      </c>
      <c r="E1427">
        <f>VLOOKUP($C1427,products!$A$1:$F$322,MATCH(order_items!$E$1,products!$A$1:$F$1,0),FALSE)</f>
        <v>6</v>
      </c>
      <c r="F1427" t="str">
        <f>VLOOKUP($E1427,categories!$A$1:$B$8,MATCH(order_items!$F$1,categories!$A$1:$B$1,0),FALSE)</f>
        <v>Mountain Bikes</v>
      </c>
      <c r="G1427">
        <v>1</v>
      </c>
      <c r="H1427">
        <v>1799.99</v>
      </c>
      <c r="I1427" s="5">
        <v>7.0000000000000007E-2</v>
      </c>
      <c r="J1427">
        <f t="shared" si="44"/>
        <v>1673.9906999999998</v>
      </c>
      <c r="K1427" s="9">
        <f t="shared" si="45"/>
        <v>0.43416992947174166</v>
      </c>
    </row>
    <row r="1428" spans="1:11" x14ac:dyDescent="0.3">
      <c r="A1428">
        <v>515</v>
      </c>
      <c r="B1428">
        <v>2</v>
      </c>
      <c r="C1428">
        <v>5</v>
      </c>
      <c r="D1428" t="str">
        <f>VLOOKUP($C1428,products!$A$1:$F$322,MATCH(order_items!$D$1,products!$A$1:$F$1,0),FALSE)</f>
        <v>Heller Shagamaw Frame - 2016</v>
      </c>
      <c r="E1428">
        <f>VLOOKUP($C1428,products!$A$1:$F$322,MATCH(order_items!$E$1,products!$A$1:$F$1,0),FALSE)</f>
        <v>6</v>
      </c>
      <c r="F1428" t="str">
        <f>VLOOKUP($E1428,categories!$A$1:$B$8,MATCH(order_items!$F$1,categories!$A$1:$B$1,0),FALSE)</f>
        <v>Mountain Bikes</v>
      </c>
      <c r="G1428">
        <v>1</v>
      </c>
      <c r="H1428">
        <v>1320.99</v>
      </c>
      <c r="I1428" s="5">
        <v>0.1</v>
      </c>
      <c r="J1428">
        <f t="shared" si="44"/>
        <v>1188.8910000000001</v>
      </c>
      <c r="K1428" s="9">
        <f t="shared" si="45"/>
        <v>8.0051548913398024E-2</v>
      </c>
    </row>
    <row r="1429" spans="1:11" x14ac:dyDescent="0.3">
      <c r="A1429">
        <v>515</v>
      </c>
      <c r="B1429">
        <v>3</v>
      </c>
      <c r="C1429">
        <v>25</v>
      </c>
      <c r="D1429" t="str">
        <f>VLOOKUP($C1429,products!$A$1:$F$322,MATCH(order_items!$D$1,products!$A$1:$F$1,0),FALSE)</f>
        <v>Electra Townie Original 7D - 2015/2016</v>
      </c>
      <c r="E1429">
        <f>VLOOKUP($C1429,products!$A$1:$F$322,MATCH(order_items!$E$1,products!$A$1:$F$1,0),FALSE)</f>
        <v>2</v>
      </c>
      <c r="F1429" t="str">
        <f>VLOOKUP($E1429,categories!$A$1:$B$8,MATCH(order_items!$F$1,categories!$A$1:$B$1,0),FALSE)</f>
        <v>Comfort Bicycles</v>
      </c>
      <c r="G1429">
        <v>2</v>
      </c>
      <c r="H1429">
        <v>499.99</v>
      </c>
      <c r="I1429" s="5">
        <v>7.0000000000000007E-2</v>
      </c>
      <c r="J1429">
        <f t="shared" si="44"/>
        <v>929.98140000000001</v>
      </c>
      <c r="K1429" s="9">
        <f t="shared" si="45"/>
        <v>-0.52690291964276081</v>
      </c>
    </row>
    <row r="1430" spans="1:11" x14ac:dyDescent="0.3">
      <c r="A1430">
        <v>515</v>
      </c>
      <c r="B1430">
        <v>4</v>
      </c>
      <c r="C1430">
        <v>6</v>
      </c>
      <c r="D1430" t="str">
        <f>VLOOKUP($C1430,products!$A$1:$F$322,MATCH(order_items!$D$1,products!$A$1:$F$1,0),FALSE)</f>
        <v>Surly Ice Cream Truck Frameset - 2016</v>
      </c>
      <c r="E1430">
        <f>VLOOKUP($C1430,products!$A$1:$F$322,MATCH(order_items!$E$1,products!$A$1:$F$1,0),FALSE)</f>
        <v>6</v>
      </c>
      <c r="F1430" t="str">
        <f>VLOOKUP($E1430,categories!$A$1:$B$8,MATCH(order_items!$F$1,categories!$A$1:$B$1,0),FALSE)</f>
        <v>Mountain Bikes</v>
      </c>
      <c r="G1430">
        <v>2</v>
      </c>
      <c r="H1430">
        <v>469.99</v>
      </c>
      <c r="I1430" s="5">
        <v>0.2</v>
      </c>
      <c r="J1430">
        <f t="shared" si="44"/>
        <v>751.98400000000004</v>
      </c>
      <c r="K1430" s="9">
        <f t="shared" si="45"/>
        <v>-0.5490815238530955</v>
      </c>
    </row>
    <row r="1431" spans="1:11" x14ac:dyDescent="0.3">
      <c r="A1431">
        <v>516</v>
      </c>
      <c r="B1431">
        <v>1</v>
      </c>
      <c r="C1431">
        <v>7</v>
      </c>
      <c r="D1431" t="str">
        <f>VLOOKUP($C1431,products!$A$1:$F$322,MATCH(order_items!$D$1,products!$A$1:$F$1,0),FALSE)</f>
        <v>Trek Slash 8 27.5 - 2016</v>
      </c>
      <c r="E1431">
        <f>VLOOKUP($C1431,products!$A$1:$F$322,MATCH(order_items!$E$1,products!$A$1:$F$1,0),FALSE)</f>
        <v>6</v>
      </c>
      <c r="F1431" t="str">
        <f>VLOOKUP($E1431,categories!$A$1:$B$8,MATCH(order_items!$F$1,categories!$A$1:$B$1,0),FALSE)</f>
        <v>Mountain Bikes</v>
      </c>
      <c r="G1431">
        <v>1</v>
      </c>
      <c r="H1431">
        <v>3999.99</v>
      </c>
      <c r="I1431" s="5">
        <v>0.05</v>
      </c>
      <c r="J1431">
        <f t="shared" si="44"/>
        <v>3799.9904999999994</v>
      </c>
      <c r="K1431" s="9">
        <f t="shared" si="45"/>
        <v>2.0606009048962846</v>
      </c>
    </row>
    <row r="1432" spans="1:11" x14ac:dyDescent="0.3">
      <c r="A1432">
        <v>516</v>
      </c>
      <c r="B1432">
        <v>2</v>
      </c>
      <c r="C1432">
        <v>5</v>
      </c>
      <c r="D1432" t="str">
        <f>VLOOKUP($C1432,products!$A$1:$F$322,MATCH(order_items!$D$1,products!$A$1:$F$1,0),FALSE)</f>
        <v>Heller Shagamaw Frame - 2016</v>
      </c>
      <c r="E1432">
        <f>VLOOKUP($C1432,products!$A$1:$F$322,MATCH(order_items!$E$1,products!$A$1:$F$1,0),FALSE)</f>
        <v>6</v>
      </c>
      <c r="F1432" t="str">
        <f>VLOOKUP($E1432,categories!$A$1:$B$8,MATCH(order_items!$F$1,categories!$A$1:$B$1,0),FALSE)</f>
        <v>Mountain Bikes</v>
      </c>
      <c r="G1432">
        <v>2</v>
      </c>
      <c r="H1432">
        <v>1320.99</v>
      </c>
      <c r="I1432" s="5">
        <v>0.1</v>
      </c>
      <c r="J1432">
        <f t="shared" si="44"/>
        <v>2377.7820000000002</v>
      </c>
      <c r="K1432" s="9">
        <f t="shared" si="45"/>
        <v>8.0051548913398024E-2</v>
      </c>
    </row>
    <row r="1433" spans="1:11" x14ac:dyDescent="0.3">
      <c r="A1433">
        <v>517</v>
      </c>
      <c r="B1433">
        <v>1</v>
      </c>
      <c r="C1433">
        <v>21</v>
      </c>
      <c r="D1433" t="str">
        <f>VLOOKUP($C1433,products!$A$1:$F$322,MATCH(order_items!$D$1,products!$A$1:$F$1,0),FALSE)</f>
        <v>Electra Cruiser 1 (24-Inch) - 2016</v>
      </c>
      <c r="E1433">
        <f>VLOOKUP($C1433,products!$A$1:$F$322,MATCH(order_items!$E$1,products!$A$1:$F$1,0),FALSE)</f>
        <v>1</v>
      </c>
      <c r="F1433" t="str">
        <f>VLOOKUP($E1433,categories!$A$1:$B$8,MATCH(order_items!$F$1,categories!$A$1:$B$1,0),FALSE)</f>
        <v>Children Bicycles</v>
      </c>
      <c r="G1433">
        <v>2</v>
      </c>
      <c r="H1433">
        <v>269.99</v>
      </c>
      <c r="I1433" s="5">
        <v>7.0000000000000007E-2</v>
      </c>
      <c r="J1433">
        <f t="shared" si="44"/>
        <v>502.1814</v>
      </c>
      <c r="K1433" s="9">
        <f t="shared" si="45"/>
        <v>-0.69693888525532666</v>
      </c>
    </row>
    <row r="1434" spans="1:11" x14ac:dyDescent="0.3">
      <c r="A1434">
        <v>518</v>
      </c>
      <c r="B1434">
        <v>1</v>
      </c>
      <c r="C1434">
        <v>16</v>
      </c>
      <c r="D1434" t="str">
        <f>VLOOKUP($C1434,products!$A$1:$F$322,MATCH(order_items!$D$1,products!$A$1:$F$1,0),FALSE)</f>
        <v>Electra Townie Original 7D EQ - 2016</v>
      </c>
      <c r="E1434">
        <f>VLOOKUP($C1434,products!$A$1:$F$322,MATCH(order_items!$E$1,products!$A$1:$F$1,0),FALSE)</f>
        <v>3</v>
      </c>
      <c r="F1434" t="str">
        <f>VLOOKUP($E1434,categories!$A$1:$B$8,MATCH(order_items!$F$1,categories!$A$1:$B$1,0),FALSE)</f>
        <v>Cruisers Bicycles</v>
      </c>
      <c r="G1434">
        <v>2</v>
      </c>
      <c r="H1434">
        <v>599.99</v>
      </c>
      <c r="I1434" s="5">
        <v>0.2</v>
      </c>
      <c r="J1434">
        <f t="shared" si="44"/>
        <v>959.98400000000004</v>
      </c>
      <c r="K1434" s="9">
        <f t="shared" si="45"/>
        <v>-0.45297423894164529</v>
      </c>
    </row>
    <row r="1435" spans="1:11" x14ac:dyDescent="0.3">
      <c r="A1435">
        <v>518</v>
      </c>
      <c r="B1435">
        <v>2</v>
      </c>
      <c r="C1435">
        <v>5</v>
      </c>
      <c r="D1435" t="str">
        <f>VLOOKUP($C1435,products!$A$1:$F$322,MATCH(order_items!$D$1,products!$A$1:$F$1,0),FALSE)</f>
        <v>Heller Shagamaw Frame - 2016</v>
      </c>
      <c r="E1435">
        <f>VLOOKUP($C1435,products!$A$1:$F$322,MATCH(order_items!$E$1,products!$A$1:$F$1,0),FALSE)</f>
        <v>6</v>
      </c>
      <c r="F1435" t="str">
        <f>VLOOKUP($E1435,categories!$A$1:$B$8,MATCH(order_items!$F$1,categories!$A$1:$B$1,0),FALSE)</f>
        <v>Mountain Bikes</v>
      </c>
      <c r="G1435">
        <v>2</v>
      </c>
      <c r="H1435">
        <v>1320.99</v>
      </c>
      <c r="I1435" s="5">
        <v>0.05</v>
      </c>
      <c r="J1435">
        <f t="shared" si="44"/>
        <v>2509.8809999999999</v>
      </c>
      <c r="K1435" s="9">
        <f t="shared" si="45"/>
        <v>8.0051548913398024E-2</v>
      </c>
    </row>
    <row r="1436" spans="1:11" x14ac:dyDescent="0.3">
      <c r="A1436">
        <v>518</v>
      </c>
      <c r="B1436">
        <v>3</v>
      </c>
      <c r="C1436">
        <v>25</v>
      </c>
      <c r="D1436" t="str">
        <f>VLOOKUP($C1436,products!$A$1:$F$322,MATCH(order_items!$D$1,products!$A$1:$F$1,0),FALSE)</f>
        <v>Electra Townie Original 7D - 2015/2016</v>
      </c>
      <c r="E1436">
        <f>VLOOKUP($C1436,products!$A$1:$F$322,MATCH(order_items!$E$1,products!$A$1:$F$1,0),FALSE)</f>
        <v>2</v>
      </c>
      <c r="F1436" t="str">
        <f>VLOOKUP($E1436,categories!$A$1:$B$8,MATCH(order_items!$F$1,categories!$A$1:$B$1,0),FALSE)</f>
        <v>Comfort Bicycles</v>
      </c>
      <c r="G1436">
        <v>2</v>
      </c>
      <c r="H1436">
        <v>499.99</v>
      </c>
      <c r="I1436" s="5">
        <v>0.05</v>
      </c>
      <c r="J1436">
        <f t="shared" si="44"/>
        <v>949.98099999999999</v>
      </c>
      <c r="K1436" s="9">
        <f t="shared" si="45"/>
        <v>-0.52690291964276081</v>
      </c>
    </row>
    <row r="1437" spans="1:11" x14ac:dyDescent="0.3">
      <c r="A1437">
        <v>518</v>
      </c>
      <c r="B1437">
        <v>4</v>
      </c>
      <c r="C1437">
        <v>15</v>
      </c>
      <c r="D1437" t="str">
        <f>VLOOKUP($C1437,products!$A$1:$F$322,MATCH(order_items!$D$1,products!$A$1:$F$1,0),FALSE)</f>
        <v>Electra Moto 1 - 2016</v>
      </c>
      <c r="E1437">
        <f>VLOOKUP($C1437,products!$A$1:$F$322,MATCH(order_items!$E$1,products!$A$1:$F$1,0),FALSE)</f>
        <v>3</v>
      </c>
      <c r="F1437" t="str">
        <f>VLOOKUP($E1437,categories!$A$1:$B$8,MATCH(order_items!$F$1,categories!$A$1:$B$1,0),FALSE)</f>
        <v>Cruisers Bicycles</v>
      </c>
      <c r="G1437">
        <v>2</v>
      </c>
      <c r="H1437">
        <v>529.99</v>
      </c>
      <c r="I1437" s="5">
        <v>0.2</v>
      </c>
      <c r="J1437">
        <f t="shared" si="44"/>
        <v>847.98400000000004</v>
      </c>
      <c r="K1437" s="9">
        <f t="shared" si="45"/>
        <v>-0.50472431543242624</v>
      </c>
    </row>
    <row r="1438" spans="1:11" x14ac:dyDescent="0.3">
      <c r="A1438">
        <v>518</v>
      </c>
      <c r="B1438">
        <v>5</v>
      </c>
      <c r="C1438">
        <v>11</v>
      </c>
      <c r="D1438" t="str">
        <f>VLOOKUP($C1438,products!$A$1:$F$322,MATCH(order_items!$D$1,products!$A$1:$F$1,0),FALSE)</f>
        <v>Surly Straggler 650b - 2016</v>
      </c>
      <c r="E1438">
        <f>VLOOKUP($C1438,products!$A$1:$F$322,MATCH(order_items!$E$1,products!$A$1:$F$1,0),FALSE)</f>
        <v>4</v>
      </c>
      <c r="F1438" t="str">
        <f>VLOOKUP($E1438,categories!$A$1:$B$8,MATCH(order_items!$F$1,categories!$A$1:$B$1,0),FALSE)</f>
        <v>Cyclocross Bicycles</v>
      </c>
      <c r="G1438">
        <v>2</v>
      </c>
      <c r="H1438">
        <v>1680.99</v>
      </c>
      <c r="I1438" s="5">
        <v>7.0000000000000007E-2</v>
      </c>
      <c r="J1438">
        <f t="shared" si="44"/>
        <v>3126.6414</v>
      </c>
      <c r="K1438" s="9">
        <f t="shared" si="45"/>
        <v>0.3461947994374141</v>
      </c>
    </row>
    <row r="1439" spans="1:11" x14ac:dyDescent="0.3">
      <c r="A1439">
        <v>519</v>
      </c>
      <c r="B1439">
        <v>1</v>
      </c>
      <c r="C1439">
        <v>6</v>
      </c>
      <c r="D1439" t="str">
        <f>VLOOKUP($C1439,products!$A$1:$F$322,MATCH(order_items!$D$1,products!$A$1:$F$1,0),FALSE)</f>
        <v>Surly Ice Cream Truck Frameset - 2016</v>
      </c>
      <c r="E1439">
        <f>VLOOKUP($C1439,products!$A$1:$F$322,MATCH(order_items!$E$1,products!$A$1:$F$1,0),FALSE)</f>
        <v>6</v>
      </c>
      <c r="F1439" t="str">
        <f>VLOOKUP($E1439,categories!$A$1:$B$8,MATCH(order_items!$F$1,categories!$A$1:$B$1,0),FALSE)</f>
        <v>Mountain Bikes</v>
      </c>
      <c r="G1439">
        <v>1</v>
      </c>
      <c r="H1439">
        <v>469.99</v>
      </c>
      <c r="I1439" s="5">
        <v>7.0000000000000007E-2</v>
      </c>
      <c r="J1439">
        <f t="shared" si="44"/>
        <v>437.09069999999997</v>
      </c>
      <c r="K1439" s="9">
        <f t="shared" si="45"/>
        <v>-0.5490815238530955</v>
      </c>
    </row>
    <row r="1440" spans="1:11" x14ac:dyDescent="0.3">
      <c r="A1440">
        <v>519</v>
      </c>
      <c r="B1440">
        <v>2</v>
      </c>
      <c r="C1440">
        <v>16</v>
      </c>
      <c r="D1440" t="str">
        <f>VLOOKUP($C1440,products!$A$1:$F$322,MATCH(order_items!$D$1,products!$A$1:$F$1,0),FALSE)</f>
        <v>Electra Townie Original 7D EQ - 2016</v>
      </c>
      <c r="E1440">
        <f>VLOOKUP($C1440,products!$A$1:$F$322,MATCH(order_items!$E$1,products!$A$1:$F$1,0),FALSE)</f>
        <v>3</v>
      </c>
      <c r="F1440" t="str">
        <f>VLOOKUP($E1440,categories!$A$1:$B$8,MATCH(order_items!$F$1,categories!$A$1:$B$1,0),FALSE)</f>
        <v>Cruisers Bicycles</v>
      </c>
      <c r="G1440">
        <v>1</v>
      </c>
      <c r="H1440">
        <v>599.99</v>
      </c>
      <c r="I1440" s="5">
        <v>0.1</v>
      </c>
      <c r="J1440">
        <f t="shared" si="44"/>
        <v>539.99099999999999</v>
      </c>
      <c r="K1440" s="9">
        <f t="shared" si="45"/>
        <v>-0.45297423894164529</v>
      </c>
    </row>
    <row r="1441" spans="1:11" x14ac:dyDescent="0.3">
      <c r="A1441">
        <v>519</v>
      </c>
      <c r="B1441">
        <v>3</v>
      </c>
      <c r="C1441">
        <v>23</v>
      </c>
      <c r="D1441" t="str">
        <f>VLOOKUP($C1441,products!$A$1:$F$322,MATCH(order_items!$D$1,products!$A$1:$F$1,0),FALSE)</f>
        <v>Electra Girl's Hawaii 1 (20-inch) - 2015/2016</v>
      </c>
      <c r="E1441">
        <f>VLOOKUP($C1441,products!$A$1:$F$322,MATCH(order_items!$E$1,products!$A$1:$F$1,0),FALSE)</f>
        <v>1</v>
      </c>
      <c r="F1441" t="str">
        <f>VLOOKUP($E1441,categories!$A$1:$B$8,MATCH(order_items!$F$1,categories!$A$1:$B$1,0),FALSE)</f>
        <v>Children Bicycles</v>
      </c>
      <c r="G1441">
        <v>2</v>
      </c>
      <c r="H1441">
        <v>299.99</v>
      </c>
      <c r="I1441" s="5">
        <v>0.05</v>
      </c>
      <c r="J1441">
        <f t="shared" si="44"/>
        <v>569.98099999999999</v>
      </c>
      <c r="K1441" s="9">
        <f t="shared" si="45"/>
        <v>-0.67476028104499197</v>
      </c>
    </row>
    <row r="1442" spans="1:11" x14ac:dyDescent="0.3">
      <c r="A1442">
        <v>519</v>
      </c>
      <c r="B1442">
        <v>4</v>
      </c>
      <c r="C1442">
        <v>18</v>
      </c>
      <c r="D1442" t="str">
        <f>VLOOKUP($C1442,products!$A$1:$F$322,MATCH(order_items!$D$1,products!$A$1:$F$1,0),FALSE)</f>
        <v>Pure Cycles Western 3-Speed - Women's - 2015/2016</v>
      </c>
      <c r="E1442">
        <f>VLOOKUP($C1442,products!$A$1:$F$322,MATCH(order_items!$E$1,products!$A$1:$F$1,0),FALSE)</f>
        <v>3</v>
      </c>
      <c r="F1442" t="str">
        <f>VLOOKUP($E1442,categories!$A$1:$B$8,MATCH(order_items!$F$1,categories!$A$1:$B$1,0),FALSE)</f>
        <v>Cruisers Bicycles</v>
      </c>
      <c r="G1442">
        <v>2</v>
      </c>
      <c r="H1442">
        <v>449</v>
      </c>
      <c r="I1442" s="5">
        <v>0.2</v>
      </c>
      <c r="J1442">
        <f t="shared" si="44"/>
        <v>718.40000000000009</v>
      </c>
      <c r="K1442" s="9">
        <f t="shared" si="45"/>
        <v>-0.56459915393225968</v>
      </c>
    </row>
    <row r="1443" spans="1:11" x14ac:dyDescent="0.3">
      <c r="A1443">
        <v>519</v>
      </c>
      <c r="B1443">
        <v>5</v>
      </c>
      <c r="C1443">
        <v>7</v>
      </c>
      <c r="D1443" t="str">
        <f>VLOOKUP($C1443,products!$A$1:$F$322,MATCH(order_items!$D$1,products!$A$1:$F$1,0),FALSE)</f>
        <v>Trek Slash 8 27.5 - 2016</v>
      </c>
      <c r="E1443">
        <f>VLOOKUP($C1443,products!$A$1:$F$322,MATCH(order_items!$E$1,products!$A$1:$F$1,0),FALSE)</f>
        <v>6</v>
      </c>
      <c r="F1443" t="str">
        <f>VLOOKUP($E1443,categories!$A$1:$B$8,MATCH(order_items!$F$1,categories!$A$1:$B$1,0),FALSE)</f>
        <v>Mountain Bikes</v>
      </c>
      <c r="G1443">
        <v>1</v>
      </c>
      <c r="H1443">
        <v>3999.99</v>
      </c>
      <c r="I1443" s="5">
        <v>0.05</v>
      </c>
      <c r="J1443">
        <f t="shared" si="44"/>
        <v>3799.9904999999994</v>
      </c>
      <c r="K1443" s="9">
        <f t="shared" si="45"/>
        <v>2.0606009048962846</v>
      </c>
    </row>
    <row r="1444" spans="1:11" x14ac:dyDescent="0.3">
      <c r="A1444">
        <v>520</v>
      </c>
      <c r="B1444">
        <v>1</v>
      </c>
      <c r="C1444">
        <v>26</v>
      </c>
      <c r="D1444" t="str">
        <f>VLOOKUP($C1444,products!$A$1:$F$322,MATCH(order_items!$D$1,products!$A$1:$F$1,0),FALSE)</f>
        <v>Electra Townie Original 7D EQ - 2016</v>
      </c>
      <c r="E1444">
        <f>VLOOKUP($C1444,products!$A$1:$F$322,MATCH(order_items!$E$1,products!$A$1:$F$1,0),FALSE)</f>
        <v>2</v>
      </c>
      <c r="F1444" t="str">
        <f>VLOOKUP($E1444,categories!$A$1:$B$8,MATCH(order_items!$F$1,categories!$A$1:$B$1,0),FALSE)</f>
        <v>Comfort Bicycles</v>
      </c>
      <c r="G1444">
        <v>1</v>
      </c>
      <c r="H1444">
        <v>599.99</v>
      </c>
      <c r="I1444" s="5">
        <v>0.1</v>
      </c>
      <c r="J1444">
        <f t="shared" si="44"/>
        <v>539.99099999999999</v>
      </c>
      <c r="K1444" s="9">
        <f t="shared" si="45"/>
        <v>-0.45297423894164529</v>
      </c>
    </row>
    <row r="1445" spans="1:11" x14ac:dyDescent="0.3">
      <c r="A1445">
        <v>520</v>
      </c>
      <c r="B1445">
        <v>2</v>
      </c>
      <c r="C1445">
        <v>24</v>
      </c>
      <c r="D1445" t="str">
        <f>VLOOKUP($C1445,products!$A$1:$F$322,MATCH(order_items!$D$1,products!$A$1:$F$1,0),FALSE)</f>
        <v>Electra Townie Original 21D - 2016</v>
      </c>
      <c r="E1445">
        <f>VLOOKUP($C1445,products!$A$1:$F$322,MATCH(order_items!$E$1,products!$A$1:$F$1,0),FALSE)</f>
        <v>2</v>
      </c>
      <c r="F1445" t="str">
        <f>VLOOKUP($E1445,categories!$A$1:$B$8,MATCH(order_items!$F$1,categories!$A$1:$B$1,0),FALSE)</f>
        <v>Comfort Bicycles</v>
      </c>
      <c r="G1445">
        <v>1</v>
      </c>
      <c r="H1445">
        <v>549.99</v>
      </c>
      <c r="I1445" s="5">
        <v>0.2</v>
      </c>
      <c r="J1445">
        <f t="shared" si="44"/>
        <v>439.99200000000002</v>
      </c>
      <c r="K1445" s="9">
        <f t="shared" si="45"/>
        <v>-0.48993857929220308</v>
      </c>
    </row>
    <row r="1446" spans="1:11" x14ac:dyDescent="0.3">
      <c r="A1446">
        <v>520</v>
      </c>
      <c r="B1446">
        <v>3</v>
      </c>
      <c r="C1446">
        <v>10</v>
      </c>
      <c r="D1446" t="str">
        <f>VLOOKUP($C1446,products!$A$1:$F$322,MATCH(order_items!$D$1,products!$A$1:$F$1,0),FALSE)</f>
        <v>Surly Straggler - 2016</v>
      </c>
      <c r="E1446">
        <f>VLOOKUP($C1446,products!$A$1:$F$322,MATCH(order_items!$E$1,products!$A$1:$F$1,0),FALSE)</f>
        <v>4</v>
      </c>
      <c r="F1446" t="str">
        <f>VLOOKUP($E1446,categories!$A$1:$B$8,MATCH(order_items!$F$1,categories!$A$1:$B$1,0),FALSE)</f>
        <v>Cyclocross Bicycles</v>
      </c>
      <c r="G1446">
        <v>1</v>
      </c>
      <c r="H1446">
        <v>1549</v>
      </c>
      <c r="I1446" s="5">
        <v>7.0000000000000007E-2</v>
      </c>
      <c r="J1446">
        <f t="shared" si="44"/>
        <v>1440.57</v>
      </c>
      <c r="K1446" s="9">
        <f t="shared" si="45"/>
        <v>0.24861633378001166</v>
      </c>
    </row>
    <row r="1447" spans="1:11" x14ac:dyDescent="0.3">
      <c r="A1447">
        <v>521</v>
      </c>
      <c r="B1447">
        <v>1</v>
      </c>
      <c r="C1447">
        <v>5</v>
      </c>
      <c r="D1447" t="str">
        <f>VLOOKUP($C1447,products!$A$1:$F$322,MATCH(order_items!$D$1,products!$A$1:$F$1,0),FALSE)</f>
        <v>Heller Shagamaw Frame - 2016</v>
      </c>
      <c r="E1447">
        <f>VLOOKUP($C1447,products!$A$1:$F$322,MATCH(order_items!$E$1,products!$A$1:$F$1,0),FALSE)</f>
        <v>6</v>
      </c>
      <c r="F1447" t="str">
        <f>VLOOKUP($E1447,categories!$A$1:$B$8,MATCH(order_items!$F$1,categories!$A$1:$B$1,0),FALSE)</f>
        <v>Mountain Bikes</v>
      </c>
      <c r="G1447">
        <v>1</v>
      </c>
      <c r="H1447">
        <v>1320.99</v>
      </c>
      <c r="I1447" s="5">
        <v>0.2</v>
      </c>
      <c r="J1447">
        <f t="shared" si="44"/>
        <v>1056.7920000000001</v>
      </c>
      <c r="K1447" s="9">
        <f t="shared" si="45"/>
        <v>8.0051548913398024E-2</v>
      </c>
    </row>
    <row r="1448" spans="1:11" x14ac:dyDescent="0.3">
      <c r="A1448">
        <v>521</v>
      </c>
      <c r="B1448">
        <v>2</v>
      </c>
      <c r="C1448">
        <v>14</v>
      </c>
      <c r="D1448" t="str">
        <f>VLOOKUP($C1448,products!$A$1:$F$322,MATCH(order_items!$D$1,products!$A$1:$F$1,0),FALSE)</f>
        <v>Electra Girl's Hawaii 1 (16-inch) - 2015/2016</v>
      </c>
      <c r="E1448">
        <f>VLOOKUP($C1448,products!$A$1:$F$322,MATCH(order_items!$E$1,products!$A$1:$F$1,0),FALSE)</f>
        <v>3</v>
      </c>
      <c r="F1448" t="str">
        <f>VLOOKUP($E1448,categories!$A$1:$B$8,MATCH(order_items!$F$1,categories!$A$1:$B$1,0),FALSE)</f>
        <v>Cruisers Bicycles</v>
      </c>
      <c r="G1448">
        <v>1</v>
      </c>
      <c r="H1448">
        <v>269.99</v>
      </c>
      <c r="I1448" s="5">
        <v>0.2</v>
      </c>
      <c r="J1448">
        <f t="shared" si="44"/>
        <v>215.99200000000002</v>
      </c>
      <c r="K1448" s="9">
        <f t="shared" si="45"/>
        <v>-0.69693888525532666</v>
      </c>
    </row>
    <row r="1449" spans="1:11" x14ac:dyDescent="0.3">
      <c r="A1449">
        <v>522</v>
      </c>
      <c r="B1449">
        <v>1</v>
      </c>
      <c r="C1449">
        <v>4</v>
      </c>
      <c r="D1449" t="str">
        <f>VLOOKUP($C1449,products!$A$1:$F$322,MATCH(order_items!$D$1,products!$A$1:$F$1,0),FALSE)</f>
        <v>Trek Fuel EX 8 29 - 2016</v>
      </c>
      <c r="E1449">
        <f>VLOOKUP($C1449,products!$A$1:$F$322,MATCH(order_items!$E$1,products!$A$1:$F$1,0),FALSE)</f>
        <v>6</v>
      </c>
      <c r="F1449" t="str">
        <f>VLOOKUP($E1449,categories!$A$1:$B$8,MATCH(order_items!$F$1,categories!$A$1:$B$1,0),FALSE)</f>
        <v>Mountain Bikes</v>
      </c>
      <c r="G1449">
        <v>2</v>
      </c>
      <c r="H1449">
        <v>2899.99</v>
      </c>
      <c r="I1449" s="5">
        <v>7.0000000000000007E-2</v>
      </c>
      <c r="J1449">
        <f t="shared" si="44"/>
        <v>5393.9813999999997</v>
      </c>
      <c r="K1449" s="9">
        <f t="shared" si="45"/>
        <v>1.2473854171840129</v>
      </c>
    </row>
    <row r="1450" spans="1:11" x14ac:dyDescent="0.3">
      <c r="A1450">
        <v>522</v>
      </c>
      <c r="B1450">
        <v>2</v>
      </c>
      <c r="C1450">
        <v>22</v>
      </c>
      <c r="D1450" t="str">
        <f>VLOOKUP($C1450,products!$A$1:$F$322,MATCH(order_items!$D$1,products!$A$1:$F$1,0),FALSE)</f>
        <v>Electra Girl's Hawaii 1 (16-inch) - 2015/2016</v>
      </c>
      <c r="E1450">
        <f>VLOOKUP($C1450,products!$A$1:$F$322,MATCH(order_items!$E$1,products!$A$1:$F$1,0),FALSE)</f>
        <v>1</v>
      </c>
      <c r="F1450" t="str">
        <f>VLOOKUP($E1450,categories!$A$1:$B$8,MATCH(order_items!$F$1,categories!$A$1:$B$1,0),FALSE)</f>
        <v>Children Bicycles</v>
      </c>
      <c r="G1450">
        <v>2</v>
      </c>
      <c r="H1450">
        <v>269.99</v>
      </c>
      <c r="I1450" s="5">
        <v>7.0000000000000007E-2</v>
      </c>
      <c r="J1450">
        <f t="shared" si="44"/>
        <v>502.1814</v>
      </c>
      <c r="K1450" s="9">
        <f t="shared" si="45"/>
        <v>-0.69693888525532666</v>
      </c>
    </row>
    <row r="1451" spans="1:11" x14ac:dyDescent="0.3">
      <c r="A1451">
        <v>522</v>
      </c>
      <c r="B1451">
        <v>3</v>
      </c>
      <c r="C1451">
        <v>21</v>
      </c>
      <c r="D1451" t="str">
        <f>VLOOKUP($C1451,products!$A$1:$F$322,MATCH(order_items!$D$1,products!$A$1:$F$1,0),FALSE)</f>
        <v>Electra Cruiser 1 (24-Inch) - 2016</v>
      </c>
      <c r="E1451">
        <f>VLOOKUP($C1451,products!$A$1:$F$322,MATCH(order_items!$E$1,products!$A$1:$F$1,0),FALSE)</f>
        <v>1</v>
      </c>
      <c r="F1451" t="str">
        <f>VLOOKUP($E1451,categories!$A$1:$B$8,MATCH(order_items!$F$1,categories!$A$1:$B$1,0),FALSE)</f>
        <v>Children Bicycles</v>
      </c>
      <c r="G1451">
        <v>1</v>
      </c>
      <c r="H1451">
        <v>269.99</v>
      </c>
      <c r="I1451" s="5">
        <v>0.05</v>
      </c>
      <c r="J1451">
        <f t="shared" si="44"/>
        <v>256.4905</v>
      </c>
      <c r="K1451" s="9">
        <f t="shared" si="45"/>
        <v>-0.69693888525532666</v>
      </c>
    </row>
    <row r="1452" spans="1:11" x14ac:dyDescent="0.3">
      <c r="A1452">
        <v>523</v>
      </c>
      <c r="B1452">
        <v>1</v>
      </c>
      <c r="C1452">
        <v>12</v>
      </c>
      <c r="D1452" t="str">
        <f>VLOOKUP($C1452,products!$A$1:$F$322,MATCH(order_items!$D$1,products!$A$1:$F$1,0),FALSE)</f>
        <v>Electra Townie Original 21D - 2016</v>
      </c>
      <c r="E1452">
        <f>VLOOKUP($C1452,products!$A$1:$F$322,MATCH(order_items!$E$1,products!$A$1:$F$1,0),FALSE)</f>
        <v>3</v>
      </c>
      <c r="F1452" t="str">
        <f>VLOOKUP($E1452,categories!$A$1:$B$8,MATCH(order_items!$F$1,categories!$A$1:$B$1,0),FALSE)</f>
        <v>Cruisers Bicycles</v>
      </c>
      <c r="G1452">
        <v>1</v>
      </c>
      <c r="H1452">
        <v>549.99</v>
      </c>
      <c r="I1452" s="5">
        <v>0.2</v>
      </c>
      <c r="J1452">
        <f t="shared" si="44"/>
        <v>439.99200000000002</v>
      </c>
      <c r="K1452" s="9">
        <f t="shared" si="45"/>
        <v>-0.48993857929220308</v>
      </c>
    </row>
    <row r="1453" spans="1:11" x14ac:dyDescent="0.3">
      <c r="A1453">
        <v>523</v>
      </c>
      <c r="B1453">
        <v>2</v>
      </c>
      <c r="C1453">
        <v>20</v>
      </c>
      <c r="D1453" t="str">
        <f>VLOOKUP($C1453,products!$A$1:$F$322,MATCH(order_items!$D$1,products!$A$1:$F$1,0),FALSE)</f>
        <v>Electra Townie Original 7D EQ - Women's - 2016</v>
      </c>
      <c r="E1453">
        <f>VLOOKUP($C1453,products!$A$1:$F$322,MATCH(order_items!$E$1,products!$A$1:$F$1,0),FALSE)</f>
        <v>3</v>
      </c>
      <c r="F1453" t="str">
        <f>VLOOKUP($E1453,categories!$A$1:$B$8,MATCH(order_items!$F$1,categories!$A$1:$B$1,0),FALSE)</f>
        <v>Cruisers Bicycles</v>
      </c>
      <c r="G1453">
        <v>1</v>
      </c>
      <c r="H1453">
        <v>599.99</v>
      </c>
      <c r="I1453" s="5">
        <v>0.05</v>
      </c>
      <c r="J1453">
        <f t="shared" si="44"/>
        <v>569.9905</v>
      </c>
      <c r="K1453" s="9">
        <f t="shared" si="45"/>
        <v>-0.45297423894164529</v>
      </c>
    </row>
    <row r="1454" spans="1:11" x14ac:dyDescent="0.3">
      <c r="A1454">
        <v>523</v>
      </c>
      <c r="B1454">
        <v>3</v>
      </c>
      <c r="C1454">
        <v>5</v>
      </c>
      <c r="D1454" t="str">
        <f>VLOOKUP($C1454,products!$A$1:$F$322,MATCH(order_items!$D$1,products!$A$1:$F$1,0),FALSE)</f>
        <v>Heller Shagamaw Frame - 2016</v>
      </c>
      <c r="E1454">
        <f>VLOOKUP($C1454,products!$A$1:$F$322,MATCH(order_items!$E$1,products!$A$1:$F$1,0),FALSE)</f>
        <v>6</v>
      </c>
      <c r="F1454" t="str">
        <f>VLOOKUP($E1454,categories!$A$1:$B$8,MATCH(order_items!$F$1,categories!$A$1:$B$1,0),FALSE)</f>
        <v>Mountain Bikes</v>
      </c>
      <c r="G1454">
        <v>2</v>
      </c>
      <c r="H1454">
        <v>1320.99</v>
      </c>
      <c r="I1454" s="5">
        <v>0.1</v>
      </c>
      <c r="J1454">
        <f t="shared" si="44"/>
        <v>2377.7820000000002</v>
      </c>
      <c r="K1454" s="9">
        <f t="shared" si="45"/>
        <v>8.0051548913398024E-2</v>
      </c>
    </row>
    <row r="1455" spans="1:11" x14ac:dyDescent="0.3">
      <c r="A1455">
        <v>523</v>
      </c>
      <c r="B1455">
        <v>4</v>
      </c>
      <c r="C1455">
        <v>16</v>
      </c>
      <c r="D1455" t="str">
        <f>VLOOKUP($C1455,products!$A$1:$F$322,MATCH(order_items!$D$1,products!$A$1:$F$1,0),FALSE)</f>
        <v>Electra Townie Original 7D EQ - 2016</v>
      </c>
      <c r="E1455">
        <f>VLOOKUP($C1455,products!$A$1:$F$322,MATCH(order_items!$E$1,products!$A$1:$F$1,0),FALSE)</f>
        <v>3</v>
      </c>
      <c r="F1455" t="str">
        <f>VLOOKUP($E1455,categories!$A$1:$B$8,MATCH(order_items!$F$1,categories!$A$1:$B$1,0),FALSE)</f>
        <v>Cruisers Bicycles</v>
      </c>
      <c r="G1455">
        <v>2</v>
      </c>
      <c r="H1455">
        <v>599.99</v>
      </c>
      <c r="I1455" s="5">
        <v>7.0000000000000007E-2</v>
      </c>
      <c r="J1455">
        <f t="shared" si="44"/>
        <v>1115.9813999999999</v>
      </c>
      <c r="K1455" s="9">
        <f t="shared" si="45"/>
        <v>-0.45297423894164529</v>
      </c>
    </row>
    <row r="1456" spans="1:11" x14ac:dyDescent="0.3">
      <c r="A1456">
        <v>524</v>
      </c>
      <c r="B1456">
        <v>1</v>
      </c>
      <c r="C1456">
        <v>11</v>
      </c>
      <c r="D1456" t="str">
        <f>VLOOKUP($C1456,products!$A$1:$F$322,MATCH(order_items!$D$1,products!$A$1:$F$1,0),FALSE)</f>
        <v>Surly Straggler 650b - 2016</v>
      </c>
      <c r="E1456">
        <f>VLOOKUP($C1456,products!$A$1:$F$322,MATCH(order_items!$E$1,products!$A$1:$F$1,0),FALSE)</f>
        <v>4</v>
      </c>
      <c r="F1456" t="str">
        <f>VLOOKUP($E1456,categories!$A$1:$B$8,MATCH(order_items!$F$1,categories!$A$1:$B$1,0),FALSE)</f>
        <v>Cyclocross Bicycles</v>
      </c>
      <c r="G1456">
        <v>1</v>
      </c>
      <c r="H1456">
        <v>1680.99</v>
      </c>
      <c r="I1456" s="5">
        <v>7.0000000000000007E-2</v>
      </c>
      <c r="J1456">
        <f t="shared" si="44"/>
        <v>1563.3207</v>
      </c>
      <c r="K1456" s="9">
        <f t="shared" si="45"/>
        <v>0.3461947994374141</v>
      </c>
    </row>
    <row r="1457" spans="1:11" x14ac:dyDescent="0.3">
      <c r="A1457">
        <v>524</v>
      </c>
      <c r="B1457">
        <v>2</v>
      </c>
      <c r="C1457">
        <v>2</v>
      </c>
      <c r="D1457" t="str">
        <f>VLOOKUP($C1457,products!$A$1:$F$322,MATCH(order_items!$D$1,products!$A$1:$F$1,0),FALSE)</f>
        <v>Ritchey Timberwolf Frameset - 2016</v>
      </c>
      <c r="E1457">
        <f>VLOOKUP($C1457,products!$A$1:$F$322,MATCH(order_items!$E$1,products!$A$1:$F$1,0),FALSE)</f>
        <v>6</v>
      </c>
      <c r="F1457" t="str">
        <f>VLOOKUP($E1457,categories!$A$1:$B$8,MATCH(order_items!$F$1,categories!$A$1:$B$1,0),FALSE)</f>
        <v>Mountain Bikes</v>
      </c>
      <c r="G1457">
        <v>1</v>
      </c>
      <c r="H1457">
        <v>749.99</v>
      </c>
      <c r="I1457" s="5">
        <v>0.05</v>
      </c>
      <c r="J1457">
        <f t="shared" si="44"/>
        <v>712.4905</v>
      </c>
      <c r="K1457" s="9">
        <f t="shared" si="45"/>
        <v>-0.34208121788997192</v>
      </c>
    </row>
    <row r="1458" spans="1:11" x14ac:dyDescent="0.3">
      <c r="A1458">
        <v>524</v>
      </c>
      <c r="B1458">
        <v>3</v>
      </c>
      <c r="C1458">
        <v>9</v>
      </c>
      <c r="D1458" t="str">
        <f>VLOOKUP($C1458,products!$A$1:$F$322,MATCH(order_items!$D$1,products!$A$1:$F$1,0),FALSE)</f>
        <v>Trek Conduit+ - 2016</v>
      </c>
      <c r="E1458">
        <f>VLOOKUP($C1458,products!$A$1:$F$322,MATCH(order_items!$E$1,products!$A$1:$F$1,0),FALSE)</f>
        <v>5</v>
      </c>
      <c r="F1458" t="str">
        <f>VLOOKUP($E1458,categories!$A$1:$B$8,MATCH(order_items!$F$1,categories!$A$1:$B$1,0),FALSE)</f>
        <v>Electric Bikes</v>
      </c>
      <c r="G1458">
        <v>1</v>
      </c>
      <c r="H1458">
        <v>2999.99</v>
      </c>
      <c r="I1458" s="5">
        <v>0.2</v>
      </c>
      <c r="J1458">
        <f t="shared" si="44"/>
        <v>2399.9919999999997</v>
      </c>
      <c r="K1458" s="9">
        <f t="shared" si="45"/>
        <v>1.3213140978851283</v>
      </c>
    </row>
    <row r="1459" spans="1:11" x14ac:dyDescent="0.3">
      <c r="A1459">
        <v>524</v>
      </c>
      <c r="B1459">
        <v>4</v>
      </c>
      <c r="C1459">
        <v>3</v>
      </c>
      <c r="D1459" t="str">
        <f>VLOOKUP($C1459,products!$A$1:$F$322,MATCH(order_items!$D$1,products!$A$1:$F$1,0),FALSE)</f>
        <v>Surly Wednesday Frameset - 2016</v>
      </c>
      <c r="E1459">
        <f>VLOOKUP($C1459,products!$A$1:$F$322,MATCH(order_items!$E$1,products!$A$1:$F$1,0),FALSE)</f>
        <v>6</v>
      </c>
      <c r="F1459" t="str">
        <f>VLOOKUP($E1459,categories!$A$1:$B$8,MATCH(order_items!$F$1,categories!$A$1:$B$1,0),FALSE)</f>
        <v>Mountain Bikes</v>
      </c>
      <c r="G1459">
        <v>2</v>
      </c>
      <c r="H1459">
        <v>999.99</v>
      </c>
      <c r="I1459" s="5">
        <v>7.0000000000000007E-2</v>
      </c>
      <c r="J1459">
        <f t="shared" si="44"/>
        <v>1859.9813999999999</v>
      </c>
      <c r="K1459" s="9">
        <f t="shared" si="45"/>
        <v>-0.15725951613718298</v>
      </c>
    </row>
    <row r="1460" spans="1:11" x14ac:dyDescent="0.3">
      <c r="A1460">
        <v>524</v>
      </c>
      <c r="B1460">
        <v>5</v>
      </c>
      <c r="C1460">
        <v>26</v>
      </c>
      <c r="D1460" t="str">
        <f>VLOOKUP($C1460,products!$A$1:$F$322,MATCH(order_items!$D$1,products!$A$1:$F$1,0),FALSE)</f>
        <v>Electra Townie Original 7D EQ - 2016</v>
      </c>
      <c r="E1460">
        <f>VLOOKUP($C1460,products!$A$1:$F$322,MATCH(order_items!$E$1,products!$A$1:$F$1,0),FALSE)</f>
        <v>2</v>
      </c>
      <c r="F1460" t="str">
        <f>VLOOKUP($E1460,categories!$A$1:$B$8,MATCH(order_items!$F$1,categories!$A$1:$B$1,0),FALSE)</f>
        <v>Comfort Bicycles</v>
      </c>
      <c r="G1460">
        <v>1</v>
      </c>
      <c r="H1460">
        <v>599.99</v>
      </c>
      <c r="I1460" s="5">
        <v>0.05</v>
      </c>
      <c r="J1460">
        <f t="shared" si="44"/>
        <v>569.9905</v>
      </c>
      <c r="K1460" s="9">
        <f t="shared" si="45"/>
        <v>-0.45297423894164529</v>
      </c>
    </row>
    <row r="1461" spans="1:11" x14ac:dyDescent="0.3">
      <c r="A1461">
        <v>525</v>
      </c>
      <c r="B1461">
        <v>1</v>
      </c>
      <c r="C1461">
        <v>9</v>
      </c>
      <c r="D1461" t="str">
        <f>VLOOKUP($C1461,products!$A$1:$F$322,MATCH(order_items!$D$1,products!$A$1:$F$1,0),FALSE)</f>
        <v>Trek Conduit+ - 2016</v>
      </c>
      <c r="E1461">
        <f>VLOOKUP($C1461,products!$A$1:$F$322,MATCH(order_items!$E$1,products!$A$1:$F$1,0),FALSE)</f>
        <v>5</v>
      </c>
      <c r="F1461" t="str">
        <f>VLOOKUP($E1461,categories!$A$1:$B$8,MATCH(order_items!$F$1,categories!$A$1:$B$1,0),FALSE)</f>
        <v>Electric Bikes</v>
      </c>
      <c r="G1461">
        <v>2</v>
      </c>
      <c r="H1461">
        <v>2999.99</v>
      </c>
      <c r="I1461" s="5">
        <v>7.0000000000000007E-2</v>
      </c>
      <c r="J1461">
        <f t="shared" si="44"/>
        <v>5579.9813999999997</v>
      </c>
      <c r="K1461" s="9">
        <f t="shared" si="45"/>
        <v>1.3213140978851283</v>
      </c>
    </row>
    <row r="1462" spans="1:11" x14ac:dyDescent="0.3">
      <c r="A1462">
        <v>525</v>
      </c>
      <c r="B1462">
        <v>2</v>
      </c>
      <c r="C1462">
        <v>6</v>
      </c>
      <c r="D1462" t="str">
        <f>VLOOKUP($C1462,products!$A$1:$F$322,MATCH(order_items!$D$1,products!$A$1:$F$1,0),FALSE)</f>
        <v>Surly Ice Cream Truck Frameset - 2016</v>
      </c>
      <c r="E1462">
        <f>VLOOKUP($C1462,products!$A$1:$F$322,MATCH(order_items!$E$1,products!$A$1:$F$1,0),FALSE)</f>
        <v>6</v>
      </c>
      <c r="F1462" t="str">
        <f>VLOOKUP($E1462,categories!$A$1:$B$8,MATCH(order_items!$F$1,categories!$A$1:$B$1,0),FALSE)</f>
        <v>Mountain Bikes</v>
      </c>
      <c r="G1462">
        <v>2</v>
      </c>
      <c r="H1462">
        <v>469.99</v>
      </c>
      <c r="I1462" s="5">
        <v>7.0000000000000007E-2</v>
      </c>
      <c r="J1462">
        <f t="shared" si="44"/>
        <v>874.18139999999994</v>
      </c>
      <c r="K1462" s="9">
        <f t="shared" si="45"/>
        <v>-0.5490815238530955</v>
      </c>
    </row>
    <row r="1463" spans="1:11" x14ac:dyDescent="0.3">
      <c r="A1463">
        <v>525</v>
      </c>
      <c r="B1463">
        <v>3</v>
      </c>
      <c r="C1463">
        <v>10</v>
      </c>
      <c r="D1463" t="str">
        <f>VLOOKUP($C1463,products!$A$1:$F$322,MATCH(order_items!$D$1,products!$A$1:$F$1,0),FALSE)</f>
        <v>Surly Straggler - 2016</v>
      </c>
      <c r="E1463">
        <f>VLOOKUP($C1463,products!$A$1:$F$322,MATCH(order_items!$E$1,products!$A$1:$F$1,0),FALSE)</f>
        <v>4</v>
      </c>
      <c r="F1463" t="str">
        <f>VLOOKUP($E1463,categories!$A$1:$B$8,MATCH(order_items!$F$1,categories!$A$1:$B$1,0),FALSE)</f>
        <v>Cyclocross Bicycles</v>
      </c>
      <c r="G1463">
        <v>1</v>
      </c>
      <c r="H1463">
        <v>1549</v>
      </c>
      <c r="I1463" s="5">
        <v>0.1</v>
      </c>
      <c r="J1463">
        <f t="shared" si="44"/>
        <v>1394.1000000000001</v>
      </c>
      <c r="K1463" s="9">
        <f t="shared" si="45"/>
        <v>0.24861633378001166</v>
      </c>
    </row>
    <row r="1464" spans="1:11" x14ac:dyDescent="0.3">
      <c r="A1464">
        <v>526</v>
      </c>
      <c r="B1464">
        <v>1</v>
      </c>
      <c r="C1464">
        <v>3</v>
      </c>
      <c r="D1464" t="str">
        <f>VLOOKUP($C1464,products!$A$1:$F$322,MATCH(order_items!$D$1,products!$A$1:$F$1,0),FALSE)</f>
        <v>Surly Wednesday Frameset - 2016</v>
      </c>
      <c r="E1464">
        <f>VLOOKUP($C1464,products!$A$1:$F$322,MATCH(order_items!$E$1,products!$A$1:$F$1,0),FALSE)</f>
        <v>6</v>
      </c>
      <c r="F1464" t="str">
        <f>VLOOKUP($E1464,categories!$A$1:$B$8,MATCH(order_items!$F$1,categories!$A$1:$B$1,0),FALSE)</f>
        <v>Mountain Bikes</v>
      </c>
      <c r="G1464">
        <v>2</v>
      </c>
      <c r="H1464">
        <v>999.99</v>
      </c>
      <c r="I1464" s="5">
        <v>0.1</v>
      </c>
      <c r="J1464">
        <f t="shared" si="44"/>
        <v>1799.982</v>
      </c>
      <c r="K1464" s="9">
        <f t="shared" si="45"/>
        <v>-0.15725951613718298</v>
      </c>
    </row>
    <row r="1465" spans="1:11" x14ac:dyDescent="0.3">
      <c r="A1465">
        <v>526</v>
      </c>
      <c r="B1465">
        <v>2</v>
      </c>
      <c r="C1465">
        <v>8</v>
      </c>
      <c r="D1465" t="str">
        <f>VLOOKUP($C1465,products!$A$1:$F$322,MATCH(order_items!$D$1,products!$A$1:$F$1,0),FALSE)</f>
        <v>Trek Remedy 29 Carbon Frameset - 2016</v>
      </c>
      <c r="E1465">
        <f>VLOOKUP($C1465,products!$A$1:$F$322,MATCH(order_items!$E$1,products!$A$1:$F$1,0),FALSE)</f>
        <v>6</v>
      </c>
      <c r="F1465" t="str">
        <f>VLOOKUP($E1465,categories!$A$1:$B$8,MATCH(order_items!$F$1,categories!$A$1:$B$1,0),FALSE)</f>
        <v>Mountain Bikes</v>
      </c>
      <c r="G1465">
        <v>1</v>
      </c>
      <c r="H1465">
        <v>1799.99</v>
      </c>
      <c r="I1465" s="5">
        <v>0.1</v>
      </c>
      <c r="J1465">
        <f t="shared" si="44"/>
        <v>1619.991</v>
      </c>
      <c r="K1465" s="9">
        <f t="shared" si="45"/>
        <v>0.43416992947174166</v>
      </c>
    </row>
    <row r="1466" spans="1:11" x14ac:dyDescent="0.3">
      <c r="A1466">
        <v>526</v>
      </c>
      <c r="B1466">
        <v>3</v>
      </c>
      <c r="C1466">
        <v>21</v>
      </c>
      <c r="D1466" t="str">
        <f>VLOOKUP($C1466,products!$A$1:$F$322,MATCH(order_items!$D$1,products!$A$1:$F$1,0),FALSE)</f>
        <v>Electra Cruiser 1 (24-Inch) - 2016</v>
      </c>
      <c r="E1466">
        <f>VLOOKUP($C1466,products!$A$1:$F$322,MATCH(order_items!$E$1,products!$A$1:$F$1,0),FALSE)</f>
        <v>1</v>
      </c>
      <c r="F1466" t="str">
        <f>VLOOKUP($E1466,categories!$A$1:$B$8,MATCH(order_items!$F$1,categories!$A$1:$B$1,0),FALSE)</f>
        <v>Children Bicycles</v>
      </c>
      <c r="G1466">
        <v>1</v>
      </c>
      <c r="H1466">
        <v>269.99</v>
      </c>
      <c r="I1466" s="5">
        <v>0.05</v>
      </c>
      <c r="J1466">
        <f t="shared" si="44"/>
        <v>256.4905</v>
      </c>
      <c r="K1466" s="9">
        <f t="shared" si="45"/>
        <v>-0.69693888525532666</v>
      </c>
    </row>
    <row r="1467" spans="1:11" x14ac:dyDescent="0.3">
      <c r="A1467">
        <v>526</v>
      </c>
      <c r="B1467">
        <v>4</v>
      </c>
      <c r="C1467">
        <v>15</v>
      </c>
      <c r="D1467" t="str">
        <f>VLOOKUP($C1467,products!$A$1:$F$322,MATCH(order_items!$D$1,products!$A$1:$F$1,0),FALSE)</f>
        <v>Electra Moto 1 - 2016</v>
      </c>
      <c r="E1467">
        <f>VLOOKUP($C1467,products!$A$1:$F$322,MATCH(order_items!$E$1,products!$A$1:$F$1,0),FALSE)</f>
        <v>3</v>
      </c>
      <c r="F1467" t="str">
        <f>VLOOKUP($E1467,categories!$A$1:$B$8,MATCH(order_items!$F$1,categories!$A$1:$B$1,0),FALSE)</f>
        <v>Cruisers Bicycles</v>
      </c>
      <c r="G1467">
        <v>1</v>
      </c>
      <c r="H1467">
        <v>529.99</v>
      </c>
      <c r="I1467" s="5">
        <v>7.0000000000000007E-2</v>
      </c>
      <c r="J1467">
        <f t="shared" si="44"/>
        <v>492.89069999999998</v>
      </c>
      <c r="K1467" s="9">
        <f t="shared" si="45"/>
        <v>-0.50472431543242624</v>
      </c>
    </row>
    <row r="1468" spans="1:11" x14ac:dyDescent="0.3">
      <c r="A1468">
        <v>527</v>
      </c>
      <c r="B1468">
        <v>1</v>
      </c>
      <c r="C1468">
        <v>18</v>
      </c>
      <c r="D1468" t="str">
        <f>VLOOKUP($C1468,products!$A$1:$F$322,MATCH(order_items!$D$1,products!$A$1:$F$1,0),FALSE)</f>
        <v>Pure Cycles Western 3-Speed - Women's - 2015/2016</v>
      </c>
      <c r="E1468">
        <f>VLOOKUP($C1468,products!$A$1:$F$322,MATCH(order_items!$E$1,products!$A$1:$F$1,0),FALSE)</f>
        <v>3</v>
      </c>
      <c r="F1468" t="str">
        <f>VLOOKUP($E1468,categories!$A$1:$B$8,MATCH(order_items!$F$1,categories!$A$1:$B$1,0),FALSE)</f>
        <v>Cruisers Bicycles</v>
      </c>
      <c r="G1468">
        <v>2</v>
      </c>
      <c r="H1468">
        <v>449</v>
      </c>
      <c r="I1468" s="5">
        <v>7.0000000000000007E-2</v>
      </c>
      <c r="J1468">
        <f t="shared" si="44"/>
        <v>835.14</v>
      </c>
      <c r="K1468" s="9">
        <f t="shared" si="45"/>
        <v>-0.56459915393225968</v>
      </c>
    </row>
    <row r="1469" spans="1:11" x14ac:dyDescent="0.3">
      <c r="A1469">
        <v>527</v>
      </c>
      <c r="B1469">
        <v>2</v>
      </c>
      <c r="C1469">
        <v>4</v>
      </c>
      <c r="D1469" t="str">
        <f>VLOOKUP($C1469,products!$A$1:$F$322,MATCH(order_items!$D$1,products!$A$1:$F$1,0),FALSE)</f>
        <v>Trek Fuel EX 8 29 - 2016</v>
      </c>
      <c r="E1469">
        <f>VLOOKUP($C1469,products!$A$1:$F$322,MATCH(order_items!$E$1,products!$A$1:$F$1,0),FALSE)</f>
        <v>6</v>
      </c>
      <c r="F1469" t="str">
        <f>VLOOKUP($E1469,categories!$A$1:$B$8,MATCH(order_items!$F$1,categories!$A$1:$B$1,0),FALSE)</f>
        <v>Mountain Bikes</v>
      </c>
      <c r="G1469">
        <v>1</v>
      </c>
      <c r="H1469">
        <v>2899.99</v>
      </c>
      <c r="I1469" s="5">
        <v>0.2</v>
      </c>
      <c r="J1469">
        <f t="shared" si="44"/>
        <v>2319.9919999999997</v>
      </c>
      <c r="K1469" s="9">
        <f t="shared" si="45"/>
        <v>1.2473854171840129</v>
      </c>
    </row>
    <row r="1470" spans="1:11" x14ac:dyDescent="0.3">
      <c r="A1470">
        <v>527</v>
      </c>
      <c r="B1470">
        <v>3</v>
      </c>
      <c r="C1470">
        <v>19</v>
      </c>
      <c r="D1470" t="str">
        <f>VLOOKUP($C1470,products!$A$1:$F$322,MATCH(order_items!$D$1,products!$A$1:$F$1,0),FALSE)</f>
        <v>Pure Cycles William 3-Speed - 2016</v>
      </c>
      <c r="E1470">
        <f>VLOOKUP($C1470,products!$A$1:$F$322,MATCH(order_items!$E$1,products!$A$1:$F$1,0),FALSE)</f>
        <v>3</v>
      </c>
      <c r="F1470" t="str">
        <f>VLOOKUP($E1470,categories!$A$1:$B$8,MATCH(order_items!$F$1,categories!$A$1:$B$1,0),FALSE)</f>
        <v>Cruisers Bicycles</v>
      </c>
      <c r="G1470">
        <v>1</v>
      </c>
      <c r="H1470">
        <v>449</v>
      </c>
      <c r="I1470" s="5">
        <v>0.1</v>
      </c>
      <c r="J1470">
        <f t="shared" si="44"/>
        <v>404.1</v>
      </c>
      <c r="K1470" s="9">
        <f t="shared" si="45"/>
        <v>-0.56459915393225968</v>
      </c>
    </row>
    <row r="1471" spans="1:11" x14ac:dyDescent="0.3">
      <c r="A1471">
        <v>527</v>
      </c>
      <c r="B1471">
        <v>4</v>
      </c>
      <c r="C1471">
        <v>9</v>
      </c>
      <c r="D1471" t="str">
        <f>VLOOKUP($C1471,products!$A$1:$F$322,MATCH(order_items!$D$1,products!$A$1:$F$1,0),FALSE)</f>
        <v>Trek Conduit+ - 2016</v>
      </c>
      <c r="E1471">
        <f>VLOOKUP($C1471,products!$A$1:$F$322,MATCH(order_items!$E$1,products!$A$1:$F$1,0),FALSE)</f>
        <v>5</v>
      </c>
      <c r="F1471" t="str">
        <f>VLOOKUP($E1471,categories!$A$1:$B$8,MATCH(order_items!$F$1,categories!$A$1:$B$1,0),FALSE)</f>
        <v>Electric Bikes</v>
      </c>
      <c r="G1471">
        <v>2</v>
      </c>
      <c r="H1471">
        <v>2999.99</v>
      </c>
      <c r="I1471" s="5">
        <v>0.2</v>
      </c>
      <c r="J1471">
        <f t="shared" si="44"/>
        <v>4799.9839999999995</v>
      </c>
      <c r="K1471" s="9">
        <f t="shared" si="45"/>
        <v>1.3213140978851283</v>
      </c>
    </row>
    <row r="1472" spans="1:11" x14ac:dyDescent="0.3">
      <c r="A1472">
        <v>528</v>
      </c>
      <c r="B1472">
        <v>1</v>
      </c>
      <c r="C1472">
        <v>21</v>
      </c>
      <c r="D1472" t="str">
        <f>VLOOKUP($C1472,products!$A$1:$F$322,MATCH(order_items!$D$1,products!$A$1:$F$1,0),FALSE)</f>
        <v>Electra Cruiser 1 (24-Inch) - 2016</v>
      </c>
      <c r="E1472">
        <f>VLOOKUP($C1472,products!$A$1:$F$322,MATCH(order_items!$E$1,products!$A$1:$F$1,0),FALSE)</f>
        <v>1</v>
      </c>
      <c r="F1472" t="str">
        <f>VLOOKUP($E1472,categories!$A$1:$B$8,MATCH(order_items!$F$1,categories!$A$1:$B$1,0),FALSE)</f>
        <v>Children Bicycles</v>
      </c>
      <c r="G1472">
        <v>2</v>
      </c>
      <c r="H1472">
        <v>269.99</v>
      </c>
      <c r="I1472" s="5">
        <v>0.05</v>
      </c>
      <c r="J1472">
        <f t="shared" si="44"/>
        <v>512.98099999999999</v>
      </c>
      <c r="K1472" s="9">
        <f t="shared" si="45"/>
        <v>-0.69693888525532666</v>
      </c>
    </row>
    <row r="1473" spans="1:11" x14ac:dyDescent="0.3">
      <c r="A1473">
        <v>529</v>
      </c>
      <c r="B1473">
        <v>1</v>
      </c>
      <c r="C1473">
        <v>12</v>
      </c>
      <c r="D1473" t="str">
        <f>VLOOKUP($C1473,products!$A$1:$F$322,MATCH(order_items!$D$1,products!$A$1:$F$1,0),FALSE)</f>
        <v>Electra Townie Original 21D - 2016</v>
      </c>
      <c r="E1473">
        <f>VLOOKUP($C1473,products!$A$1:$F$322,MATCH(order_items!$E$1,products!$A$1:$F$1,0),FALSE)</f>
        <v>3</v>
      </c>
      <c r="F1473" t="str">
        <f>VLOOKUP($E1473,categories!$A$1:$B$8,MATCH(order_items!$F$1,categories!$A$1:$B$1,0),FALSE)</f>
        <v>Cruisers Bicycles</v>
      </c>
      <c r="G1473">
        <v>2</v>
      </c>
      <c r="H1473">
        <v>549.99</v>
      </c>
      <c r="I1473" s="5">
        <v>7.0000000000000007E-2</v>
      </c>
      <c r="J1473">
        <f t="shared" si="44"/>
        <v>1022.9813999999999</v>
      </c>
      <c r="K1473" s="9">
        <f t="shared" si="45"/>
        <v>-0.48993857929220308</v>
      </c>
    </row>
    <row r="1474" spans="1:11" x14ac:dyDescent="0.3">
      <c r="A1474">
        <v>530</v>
      </c>
      <c r="B1474">
        <v>1</v>
      </c>
      <c r="C1474">
        <v>2</v>
      </c>
      <c r="D1474" t="str">
        <f>VLOOKUP($C1474,products!$A$1:$F$322,MATCH(order_items!$D$1,products!$A$1:$F$1,0),FALSE)</f>
        <v>Ritchey Timberwolf Frameset - 2016</v>
      </c>
      <c r="E1474">
        <f>VLOOKUP($C1474,products!$A$1:$F$322,MATCH(order_items!$E$1,products!$A$1:$F$1,0),FALSE)</f>
        <v>6</v>
      </c>
      <c r="F1474" t="str">
        <f>VLOOKUP($E1474,categories!$A$1:$B$8,MATCH(order_items!$F$1,categories!$A$1:$B$1,0),FALSE)</f>
        <v>Mountain Bikes</v>
      </c>
      <c r="G1474">
        <v>2</v>
      </c>
      <c r="H1474">
        <v>749.99</v>
      </c>
      <c r="I1474" s="5">
        <v>0.05</v>
      </c>
      <c r="J1474">
        <f t="shared" ref="J1474:J1537" si="46">G1474*H1474*(1-I1474)</f>
        <v>1424.981</v>
      </c>
      <c r="K1474" s="9">
        <f t="shared" ref="K1474:K1537" si="47">($H1474-$M$7)/$M$9</f>
        <v>-0.34208121788997192</v>
      </c>
    </row>
    <row r="1475" spans="1:11" x14ac:dyDescent="0.3">
      <c r="A1475">
        <v>530</v>
      </c>
      <c r="B1475">
        <v>2</v>
      </c>
      <c r="C1475">
        <v>4</v>
      </c>
      <c r="D1475" t="str">
        <f>VLOOKUP($C1475,products!$A$1:$F$322,MATCH(order_items!$D$1,products!$A$1:$F$1,0),FALSE)</f>
        <v>Trek Fuel EX 8 29 - 2016</v>
      </c>
      <c r="E1475">
        <f>VLOOKUP($C1475,products!$A$1:$F$322,MATCH(order_items!$E$1,products!$A$1:$F$1,0),FALSE)</f>
        <v>6</v>
      </c>
      <c r="F1475" t="str">
        <f>VLOOKUP($E1475,categories!$A$1:$B$8,MATCH(order_items!$F$1,categories!$A$1:$B$1,0),FALSE)</f>
        <v>Mountain Bikes</v>
      </c>
      <c r="G1475">
        <v>1</v>
      </c>
      <c r="H1475">
        <v>2899.99</v>
      </c>
      <c r="I1475" s="5">
        <v>7.0000000000000007E-2</v>
      </c>
      <c r="J1475">
        <f t="shared" si="46"/>
        <v>2696.9906999999998</v>
      </c>
      <c r="K1475" s="9">
        <f t="shared" si="47"/>
        <v>1.2473854171840129</v>
      </c>
    </row>
    <row r="1476" spans="1:11" x14ac:dyDescent="0.3">
      <c r="A1476">
        <v>530</v>
      </c>
      <c r="B1476">
        <v>3</v>
      </c>
      <c r="C1476">
        <v>6</v>
      </c>
      <c r="D1476" t="str">
        <f>VLOOKUP($C1476,products!$A$1:$F$322,MATCH(order_items!$D$1,products!$A$1:$F$1,0),FALSE)</f>
        <v>Surly Ice Cream Truck Frameset - 2016</v>
      </c>
      <c r="E1476">
        <f>VLOOKUP($C1476,products!$A$1:$F$322,MATCH(order_items!$E$1,products!$A$1:$F$1,0),FALSE)</f>
        <v>6</v>
      </c>
      <c r="F1476" t="str">
        <f>VLOOKUP($E1476,categories!$A$1:$B$8,MATCH(order_items!$F$1,categories!$A$1:$B$1,0),FALSE)</f>
        <v>Mountain Bikes</v>
      </c>
      <c r="G1476">
        <v>2</v>
      </c>
      <c r="H1476">
        <v>469.99</v>
      </c>
      <c r="I1476" s="5">
        <v>0.2</v>
      </c>
      <c r="J1476">
        <f t="shared" si="46"/>
        <v>751.98400000000004</v>
      </c>
      <c r="K1476" s="9">
        <f t="shared" si="47"/>
        <v>-0.5490815238530955</v>
      </c>
    </row>
    <row r="1477" spans="1:11" x14ac:dyDescent="0.3">
      <c r="A1477">
        <v>531</v>
      </c>
      <c r="B1477">
        <v>1</v>
      </c>
      <c r="C1477">
        <v>6</v>
      </c>
      <c r="D1477" t="str">
        <f>VLOOKUP($C1477,products!$A$1:$F$322,MATCH(order_items!$D$1,products!$A$1:$F$1,0),FALSE)</f>
        <v>Surly Ice Cream Truck Frameset - 2016</v>
      </c>
      <c r="E1477">
        <f>VLOOKUP($C1477,products!$A$1:$F$322,MATCH(order_items!$E$1,products!$A$1:$F$1,0),FALSE)</f>
        <v>6</v>
      </c>
      <c r="F1477" t="str">
        <f>VLOOKUP($E1477,categories!$A$1:$B$8,MATCH(order_items!$F$1,categories!$A$1:$B$1,0),FALSE)</f>
        <v>Mountain Bikes</v>
      </c>
      <c r="G1477">
        <v>1</v>
      </c>
      <c r="H1477">
        <v>469.99</v>
      </c>
      <c r="I1477" s="5">
        <v>0.2</v>
      </c>
      <c r="J1477">
        <f t="shared" si="46"/>
        <v>375.99200000000002</v>
      </c>
      <c r="K1477" s="9">
        <f t="shared" si="47"/>
        <v>-0.5490815238530955</v>
      </c>
    </row>
    <row r="1478" spans="1:11" x14ac:dyDescent="0.3">
      <c r="A1478">
        <v>531</v>
      </c>
      <c r="B1478">
        <v>2</v>
      </c>
      <c r="C1478">
        <v>12</v>
      </c>
      <c r="D1478" t="str">
        <f>VLOOKUP($C1478,products!$A$1:$F$322,MATCH(order_items!$D$1,products!$A$1:$F$1,0),FALSE)</f>
        <v>Electra Townie Original 21D - 2016</v>
      </c>
      <c r="E1478">
        <f>VLOOKUP($C1478,products!$A$1:$F$322,MATCH(order_items!$E$1,products!$A$1:$F$1,0),FALSE)</f>
        <v>3</v>
      </c>
      <c r="F1478" t="str">
        <f>VLOOKUP($E1478,categories!$A$1:$B$8,MATCH(order_items!$F$1,categories!$A$1:$B$1,0),FALSE)</f>
        <v>Cruisers Bicycles</v>
      </c>
      <c r="G1478">
        <v>2</v>
      </c>
      <c r="H1478">
        <v>549.99</v>
      </c>
      <c r="I1478" s="5">
        <v>0.2</v>
      </c>
      <c r="J1478">
        <f t="shared" si="46"/>
        <v>879.98400000000004</v>
      </c>
      <c r="K1478" s="9">
        <f t="shared" si="47"/>
        <v>-0.48993857929220308</v>
      </c>
    </row>
    <row r="1479" spans="1:11" x14ac:dyDescent="0.3">
      <c r="A1479">
        <v>531</v>
      </c>
      <c r="B1479">
        <v>3</v>
      </c>
      <c r="C1479">
        <v>25</v>
      </c>
      <c r="D1479" t="str">
        <f>VLOOKUP($C1479,products!$A$1:$F$322,MATCH(order_items!$D$1,products!$A$1:$F$1,0),FALSE)</f>
        <v>Electra Townie Original 7D - 2015/2016</v>
      </c>
      <c r="E1479">
        <f>VLOOKUP($C1479,products!$A$1:$F$322,MATCH(order_items!$E$1,products!$A$1:$F$1,0),FALSE)</f>
        <v>2</v>
      </c>
      <c r="F1479" t="str">
        <f>VLOOKUP($E1479,categories!$A$1:$B$8,MATCH(order_items!$F$1,categories!$A$1:$B$1,0),FALSE)</f>
        <v>Comfort Bicycles</v>
      </c>
      <c r="G1479">
        <v>1</v>
      </c>
      <c r="H1479">
        <v>499.99</v>
      </c>
      <c r="I1479" s="5">
        <v>7.0000000000000007E-2</v>
      </c>
      <c r="J1479">
        <f t="shared" si="46"/>
        <v>464.9907</v>
      </c>
      <c r="K1479" s="9">
        <f t="shared" si="47"/>
        <v>-0.52690291964276081</v>
      </c>
    </row>
    <row r="1480" spans="1:11" x14ac:dyDescent="0.3">
      <c r="A1480">
        <v>532</v>
      </c>
      <c r="B1480">
        <v>1</v>
      </c>
      <c r="C1480">
        <v>17</v>
      </c>
      <c r="D1480" t="str">
        <f>VLOOKUP($C1480,products!$A$1:$F$322,MATCH(order_items!$D$1,products!$A$1:$F$1,0),FALSE)</f>
        <v>Pure Cycles Vine 8-Speed - 2016</v>
      </c>
      <c r="E1480">
        <f>VLOOKUP($C1480,products!$A$1:$F$322,MATCH(order_items!$E$1,products!$A$1:$F$1,0),FALSE)</f>
        <v>3</v>
      </c>
      <c r="F1480" t="str">
        <f>VLOOKUP($E1480,categories!$A$1:$B$8,MATCH(order_items!$F$1,categories!$A$1:$B$1,0),FALSE)</f>
        <v>Cruisers Bicycles</v>
      </c>
      <c r="G1480">
        <v>2</v>
      </c>
      <c r="H1480">
        <v>429</v>
      </c>
      <c r="I1480" s="5">
        <v>7.0000000000000007E-2</v>
      </c>
      <c r="J1480">
        <f t="shared" si="46"/>
        <v>797.93999999999994</v>
      </c>
      <c r="K1480" s="9">
        <f t="shared" si="47"/>
        <v>-0.57938489007248284</v>
      </c>
    </row>
    <row r="1481" spans="1:11" x14ac:dyDescent="0.3">
      <c r="A1481">
        <v>532</v>
      </c>
      <c r="B1481">
        <v>2</v>
      </c>
      <c r="C1481">
        <v>16</v>
      </c>
      <c r="D1481" t="str">
        <f>VLOOKUP($C1481,products!$A$1:$F$322,MATCH(order_items!$D$1,products!$A$1:$F$1,0),FALSE)</f>
        <v>Electra Townie Original 7D EQ - 2016</v>
      </c>
      <c r="E1481">
        <f>VLOOKUP($C1481,products!$A$1:$F$322,MATCH(order_items!$E$1,products!$A$1:$F$1,0),FALSE)</f>
        <v>3</v>
      </c>
      <c r="F1481" t="str">
        <f>VLOOKUP($E1481,categories!$A$1:$B$8,MATCH(order_items!$F$1,categories!$A$1:$B$1,0),FALSE)</f>
        <v>Cruisers Bicycles</v>
      </c>
      <c r="G1481">
        <v>2</v>
      </c>
      <c r="H1481">
        <v>599.99</v>
      </c>
      <c r="I1481" s="5">
        <v>0.2</v>
      </c>
      <c r="J1481">
        <f t="shared" si="46"/>
        <v>959.98400000000004</v>
      </c>
      <c r="K1481" s="9">
        <f t="shared" si="47"/>
        <v>-0.45297423894164529</v>
      </c>
    </row>
    <row r="1482" spans="1:11" x14ac:dyDescent="0.3">
      <c r="A1482">
        <v>532</v>
      </c>
      <c r="B1482">
        <v>3</v>
      </c>
      <c r="C1482">
        <v>12</v>
      </c>
      <c r="D1482" t="str">
        <f>VLOOKUP($C1482,products!$A$1:$F$322,MATCH(order_items!$D$1,products!$A$1:$F$1,0),FALSE)</f>
        <v>Electra Townie Original 21D - 2016</v>
      </c>
      <c r="E1482">
        <f>VLOOKUP($C1482,products!$A$1:$F$322,MATCH(order_items!$E$1,products!$A$1:$F$1,0),FALSE)</f>
        <v>3</v>
      </c>
      <c r="F1482" t="str">
        <f>VLOOKUP($E1482,categories!$A$1:$B$8,MATCH(order_items!$F$1,categories!$A$1:$B$1,0),FALSE)</f>
        <v>Cruisers Bicycles</v>
      </c>
      <c r="G1482">
        <v>1</v>
      </c>
      <c r="H1482">
        <v>549.99</v>
      </c>
      <c r="I1482" s="5">
        <v>0.1</v>
      </c>
      <c r="J1482">
        <f t="shared" si="46"/>
        <v>494.99100000000004</v>
      </c>
      <c r="K1482" s="9">
        <f t="shared" si="47"/>
        <v>-0.48993857929220308</v>
      </c>
    </row>
    <row r="1483" spans="1:11" x14ac:dyDescent="0.3">
      <c r="A1483">
        <v>533</v>
      </c>
      <c r="B1483">
        <v>1</v>
      </c>
      <c r="C1483">
        <v>4</v>
      </c>
      <c r="D1483" t="str">
        <f>VLOOKUP($C1483,products!$A$1:$F$322,MATCH(order_items!$D$1,products!$A$1:$F$1,0),FALSE)</f>
        <v>Trek Fuel EX 8 29 - 2016</v>
      </c>
      <c r="E1483">
        <f>VLOOKUP($C1483,products!$A$1:$F$322,MATCH(order_items!$E$1,products!$A$1:$F$1,0),FALSE)</f>
        <v>6</v>
      </c>
      <c r="F1483" t="str">
        <f>VLOOKUP($E1483,categories!$A$1:$B$8,MATCH(order_items!$F$1,categories!$A$1:$B$1,0),FALSE)</f>
        <v>Mountain Bikes</v>
      </c>
      <c r="G1483">
        <v>1</v>
      </c>
      <c r="H1483">
        <v>2899.99</v>
      </c>
      <c r="I1483" s="5">
        <v>0.2</v>
      </c>
      <c r="J1483">
        <f t="shared" si="46"/>
        <v>2319.9919999999997</v>
      </c>
      <c r="K1483" s="9">
        <f t="shared" si="47"/>
        <v>1.2473854171840129</v>
      </c>
    </row>
    <row r="1484" spans="1:11" x14ac:dyDescent="0.3">
      <c r="A1484">
        <v>533</v>
      </c>
      <c r="B1484">
        <v>2</v>
      </c>
      <c r="C1484">
        <v>12</v>
      </c>
      <c r="D1484" t="str">
        <f>VLOOKUP($C1484,products!$A$1:$F$322,MATCH(order_items!$D$1,products!$A$1:$F$1,0),FALSE)</f>
        <v>Electra Townie Original 21D - 2016</v>
      </c>
      <c r="E1484">
        <f>VLOOKUP($C1484,products!$A$1:$F$322,MATCH(order_items!$E$1,products!$A$1:$F$1,0),FALSE)</f>
        <v>3</v>
      </c>
      <c r="F1484" t="str">
        <f>VLOOKUP($E1484,categories!$A$1:$B$8,MATCH(order_items!$F$1,categories!$A$1:$B$1,0),FALSE)</f>
        <v>Cruisers Bicycles</v>
      </c>
      <c r="G1484">
        <v>2</v>
      </c>
      <c r="H1484">
        <v>549.99</v>
      </c>
      <c r="I1484" s="5">
        <v>0.1</v>
      </c>
      <c r="J1484">
        <f t="shared" si="46"/>
        <v>989.98200000000008</v>
      </c>
      <c r="K1484" s="9">
        <f t="shared" si="47"/>
        <v>-0.48993857929220308</v>
      </c>
    </row>
    <row r="1485" spans="1:11" x14ac:dyDescent="0.3">
      <c r="A1485">
        <v>533</v>
      </c>
      <c r="B1485">
        <v>3</v>
      </c>
      <c r="C1485">
        <v>10</v>
      </c>
      <c r="D1485" t="str">
        <f>VLOOKUP($C1485,products!$A$1:$F$322,MATCH(order_items!$D$1,products!$A$1:$F$1,0),FALSE)</f>
        <v>Surly Straggler - 2016</v>
      </c>
      <c r="E1485">
        <f>VLOOKUP($C1485,products!$A$1:$F$322,MATCH(order_items!$E$1,products!$A$1:$F$1,0),FALSE)</f>
        <v>4</v>
      </c>
      <c r="F1485" t="str">
        <f>VLOOKUP($E1485,categories!$A$1:$B$8,MATCH(order_items!$F$1,categories!$A$1:$B$1,0),FALSE)</f>
        <v>Cyclocross Bicycles</v>
      </c>
      <c r="G1485">
        <v>1</v>
      </c>
      <c r="H1485">
        <v>1549</v>
      </c>
      <c r="I1485" s="5">
        <v>0.2</v>
      </c>
      <c r="J1485">
        <f t="shared" si="46"/>
        <v>1239.2</v>
      </c>
      <c r="K1485" s="9">
        <f t="shared" si="47"/>
        <v>0.24861633378001166</v>
      </c>
    </row>
    <row r="1486" spans="1:11" x14ac:dyDescent="0.3">
      <c r="A1486">
        <v>533</v>
      </c>
      <c r="B1486">
        <v>4</v>
      </c>
      <c r="C1486">
        <v>25</v>
      </c>
      <c r="D1486" t="str">
        <f>VLOOKUP($C1486,products!$A$1:$F$322,MATCH(order_items!$D$1,products!$A$1:$F$1,0),FALSE)</f>
        <v>Electra Townie Original 7D - 2015/2016</v>
      </c>
      <c r="E1486">
        <f>VLOOKUP($C1486,products!$A$1:$F$322,MATCH(order_items!$E$1,products!$A$1:$F$1,0),FALSE)</f>
        <v>2</v>
      </c>
      <c r="F1486" t="str">
        <f>VLOOKUP($E1486,categories!$A$1:$B$8,MATCH(order_items!$F$1,categories!$A$1:$B$1,0),FALSE)</f>
        <v>Comfort Bicycles</v>
      </c>
      <c r="G1486">
        <v>1</v>
      </c>
      <c r="H1486">
        <v>499.99</v>
      </c>
      <c r="I1486" s="5">
        <v>0.05</v>
      </c>
      <c r="J1486">
        <f t="shared" si="46"/>
        <v>474.9905</v>
      </c>
      <c r="K1486" s="9">
        <f t="shared" si="47"/>
        <v>-0.52690291964276081</v>
      </c>
    </row>
    <row r="1487" spans="1:11" x14ac:dyDescent="0.3">
      <c r="A1487">
        <v>534</v>
      </c>
      <c r="B1487">
        <v>1</v>
      </c>
      <c r="C1487">
        <v>21</v>
      </c>
      <c r="D1487" t="str">
        <f>VLOOKUP($C1487,products!$A$1:$F$322,MATCH(order_items!$D$1,products!$A$1:$F$1,0),FALSE)</f>
        <v>Electra Cruiser 1 (24-Inch) - 2016</v>
      </c>
      <c r="E1487">
        <f>VLOOKUP($C1487,products!$A$1:$F$322,MATCH(order_items!$E$1,products!$A$1:$F$1,0),FALSE)</f>
        <v>1</v>
      </c>
      <c r="F1487" t="str">
        <f>VLOOKUP($E1487,categories!$A$1:$B$8,MATCH(order_items!$F$1,categories!$A$1:$B$1,0),FALSE)</f>
        <v>Children Bicycles</v>
      </c>
      <c r="G1487">
        <v>2</v>
      </c>
      <c r="H1487">
        <v>269.99</v>
      </c>
      <c r="I1487" s="5">
        <v>0.05</v>
      </c>
      <c r="J1487">
        <f t="shared" si="46"/>
        <v>512.98099999999999</v>
      </c>
      <c r="K1487" s="9">
        <f t="shared" si="47"/>
        <v>-0.69693888525532666</v>
      </c>
    </row>
    <row r="1488" spans="1:11" x14ac:dyDescent="0.3">
      <c r="A1488">
        <v>534</v>
      </c>
      <c r="B1488">
        <v>2</v>
      </c>
      <c r="C1488">
        <v>9</v>
      </c>
      <c r="D1488" t="str">
        <f>VLOOKUP($C1488,products!$A$1:$F$322,MATCH(order_items!$D$1,products!$A$1:$F$1,0),FALSE)</f>
        <v>Trek Conduit+ - 2016</v>
      </c>
      <c r="E1488">
        <f>VLOOKUP($C1488,products!$A$1:$F$322,MATCH(order_items!$E$1,products!$A$1:$F$1,0),FALSE)</f>
        <v>5</v>
      </c>
      <c r="F1488" t="str">
        <f>VLOOKUP($E1488,categories!$A$1:$B$8,MATCH(order_items!$F$1,categories!$A$1:$B$1,0),FALSE)</f>
        <v>Electric Bikes</v>
      </c>
      <c r="G1488">
        <v>2</v>
      </c>
      <c r="H1488">
        <v>2999.99</v>
      </c>
      <c r="I1488" s="5">
        <v>0.05</v>
      </c>
      <c r="J1488">
        <f t="shared" si="46"/>
        <v>5699.9809999999998</v>
      </c>
      <c r="K1488" s="9">
        <f t="shared" si="47"/>
        <v>1.3213140978851283</v>
      </c>
    </row>
    <row r="1489" spans="1:11" x14ac:dyDescent="0.3">
      <c r="A1489">
        <v>534</v>
      </c>
      <c r="B1489">
        <v>3</v>
      </c>
      <c r="C1489">
        <v>2</v>
      </c>
      <c r="D1489" t="str">
        <f>VLOOKUP($C1489,products!$A$1:$F$322,MATCH(order_items!$D$1,products!$A$1:$F$1,0),FALSE)</f>
        <v>Ritchey Timberwolf Frameset - 2016</v>
      </c>
      <c r="E1489">
        <f>VLOOKUP($C1489,products!$A$1:$F$322,MATCH(order_items!$E$1,products!$A$1:$F$1,0),FALSE)</f>
        <v>6</v>
      </c>
      <c r="F1489" t="str">
        <f>VLOOKUP($E1489,categories!$A$1:$B$8,MATCH(order_items!$F$1,categories!$A$1:$B$1,0),FALSE)</f>
        <v>Mountain Bikes</v>
      </c>
      <c r="G1489">
        <v>1</v>
      </c>
      <c r="H1489">
        <v>749.99</v>
      </c>
      <c r="I1489" s="5">
        <v>7.0000000000000007E-2</v>
      </c>
      <c r="J1489">
        <f t="shared" si="46"/>
        <v>697.49069999999995</v>
      </c>
      <c r="K1489" s="9">
        <f t="shared" si="47"/>
        <v>-0.34208121788997192</v>
      </c>
    </row>
    <row r="1490" spans="1:11" x14ac:dyDescent="0.3">
      <c r="A1490">
        <v>534</v>
      </c>
      <c r="B1490">
        <v>4</v>
      </c>
      <c r="C1490">
        <v>24</v>
      </c>
      <c r="D1490" t="str">
        <f>VLOOKUP($C1490,products!$A$1:$F$322,MATCH(order_items!$D$1,products!$A$1:$F$1,0),FALSE)</f>
        <v>Electra Townie Original 21D - 2016</v>
      </c>
      <c r="E1490">
        <f>VLOOKUP($C1490,products!$A$1:$F$322,MATCH(order_items!$E$1,products!$A$1:$F$1,0),FALSE)</f>
        <v>2</v>
      </c>
      <c r="F1490" t="str">
        <f>VLOOKUP($E1490,categories!$A$1:$B$8,MATCH(order_items!$F$1,categories!$A$1:$B$1,0),FALSE)</f>
        <v>Comfort Bicycles</v>
      </c>
      <c r="G1490">
        <v>2</v>
      </c>
      <c r="H1490">
        <v>549.99</v>
      </c>
      <c r="I1490" s="5">
        <v>0.1</v>
      </c>
      <c r="J1490">
        <f t="shared" si="46"/>
        <v>989.98200000000008</v>
      </c>
      <c r="K1490" s="9">
        <f t="shared" si="47"/>
        <v>-0.48993857929220308</v>
      </c>
    </row>
    <row r="1491" spans="1:11" x14ac:dyDescent="0.3">
      <c r="A1491">
        <v>535</v>
      </c>
      <c r="B1491">
        <v>1</v>
      </c>
      <c r="C1491">
        <v>24</v>
      </c>
      <c r="D1491" t="str">
        <f>VLOOKUP($C1491,products!$A$1:$F$322,MATCH(order_items!$D$1,products!$A$1:$F$1,0),FALSE)</f>
        <v>Electra Townie Original 21D - 2016</v>
      </c>
      <c r="E1491">
        <f>VLOOKUP($C1491,products!$A$1:$F$322,MATCH(order_items!$E$1,products!$A$1:$F$1,0),FALSE)</f>
        <v>2</v>
      </c>
      <c r="F1491" t="str">
        <f>VLOOKUP($E1491,categories!$A$1:$B$8,MATCH(order_items!$F$1,categories!$A$1:$B$1,0),FALSE)</f>
        <v>Comfort Bicycles</v>
      </c>
      <c r="G1491">
        <v>1</v>
      </c>
      <c r="H1491">
        <v>549.99</v>
      </c>
      <c r="I1491" s="5">
        <v>0.05</v>
      </c>
      <c r="J1491">
        <f t="shared" si="46"/>
        <v>522.4905</v>
      </c>
      <c r="K1491" s="9">
        <f t="shared" si="47"/>
        <v>-0.48993857929220308</v>
      </c>
    </row>
    <row r="1492" spans="1:11" x14ac:dyDescent="0.3">
      <c r="A1492">
        <v>535</v>
      </c>
      <c r="B1492">
        <v>2</v>
      </c>
      <c r="C1492">
        <v>15</v>
      </c>
      <c r="D1492" t="str">
        <f>VLOOKUP($C1492,products!$A$1:$F$322,MATCH(order_items!$D$1,products!$A$1:$F$1,0),FALSE)</f>
        <v>Electra Moto 1 - 2016</v>
      </c>
      <c r="E1492">
        <f>VLOOKUP($C1492,products!$A$1:$F$322,MATCH(order_items!$E$1,products!$A$1:$F$1,0),FALSE)</f>
        <v>3</v>
      </c>
      <c r="F1492" t="str">
        <f>VLOOKUP($E1492,categories!$A$1:$B$8,MATCH(order_items!$F$1,categories!$A$1:$B$1,0),FALSE)</f>
        <v>Cruisers Bicycles</v>
      </c>
      <c r="G1492">
        <v>1</v>
      </c>
      <c r="H1492">
        <v>529.99</v>
      </c>
      <c r="I1492" s="5">
        <v>0.1</v>
      </c>
      <c r="J1492">
        <f t="shared" si="46"/>
        <v>476.99100000000004</v>
      </c>
      <c r="K1492" s="9">
        <f t="shared" si="47"/>
        <v>-0.50472431543242624</v>
      </c>
    </row>
    <row r="1493" spans="1:11" x14ac:dyDescent="0.3">
      <c r="A1493">
        <v>535</v>
      </c>
      <c r="B1493">
        <v>3</v>
      </c>
      <c r="C1493">
        <v>22</v>
      </c>
      <c r="D1493" t="str">
        <f>VLOOKUP($C1493,products!$A$1:$F$322,MATCH(order_items!$D$1,products!$A$1:$F$1,0),FALSE)</f>
        <v>Electra Girl's Hawaii 1 (16-inch) - 2015/2016</v>
      </c>
      <c r="E1493">
        <f>VLOOKUP($C1493,products!$A$1:$F$322,MATCH(order_items!$E$1,products!$A$1:$F$1,0),FALSE)</f>
        <v>1</v>
      </c>
      <c r="F1493" t="str">
        <f>VLOOKUP($E1493,categories!$A$1:$B$8,MATCH(order_items!$F$1,categories!$A$1:$B$1,0),FALSE)</f>
        <v>Children Bicycles</v>
      </c>
      <c r="G1493">
        <v>2</v>
      </c>
      <c r="H1493">
        <v>269.99</v>
      </c>
      <c r="I1493" s="5">
        <v>0.1</v>
      </c>
      <c r="J1493">
        <f t="shared" si="46"/>
        <v>485.98200000000003</v>
      </c>
      <c r="K1493" s="9">
        <f t="shared" si="47"/>
        <v>-0.69693888525532666</v>
      </c>
    </row>
    <row r="1494" spans="1:11" x14ac:dyDescent="0.3">
      <c r="A1494">
        <v>536</v>
      </c>
      <c r="B1494">
        <v>1</v>
      </c>
      <c r="C1494">
        <v>22</v>
      </c>
      <c r="D1494" t="str">
        <f>VLOOKUP($C1494,products!$A$1:$F$322,MATCH(order_items!$D$1,products!$A$1:$F$1,0),FALSE)</f>
        <v>Electra Girl's Hawaii 1 (16-inch) - 2015/2016</v>
      </c>
      <c r="E1494">
        <f>VLOOKUP($C1494,products!$A$1:$F$322,MATCH(order_items!$E$1,products!$A$1:$F$1,0),FALSE)</f>
        <v>1</v>
      </c>
      <c r="F1494" t="str">
        <f>VLOOKUP($E1494,categories!$A$1:$B$8,MATCH(order_items!$F$1,categories!$A$1:$B$1,0),FALSE)</f>
        <v>Children Bicycles</v>
      </c>
      <c r="G1494">
        <v>1</v>
      </c>
      <c r="H1494">
        <v>269.99</v>
      </c>
      <c r="I1494" s="5">
        <v>0.1</v>
      </c>
      <c r="J1494">
        <f t="shared" si="46"/>
        <v>242.99100000000001</v>
      </c>
      <c r="K1494" s="9">
        <f t="shared" si="47"/>
        <v>-0.69693888525532666</v>
      </c>
    </row>
    <row r="1495" spans="1:11" x14ac:dyDescent="0.3">
      <c r="A1495">
        <v>536</v>
      </c>
      <c r="B1495">
        <v>2</v>
      </c>
      <c r="C1495">
        <v>2</v>
      </c>
      <c r="D1495" t="str">
        <f>VLOOKUP($C1495,products!$A$1:$F$322,MATCH(order_items!$D$1,products!$A$1:$F$1,0),FALSE)</f>
        <v>Ritchey Timberwolf Frameset - 2016</v>
      </c>
      <c r="E1495">
        <f>VLOOKUP($C1495,products!$A$1:$F$322,MATCH(order_items!$E$1,products!$A$1:$F$1,0),FALSE)</f>
        <v>6</v>
      </c>
      <c r="F1495" t="str">
        <f>VLOOKUP($E1495,categories!$A$1:$B$8,MATCH(order_items!$F$1,categories!$A$1:$B$1,0),FALSE)</f>
        <v>Mountain Bikes</v>
      </c>
      <c r="G1495">
        <v>1</v>
      </c>
      <c r="H1495">
        <v>749.99</v>
      </c>
      <c r="I1495" s="5">
        <v>0.1</v>
      </c>
      <c r="J1495">
        <f t="shared" si="46"/>
        <v>674.99099999999999</v>
      </c>
      <c r="K1495" s="9">
        <f t="shared" si="47"/>
        <v>-0.34208121788997192</v>
      </c>
    </row>
    <row r="1496" spans="1:11" x14ac:dyDescent="0.3">
      <c r="A1496">
        <v>536</v>
      </c>
      <c r="B1496">
        <v>3</v>
      </c>
      <c r="C1496">
        <v>12</v>
      </c>
      <c r="D1496" t="str">
        <f>VLOOKUP($C1496,products!$A$1:$F$322,MATCH(order_items!$D$1,products!$A$1:$F$1,0),FALSE)</f>
        <v>Electra Townie Original 21D - 2016</v>
      </c>
      <c r="E1496">
        <f>VLOOKUP($C1496,products!$A$1:$F$322,MATCH(order_items!$E$1,products!$A$1:$F$1,0),FALSE)</f>
        <v>3</v>
      </c>
      <c r="F1496" t="str">
        <f>VLOOKUP($E1496,categories!$A$1:$B$8,MATCH(order_items!$F$1,categories!$A$1:$B$1,0),FALSE)</f>
        <v>Cruisers Bicycles</v>
      </c>
      <c r="G1496">
        <v>2</v>
      </c>
      <c r="H1496">
        <v>549.99</v>
      </c>
      <c r="I1496" s="5">
        <v>0.05</v>
      </c>
      <c r="J1496">
        <f t="shared" si="46"/>
        <v>1044.981</v>
      </c>
      <c r="K1496" s="9">
        <f t="shared" si="47"/>
        <v>-0.48993857929220308</v>
      </c>
    </row>
    <row r="1497" spans="1:11" x14ac:dyDescent="0.3">
      <c r="A1497">
        <v>536</v>
      </c>
      <c r="B1497">
        <v>4</v>
      </c>
      <c r="C1497">
        <v>14</v>
      </c>
      <c r="D1497" t="str">
        <f>VLOOKUP($C1497,products!$A$1:$F$322,MATCH(order_items!$D$1,products!$A$1:$F$1,0),FALSE)</f>
        <v>Electra Girl's Hawaii 1 (16-inch) - 2015/2016</v>
      </c>
      <c r="E1497">
        <f>VLOOKUP($C1497,products!$A$1:$F$322,MATCH(order_items!$E$1,products!$A$1:$F$1,0),FALSE)</f>
        <v>3</v>
      </c>
      <c r="F1497" t="str">
        <f>VLOOKUP($E1497,categories!$A$1:$B$8,MATCH(order_items!$F$1,categories!$A$1:$B$1,0),FALSE)</f>
        <v>Cruisers Bicycles</v>
      </c>
      <c r="G1497">
        <v>1</v>
      </c>
      <c r="H1497">
        <v>269.99</v>
      </c>
      <c r="I1497" s="5">
        <v>7.0000000000000007E-2</v>
      </c>
      <c r="J1497">
        <f t="shared" si="46"/>
        <v>251.0907</v>
      </c>
      <c r="K1497" s="9">
        <f t="shared" si="47"/>
        <v>-0.69693888525532666</v>
      </c>
    </row>
    <row r="1498" spans="1:11" x14ac:dyDescent="0.3">
      <c r="A1498">
        <v>537</v>
      </c>
      <c r="B1498">
        <v>1</v>
      </c>
      <c r="C1498">
        <v>10</v>
      </c>
      <c r="D1498" t="str">
        <f>VLOOKUP($C1498,products!$A$1:$F$322,MATCH(order_items!$D$1,products!$A$1:$F$1,0),FALSE)</f>
        <v>Surly Straggler - 2016</v>
      </c>
      <c r="E1498">
        <f>VLOOKUP($C1498,products!$A$1:$F$322,MATCH(order_items!$E$1,products!$A$1:$F$1,0),FALSE)</f>
        <v>4</v>
      </c>
      <c r="F1498" t="str">
        <f>VLOOKUP($E1498,categories!$A$1:$B$8,MATCH(order_items!$F$1,categories!$A$1:$B$1,0),FALSE)</f>
        <v>Cyclocross Bicycles</v>
      </c>
      <c r="G1498">
        <v>1</v>
      </c>
      <c r="H1498">
        <v>1549</v>
      </c>
      <c r="I1498" s="5">
        <v>0.05</v>
      </c>
      <c r="J1498">
        <f t="shared" si="46"/>
        <v>1471.55</v>
      </c>
      <c r="K1498" s="9">
        <f t="shared" si="47"/>
        <v>0.24861633378001166</v>
      </c>
    </row>
    <row r="1499" spans="1:11" x14ac:dyDescent="0.3">
      <c r="A1499">
        <v>537</v>
      </c>
      <c r="B1499">
        <v>2</v>
      </c>
      <c r="C1499">
        <v>26</v>
      </c>
      <c r="D1499" t="str">
        <f>VLOOKUP($C1499,products!$A$1:$F$322,MATCH(order_items!$D$1,products!$A$1:$F$1,0),FALSE)</f>
        <v>Electra Townie Original 7D EQ - 2016</v>
      </c>
      <c r="E1499">
        <f>VLOOKUP($C1499,products!$A$1:$F$322,MATCH(order_items!$E$1,products!$A$1:$F$1,0),FALSE)</f>
        <v>2</v>
      </c>
      <c r="F1499" t="str">
        <f>VLOOKUP($E1499,categories!$A$1:$B$8,MATCH(order_items!$F$1,categories!$A$1:$B$1,0),FALSE)</f>
        <v>Comfort Bicycles</v>
      </c>
      <c r="G1499">
        <v>1</v>
      </c>
      <c r="H1499">
        <v>599.99</v>
      </c>
      <c r="I1499" s="5">
        <v>0.05</v>
      </c>
      <c r="J1499">
        <f t="shared" si="46"/>
        <v>569.9905</v>
      </c>
      <c r="K1499" s="9">
        <f t="shared" si="47"/>
        <v>-0.45297423894164529</v>
      </c>
    </row>
    <row r="1500" spans="1:11" x14ac:dyDescent="0.3">
      <c r="A1500">
        <v>537</v>
      </c>
      <c r="B1500">
        <v>3</v>
      </c>
      <c r="C1500">
        <v>17</v>
      </c>
      <c r="D1500" t="str">
        <f>VLOOKUP($C1500,products!$A$1:$F$322,MATCH(order_items!$D$1,products!$A$1:$F$1,0),FALSE)</f>
        <v>Pure Cycles Vine 8-Speed - 2016</v>
      </c>
      <c r="E1500">
        <f>VLOOKUP($C1500,products!$A$1:$F$322,MATCH(order_items!$E$1,products!$A$1:$F$1,0),FALSE)</f>
        <v>3</v>
      </c>
      <c r="F1500" t="str">
        <f>VLOOKUP($E1500,categories!$A$1:$B$8,MATCH(order_items!$F$1,categories!$A$1:$B$1,0),FALSE)</f>
        <v>Cruisers Bicycles</v>
      </c>
      <c r="G1500">
        <v>2</v>
      </c>
      <c r="H1500">
        <v>429</v>
      </c>
      <c r="I1500" s="5">
        <v>0.1</v>
      </c>
      <c r="J1500">
        <f t="shared" si="46"/>
        <v>772.2</v>
      </c>
      <c r="K1500" s="9">
        <f t="shared" si="47"/>
        <v>-0.57938489007248284</v>
      </c>
    </row>
    <row r="1501" spans="1:11" x14ac:dyDescent="0.3">
      <c r="A1501">
        <v>537</v>
      </c>
      <c r="B1501">
        <v>4</v>
      </c>
      <c r="C1501">
        <v>25</v>
      </c>
      <c r="D1501" t="str">
        <f>VLOOKUP($C1501,products!$A$1:$F$322,MATCH(order_items!$D$1,products!$A$1:$F$1,0),FALSE)</f>
        <v>Electra Townie Original 7D - 2015/2016</v>
      </c>
      <c r="E1501">
        <f>VLOOKUP($C1501,products!$A$1:$F$322,MATCH(order_items!$E$1,products!$A$1:$F$1,0),FALSE)</f>
        <v>2</v>
      </c>
      <c r="F1501" t="str">
        <f>VLOOKUP($E1501,categories!$A$1:$B$8,MATCH(order_items!$F$1,categories!$A$1:$B$1,0),FALSE)</f>
        <v>Comfort Bicycles</v>
      </c>
      <c r="G1501">
        <v>2</v>
      </c>
      <c r="H1501">
        <v>499.99</v>
      </c>
      <c r="I1501" s="5">
        <v>0.2</v>
      </c>
      <c r="J1501">
        <f t="shared" si="46"/>
        <v>799.98400000000004</v>
      </c>
      <c r="K1501" s="9">
        <f t="shared" si="47"/>
        <v>-0.52690291964276081</v>
      </c>
    </row>
    <row r="1502" spans="1:11" x14ac:dyDescent="0.3">
      <c r="A1502">
        <v>538</v>
      </c>
      <c r="B1502">
        <v>1</v>
      </c>
      <c r="C1502">
        <v>2</v>
      </c>
      <c r="D1502" t="str">
        <f>VLOOKUP($C1502,products!$A$1:$F$322,MATCH(order_items!$D$1,products!$A$1:$F$1,0),FALSE)</f>
        <v>Ritchey Timberwolf Frameset - 2016</v>
      </c>
      <c r="E1502">
        <f>VLOOKUP($C1502,products!$A$1:$F$322,MATCH(order_items!$E$1,products!$A$1:$F$1,0),FALSE)</f>
        <v>6</v>
      </c>
      <c r="F1502" t="str">
        <f>VLOOKUP($E1502,categories!$A$1:$B$8,MATCH(order_items!$F$1,categories!$A$1:$B$1,0),FALSE)</f>
        <v>Mountain Bikes</v>
      </c>
      <c r="G1502">
        <v>2</v>
      </c>
      <c r="H1502">
        <v>749.99</v>
      </c>
      <c r="I1502" s="5">
        <v>0.2</v>
      </c>
      <c r="J1502">
        <f t="shared" si="46"/>
        <v>1199.9840000000002</v>
      </c>
      <c r="K1502" s="9">
        <f t="shared" si="47"/>
        <v>-0.34208121788997192</v>
      </c>
    </row>
    <row r="1503" spans="1:11" x14ac:dyDescent="0.3">
      <c r="A1503">
        <v>539</v>
      </c>
      <c r="B1503">
        <v>1</v>
      </c>
      <c r="C1503">
        <v>9</v>
      </c>
      <c r="D1503" t="str">
        <f>VLOOKUP($C1503,products!$A$1:$F$322,MATCH(order_items!$D$1,products!$A$1:$F$1,0),FALSE)</f>
        <v>Trek Conduit+ - 2016</v>
      </c>
      <c r="E1503">
        <f>VLOOKUP($C1503,products!$A$1:$F$322,MATCH(order_items!$E$1,products!$A$1:$F$1,0),FALSE)</f>
        <v>5</v>
      </c>
      <c r="F1503" t="str">
        <f>VLOOKUP($E1503,categories!$A$1:$B$8,MATCH(order_items!$F$1,categories!$A$1:$B$1,0),FALSE)</f>
        <v>Electric Bikes</v>
      </c>
      <c r="G1503">
        <v>2</v>
      </c>
      <c r="H1503">
        <v>2999.99</v>
      </c>
      <c r="I1503" s="5">
        <v>0.1</v>
      </c>
      <c r="J1503">
        <f t="shared" si="46"/>
        <v>5399.982</v>
      </c>
      <c r="K1503" s="9">
        <f t="shared" si="47"/>
        <v>1.3213140978851283</v>
      </c>
    </row>
    <row r="1504" spans="1:11" x14ac:dyDescent="0.3">
      <c r="A1504">
        <v>539</v>
      </c>
      <c r="B1504">
        <v>2</v>
      </c>
      <c r="C1504">
        <v>23</v>
      </c>
      <c r="D1504" t="str">
        <f>VLOOKUP($C1504,products!$A$1:$F$322,MATCH(order_items!$D$1,products!$A$1:$F$1,0),FALSE)</f>
        <v>Electra Girl's Hawaii 1 (20-inch) - 2015/2016</v>
      </c>
      <c r="E1504">
        <f>VLOOKUP($C1504,products!$A$1:$F$322,MATCH(order_items!$E$1,products!$A$1:$F$1,0),FALSE)</f>
        <v>1</v>
      </c>
      <c r="F1504" t="str">
        <f>VLOOKUP($E1504,categories!$A$1:$B$8,MATCH(order_items!$F$1,categories!$A$1:$B$1,0),FALSE)</f>
        <v>Children Bicycles</v>
      </c>
      <c r="G1504">
        <v>1</v>
      </c>
      <c r="H1504">
        <v>299.99</v>
      </c>
      <c r="I1504" s="5">
        <v>0.05</v>
      </c>
      <c r="J1504">
        <f t="shared" si="46"/>
        <v>284.9905</v>
      </c>
      <c r="K1504" s="9">
        <f t="shared" si="47"/>
        <v>-0.67476028104499197</v>
      </c>
    </row>
    <row r="1505" spans="1:11" x14ac:dyDescent="0.3">
      <c r="A1505">
        <v>539</v>
      </c>
      <c r="B1505">
        <v>3</v>
      </c>
      <c r="C1505">
        <v>21</v>
      </c>
      <c r="D1505" t="str">
        <f>VLOOKUP($C1505,products!$A$1:$F$322,MATCH(order_items!$D$1,products!$A$1:$F$1,0),FALSE)</f>
        <v>Electra Cruiser 1 (24-Inch) - 2016</v>
      </c>
      <c r="E1505">
        <f>VLOOKUP($C1505,products!$A$1:$F$322,MATCH(order_items!$E$1,products!$A$1:$F$1,0),FALSE)</f>
        <v>1</v>
      </c>
      <c r="F1505" t="str">
        <f>VLOOKUP($E1505,categories!$A$1:$B$8,MATCH(order_items!$F$1,categories!$A$1:$B$1,0),FALSE)</f>
        <v>Children Bicycles</v>
      </c>
      <c r="G1505">
        <v>2</v>
      </c>
      <c r="H1505">
        <v>269.99</v>
      </c>
      <c r="I1505" s="5">
        <v>7.0000000000000007E-2</v>
      </c>
      <c r="J1505">
        <f t="shared" si="46"/>
        <v>502.1814</v>
      </c>
      <c r="K1505" s="9">
        <f t="shared" si="47"/>
        <v>-0.69693888525532666</v>
      </c>
    </row>
    <row r="1506" spans="1:11" x14ac:dyDescent="0.3">
      <c r="A1506">
        <v>540</v>
      </c>
      <c r="B1506">
        <v>1</v>
      </c>
      <c r="C1506">
        <v>19</v>
      </c>
      <c r="D1506" t="str">
        <f>VLOOKUP($C1506,products!$A$1:$F$322,MATCH(order_items!$D$1,products!$A$1:$F$1,0),FALSE)</f>
        <v>Pure Cycles William 3-Speed - 2016</v>
      </c>
      <c r="E1506">
        <f>VLOOKUP($C1506,products!$A$1:$F$322,MATCH(order_items!$E$1,products!$A$1:$F$1,0),FALSE)</f>
        <v>3</v>
      </c>
      <c r="F1506" t="str">
        <f>VLOOKUP($E1506,categories!$A$1:$B$8,MATCH(order_items!$F$1,categories!$A$1:$B$1,0),FALSE)</f>
        <v>Cruisers Bicycles</v>
      </c>
      <c r="G1506">
        <v>1</v>
      </c>
      <c r="H1506">
        <v>449</v>
      </c>
      <c r="I1506" s="5">
        <v>0.1</v>
      </c>
      <c r="J1506">
        <f t="shared" si="46"/>
        <v>404.1</v>
      </c>
      <c r="K1506" s="9">
        <f t="shared" si="47"/>
        <v>-0.56459915393225968</v>
      </c>
    </row>
    <row r="1507" spans="1:11" x14ac:dyDescent="0.3">
      <c r="A1507">
        <v>540</v>
      </c>
      <c r="B1507">
        <v>2</v>
      </c>
      <c r="C1507">
        <v>26</v>
      </c>
      <c r="D1507" t="str">
        <f>VLOOKUP($C1507,products!$A$1:$F$322,MATCH(order_items!$D$1,products!$A$1:$F$1,0),FALSE)</f>
        <v>Electra Townie Original 7D EQ - 2016</v>
      </c>
      <c r="E1507">
        <f>VLOOKUP($C1507,products!$A$1:$F$322,MATCH(order_items!$E$1,products!$A$1:$F$1,0),FALSE)</f>
        <v>2</v>
      </c>
      <c r="F1507" t="str">
        <f>VLOOKUP($E1507,categories!$A$1:$B$8,MATCH(order_items!$F$1,categories!$A$1:$B$1,0),FALSE)</f>
        <v>Comfort Bicycles</v>
      </c>
      <c r="G1507">
        <v>2</v>
      </c>
      <c r="H1507">
        <v>599.99</v>
      </c>
      <c r="I1507" s="5">
        <v>0.1</v>
      </c>
      <c r="J1507">
        <f t="shared" si="46"/>
        <v>1079.982</v>
      </c>
      <c r="K1507" s="9">
        <f t="shared" si="47"/>
        <v>-0.45297423894164529</v>
      </c>
    </row>
    <row r="1508" spans="1:11" x14ac:dyDescent="0.3">
      <c r="A1508">
        <v>540</v>
      </c>
      <c r="B1508">
        <v>3</v>
      </c>
      <c r="C1508">
        <v>23</v>
      </c>
      <c r="D1508" t="str">
        <f>VLOOKUP($C1508,products!$A$1:$F$322,MATCH(order_items!$D$1,products!$A$1:$F$1,0),FALSE)</f>
        <v>Electra Girl's Hawaii 1 (20-inch) - 2015/2016</v>
      </c>
      <c r="E1508">
        <f>VLOOKUP($C1508,products!$A$1:$F$322,MATCH(order_items!$E$1,products!$A$1:$F$1,0),FALSE)</f>
        <v>1</v>
      </c>
      <c r="F1508" t="str">
        <f>VLOOKUP($E1508,categories!$A$1:$B$8,MATCH(order_items!$F$1,categories!$A$1:$B$1,0),FALSE)</f>
        <v>Children Bicycles</v>
      </c>
      <c r="G1508">
        <v>2</v>
      </c>
      <c r="H1508">
        <v>299.99</v>
      </c>
      <c r="I1508" s="5">
        <v>7.0000000000000007E-2</v>
      </c>
      <c r="J1508">
        <f t="shared" si="46"/>
        <v>557.98140000000001</v>
      </c>
      <c r="K1508" s="9">
        <f t="shared" si="47"/>
        <v>-0.67476028104499197</v>
      </c>
    </row>
    <row r="1509" spans="1:11" x14ac:dyDescent="0.3">
      <c r="A1509">
        <v>541</v>
      </c>
      <c r="B1509">
        <v>1</v>
      </c>
      <c r="C1509">
        <v>22</v>
      </c>
      <c r="D1509" t="str">
        <f>VLOOKUP($C1509,products!$A$1:$F$322,MATCH(order_items!$D$1,products!$A$1:$F$1,0),FALSE)</f>
        <v>Electra Girl's Hawaii 1 (16-inch) - 2015/2016</v>
      </c>
      <c r="E1509">
        <f>VLOOKUP($C1509,products!$A$1:$F$322,MATCH(order_items!$E$1,products!$A$1:$F$1,0),FALSE)</f>
        <v>1</v>
      </c>
      <c r="F1509" t="str">
        <f>VLOOKUP($E1509,categories!$A$1:$B$8,MATCH(order_items!$F$1,categories!$A$1:$B$1,0),FALSE)</f>
        <v>Children Bicycles</v>
      </c>
      <c r="G1509">
        <v>2</v>
      </c>
      <c r="H1509">
        <v>269.99</v>
      </c>
      <c r="I1509" s="5">
        <v>0.05</v>
      </c>
      <c r="J1509">
        <f t="shared" si="46"/>
        <v>512.98099999999999</v>
      </c>
      <c r="K1509" s="9">
        <f t="shared" si="47"/>
        <v>-0.69693888525532666</v>
      </c>
    </row>
    <row r="1510" spans="1:11" x14ac:dyDescent="0.3">
      <c r="A1510">
        <v>542</v>
      </c>
      <c r="B1510">
        <v>1</v>
      </c>
      <c r="C1510">
        <v>16</v>
      </c>
      <c r="D1510" t="str">
        <f>VLOOKUP($C1510,products!$A$1:$F$322,MATCH(order_items!$D$1,products!$A$1:$F$1,0),FALSE)</f>
        <v>Electra Townie Original 7D EQ - 2016</v>
      </c>
      <c r="E1510">
        <f>VLOOKUP($C1510,products!$A$1:$F$322,MATCH(order_items!$E$1,products!$A$1:$F$1,0),FALSE)</f>
        <v>3</v>
      </c>
      <c r="F1510" t="str">
        <f>VLOOKUP($E1510,categories!$A$1:$B$8,MATCH(order_items!$F$1,categories!$A$1:$B$1,0),FALSE)</f>
        <v>Cruisers Bicycles</v>
      </c>
      <c r="G1510">
        <v>2</v>
      </c>
      <c r="H1510">
        <v>599.99</v>
      </c>
      <c r="I1510" s="5">
        <v>0.2</v>
      </c>
      <c r="J1510">
        <f t="shared" si="46"/>
        <v>959.98400000000004</v>
      </c>
      <c r="K1510" s="9">
        <f t="shared" si="47"/>
        <v>-0.45297423894164529</v>
      </c>
    </row>
    <row r="1511" spans="1:11" x14ac:dyDescent="0.3">
      <c r="A1511">
        <v>542</v>
      </c>
      <c r="B1511">
        <v>2</v>
      </c>
      <c r="C1511">
        <v>9</v>
      </c>
      <c r="D1511" t="str">
        <f>VLOOKUP($C1511,products!$A$1:$F$322,MATCH(order_items!$D$1,products!$A$1:$F$1,0),FALSE)</f>
        <v>Trek Conduit+ - 2016</v>
      </c>
      <c r="E1511">
        <f>VLOOKUP($C1511,products!$A$1:$F$322,MATCH(order_items!$E$1,products!$A$1:$F$1,0),FALSE)</f>
        <v>5</v>
      </c>
      <c r="F1511" t="str">
        <f>VLOOKUP($E1511,categories!$A$1:$B$8,MATCH(order_items!$F$1,categories!$A$1:$B$1,0),FALSE)</f>
        <v>Electric Bikes</v>
      </c>
      <c r="G1511">
        <v>1</v>
      </c>
      <c r="H1511">
        <v>2999.99</v>
      </c>
      <c r="I1511" s="5">
        <v>0.1</v>
      </c>
      <c r="J1511">
        <f t="shared" si="46"/>
        <v>2699.991</v>
      </c>
      <c r="K1511" s="9">
        <f t="shared" si="47"/>
        <v>1.3213140978851283</v>
      </c>
    </row>
    <row r="1512" spans="1:11" x14ac:dyDescent="0.3">
      <c r="A1512">
        <v>542</v>
      </c>
      <c r="B1512">
        <v>3</v>
      </c>
      <c r="C1512">
        <v>20</v>
      </c>
      <c r="D1512" t="str">
        <f>VLOOKUP($C1512,products!$A$1:$F$322,MATCH(order_items!$D$1,products!$A$1:$F$1,0),FALSE)</f>
        <v>Electra Townie Original 7D EQ - Women's - 2016</v>
      </c>
      <c r="E1512">
        <f>VLOOKUP($C1512,products!$A$1:$F$322,MATCH(order_items!$E$1,products!$A$1:$F$1,0),FALSE)</f>
        <v>3</v>
      </c>
      <c r="F1512" t="str">
        <f>VLOOKUP($E1512,categories!$A$1:$B$8,MATCH(order_items!$F$1,categories!$A$1:$B$1,0),FALSE)</f>
        <v>Cruisers Bicycles</v>
      </c>
      <c r="G1512">
        <v>1</v>
      </c>
      <c r="H1512">
        <v>599.99</v>
      </c>
      <c r="I1512" s="5">
        <v>0.1</v>
      </c>
      <c r="J1512">
        <f t="shared" si="46"/>
        <v>539.99099999999999</v>
      </c>
      <c r="K1512" s="9">
        <f t="shared" si="47"/>
        <v>-0.45297423894164529</v>
      </c>
    </row>
    <row r="1513" spans="1:11" x14ac:dyDescent="0.3">
      <c r="A1513">
        <v>542</v>
      </c>
      <c r="B1513">
        <v>4</v>
      </c>
      <c r="C1513">
        <v>19</v>
      </c>
      <c r="D1513" t="str">
        <f>VLOOKUP($C1513,products!$A$1:$F$322,MATCH(order_items!$D$1,products!$A$1:$F$1,0),FALSE)</f>
        <v>Pure Cycles William 3-Speed - 2016</v>
      </c>
      <c r="E1513">
        <f>VLOOKUP($C1513,products!$A$1:$F$322,MATCH(order_items!$E$1,products!$A$1:$F$1,0),FALSE)</f>
        <v>3</v>
      </c>
      <c r="F1513" t="str">
        <f>VLOOKUP($E1513,categories!$A$1:$B$8,MATCH(order_items!$F$1,categories!$A$1:$B$1,0),FALSE)</f>
        <v>Cruisers Bicycles</v>
      </c>
      <c r="G1513">
        <v>2</v>
      </c>
      <c r="H1513">
        <v>449</v>
      </c>
      <c r="I1513" s="5">
        <v>0.2</v>
      </c>
      <c r="J1513">
        <f t="shared" si="46"/>
        <v>718.40000000000009</v>
      </c>
      <c r="K1513" s="9">
        <f t="shared" si="47"/>
        <v>-0.56459915393225968</v>
      </c>
    </row>
    <row r="1514" spans="1:11" x14ac:dyDescent="0.3">
      <c r="A1514">
        <v>543</v>
      </c>
      <c r="B1514">
        <v>1</v>
      </c>
      <c r="C1514">
        <v>25</v>
      </c>
      <c r="D1514" t="str">
        <f>VLOOKUP($C1514,products!$A$1:$F$322,MATCH(order_items!$D$1,products!$A$1:$F$1,0),FALSE)</f>
        <v>Electra Townie Original 7D - 2015/2016</v>
      </c>
      <c r="E1514">
        <f>VLOOKUP($C1514,products!$A$1:$F$322,MATCH(order_items!$E$1,products!$A$1:$F$1,0),FALSE)</f>
        <v>2</v>
      </c>
      <c r="F1514" t="str">
        <f>VLOOKUP($E1514,categories!$A$1:$B$8,MATCH(order_items!$F$1,categories!$A$1:$B$1,0),FALSE)</f>
        <v>Comfort Bicycles</v>
      </c>
      <c r="G1514">
        <v>1</v>
      </c>
      <c r="H1514">
        <v>499.99</v>
      </c>
      <c r="I1514" s="5">
        <v>0.2</v>
      </c>
      <c r="J1514">
        <f t="shared" si="46"/>
        <v>399.99200000000002</v>
      </c>
      <c r="K1514" s="9">
        <f t="shared" si="47"/>
        <v>-0.52690291964276081</v>
      </c>
    </row>
    <row r="1515" spans="1:11" x14ac:dyDescent="0.3">
      <c r="A1515">
        <v>543</v>
      </c>
      <c r="B1515">
        <v>2</v>
      </c>
      <c r="C1515">
        <v>18</v>
      </c>
      <c r="D1515" t="str">
        <f>VLOOKUP($C1515,products!$A$1:$F$322,MATCH(order_items!$D$1,products!$A$1:$F$1,0),FALSE)</f>
        <v>Pure Cycles Western 3-Speed - Women's - 2015/2016</v>
      </c>
      <c r="E1515">
        <f>VLOOKUP($C1515,products!$A$1:$F$322,MATCH(order_items!$E$1,products!$A$1:$F$1,0),FALSE)</f>
        <v>3</v>
      </c>
      <c r="F1515" t="str">
        <f>VLOOKUP($E1515,categories!$A$1:$B$8,MATCH(order_items!$F$1,categories!$A$1:$B$1,0),FALSE)</f>
        <v>Cruisers Bicycles</v>
      </c>
      <c r="G1515">
        <v>1</v>
      </c>
      <c r="H1515">
        <v>449</v>
      </c>
      <c r="I1515" s="5">
        <v>0.2</v>
      </c>
      <c r="J1515">
        <f t="shared" si="46"/>
        <v>359.20000000000005</v>
      </c>
      <c r="K1515" s="9">
        <f t="shared" si="47"/>
        <v>-0.56459915393225968</v>
      </c>
    </row>
    <row r="1516" spans="1:11" x14ac:dyDescent="0.3">
      <c r="A1516">
        <v>543</v>
      </c>
      <c r="B1516">
        <v>3</v>
      </c>
      <c r="C1516">
        <v>26</v>
      </c>
      <c r="D1516" t="str">
        <f>VLOOKUP($C1516,products!$A$1:$F$322,MATCH(order_items!$D$1,products!$A$1:$F$1,0),FALSE)</f>
        <v>Electra Townie Original 7D EQ - 2016</v>
      </c>
      <c r="E1516">
        <f>VLOOKUP($C1516,products!$A$1:$F$322,MATCH(order_items!$E$1,products!$A$1:$F$1,0),FALSE)</f>
        <v>2</v>
      </c>
      <c r="F1516" t="str">
        <f>VLOOKUP($E1516,categories!$A$1:$B$8,MATCH(order_items!$F$1,categories!$A$1:$B$1,0),FALSE)</f>
        <v>Comfort Bicycles</v>
      </c>
      <c r="G1516">
        <v>2</v>
      </c>
      <c r="H1516">
        <v>599.99</v>
      </c>
      <c r="I1516" s="5">
        <v>0.05</v>
      </c>
      <c r="J1516">
        <f t="shared" si="46"/>
        <v>1139.981</v>
      </c>
      <c r="K1516" s="9">
        <f t="shared" si="47"/>
        <v>-0.45297423894164529</v>
      </c>
    </row>
    <row r="1517" spans="1:11" x14ac:dyDescent="0.3">
      <c r="A1517">
        <v>544</v>
      </c>
      <c r="B1517">
        <v>1</v>
      </c>
      <c r="C1517">
        <v>12</v>
      </c>
      <c r="D1517" t="str">
        <f>VLOOKUP($C1517,products!$A$1:$F$322,MATCH(order_items!$D$1,products!$A$1:$F$1,0),FALSE)</f>
        <v>Electra Townie Original 21D - 2016</v>
      </c>
      <c r="E1517">
        <f>VLOOKUP($C1517,products!$A$1:$F$322,MATCH(order_items!$E$1,products!$A$1:$F$1,0),FALSE)</f>
        <v>3</v>
      </c>
      <c r="F1517" t="str">
        <f>VLOOKUP($E1517,categories!$A$1:$B$8,MATCH(order_items!$F$1,categories!$A$1:$B$1,0),FALSE)</f>
        <v>Cruisers Bicycles</v>
      </c>
      <c r="G1517">
        <v>1</v>
      </c>
      <c r="H1517">
        <v>549.99</v>
      </c>
      <c r="I1517" s="5">
        <v>0.05</v>
      </c>
      <c r="J1517">
        <f t="shared" si="46"/>
        <v>522.4905</v>
      </c>
      <c r="K1517" s="9">
        <f t="shared" si="47"/>
        <v>-0.48993857929220308</v>
      </c>
    </row>
    <row r="1518" spans="1:11" x14ac:dyDescent="0.3">
      <c r="A1518">
        <v>544</v>
      </c>
      <c r="B1518">
        <v>2</v>
      </c>
      <c r="C1518">
        <v>17</v>
      </c>
      <c r="D1518" t="str">
        <f>VLOOKUP($C1518,products!$A$1:$F$322,MATCH(order_items!$D$1,products!$A$1:$F$1,0),FALSE)</f>
        <v>Pure Cycles Vine 8-Speed - 2016</v>
      </c>
      <c r="E1518">
        <f>VLOOKUP($C1518,products!$A$1:$F$322,MATCH(order_items!$E$1,products!$A$1:$F$1,0),FALSE)</f>
        <v>3</v>
      </c>
      <c r="F1518" t="str">
        <f>VLOOKUP($E1518,categories!$A$1:$B$8,MATCH(order_items!$F$1,categories!$A$1:$B$1,0),FALSE)</f>
        <v>Cruisers Bicycles</v>
      </c>
      <c r="G1518">
        <v>1</v>
      </c>
      <c r="H1518">
        <v>429</v>
      </c>
      <c r="I1518" s="5">
        <v>0.1</v>
      </c>
      <c r="J1518">
        <f t="shared" si="46"/>
        <v>386.1</v>
      </c>
      <c r="K1518" s="9">
        <f t="shared" si="47"/>
        <v>-0.57938489007248284</v>
      </c>
    </row>
    <row r="1519" spans="1:11" x14ac:dyDescent="0.3">
      <c r="A1519">
        <v>544</v>
      </c>
      <c r="B1519">
        <v>3</v>
      </c>
      <c r="C1519">
        <v>21</v>
      </c>
      <c r="D1519" t="str">
        <f>VLOOKUP($C1519,products!$A$1:$F$322,MATCH(order_items!$D$1,products!$A$1:$F$1,0),FALSE)</f>
        <v>Electra Cruiser 1 (24-Inch) - 2016</v>
      </c>
      <c r="E1519">
        <f>VLOOKUP($C1519,products!$A$1:$F$322,MATCH(order_items!$E$1,products!$A$1:$F$1,0),FALSE)</f>
        <v>1</v>
      </c>
      <c r="F1519" t="str">
        <f>VLOOKUP($E1519,categories!$A$1:$B$8,MATCH(order_items!$F$1,categories!$A$1:$B$1,0),FALSE)</f>
        <v>Children Bicycles</v>
      </c>
      <c r="G1519">
        <v>1</v>
      </c>
      <c r="H1519">
        <v>269.99</v>
      </c>
      <c r="I1519" s="5">
        <v>0.05</v>
      </c>
      <c r="J1519">
        <f t="shared" si="46"/>
        <v>256.4905</v>
      </c>
      <c r="K1519" s="9">
        <f t="shared" si="47"/>
        <v>-0.69693888525532666</v>
      </c>
    </row>
    <row r="1520" spans="1:11" x14ac:dyDescent="0.3">
      <c r="A1520">
        <v>545</v>
      </c>
      <c r="B1520">
        <v>1</v>
      </c>
      <c r="C1520">
        <v>25</v>
      </c>
      <c r="D1520" t="str">
        <f>VLOOKUP($C1520,products!$A$1:$F$322,MATCH(order_items!$D$1,products!$A$1:$F$1,0),FALSE)</f>
        <v>Electra Townie Original 7D - 2015/2016</v>
      </c>
      <c r="E1520">
        <f>VLOOKUP($C1520,products!$A$1:$F$322,MATCH(order_items!$E$1,products!$A$1:$F$1,0),FALSE)</f>
        <v>2</v>
      </c>
      <c r="F1520" t="str">
        <f>VLOOKUP($E1520,categories!$A$1:$B$8,MATCH(order_items!$F$1,categories!$A$1:$B$1,0),FALSE)</f>
        <v>Comfort Bicycles</v>
      </c>
      <c r="G1520">
        <v>2</v>
      </c>
      <c r="H1520">
        <v>499.99</v>
      </c>
      <c r="I1520" s="5">
        <v>0.2</v>
      </c>
      <c r="J1520">
        <f t="shared" si="46"/>
        <v>799.98400000000004</v>
      </c>
      <c r="K1520" s="9">
        <f t="shared" si="47"/>
        <v>-0.52690291964276081</v>
      </c>
    </row>
    <row r="1521" spans="1:11" x14ac:dyDescent="0.3">
      <c r="A1521">
        <v>545</v>
      </c>
      <c r="B1521">
        <v>2</v>
      </c>
      <c r="C1521">
        <v>6</v>
      </c>
      <c r="D1521" t="str">
        <f>VLOOKUP($C1521,products!$A$1:$F$322,MATCH(order_items!$D$1,products!$A$1:$F$1,0),FALSE)</f>
        <v>Surly Ice Cream Truck Frameset - 2016</v>
      </c>
      <c r="E1521">
        <f>VLOOKUP($C1521,products!$A$1:$F$322,MATCH(order_items!$E$1,products!$A$1:$F$1,0),FALSE)</f>
        <v>6</v>
      </c>
      <c r="F1521" t="str">
        <f>VLOOKUP($E1521,categories!$A$1:$B$8,MATCH(order_items!$F$1,categories!$A$1:$B$1,0),FALSE)</f>
        <v>Mountain Bikes</v>
      </c>
      <c r="G1521">
        <v>1</v>
      </c>
      <c r="H1521">
        <v>469.99</v>
      </c>
      <c r="I1521" s="5">
        <v>7.0000000000000007E-2</v>
      </c>
      <c r="J1521">
        <f t="shared" si="46"/>
        <v>437.09069999999997</v>
      </c>
      <c r="K1521" s="9">
        <f t="shared" si="47"/>
        <v>-0.5490815238530955</v>
      </c>
    </row>
    <row r="1522" spans="1:11" x14ac:dyDescent="0.3">
      <c r="A1522">
        <v>545</v>
      </c>
      <c r="B1522">
        <v>3</v>
      </c>
      <c r="C1522">
        <v>24</v>
      </c>
      <c r="D1522" t="str">
        <f>VLOOKUP($C1522,products!$A$1:$F$322,MATCH(order_items!$D$1,products!$A$1:$F$1,0),FALSE)</f>
        <v>Electra Townie Original 21D - 2016</v>
      </c>
      <c r="E1522">
        <f>VLOOKUP($C1522,products!$A$1:$F$322,MATCH(order_items!$E$1,products!$A$1:$F$1,0),FALSE)</f>
        <v>2</v>
      </c>
      <c r="F1522" t="str">
        <f>VLOOKUP($E1522,categories!$A$1:$B$8,MATCH(order_items!$F$1,categories!$A$1:$B$1,0),FALSE)</f>
        <v>Comfort Bicycles</v>
      </c>
      <c r="G1522">
        <v>1</v>
      </c>
      <c r="H1522">
        <v>549.99</v>
      </c>
      <c r="I1522" s="5">
        <v>0.2</v>
      </c>
      <c r="J1522">
        <f t="shared" si="46"/>
        <v>439.99200000000002</v>
      </c>
      <c r="K1522" s="9">
        <f t="shared" si="47"/>
        <v>-0.48993857929220308</v>
      </c>
    </row>
    <row r="1523" spans="1:11" x14ac:dyDescent="0.3">
      <c r="A1523">
        <v>545</v>
      </c>
      <c r="B1523">
        <v>4</v>
      </c>
      <c r="C1523">
        <v>20</v>
      </c>
      <c r="D1523" t="str">
        <f>VLOOKUP($C1523,products!$A$1:$F$322,MATCH(order_items!$D$1,products!$A$1:$F$1,0),FALSE)</f>
        <v>Electra Townie Original 7D EQ - Women's - 2016</v>
      </c>
      <c r="E1523">
        <f>VLOOKUP($C1523,products!$A$1:$F$322,MATCH(order_items!$E$1,products!$A$1:$F$1,0),FALSE)</f>
        <v>3</v>
      </c>
      <c r="F1523" t="str">
        <f>VLOOKUP($E1523,categories!$A$1:$B$8,MATCH(order_items!$F$1,categories!$A$1:$B$1,0),FALSE)</f>
        <v>Cruisers Bicycles</v>
      </c>
      <c r="G1523">
        <v>2</v>
      </c>
      <c r="H1523">
        <v>599.99</v>
      </c>
      <c r="I1523" s="5">
        <v>7.0000000000000007E-2</v>
      </c>
      <c r="J1523">
        <f t="shared" si="46"/>
        <v>1115.9813999999999</v>
      </c>
      <c r="K1523" s="9">
        <f t="shared" si="47"/>
        <v>-0.45297423894164529</v>
      </c>
    </row>
    <row r="1524" spans="1:11" x14ac:dyDescent="0.3">
      <c r="A1524">
        <v>546</v>
      </c>
      <c r="B1524">
        <v>1</v>
      </c>
      <c r="C1524">
        <v>17</v>
      </c>
      <c r="D1524" t="str">
        <f>VLOOKUP($C1524,products!$A$1:$F$322,MATCH(order_items!$D$1,products!$A$1:$F$1,0),FALSE)</f>
        <v>Pure Cycles Vine 8-Speed - 2016</v>
      </c>
      <c r="E1524">
        <f>VLOOKUP($C1524,products!$A$1:$F$322,MATCH(order_items!$E$1,products!$A$1:$F$1,0),FALSE)</f>
        <v>3</v>
      </c>
      <c r="F1524" t="str">
        <f>VLOOKUP($E1524,categories!$A$1:$B$8,MATCH(order_items!$F$1,categories!$A$1:$B$1,0),FALSE)</f>
        <v>Cruisers Bicycles</v>
      </c>
      <c r="G1524">
        <v>2</v>
      </c>
      <c r="H1524">
        <v>429</v>
      </c>
      <c r="I1524" s="5">
        <v>0.05</v>
      </c>
      <c r="J1524">
        <f t="shared" si="46"/>
        <v>815.09999999999991</v>
      </c>
      <c r="K1524" s="9">
        <f t="shared" si="47"/>
        <v>-0.57938489007248284</v>
      </c>
    </row>
    <row r="1525" spans="1:11" x14ac:dyDescent="0.3">
      <c r="A1525">
        <v>546</v>
      </c>
      <c r="B1525">
        <v>2</v>
      </c>
      <c r="C1525">
        <v>8</v>
      </c>
      <c r="D1525" t="str">
        <f>VLOOKUP($C1525,products!$A$1:$F$322,MATCH(order_items!$D$1,products!$A$1:$F$1,0),FALSE)</f>
        <v>Trek Remedy 29 Carbon Frameset - 2016</v>
      </c>
      <c r="E1525">
        <f>VLOOKUP($C1525,products!$A$1:$F$322,MATCH(order_items!$E$1,products!$A$1:$F$1,0),FALSE)</f>
        <v>6</v>
      </c>
      <c r="F1525" t="str">
        <f>VLOOKUP($E1525,categories!$A$1:$B$8,MATCH(order_items!$F$1,categories!$A$1:$B$1,0),FALSE)</f>
        <v>Mountain Bikes</v>
      </c>
      <c r="G1525">
        <v>1</v>
      </c>
      <c r="H1525">
        <v>1799.99</v>
      </c>
      <c r="I1525" s="5">
        <v>0.1</v>
      </c>
      <c r="J1525">
        <f t="shared" si="46"/>
        <v>1619.991</v>
      </c>
      <c r="K1525" s="9">
        <f t="shared" si="47"/>
        <v>0.43416992947174166</v>
      </c>
    </row>
    <row r="1526" spans="1:11" x14ac:dyDescent="0.3">
      <c r="A1526">
        <v>546</v>
      </c>
      <c r="B1526">
        <v>3</v>
      </c>
      <c r="C1526">
        <v>18</v>
      </c>
      <c r="D1526" t="str">
        <f>VLOOKUP($C1526,products!$A$1:$F$322,MATCH(order_items!$D$1,products!$A$1:$F$1,0),FALSE)</f>
        <v>Pure Cycles Western 3-Speed - Women's - 2015/2016</v>
      </c>
      <c r="E1526">
        <f>VLOOKUP($C1526,products!$A$1:$F$322,MATCH(order_items!$E$1,products!$A$1:$F$1,0),FALSE)</f>
        <v>3</v>
      </c>
      <c r="F1526" t="str">
        <f>VLOOKUP($E1526,categories!$A$1:$B$8,MATCH(order_items!$F$1,categories!$A$1:$B$1,0),FALSE)</f>
        <v>Cruisers Bicycles</v>
      </c>
      <c r="G1526">
        <v>2</v>
      </c>
      <c r="H1526">
        <v>449</v>
      </c>
      <c r="I1526" s="5">
        <v>7.0000000000000007E-2</v>
      </c>
      <c r="J1526">
        <f t="shared" si="46"/>
        <v>835.14</v>
      </c>
      <c r="K1526" s="9">
        <f t="shared" si="47"/>
        <v>-0.56459915393225968</v>
      </c>
    </row>
    <row r="1527" spans="1:11" x14ac:dyDescent="0.3">
      <c r="A1527">
        <v>547</v>
      </c>
      <c r="B1527">
        <v>1</v>
      </c>
      <c r="C1527">
        <v>11</v>
      </c>
      <c r="D1527" t="str">
        <f>VLOOKUP($C1527,products!$A$1:$F$322,MATCH(order_items!$D$1,products!$A$1:$F$1,0),FALSE)</f>
        <v>Surly Straggler 650b - 2016</v>
      </c>
      <c r="E1527">
        <f>VLOOKUP($C1527,products!$A$1:$F$322,MATCH(order_items!$E$1,products!$A$1:$F$1,0),FALSE)</f>
        <v>4</v>
      </c>
      <c r="F1527" t="str">
        <f>VLOOKUP($E1527,categories!$A$1:$B$8,MATCH(order_items!$F$1,categories!$A$1:$B$1,0),FALSE)</f>
        <v>Cyclocross Bicycles</v>
      </c>
      <c r="G1527">
        <v>2</v>
      </c>
      <c r="H1527">
        <v>1680.99</v>
      </c>
      <c r="I1527" s="5">
        <v>0.05</v>
      </c>
      <c r="J1527">
        <f t="shared" si="46"/>
        <v>3193.8809999999999</v>
      </c>
      <c r="K1527" s="9">
        <f t="shared" si="47"/>
        <v>0.3461947994374141</v>
      </c>
    </row>
    <row r="1528" spans="1:11" x14ac:dyDescent="0.3">
      <c r="A1528">
        <v>547</v>
      </c>
      <c r="B1528">
        <v>2</v>
      </c>
      <c r="C1528">
        <v>9</v>
      </c>
      <c r="D1528" t="str">
        <f>VLOOKUP($C1528,products!$A$1:$F$322,MATCH(order_items!$D$1,products!$A$1:$F$1,0),FALSE)</f>
        <v>Trek Conduit+ - 2016</v>
      </c>
      <c r="E1528">
        <f>VLOOKUP($C1528,products!$A$1:$F$322,MATCH(order_items!$E$1,products!$A$1:$F$1,0),FALSE)</f>
        <v>5</v>
      </c>
      <c r="F1528" t="str">
        <f>VLOOKUP($E1528,categories!$A$1:$B$8,MATCH(order_items!$F$1,categories!$A$1:$B$1,0),FALSE)</f>
        <v>Electric Bikes</v>
      </c>
      <c r="G1528">
        <v>1</v>
      </c>
      <c r="H1528">
        <v>2999.99</v>
      </c>
      <c r="I1528" s="5">
        <v>0.2</v>
      </c>
      <c r="J1528">
        <f t="shared" si="46"/>
        <v>2399.9919999999997</v>
      </c>
      <c r="K1528" s="9">
        <f t="shared" si="47"/>
        <v>1.3213140978851283</v>
      </c>
    </row>
    <row r="1529" spans="1:11" x14ac:dyDescent="0.3">
      <c r="A1529">
        <v>547</v>
      </c>
      <c r="B1529">
        <v>3</v>
      </c>
      <c r="C1529">
        <v>5</v>
      </c>
      <c r="D1529" t="str">
        <f>VLOOKUP($C1529,products!$A$1:$F$322,MATCH(order_items!$D$1,products!$A$1:$F$1,0),FALSE)</f>
        <v>Heller Shagamaw Frame - 2016</v>
      </c>
      <c r="E1529">
        <f>VLOOKUP($C1529,products!$A$1:$F$322,MATCH(order_items!$E$1,products!$A$1:$F$1,0),FALSE)</f>
        <v>6</v>
      </c>
      <c r="F1529" t="str">
        <f>VLOOKUP($E1529,categories!$A$1:$B$8,MATCH(order_items!$F$1,categories!$A$1:$B$1,0),FALSE)</f>
        <v>Mountain Bikes</v>
      </c>
      <c r="G1529">
        <v>1</v>
      </c>
      <c r="H1529">
        <v>1320.99</v>
      </c>
      <c r="I1529" s="5">
        <v>0.1</v>
      </c>
      <c r="J1529">
        <f t="shared" si="46"/>
        <v>1188.8910000000001</v>
      </c>
      <c r="K1529" s="9">
        <f t="shared" si="47"/>
        <v>8.0051548913398024E-2</v>
      </c>
    </row>
    <row r="1530" spans="1:11" x14ac:dyDescent="0.3">
      <c r="A1530">
        <v>548</v>
      </c>
      <c r="B1530">
        <v>1</v>
      </c>
      <c r="C1530">
        <v>8</v>
      </c>
      <c r="D1530" t="str">
        <f>VLOOKUP($C1530,products!$A$1:$F$322,MATCH(order_items!$D$1,products!$A$1:$F$1,0),FALSE)</f>
        <v>Trek Remedy 29 Carbon Frameset - 2016</v>
      </c>
      <c r="E1530">
        <f>VLOOKUP($C1530,products!$A$1:$F$322,MATCH(order_items!$E$1,products!$A$1:$F$1,0),FALSE)</f>
        <v>6</v>
      </c>
      <c r="F1530" t="str">
        <f>VLOOKUP($E1530,categories!$A$1:$B$8,MATCH(order_items!$F$1,categories!$A$1:$B$1,0),FALSE)</f>
        <v>Mountain Bikes</v>
      </c>
      <c r="G1530">
        <v>1</v>
      </c>
      <c r="H1530">
        <v>1799.99</v>
      </c>
      <c r="I1530" s="5">
        <v>0.1</v>
      </c>
      <c r="J1530">
        <f t="shared" si="46"/>
        <v>1619.991</v>
      </c>
      <c r="K1530" s="9">
        <f t="shared" si="47"/>
        <v>0.43416992947174166</v>
      </c>
    </row>
    <row r="1531" spans="1:11" x14ac:dyDescent="0.3">
      <c r="A1531">
        <v>548</v>
      </c>
      <c r="B1531">
        <v>2</v>
      </c>
      <c r="C1531">
        <v>11</v>
      </c>
      <c r="D1531" t="str">
        <f>VLOOKUP($C1531,products!$A$1:$F$322,MATCH(order_items!$D$1,products!$A$1:$F$1,0),FALSE)</f>
        <v>Surly Straggler 650b - 2016</v>
      </c>
      <c r="E1531">
        <f>VLOOKUP($C1531,products!$A$1:$F$322,MATCH(order_items!$E$1,products!$A$1:$F$1,0),FALSE)</f>
        <v>4</v>
      </c>
      <c r="F1531" t="str">
        <f>VLOOKUP($E1531,categories!$A$1:$B$8,MATCH(order_items!$F$1,categories!$A$1:$B$1,0),FALSE)</f>
        <v>Cyclocross Bicycles</v>
      </c>
      <c r="G1531">
        <v>2</v>
      </c>
      <c r="H1531">
        <v>1680.99</v>
      </c>
      <c r="I1531" s="5">
        <v>7.0000000000000007E-2</v>
      </c>
      <c r="J1531">
        <f t="shared" si="46"/>
        <v>3126.6414</v>
      </c>
      <c r="K1531" s="9">
        <f t="shared" si="47"/>
        <v>0.3461947994374141</v>
      </c>
    </row>
    <row r="1532" spans="1:11" x14ac:dyDescent="0.3">
      <c r="A1532">
        <v>549</v>
      </c>
      <c r="B1532">
        <v>1</v>
      </c>
      <c r="C1532">
        <v>15</v>
      </c>
      <c r="D1532" t="str">
        <f>VLOOKUP($C1532,products!$A$1:$F$322,MATCH(order_items!$D$1,products!$A$1:$F$1,0),FALSE)</f>
        <v>Electra Moto 1 - 2016</v>
      </c>
      <c r="E1532">
        <f>VLOOKUP($C1532,products!$A$1:$F$322,MATCH(order_items!$E$1,products!$A$1:$F$1,0),FALSE)</f>
        <v>3</v>
      </c>
      <c r="F1532" t="str">
        <f>VLOOKUP($E1532,categories!$A$1:$B$8,MATCH(order_items!$F$1,categories!$A$1:$B$1,0),FALSE)</f>
        <v>Cruisers Bicycles</v>
      </c>
      <c r="G1532">
        <v>1</v>
      </c>
      <c r="H1532">
        <v>529.99</v>
      </c>
      <c r="I1532" s="5">
        <v>7.0000000000000007E-2</v>
      </c>
      <c r="J1532">
        <f t="shared" si="46"/>
        <v>492.89069999999998</v>
      </c>
      <c r="K1532" s="9">
        <f t="shared" si="47"/>
        <v>-0.50472431543242624</v>
      </c>
    </row>
    <row r="1533" spans="1:11" x14ac:dyDescent="0.3">
      <c r="A1533">
        <v>549</v>
      </c>
      <c r="B1533">
        <v>2</v>
      </c>
      <c r="C1533">
        <v>16</v>
      </c>
      <c r="D1533" t="str">
        <f>VLOOKUP($C1533,products!$A$1:$F$322,MATCH(order_items!$D$1,products!$A$1:$F$1,0),FALSE)</f>
        <v>Electra Townie Original 7D EQ - 2016</v>
      </c>
      <c r="E1533">
        <f>VLOOKUP($C1533,products!$A$1:$F$322,MATCH(order_items!$E$1,products!$A$1:$F$1,0),FALSE)</f>
        <v>3</v>
      </c>
      <c r="F1533" t="str">
        <f>VLOOKUP($E1533,categories!$A$1:$B$8,MATCH(order_items!$F$1,categories!$A$1:$B$1,0),FALSE)</f>
        <v>Cruisers Bicycles</v>
      </c>
      <c r="G1533">
        <v>1</v>
      </c>
      <c r="H1533">
        <v>599.99</v>
      </c>
      <c r="I1533" s="5">
        <v>0.05</v>
      </c>
      <c r="J1533">
        <f t="shared" si="46"/>
        <v>569.9905</v>
      </c>
      <c r="K1533" s="9">
        <f t="shared" si="47"/>
        <v>-0.45297423894164529</v>
      </c>
    </row>
    <row r="1534" spans="1:11" x14ac:dyDescent="0.3">
      <c r="A1534">
        <v>549</v>
      </c>
      <c r="B1534">
        <v>3</v>
      </c>
      <c r="C1534">
        <v>3</v>
      </c>
      <c r="D1534" t="str">
        <f>VLOOKUP($C1534,products!$A$1:$F$322,MATCH(order_items!$D$1,products!$A$1:$F$1,0),FALSE)</f>
        <v>Surly Wednesday Frameset - 2016</v>
      </c>
      <c r="E1534">
        <f>VLOOKUP($C1534,products!$A$1:$F$322,MATCH(order_items!$E$1,products!$A$1:$F$1,0),FALSE)</f>
        <v>6</v>
      </c>
      <c r="F1534" t="str">
        <f>VLOOKUP($E1534,categories!$A$1:$B$8,MATCH(order_items!$F$1,categories!$A$1:$B$1,0),FALSE)</f>
        <v>Mountain Bikes</v>
      </c>
      <c r="G1534">
        <v>1</v>
      </c>
      <c r="H1534">
        <v>999.99</v>
      </c>
      <c r="I1534" s="5">
        <v>7.0000000000000007E-2</v>
      </c>
      <c r="J1534">
        <f t="shared" si="46"/>
        <v>929.99069999999995</v>
      </c>
      <c r="K1534" s="9">
        <f t="shared" si="47"/>
        <v>-0.15725951613718298</v>
      </c>
    </row>
    <row r="1535" spans="1:11" x14ac:dyDescent="0.3">
      <c r="A1535">
        <v>549</v>
      </c>
      <c r="B1535">
        <v>4</v>
      </c>
      <c r="C1535">
        <v>7</v>
      </c>
      <c r="D1535" t="str">
        <f>VLOOKUP($C1535,products!$A$1:$F$322,MATCH(order_items!$D$1,products!$A$1:$F$1,0),FALSE)</f>
        <v>Trek Slash 8 27.5 - 2016</v>
      </c>
      <c r="E1535">
        <f>VLOOKUP($C1535,products!$A$1:$F$322,MATCH(order_items!$E$1,products!$A$1:$F$1,0),FALSE)</f>
        <v>6</v>
      </c>
      <c r="F1535" t="str">
        <f>VLOOKUP($E1535,categories!$A$1:$B$8,MATCH(order_items!$F$1,categories!$A$1:$B$1,0),FALSE)</f>
        <v>Mountain Bikes</v>
      </c>
      <c r="G1535">
        <v>1</v>
      </c>
      <c r="H1535">
        <v>3999.99</v>
      </c>
      <c r="I1535" s="5">
        <v>0.05</v>
      </c>
      <c r="J1535">
        <f t="shared" si="46"/>
        <v>3799.9904999999994</v>
      </c>
      <c r="K1535" s="9">
        <f t="shared" si="47"/>
        <v>2.0606009048962846</v>
      </c>
    </row>
    <row r="1536" spans="1:11" x14ac:dyDescent="0.3">
      <c r="A1536">
        <v>549</v>
      </c>
      <c r="B1536">
        <v>5</v>
      </c>
      <c r="C1536">
        <v>13</v>
      </c>
      <c r="D1536" t="str">
        <f>VLOOKUP($C1536,products!$A$1:$F$322,MATCH(order_items!$D$1,products!$A$1:$F$1,0),FALSE)</f>
        <v>Electra Cruiser 1 (24-Inch) - 2016</v>
      </c>
      <c r="E1536">
        <f>VLOOKUP($C1536,products!$A$1:$F$322,MATCH(order_items!$E$1,products!$A$1:$F$1,0),FALSE)</f>
        <v>3</v>
      </c>
      <c r="F1536" t="str">
        <f>VLOOKUP($E1536,categories!$A$1:$B$8,MATCH(order_items!$F$1,categories!$A$1:$B$1,0),FALSE)</f>
        <v>Cruisers Bicycles</v>
      </c>
      <c r="G1536">
        <v>2</v>
      </c>
      <c r="H1536">
        <v>269.99</v>
      </c>
      <c r="I1536" s="5">
        <v>0.1</v>
      </c>
      <c r="J1536">
        <f t="shared" si="46"/>
        <v>485.98200000000003</v>
      </c>
      <c r="K1536" s="9">
        <f t="shared" si="47"/>
        <v>-0.69693888525532666</v>
      </c>
    </row>
    <row r="1537" spans="1:11" x14ac:dyDescent="0.3">
      <c r="A1537">
        <v>550</v>
      </c>
      <c r="B1537">
        <v>1</v>
      </c>
      <c r="C1537">
        <v>4</v>
      </c>
      <c r="D1537" t="str">
        <f>VLOOKUP($C1537,products!$A$1:$F$322,MATCH(order_items!$D$1,products!$A$1:$F$1,0),FALSE)</f>
        <v>Trek Fuel EX 8 29 - 2016</v>
      </c>
      <c r="E1537">
        <f>VLOOKUP($C1537,products!$A$1:$F$322,MATCH(order_items!$E$1,products!$A$1:$F$1,0),FALSE)</f>
        <v>6</v>
      </c>
      <c r="F1537" t="str">
        <f>VLOOKUP($E1537,categories!$A$1:$B$8,MATCH(order_items!$F$1,categories!$A$1:$B$1,0),FALSE)</f>
        <v>Mountain Bikes</v>
      </c>
      <c r="G1537">
        <v>1</v>
      </c>
      <c r="H1537">
        <v>2899.99</v>
      </c>
      <c r="I1537" s="5">
        <v>0.05</v>
      </c>
      <c r="J1537">
        <f t="shared" si="46"/>
        <v>2754.9904999999999</v>
      </c>
      <c r="K1537" s="9">
        <f t="shared" si="47"/>
        <v>1.2473854171840129</v>
      </c>
    </row>
    <row r="1538" spans="1:11" x14ac:dyDescent="0.3">
      <c r="A1538">
        <v>551</v>
      </c>
      <c r="B1538">
        <v>1</v>
      </c>
      <c r="C1538">
        <v>16</v>
      </c>
      <c r="D1538" t="str">
        <f>VLOOKUP($C1538,products!$A$1:$F$322,MATCH(order_items!$D$1,products!$A$1:$F$1,0),FALSE)</f>
        <v>Electra Townie Original 7D EQ - 2016</v>
      </c>
      <c r="E1538">
        <f>VLOOKUP($C1538,products!$A$1:$F$322,MATCH(order_items!$E$1,products!$A$1:$F$1,0),FALSE)</f>
        <v>3</v>
      </c>
      <c r="F1538" t="str">
        <f>VLOOKUP($E1538,categories!$A$1:$B$8,MATCH(order_items!$F$1,categories!$A$1:$B$1,0),FALSE)</f>
        <v>Cruisers Bicycles</v>
      </c>
      <c r="G1538">
        <v>1</v>
      </c>
      <c r="H1538">
        <v>599.99</v>
      </c>
      <c r="I1538" s="5">
        <v>0.05</v>
      </c>
      <c r="J1538">
        <f t="shared" ref="J1538:J1601" si="48">G1538*H1538*(1-I1538)</f>
        <v>569.9905</v>
      </c>
      <c r="K1538" s="9">
        <f t="shared" ref="K1538:K1601" si="49">($H1538-$M$7)/$M$9</f>
        <v>-0.45297423894164529</v>
      </c>
    </row>
    <row r="1539" spans="1:11" x14ac:dyDescent="0.3">
      <c r="A1539">
        <v>551</v>
      </c>
      <c r="B1539">
        <v>2</v>
      </c>
      <c r="C1539">
        <v>26</v>
      </c>
      <c r="D1539" t="str">
        <f>VLOOKUP($C1539,products!$A$1:$F$322,MATCH(order_items!$D$1,products!$A$1:$F$1,0),FALSE)</f>
        <v>Electra Townie Original 7D EQ - 2016</v>
      </c>
      <c r="E1539">
        <f>VLOOKUP($C1539,products!$A$1:$F$322,MATCH(order_items!$E$1,products!$A$1:$F$1,0),FALSE)</f>
        <v>2</v>
      </c>
      <c r="F1539" t="str">
        <f>VLOOKUP($E1539,categories!$A$1:$B$8,MATCH(order_items!$F$1,categories!$A$1:$B$1,0),FALSE)</f>
        <v>Comfort Bicycles</v>
      </c>
      <c r="G1539">
        <v>1</v>
      </c>
      <c r="H1539">
        <v>599.99</v>
      </c>
      <c r="I1539" s="5">
        <v>7.0000000000000007E-2</v>
      </c>
      <c r="J1539">
        <f t="shared" si="48"/>
        <v>557.99069999999995</v>
      </c>
      <c r="K1539" s="9">
        <f t="shared" si="49"/>
        <v>-0.45297423894164529</v>
      </c>
    </row>
    <row r="1540" spans="1:11" x14ac:dyDescent="0.3">
      <c r="A1540">
        <v>551</v>
      </c>
      <c r="B1540">
        <v>3</v>
      </c>
      <c r="C1540">
        <v>11</v>
      </c>
      <c r="D1540" t="str">
        <f>VLOOKUP($C1540,products!$A$1:$F$322,MATCH(order_items!$D$1,products!$A$1:$F$1,0),FALSE)</f>
        <v>Surly Straggler 650b - 2016</v>
      </c>
      <c r="E1540">
        <f>VLOOKUP($C1540,products!$A$1:$F$322,MATCH(order_items!$E$1,products!$A$1:$F$1,0),FALSE)</f>
        <v>4</v>
      </c>
      <c r="F1540" t="str">
        <f>VLOOKUP($E1540,categories!$A$1:$B$8,MATCH(order_items!$F$1,categories!$A$1:$B$1,0),FALSE)</f>
        <v>Cyclocross Bicycles</v>
      </c>
      <c r="G1540">
        <v>2</v>
      </c>
      <c r="H1540">
        <v>1680.99</v>
      </c>
      <c r="I1540" s="5">
        <v>0.2</v>
      </c>
      <c r="J1540">
        <f t="shared" si="48"/>
        <v>2689.5840000000003</v>
      </c>
      <c r="K1540" s="9">
        <f t="shared" si="49"/>
        <v>0.3461947994374141</v>
      </c>
    </row>
    <row r="1541" spans="1:11" x14ac:dyDescent="0.3">
      <c r="A1541">
        <v>551</v>
      </c>
      <c r="B1541">
        <v>4</v>
      </c>
      <c r="C1541">
        <v>15</v>
      </c>
      <c r="D1541" t="str">
        <f>VLOOKUP($C1541,products!$A$1:$F$322,MATCH(order_items!$D$1,products!$A$1:$F$1,0),FALSE)</f>
        <v>Electra Moto 1 - 2016</v>
      </c>
      <c r="E1541">
        <f>VLOOKUP($C1541,products!$A$1:$F$322,MATCH(order_items!$E$1,products!$A$1:$F$1,0),FALSE)</f>
        <v>3</v>
      </c>
      <c r="F1541" t="str">
        <f>VLOOKUP($E1541,categories!$A$1:$B$8,MATCH(order_items!$F$1,categories!$A$1:$B$1,0),FALSE)</f>
        <v>Cruisers Bicycles</v>
      </c>
      <c r="G1541">
        <v>2</v>
      </c>
      <c r="H1541">
        <v>529.99</v>
      </c>
      <c r="I1541" s="5">
        <v>0.2</v>
      </c>
      <c r="J1541">
        <f t="shared" si="48"/>
        <v>847.98400000000004</v>
      </c>
      <c r="K1541" s="9">
        <f t="shared" si="49"/>
        <v>-0.50472431543242624</v>
      </c>
    </row>
    <row r="1542" spans="1:11" x14ac:dyDescent="0.3">
      <c r="A1542">
        <v>552</v>
      </c>
      <c r="B1542">
        <v>1</v>
      </c>
      <c r="C1542">
        <v>23</v>
      </c>
      <c r="D1542" t="str">
        <f>VLOOKUP($C1542,products!$A$1:$F$322,MATCH(order_items!$D$1,products!$A$1:$F$1,0),FALSE)</f>
        <v>Electra Girl's Hawaii 1 (20-inch) - 2015/2016</v>
      </c>
      <c r="E1542">
        <f>VLOOKUP($C1542,products!$A$1:$F$322,MATCH(order_items!$E$1,products!$A$1:$F$1,0),FALSE)</f>
        <v>1</v>
      </c>
      <c r="F1542" t="str">
        <f>VLOOKUP($E1542,categories!$A$1:$B$8,MATCH(order_items!$F$1,categories!$A$1:$B$1,0),FALSE)</f>
        <v>Children Bicycles</v>
      </c>
      <c r="G1542">
        <v>1</v>
      </c>
      <c r="H1542">
        <v>299.99</v>
      </c>
      <c r="I1542" s="5">
        <v>0.2</v>
      </c>
      <c r="J1542">
        <f t="shared" si="48"/>
        <v>239.99200000000002</v>
      </c>
      <c r="K1542" s="9">
        <f t="shared" si="49"/>
        <v>-0.67476028104499197</v>
      </c>
    </row>
    <row r="1543" spans="1:11" x14ac:dyDescent="0.3">
      <c r="A1543">
        <v>552</v>
      </c>
      <c r="B1543">
        <v>2</v>
      </c>
      <c r="C1543">
        <v>2</v>
      </c>
      <c r="D1543" t="str">
        <f>VLOOKUP($C1543,products!$A$1:$F$322,MATCH(order_items!$D$1,products!$A$1:$F$1,0),FALSE)</f>
        <v>Ritchey Timberwolf Frameset - 2016</v>
      </c>
      <c r="E1543">
        <f>VLOOKUP($C1543,products!$A$1:$F$322,MATCH(order_items!$E$1,products!$A$1:$F$1,0),FALSE)</f>
        <v>6</v>
      </c>
      <c r="F1543" t="str">
        <f>VLOOKUP($E1543,categories!$A$1:$B$8,MATCH(order_items!$F$1,categories!$A$1:$B$1,0),FALSE)</f>
        <v>Mountain Bikes</v>
      </c>
      <c r="G1543">
        <v>1</v>
      </c>
      <c r="H1543">
        <v>749.99</v>
      </c>
      <c r="I1543" s="5">
        <v>0.2</v>
      </c>
      <c r="J1543">
        <f t="shared" si="48"/>
        <v>599.99200000000008</v>
      </c>
      <c r="K1543" s="9">
        <f t="shared" si="49"/>
        <v>-0.34208121788997192</v>
      </c>
    </row>
    <row r="1544" spans="1:11" x14ac:dyDescent="0.3">
      <c r="A1544">
        <v>552</v>
      </c>
      <c r="B1544">
        <v>3</v>
      </c>
      <c r="C1544">
        <v>24</v>
      </c>
      <c r="D1544" t="str">
        <f>VLOOKUP($C1544,products!$A$1:$F$322,MATCH(order_items!$D$1,products!$A$1:$F$1,0),FALSE)</f>
        <v>Electra Townie Original 21D - 2016</v>
      </c>
      <c r="E1544">
        <f>VLOOKUP($C1544,products!$A$1:$F$322,MATCH(order_items!$E$1,products!$A$1:$F$1,0),FALSE)</f>
        <v>2</v>
      </c>
      <c r="F1544" t="str">
        <f>VLOOKUP($E1544,categories!$A$1:$B$8,MATCH(order_items!$F$1,categories!$A$1:$B$1,0),FALSE)</f>
        <v>Comfort Bicycles</v>
      </c>
      <c r="G1544">
        <v>1</v>
      </c>
      <c r="H1544">
        <v>549.99</v>
      </c>
      <c r="I1544" s="5">
        <v>0.2</v>
      </c>
      <c r="J1544">
        <f t="shared" si="48"/>
        <v>439.99200000000002</v>
      </c>
      <c r="K1544" s="9">
        <f t="shared" si="49"/>
        <v>-0.48993857929220308</v>
      </c>
    </row>
    <row r="1545" spans="1:11" x14ac:dyDescent="0.3">
      <c r="A1545">
        <v>552</v>
      </c>
      <c r="B1545">
        <v>4</v>
      </c>
      <c r="C1545">
        <v>18</v>
      </c>
      <c r="D1545" t="str">
        <f>VLOOKUP($C1545,products!$A$1:$F$322,MATCH(order_items!$D$1,products!$A$1:$F$1,0),FALSE)</f>
        <v>Pure Cycles Western 3-Speed - Women's - 2015/2016</v>
      </c>
      <c r="E1545">
        <f>VLOOKUP($C1545,products!$A$1:$F$322,MATCH(order_items!$E$1,products!$A$1:$F$1,0),FALSE)</f>
        <v>3</v>
      </c>
      <c r="F1545" t="str">
        <f>VLOOKUP($E1545,categories!$A$1:$B$8,MATCH(order_items!$F$1,categories!$A$1:$B$1,0),FALSE)</f>
        <v>Cruisers Bicycles</v>
      </c>
      <c r="G1545">
        <v>1</v>
      </c>
      <c r="H1545">
        <v>449</v>
      </c>
      <c r="I1545" s="5">
        <v>0.1</v>
      </c>
      <c r="J1545">
        <f t="shared" si="48"/>
        <v>404.1</v>
      </c>
      <c r="K1545" s="9">
        <f t="shared" si="49"/>
        <v>-0.56459915393225968</v>
      </c>
    </row>
    <row r="1546" spans="1:11" x14ac:dyDescent="0.3">
      <c r="A1546">
        <v>552</v>
      </c>
      <c r="B1546">
        <v>5</v>
      </c>
      <c r="C1546">
        <v>19</v>
      </c>
      <c r="D1546" t="str">
        <f>VLOOKUP($C1546,products!$A$1:$F$322,MATCH(order_items!$D$1,products!$A$1:$F$1,0),FALSE)</f>
        <v>Pure Cycles William 3-Speed - 2016</v>
      </c>
      <c r="E1546">
        <f>VLOOKUP($C1546,products!$A$1:$F$322,MATCH(order_items!$E$1,products!$A$1:$F$1,0),FALSE)</f>
        <v>3</v>
      </c>
      <c r="F1546" t="str">
        <f>VLOOKUP($E1546,categories!$A$1:$B$8,MATCH(order_items!$F$1,categories!$A$1:$B$1,0),FALSE)</f>
        <v>Cruisers Bicycles</v>
      </c>
      <c r="G1546">
        <v>2</v>
      </c>
      <c r="H1546">
        <v>449</v>
      </c>
      <c r="I1546" s="5">
        <v>0.2</v>
      </c>
      <c r="J1546">
        <f t="shared" si="48"/>
        <v>718.40000000000009</v>
      </c>
      <c r="K1546" s="9">
        <f t="shared" si="49"/>
        <v>-0.56459915393225968</v>
      </c>
    </row>
    <row r="1547" spans="1:11" x14ac:dyDescent="0.3">
      <c r="A1547">
        <v>553</v>
      </c>
      <c r="B1547">
        <v>1</v>
      </c>
      <c r="C1547">
        <v>24</v>
      </c>
      <c r="D1547" t="str">
        <f>VLOOKUP($C1547,products!$A$1:$F$322,MATCH(order_items!$D$1,products!$A$1:$F$1,0),FALSE)</f>
        <v>Electra Townie Original 21D - 2016</v>
      </c>
      <c r="E1547">
        <f>VLOOKUP($C1547,products!$A$1:$F$322,MATCH(order_items!$E$1,products!$A$1:$F$1,0),FALSE)</f>
        <v>2</v>
      </c>
      <c r="F1547" t="str">
        <f>VLOOKUP($E1547,categories!$A$1:$B$8,MATCH(order_items!$F$1,categories!$A$1:$B$1,0),FALSE)</f>
        <v>Comfort Bicycles</v>
      </c>
      <c r="G1547">
        <v>1</v>
      </c>
      <c r="H1547">
        <v>549.99</v>
      </c>
      <c r="I1547" s="5">
        <v>0.1</v>
      </c>
      <c r="J1547">
        <f t="shared" si="48"/>
        <v>494.99100000000004</v>
      </c>
      <c r="K1547" s="9">
        <f t="shared" si="49"/>
        <v>-0.48993857929220308</v>
      </c>
    </row>
    <row r="1548" spans="1:11" x14ac:dyDescent="0.3">
      <c r="A1548">
        <v>553</v>
      </c>
      <c r="B1548">
        <v>2</v>
      </c>
      <c r="C1548">
        <v>18</v>
      </c>
      <c r="D1548" t="str">
        <f>VLOOKUP($C1548,products!$A$1:$F$322,MATCH(order_items!$D$1,products!$A$1:$F$1,0),FALSE)</f>
        <v>Pure Cycles Western 3-Speed - Women's - 2015/2016</v>
      </c>
      <c r="E1548">
        <f>VLOOKUP($C1548,products!$A$1:$F$322,MATCH(order_items!$E$1,products!$A$1:$F$1,0),FALSE)</f>
        <v>3</v>
      </c>
      <c r="F1548" t="str">
        <f>VLOOKUP($E1548,categories!$A$1:$B$8,MATCH(order_items!$F$1,categories!$A$1:$B$1,0),FALSE)</f>
        <v>Cruisers Bicycles</v>
      </c>
      <c r="G1548">
        <v>2</v>
      </c>
      <c r="H1548">
        <v>449</v>
      </c>
      <c r="I1548" s="5">
        <v>7.0000000000000007E-2</v>
      </c>
      <c r="J1548">
        <f t="shared" si="48"/>
        <v>835.14</v>
      </c>
      <c r="K1548" s="9">
        <f t="shared" si="49"/>
        <v>-0.56459915393225968</v>
      </c>
    </row>
    <row r="1549" spans="1:11" x14ac:dyDescent="0.3">
      <c r="A1549">
        <v>553</v>
      </c>
      <c r="B1549">
        <v>3</v>
      </c>
      <c r="C1549">
        <v>12</v>
      </c>
      <c r="D1549" t="str">
        <f>VLOOKUP($C1549,products!$A$1:$F$322,MATCH(order_items!$D$1,products!$A$1:$F$1,0),FALSE)</f>
        <v>Electra Townie Original 21D - 2016</v>
      </c>
      <c r="E1549">
        <f>VLOOKUP($C1549,products!$A$1:$F$322,MATCH(order_items!$E$1,products!$A$1:$F$1,0),FALSE)</f>
        <v>3</v>
      </c>
      <c r="F1549" t="str">
        <f>VLOOKUP($E1549,categories!$A$1:$B$8,MATCH(order_items!$F$1,categories!$A$1:$B$1,0),FALSE)</f>
        <v>Cruisers Bicycles</v>
      </c>
      <c r="G1549">
        <v>1</v>
      </c>
      <c r="H1549">
        <v>549.99</v>
      </c>
      <c r="I1549" s="5">
        <v>7.0000000000000007E-2</v>
      </c>
      <c r="J1549">
        <f t="shared" si="48"/>
        <v>511.49069999999995</v>
      </c>
      <c r="K1549" s="9">
        <f t="shared" si="49"/>
        <v>-0.48993857929220308</v>
      </c>
    </row>
    <row r="1550" spans="1:11" x14ac:dyDescent="0.3">
      <c r="A1550">
        <v>554</v>
      </c>
      <c r="B1550">
        <v>1</v>
      </c>
      <c r="C1550">
        <v>3</v>
      </c>
      <c r="D1550" t="str">
        <f>VLOOKUP($C1550,products!$A$1:$F$322,MATCH(order_items!$D$1,products!$A$1:$F$1,0),FALSE)</f>
        <v>Surly Wednesday Frameset - 2016</v>
      </c>
      <c r="E1550">
        <f>VLOOKUP($C1550,products!$A$1:$F$322,MATCH(order_items!$E$1,products!$A$1:$F$1,0),FALSE)</f>
        <v>6</v>
      </c>
      <c r="F1550" t="str">
        <f>VLOOKUP($E1550,categories!$A$1:$B$8,MATCH(order_items!$F$1,categories!$A$1:$B$1,0),FALSE)</f>
        <v>Mountain Bikes</v>
      </c>
      <c r="G1550">
        <v>2</v>
      </c>
      <c r="H1550">
        <v>999.99</v>
      </c>
      <c r="I1550" s="5">
        <v>7.0000000000000007E-2</v>
      </c>
      <c r="J1550">
        <f t="shared" si="48"/>
        <v>1859.9813999999999</v>
      </c>
      <c r="K1550" s="9">
        <f t="shared" si="49"/>
        <v>-0.15725951613718298</v>
      </c>
    </row>
    <row r="1551" spans="1:11" x14ac:dyDescent="0.3">
      <c r="A1551">
        <v>554</v>
      </c>
      <c r="B1551">
        <v>2</v>
      </c>
      <c r="C1551">
        <v>22</v>
      </c>
      <c r="D1551" t="str">
        <f>VLOOKUP($C1551,products!$A$1:$F$322,MATCH(order_items!$D$1,products!$A$1:$F$1,0),FALSE)</f>
        <v>Electra Girl's Hawaii 1 (16-inch) - 2015/2016</v>
      </c>
      <c r="E1551">
        <f>VLOOKUP($C1551,products!$A$1:$F$322,MATCH(order_items!$E$1,products!$A$1:$F$1,0),FALSE)</f>
        <v>1</v>
      </c>
      <c r="F1551" t="str">
        <f>VLOOKUP($E1551,categories!$A$1:$B$8,MATCH(order_items!$F$1,categories!$A$1:$B$1,0),FALSE)</f>
        <v>Children Bicycles</v>
      </c>
      <c r="G1551">
        <v>1</v>
      </c>
      <c r="H1551">
        <v>269.99</v>
      </c>
      <c r="I1551" s="5">
        <v>0.05</v>
      </c>
      <c r="J1551">
        <f t="shared" si="48"/>
        <v>256.4905</v>
      </c>
      <c r="K1551" s="9">
        <f t="shared" si="49"/>
        <v>-0.69693888525532666</v>
      </c>
    </row>
    <row r="1552" spans="1:11" x14ac:dyDescent="0.3">
      <c r="A1552">
        <v>554</v>
      </c>
      <c r="B1552">
        <v>3</v>
      </c>
      <c r="C1552">
        <v>4</v>
      </c>
      <c r="D1552" t="str">
        <f>VLOOKUP($C1552,products!$A$1:$F$322,MATCH(order_items!$D$1,products!$A$1:$F$1,0),FALSE)</f>
        <v>Trek Fuel EX 8 29 - 2016</v>
      </c>
      <c r="E1552">
        <f>VLOOKUP($C1552,products!$A$1:$F$322,MATCH(order_items!$E$1,products!$A$1:$F$1,0),FALSE)</f>
        <v>6</v>
      </c>
      <c r="F1552" t="str">
        <f>VLOOKUP($E1552,categories!$A$1:$B$8,MATCH(order_items!$F$1,categories!$A$1:$B$1,0),FALSE)</f>
        <v>Mountain Bikes</v>
      </c>
      <c r="G1552">
        <v>2</v>
      </c>
      <c r="H1552">
        <v>2899.99</v>
      </c>
      <c r="I1552" s="5">
        <v>0.2</v>
      </c>
      <c r="J1552">
        <f t="shared" si="48"/>
        <v>4639.9839999999995</v>
      </c>
      <c r="K1552" s="9">
        <f t="shared" si="49"/>
        <v>1.2473854171840129</v>
      </c>
    </row>
    <row r="1553" spans="1:11" x14ac:dyDescent="0.3">
      <c r="A1553">
        <v>555</v>
      </c>
      <c r="B1553">
        <v>1</v>
      </c>
      <c r="C1553">
        <v>8</v>
      </c>
      <c r="D1553" t="str">
        <f>VLOOKUP($C1553,products!$A$1:$F$322,MATCH(order_items!$D$1,products!$A$1:$F$1,0),FALSE)</f>
        <v>Trek Remedy 29 Carbon Frameset - 2016</v>
      </c>
      <c r="E1553">
        <f>VLOOKUP($C1553,products!$A$1:$F$322,MATCH(order_items!$E$1,products!$A$1:$F$1,0),FALSE)</f>
        <v>6</v>
      </c>
      <c r="F1553" t="str">
        <f>VLOOKUP($E1553,categories!$A$1:$B$8,MATCH(order_items!$F$1,categories!$A$1:$B$1,0),FALSE)</f>
        <v>Mountain Bikes</v>
      </c>
      <c r="G1553">
        <v>1</v>
      </c>
      <c r="H1553">
        <v>1799.99</v>
      </c>
      <c r="I1553" s="5">
        <v>0.2</v>
      </c>
      <c r="J1553">
        <f t="shared" si="48"/>
        <v>1439.9920000000002</v>
      </c>
      <c r="K1553" s="9">
        <f t="shared" si="49"/>
        <v>0.43416992947174166</v>
      </c>
    </row>
    <row r="1554" spans="1:11" x14ac:dyDescent="0.3">
      <c r="A1554">
        <v>555</v>
      </c>
      <c r="B1554">
        <v>2</v>
      </c>
      <c r="C1554">
        <v>7</v>
      </c>
      <c r="D1554" t="str">
        <f>VLOOKUP($C1554,products!$A$1:$F$322,MATCH(order_items!$D$1,products!$A$1:$F$1,0),FALSE)</f>
        <v>Trek Slash 8 27.5 - 2016</v>
      </c>
      <c r="E1554">
        <f>VLOOKUP($C1554,products!$A$1:$F$322,MATCH(order_items!$E$1,products!$A$1:$F$1,0),FALSE)</f>
        <v>6</v>
      </c>
      <c r="F1554" t="str">
        <f>VLOOKUP($E1554,categories!$A$1:$B$8,MATCH(order_items!$F$1,categories!$A$1:$B$1,0),FALSE)</f>
        <v>Mountain Bikes</v>
      </c>
      <c r="G1554">
        <v>1</v>
      </c>
      <c r="H1554">
        <v>3999.99</v>
      </c>
      <c r="I1554" s="5">
        <v>0.1</v>
      </c>
      <c r="J1554">
        <f t="shared" si="48"/>
        <v>3599.991</v>
      </c>
      <c r="K1554" s="9">
        <f t="shared" si="49"/>
        <v>2.0606009048962846</v>
      </c>
    </row>
    <row r="1555" spans="1:11" x14ac:dyDescent="0.3">
      <c r="A1555">
        <v>555</v>
      </c>
      <c r="B1555">
        <v>3</v>
      </c>
      <c r="C1555">
        <v>20</v>
      </c>
      <c r="D1555" t="str">
        <f>VLOOKUP($C1555,products!$A$1:$F$322,MATCH(order_items!$D$1,products!$A$1:$F$1,0),FALSE)</f>
        <v>Electra Townie Original 7D EQ - Women's - 2016</v>
      </c>
      <c r="E1555">
        <f>VLOOKUP($C1555,products!$A$1:$F$322,MATCH(order_items!$E$1,products!$A$1:$F$1,0),FALSE)</f>
        <v>3</v>
      </c>
      <c r="F1555" t="str">
        <f>VLOOKUP($E1555,categories!$A$1:$B$8,MATCH(order_items!$F$1,categories!$A$1:$B$1,0),FALSE)</f>
        <v>Cruisers Bicycles</v>
      </c>
      <c r="G1555">
        <v>2</v>
      </c>
      <c r="H1555">
        <v>599.99</v>
      </c>
      <c r="I1555" s="5">
        <v>7.0000000000000007E-2</v>
      </c>
      <c r="J1555">
        <f t="shared" si="48"/>
        <v>1115.9813999999999</v>
      </c>
      <c r="K1555" s="9">
        <f t="shared" si="49"/>
        <v>-0.45297423894164529</v>
      </c>
    </row>
    <row r="1556" spans="1:11" x14ac:dyDescent="0.3">
      <c r="A1556">
        <v>556</v>
      </c>
      <c r="B1556">
        <v>1</v>
      </c>
      <c r="C1556">
        <v>16</v>
      </c>
      <c r="D1556" t="str">
        <f>VLOOKUP($C1556,products!$A$1:$F$322,MATCH(order_items!$D$1,products!$A$1:$F$1,0),FALSE)</f>
        <v>Electra Townie Original 7D EQ - 2016</v>
      </c>
      <c r="E1556">
        <f>VLOOKUP($C1556,products!$A$1:$F$322,MATCH(order_items!$E$1,products!$A$1:$F$1,0),FALSE)</f>
        <v>3</v>
      </c>
      <c r="F1556" t="str">
        <f>VLOOKUP($E1556,categories!$A$1:$B$8,MATCH(order_items!$F$1,categories!$A$1:$B$1,0),FALSE)</f>
        <v>Cruisers Bicycles</v>
      </c>
      <c r="G1556">
        <v>1</v>
      </c>
      <c r="H1556">
        <v>599.99</v>
      </c>
      <c r="I1556" s="5">
        <v>0.1</v>
      </c>
      <c r="J1556">
        <f t="shared" si="48"/>
        <v>539.99099999999999</v>
      </c>
      <c r="K1556" s="9">
        <f t="shared" si="49"/>
        <v>-0.45297423894164529</v>
      </c>
    </row>
    <row r="1557" spans="1:11" x14ac:dyDescent="0.3">
      <c r="A1557">
        <v>556</v>
      </c>
      <c r="B1557">
        <v>2</v>
      </c>
      <c r="C1557">
        <v>4</v>
      </c>
      <c r="D1557" t="str">
        <f>VLOOKUP($C1557,products!$A$1:$F$322,MATCH(order_items!$D$1,products!$A$1:$F$1,0),FALSE)</f>
        <v>Trek Fuel EX 8 29 - 2016</v>
      </c>
      <c r="E1557">
        <f>VLOOKUP($C1557,products!$A$1:$F$322,MATCH(order_items!$E$1,products!$A$1:$F$1,0),FALSE)</f>
        <v>6</v>
      </c>
      <c r="F1557" t="str">
        <f>VLOOKUP($E1557,categories!$A$1:$B$8,MATCH(order_items!$F$1,categories!$A$1:$B$1,0),FALSE)</f>
        <v>Mountain Bikes</v>
      </c>
      <c r="G1557">
        <v>2</v>
      </c>
      <c r="H1557">
        <v>2899.99</v>
      </c>
      <c r="I1557" s="5">
        <v>0.2</v>
      </c>
      <c r="J1557">
        <f t="shared" si="48"/>
        <v>4639.9839999999995</v>
      </c>
      <c r="K1557" s="9">
        <f t="shared" si="49"/>
        <v>1.2473854171840129</v>
      </c>
    </row>
    <row r="1558" spans="1:11" x14ac:dyDescent="0.3">
      <c r="A1558">
        <v>557</v>
      </c>
      <c r="B1558">
        <v>1</v>
      </c>
      <c r="C1558">
        <v>9</v>
      </c>
      <c r="D1558" t="str">
        <f>VLOOKUP($C1558,products!$A$1:$F$322,MATCH(order_items!$D$1,products!$A$1:$F$1,0),FALSE)</f>
        <v>Trek Conduit+ - 2016</v>
      </c>
      <c r="E1558">
        <f>VLOOKUP($C1558,products!$A$1:$F$322,MATCH(order_items!$E$1,products!$A$1:$F$1,0),FALSE)</f>
        <v>5</v>
      </c>
      <c r="F1558" t="str">
        <f>VLOOKUP($E1558,categories!$A$1:$B$8,MATCH(order_items!$F$1,categories!$A$1:$B$1,0),FALSE)</f>
        <v>Electric Bikes</v>
      </c>
      <c r="G1558">
        <v>2</v>
      </c>
      <c r="H1558">
        <v>2999.99</v>
      </c>
      <c r="I1558" s="5">
        <v>0.1</v>
      </c>
      <c r="J1558">
        <f t="shared" si="48"/>
        <v>5399.982</v>
      </c>
      <c r="K1558" s="9">
        <f t="shared" si="49"/>
        <v>1.3213140978851283</v>
      </c>
    </row>
    <row r="1559" spans="1:11" x14ac:dyDescent="0.3">
      <c r="A1559">
        <v>557</v>
      </c>
      <c r="B1559">
        <v>2</v>
      </c>
      <c r="C1559">
        <v>10</v>
      </c>
      <c r="D1559" t="str">
        <f>VLOOKUP($C1559,products!$A$1:$F$322,MATCH(order_items!$D$1,products!$A$1:$F$1,0),FALSE)</f>
        <v>Surly Straggler - 2016</v>
      </c>
      <c r="E1559">
        <f>VLOOKUP($C1559,products!$A$1:$F$322,MATCH(order_items!$E$1,products!$A$1:$F$1,0),FALSE)</f>
        <v>4</v>
      </c>
      <c r="F1559" t="str">
        <f>VLOOKUP($E1559,categories!$A$1:$B$8,MATCH(order_items!$F$1,categories!$A$1:$B$1,0),FALSE)</f>
        <v>Cyclocross Bicycles</v>
      </c>
      <c r="G1559">
        <v>1</v>
      </c>
      <c r="H1559">
        <v>1549</v>
      </c>
      <c r="I1559" s="5">
        <v>0.1</v>
      </c>
      <c r="J1559">
        <f t="shared" si="48"/>
        <v>1394.1000000000001</v>
      </c>
      <c r="K1559" s="9">
        <f t="shared" si="49"/>
        <v>0.24861633378001166</v>
      </c>
    </row>
    <row r="1560" spans="1:11" x14ac:dyDescent="0.3">
      <c r="A1560">
        <v>558</v>
      </c>
      <c r="B1560">
        <v>1</v>
      </c>
      <c r="C1560">
        <v>7</v>
      </c>
      <c r="D1560" t="str">
        <f>VLOOKUP($C1560,products!$A$1:$F$322,MATCH(order_items!$D$1,products!$A$1:$F$1,0),FALSE)</f>
        <v>Trek Slash 8 27.5 - 2016</v>
      </c>
      <c r="E1560">
        <f>VLOOKUP($C1560,products!$A$1:$F$322,MATCH(order_items!$E$1,products!$A$1:$F$1,0),FALSE)</f>
        <v>6</v>
      </c>
      <c r="F1560" t="str">
        <f>VLOOKUP($E1560,categories!$A$1:$B$8,MATCH(order_items!$F$1,categories!$A$1:$B$1,0),FALSE)</f>
        <v>Mountain Bikes</v>
      </c>
      <c r="G1560">
        <v>1</v>
      </c>
      <c r="H1560">
        <v>3999.99</v>
      </c>
      <c r="I1560" s="5">
        <v>7.0000000000000007E-2</v>
      </c>
      <c r="J1560">
        <f t="shared" si="48"/>
        <v>3719.9906999999994</v>
      </c>
      <c r="K1560" s="9">
        <f t="shared" si="49"/>
        <v>2.0606009048962846</v>
      </c>
    </row>
    <row r="1561" spans="1:11" x14ac:dyDescent="0.3">
      <c r="A1561">
        <v>558</v>
      </c>
      <c r="B1561">
        <v>2</v>
      </c>
      <c r="C1561">
        <v>16</v>
      </c>
      <c r="D1561" t="str">
        <f>VLOOKUP($C1561,products!$A$1:$F$322,MATCH(order_items!$D$1,products!$A$1:$F$1,0),FALSE)</f>
        <v>Electra Townie Original 7D EQ - 2016</v>
      </c>
      <c r="E1561">
        <f>VLOOKUP($C1561,products!$A$1:$F$322,MATCH(order_items!$E$1,products!$A$1:$F$1,0),FALSE)</f>
        <v>3</v>
      </c>
      <c r="F1561" t="str">
        <f>VLOOKUP($E1561,categories!$A$1:$B$8,MATCH(order_items!$F$1,categories!$A$1:$B$1,0),FALSE)</f>
        <v>Cruisers Bicycles</v>
      </c>
      <c r="G1561">
        <v>1</v>
      </c>
      <c r="H1561">
        <v>599.99</v>
      </c>
      <c r="I1561" s="5">
        <v>7.0000000000000007E-2</v>
      </c>
      <c r="J1561">
        <f t="shared" si="48"/>
        <v>557.99069999999995</v>
      </c>
      <c r="K1561" s="9">
        <f t="shared" si="49"/>
        <v>-0.45297423894164529</v>
      </c>
    </row>
    <row r="1562" spans="1:11" x14ac:dyDescent="0.3">
      <c r="A1562">
        <v>558</v>
      </c>
      <c r="B1562">
        <v>3</v>
      </c>
      <c r="C1562">
        <v>9</v>
      </c>
      <c r="D1562" t="str">
        <f>VLOOKUP($C1562,products!$A$1:$F$322,MATCH(order_items!$D$1,products!$A$1:$F$1,0),FALSE)</f>
        <v>Trek Conduit+ - 2016</v>
      </c>
      <c r="E1562">
        <f>VLOOKUP($C1562,products!$A$1:$F$322,MATCH(order_items!$E$1,products!$A$1:$F$1,0),FALSE)</f>
        <v>5</v>
      </c>
      <c r="F1562" t="str">
        <f>VLOOKUP($E1562,categories!$A$1:$B$8,MATCH(order_items!$F$1,categories!$A$1:$B$1,0),FALSE)</f>
        <v>Electric Bikes</v>
      </c>
      <c r="G1562">
        <v>1</v>
      </c>
      <c r="H1562">
        <v>2999.99</v>
      </c>
      <c r="I1562" s="5">
        <v>0.1</v>
      </c>
      <c r="J1562">
        <f t="shared" si="48"/>
        <v>2699.991</v>
      </c>
      <c r="K1562" s="9">
        <f t="shared" si="49"/>
        <v>1.3213140978851283</v>
      </c>
    </row>
    <row r="1563" spans="1:11" x14ac:dyDescent="0.3">
      <c r="A1563">
        <v>558</v>
      </c>
      <c r="B1563">
        <v>4</v>
      </c>
      <c r="C1563">
        <v>21</v>
      </c>
      <c r="D1563" t="str">
        <f>VLOOKUP($C1563,products!$A$1:$F$322,MATCH(order_items!$D$1,products!$A$1:$F$1,0),FALSE)</f>
        <v>Electra Cruiser 1 (24-Inch) - 2016</v>
      </c>
      <c r="E1563">
        <f>VLOOKUP($C1563,products!$A$1:$F$322,MATCH(order_items!$E$1,products!$A$1:$F$1,0),FALSE)</f>
        <v>1</v>
      </c>
      <c r="F1563" t="str">
        <f>VLOOKUP($E1563,categories!$A$1:$B$8,MATCH(order_items!$F$1,categories!$A$1:$B$1,0),FALSE)</f>
        <v>Children Bicycles</v>
      </c>
      <c r="G1563">
        <v>2</v>
      </c>
      <c r="H1563">
        <v>269.99</v>
      </c>
      <c r="I1563" s="5">
        <v>0.05</v>
      </c>
      <c r="J1563">
        <f t="shared" si="48"/>
        <v>512.98099999999999</v>
      </c>
      <c r="K1563" s="9">
        <f t="shared" si="49"/>
        <v>-0.69693888525532666</v>
      </c>
    </row>
    <row r="1564" spans="1:11" x14ac:dyDescent="0.3">
      <c r="A1564">
        <v>558</v>
      </c>
      <c r="B1564">
        <v>5</v>
      </c>
      <c r="C1564">
        <v>10</v>
      </c>
      <c r="D1564" t="str">
        <f>VLOOKUP($C1564,products!$A$1:$F$322,MATCH(order_items!$D$1,products!$A$1:$F$1,0),FALSE)</f>
        <v>Surly Straggler - 2016</v>
      </c>
      <c r="E1564">
        <f>VLOOKUP($C1564,products!$A$1:$F$322,MATCH(order_items!$E$1,products!$A$1:$F$1,0),FALSE)</f>
        <v>4</v>
      </c>
      <c r="F1564" t="str">
        <f>VLOOKUP($E1564,categories!$A$1:$B$8,MATCH(order_items!$F$1,categories!$A$1:$B$1,0),FALSE)</f>
        <v>Cyclocross Bicycles</v>
      </c>
      <c r="G1564">
        <v>2</v>
      </c>
      <c r="H1564">
        <v>1549</v>
      </c>
      <c r="I1564" s="5">
        <v>7.0000000000000007E-2</v>
      </c>
      <c r="J1564">
        <f t="shared" si="48"/>
        <v>2881.14</v>
      </c>
      <c r="K1564" s="9">
        <f t="shared" si="49"/>
        <v>0.24861633378001166</v>
      </c>
    </row>
    <row r="1565" spans="1:11" x14ac:dyDescent="0.3">
      <c r="A1565">
        <v>559</v>
      </c>
      <c r="B1565">
        <v>1</v>
      </c>
      <c r="C1565">
        <v>15</v>
      </c>
      <c r="D1565" t="str">
        <f>VLOOKUP($C1565,products!$A$1:$F$322,MATCH(order_items!$D$1,products!$A$1:$F$1,0),FALSE)</f>
        <v>Electra Moto 1 - 2016</v>
      </c>
      <c r="E1565">
        <f>VLOOKUP($C1565,products!$A$1:$F$322,MATCH(order_items!$E$1,products!$A$1:$F$1,0),FALSE)</f>
        <v>3</v>
      </c>
      <c r="F1565" t="str">
        <f>VLOOKUP($E1565,categories!$A$1:$B$8,MATCH(order_items!$F$1,categories!$A$1:$B$1,0),FALSE)</f>
        <v>Cruisers Bicycles</v>
      </c>
      <c r="G1565">
        <v>2</v>
      </c>
      <c r="H1565">
        <v>529.99</v>
      </c>
      <c r="I1565" s="5">
        <v>0.1</v>
      </c>
      <c r="J1565">
        <f t="shared" si="48"/>
        <v>953.98200000000008</v>
      </c>
      <c r="K1565" s="9">
        <f t="shared" si="49"/>
        <v>-0.50472431543242624</v>
      </c>
    </row>
    <row r="1566" spans="1:11" x14ac:dyDescent="0.3">
      <c r="A1566">
        <v>559</v>
      </c>
      <c r="B1566">
        <v>2</v>
      </c>
      <c r="C1566">
        <v>6</v>
      </c>
      <c r="D1566" t="str">
        <f>VLOOKUP($C1566,products!$A$1:$F$322,MATCH(order_items!$D$1,products!$A$1:$F$1,0),FALSE)</f>
        <v>Surly Ice Cream Truck Frameset - 2016</v>
      </c>
      <c r="E1566">
        <f>VLOOKUP($C1566,products!$A$1:$F$322,MATCH(order_items!$E$1,products!$A$1:$F$1,0),FALSE)</f>
        <v>6</v>
      </c>
      <c r="F1566" t="str">
        <f>VLOOKUP($E1566,categories!$A$1:$B$8,MATCH(order_items!$F$1,categories!$A$1:$B$1,0),FALSE)</f>
        <v>Mountain Bikes</v>
      </c>
      <c r="G1566">
        <v>1</v>
      </c>
      <c r="H1566">
        <v>469.99</v>
      </c>
      <c r="I1566" s="5">
        <v>0.1</v>
      </c>
      <c r="J1566">
        <f t="shared" si="48"/>
        <v>422.99100000000004</v>
      </c>
      <c r="K1566" s="9">
        <f t="shared" si="49"/>
        <v>-0.5490815238530955</v>
      </c>
    </row>
    <row r="1567" spans="1:11" x14ac:dyDescent="0.3">
      <c r="A1567">
        <v>559</v>
      </c>
      <c r="B1567">
        <v>3</v>
      </c>
      <c r="C1567">
        <v>7</v>
      </c>
      <c r="D1567" t="str">
        <f>VLOOKUP($C1567,products!$A$1:$F$322,MATCH(order_items!$D$1,products!$A$1:$F$1,0),FALSE)</f>
        <v>Trek Slash 8 27.5 - 2016</v>
      </c>
      <c r="E1567">
        <f>VLOOKUP($C1567,products!$A$1:$F$322,MATCH(order_items!$E$1,products!$A$1:$F$1,0),FALSE)</f>
        <v>6</v>
      </c>
      <c r="F1567" t="str">
        <f>VLOOKUP($E1567,categories!$A$1:$B$8,MATCH(order_items!$F$1,categories!$A$1:$B$1,0),FALSE)</f>
        <v>Mountain Bikes</v>
      </c>
      <c r="G1567">
        <v>2</v>
      </c>
      <c r="H1567">
        <v>3999.99</v>
      </c>
      <c r="I1567" s="5">
        <v>7.0000000000000007E-2</v>
      </c>
      <c r="J1567">
        <f t="shared" si="48"/>
        <v>7439.9813999999988</v>
      </c>
      <c r="K1567" s="9">
        <f t="shared" si="49"/>
        <v>2.0606009048962846</v>
      </c>
    </row>
    <row r="1568" spans="1:11" x14ac:dyDescent="0.3">
      <c r="A1568">
        <v>560</v>
      </c>
      <c r="B1568">
        <v>1</v>
      </c>
      <c r="C1568">
        <v>16</v>
      </c>
      <c r="D1568" t="str">
        <f>VLOOKUP($C1568,products!$A$1:$F$322,MATCH(order_items!$D$1,products!$A$1:$F$1,0),FALSE)</f>
        <v>Electra Townie Original 7D EQ - 2016</v>
      </c>
      <c r="E1568">
        <f>VLOOKUP($C1568,products!$A$1:$F$322,MATCH(order_items!$E$1,products!$A$1:$F$1,0),FALSE)</f>
        <v>3</v>
      </c>
      <c r="F1568" t="str">
        <f>VLOOKUP($E1568,categories!$A$1:$B$8,MATCH(order_items!$F$1,categories!$A$1:$B$1,0),FALSE)</f>
        <v>Cruisers Bicycles</v>
      </c>
      <c r="G1568">
        <v>1</v>
      </c>
      <c r="H1568">
        <v>599.99</v>
      </c>
      <c r="I1568" s="5">
        <v>0.05</v>
      </c>
      <c r="J1568">
        <f t="shared" si="48"/>
        <v>569.9905</v>
      </c>
      <c r="K1568" s="9">
        <f t="shared" si="49"/>
        <v>-0.45297423894164529</v>
      </c>
    </row>
    <row r="1569" spans="1:11" x14ac:dyDescent="0.3">
      <c r="A1569">
        <v>560</v>
      </c>
      <c r="B1569">
        <v>2</v>
      </c>
      <c r="C1569">
        <v>26</v>
      </c>
      <c r="D1569" t="str">
        <f>VLOOKUP($C1569,products!$A$1:$F$322,MATCH(order_items!$D$1,products!$A$1:$F$1,0),FALSE)</f>
        <v>Electra Townie Original 7D EQ - 2016</v>
      </c>
      <c r="E1569">
        <f>VLOOKUP($C1569,products!$A$1:$F$322,MATCH(order_items!$E$1,products!$A$1:$F$1,0),FALSE)</f>
        <v>2</v>
      </c>
      <c r="F1569" t="str">
        <f>VLOOKUP($E1569,categories!$A$1:$B$8,MATCH(order_items!$F$1,categories!$A$1:$B$1,0),FALSE)</f>
        <v>Comfort Bicycles</v>
      </c>
      <c r="G1569">
        <v>2</v>
      </c>
      <c r="H1569">
        <v>599.99</v>
      </c>
      <c r="I1569" s="5">
        <v>0.1</v>
      </c>
      <c r="J1569">
        <f t="shared" si="48"/>
        <v>1079.982</v>
      </c>
      <c r="K1569" s="9">
        <f t="shared" si="49"/>
        <v>-0.45297423894164529</v>
      </c>
    </row>
    <row r="1570" spans="1:11" x14ac:dyDescent="0.3">
      <c r="A1570">
        <v>561</v>
      </c>
      <c r="B1570">
        <v>1</v>
      </c>
      <c r="C1570">
        <v>15</v>
      </c>
      <c r="D1570" t="str">
        <f>VLOOKUP($C1570,products!$A$1:$F$322,MATCH(order_items!$D$1,products!$A$1:$F$1,0),FALSE)</f>
        <v>Electra Moto 1 - 2016</v>
      </c>
      <c r="E1570">
        <f>VLOOKUP($C1570,products!$A$1:$F$322,MATCH(order_items!$E$1,products!$A$1:$F$1,0),FALSE)</f>
        <v>3</v>
      </c>
      <c r="F1570" t="str">
        <f>VLOOKUP($E1570,categories!$A$1:$B$8,MATCH(order_items!$F$1,categories!$A$1:$B$1,0),FALSE)</f>
        <v>Cruisers Bicycles</v>
      </c>
      <c r="G1570">
        <v>2</v>
      </c>
      <c r="H1570">
        <v>529.99</v>
      </c>
      <c r="I1570" s="5">
        <v>0.05</v>
      </c>
      <c r="J1570">
        <f t="shared" si="48"/>
        <v>1006.981</v>
      </c>
      <c r="K1570" s="9">
        <f t="shared" si="49"/>
        <v>-0.50472431543242624</v>
      </c>
    </row>
    <row r="1571" spans="1:11" x14ac:dyDescent="0.3">
      <c r="A1571">
        <v>561</v>
      </c>
      <c r="B1571">
        <v>2</v>
      </c>
      <c r="C1571">
        <v>18</v>
      </c>
      <c r="D1571" t="str">
        <f>VLOOKUP($C1571,products!$A$1:$F$322,MATCH(order_items!$D$1,products!$A$1:$F$1,0),FALSE)</f>
        <v>Pure Cycles Western 3-Speed - Women's - 2015/2016</v>
      </c>
      <c r="E1571">
        <f>VLOOKUP($C1571,products!$A$1:$F$322,MATCH(order_items!$E$1,products!$A$1:$F$1,0),FALSE)</f>
        <v>3</v>
      </c>
      <c r="F1571" t="str">
        <f>VLOOKUP($E1571,categories!$A$1:$B$8,MATCH(order_items!$F$1,categories!$A$1:$B$1,0),FALSE)</f>
        <v>Cruisers Bicycles</v>
      </c>
      <c r="G1571">
        <v>1</v>
      </c>
      <c r="H1571">
        <v>449</v>
      </c>
      <c r="I1571" s="5">
        <v>0.05</v>
      </c>
      <c r="J1571">
        <f t="shared" si="48"/>
        <v>426.54999999999995</v>
      </c>
      <c r="K1571" s="9">
        <f t="shared" si="49"/>
        <v>-0.56459915393225968</v>
      </c>
    </row>
    <row r="1572" spans="1:11" x14ac:dyDescent="0.3">
      <c r="A1572">
        <v>561</v>
      </c>
      <c r="B1572">
        <v>3</v>
      </c>
      <c r="C1572">
        <v>5</v>
      </c>
      <c r="D1572" t="str">
        <f>VLOOKUP($C1572,products!$A$1:$F$322,MATCH(order_items!$D$1,products!$A$1:$F$1,0),FALSE)</f>
        <v>Heller Shagamaw Frame - 2016</v>
      </c>
      <c r="E1572">
        <f>VLOOKUP($C1572,products!$A$1:$F$322,MATCH(order_items!$E$1,products!$A$1:$F$1,0),FALSE)</f>
        <v>6</v>
      </c>
      <c r="F1572" t="str">
        <f>VLOOKUP($E1572,categories!$A$1:$B$8,MATCH(order_items!$F$1,categories!$A$1:$B$1,0),FALSE)</f>
        <v>Mountain Bikes</v>
      </c>
      <c r="G1572">
        <v>1</v>
      </c>
      <c r="H1572">
        <v>1320.99</v>
      </c>
      <c r="I1572" s="5">
        <v>0.05</v>
      </c>
      <c r="J1572">
        <f t="shared" si="48"/>
        <v>1254.9404999999999</v>
      </c>
      <c r="K1572" s="9">
        <f t="shared" si="49"/>
        <v>8.0051548913398024E-2</v>
      </c>
    </row>
    <row r="1573" spans="1:11" x14ac:dyDescent="0.3">
      <c r="A1573">
        <v>561</v>
      </c>
      <c r="B1573">
        <v>4</v>
      </c>
      <c r="C1573">
        <v>17</v>
      </c>
      <c r="D1573" t="str">
        <f>VLOOKUP($C1573,products!$A$1:$F$322,MATCH(order_items!$D$1,products!$A$1:$F$1,0),FALSE)</f>
        <v>Pure Cycles Vine 8-Speed - 2016</v>
      </c>
      <c r="E1573">
        <f>VLOOKUP($C1573,products!$A$1:$F$322,MATCH(order_items!$E$1,products!$A$1:$F$1,0),FALSE)</f>
        <v>3</v>
      </c>
      <c r="F1573" t="str">
        <f>VLOOKUP($E1573,categories!$A$1:$B$8,MATCH(order_items!$F$1,categories!$A$1:$B$1,0),FALSE)</f>
        <v>Cruisers Bicycles</v>
      </c>
      <c r="G1573">
        <v>2</v>
      </c>
      <c r="H1573">
        <v>429</v>
      </c>
      <c r="I1573" s="5">
        <v>7.0000000000000007E-2</v>
      </c>
      <c r="J1573">
        <f t="shared" si="48"/>
        <v>797.93999999999994</v>
      </c>
      <c r="K1573" s="9">
        <f t="shared" si="49"/>
        <v>-0.57938489007248284</v>
      </c>
    </row>
    <row r="1574" spans="1:11" x14ac:dyDescent="0.3">
      <c r="A1574">
        <v>562</v>
      </c>
      <c r="B1574">
        <v>1</v>
      </c>
      <c r="C1574">
        <v>25</v>
      </c>
      <c r="D1574" t="str">
        <f>VLOOKUP($C1574,products!$A$1:$F$322,MATCH(order_items!$D$1,products!$A$1:$F$1,0),FALSE)</f>
        <v>Electra Townie Original 7D - 2015/2016</v>
      </c>
      <c r="E1574">
        <f>VLOOKUP($C1574,products!$A$1:$F$322,MATCH(order_items!$E$1,products!$A$1:$F$1,0),FALSE)</f>
        <v>2</v>
      </c>
      <c r="F1574" t="str">
        <f>VLOOKUP($E1574,categories!$A$1:$B$8,MATCH(order_items!$F$1,categories!$A$1:$B$1,0),FALSE)</f>
        <v>Comfort Bicycles</v>
      </c>
      <c r="G1574">
        <v>2</v>
      </c>
      <c r="H1574">
        <v>499.99</v>
      </c>
      <c r="I1574" s="5">
        <v>7.0000000000000007E-2</v>
      </c>
      <c r="J1574">
        <f t="shared" si="48"/>
        <v>929.98140000000001</v>
      </c>
      <c r="K1574" s="9">
        <f t="shared" si="49"/>
        <v>-0.52690291964276081</v>
      </c>
    </row>
    <row r="1575" spans="1:11" x14ac:dyDescent="0.3">
      <c r="A1575">
        <v>562</v>
      </c>
      <c r="B1575">
        <v>2</v>
      </c>
      <c r="C1575">
        <v>26</v>
      </c>
      <c r="D1575" t="str">
        <f>VLOOKUP($C1575,products!$A$1:$F$322,MATCH(order_items!$D$1,products!$A$1:$F$1,0),FALSE)</f>
        <v>Electra Townie Original 7D EQ - 2016</v>
      </c>
      <c r="E1575">
        <f>VLOOKUP($C1575,products!$A$1:$F$322,MATCH(order_items!$E$1,products!$A$1:$F$1,0),FALSE)</f>
        <v>2</v>
      </c>
      <c r="F1575" t="str">
        <f>VLOOKUP($E1575,categories!$A$1:$B$8,MATCH(order_items!$F$1,categories!$A$1:$B$1,0),FALSE)</f>
        <v>Comfort Bicycles</v>
      </c>
      <c r="G1575">
        <v>1</v>
      </c>
      <c r="H1575">
        <v>599.99</v>
      </c>
      <c r="I1575" s="5">
        <v>0.05</v>
      </c>
      <c r="J1575">
        <f t="shared" si="48"/>
        <v>569.9905</v>
      </c>
      <c r="K1575" s="9">
        <f t="shared" si="49"/>
        <v>-0.45297423894164529</v>
      </c>
    </row>
    <row r="1576" spans="1:11" x14ac:dyDescent="0.3">
      <c r="A1576">
        <v>563</v>
      </c>
      <c r="B1576">
        <v>1</v>
      </c>
      <c r="C1576">
        <v>6</v>
      </c>
      <c r="D1576" t="str">
        <f>VLOOKUP($C1576,products!$A$1:$F$322,MATCH(order_items!$D$1,products!$A$1:$F$1,0),FALSE)</f>
        <v>Surly Ice Cream Truck Frameset - 2016</v>
      </c>
      <c r="E1576">
        <f>VLOOKUP($C1576,products!$A$1:$F$322,MATCH(order_items!$E$1,products!$A$1:$F$1,0),FALSE)</f>
        <v>6</v>
      </c>
      <c r="F1576" t="str">
        <f>VLOOKUP($E1576,categories!$A$1:$B$8,MATCH(order_items!$F$1,categories!$A$1:$B$1,0),FALSE)</f>
        <v>Mountain Bikes</v>
      </c>
      <c r="G1576">
        <v>2</v>
      </c>
      <c r="H1576">
        <v>469.99</v>
      </c>
      <c r="I1576" s="5">
        <v>0.1</v>
      </c>
      <c r="J1576">
        <f t="shared" si="48"/>
        <v>845.98200000000008</v>
      </c>
      <c r="K1576" s="9">
        <f t="shared" si="49"/>
        <v>-0.5490815238530955</v>
      </c>
    </row>
    <row r="1577" spans="1:11" x14ac:dyDescent="0.3">
      <c r="A1577">
        <v>563</v>
      </c>
      <c r="B1577">
        <v>2</v>
      </c>
      <c r="C1577">
        <v>19</v>
      </c>
      <c r="D1577" t="str">
        <f>VLOOKUP($C1577,products!$A$1:$F$322,MATCH(order_items!$D$1,products!$A$1:$F$1,0),FALSE)</f>
        <v>Pure Cycles William 3-Speed - 2016</v>
      </c>
      <c r="E1577">
        <f>VLOOKUP($C1577,products!$A$1:$F$322,MATCH(order_items!$E$1,products!$A$1:$F$1,0),FALSE)</f>
        <v>3</v>
      </c>
      <c r="F1577" t="str">
        <f>VLOOKUP($E1577,categories!$A$1:$B$8,MATCH(order_items!$F$1,categories!$A$1:$B$1,0),FALSE)</f>
        <v>Cruisers Bicycles</v>
      </c>
      <c r="G1577">
        <v>1</v>
      </c>
      <c r="H1577">
        <v>449</v>
      </c>
      <c r="I1577" s="5">
        <v>0.05</v>
      </c>
      <c r="J1577">
        <f t="shared" si="48"/>
        <v>426.54999999999995</v>
      </c>
      <c r="K1577" s="9">
        <f t="shared" si="49"/>
        <v>-0.56459915393225968</v>
      </c>
    </row>
    <row r="1578" spans="1:11" x14ac:dyDescent="0.3">
      <c r="A1578">
        <v>563</v>
      </c>
      <c r="B1578">
        <v>3</v>
      </c>
      <c r="C1578">
        <v>13</v>
      </c>
      <c r="D1578" t="str">
        <f>VLOOKUP($C1578,products!$A$1:$F$322,MATCH(order_items!$D$1,products!$A$1:$F$1,0),FALSE)</f>
        <v>Electra Cruiser 1 (24-Inch) - 2016</v>
      </c>
      <c r="E1578">
        <f>VLOOKUP($C1578,products!$A$1:$F$322,MATCH(order_items!$E$1,products!$A$1:$F$1,0),FALSE)</f>
        <v>3</v>
      </c>
      <c r="F1578" t="str">
        <f>VLOOKUP($E1578,categories!$A$1:$B$8,MATCH(order_items!$F$1,categories!$A$1:$B$1,0),FALSE)</f>
        <v>Cruisers Bicycles</v>
      </c>
      <c r="G1578">
        <v>2</v>
      </c>
      <c r="H1578">
        <v>269.99</v>
      </c>
      <c r="I1578" s="5">
        <v>0.1</v>
      </c>
      <c r="J1578">
        <f t="shared" si="48"/>
        <v>485.98200000000003</v>
      </c>
      <c r="K1578" s="9">
        <f t="shared" si="49"/>
        <v>-0.69693888525532666</v>
      </c>
    </row>
    <row r="1579" spans="1:11" x14ac:dyDescent="0.3">
      <c r="A1579">
        <v>564</v>
      </c>
      <c r="B1579">
        <v>1</v>
      </c>
      <c r="C1579">
        <v>4</v>
      </c>
      <c r="D1579" t="str">
        <f>VLOOKUP($C1579,products!$A$1:$F$322,MATCH(order_items!$D$1,products!$A$1:$F$1,0),FALSE)</f>
        <v>Trek Fuel EX 8 29 - 2016</v>
      </c>
      <c r="E1579">
        <f>VLOOKUP($C1579,products!$A$1:$F$322,MATCH(order_items!$E$1,products!$A$1:$F$1,0),FALSE)</f>
        <v>6</v>
      </c>
      <c r="F1579" t="str">
        <f>VLOOKUP($E1579,categories!$A$1:$B$8,MATCH(order_items!$F$1,categories!$A$1:$B$1,0),FALSE)</f>
        <v>Mountain Bikes</v>
      </c>
      <c r="G1579">
        <v>1</v>
      </c>
      <c r="H1579">
        <v>2899.99</v>
      </c>
      <c r="I1579" s="5">
        <v>0.2</v>
      </c>
      <c r="J1579">
        <f t="shared" si="48"/>
        <v>2319.9919999999997</v>
      </c>
      <c r="K1579" s="9">
        <f t="shared" si="49"/>
        <v>1.2473854171840129</v>
      </c>
    </row>
    <row r="1580" spans="1:11" x14ac:dyDescent="0.3">
      <c r="A1580">
        <v>564</v>
      </c>
      <c r="B1580">
        <v>2</v>
      </c>
      <c r="C1580">
        <v>15</v>
      </c>
      <c r="D1580" t="str">
        <f>VLOOKUP($C1580,products!$A$1:$F$322,MATCH(order_items!$D$1,products!$A$1:$F$1,0),FALSE)</f>
        <v>Electra Moto 1 - 2016</v>
      </c>
      <c r="E1580">
        <f>VLOOKUP($C1580,products!$A$1:$F$322,MATCH(order_items!$E$1,products!$A$1:$F$1,0),FALSE)</f>
        <v>3</v>
      </c>
      <c r="F1580" t="str">
        <f>VLOOKUP($E1580,categories!$A$1:$B$8,MATCH(order_items!$F$1,categories!$A$1:$B$1,0),FALSE)</f>
        <v>Cruisers Bicycles</v>
      </c>
      <c r="G1580">
        <v>1</v>
      </c>
      <c r="H1580">
        <v>529.99</v>
      </c>
      <c r="I1580" s="5">
        <v>0.2</v>
      </c>
      <c r="J1580">
        <f t="shared" si="48"/>
        <v>423.99200000000002</v>
      </c>
      <c r="K1580" s="9">
        <f t="shared" si="49"/>
        <v>-0.50472431543242624</v>
      </c>
    </row>
    <row r="1581" spans="1:11" x14ac:dyDescent="0.3">
      <c r="A1581">
        <v>565</v>
      </c>
      <c r="B1581">
        <v>1</v>
      </c>
      <c r="C1581">
        <v>18</v>
      </c>
      <c r="D1581" t="str">
        <f>VLOOKUP($C1581,products!$A$1:$F$322,MATCH(order_items!$D$1,products!$A$1:$F$1,0),FALSE)</f>
        <v>Pure Cycles Western 3-Speed - Women's - 2015/2016</v>
      </c>
      <c r="E1581">
        <f>VLOOKUP($C1581,products!$A$1:$F$322,MATCH(order_items!$E$1,products!$A$1:$F$1,0),FALSE)</f>
        <v>3</v>
      </c>
      <c r="F1581" t="str">
        <f>VLOOKUP($E1581,categories!$A$1:$B$8,MATCH(order_items!$F$1,categories!$A$1:$B$1,0),FALSE)</f>
        <v>Cruisers Bicycles</v>
      </c>
      <c r="G1581">
        <v>1</v>
      </c>
      <c r="H1581">
        <v>449</v>
      </c>
      <c r="I1581" s="5">
        <v>0.2</v>
      </c>
      <c r="J1581">
        <f t="shared" si="48"/>
        <v>359.20000000000005</v>
      </c>
      <c r="K1581" s="9">
        <f t="shared" si="49"/>
        <v>-0.56459915393225968</v>
      </c>
    </row>
    <row r="1582" spans="1:11" x14ac:dyDescent="0.3">
      <c r="A1582">
        <v>565</v>
      </c>
      <c r="B1582">
        <v>2</v>
      </c>
      <c r="C1582">
        <v>25</v>
      </c>
      <c r="D1582" t="str">
        <f>VLOOKUP($C1582,products!$A$1:$F$322,MATCH(order_items!$D$1,products!$A$1:$F$1,0),FALSE)</f>
        <v>Electra Townie Original 7D - 2015/2016</v>
      </c>
      <c r="E1582">
        <f>VLOOKUP($C1582,products!$A$1:$F$322,MATCH(order_items!$E$1,products!$A$1:$F$1,0),FALSE)</f>
        <v>2</v>
      </c>
      <c r="F1582" t="str">
        <f>VLOOKUP($E1582,categories!$A$1:$B$8,MATCH(order_items!$F$1,categories!$A$1:$B$1,0),FALSE)</f>
        <v>Comfort Bicycles</v>
      </c>
      <c r="G1582">
        <v>2</v>
      </c>
      <c r="H1582">
        <v>499.99</v>
      </c>
      <c r="I1582" s="5">
        <v>0.1</v>
      </c>
      <c r="J1582">
        <f t="shared" si="48"/>
        <v>899.98200000000008</v>
      </c>
      <c r="K1582" s="9">
        <f t="shared" si="49"/>
        <v>-0.52690291964276081</v>
      </c>
    </row>
    <row r="1583" spans="1:11" x14ac:dyDescent="0.3">
      <c r="A1583">
        <v>565</v>
      </c>
      <c r="B1583">
        <v>3</v>
      </c>
      <c r="C1583">
        <v>9</v>
      </c>
      <c r="D1583" t="str">
        <f>VLOOKUP($C1583,products!$A$1:$F$322,MATCH(order_items!$D$1,products!$A$1:$F$1,0),FALSE)</f>
        <v>Trek Conduit+ - 2016</v>
      </c>
      <c r="E1583">
        <f>VLOOKUP($C1583,products!$A$1:$F$322,MATCH(order_items!$E$1,products!$A$1:$F$1,0),FALSE)</f>
        <v>5</v>
      </c>
      <c r="F1583" t="str">
        <f>VLOOKUP($E1583,categories!$A$1:$B$8,MATCH(order_items!$F$1,categories!$A$1:$B$1,0),FALSE)</f>
        <v>Electric Bikes</v>
      </c>
      <c r="G1583">
        <v>1</v>
      </c>
      <c r="H1583">
        <v>2999.99</v>
      </c>
      <c r="I1583" s="5">
        <v>0.05</v>
      </c>
      <c r="J1583">
        <f t="shared" si="48"/>
        <v>2849.9904999999999</v>
      </c>
      <c r="K1583" s="9">
        <f t="shared" si="49"/>
        <v>1.3213140978851283</v>
      </c>
    </row>
    <row r="1584" spans="1:11" x14ac:dyDescent="0.3">
      <c r="A1584">
        <v>565</v>
      </c>
      <c r="B1584">
        <v>4</v>
      </c>
      <c r="C1584">
        <v>17</v>
      </c>
      <c r="D1584" t="str">
        <f>VLOOKUP($C1584,products!$A$1:$F$322,MATCH(order_items!$D$1,products!$A$1:$F$1,0),FALSE)</f>
        <v>Pure Cycles Vine 8-Speed - 2016</v>
      </c>
      <c r="E1584">
        <f>VLOOKUP($C1584,products!$A$1:$F$322,MATCH(order_items!$E$1,products!$A$1:$F$1,0),FALSE)</f>
        <v>3</v>
      </c>
      <c r="F1584" t="str">
        <f>VLOOKUP($E1584,categories!$A$1:$B$8,MATCH(order_items!$F$1,categories!$A$1:$B$1,0),FALSE)</f>
        <v>Cruisers Bicycles</v>
      </c>
      <c r="G1584">
        <v>1</v>
      </c>
      <c r="H1584">
        <v>429</v>
      </c>
      <c r="I1584" s="5">
        <v>0.1</v>
      </c>
      <c r="J1584">
        <f t="shared" si="48"/>
        <v>386.1</v>
      </c>
      <c r="K1584" s="9">
        <f t="shared" si="49"/>
        <v>-0.57938489007248284</v>
      </c>
    </row>
    <row r="1585" spans="1:11" x14ac:dyDescent="0.3">
      <c r="A1585">
        <v>566</v>
      </c>
      <c r="B1585">
        <v>1</v>
      </c>
      <c r="C1585">
        <v>24</v>
      </c>
      <c r="D1585" t="str">
        <f>VLOOKUP($C1585,products!$A$1:$F$322,MATCH(order_items!$D$1,products!$A$1:$F$1,0),FALSE)</f>
        <v>Electra Townie Original 21D - 2016</v>
      </c>
      <c r="E1585">
        <f>VLOOKUP($C1585,products!$A$1:$F$322,MATCH(order_items!$E$1,products!$A$1:$F$1,0),FALSE)</f>
        <v>2</v>
      </c>
      <c r="F1585" t="str">
        <f>VLOOKUP($E1585,categories!$A$1:$B$8,MATCH(order_items!$F$1,categories!$A$1:$B$1,0),FALSE)</f>
        <v>Comfort Bicycles</v>
      </c>
      <c r="G1585">
        <v>2</v>
      </c>
      <c r="H1585">
        <v>549.99</v>
      </c>
      <c r="I1585" s="5">
        <v>7.0000000000000007E-2</v>
      </c>
      <c r="J1585">
        <f t="shared" si="48"/>
        <v>1022.9813999999999</v>
      </c>
      <c r="K1585" s="9">
        <f t="shared" si="49"/>
        <v>-0.48993857929220308</v>
      </c>
    </row>
    <row r="1586" spans="1:11" x14ac:dyDescent="0.3">
      <c r="A1586">
        <v>566</v>
      </c>
      <c r="B1586">
        <v>2</v>
      </c>
      <c r="C1586">
        <v>7</v>
      </c>
      <c r="D1586" t="str">
        <f>VLOOKUP($C1586,products!$A$1:$F$322,MATCH(order_items!$D$1,products!$A$1:$F$1,0),FALSE)</f>
        <v>Trek Slash 8 27.5 - 2016</v>
      </c>
      <c r="E1586">
        <f>VLOOKUP($C1586,products!$A$1:$F$322,MATCH(order_items!$E$1,products!$A$1:$F$1,0),FALSE)</f>
        <v>6</v>
      </c>
      <c r="F1586" t="str">
        <f>VLOOKUP($E1586,categories!$A$1:$B$8,MATCH(order_items!$F$1,categories!$A$1:$B$1,0),FALSE)</f>
        <v>Mountain Bikes</v>
      </c>
      <c r="G1586">
        <v>2</v>
      </c>
      <c r="H1586">
        <v>3999.99</v>
      </c>
      <c r="I1586" s="5">
        <v>0.2</v>
      </c>
      <c r="J1586">
        <f t="shared" si="48"/>
        <v>6399.9840000000004</v>
      </c>
      <c r="K1586" s="9">
        <f t="shared" si="49"/>
        <v>2.0606009048962846</v>
      </c>
    </row>
    <row r="1587" spans="1:11" x14ac:dyDescent="0.3">
      <c r="A1587">
        <v>566</v>
      </c>
      <c r="B1587">
        <v>3</v>
      </c>
      <c r="C1587">
        <v>8</v>
      </c>
      <c r="D1587" t="str">
        <f>VLOOKUP($C1587,products!$A$1:$F$322,MATCH(order_items!$D$1,products!$A$1:$F$1,0),FALSE)</f>
        <v>Trek Remedy 29 Carbon Frameset - 2016</v>
      </c>
      <c r="E1587">
        <f>VLOOKUP($C1587,products!$A$1:$F$322,MATCH(order_items!$E$1,products!$A$1:$F$1,0),FALSE)</f>
        <v>6</v>
      </c>
      <c r="F1587" t="str">
        <f>VLOOKUP($E1587,categories!$A$1:$B$8,MATCH(order_items!$F$1,categories!$A$1:$B$1,0),FALSE)</f>
        <v>Mountain Bikes</v>
      </c>
      <c r="G1587">
        <v>1</v>
      </c>
      <c r="H1587">
        <v>1799.99</v>
      </c>
      <c r="I1587" s="5">
        <v>0.1</v>
      </c>
      <c r="J1587">
        <f t="shared" si="48"/>
        <v>1619.991</v>
      </c>
      <c r="K1587" s="9">
        <f t="shared" si="49"/>
        <v>0.43416992947174166</v>
      </c>
    </row>
    <row r="1588" spans="1:11" x14ac:dyDescent="0.3">
      <c r="A1588">
        <v>566</v>
      </c>
      <c r="B1588">
        <v>4</v>
      </c>
      <c r="C1588">
        <v>21</v>
      </c>
      <c r="D1588" t="str">
        <f>VLOOKUP($C1588,products!$A$1:$F$322,MATCH(order_items!$D$1,products!$A$1:$F$1,0),FALSE)</f>
        <v>Electra Cruiser 1 (24-Inch) - 2016</v>
      </c>
      <c r="E1588">
        <f>VLOOKUP($C1588,products!$A$1:$F$322,MATCH(order_items!$E$1,products!$A$1:$F$1,0),FALSE)</f>
        <v>1</v>
      </c>
      <c r="F1588" t="str">
        <f>VLOOKUP($E1588,categories!$A$1:$B$8,MATCH(order_items!$F$1,categories!$A$1:$B$1,0),FALSE)</f>
        <v>Children Bicycles</v>
      </c>
      <c r="G1588">
        <v>2</v>
      </c>
      <c r="H1588">
        <v>269.99</v>
      </c>
      <c r="I1588" s="5">
        <v>0.2</v>
      </c>
      <c r="J1588">
        <f t="shared" si="48"/>
        <v>431.98400000000004</v>
      </c>
      <c r="K1588" s="9">
        <f t="shared" si="49"/>
        <v>-0.69693888525532666</v>
      </c>
    </row>
    <row r="1589" spans="1:11" x14ac:dyDescent="0.3">
      <c r="A1589">
        <v>567</v>
      </c>
      <c r="B1589">
        <v>1</v>
      </c>
      <c r="C1589">
        <v>9</v>
      </c>
      <c r="D1589" t="str">
        <f>VLOOKUP($C1589,products!$A$1:$F$322,MATCH(order_items!$D$1,products!$A$1:$F$1,0),FALSE)</f>
        <v>Trek Conduit+ - 2016</v>
      </c>
      <c r="E1589">
        <f>VLOOKUP($C1589,products!$A$1:$F$322,MATCH(order_items!$E$1,products!$A$1:$F$1,0),FALSE)</f>
        <v>5</v>
      </c>
      <c r="F1589" t="str">
        <f>VLOOKUP($E1589,categories!$A$1:$B$8,MATCH(order_items!$F$1,categories!$A$1:$B$1,0),FALSE)</f>
        <v>Electric Bikes</v>
      </c>
      <c r="G1589">
        <v>1</v>
      </c>
      <c r="H1589">
        <v>2999.99</v>
      </c>
      <c r="I1589" s="5">
        <v>0.2</v>
      </c>
      <c r="J1589">
        <f t="shared" si="48"/>
        <v>2399.9919999999997</v>
      </c>
      <c r="K1589" s="9">
        <f t="shared" si="49"/>
        <v>1.3213140978851283</v>
      </c>
    </row>
    <row r="1590" spans="1:11" x14ac:dyDescent="0.3">
      <c r="A1590">
        <v>567</v>
      </c>
      <c r="B1590">
        <v>2</v>
      </c>
      <c r="C1590">
        <v>5</v>
      </c>
      <c r="D1590" t="str">
        <f>VLOOKUP($C1590,products!$A$1:$F$322,MATCH(order_items!$D$1,products!$A$1:$F$1,0),FALSE)</f>
        <v>Heller Shagamaw Frame - 2016</v>
      </c>
      <c r="E1590">
        <f>VLOOKUP($C1590,products!$A$1:$F$322,MATCH(order_items!$E$1,products!$A$1:$F$1,0),FALSE)</f>
        <v>6</v>
      </c>
      <c r="F1590" t="str">
        <f>VLOOKUP($E1590,categories!$A$1:$B$8,MATCH(order_items!$F$1,categories!$A$1:$B$1,0),FALSE)</f>
        <v>Mountain Bikes</v>
      </c>
      <c r="G1590">
        <v>1</v>
      </c>
      <c r="H1590">
        <v>1320.99</v>
      </c>
      <c r="I1590" s="5">
        <v>7.0000000000000007E-2</v>
      </c>
      <c r="J1590">
        <f t="shared" si="48"/>
        <v>1228.5207</v>
      </c>
      <c r="K1590" s="9">
        <f t="shared" si="49"/>
        <v>8.0051548913398024E-2</v>
      </c>
    </row>
    <row r="1591" spans="1:11" x14ac:dyDescent="0.3">
      <c r="A1591">
        <v>568</v>
      </c>
      <c r="B1591">
        <v>1</v>
      </c>
      <c r="C1591">
        <v>5</v>
      </c>
      <c r="D1591" t="str">
        <f>VLOOKUP($C1591,products!$A$1:$F$322,MATCH(order_items!$D$1,products!$A$1:$F$1,0),FALSE)</f>
        <v>Heller Shagamaw Frame - 2016</v>
      </c>
      <c r="E1591">
        <f>VLOOKUP($C1591,products!$A$1:$F$322,MATCH(order_items!$E$1,products!$A$1:$F$1,0),FALSE)</f>
        <v>6</v>
      </c>
      <c r="F1591" t="str">
        <f>VLOOKUP($E1591,categories!$A$1:$B$8,MATCH(order_items!$F$1,categories!$A$1:$B$1,0),FALSE)</f>
        <v>Mountain Bikes</v>
      </c>
      <c r="G1591">
        <v>1</v>
      </c>
      <c r="H1591">
        <v>1320.99</v>
      </c>
      <c r="I1591" s="5">
        <v>0.05</v>
      </c>
      <c r="J1591">
        <f t="shared" si="48"/>
        <v>1254.9404999999999</v>
      </c>
      <c r="K1591" s="9">
        <f t="shared" si="49"/>
        <v>8.0051548913398024E-2</v>
      </c>
    </row>
    <row r="1592" spans="1:11" x14ac:dyDescent="0.3">
      <c r="A1592">
        <v>568</v>
      </c>
      <c r="B1592">
        <v>2</v>
      </c>
      <c r="C1592">
        <v>10</v>
      </c>
      <c r="D1592" t="str">
        <f>VLOOKUP($C1592,products!$A$1:$F$322,MATCH(order_items!$D$1,products!$A$1:$F$1,0),FALSE)</f>
        <v>Surly Straggler - 2016</v>
      </c>
      <c r="E1592">
        <f>VLOOKUP($C1592,products!$A$1:$F$322,MATCH(order_items!$E$1,products!$A$1:$F$1,0),FALSE)</f>
        <v>4</v>
      </c>
      <c r="F1592" t="str">
        <f>VLOOKUP($E1592,categories!$A$1:$B$8,MATCH(order_items!$F$1,categories!$A$1:$B$1,0),FALSE)</f>
        <v>Cyclocross Bicycles</v>
      </c>
      <c r="G1592">
        <v>1</v>
      </c>
      <c r="H1592">
        <v>1549</v>
      </c>
      <c r="I1592" s="5">
        <v>0.05</v>
      </c>
      <c r="J1592">
        <f t="shared" si="48"/>
        <v>1471.55</v>
      </c>
      <c r="K1592" s="9">
        <f t="shared" si="49"/>
        <v>0.24861633378001166</v>
      </c>
    </row>
    <row r="1593" spans="1:11" x14ac:dyDescent="0.3">
      <c r="A1593">
        <v>569</v>
      </c>
      <c r="B1593">
        <v>1</v>
      </c>
      <c r="C1593">
        <v>16</v>
      </c>
      <c r="D1593" t="str">
        <f>VLOOKUP($C1593,products!$A$1:$F$322,MATCH(order_items!$D$1,products!$A$1:$F$1,0),FALSE)</f>
        <v>Electra Townie Original 7D EQ - 2016</v>
      </c>
      <c r="E1593">
        <f>VLOOKUP($C1593,products!$A$1:$F$322,MATCH(order_items!$E$1,products!$A$1:$F$1,0),FALSE)</f>
        <v>3</v>
      </c>
      <c r="F1593" t="str">
        <f>VLOOKUP($E1593,categories!$A$1:$B$8,MATCH(order_items!$F$1,categories!$A$1:$B$1,0),FALSE)</f>
        <v>Cruisers Bicycles</v>
      </c>
      <c r="G1593">
        <v>1</v>
      </c>
      <c r="H1593">
        <v>599.99</v>
      </c>
      <c r="I1593" s="5">
        <v>0.05</v>
      </c>
      <c r="J1593">
        <f t="shared" si="48"/>
        <v>569.9905</v>
      </c>
      <c r="K1593" s="9">
        <f t="shared" si="49"/>
        <v>-0.45297423894164529</v>
      </c>
    </row>
    <row r="1594" spans="1:11" x14ac:dyDescent="0.3">
      <c r="A1594">
        <v>569</v>
      </c>
      <c r="B1594">
        <v>2</v>
      </c>
      <c r="C1594">
        <v>24</v>
      </c>
      <c r="D1594" t="str">
        <f>VLOOKUP($C1594,products!$A$1:$F$322,MATCH(order_items!$D$1,products!$A$1:$F$1,0),FALSE)</f>
        <v>Electra Townie Original 21D - 2016</v>
      </c>
      <c r="E1594">
        <f>VLOOKUP($C1594,products!$A$1:$F$322,MATCH(order_items!$E$1,products!$A$1:$F$1,0),FALSE)</f>
        <v>2</v>
      </c>
      <c r="F1594" t="str">
        <f>VLOOKUP($E1594,categories!$A$1:$B$8,MATCH(order_items!$F$1,categories!$A$1:$B$1,0),FALSE)</f>
        <v>Comfort Bicycles</v>
      </c>
      <c r="G1594">
        <v>2</v>
      </c>
      <c r="H1594">
        <v>549.99</v>
      </c>
      <c r="I1594" s="5">
        <v>0.1</v>
      </c>
      <c r="J1594">
        <f t="shared" si="48"/>
        <v>989.98200000000008</v>
      </c>
      <c r="K1594" s="9">
        <f t="shared" si="49"/>
        <v>-0.48993857929220308</v>
      </c>
    </row>
    <row r="1595" spans="1:11" x14ac:dyDescent="0.3">
      <c r="A1595">
        <v>570</v>
      </c>
      <c r="B1595">
        <v>1</v>
      </c>
      <c r="C1595">
        <v>18</v>
      </c>
      <c r="D1595" t="str">
        <f>VLOOKUP($C1595,products!$A$1:$F$322,MATCH(order_items!$D$1,products!$A$1:$F$1,0),FALSE)</f>
        <v>Pure Cycles Western 3-Speed - Women's - 2015/2016</v>
      </c>
      <c r="E1595">
        <f>VLOOKUP($C1595,products!$A$1:$F$322,MATCH(order_items!$E$1,products!$A$1:$F$1,0),FALSE)</f>
        <v>3</v>
      </c>
      <c r="F1595" t="str">
        <f>VLOOKUP($E1595,categories!$A$1:$B$8,MATCH(order_items!$F$1,categories!$A$1:$B$1,0),FALSE)</f>
        <v>Cruisers Bicycles</v>
      </c>
      <c r="G1595">
        <v>1</v>
      </c>
      <c r="H1595">
        <v>449</v>
      </c>
      <c r="I1595" s="5">
        <v>7.0000000000000007E-2</v>
      </c>
      <c r="J1595">
        <f t="shared" si="48"/>
        <v>417.57</v>
      </c>
      <c r="K1595" s="9">
        <f t="shared" si="49"/>
        <v>-0.56459915393225968</v>
      </c>
    </row>
    <row r="1596" spans="1:11" x14ac:dyDescent="0.3">
      <c r="A1596">
        <v>570</v>
      </c>
      <c r="B1596">
        <v>2</v>
      </c>
      <c r="C1596">
        <v>24</v>
      </c>
      <c r="D1596" t="str">
        <f>VLOOKUP($C1596,products!$A$1:$F$322,MATCH(order_items!$D$1,products!$A$1:$F$1,0),FALSE)</f>
        <v>Electra Townie Original 21D - 2016</v>
      </c>
      <c r="E1596">
        <f>VLOOKUP($C1596,products!$A$1:$F$322,MATCH(order_items!$E$1,products!$A$1:$F$1,0),FALSE)</f>
        <v>2</v>
      </c>
      <c r="F1596" t="str">
        <f>VLOOKUP($E1596,categories!$A$1:$B$8,MATCH(order_items!$F$1,categories!$A$1:$B$1,0),FALSE)</f>
        <v>Comfort Bicycles</v>
      </c>
      <c r="G1596">
        <v>2</v>
      </c>
      <c r="H1596">
        <v>549.99</v>
      </c>
      <c r="I1596" s="5">
        <v>0.1</v>
      </c>
      <c r="J1596">
        <f t="shared" si="48"/>
        <v>989.98200000000008</v>
      </c>
      <c r="K1596" s="9">
        <f t="shared" si="49"/>
        <v>-0.48993857929220308</v>
      </c>
    </row>
    <row r="1597" spans="1:11" x14ac:dyDescent="0.3">
      <c r="A1597">
        <v>570</v>
      </c>
      <c r="B1597">
        <v>3</v>
      </c>
      <c r="C1597">
        <v>3</v>
      </c>
      <c r="D1597" t="str">
        <f>VLOOKUP($C1597,products!$A$1:$F$322,MATCH(order_items!$D$1,products!$A$1:$F$1,0),FALSE)</f>
        <v>Surly Wednesday Frameset - 2016</v>
      </c>
      <c r="E1597">
        <f>VLOOKUP($C1597,products!$A$1:$F$322,MATCH(order_items!$E$1,products!$A$1:$F$1,0),FALSE)</f>
        <v>6</v>
      </c>
      <c r="F1597" t="str">
        <f>VLOOKUP($E1597,categories!$A$1:$B$8,MATCH(order_items!$F$1,categories!$A$1:$B$1,0),FALSE)</f>
        <v>Mountain Bikes</v>
      </c>
      <c r="G1597">
        <v>2</v>
      </c>
      <c r="H1597">
        <v>999.99</v>
      </c>
      <c r="I1597" s="5">
        <v>0.2</v>
      </c>
      <c r="J1597">
        <f t="shared" si="48"/>
        <v>1599.9840000000002</v>
      </c>
      <c r="K1597" s="9">
        <f t="shared" si="49"/>
        <v>-0.15725951613718298</v>
      </c>
    </row>
    <row r="1598" spans="1:11" x14ac:dyDescent="0.3">
      <c r="A1598">
        <v>570</v>
      </c>
      <c r="B1598">
        <v>4</v>
      </c>
      <c r="C1598">
        <v>11</v>
      </c>
      <c r="D1598" t="str">
        <f>VLOOKUP($C1598,products!$A$1:$F$322,MATCH(order_items!$D$1,products!$A$1:$F$1,0),FALSE)</f>
        <v>Surly Straggler 650b - 2016</v>
      </c>
      <c r="E1598">
        <f>VLOOKUP($C1598,products!$A$1:$F$322,MATCH(order_items!$E$1,products!$A$1:$F$1,0),FALSE)</f>
        <v>4</v>
      </c>
      <c r="F1598" t="str">
        <f>VLOOKUP($E1598,categories!$A$1:$B$8,MATCH(order_items!$F$1,categories!$A$1:$B$1,0),FALSE)</f>
        <v>Cyclocross Bicycles</v>
      </c>
      <c r="G1598">
        <v>1</v>
      </c>
      <c r="H1598">
        <v>1680.99</v>
      </c>
      <c r="I1598" s="5">
        <v>0.1</v>
      </c>
      <c r="J1598">
        <f t="shared" si="48"/>
        <v>1512.8910000000001</v>
      </c>
      <c r="K1598" s="9">
        <f t="shared" si="49"/>
        <v>0.3461947994374141</v>
      </c>
    </row>
    <row r="1599" spans="1:11" x14ac:dyDescent="0.3">
      <c r="A1599">
        <v>570</v>
      </c>
      <c r="B1599">
        <v>5</v>
      </c>
      <c r="C1599">
        <v>16</v>
      </c>
      <c r="D1599" t="str">
        <f>VLOOKUP($C1599,products!$A$1:$F$322,MATCH(order_items!$D$1,products!$A$1:$F$1,0),FALSE)</f>
        <v>Electra Townie Original 7D EQ - 2016</v>
      </c>
      <c r="E1599">
        <f>VLOOKUP($C1599,products!$A$1:$F$322,MATCH(order_items!$E$1,products!$A$1:$F$1,0),FALSE)</f>
        <v>3</v>
      </c>
      <c r="F1599" t="str">
        <f>VLOOKUP($E1599,categories!$A$1:$B$8,MATCH(order_items!$F$1,categories!$A$1:$B$1,0),FALSE)</f>
        <v>Cruisers Bicycles</v>
      </c>
      <c r="G1599">
        <v>1</v>
      </c>
      <c r="H1599">
        <v>599.99</v>
      </c>
      <c r="I1599" s="5">
        <v>0.05</v>
      </c>
      <c r="J1599">
        <f t="shared" si="48"/>
        <v>569.9905</v>
      </c>
      <c r="K1599" s="9">
        <f t="shared" si="49"/>
        <v>-0.45297423894164529</v>
      </c>
    </row>
    <row r="1600" spans="1:11" x14ac:dyDescent="0.3">
      <c r="A1600">
        <v>571</v>
      </c>
      <c r="B1600">
        <v>1</v>
      </c>
      <c r="C1600">
        <v>4</v>
      </c>
      <c r="D1600" t="str">
        <f>VLOOKUP($C1600,products!$A$1:$F$322,MATCH(order_items!$D$1,products!$A$1:$F$1,0),FALSE)</f>
        <v>Trek Fuel EX 8 29 - 2016</v>
      </c>
      <c r="E1600">
        <f>VLOOKUP($C1600,products!$A$1:$F$322,MATCH(order_items!$E$1,products!$A$1:$F$1,0),FALSE)</f>
        <v>6</v>
      </c>
      <c r="F1600" t="str">
        <f>VLOOKUP($E1600,categories!$A$1:$B$8,MATCH(order_items!$F$1,categories!$A$1:$B$1,0),FALSE)</f>
        <v>Mountain Bikes</v>
      </c>
      <c r="G1600">
        <v>1</v>
      </c>
      <c r="H1600">
        <v>2899.99</v>
      </c>
      <c r="I1600" s="5">
        <v>0.05</v>
      </c>
      <c r="J1600">
        <f t="shared" si="48"/>
        <v>2754.9904999999999</v>
      </c>
      <c r="K1600" s="9">
        <f t="shared" si="49"/>
        <v>1.2473854171840129</v>
      </c>
    </row>
    <row r="1601" spans="1:11" x14ac:dyDescent="0.3">
      <c r="A1601">
        <v>571</v>
      </c>
      <c r="B1601">
        <v>2</v>
      </c>
      <c r="C1601">
        <v>9</v>
      </c>
      <c r="D1601" t="str">
        <f>VLOOKUP($C1601,products!$A$1:$F$322,MATCH(order_items!$D$1,products!$A$1:$F$1,0),FALSE)</f>
        <v>Trek Conduit+ - 2016</v>
      </c>
      <c r="E1601">
        <f>VLOOKUP($C1601,products!$A$1:$F$322,MATCH(order_items!$E$1,products!$A$1:$F$1,0),FALSE)</f>
        <v>5</v>
      </c>
      <c r="F1601" t="str">
        <f>VLOOKUP($E1601,categories!$A$1:$B$8,MATCH(order_items!$F$1,categories!$A$1:$B$1,0),FALSE)</f>
        <v>Electric Bikes</v>
      </c>
      <c r="G1601">
        <v>1</v>
      </c>
      <c r="H1601">
        <v>2999.99</v>
      </c>
      <c r="I1601" s="5">
        <v>0.1</v>
      </c>
      <c r="J1601">
        <f t="shared" si="48"/>
        <v>2699.991</v>
      </c>
      <c r="K1601" s="9">
        <f t="shared" si="49"/>
        <v>1.3213140978851283</v>
      </c>
    </row>
    <row r="1602" spans="1:11" x14ac:dyDescent="0.3">
      <c r="A1602">
        <v>572</v>
      </c>
      <c r="B1602">
        <v>1</v>
      </c>
      <c r="C1602">
        <v>3</v>
      </c>
      <c r="D1602" t="str">
        <f>VLOOKUP($C1602,products!$A$1:$F$322,MATCH(order_items!$D$1,products!$A$1:$F$1,0),FALSE)</f>
        <v>Surly Wednesday Frameset - 2016</v>
      </c>
      <c r="E1602">
        <f>VLOOKUP($C1602,products!$A$1:$F$322,MATCH(order_items!$E$1,products!$A$1:$F$1,0),FALSE)</f>
        <v>6</v>
      </c>
      <c r="F1602" t="str">
        <f>VLOOKUP($E1602,categories!$A$1:$B$8,MATCH(order_items!$F$1,categories!$A$1:$B$1,0),FALSE)</f>
        <v>Mountain Bikes</v>
      </c>
      <c r="G1602">
        <v>1</v>
      </c>
      <c r="H1602">
        <v>999.99</v>
      </c>
      <c r="I1602" s="5">
        <v>0.05</v>
      </c>
      <c r="J1602">
        <f t="shared" ref="J1602:J1665" si="50">G1602*H1602*(1-I1602)</f>
        <v>949.9905</v>
      </c>
      <c r="K1602" s="9">
        <f t="shared" ref="K1602:K1665" si="51">($H1602-$M$7)/$M$9</f>
        <v>-0.15725951613718298</v>
      </c>
    </row>
    <row r="1603" spans="1:11" x14ac:dyDescent="0.3">
      <c r="A1603">
        <v>572</v>
      </c>
      <c r="B1603">
        <v>2</v>
      </c>
      <c r="C1603">
        <v>13</v>
      </c>
      <c r="D1603" t="str">
        <f>VLOOKUP($C1603,products!$A$1:$F$322,MATCH(order_items!$D$1,products!$A$1:$F$1,0),FALSE)</f>
        <v>Electra Cruiser 1 (24-Inch) - 2016</v>
      </c>
      <c r="E1603">
        <f>VLOOKUP($C1603,products!$A$1:$F$322,MATCH(order_items!$E$1,products!$A$1:$F$1,0),FALSE)</f>
        <v>3</v>
      </c>
      <c r="F1603" t="str">
        <f>VLOOKUP($E1603,categories!$A$1:$B$8,MATCH(order_items!$F$1,categories!$A$1:$B$1,0),FALSE)</f>
        <v>Cruisers Bicycles</v>
      </c>
      <c r="G1603">
        <v>2</v>
      </c>
      <c r="H1603">
        <v>269.99</v>
      </c>
      <c r="I1603" s="5">
        <v>0.1</v>
      </c>
      <c r="J1603">
        <f t="shared" si="50"/>
        <v>485.98200000000003</v>
      </c>
      <c r="K1603" s="9">
        <f t="shared" si="51"/>
        <v>-0.69693888525532666</v>
      </c>
    </row>
    <row r="1604" spans="1:11" x14ac:dyDescent="0.3">
      <c r="A1604">
        <v>572</v>
      </c>
      <c r="B1604">
        <v>3</v>
      </c>
      <c r="C1604">
        <v>11</v>
      </c>
      <c r="D1604" t="str">
        <f>VLOOKUP($C1604,products!$A$1:$F$322,MATCH(order_items!$D$1,products!$A$1:$F$1,0),FALSE)</f>
        <v>Surly Straggler 650b - 2016</v>
      </c>
      <c r="E1604">
        <f>VLOOKUP($C1604,products!$A$1:$F$322,MATCH(order_items!$E$1,products!$A$1:$F$1,0),FALSE)</f>
        <v>4</v>
      </c>
      <c r="F1604" t="str">
        <f>VLOOKUP($E1604,categories!$A$1:$B$8,MATCH(order_items!$F$1,categories!$A$1:$B$1,0),FALSE)</f>
        <v>Cyclocross Bicycles</v>
      </c>
      <c r="G1604">
        <v>2</v>
      </c>
      <c r="H1604">
        <v>1680.99</v>
      </c>
      <c r="I1604" s="5">
        <v>0.2</v>
      </c>
      <c r="J1604">
        <f t="shared" si="50"/>
        <v>2689.5840000000003</v>
      </c>
      <c r="K1604" s="9">
        <f t="shared" si="51"/>
        <v>0.3461947994374141</v>
      </c>
    </row>
    <row r="1605" spans="1:11" x14ac:dyDescent="0.3">
      <c r="A1605">
        <v>573</v>
      </c>
      <c r="B1605">
        <v>1</v>
      </c>
      <c r="C1605">
        <v>2</v>
      </c>
      <c r="D1605" t="str">
        <f>VLOOKUP($C1605,products!$A$1:$F$322,MATCH(order_items!$D$1,products!$A$1:$F$1,0),FALSE)</f>
        <v>Ritchey Timberwolf Frameset - 2016</v>
      </c>
      <c r="E1605">
        <f>VLOOKUP($C1605,products!$A$1:$F$322,MATCH(order_items!$E$1,products!$A$1:$F$1,0),FALSE)</f>
        <v>6</v>
      </c>
      <c r="F1605" t="str">
        <f>VLOOKUP($E1605,categories!$A$1:$B$8,MATCH(order_items!$F$1,categories!$A$1:$B$1,0),FALSE)</f>
        <v>Mountain Bikes</v>
      </c>
      <c r="G1605">
        <v>1</v>
      </c>
      <c r="H1605">
        <v>749.99</v>
      </c>
      <c r="I1605" s="5">
        <v>0.2</v>
      </c>
      <c r="J1605">
        <f t="shared" si="50"/>
        <v>599.99200000000008</v>
      </c>
      <c r="K1605" s="9">
        <f t="shared" si="51"/>
        <v>-0.34208121788997192</v>
      </c>
    </row>
    <row r="1606" spans="1:11" x14ac:dyDescent="0.3">
      <c r="A1606">
        <v>574</v>
      </c>
      <c r="B1606">
        <v>1</v>
      </c>
      <c r="C1606">
        <v>26</v>
      </c>
      <c r="D1606" t="str">
        <f>VLOOKUP($C1606,products!$A$1:$F$322,MATCH(order_items!$D$1,products!$A$1:$F$1,0),FALSE)</f>
        <v>Electra Townie Original 7D EQ - 2016</v>
      </c>
      <c r="E1606">
        <f>VLOOKUP($C1606,products!$A$1:$F$322,MATCH(order_items!$E$1,products!$A$1:$F$1,0),FALSE)</f>
        <v>2</v>
      </c>
      <c r="F1606" t="str">
        <f>VLOOKUP($E1606,categories!$A$1:$B$8,MATCH(order_items!$F$1,categories!$A$1:$B$1,0),FALSE)</f>
        <v>Comfort Bicycles</v>
      </c>
      <c r="G1606">
        <v>1</v>
      </c>
      <c r="H1606">
        <v>599.99</v>
      </c>
      <c r="I1606" s="5">
        <v>0.05</v>
      </c>
      <c r="J1606">
        <f t="shared" si="50"/>
        <v>569.9905</v>
      </c>
      <c r="K1606" s="9">
        <f t="shared" si="51"/>
        <v>-0.45297423894164529</v>
      </c>
    </row>
    <row r="1607" spans="1:11" x14ac:dyDescent="0.3">
      <c r="A1607">
        <v>574</v>
      </c>
      <c r="B1607">
        <v>2</v>
      </c>
      <c r="C1607">
        <v>13</v>
      </c>
      <c r="D1607" t="str">
        <f>VLOOKUP($C1607,products!$A$1:$F$322,MATCH(order_items!$D$1,products!$A$1:$F$1,0),FALSE)</f>
        <v>Electra Cruiser 1 (24-Inch) - 2016</v>
      </c>
      <c r="E1607">
        <f>VLOOKUP($C1607,products!$A$1:$F$322,MATCH(order_items!$E$1,products!$A$1:$F$1,0),FALSE)</f>
        <v>3</v>
      </c>
      <c r="F1607" t="str">
        <f>VLOOKUP($E1607,categories!$A$1:$B$8,MATCH(order_items!$F$1,categories!$A$1:$B$1,0),FALSE)</f>
        <v>Cruisers Bicycles</v>
      </c>
      <c r="G1607">
        <v>2</v>
      </c>
      <c r="H1607">
        <v>269.99</v>
      </c>
      <c r="I1607" s="5">
        <v>0.1</v>
      </c>
      <c r="J1607">
        <f t="shared" si="50"/>
        <v>485.98200000000003</v>
      </c>
      <c r="K1607" s="9">
        <f t="shared" si="51"/>
        <v>-0.69693888525532666</v>
      </c>
    </row>
    <row r="1608" spans="1:11" x14ac:dyDescent="0.3">
      <c r="A1608">
        <v>574</v>
      </c>
      <c r="B1608">
        <v>3</v>
      </c>
      <c r="C1608">
        <v>12</v>
      </c>
      <c r="D1608" t="str">
        <f>VLOOKUP($C1608,products!$A$1:$F$322,MATCH(order_items!$D$1,products!$A$1:$F$1,0),FALSE)</f>
        <v>Electra Townie Original 21D - 2016</v>
      </c>
      <c r="E1608">
        <f>VLOOKUP($C1608,products!$A$1:$F$322,MATCH(order_items!$E$1,products!$A$1:$F$1,0),FALSE)</f>
        <v>3</v>
      </c>
      <c r="F1608" t="str">
        <f>VLOOKUP($E1608,categories!$A$1:$B$8,MATCH(order_items!$F$1,categories!$A$1:$B$1,0),FALSE)</f>
        <v>Cruisers Bicycles</v>
      </c>
      <c r="G1608">
        <v>2</v>
      </c>
      <c r="H1608">
        <v>549.99</v>
      </c>
      <c r="I1608" s="5">
        <v>0.1</v>
      </c>
      <c r="J1608">
        <f t="shared" si="50"/>
        <v>989.98200000000008</v>
      </c>
      <c r="K1608" s="9">
        <f t="shared" si="51"/>
        <v>-0.48993857929220308</v>
      </c>
    </row>
    <row r="1609" spans="1:11" x14ac:dyDescent="0.3">
      <c r="A1609">
        <v>574</v>
      </c>
      <c r="B1609">
        <v>4</v>
      </c>
      <c r="C1609">
        <v>23</v>
      </c>
      <c r="D1609" t="str">
        <f>VLOOKUP($C1609,products!$A$1:$F$322,MATCH(order_items!$D$1,products!$A$1:$F$1,0),FALSE)</f>
        <v>Electra Girl's Hawaii 1 (20-inch) - 2015/2016</v>
      </c>
      <c r="E1609">
        <f>VLOOKUP($C1609,products!$A$1:$F$322,MATCH(order_items!$E$1,products!$A$1:$F$1,0),FALSE)</f>
        <v>1</v>
      </c>
      <c r="F1609" t="str">
        <f>VLOOKUP($E1609,categories!$A$1:$B$8,MATCH(order_items!$F$1,categories!$A$1:$B$1,0),FALSE)</f>
        <v>Children Bicycles</v>
      </c>
      <c r="G1609">
        <v>2</v>
      </c>
      <c r="H1609">
        <v>299.99</v>
      </c>
      <c r="I1609" s="5">
        <v>0.1</v>
      </c>
      <c r="J1609">
        <f t="shared" si="50"/>
        <v>539.98200000000008</v>
      </c>
      <c r="K1609" s="9">
        <f t="shared" si="51"/>
        <v>-0.67476028104499197</v>
      </c>
    </row>
    <row r="1610" spans="1:11" x14ac:dyDescent="0.3">
      <c r="A1610">
        <v>574</v>
      </c>
      <c r="B1610">
        <v>5</v>
      </c>
      <c r="C1610">
        <v>11</v>
      </c>
      <c r="D1610" t="str">
        <f>VLOOKUP($C1610,products!$A$1:$F$322,MATCH(order_items!$D$1,products!$A$1:$F$1,0),FALSE)</f>
        <v>Surly Straggler 650b - 2016</v>
      </c>
      <c r="E1610">
        <f>VLOOKUP($C1610,products!$A$1:$F$322,MATCH(order_items!$E$1,products!$A$1:$F$1,0),FALSE)</f>
        <v>4</v>
      </c>
      <c r="F1610" t="str">
        <f>VLOOKUP($E1610,categories!$A$1:$B$8,MATCH(order_items!$F$1,categories!$A$1:$B$1,0),FALSE)</f>
        <v>Cyclocross Bicycles</v>
      </c>
      <c r="G1610">
        <v>2</v>
      </c>
      <c r="H1610">
        <v>1680.99</v>
      </c>
      <c r="I1610" s="5">
        <v>0.05</v>
      </c>
      <c r="J1610">
        <f t="shared" si="50"/>
        <v>3193.8809999999999</v>
      </c>
      <c r="K1610" s="9">
        <f t="shared" si="51"/>
        <v>0.3461947994374141</v>
      </c>
    </row>
    <row r="1611" spans="1:11" x14ac:dyDescent="0.3">
      <c r="A1611">
        <v>575</v>
      </c>
      <c r="B1611">
        <v>1</v>
      </c>
      <c r="C1611">
        <v>4</v>
      </c>
      <c r="D1611" t="str">
        <f>VLOOKUP($C1611,products!$A$1:$F$322,MATCH(order_items!$D$1,products!$A$1:$F$1,0),FALSE)</f>
        <v>Trek Fuel EX 8 29 - 2016</v>
      </c>
      <c r="E1611">
        <f>VLOOKUP($C1611,products!$A$1:$F$322,MATCH(order_items!$E$1,products!$A$1:$F$1,0),FALSE)</f>
        <v>6</v>
      </c>
      <c r="F1611" t="str">
        <f>VLOOKUP($E1611,categories!$A$1:$B$8,MATCH(order_items!$F$1,categories!$A$1:$B$1,0),FALSE)</f>
        <v>Mountain Bikes</v>
      </c>
      <c r="G1611">
        <v>2</v>
      </c>
      <c r="H1611">
        <v>2899.99</v>
      </c>
      <c r="I1611" s="5">
        <v>7.0000000000000007E-2</v>
      </c>
      <c r="J1611">
        <f t="shared" si="50"/>
        <v>5393.9813999999997</v>
      </c>
      <c r="K1611" s="9">
        <f t="shared" si="51"/>
        <v>1.2473854171840129</v>
      </c>
    </row>
    <row r="1612" spans="1:11" x14ac:dyDescent="0.3">
      <c r="A1612">
        <v>575</v>
      </c>
      <c r="B1612">
        <v>2</v>
      </c>
      <c r="C1612">
        <v>12</v>
      </c>
      <c r="D1612" t="str">
        <f>VLOOKUP($C1612,products!$A$1:$F$322,MATCH(order_items!$D$1,products!$A$1:$F$1,0),FALSE)</f>
        <v>Electra Townie Original 21D - 2016</v>
      </c>
      <c r="E1612">
        <f>VLOOKUP($C1612,products!$A$1:$F$322,MATCH(order_items!$E$1,products!$A$1:$F$1,0),FALSE)</f>
        <v>3</v>
      </c>
      <c r="F1612" t="str">
        <f>VLOOKUP($E1612,categories!$A$1:$B$8,MATCH(order_items!$F$1,categories!$A$1:$B$1,0),FALSE)</f>
        <v>Cruisers Bicycles</v>
      </c>
      <c r="G1612">
        <v>1</v>
      </c>
      <c r="H1612">
        <v>549.99</v>
      </c>
      <c r="I1612" s="5">
        <v>0.2</v>
      </c>
      <c r="J1612">
        <f t="shared" si="50"/>
        <v>439.99200000000002</v>
      </c>
      <c r="K1612" s="9">
        <f t="shared" si="51"/>
        <v>-0.48993857929220308</v>
      </c>
    </row>
    <row r="1613" spans="1:11" x14ac:dyDescent="0.3">
      <c r="A1613">
        <v>576</v>
      </c>
      <c r="B1613">
        <v>1</v>
      </c>
      <c r="C1613">
        <v>9</v>
      </c>
      <c r="D1613" t="str">
        <f>VLOOKUP($C1613,products!$A$1:$F$322,MATCH(order_items!$D$1,products!$A$1:$F$1,0),FALSE)</f>
        <v>Trek Conduit+ - 2016</v>
      </c>
      <c r="E1613">
        <f>VLOOKUP($C1613,products!$A$1:$F$322,MATCH(order_items!$E$1,products!$A$1:$F$1,0),FALSE)</f>
        <v>5</v>
      </c>
      <c r="F1613" t="str">
        <f>VLOOKUP($E1613,categories!$A$1:$B$8,MATCH(order_items!$F$1,categories!$A$1:$B$1,0),FALSE)</f>
        <v>Electric Bikes</v>
      </c>
      <c r="G1613">
        <v>1</v>
      </c>
      <c r="H1613">
        <v>2999.99</v>
      </c>
      <c r="I1613" s="5">
        <v>0.1</v>
      </c>
      <c r="J1613">
        <f t="shared" si="50"/>
        <v>2699.991</v>
      </c>
      <c r="K1613" s="9">
        <f t="shared" si="51"/>
        <v>1.3213140978851283</v>
      </c>
    </row>
    <row r="1614" spans="1:11" x14ac:dyDescent="0.3">
      <c r="A1614">
        <v>577</v>
      </c>
      <c r="B1614">
        <v>1</v>
      </c>
      <c r="C1614">
        <v>3</v>
      </c>
      <c r="D1614" t="str">
        <f>VLOOKUP($C1614,products!$A$1:$F$322,MATCH(order_items!$D$1,products!$A$1:$F$1,0),FALSE)</f>
        <v>Surly Wednesday Frameset - 2016</v>
      </c>
      <c r="E1614">
        <f>VLOOKUP($C1614,products!$A$1:$F$322,MATCH(order_items!$E$1,products!$A$1:$F$1,0),FALSE)</f>
        <v>6</v>
      </c>
      <c r="F1614" t="str">
        <f>VLOOKUP($E1614,categories!$A$1:$B$8,MATCH(order_items!$F$1,categories!$A$1:$B$1,0),FALSE)</f>
        <v>Mountain Bikes</v>
      </c>
      <c r="G1614">
        <v>2</v>
      </c>
      <c r="H1614">
        <v>999.99</v>
      </c>
      <c r="I1614" s="5">
        <v>0.2</v>
      </c>
      <c r="J1614">
        <f t="shared" si="50"/>
        <v>1599.9840000000002</v>
      </c>
      <c r="K1614" s="9">
        <f t="shared" si="51"/>
        <v>-0.15725951613718298</v>
      </c>
    </row>
    <row r="1615" spans="1:11" x14ac:dyDescent="0.3">
      <c r="A1615">
        <v>578</v>
      </c>
      <c r="B1615">
        <v>1</v>
      </c>
      <c r="C1615">
        <v>21</v>
      </c>
      <c r="D1615" t="str">
        <f>VLOOKUP($C1615,products!$A$1:$F$322,MATCH(order_items!$D$1,products!$A$1:$F$1,0),FALSE)</f>
        <v>Electra Cruiser 1 (24-Inch) - 2016</v>
      </c>
      <c r="E1615">
        <f>VLOOKUP($C1615,products!$A$1:$F$322,MATCH(order_items!$E$1,products!$A$1:$F$1,0),FALSE)</f>
        <v>1</v>
      </c>
      <c r="F1615" t="str">
        <f>VLOOKUP($E1615,categories!$A$1:$B$8,MATCH(order_items!$F$1,categories!$A$1:$B$1,0),FALSE)</f>
        <v>Children Bicycles</v>
      </c>
      <c r="G1615">
        <v>1</v>
      </c>
      <c r="H1615">
        <v>269.99</v>
      </c>
      <c r="I1615" s="5">
        <v>7.0000000000000007E-2</v>
      </c>
      <c r="J1615">
        <f t="shared" si="50"/>
        <v>251.0907</v>
      </c>
      <c r="K1615" s="9">
        <f t="shared" si="51"/>
        <v>-0.69693888525532666</v>
      </c>
    </row>
    <row r="1616" spans="1:11" x14ac:dyDescent="0.3">
      <c r="A1616">
        <v>578</v>
      </c>
      <c r="B1616">
        <v>2</v>
      </c>
      <c r="C1616">
        <v>25</v>
      </c>
      <c r="D1616" t="str">
        <f>VLOOKUP($C1616,products!$A$1:$F$322,MATCH(order_items!$D$1,products!$A$1:$F$1,0),FALSE)</f>
        <v>Electra Townie Original 7D - 2015/2016</v>
      </c>
      <c r="E1616">
        <f>VLOOKUP($C1616,products!$A$1:$F$322,MATCH(order_items!$E$1,products!$A$1:$F$1,0),FALSE)</f>
        <v>2</v>
      </c>
      <c r="F1616" t="str">
        <f>VLOOKUP($E1616,categories!$A$1:$B$8,MATCH(order_items!$F$1,categories!$A$1:$B$1,0),FALSE)</f>
        <v>Comfort Bicycles</v>
      </c>
      <c r="G1616">
        <v>2</v>
      </c>
      <c r="H1616">
        <v>499.99</v>
      </c>
      <c r="I1616" s="5">
        <v>0.2</v>
      </c>
      <c r="J1616">
        <f t="shared" si="50"/>
        <v>799.98400000000004</v>
      </c>
      <c r="K1616" s="9">
        <f t="shared" si="51"/>
        <v>-0.52690291964276081</v>
      </c>
    </row>
    <row r="1617" spans="1:11" x14ac:dyDescent="0.3">
      <c r="A1617">
        <v>578</v>
      </c>
      <c r="B1617">
        <v>3</v>
      </c>
      <c r="C1617">
        <v>18</v>
      </c>
      <c r="D1617" t="str">
        <f>VLOOKUP($C1617,products!$A$1:$F$322,MATCH(order_items!$D$1,products!$A$1:$F$1,0),FALSE)</f>
        <v>Pure Cycles Western 3-Speed - Women's - 2015/2016</v>
      </c>
      <c r="E1617">
        <f>VLOOKUP($C1617,products!$A$1:$F$322,MATCH(order_items!$E$1,products!$A$1:$F$1,0),FALSE)</f>
        <v>3</v>
      </c>
      <c r="F1617" t="str">
        <f>VLOOKUP($E1617,categories!$A$1:$B$8,MATCH(order_items!$F$1,categories!$A$1:$B$1,0),FALSE)</f>
        <v>Cruisers Bicycles</v>
      </c>
      <c r="G1617">
        <v>2</v>
      </c>
      <c r="H1617">
        <v>449</v>
      </c>
      <c r="I1617" s="5">
        <v>0.05</v>
      </c>
      <c r="J1617">
        <f t="shared" si="50"/>
        <v>853.09999999999991</v>
      </c>
      <c r="K1617" s="9">
        <f t="shared" si="51"/>
        <v>-0.56459915393225968</v>
      </c>
    </row>
    <row r="1618" spans="1:11" x14ac:dyDescent="0.3">
      <c r="A1618">
        <v>578</v>
      </c>
      <c r="B1618">
        <v>4</v>
      </c>
      <c r="C1618">
        <v>8</v>
      </c>
      <c r="D1618" t="str">
        <f>VLOOKUP($C1618,products!$A$1:$F$322,MATCH(order_items!$D$1,products!$A$1:$F$1,0),FALSE)</f>
        <v>Trek Remedy 29 Carbon Frameset - 2016</v>
      </c>
      <c r="E1618">
        <f>VLOOKUP($C1618,products!$A$1:$F$322,MATCH(order_items!$E$1,products!$A$1:$F$1,0),FALSE)</f>
        <v>6</v>
      </c>
      <c r="F1618" t="str">
        <f>VLOOKUP($E1618,categories!$A$1:$B$8,MATCH(order_items!$F$1,categories!$A$1:$B$1,0),FALSE)</f>
        <v>Mountain Bikes</v>
      </c>
      <c r="G1618">
        <v>2</v>
      </c>
      <c r="H1618">
        <v>1799.99</v>
      </c>
      <c r="I1618" s="5">
        <v>0.2</v>
      </c>
      <c r="J1618">
        <f t="shared" si="50"/>
        <v>2879.9840000000004</v>
      </c>
      <c r="K1618" s="9">
        <f t="shared" si="51"/>
        <v>0.43416992947174166</v>
      </c>
    </row>
    <row r="1619" spans="1:11" x14ac:dyDescent="0.3">
      <c r="A1619">
        <v>579</v>
      </c>
      <c r="B1619">
        <v>1</v>
      </c>
      <c r="C1619">
        <v>7</v>
      </c>
      <c r="D1619" t="str">
        <f>VLOOKUP($C1619,products!$A$1:$F$322,MATCH(order_items!$D$1,products!$A$1:$F$1,0),FALSE)</f>
        <v>Trek Slash 8 27.5 - 2016</v>
      </c>
      <c r="E1619">
        <f>VLOOKUP($C1619,products!$A$1:$F$322,MATCH(order_items!$E$1,products!$A$1:$F$1,0),FALSE)</f>
        <v>6</v>
      </c>
      <c r="F1619" t="str">
        <f>VLOOKUP($E1619,categories!$A$1:$B$8,MATCH(order_items!$F$1,categories!$A$1:$B$1,0),FALSE)</f>
        <v>Mountain Bikes</v>
      </c>
      <c r="G1619">
        <v>2</v>
      </c>
      <c r="H1619">
        <v>3999.99</v>
      </c>
      <c r="I1619" s="5">
        <v>0.05</v>
      </c>
      <c r="J1619">
        <f t="shared" si="50"/>
        <v>7599.9809999999989</v>
      </c>
      <c r="K1619" s="9">
        <f t="shared" si="51"/>
        <v>2.0606009048962846</v>
      </c>
    </row>
    <row r="1620" spans="1:11" x14ac:dyDescent="0.3">
      <c r="A1620">
        <v>579</v>
      </c>
      <c r="B1620">
        <v>2</v>
      </c>
      <c r="C1620">
        <v>6</v>
      </c>
      <c r="D1620" t="str">
        <f>VLOOKUP($C1620,products!$A$1:$F$322,MATCH(order_items!$D$1,products!$A$1:$F$1,0),FALSE)</f>
        <v>Surly Ice Cream Truck Frameset - 2016</v>
      </c>
      <c r="E1620">
        <f>VLOOKUP($C1620,products!$A$1:$F$322,MATCH(order_items!$E$1,products!$A$1:$F$1,0),FALSE)</f>
        <v>6</v>
      </c>
      <c r="F1620" t="str">
        <f>VLOOKUP($E1620,categories!$A$1:$B$8,MATCH(order_items!$F$1,categories!$A$1:$B$1,0),FALSE)</f>
        <v>Mountain Bikes</v>
      </c>
      <c r="G1620">
        <v>1</v>
      </c>
      <c r="H1620">
        <v>469.99</v>
      </c>
      <c r="I1620" s="5">
        <v>0.2</v>
      </c>
      <c r="J1620">
        <f t="shared" si="50"/>
        <v>375.99200000000002</v>
      </c>
      <c r="K1620" s="9">
        <f t="shared" si="51"/>
        <v>-0.5490815238530955</v>
      </c>
    </row>
    <row r="1621" spans="1:11" x14ac:dyDescent="0.3">
      <c r="A1621">
        <v>580</v>
      </c>
      <c r="B1621">
        <v>1</v>
      </c>
      <c r="C1621">
        <v>16</v>
      </c>
      <c r="D1621" t="str">
        <f>VLOOKUP($C1621,products!$A$1:$F$322,MATCH(order_items!$D$1,products!$A$1:$F$1,0),FALSE)</f>
        <v>Electra Townie Original 7D EQ - 2016</v>
      </c>
      <c r="E1621">
        <f>VLOOKUP($C1621,products!$A$1:$F$322,MATCH(order_items!$E$1,products!$A$1:$F$1,0),FALSE)</f>
        <v>3</v>
      </c>
      <c r="F1621" t="str">
        <f>VLOOKUP($E1621,categories!$A$1:$B$8,MATCH(order_items!$F$1,categories!$A$1:$B$1,0),FALSE)</f>
        <v>Cruisers Bicycles</v>
      </c>
      <c r="G1621">
        <v>2</v>
      </c>
      <c r="H1621">
        <v>599.99</v>
      </c>
      <c r="I1621" s="5">
        <v>0.2</v>
      </c>
      <c r="J1621">
        <f t="shared" si="50"/>
        <v>959.98400000000004</v>
      </c>
      <c r="K1621" s="9">
        <f t="shared" si="51"/>
        <v>-0.45297423894164529</v>
      </c>
    </row>
    <row r="1622" spans="1:11" x14ac:dyDescent="0.3">
      <c r="A1622">
        <v>580</v>
      </c>
      <c r="B1622">
        <v>2</v>
      </c>
      <c r="C1622">
        <v>15</v>
      </c>
      <c r="D1622" t="str">
        <f>VLOOKUP($C1622,products!$A$1:$F$322,MATCH(order_items!$D$1,products!$A$1:$F$1,0),FALSE)</f>
        <v>Electra Moto 1 - 2016</v>
      </c>
      <c r="E1622">
        <f>VLOOKUP($C1622,products!$A$1:$F$322,MATCH(order_items!$E$1,products!$A$1:$F$1,0),FALSE)</f>
        <v>3</v>
      </c>
      <c r="F1622" t="str">
        <f>VLOOKUP($E1622,categories!$A$1:$B$8,MATCH(order_items!$F$1,categories!$A$1:$B$1,0),FALSE)</f>
        <v>Cruisers Bicycles</v>
      </c>
      <c r="G1622">
        <v>1</v>
      </c>
      <c r="H1622">
        <v>529.99</v>
      </c>
      <c r="I1622" s="5">
        <v>7.0000000000000007E-2</v>
      </c>
      <c r="J1622">
        <f t="shared" si="50"/>
        <v>492.89069999999998</v>
      </c>
      <c r="K1622" s="9">
        <f t="shared" si="51"/>
        <v>-0.50472431543242624</v>
      </c>
    </row>
    <row r="1623" spans="1:11" x14ac:dyDescent="0.3">
      <c r="A1623">
        <v>580</v>
      </c>
      <c r="B1623">
        <v>3</v>
      </c>
      <c r="C1623">
        <v>21</v>
      </c>
      <c r="D1623" t="str">
        <f>VLOOKUP($C1623,products!$A$1:$F$322,MATCH(order_items!$D$1,products!$A$1:$F$1,0),FALSE)</f>
        <v>Electra Cruiser 1 (24-Inch) - 2016</v>
      </c>
      <c r="E1623">
        <f>VLOOKUP($C1623,products!$A$1:$F$322,MATCH(order_items!$E$1,products!$A$1:$F$1,0),FALSE)</f>
        <v>1</v>
      </c>
      <c r="F1623" t="str">
        <f>VLOOKUP($E1623,categories!$A$1:$B$8,MATCH(order_items!$F$1,categories!$A$1:$B$1,0),FALSE)</f>
        <v>Children Bicycles</v>
      </c>
      <c r="G1623">
        <v>2</v>
      </c>
      <c r="H1623">
        <v>269.99</v>
      </c>
      <c r="I1623" s="5">
        <v>0.2</v>
      </c>
      <c r="J1623">
        <f t="shared" si="50"/>
        <v>431.98400000000004</v>
      </c>
      <c r="K1623" s="9">
        <f t="shared" si="51"/>
        <v>-0.69693888525532666</v>
      </c>
    </row>
    <row r="1624" spans="1:11" x14ac:dyDescent="0.3">
      <c r="A1624">
        <v>580</v>
      </c>
      <c r="B1624">
        <v>4</v>
      </c>
      <c r="C1624">
        <v>9</v>
      </c>
      <c r="D1624" t="str">
        <f>VLOOKUP($C1624,products!$A$1:$F$322,MATCH(order_items!$D$1,products!$A$1:$F$1,0),FALSE)</f>
        <v>Trek Conduit+ - 2016</v>
      </c>
      <c r="E1624">
        <f>VLOOKUP($C1624,products!$A$1:$F$322,MATCH(order_items!$E$1,products!$A$1:$F$1,0),FALSE)</f>
        <v>5</v>
      </c>
      <c r="F1624" t="str">
        <f>VLOOKUP($E1624,categories!$A$1:$B$8,MATCH(order_items!$F$1,categories!$A$1:$B$1,0),FALSE)</f>
        <v>Electric Bikes</v>
      </c>
      <c r="G1624">
        <v>2</v>
      </c>
      <c r="H1624">
        <v>2999.99</v>
      </c>
      <c r="I1624" s="5">
        <v>7.0000000000000007E-2</v>
      </c>
      <c r="J1624">
        <f t="shared" si="50"/>
        <v>5579.9813999999997</v>
      </c>
      <c r="K1624" s="9">
        <f t="shared" si="51"/>
        <v>1.3213140978851283</v>
      </c>
    </row>
    <row r="1625" spans="1:11" x14ac:dyDescent="0.3">
      <c r="A1625">
        <v>580</v>
      </c>
      <c r="B1625">
        <v>5</v>
      </c>
      <c r="C1625">
        <v>19</v>
      </c>
      <c r="D1625" t="str">
        <f>VLOOKUP($C1625,products!$A$1:$F$322,MATCH(order_items!$D$1,products!$A$1:$F$1,0),FALSE)</f>
        <v>Pure Cycles William 3-Speed - 2016</v>
      </c>
      <c r="E1625">
        <f>VLOOKUP($C1625,products!$A$1:$F$322,MATCH(order_items!$E$1,products!$A$1:$F$1,0),FALSE)</f>
        <v>3</v>
      </c>
      <c r="F1625" t="str">
        <f>VLOOKUP($E1625,categories!$A$1:$B$8,MATCH(order_items!$F$1,categories!$A$1:$B$1,0),FALSE)</f>
        <v>Cruisers Bicycles</v>
      </c>
      <c r="G1625">
        <v>1</v>
      </c>
      <c r="H1625">
        <v>449</v>
      </c>
      <c r="I1625" s="5">
        <v>0.2</v>
      </c>
      <c r="J1625">
        <f t="shared" si="50"/>
        <v>359.20000000000005</v>
      </c>
      <c r="K1625" s="9">
        <f t="shared" si="51"/>
        <v>-0.56459915393225968</v>
      </c>
    </row>
    <row r="1626" spans="1:11" x14ac:dyDescent="0.3">
      <c r="A1626">
        <v>581</v>
      </c>
      <c r="B1626">
        <v>1</v>
      </c>
      <c r="C1626">
        <v>8</v>
      </c>
      <c r="D1626" t="str">
        <f>VLOOKUP($C1626,products!$A$1:$F$322,MATCH(order_items!$D$1,products!$A$1:$F$1,0),FALSE)</f>
        <v>Trek Remedy 29 Carbon Frameset - 2016</v>
      </c>
      <c r="E1626">
        <f>VLOOKUP($C1626,products!$A$1:$F$322,MATCH(order_items!$E$1,products!$A$1:$F$1,0),FALSE)</f>
        <v>6</v>
      </c>
      <c r="F1626" t="str">
        <f>VLOOKUP($E1626,categories!$A$1:$B$8,MATCH(order_items!$F$1,categories!$A$1:$B$1,0),FALSE)</f>
        <v>Mountain Bikes</v>
      </c>
      <c r="G1626">
        <v>2</v>
      </c>
      <c r="H1626">
        <v>1799.99</v>
      </c>
      <c r="I1626" s="5">
        <v>7.0000000000000007E-2</v>
      </c>
      <c r="J1626">
        <f t="shared" si="50"/>
        <v>3347.9813999999997</v>
      </c>
      <c r="K1626" s="9">
        <f t="shared" si="51"/>
        <v>0.43416992947174166</v>
      </c>
    </row>
    <row r="1627" spans="1:11" x14ac:dyDescent="0.3">
      <c r="A1627">
        <v>582</v>
      </c>
      <c r="B1627">
        <v>1</v>
      </c>
      <c r="C1627">
        <v>10</v>
      </c>
      <c r="D1627" t="str">
        <f>VLOOKUP($C1627,products!$A$1:$F$322,MATCH(order_items!$D$1,products!$A$1:$F$1,0),FALSE)</f>
        <v>Surly Straggler - 2016</v>
      </c>
      <c r="E1627">
        <f>VLOOKUP($C1627,products!$A$1:$F$322,MATCH(order_items!$E$1,products!$A$1:$F$1,0),FALSE)</f>
        <v>4</v>
      </c>
      <c r="F1627" t="str">
        <f>VLOOKUP($E1627,categories!$A$1:$B$8,MATCH(order_items!$F$1,categories!$A$1:$B$1,0),FALSE)</f>
        <v>Cyclocross Bicycles</v>
      </c>
      <c r="G1627">
        <v>2</v>
      </c>
      <c r="H1627">
        <v>1549</v>
      </c>
      <c r="I1627" s="5">
        <v>0.2</v>
      </c>
      <c r="J1627">
        <f t="shared" si="50"/>
        <v>2478.4</v>
      </c>
      <c r="K1627" s="9">
        <f t="shared" si="51"/>
        <v>0.24861633378001166</v>
      </c>
    </row>
    <row r="1628" spans="1:11" x14ac:dyDescent="0.3">
      <c r="A1628">
        <v>582</v>
      </c>
      <c r="B1628">
        <v>2</v>
      </c>
      <c r="C1628">
        <v>17</v>
      </c>
      <c r="D1628" t="str">
        <f>VLOOKUP($C1628,products!$A$1:$F$322,MATCH(order_items!$D$1,products!$A$1:$F$1,0),FALSE)</f>
        <v>Pure Cycles Vine 8-Speed - 2016</v>
      </c>
      <c r="E1628">
        <f>VLOOKUP($C1628,products!$A$1:$F$322,MATCH(order_items!$E$1,products!$A$1:$F$1,0),FALSE)</f>
        <v>3</v>
      </c>
      <c r="F1628" t="str">
        <f>VLOOKUP($E1628,categories!$A$1:$B$8,MATCH(order_items!$F$1,categories!$A$1:$B$1,0),FALSE)</f>
        <v>Cruisers Bicycles</v>
      </c>
      <c r="G1628">
        <v>2</v>
      </c>
      <c r="H1628">
        <v>429</v>
      </c>
      <c r="I1628" s="5">
        <v>7.0000000000000007E-2</v>
      </c>
      <c r="J1628">
        <f t="shared" si="50"/>
        <v>797.93999999999994</v>
      </c>
      <c r="K1628" s="9">
        <f t="shared" si="51"/>
        <v>-0.57938489007248284</v>
      </c>
    </row>
    <row r="1629" spans="1:11" x14ac:dyDescent="0.3">
      <c r="A1629">
        <v>583</v>
      </c>
      <c r="B1629">
        <v>1</v>
      </c>
      <c r="C1629">
        <v>15</v>
      </c>
      <c r="D1629" t="str">
        <f>VLOOKUP($C1629,products!$A$1:$F$322,MATCH(order_items!$D$1,products!$A$1:$F$1,0),FALSE)</f>
        <v>Electra Moto 1 - 2016</v>
      </c>
      <c r="E1629">
        <f>VLOOKUP($C1629,products!$A$1:$F$322,MATCH(order_items!$E$1,products!$A$1:$F$1,0),FALSE)</f>
        <v>3</v>
      </c>
      <c r="F1629" t="str">
        <f>VLOOKUP($E1629,categories!$A$1:$B$8,MATCH(order_items!$F$1,categories!$A$1:$B$1,0),FALSE)</f>
        <v>Cruisers Bicycles</v>
      </c>
      <c r="G1629">
        <v>2</v>
      </c>
      <c r="H1629">
        <v>529.99</v>
      </c>
      <c r="I1629" s="5">
        <v>0.2</v>
      </c>
      <c r="J1629">
        <f t="shared" si="50"/>
        <v>847.98400000000004</v>
      </c>
      <c r="K1629" s="9">
        <f t="shared" si="51"/>
        <v>-0.50472431543242624</v>
      </c>
    </row>
    <row r="1630" spans="1:11" x14ac:dyDescent="0.3">
      <c r="A1630">
        <v>584</v>
      </c>
      <c r="B1630">
        <v>1</v>
      </c>
      <c r="C1630">
        <v>19</v>
      </c>
      <c r="D1630" t="str">
        <f>VLOOKUP($C1630,products!$A$1:$F$322,MATCH(order_items!$D$1,products!$A$1:$F$1,0),FALSE)</f>
        <v>Pure Cycles William 3-Speed - 2016</v>
      </c>
      <c r="E1630">
        <f>VLOOKUP($C1630,products!$A$1:$F$322,MATCH(order_items!$E$1,products!$A$1:$F$1,0),FALSE)</f>
        <v>3</v>
      </c>
      <c r="F1630" t="str">
        <f>VLOOKUP($E1630,categories!$A$1:$B$8,MATCH(order_items!$F$1,categories!$A$1:$B$1,0),FALSE)</f>
        <v>Cruisers Bicycles</v>
      </c>
      <c r="G1630">
        <v>1</v>
      </c>
      <c r="H1630">
        <v>449</v>
      </c>
      <c r="I1630" s="5">
        <v>7.0000000000000007E-2</v>
      </c>
      <c r="J1630">
        <f t="shared" si="50"/>
        <v>417.57</v>
      </c>
      <c r="K1630" s="9">
        <f t="shared" si="51"/>
        <v>-0.56459915393225968</v>
      </c>
    </row>
    <row r="1631" spans="1:11" x14ac:dyDescent="0.3">
      <c r="A1631">
        <v>584</v>
      </c>
      <c r="B1631">
        <v>2</v>
      </c>
      <c r="C1631">
        <v>23</v>
      </c>
      <c r="D1631" t="str">
        <f>VLOOKUP($C1631,products!$A$1:$F$322,MATCH(order_items!$D$1,products!$A$1:$F$1,0),FALSE)</f>
        <v>Electra Girl's Hawaii 1 (20-inch) - 2015/2016</v>
      </c>
      <c r="E1631">
        <f>VLOOKUP($C1631,products!$A$1:$F$322,MATCH(order_items!$E$1,products!$A$1:$F$1,0),FALSE)</f>
        <v>1</v>
      </c>
      <c r="F1631" t="str">
        <f>VLOOKUP($E1631,categories!$A$1:$B$8,MATCH(order_items!$F$1,categories!$A$1:$B$1,0),FALSE)</f>
        <v>Children Bicycles</v>
      </c>
      <c r="G1631">
        <v>1</v>
      </c>
      <c r="H1631">
        <v>299.99</v>
      </c>
      <c r="I1631" s="5">
        <v>7.0000000000000007E-2</v>
      </c>
      <c r="J1631">
        <f t="shared" si="50"/>
        <v>278.9907</v>
      </c>
      <c r="K1631" s="9">
        <f t="shared" si="51"/>
        <v>-0.67476028104499197</v>
      </c>
    </row>
    <row r="1632" spans="1:11" x14ac:dyDescent="0.3">
      <c r="A1632">
        <v>584</v>
      </c>
      <c r="B1632">
        <v>3</v>
      </c>
      <c r="C1632">
        <v>15</v>
      </c>
      <c r="D1632" t="str">
        <f>VLOOKUP($C1632,products!$A$1:$F$322,MATCH(order_items!$D$1,products!$A$1:$F$1,0),FALSE)</f>
        <v>Electra Moto 1 - 2016</v>
      </c>
      <c r="E1632">
        <f>VLOOKUP($C1632,products!$A$1:$F$322,MATCH(order_items!$E$1,products!$A$1:$F$1,0),FALSE)</f>
        <v>3</v>
      </c>
      <c r="F1632" t="str">
        <f>VLOOKUP($E1632,categories!$A$1:$B$8,MATCH(order_items!$F$1,categories!$A$1:$B$1,0),FALSE)</f>
        <v>Cruisers Bicycles</v>
      </c>
      <c r="G1632">
        <v>1</v>
      </c>
      <c r="H1632">
        <v>529.99</v>
      </c>
      <c r="I1632" s="5">
        <v>0.1</v>
      </c>
      <c r="J1632">
        <f t="shared" si="50"/>
        <v>476.99100000000004</v>
      </c>
      <c r="K1632" s="9">
        <f t="shared" si="51"/>
        <v>-0.50472431543242624</v>
      </c>
    </row>
    <row r="1633" spans="1:11" x14ac:dyDescent="0.3">
      <c r="A1633">
        <v>584</v>
      </c>
      <c r="B1633">
        <v>4</v>
      </c>
      <c r="C1633">
        <v>22</v>
      </c>
      <c r="D1633" t="str">
        <f>VLOOKUP($C1633,products!$A$1:$F$322,MATCH(order_items!$D$1,products!$A$1:$F$1,0),FALSE)</f>
        <v>Electra Girl's Hawaii 1 (16-inch) - 2015/2016</v>
      </c>
      <c r="E1633">
        <f>VLOOKUP($C1633,products!$A$1:$F$322,MATCH(order_items!$E$1,products!$A$1:$F$1,0),FALSE)</f>
        <v>1</v>
      </c>
      <c r="F1633" t="str">
        <f>VLOOKUP($E1633,categories!$A$1:$B$8,MATCH(order_items!$F$1,categories!$A$1:$B$1,0),FALSE)</f>
        <v>Children Bicycles</v>
      </c>
      <c r="G1633">
        <v>1</v>
      </c>
      <c r="H1633">
        <v>269.99</v>
      </c>
      <c r="I1633" s="5">
        <v>0.05</v>
      </c>
      <c r="J1633">
        <f t="shared" si="50"/>
        <v>256.4905</v>
      </c>
      <c r="K1633" s="9">
        <f t="shared" si="51"/>
        <v>-0.69693888525532666</v>
      </c>
    </row>
    <row r="1634" spans="1:11" x14ac:dyDescent="0.3">
      <c r="A1634">
        <v>584</v>
      </c>
      <c r="B1634">
        <v>5</v>
      </c>
      <c r="C1634">
        <v>8</v>
      </c>
      <c r="D1634" t="str">
        <f>VLOOKUP($C1634,products!$A$1:$F$322,MATCH(order_items!$D$1,products!$A$1:$F$1,0),FALSE)</f>
        <v>Trek Remedy 29 Carbon Frameset - 2016</v>
      </c>
      <c r="E1634">
        <f>VLOOKUP($C1634,products!$A$1:$F$322,MATCH(order_items!$E$1,products!$A$1:$F$1,0),FALSE)</f>
        <v>6</v>
      </c>
      <c r="F1634" t="str">
        <f>VLOOKUP($E1634,categories!$A$1:$B$8,MATCH(order_items!$F$1,categories!$A$1:$B$1,0),FALSE)</f>
        <v>Mountain Bikes</v>
      </c>
      <c r="G1634">
        <v>2</v>
      </c>
      <c r="H1634">
        <v>1799.99</v>
      </c>
      <c r="I1634" s="5">
        <v>7.0000000000000007E-2</v>
      </c>
      <c r="J1634">
        <f t="shared" si="50"/>
        <v>3347.9813999999997</v>
      </c>
      <c r="K1634" s="9">
        <f t="shared" si="51"/>
        <v>0.43416992947174166</v>
      </c>
    </row>
    <row r="1635" spans="1:11" x14ac:dyDescent="0.3">
      <c r="A1635">
        <v>585</v>
      </c>
      <c r="B1635">
        <v>1</v>
      </c>
      <c r="C1635">
        <v>10</v>
      </c>
      <c r="D1635" t="str">
        <f>VLOOKUP($C1635,products!$A$1:$F$322,MATCH(order_items!$D$1,products!$A$1:$F$1,0),FALSE)</f>
        <v>Surly Straggler - 2016</v>
      </c>
      <c r="E1635">
        <f>VLOOKUP($C1635,products!$A$1:$F$322,MATCH(order_items!$E$1,products!$A$1:$F$1,0),FALSE)</f>
        <v>4</v>
      </c>
      <c r="F1635" t="str">
        <f>VLOOKUP($E1635,categories!$A$1:$B$8,MATCH(order_items!$F$1,categories!$A$1:$B$1,0),FALSE)</f>
        <v>Cyclocross Bicycles</v>
      </c>
      <c r="G1635">
        <v>1</v>
      </c>
      <c r="H1635">
        <v>1549</v>
      </c>
      <c r="I1635" s="5">
        <v>0.2</v>
      </c>
      <c r="J1635">
        <f t="shared" si="50"/>
        <v>1239.2</v>
      </c>
      <c r="K1635" s="9">
        <f t="shared" si="51"/>
        <v>0.24861633378001166</v>
      </c>
    </row>
    <row r="1636" spans="1:11" x14ac:dyDescent="0.3">
      <c r="A1636">
        <v>585</v>
      </c>
      <c r="B1636">
        <v>2</v>
      </c>
      <c r="C1636">
        <v>18</v>
      </c>
      <c r="D1636" t="str">
        <f>VLOOKUP($C1636,products!$A$1:$F$322,MATCH(order_items!$D$1,products!$A$1:$F$1,0),FALSE)</f>
        <v>Pure Cycles Western 3-Speed - Women's - 2015/2016</v>
      </c>
      <c r="E1636">
        <f>VLOOKUP($C1636,products!$A$1:$F$322,MATCH(order_items!$E$1,products!$A$1:$F$1,0),FALSE)</f>
        <v>3</v>
      </c>
      <c r="F1636" t="str">
        <f>VLOOKUP($E1636,categories!$A$1:$B$8,MATCH(order_items!$F$1,categories!$A$1:$B$1,0),FALSE)</f>
        <v>Cruisers Bicycles</v>
      </c>
      <c r="G1636">
        <v>2</v>
      </c>
      <c r="H1636">
        <v>449</v>
      </c>
      <c r="I1636" s="5">
        <v>0.2</v>
      </c>
      <c r="J1636">
        <f t="shared" si="50"/>
        <v>718.40000000000009</v>
      </c>
      <c r="K1636" s="9">
        <f t="shared" si="51"/>
        <v>-0.56459915393225968</v>
      </c>
    </row>
    <row r="1637" spans="1:11" x14ac:dyDescent="0.3">
      <c r="A1637">
        <v>585</v>
      </c>
      <c r="B1637">
        <v>3</v>
      </c>
      <c r="C1637">
        <v>15</v>
      </c>
      <c r="D1637" t="str">
        <f>VLOOKUP($C1637,products!$A$1:$F$322,MATCH(order_items!$D$1,products!$A$1:$F$1,0),FALSE)</f>
        <v>Electra Moto 1 - 2016</v>
      </c>
      <c r="E1637">
        <f>VLOOKUP($C1637,products!$A$1:$F$322,MATCH(order_items!$E$1,products!$A$1:$F$1,0),FALSE)</f>
        <v>3</v>
      </c>
      <c r="F1637" t="str">
        <f>VLOOKUP($E1637,categories!$A$1:$B$8,MATCH(order_items!$F$1,categories!$A$1:$B$1,0),FALSE)</f>
        <v>Cruisers Bicycles</v>
      </c>
      <c r="G1637">
        <v>1</v>
      </c>
      <c r="H1637">
        <v>529.99</v>
      </c>
      <c r="I1637" s="5">
        <v>0.05</v>
      </c>
      <c r="J1637">
        <f t="shared" si="50"/>
        <v>503.4905</v>
      </c>
      <c r="K1637" s="9">
        <f t="shared" si="51"/>
        <v>-0.50472431543242624</v>
      </c>
    </row>
    <row r="1638" spans="1:11" x14ac:dyDescent="0.3">
      <c r="A1638">
        <v>585</v>
      </c>
      <c r="B1638">
        <v>4</v>
      </c>
      <c r="C1638">
        <v>12</v>
      </c>
      <c r="D1638" t="str">
        <f>VLOOKUP($C1638,products!$A$1:$F$322,MATCH(order_items!$D$1,products!$A$1:$F$1,0),FALSE)</f>
        <v>Electra Townie Original 21D - 2016</v>
      </c>
      <c r="E1638">
        <f>VLOOKUP($C1638,products!$A$1:$F$322,MATCH(order_items!$E$1,products!$A$1:$F$1,0),FALSE)</f>
        <v>3</v>
      </c>
      <c r="F1638" t="str">
        <f>VLOOKUP($E1638,categories!$A$1:$B$8,MATCH(order_items!$F$1,categories!$A$1:$B$1,0),FALSE)</f>
        <v>Cruisers Bicycles</v>
      </c>
      <c r="G1638">
        <v>2</v>
      </c>
      <c r="H1638">
        <v>549.99</v>
      </c>
      <c r="I1638" s="5">
        <v>7.0000000000000007E-2</v>
      </c>
      <c r="J1638">
        <f t="shared" si="50"/>
        <v>1022.9813999999999</v>
      </c>
      <c r="K1638" s="9">
        <f t="shared" si="51"/>
        <v>-0.48993857929220308</v>
      </c>
    </row>
    <row r="1639" spans="1:11" x14ac:dyDescent="0.3">
      <c r="A1639">
        <v>586</v>
      </c>
      <c r="B1639">
        <v>1</v>
      </c>
      <c r="C1639">
        <v>11</v>
      </c>
      <c r="D1639" t="str">
        <f>VLOOKUP($C1639,products!$A$1:$F$322,MATCH(order_items!$D$1,products!$A$1:$F$1,0),FALSE)</f>
        <v>Surly Straggler 650b - 2016</v>
      </c>
      <c r="E1639">
        <f>VLOOKUP($C1639,products!$A$1:$F$322,MATCH(order_items!$E$1,products!$A$1:$F$1,0),FALSE)</f>
        <v>4</v>
      </c>
      <c r="F1639" t="str">
        <f>VLOOKUP($E1639,categories!$A$1:$B$8,MATCH(order_items!$F$1,categories!$A$1:$B$1,0),FALSE)</f>
        <v>Cyclocross Bicycles</v>
      </c>
      <c r="G1639">
        <v>2</v>
      </c>
      <c r="H1639">
        <v>1680.99</v>
      </c>
      <c r="I1639" s="5">
        <v>0.1</v>
      </c>
      <c r="J1639">
        <f t="shared" si="50"/>
        <v>3025.7820000000002</v>
      </c>
      <c r="K1639" s="9">
        <f t="shared" si="51"/>
        <v>0.3461947994374141</v>
      </c>
    </row>
    <row r="1640" spans="1:11" x14ac:dyDescent="0.3">
      <c r="A1640">
        <v>586</v>
      </c>
      <c r="B1640">
        <v>2</v>
      </c>
      <c r="C1640">
        <v>23</v>
      </c>
      <c r="D1640" t="str">
        <f>VLOOKUP($C1640,products!$A$1:$F$322,MATCH(order_items!$D$1,products!$A$1:$F$1,0),FALSE)</f>
        <v>Electra Girl's Hawaii 1 (20-inch) - 2015/2016</v>
      </c>
      <c r="E1640">
        <f>VLOOKUP($C1640,products!$A$1:$F$322,MATCH(order_items!$E$1,products!$A$1:$F$1,0),FALSE)</f>
        <v>1</v>
      </c>
      <c r="F1640" t="str">
        <f>VLOOKUP($E1640,categories!$A$1:$B$8,MATCH(order_items!$F$1,categories!$A$1:$B$1,0),FALSE)</f>
        <v>Children Bicycles</v>
      </c>
      <c r="G1640">
        <v>2</v>
      </c>
      <c r="H1640">
        <v>299.99</v>
      </c>
      <c r="I1640" s="5">
        <v>0.2</v>
      </c>
      <c r="J1640">
        <f t="shared" si="50"/>
        <v>479.98400000000004</v>
      </c>
      <c r="K1640" s="9">
        <f t="shared" si="51"/>
        <v>-0.67476028104499197</v>
      </c>
    </row>
    <row r="1641" spans="1:11" x14ac:dyDescent="0.3">
      <c r="A1641">
        <v>587</v>
      </c>
      <c r="B1641">
        <v>1</v>
      </c>
      <c r="C1641">
        <v>24</v>
      </c>
      <c r="D1641" t="str">
        <f>VLOOKUP($C1641,products!$A$1:$F$322,MATCH(order_items!$D$1,products!$A$1:$F$1,0),FALSE)</f>
        <v>Electra Townie Original 21D - 2016</v>
      </c>
      <c r="E1641">
        <f>VLOOKUP($C1641,products!$A$1:$F$322,MATCH(order_items!$E$1,products!$A$1:$F$1,0),FALSE)</f>
        <v>2</v>
      </c>
      <c r="F1641" t="str">
        <f>VLOOKUP($E1641,categories!$A$1:$B$8,MATCH(order_items!$F$1,categories!$A$1:$B$1,0),FALSE)</f>
        <v>Comfort Bicycles</v>
      </c>
      <c r="G1641">
        <v>1</v>
      </c>
      <c r="H1641">
        <v>549.99</v>
      </c>
      <c r="I1641" s="5">
        <v>0.05</v>
      </c>
      <c r="J1641">
        <f t="shared" si="50"/>
        <v>522.4905</v>
      </c>
      <c r="K1641" s="9">
        <f t="shared" si="51"/>
        <v>-0.48993857929220308</v>
      </c>
    </row>
    <row r="1642" spans="1:11" x14ac:dyDescent="0.3">
      <c r="A1642">
        <v>587</v>
      </c>
      <c r="B1642">
        <v>2</v>
      </c>
      <c r="C1642">
        <v>23</v>
      </c>
      <c r="D1642" t="str">
        <f>VLOOKUP($C1642,products!$A$1:$F$322,MATCH(order_items!$D$1,products!$A$1:$F$1,0),FALSE)</f>
        <v>Electra Girl's Hawaii 1 (20-inch) - 2015/2016</v>
      </c>
      <c r="E1642">
        <f>VLOOKUP($C1642,products!$A$1:$F$322,MATCH(order_items!$E$1,products!$A$1:$F$1,0),FALSE)</f>
        <v>1</v>
      </c>
      <c r="F1642" t="str">
        <f>VLOOKUP($E1642,categories!$A$1:$B$8,MATCH(order_items!$F$1,categories!$A$1:$B$1,0),FALSE)</f>
        <v>Children Bicycles</v>
      </c>
      <c r="G1642">
        <v>1</v>
      </c>
      <c r="H1642">
        <v>299.99</v>
      </c>
      <c r="I1642" s="5">
        <v>0.05</v>
      </c>
      <c r="J1642">
        <f t="shared" si="50"/>
        <v>284.9905</v>
      </c>
      <c r="K1642" s="9">
        <f t="shared" si="51"/>
        <v>-0.67476028104499197</v>
      </c>
    </row>
    <row r="1643" spans="1:11" x14ac:dyDescent="0.3">
      <c r="A1643">
        <v>587</v>
      </c>
      <c r="B1643">
        <v>3</v>
      </c>
      <c r="C1643">
        <v>18</v>
      </c>
      <c r="D1643" t="str">
        <f>VLOOKUP($C1643,products!$A$1:$F$322,MATCH(order_items!$D$1,products!$A$1:$F$1,0),FALSE)</f>
        <v>Pure Cycles Western 3-Speed - Women's - 2015/2016</v>
      </c>
      <c r="E1643">
        <f>VLOOKUP($C1643,products!$A$1:$F$322,MATCH(order_items!$E$1,products!$A$1:$F$1,0),FALSE)</f>
        <v>3</v>
      </c>
      <c r="F1643" t="str">
        <f>VLOOKUP($E1643,categories!$A$1:$B$8,MATCH(order_items!$F$1,categories!$A$1:$B$1,0),FALSE)</f>
        <v>Cruisers Bicycles</v>
      </c>
      <c r="G1643">
        <v>1</v>
      </c>
      <c r="H1643">
        <v>449</v>
      </c>
      <c r="I1643" s="5">
        <v>0.05</v>
      </c>
      <c r="J1643">
        <f t="shared" si="50"/>
        <v>426.54999999999995</v>
      </c>
      <c r="K1643" s="9">
        <f t="shared" si="51"/>
        <v>-0.56459915393225968</v>
      </c>
    </row>
    <row r="1644" spans="1:11" x14ac:dyDescent="0.3">
      <c r="A1644">
        <v>587</v>
      </c>
      <c r="B1644">
        <v>4</v>
      </c>
      <c r="C1644">
        <v>21</v>
      </c>
      <c r="D1644" t="str">
        <f>VLOOKUP($C1644,products!$A$1:$F$322,MATCH(order_items!$D$1,products!$A$1:$F$1,0),FALSE)</f>
        <v>Electra Cruiser 1 (24-Inch) - 2016</v>
      </c>
      <c r="E1644">
        <f>VLOOKUP($C1644,products!$A$1:$F$322,MATCH(order_items!$E$1,products!$A$1:$F$1,0),FALSE)</f>
        <v>1</v>
      </c>
      <c r="F1644" t="str">
        <f>VLOOKUP($E1644,categories!$A$1:$B$8,MATCH(order_items!$F$1,categories!$A$1:$B$1,0),FALSE)</f>
        <v>Children Bicycles</v>
      </c>
      <c r="G1644">
        <v>1</v>
      </c>
      <c r="H1644">
        <v>269.99</v>
      </c>
      <c r="I1644" s="5">
        <v>0.2</v>
      </c>
      <c r="J1644">
        <f t="shared" si="50"/>
        <v>215.99200000000002</v>
      </c>
      <c r="K1644" s="9">
        <f t="shared" si="51"/>
        <v>-0.69693888525532666</v>
      </c>
    </row>
    <row r="1645" spans="1:11" x14ac:dyDescent="0.3">
      <c r="A1645">
        <v>588</v>
      </c>
      <c r="B1645">
        <v>1</v>
      </c>
      <c r="C1645">
        <v>10</v>
      </c>
      <c r="D1645" t="str">
        <f>VLOOKUP($C1645,products!$A$1:$F$322,MATCH(order_items!$D$1,products!$A$1:$F$1,0),FALSE)</f>
        <v>Surly Straggler - 2016</v>
      </c>
      <c r="E1645">
        <f>VLOOKUP($C1645,products!$A$1:$F$322,MATCH(order_items!$E$1,products!$A$1:$F$1,0),FALSE)</f>
        <v>4</v>
      </c>
      <c r="F1645" t="str">
        <f>VLOOKUP($E1645,categories!$A$1:$B$8,MATCH(order_items!$F$1,categories!$A$1:$B$1,0),FALSE)</f>
        <v>Cyclocross Bicycles</v>
      </c>
      <c r="G1645">
        <v>2</v>
      </c>
      <c r="H1645">
        <v>1549</v>
      </c>
      <c r="I1645" s="5">
        <v>7.0000000000000007E-2</v>
      </c>
      <c r="J1645">
        <f t="shared" si="50"/>
        <v>2881.14</v>
      </c>
      <c r="K1645" s="9">
        <f t="shared" si="51"/>
        <v>0.24861633378001166</v>
      </c>
    </row>
    <row r="1646" spans="1:11" x14ac:dyDescent="0.3">
      <c r="A1646">
        <v>588</v>
      </c>
      <c r="B1646">
        <v>2</v>
      </c>
      <c r="C1646">
        <v>23</v>
      </c>
      <c r="D1646" t="str">
        <f>VLOOKUP($C1646,products!$A$1:$F$322,MATCH(order_items!$D$1,products!$A$1:$F$1,0),FALSE)</f>
        <v>Electra Girl's Hawaii 1 (20-inch) - 2015/2016</v>
      </c>
      <c r="E1646">
        <f>VLOOKUP($C1646,products!$A$1:$F$322,MATCH(order_items!$E$1,products!$A$1:$F$1,0),FALSE)</f>
        <v>1</v>
      </c>
      <c r="F1646" t="str">
        <f>VLOOKUP($E1646,categories!$A$1:$B$8,MATCH(order_items!$F$1,categories!$A$1:$B$1,0),FALSE)</f>
        <v>Children Bicycles</v>
      </c>
      <c r="G1646">
        <v>1</v>
      </c>
      <c r="H1646">
        <v>299.99</v>
      </c>
      <c r="I1646" s="5">
        <v>0.2</v>
      </c>
      <c r="J1646">
        <f t="shared" si="50"/>
        <v>239.99200000000002</v>
      </c>
      <c r="K1646" s="9">
        <f t="shared" si="51"/>
        <v>-0.67476028104499197</v>
      </c>
    </row>
    <row r="1647" spans="1:11" x14ac:dyDescent="0.3">
      <c r="A1647">
        <v>589</v>
      </c>
      <c r="B1647">
        <v>1</v>
      </c>
      <c r="C1647">
        <v>15</v>
      </c>
      <c r="D1647" t="str">
        <f>VLOOKUP($C1647,products!$A$1:$F$322,MATCH(order_items!$D$1,products!$A$1:$F$1,0),FALSE)</f>
        <v>Electra Moto 1 - 2016</v>
      </c>
      <c r="E1647">
        <f>VLOOKUP($C1647,products!$A$1:$F$322,MATCH(order_items!$E$1,products!$A$1:$F$1,0),FALSE)</f>
        <v>3</v>
      </c>
      <c r="F1647" t="str">
        <f>VLOOKUP($E1647,categories!$A$1:$B$8,MATCH(order_items!$F$1,categories!$A$1:$B$1,0),FALSE)</f>
        <v>Cruisers Bicycles</v>
      </c>
      <c r="G1647">
        <v>2</v>
      </c>
      <c r="H1647">
        <v>529.99</v>
      </c>
      <c r="I1647" s="5">
        <v>0.05</v>
      </c>
      <c r="J1647">
        <f t="shared" si="50"/>
        <v>1006.981</v>
      </c>
      <c r="K1647" s="9">
        <f t="shared" si="51"/>
        <v>-0.50472431543242624</v>
      </c>
    </row>
    <row r="1648" spans="1:11" x14ac:dyDescent="0.3">
      <c r="A1648">
        <v>590</v>
      </c>
      <c r="B1648">
        <v>1</v>
      </c>
      <c r="C1648">
        <v>2</v>
      </c>
      <c r="D1648" t="str">
        <f>VLOOKUP($C1648,products!$A$1:$F$322,MATCH(order_items!$D$1,products!$A$1:$F$1,0),FALSE)</f>
        <v>Ritchey Timberwolf Frameset - 2016</v>
      </c>
      <c r="E1648">
        <f>VLOOKUP($C1648,products!$A$1:$F$322,MATCH(order_items!$E$1,products!$A$1:$F$1,0),FALSE)</f>
        <v>6</v>
      </c>
      <c r="F1648" t="str">
        <f>VLOOKUP($E1648,categories!$A$1:$B$8,MATCH(order_items!$F$1,categories!$A$1:$B$1,0),FALSE)</f>
        <v>Mountain Bikes</v>
      </c>
      <c r="G1648">
        <v>2</v>
      </c>
      <c r="H1648">
        <v>749.99</v>
      </c>
      <c r="I1648" s="5">
        <v>0.1</v>
      </c>
      <c r="J1648">
        <f t="shared" si="50"/>
        <v>1349.982</v>
      </c>
      <c r="K1648" s="9">
        <f t="shared" si="51"/>
        <v>-0.34208121788997192</v>
      </c>
    </row>
    <row r="1649" spans="1:11" x14ac:dyDescent="0.3">
      <c r="A1649">
        <v>590</v>
      </c>
      <c r="B1649">
        <v>2</v>
      </c>
      <c r="C1649">
        <v>20</v>
      </c>
      <c r="D1649" t="str">
        <f>VLOOKUP($C1649,products!$A$1:$F$322,MATCH(order_items!$D$1,products!$A$1:$F$1,0),FALSE)</f>
        <v>Electra Townie Original 7D EQ - Women's - 2016</v>
      </c>
      <c r="E1649">
        <f>VLOOKUP($C1649,products!$A$1:$F$322,MATCH(order_items!$E$1,products!$A$1:$F$1,0),FALSE)</f>
        <v>3</v>
      </c>
      <c r="F1649" t="str">
        <f>VLOOKUP($E1649,categories!$A$1:$B$8,MATCH(order_items!$F$1,categories!$A$1:$B$1,0),FALSE)</f>
        <v>Cruisers Bicycles</v>
      </c>
      <c r="G1649">
        <v>1</v>
      </c>
      <c r="H1649">
        <v>599.99</v>
      </c>
      <c r="I1649" s="5">
        <v>7.0000000000000007E-2</v>
      </c>
      <c r="J1649">
        <f t="shared" si="50"/>
        <v>557.99069999999995</v>
      </c>
      <c r="K1649" s="9">
        <f t="shared" si="51"/>
        <v>-0.45297423894164529</v>
      </c>
    </row>
    <row r="1650" spans="1:11" x14ac:dyDescent="0.3">
      <c r="A1650">
        <v>590</v>
      </c>
      <c r="B1650">
        <v>3</v>
      </c>
      <c r="C1650">
        <v>8</v>
      </c>
      <c r="D1650" t="str">
        <f>VLOOKUP($C1650,products!$A$1:$F$322,MATCH(order_items!$D$1,products!$A$1:$F$1,0),FALSE)</f>
        <v>Trek Remedy 29 Carbon Frameset - 2016</v>
      </c>
      <c r="E1650">
        <f>VLOOKUP($C1650,products!$A$1:$F$322,MATCH(order_items!$E$1,products!$A$1:$F$1,0),FALSE)</f>
        <v>6</v>
      </c>
      <c r="F1650" t="str">
        <f>VLOOKUP($E1650,categories!$A$1:$B$8,MATCH(order_items!$F$1,categories!$A$1:$B$1,0),FALSE)</f>
        <v>Mountain Bikes</v>
      </c>
      <c r="G1650">
        <v>2</v>
      </c>
      <c r="H1650">
        <v>1799.99</v>
      </c>
      <c r="I1650" s="5">
        <v>0.05</v>
      </c>
      <c r="J1650">
        <f t="shared" si="50"/>
        <v>3419.9809999999998</v>
      </c>
      <c r="K1650" s="9">
        <f t="shared" si="51"/>
        <v>0.43416992947174166</v>
      </c>
    </row>
    <row r="1651" spans="1:11" x14ac:dyDescent="0.3">
      <c r="A1651">
        <v>590</v>
      </c>
      <c r="B1651">
        <v>4</v>
      </c>
      <c r="C1651">
        <v>5</v>
      </c>
      <c r="D1651" t="str">
        <f>VLOOKUP($C1651,products!$A$1:$F$322,MATCH(order_items!$D$1,products!$A$1:$F$1,0),FALSE)</f>
        <v>Heller Shagamaw Frame - 2016</v>
      </c>
      <c r="E1651">
        <f>VLOOKUP($C1651,products!$A$1:$F$322,MATCH(order_items!$E$1,products!$A$1:$F$1,0),FALSE)</f>
        <v>6</v>
      </c>
      <c r="F1651" t="str">
        <f>VLOOKUP($E1651,categories!$A$1:$B$8,MATCH(order_items!$F$1,categories!$A$1:$B$1,0),FALSE)</f>
        <v>Mountain Bikes</v>
      </c>
      <c r="G1651">
        <v>2</v>
      </c>
      <c r="H1651">
        <v>1320.99</v>
      </c>
      <c r="I1651" s="5">
        <v>0.1</v>
      </c>
      <c r="J1651">
        <f t="shared" si="50"/>
        <v>2377.7820000000002</v>
      </c>
      <c r="K1651" s="9">
        <f t="shared" si="51"/>
        <v>8.0051548913398024E-2</v>
      </c>
    </row>
    <row r="1652" spans="1:11" x14ac:dyDescent="0.3">
      <c r="A1652">
        <v>590</v>
      </c>
      <c r="B1652">
        <v>5</v>
      </c>
      <c r="C1652">
        <v>24</v>
      </c>
      <c r="D1652" t="str">
        <f>VLOOKUP($C1652,products!$A$1:$F$322,MATCH(order_items!$D$1,products!$A$1:$F$1,0),FALSE)</f>
        <v>Electra Townie Original 21D - 2016</v>
      </c>
      <c r="E1652">
        <f>VLOOKUP($C1652,products!$A$1:$F$322,MATCH(order_items!$E$1,products!$A$1:$F$1,0),FALSE)</f>
        <v>2</v>
      </c>
      <c r="F1652" t="str">
        <f>VLOOKUP($E1652,categories!$A$1:$B$8,MATCH(order_items!$F$1,categories!$A$1:$B$1,0),FALSE)</f>
        <v>Comfort Bicycles</v>
      </c>
      <c r="G1652">
        <v>1</v>
      </c>
      <c r="H1652">
        <v>549.99</v>
      </c>
      <c r="I1652" s="5">
        <v>0.1</v>
      </c>
      <c r="J1652">
        <f t="shared" si="50"/>
        <v>494.99100000000004</v>
      </c>
      <c r="K1652" s="9">
        <f t="shared" si="51"/>
        <v>-0.48993857929220308</v>
      </c>
    </row>
    <row r="1653" spans="1:11" x14ac:dyDescent="0.3">
      <c r="A1653">
        <v>591</v>
      </c>
      <c r="B1653">
        <v>1</v>
      </c>
      <c r="C1653">
        <v>16</v>
      </c>
      <c r="D1653" t="str">
        <f>VLOOKUP($C1653,products!$A$1:$F$322,MATCH(order_items!$D$1,products!$A$1:$F$1,0),FALSE)</f>
        <v>Electra Townie Original 7D EQ - 2016</v>
      </c>
      <c r="E1653">
        <f>VLOOKUP($C1653,products!$A$1:$F$322,MATCH(order_items!$E$1,products!$A$1:$F$1,0),FALSE)</f>
        <v>3</v>
      </c>
      <c r="F1653" t="str">
        <f>VLOOKUP($E1653,categories!$A$1:$B$8,MATCH(order_items!$F$1,categories!$A$1:$B$1,0),FALSE)</f>
        <v>Cruisers Bicycles</v>
      </c>
      <c r="G1653">
        <v>2</v>
      </c>
      <c r="H1653">
        <v>599.99</v>
      </c>
      <c r="I1653" s="5">
        <v>0.05</v>
      </c>
      <c r="J1653">
        <f t="shared" si="50"/>
        <v>1139.981</v>
      </c>
      <c r="K1653" s="9">
        <f t="shared" si="51"/>
        <v>-0.45297423894164529</v>
      </c>
    </row>
    <row r="1654" spans="1:11" x14ac:dyDescent="0.3">
      <c r="A1654">
        <v>591</v>
      </c>
      <c r="B1654">
        <v>2</v>
      </c>
      <c r="C1654">
        <v>25</v>
      </c>
      <c r="D1654" t="str">
        <f>VLOOKUP($C1654,products!$A$1:$F$322,MATCH(order_items!$D$1,products!$A$1:$F$1,0),FALSE)</f>
        <v>Electra Townie Original 7D - 2015/2016</v>
      </c>
      <c r="E1654">
        <f>VLOOKUP($C1654,products!$A$1:$F$322,MATCH(order_items!$E$1,products!$A$1:$F$1,0),FALSE)</f>
        <v>2</v>
      </c>
      <c r="F1654" t="str">
        <f>VLOOKUP($E1654,categories!$A$1:$B$8,MATCH(order_items!$F$1,categories!$A$1:$B$1,0),FALSE)</f>
        <v>Comfort Bicycles</v>
      </c>
      <c r="G1654">
        <v>2</v>
      </c>
      <c r="H1654">
        <v>499.99</v>
      </c>
      <c r="I1654" s="5">
        <v>0.05</v>
      </c>
      <c r="J1654">
        <f t="shared" si="50"/>
        <v>949.98099999999999</v>
      </c>
      <c r="K1654" s="9">
        <f t="shared" si="51"/>
        <v>-0.52690291964276081</v>
      </c>
    </row>
    <row r="1655" spans="1:11" x14ac:dyDescent="0.3">
      <c r="A1655">
        <v>591</v>
      </c>
      <c r="B1655">
        <v>3</v>
      </c>
      <c r="C1655">
        <v>2</v>
      </c>
      <c r="D1655" t="str">
        <f>VLOOKUP($C1655,products!$A$1:$F$322,MATCH(order_items!$D$1,products!$A$1:$F$1,0),FALSE)</f>
        <v>Ritchey Timberwolf Frameset - 2016</v>
      </c>
      <c r="E1655">
        <f>VLOOKUP($C1655,products!$A$1:$F$322,MATCH(order_items!$E$1,products!$A$1:$F$1,0),FALSE)</f>
        <v>6</v>
      </c>
      <c r="F1655" t="str">
        <f>VLOOKUP($E1655,categories!$A$1:$B$8,MATCH(order_items!$F$1,categories!$A$1:$B$1,0),FALSE)</f>
        <v>Mountain Bikes</v>
      </c>
      <c r="G1655">
        <v>2</v>
      </c>
      <c r="H1655">
        <v>749.99</v>
      </c>
      <c r="I1655" s="5">
        <v>0.1</v>
      </c>
      <c r="J1655">
        <f t="shared" si="50"/>
        <v>1349.982</v>
      </c>
      <c r="K1655" s="9">
        <f t="shared" si="51"/>
        <v>-0.34208121788997192</v>
      </c>
    </row>
    <row r="1656" spans="1:11" x14ac:dyDescent="0.3">
      <c r="A1656">
        <v>592</v>
      </c>
      <c r="B1656">
        <v>1</v>
      </c>
      <c r="C1656">
        <v>21</v>
      </c>
      <c r="D1656" t="str">
        <f>VLOOKUP($C1656,products!$A$1:$F$322,MATCH(order_items!$D$1,products!$A$1:$F$1,0),FALSE)</f>
        <v>Electra Cruiser 1 (24-Inch) - 2016</v>
      </c>
      <c r="E1656">
        <f>VLOOKUP($C1656,products!$A$1:$F$322,MATCH(order_items!$E$1,products!$A$1:$F$1,0),FALSE)</f>
        <v>1</v>
      </c>
      <c r="F1656" t="str">
        <f>VLOOKUP($E1656,categories!$A$1:$B$8,MATCH(order_items!$F$1,categories!$A$1:$B$1,0),FALSE)</f>
        <v>Children Bicycles</v>
      </c>
      <c r="G1656">
        <v>2</v>
      </c>
      <c r="H1656">
        <v>269.99</v>
      </c>
      <c r="I1656" s="5">
        <v>0.1</v>
      </c>
      <c r="J1656">
        <f t="shared" si="50"/>
        <v>485.98200000000003</v>
      </c>
      <c r="K1656" s="9">
        <f t="shared" si="51"/>
        <v>-0.69693888525532666</v>
      </c>
    </row>
    <row r="1657" spans="1:11" x14ac:dyDescent="0.3">
      <c r="A1657">
        <v>592</v>
      </c>
      <c r="B1657">
        <v>2</v>
      </c>
      <c r="C1657">
        <v>16</v>
      </c>
      <c r="D1657" t="str">
        <f>VLOOKUP($C1657,products!$A$1:$F$322,MATCH(order_items!$D$1,products!$A$1:$F$1,0),FALSE)</f>
        <v>Electra Townie Original 7D EQ - 2016</v>
      </c>
      <c r="E1657">
        <f>VLOOKUP($C1657,products!$A$1:$F$322,MATCH(order_items!$E$1,products!$A$1:$F$1,0),FALSE)</f>
        <v>3</v>
      </c>
      <c r="F1657" t="str">
        <f>VLOOKUP($E1657,categories!$A$1:$B$8,MATCH(order_items!$F$1,categories!$A$1:$B$1,0),FALSE)</f>
        <v>Cruisers Bicycles</v>
      </c>
      <c r="G1657">
        <v>1</v>
      </c>
      <c r="H1657">
        <v>599.99</v>
      </c>
      <c r="I1657" s="5">
        <v>0.05</v>
      </c>
      <c r="J1657">
        <f t="shared" si="50"/>
        <v>569.9905</v>
      </c>
      <c r="K1657" s="9">
        <f t="shared" si="51"/>
        <v>-0.45297423894164529</v>
      </c>
    </row>
    <row r="1658" spans="1:11" x14ac:dyDescent="0.3">
      <c r="A1658">
        <v>592</v>
      </c>
      <c r="B1658">
        <v>3</v>
      </c>
      <c r="C1658">
        <v>18</v>
      </c>
      <c r="D1658" t="str">
        <f>VLOOKUP($C1658,products!$A$1:$F$322,MATCH(order_items!$D$1,products!$A$1:$F$1,0),FALSE)</f>
        <v>Pure Cycles Western 3-Speed - Women's - 2015/2016</v>
      </c>
      <c r="E1658">
        <f>VLOOKUP($C1658,products!$A$1:$F$322,MATCH(order_items!$E$1,products!$A$1:$F$1,0),FALSE)</f>
        <v>3</v>
      </c>
      <c r="F1658" t="str">
        <f>VLOOKUP($E1658,categories!$A$1:$B$8,MATCH(order_items!$F$1,categories!$A$1:$B$1,0),FALSE)</f>
        <v>Cruisers Bicycles</v>
      </c>
      <c r="G1658">
        <v>2</v>
      </c>
      <c r="H1658">
        <v>449</v>
      </c>
      <c r="I1658" s="5">
        <v>7.0000000000000007E-2</v>
      </c>
      <c r="J1658">
        <f t="shared" si="50"/>
        <v>835.14</v>
      </c>
      <c r="K1658" s="9">
        <f t="shared" si="51"/>
        <v>-0.56459915393225968</v>
      </c>
    </row>
    <row r="1659" spans="1:11" x14ac:dyDescent="0.3">
      <c r="A1659">
        <v>593</v>
      </c>
      <c r="B1659">
        <v>1</v>
      </c>
      <c r="C1659">
        <v>3</v>
      </c>
      <c r="D1659" t="str">
        <f>VLOOKUP($C1659,products!$A$1:$F$322,MATCH(order_items!$D$1,products!$A$1:$F$1,0),FALSE)</f>
        <v>Surly Wednesday Frameset - 2016</v>
      </c>
      <c r="E1659">
        <f>VLOOKUP($C1659,products!$A$1:$F$322,MATCH(order_items!$E$1,products!$A$1:$F$1,0),FALSE)</f>
        <v>6</v>
      </c>
      <c r="F1659" t="str">
        <f>VLOOKUP($E1659,categories!$A$1:$B$8,MATCH(order_items!$F$1,categories!$A$1:$B$1,0),FALSE)</f>
        <v>Mountain Bikes</v>
      </c>
      <c r="G1659">
        <v>2</v>
      </c>
      <c r="H1659">
        <v>999.99</v>
      </c>
      <c r="I1659" s="5">
        <v>0.1</v>
      </c>
      <c r="J1659">
        <f t="shared" si="50"/>
        <v>1799.982</v>
      </c>
      <c r="K1659" s="9">
        <f t="shared" si="51"/>
        <v>-0.15725951613718298</v>
      </c>
    </row>
    <row r="1660" spans="1:11" x14ac:dyDescent="0.3">
      <c r="A1660">
        <v>593</v>
      </c>
      <c r="B1660">
        <v>2</v>
      </c>
      <c r="C1660">
        <v>25</v>
      </c>
      <c r="D1660" t="str">
        <f>VLOOKUP($C1660,products!$A$1:$F$322,MATCH(order_items!$D$1,products!$A$1:$F$1,0),FALSE)</f>
        <v>Electra Townie Original 7D - 2015/2016</v>
      </c>
      <c r="E1660">
        <f>VLOOKUP($C1660,products!$A$1:$F$322,MATCH(order_items!$E$1,products!$A$1:$F$1,0),FALSE)</f>
        <v>2</v>
      </c>
      <c r="F1660" t="str">
        <f>VLOOKUP($E1660,categories!$A$1:$B$8,MATCH(order_items!$F$1,categories!$A$1:$B$1,0),FALSE)</f>
        <v>Comfort Bicycles</v>
      </c>
      <c r="G1660">
        <v>1</v>
      </c>
      <c r="H1660">
        <v>499.99</v>
      </c>
      <c r="I1660" s="5">
        <v>7.0000000000000007E-2</v>
      </c>
      <c r="J1660">
        <f t="shared" si="50"/>
        <v>464.9907</v>
      </c>
      <c r="K1660" s="9">
        <f t="shared" si="51"/>
        <v>-0.52690291964276081</v>
      </c>
    </row>
    <row r="1661" spans="1:11" x14ac:dyDescent="0.3">
      <c r="A1661">
        <v>594</v>
      </c>
      <c r="B1661">
        <v>1</v>
      </c>
      <c r="C1661">
        <v>26</v>
      </c>
      <c r="D1661" t="str">
        <f>VLOOKUP($C1661,products!$A$1:$F$322,MATCH(order_items!$D$1,products!$A$1:$F$1,0),FALSE)</f>
        <v>Electra Townie Original 7D EQ - 2016</v>
      </c>
      <c r="E1661">
        <f>VLOOKUP($C1661,products!$A$1:$F$322,MATCH(order_items!$E$1,products!$A$1:$F$1,0),FALSE)</f>
        <v>2</v>
      </c>
      <c r="F1661" t="str">
        <f>VLOOKUP($E1661,categories!$A$1:$B$8,MATCH(order_items!$F$1,categories!$A$1:$B$1,0),FALSE)</f>
        <v>Comfort Bicycles</v>
      </c>
      <c r="G1661">
        <v>1</v>
      </c>
      <c r="H1661">
        <v>599.99</v>
      </c>
      <c r="I1661" s="5">
        <v>0.1</v>
      </c>
      <c r="J1661">
        <f t="shared" si="50"/>
        <v>539.99099999999999</v>
      </c>
      <c r="K1661" s="9">
        <f t="shared" si="51"/>
        <v>-0.45297423894164529</v>
      </c>
    </row>
    <row r="1662" spans="1:11" x14ac:dyDescent="0.3">
      <c r="A1662">
        <v>594</v>
      </c>
      <c r="B1662">
        <v>2</v>
      </c>
      <c r="C1662">
        <v>21</v>
      </c>
      <c r="D1662" t="str">
        <f>VLOOKUP($C1662,products!$A$1:$F$322,MATCH(order_items!$D$1,products!$A$1:$F$1,0),FALSE)</f>
        <v>Electra Cruiser 1 (24-Inch) - 2016</v>
      </c>
      <c r="E1662">
        <f>VLOOKUP($C1662,products!$A$1:$F$322,MATCH(order_items!$E$1,products!$A$1:$F$1,0),FALSE)</f>
        <v>1</v>
      </c>
      <c r="F1662" t="str">
        <f>VLOOKUP($E1662,categories!$A$1:$B$8,MATCH(order_items!$F$1,categories!$A$1:$B$1,0),FALSE)</f>
        <v>Children Bicycles</v>
      </c>
      <c r="G1662">
        <v>2</v>
      </c>
      <c r="H1662">
        <v>269.99</v>
      </c>
      <c r="I1662" s="5">
        <v>0.05</v>
      </c>
      <c r="J1662">
        <f t="shared" si="50"/>
        <v>512.98099999999999</v>
      </c>
      <c r="K1662" s="9">
        <f t="shared" si="51"/>
        <v>-0.69693888525532666</v>
      </c>
    </row>
    <row r="1663" spans="1:11" x14ac:dyDescent="0.3">
      <c r="A1663">
        <v>595</v>
      </c>
      <c r="B1663">
        <v>1</v>
      </c>
      <c r="C1663">
        <v>4</v>
      </c>
      <c r="D1663" t="str">
        <f>VLOOKUP($C1663,products!$A$1:$F$322,MATCH(order_items!$D$1,products!$A$1:$F$1,0),FALSE)</f>
        <v>Trek Fuel EX 8 29 - 2016</v>
      </c>
      <c r="E1663">
        <f>VLOOKUP($C1663,products!$A$1:$F$322,MATCH(order_items!$E$1,products!$A$1:$F$1,0),FALSE)</f>
        <v>6</v>
      </c>
      <c r="F1663" t="str">
        <f>VLOOKUP($E1663,categories!$A$1:$B$8,MATCH(order_items!$F$1,categories!$A$1:$B$1,0),FALSE)</f>
        <v>Mountain Bikes</v>
      </c>
      <c r="G1663">
        <v>1</v>
      </c>
      <c r="H1663">
        <v>2899.99</v>
      </c>
      <c r="I1663" s="5">
        <v>7.0000000000000007E-2</v>
      </c>
      <c r="J1663">
        <f t="shared" si="50"/>
        <v>2696.9906999999998</v>
      </c>
      <c r="K1663" s="9">
        <f t="shared" si="51"/>
        <v>1.2473854171840129</v>
      </c>
    </row>
    <row r="1664" spans="1:11" x14ac:dyDescent="0.3">
      <c r="A1664">
        <v>595</v>
      </c>
      <c r="B1664">
        <v>2</v>
      </c>
      <c r="C1664">
        <v>19</v>
      </c>
      <c r="D1664" t="str">
        <f>VLOOKUP($C1664,products!$A$1:$F$322,MATCH(order_items!$D$1,products!$A$1:$F$1,0),FALSE)</f>
        <v>Pure Cycles William 3-Speed - 2016</v>
      </c>
      <c r="E1664">
        <f>VLOOKUP($C1664,products!$A$1:$F$322,MATCH(order_items!$E$1,products!$A$1:$F$1,0),FALSE)</f>
        <v>3</v>
      </c>
      <c r="F1664" t="str">
        <f>VLOOKUP($E1664,categories!$A$1:$B$8,MATCH(order_items!$F$1,categories!$A$1:$B$1,0),FALSE)</f>
        <v>Cruisers Bicycles</v>
      </c>
      <c r="G1664">
        <v>2</v>
      </c>
      <c r="H1664">
        <v>449</v>
      </c>
      <c r="I1664" s="5">
        <v>7.0000000000000007E-2</v>
      </c>
      <c r="J1664">
        <f t="shared" si="50"/>
        <v>835.14</v>
      </c>
      <c r="K1664" s="9">
        <f t="shared" si="51"/>
        <v>-0.56459915393225968</v>
      </c>
    </row>
    <row r="1665" spans="1:11" x14ac:dyDescent="0.3">
      <c r="A1665">
        <v>595</v>
      </c>
      <c r="B1665">
        <v>3</v>
      </c>
      <c r="C1665">
        <v>3</v>
      </c>
      <c r="D1665" t="str">
        <f>VLOOKUP($C1665,products!$A$1:$F$322,MATCH(order_items!$D$1,products!$A$1:$F$1,0),FALSE)</f>
        <v>Surly Wednesday Frameset - 2016</v>
      </c>
      <c r="E1665">
        <f>VLOOKUP($C1665,products!$A$1:$F$322,MATCH(order_items!$E$1,products!$A$1:$F$1,0),FALSE)</f>
        <v>6</v>
      </c>
      <c r="F1665" t="str">
        <f>VLOOKUP($E1665,categories!$A$1:$B$8,MATCH(order_items!$F$1,categories!$A$1:$B$1,0),FALSE)</f>
        <v>Mountain Bikes</v>
      </c>
      <c r="G1665">
        <v>1</v>
      </c>
      <c r="H1665">
        <v>999.99</v>
      </c>
      <c r="I1665" s="5">
        <v>7.0000000000000007E-2</v>
      </c>
      <c r="J1665">
        <f t="shared" si="50"/>
        <v>929.99069999999995</v>
      </c>
      <c r="K1665" s="9">
        <f t="shared" si="51"/>
        <v>-0.15725951613718298</v>
      </c>
    </row>
    <row r="1666" spans="1:11" x14ac:dyDescent="0.3">
      <c r="A1666">
        <v>595</v>
      </c>
      <c r="B1666">
        <v>4</v>
      </c>
      <c r="C1666">
        <v>10</v>
      </c>
      <c r="D1666" t="str">
        <f>VLOOKUP($C1666,products!$A$1:$F$322,MATCH(order_items!$D$1,products!$A$1:$F$1,0),FALSE)</f>
        <v>Surly Straggler - 2016</v>
      </c>
      <c r="E1666">
        <f>VLOOKUP($C1666,products!$A$1:$F$322,MATCH(order_items!$E$1,products!$A$1:$F$1,0),FALSE)</f>
        <v>4</v>
      </c>
      <c r="F1666" t="str">
        <f>VLOOKUP($E1666,categories!$A$1:$B$8,MATCH(order_items!$F$1,categories!$A$1:$B$1,0),FALSE)</f>
        <v>Cyclocross Bicycles</v>
      </c>
      <c r="G1666">
        <v>1</v>
      </c>
      <c r="H1666">
        <v>1549</v>
      </c>
      <c r="I1666" s="5">
        <v>7.0000000000000007E-2</v>
      </c>
      <c r="J1666">
        <f t="shared" ref="J1666:J1729" si="52">G1666*H1666*(1-I1666)</f>
        <v>1440.57</v>
      </c>
      <c r="K1666" s="9">
        <f t="shared" ref="K1666:K1729" si="53">($H1666-$M$7)/$M$9</f>
        <v>0.24861633378001166</v>
      </c>
    </row>
    <row r="1667" spans="1:11" x14ac:dyDescent="0.3">
      <c r="A1667">
        <v>595</v>
      </c>
      <c r="B1667">
        <v>5</v>
      </c>
      <c r="C1667">
        <v>26</v>
      </c>
      <c r="D1667" t="str">
        <f>VLOOKUP($C1667,products!$A$1:$F$322,MATCH(order_items!$D$1,products!$A$1:$F$1,0),FALSE)</f>
        <v>Electra Townie Original 7D EQ - 2016</v>
      </c>
      <c r="E1667">
        <f>VLOOKUP($C1667,products!$A$1:$F$322,MATCH(order_items!$E$1,products!$A$1:$F$1,0),FALSE)</f>
        <v>2</v>
      </c>
      <c r="F1667" t="str">
        <f>VLOOKUP($E1667,categories!$A$1:$B$8,MATCH(order_items!$F$1,categories!$A$1:$B$1,0),FALSE)</f>
        <v>Comfort Bicycles</v>
      </c>
      <c r="G1667">
        <v>2</v>
      </c>
      <c r="H1667">
        <v>599.99</v>
      </c>
      <c r="I1667" s="5">
        <v>0.05</v>
      </c>
      <c r="J1667">
        <f t="shared" si="52"/>
        <v>1139.981</v>
      </c>
      <c r="K1667" s="9">
        <f t="shared" si="53"/>
        <v>-0.45297423894164529</v>
      </c>
    </row>
    <row r="1668" spans="1:11" x14ac:dyDescent="0.3">
      <c r="A1668">
        <v>596</v>
      </c>
      <c r="B1668">
        <v>1</v>
      </c>
      <c r="C1668">
        <v>5</v>
      </c>
      <c r="D1668" t="str">
        <f>VLOOKUP($C1668,products!$A$1:$F$322,MATCH(order_items!$D$1,products!$A$1:$F$1,0),FALSE)</f>
        <v>Heller Shagamaw Frame - 2016</v>
      </c>
      <c r="E1668">
        <f>VLOOKUP($C1668,products!$A$1:$F$322,MATCH(order_items!$E$1,products!$A$1:$F$1,0),FALSE)</f>
        <v>6</v>
      </c>
      <c r="F1668" t="str">
        <f>VLOOKUP($E1668,categories!$A$1:$B$8,MATCH(order_items!$F$1,categories!$A$1:$B$1,0),FALSE)</f>
        <v>Mountain Bikes</v>
      </c>
      <c r="G1668">
        <v>1</v>
      </c>
      <c r="H1668">
        <v>1320.99</v>
      </c>
      <c r="I1668" s="5">
        <v>0.05</v>
      </c>
      <c r="J1668">
        <f t="shared" si="52"/>
        <v>1254.9404999999999</v>
      </c>
      <c r="K1668" s="9">
        <f t="shared" si="53"/>
        <v>8.0051548913398024E-2</v>
      </c>
    </row>
    <row r="1669" spans="1:11" x14ac:dyDescent="0.3">
      <c r="A1669">
        <v>596</v>
      </c>
      <c r="B1669">
        <v>2</v>
      </c>
      <c r="C1669">
        <v>23</v>
      </c>
      <c r="D1669" t="str">
        <f>VLOOKUP($C1669,products!$A$1:$F$322,MATCH(order_items!$D$1,products!$A$1:$F$1,0),FALSE)</f>
        <v>Electra Girl's Hawaii 1 (20-inch) - 2015/2016</v>
      </c>
      <c r="E1669">
        <f>VLOOKUP($C1669,products!$A$1:$F$322,MATCH(order_items!$E$1,products!$A$1:$F$1,0),FALSE)</f>
        <v>1</v>
      </c>
      <c r="F1669" t="str">
        <f>VLOOKUP($E1669,categories!$A$1:$B$8,MATCH(order_items!$F$1,categories!$A$1:$B$1,0),FALSE)</f>
        <v>Children Bicycles</v>
      </c>
      <c r="G1669">
        <v>2</v>
      </c>
      <c r="H1669">
        <v>299.99</v>
      </c>
      <c r="I1669" s="5">
        <v>0.1</v>
      </c>
      <c r="J1669">
        <f t="shared" si="52"/>
        <v>539.98200000000008</v>
      </c>
      <c r="K1669" s="9">
        <f t="shared" si="53"/>
        <v>-0.67476028104499197</v>
      </c>
    </row>
    <row r="1670" spans="1:11" x14ac:dyDescent="0.3">
      <c r="A1670">
        <v>596</v>
      </c>
      <c r="B1670">
        <v>3</v>
      </c>
      <c r="C1670">
        <v>9</v>
      </c>
      <c r="D1670" t="str">
        <f>VLOOKUP($C1670,products!$A$1:$F$322,MATCH(order_items!$D$1,products!$A$1:$F$1,0),FALSE)</f>
        <v>Trek Conduit+ - 2016</v>
      </c>
      <c r="E1670">
        <f>VLOOKUP($C1670,products!$A$1:$F$322,MATCH(order_items!$E$1,products!$A$1:$F$1,0),FALSE)</f>
        <v>5</v>
      </c>
      <c r="F1670" t="str">
        <f>VLOOKUP($E1670,categories!$A$1:$B$8,MATCH(order_items!$F$1,categories!$A$1:$B$1,0),FALSE)</f>
        <v>Electric Bikes</v>
      </c>
      <c r="G1670">
        <v>1</v>
      </c>
      <c r="H1670">
        <v>2999.99</v>
      </c>
      <c r="I1670" s="5">
        <v>0.05</v>
      </c>
      <c r="J1670">
        <f t="shared" si="52"/>
        <v>2849.9904999999999</v>
      </c>
      <c r="K1670" s="9">
        <f t="shared" si="53"/>
        <v>1.3213140978851283</v>
      </c>
    </row>
    <row r="1671" spans="1:11" x14ac:dyDescent="0.3">
      <c r="A1671">
        <v>597</v>
      </c>
      <c r="B1671">
        <v>1</v>
      </c>
      <c r="C1671">
        <v>17</v>
      </c>
      <c r="D1671" t="str">
        <f>VLOOKUP($C1671,products!$A$1:$F$322,MATCH(order_items!$D$1,products!$A$1:$F$1,0),FALSE)</f>
        <v>Pure Cycles Vine 8-Speed - 2016</v>
      </c>
      <c r="E1671">
        <f>VLOOKUP($C1671,products!$A$1:$F$322,MATCH(order_items!$E$1,products!$A$1:$F$1,0),FALSE)</f>
        <v>3</v>
      </c>
      <c r="F1671" t="str">
        <f>VLOOKUP($E1671,categories!$A$1:$B$8,MATCH(order_items!$F$1,categories!$A$1:$B$1,0),FALSE)</f>
        <v>Cruisers Bicycles</v>
      </c>
      <c r="G1671">
        <v>2</v>
      </c>
      <c r="H1671">
        <v>429</v>
      </c>
      <c r="I1671" s="5">
        <v>0.2</v>
      </c>
      <c r="J1671">
        <f t="shared" si="52"/>
        <v>686.40000000000009</v>
      </c>
      <c r="K1671" s="9">
        <f t="shared" si="53"/>
        <v>-0.57938489007248284</v>
      </c>
    </row>
    <row r="1672" spans="1:11" x14ac:dyDescent="0.3">
      <c r="A1672">
        <v>597</v>
      </c>
      <c r="B1672">
        <v>2</v>
      </c>
      <c r="C1672">
        <v>8</v>
      </c>
      <c r="D1672" t="str">
        <f>VLOOKUP($C1672,products!$A$1:$F$322,MATCH(order_items!$D$1,products!$A$1:$F$1,0),FALSE)</f>
        <v>Trek Remedy 29 Carbon Frameset - 2016</v>
      </c>
      <c r="E1672">
        <f>VLOOKUP($C1672,products!$A$1:$F$322,MATCH(order_items!$E$1,products!$A$1:$F$1,0),FALSE)</f>
        <v>6</v>
      </c>
      <c r="F1672" t="str">
        <f>VLOOKUP($E1672,categories!$A$1:$B$8,MATCH(order_items!$F$1,categories!$A$1:$B$1,0),FALSE)</f>
        <v>Mountain Bikes</v>
      </c>
      <c r="G1672">
        <v>1</v>
      </c>
      <c r="H1672">
        <v>1799.99</v>
      </c>
      <c r="I1672" s="5">
        <v>7.0000000000000007E-2</v>
      </c>
      <c r="J1672">
        <f t="shared" si="52"/>
        <v>1673.9906999999998</v>
      </c>
      <c r="K1672" s="9">
        <f t="shared" si="53"/>
        <v>0.43416992947174166</v>
      </c>
    </row>
    <row r="1673" spans="1:11" x14ac:dyDescent="0.3">
      <c r="A1673">
        <v>598</v>
      </c>
      <c r="B1673">
        <v>1</v>
      </c>
      <c r="C1673">
        <v>4</v>
      </c>
      <c r="D1673" t="str">
        <f>VLOOKUP($C1673,products!$A$1:$F$322,MATCH(order_items!$D$1,products!$A$1:$F$1,0),FALSE)</f>
        <v>Trek Fuel EX 8 29 - 2016</v>
      </c>
      <c r="E1673">
        <f>VLOOKUP($C1673,products!$A$1:$F$322,MATCH(order_items!$E$1,products!$A$1:$F$1,0),FALSE)</f>
        <v>6</v>
      </c>
      <c r="F1673" t="str">
        <f>VLOOKUP($E1673,categories!$A$1:$B$8,MATCH(order_items!$F$1,categories!$A$1:$B$1,0),FALSE)</f>
        <v>Mountain Bikes</v>
      </c>
      <c r="G1673">
        <v>2</v>
      </c>
      <c r="H1673">
        <v>2899.99</v>
      </c>
      <c r="I1673" s="5">
        <v>0.05</v>
      </c>
      <c r="J1673">
        <f t="shared" si="52"/>
        <v>5509.9809999999998</v>
      </c>
      <c r="K1673" s="9">
        <f t="shared" si="53"/>
        <v>1.2473854171840129</v>
      </c>
    </row>
    <row r="1674" spans="1:11" x14ac:dyDescent="0.3">
      <c r="A1674">
        <v>598</v>
      </c>
      <c r="B1674">
        <v>2</v>
      </c>
      <c r="C1674">
        <v>16</v>
      </c>
      <c r="D1674" t="str">
        <f>VLOOKUP($C1674,products!$A$1:$F$322,MATCH(order_items!$D$1,products!$A$1:$F$1,0),FALSE)</f>
        <v>Electra Townie Original 7D EQ - 2016</v>
      </c>
      <c r="E1674">
        <f>VLOOKUP($C1674,products!$A$1:$F$322,MATCH(order_items!$E$1,products!$A$1:$F$1,0),FALSE)</f>
        <v>3</v>
      </c>
      <c r="F1674" t="str">
        <f>VLOOKUP($E1674,categories!$A$1:$B$8,MATCH(order_items!$F$1,categories!$A$1:$B$1,0),FALSE)</f>
        <v>Cruisers Bicycles</v>
      </c>
      <c r="G1674">
        <v>2</v>
      </c>
      <c r="H1674">
        <v>599.99</v>
      </c>
      <c r="I1674" s="5">
        <v>7.0000000000000007E-2</v>
      </c>
      <c r="J1674">
        <f t="shared" si="52"/>
        <v>1115.9813999999999</v>
      </c>
      <c r="K1674" s="9">
        <f t="shared" si="53"/>
        <v>-0.45297423894164529</v>
      </c>
    </row>
    <row r="1675" spans="1:11" x14ac:dyDescent="0.3">
      <c r="A1675">
        <v>598</v>
      </c>
      <c r="B1675">
        <v>3</v>
      </c>
      <c r="C1675">
        <v>14</v>
      </c>
      <c r="D1675" t="str">
        <f>VLOOKUP($C1675,products!$A$1:$F$322,MATCH(order_items!$D$1,products!$A$1:$F$1,0),FALSE)</f>
        <v>Electra Girl's Hawaii 1 (16-inch) - 2015/2016</v>
      </c>
      <c r="E1675">
        <f>VLOOKUP($C1675,products!$A$1:$F$322,MATCH(order_items!$E$1,products!$A$1:$F$1,0),FALSE)</f>
        <v>3</v>
      </c>
      <c r="F1675" t="str">
        <f>VLOOKUP($E1675,categories!$A$1:$B$8,MATCH(order_items!$F$1,categories!$A$1:$B$1,0),FALSE)</f>
        <v>Cruisers Bicycles</v>
      </c>
      <c r="G1675">
        <v>1</v>
      </c>
      <c r="H1675">
        <v>269.99</v>
      </c>
      <c r="I1675" s="5">
        <v>0.1</v>
      </c>
      <c r="J1675">
        <f t="shared" si="52"/>
        <v>242.99100000000001</v>
      </c>
      <c r="K1675" s="9">
        <f t="shared" si="53"/>
        <v>-0.69693888525532666</v>
      </c>
    </row>
    <row r="1676" spans="1:11" x14ac:dyDescent="0.3">
      <c r="A1676">
        <v>599</v>
      </c>
      <c r="B1676">
        <v>1</v>
      </c>
      <c r="C1676">
        <v>9</v>
      </c>
      <c r="D1676" t="str">
        <f>VLOOKUP($C1676,products!$A$1:$F$322,MATCH(order_items!$D$1,products!$A$1:$F$1,0),FALSE)</f>
        <v>Trek Conduit+ - 2016</v>
      </c>
      <c r="E1676">
        <f>VLOOKUP($C1676,products!$A$1:$F$322,MATCH(order_items!$E$1,products!$A$1:$F$1,0),FALSE)</f>
        <v>5</v>
      </c>
      <c r="F1676" t="str">
        <f>VLOOKUP($E1676,categories!$A$1:$B$8,MATCH(order_items!$F$1,categories!$A$1:$B$1,0),FALSE)</f>
        <v>Electric Bikes</v>
      </c>
      <c r="G1676">
        <v>2</v>
      </c>
      <c r="H1676">
        <v>2999.99</v>
      </c>
      <c r="I1676" s="5">
        <v>0.05</v>
      </c>
      <c r="J1676">
        <f t="shared" si="52"/>
        <v>5699.9809999999998</v>
      </c>
      <c r="K1676" s="9">
        <f t="shared" si="53"/>
        <v>1.3213140978851283</v>
      </c>
    </row>
    <row r="1677" spans="1:11" x14ac:dyDescent="0.3">
      <c r="A1677">
        <v>599</v>
      </c>
      <c r="B1677">
        <v>2</v>
      </c>
      <c r="C1677">
        <v>22</v>
      </c>
      <c r="D1677" t="str">
        <f>VLOOKUP($C1677,products!$A$1:$F$322,MATCH(order_items!$D$1,products!$A$1:$F$1,0),FALSE)</f>
        <v>Electra Girl's Hawaii 1 (16-inch) - 2015/2016</v>
      </c>
      <c r="E1677">
        <f>VLOOKUP($C1677,products!$A$1:$F$322,MATCH(order_items!$E$1,products!$A$1:$F$1,0),FALSE)</f>
        <v>1</v>
      </c>
      <c r="F1677" t="str">
        <f>VLOOKUP($E1677,categories!$A$1:$B$8,MATCH(order_items!$F$1,categories!$A$1:$B$1,0),FALSE)</f>
        <v>Children Bicycles</v>
      </c>
      <c r="G1677">
        <v>2</v>
      </c>
      <c r="H1677">
        <v>269.99</v>
      </c>
      <c r="I1677" s="5">
        <v>0.2</v>
      </c>
      <c r="J1677">
        <f t="shared" si="52"/>
        <v>431.98400000000004</v>
      </c>
      <c r="K1677" s="9">
        <f t="shared" si="53"/>
        <v>-0.69693888525532666</v>
      </c>
    </row>
    <row r="1678" spans="1:11" x14ac:dyDescent="0.3">
      <c r="A1678">
        <v>599</v>
      </c>
      <c r="B1678">
        <v>3</v>
      </c>
      <c r="C1678">
        <v>23</v>
      </c>
      <c r="D1678" t="str">
        <f>VLOOKUP($C1678,products!$A$1:$F$322,MATCH(order_items!$D$1,products!$A$1:$F$1,0),FALSE)</f>
        <v>Electra Girl's Hawaii 1 (20-inch) - 2015/2016</v>
      </c>
      <c r="E1678">
        <f>VLOOKUP($C1678,products!$A$1:$F$322,MATCH(order_items!$E$1,products!$A$1:$F$1,0),FALSE)</f>
        <v>1</v>
      </c>
      <c r="F1678" t="str">
        <f>VLOOKUP($E1678,categories!$A$1:$B$8,MATCH(order_items!$F$1,categories!$A$1:$B$1,0),FALSE)</f>
        <v>Children Bicycles</v>
      </c>
      <c r="G1678">
        <v>1</v>
      </c>
      <c r="H1678">
        <v>299.99</v>
      </c>
      <c r="I1678" s="5">
        <v>7.0000000000000007E-2</v>
      </c>
      <c r="J1678">
        <f t="shared" si="52"/>
        <v>278.9907</v>
      </c>
      <c r="K1678" s="9">
        <f t="shared" si="53"/>
        <v>-0.67476028104499197</v>
      </c>
    </row>
    <row r="1679" spans="1:11" x14ac:dyDescent="0.3">
      <c r="A1679">
        <v>599</v>
      </c>
      <c r="B1679">
        <v>4</v>
      </c>
      <c r="C1679">
        <v>10</v>
      </c>
      <c r="D1679" t="str">
        <f>VLOOKUP($C1679,products!$A$1:$F$322,MATCH(order_items!$D$1,products!$A$1:$F$1,0),FALSE)</f>
        <v>Surly Straggler - 2016</v>
      </c>
      <c r="E1679">
        <f>VLOOKUP($C1679,products!$A$1:$F$322,MATCH(order_items!$E$1,products!$A$1:$F$1,0),FALSE)</f>
        <v>4</v>
      </c>
      <c r="F1679" t="str">
        <f>VLOOKUP($E1679,categories!$A$1:$B$8,MATCH(order_items!$F$1,categories!$A$1:$B$1,0),FALSE)</f>
        <v>Cyclocross Bicycles</v>
      </c>
      <c r="G1679">
        <v>2</v>
      </c>
      <c r="H1679">
        <v>1549</v>
      </c>
      <c r="I1679" s="5">
        <v>0.1</v>
      </c>
      <c r="J1679">
        <f t="shared" si="52"/>
        <v>2788.2000000000003</v>
      </c>
      <c r="K1679" s="9">
        <f t="shared" si="53"/>
        <v>0.24861633378001166</v>
      </c>
    </row>
    <row r="1680" spans="1:11" x14ac:dyDescent="0.3">
      <c r="A1680">
        <v>600</v>
      </c>
      <c r="B1680">
        <v>1</v>
      </c>
      <c r="C1680">
        <v>26</v>
      </c>
      <c r="D1680" t="str">
        <f>VLOOKUP($C1680,products!$A$1:$F$322,MATCH(order_items!$D$1,products!$A$1:$F$1,0),FALSE)</f>
        <v>Electra Townie Original 7D EQ - 2016</v>
      </c>
      <c r="E1680">
        <f>VLOOKUP($C1680,products!$A$1:$F$322,MATCH(order_items!$E$1,products!$A$1:$F$1,0),FALSE)</f>
        <v>2</v>
      </c>
      <c r="F1680" t="str">
        <f>VLOOKUP($E1680,categories!$A$1:$B$8,MATCH(order_items!$F$1,categories!$A$1:$B$1,0),FALSE)</f>
        <v>Comfort Bicycles</v>
      </c>
      <c r="G1680">
        <v>2</v>
      </c>
      <c r="H1680">
        <v>599.99</v>
      </c>
      <c r="I1680" s="5">
        <v>7.0000000000000007E-2</v>
      </c>
      <c r="J1680">
        <f t="shared" si="52"/>
        <v>1115.9813999999999</v>
      </c>
      <c r="K1680" s="9">
        <f t="shared" si="53"/>
        <v>-0.45297423894164529</v>
      </c>
    </row>
    <row r="1681" spans="1:11" x14ac:dyDescent="0.3">
      <c r="A1681">
        <v>600</v>
      </c>
      <c r="B1681">
        <v>2</v>
      </c>
      <c r="C1681">
        <v>4</v>
      </c>
      <c r="D1681" t="str">
        <f>VLOOKUP($C1681,products!$A$1:$F$322,MATCH(order_items!$D$1,products!$A$1:$F$1,0),FALSE)</f>
        <v>Trek Fuel EX 8 29 - 2016</v>
      </c>
      <c r="E1681">
        <f>VLOOKUP($C1681,products!$A$1:$F$322,MATCH(order_items!$E$1,products!$A$1:$F$1,0),FALSE)</f>
        <v>6</v>
      </c>
      <c r="F1681" t="str">
        <f>VLOOKUP($E1681,categories!$A$1:$B$8,MATCH(order_items!$F$1,categories!$A$1:$B$1,0),FALSE)</f>
        <v>Mountain Bikes</v>
      </c>
      <c r="G1681">
        <v>1</v>
      </c>
      <c r="H1681">
        <v>2899.99</v>
      </c>
      <c r="I1681" s="5">
        <v>0.2</v>
      </c>
      <c r="J1681">
        <f t="shared" si="52"/>
        <v>2319.9919999999997</v>
      </c>
      <c r="K1681" s="9">
        <f t="shared" si="53"/>
        <v>1.2473854171840129</v>
      </c>
    </row>
    <row r="1682" spans="1:11" x14ac:dyDescent="0.3">
      <c r="A1682">
        <v>600</v>
      </c>
      <c r="B1682">
        <v>3</v>
      </c>
      <c r="C1682">
        <v>18</v>
      </c>
      <c r="D1682" t="str">
        <f>VLOOKUP($C1682,products!$A$1:$F$322,MATCH(order_items!$D$1,products!$A$1:$F$1,0),FALSE)</f>
        <v>Pure Cycles Western 3-Speed - Women's - 2015/2016</v>
      </c>
      <c r="E1682">
        <f>VLOOKUP($C1682,products!$A$1:$F$322,MATCH(order_items!$E$1,products!$A$1:$F$1,0),FALSE)</f>
        <v>3</v>
      </c>
      <c r="F1682" t="str">
        <f>VLOOKUP($E1682,categories!$A$1:$B$8,MATCH(order_items!$F$1,categories!$A$1:$B$1,0),FALSE)</f>
        <v>Cruisers Bicycles</v>
      </c>
      <c r="G1682">
        <v>2</v>
      </c>
      <c r="H1682">
        <v>449</v>
      </c>
      <c r="I1682" s="5">
        <v>7.0000000000000007E-2</v>
      </c>
      <c r="J1682">
        <f t="shared" si="52"/>
        <v>835.14</v>
      </c>
      <c r="K1682" s="9">
        <f t="shared" si="53"/>
        <v>-0.56459915393225968</v>
      </c>
    </row>
    <row r="1683" spans="1:11" x14ac:dyDescent="0.3">
      <c r="A1683">
        <v>601</v>
      </c>
      <c r="B1683">
        <v>1</v>
      </c>
      <c r="C1683">
        <v>12</v>
      </c>
      <c r="D1683" t="str">
        <f>VLOOKUP($C1683,products!$A$1:$F$322,MATCH(order_items!$D$1,products!$A$1:$F$1,0),FALSE)</f>
        <v>Electra Townie Original 21D - 2016</v>
      </c>
      <c r="E1683">
        <f>VLOOKUP($C1683,products!$A$1:$F$322,MATCH(order_items!$E$1,products!$A$1:$F$1,0),FALSE)</f>
        <v>3</v>
      </c>
      <c r="F1683" t="str">
        <f>VLOOKUP($E1683,categories!$A$1:$B$8,MATCH(order_items!$F$1,categories!$A$1:$B$1,0),FALSE)</f>
        <v>Cruisers Bicycles</v>
      </c>
      <c r="G1683">
        <v>2</v>
      </c>
      <c r="H1683">
        <v>549.99</v>
      </c>
      <c r="I1683" s="5">
        <v>0.2</v>
      </c>
      <c r="J1683">
        <f t="shared" si="52"/>
        <v>879.98400000000004</v>
      </c>
      <c r="K1683" s="9">
        <f t="shared" si="53"/>
        <v>-0.48993857929220308</v>
      </c>
    </row>
    <row r="1684" spans="1:11" x14ac:dyDescent="0.3">
      <c r="A1684">
        <v>602</v>
      </c>
      <c r="B1684">
        <v>1</v>
      </c>
      <c r="C1684">
        <v>15</v>
      </c>
      <c r="D1684" t="str">
        <f>VLOOKUP($C1684,products!$A$1:$F$322,MATCH(order_items!$D$1,products!$A$1:$F$1,0),FALSE)</f>
        <v>Electra Moto 1 - 2016</v>
      </c>
      <c r="E1684">
        <f>VLOOKUP($C1684,products!$A$1:$F$322,MATCH(order_items!$E$1,products!$A$1:$F$1,0),FALSE)</f>
        <v>3</v>
      </c>
      <c r="F1684" t="str">
        <f>VLOOKUP($E1684,categories!$A$1:$B$8,MATCH(order_items!$F$1,categories!$A$1:$B$1,0),FALSE)</f>
        <v>Cruisers Bicycles</v>
      </c>
      <c r="G1684">
        <v>2</v>
      </c>
      <c r="H1684">
        <v>529.99</v>
      </c>
      <c r="I1684" s="5">
        <v>0.05</v>
      </c>
      <c r="J1684">
        <f t="shared" si="52"/>
        <v>1006.981</v>
      </c>
      <c r="K1684" s="9">
        <f t="shared" si="53"/>
        <v>-0.50472431543242624</v>
      </c>
    </row>
    <row r="1685" spans="1:11" x14ac:dyDescent="0.3">
      <c r="A1685">
        <v>602</v>
      </c>
      <c r="B1685">
        <v>2</v>
      </c>
      <c r="C1685">
        <v>5</v>
      </c>
      <c r="D1685" t="str">
        <f>VLOOKUP($C1685,products!$A$1:$F$322,MATCH(order_items!$D$1,products!$A$1:$F$1,0),FALSE)</f>
        <v>Heller Shagamaw Frame - 2016</v>
      </c>
      <c r="E1685">
        <f>VLOOKUP($C1685,products!$A$1:$F$322,MATCH(order_items!$E$1,products!$A$1:$F$1,0),FALSE)</f>
        <v>6</v>
      </c>
      <c r="F1685" t="str">
        <f>VLOOKUP($E1685,categories!$A$1:$B$8,MATCH(order_items!$F$1,categories!$A$1:$B$1,0),FALSE)</f>
        <v>Mountain Bikes</v>
      </c>
      <c r="G1685">
        <v>2</v>
      </c>
      <c r="H1685">
        <v>1320.99</v>
      </c>
      <c r="I1685" s="5">
        <v>7.0000000000000007E-2</v>
      </c>
      <c r="J1685">
        <f t="shared" si="52"/>
        <v>2457.0414000000001</v>
      </c>
      <c r="K1685" s="9">
        <f t="shared" si="53"/>
        <v>8.0051548913398024E-2</v>
      </c>
    </row>
    <row r="1686" spans="1:11" x14ac:dyDescent="0.3">
      <c r="A1686">
        <v>603</v>
      </c>
      <c r="B1686">
        <v>1</v>
      </c>
      <c r="C1686">
        <v>12</v>
      </c>
      <c r="D1686" t="str">
        <f>VLOOKUP($C1686,products!$A$1:$F$322,MATCH(order_items!$D$1,products!$A$1:$F$1,0),FALSE)</f>
        <v>Electra Townie Original 21D - 2016</v>
      </c>
      <c r="E1686">
        <f>VLOOKUP($C1686,products!$A$1:$F$322,MATCH(order_items!$E$1,products!$A$1:$F$1,0),FALSE)</f>
        <v>3</v>
      </c>
      <c r="F1686" t="str">
        <f>VLOOKUP($E1686,categories!$A$1:$B$8,MATCH(order_items!$F$1,categories!$A$1:$B$1,0),FALSE)</f>
        <v>Cruisers Bicycles</v>
      </c>
      <c r="G1686">
        <v>1</v>
      </c>
      <c r="H1686">
        <v>549.99</v>
      </c>
      <c r="I1686" s="5">
        <v>7.0000000000000007E-2</v>
      </c>
      <c r="J1686">
        <f t="shared" si="52"/>
        <v>511.49069999999995</v>
      </c>
      <c r="K1686" s="9">
        <f t="shared" si="53"/>
        <v>-0.48993857929220308</v>
      </c>
    </row>
    <row r="1687" spans="1:11" x14ac:dyDescent="0.3">
      <c r="A1687">
        <v>603</v>
      </c>
      <c r="B1687">
        <v>2</v>
      </c>
      <c r="C1687">
        <v>4</v>
      </c>
      <c r="D1687" t="str">
        <f>VLOOKUP($C1687,products!$A$1:$F$322,MATCH(order_items!$D$1,products!$A$1:$F$1,0),FALSE)</f>
        <v>Trek Fuel EX 8 29 - 2016</v>
      </c>
      <c r="E1687">
        <f>VLOOKUP($C1687,products!$A$1:$F$322,MATCH(order_items!$E$1,products!$A$1:$F$1,0),FALSE)</f>
        <v>6</v>
      </c>
      <c r="F1687" t="str">
        <f>VLOOKUP($E1687,categories!$A$1:$B$8,MATCH(order_items!$F$1,categories!$A$1:$B$1,0),FALSE)</f>
        <v>Mountain Bikes</v>
      </c>
      <c r="G1687">
        <v>1</v>
      </c>
      <c r="H1687">
        <v>2899.99</v>
      </c>
      <c r="I1687" s="5">
        <v>0.1</v>
      </c>
      <c r="J1687">
        <f t="shared" si="52"/>
        <v>2609.991</v>
      </c>
      <c r="K1687" s="9">
        <f t="shared" si="53"/>
        <v>1.2473854171840129</v>
      </c>
    </row>
    <row r="1688" spans="1:11" x14ac:dyDescent="0.3">
      <c r="A1688">
        <v>604</v>
      </c>
      <c r="B1688">
        <v>1</v>
      </c>
      <c r="C1688">
        <v>10</v>
      </c>
      <c r="D1688" t="str">
        <f>VLOOKUP($C1688,products!$A$1:$F$322,MATCH(order_items!$D$1,products!$A$1:$F$1,0),FALSE)</f>
        <v>Surly Straggler - 2016</v>
      </c>
      <c r="E1688">
        <f>VLOOKUP($C1688,products!$A$1:$F$322,MATCH(order_items!$E$1,products!$A$1:$F$1,0),FALSE)</f>
        <v>4</v>
      </c>
      <c r="F1688" t="str">
        <f>VLOOKUP($E1688,categories!$A$1:$B$8,MATCH(order_items!$F$1,categories!$A$1:$B$1,0),FALSE)</f>
        <v>Cyclocross Bicycles</v>
      </c>
      <c r="G1688">
        <v>2</v>
      </c>
      <c r="H1688">
        <v>1549</v>
      </c>
      <c r="I1688" s="5">
        <v>7.0000000000000007E-2</v>
      </c>
      <c r="J1688">
        <f t="shared" si="52"/>
        <v>2881.14</v>
      </c>
      <c r="K1688" s="9">
        <f t="shared" si="53"/>
        <v>0.24861633378001166</v>
      </c>
    </row>
    <row r="1689" spans="1:11" x14ac:dyDescent="0.3">
      <c r="A1689">
        <v>604</v>
      </c>
      <c r="B1689">
        <v>2</v>
      </c>
      <c r="C1689">
        <v>9</v>
      </c>
      <c r="D1689" t="str">
        <f>VLOOKUP($C1689,products!$A$1:$F$322,MATCH(order_items!$D$1,products!$A$1:$F$1,0),FALSE)</f>
        <v>Trek Conduit+ - 2016</v>
      </c>
      <c r="E1689">
        <f>VLOOKUP($C1689,products!$A$1:$F$322,MATCH(order_items!$E$1,products!$A$1:$F$1,0),FALSE)</f>
        <v>5</v>
      </c>
      <c r="F1689" t="str">
        <f>VLOOKUP($E1689,categories!$A$1:$B$8,MATCH(order_items!$F$1,categories!$A$1:$B$1,0),FALSE)</f>
        <v>Electric Bikes</v>
      </c>
      <c r="G1689">
        <v>2</v>
      </c>
      <c r="H1689">
        <v>2999.99</v>
      </c>
      <c r="I1689" s="5">
        <v>0.2</v>
      </c>
      <c r="J1689">
        <f t="shared" si="52"/>
        <v>4799.9839999999995</v>
      </c>
      <c r="K1689" s="9">
        <f t="shared" si="53"/>
        <v>1.3213140978851283</v>
      </c>
    </row>
    <row r="1690" spans="1:11" x14ac:dyDescent="0.3">
      <c r="A1690">
        <v>605</v>
      </c>
      <c r="B1690">
        <v>1</v>
      </c>
      <c r="C1690">
        <v>19</v>
      </c>
      <c r="D1690" t="str">
        <f>VLOOKUP($C1690,products!$A$1:$F$322,MATCH(order_items!$D$1,products!$A$1:$F$1,0),FALSE)</f>
        <v>Pure Cycles William 3-Speed - 2016</v>
      </c>
      <c r="E1690">
        <f>VLOOKUP($C1690,products!$A$1:$F$322,MATCH(order_items!$E$1,products!$A$1:$F$1,0),FALSE)</f>
        <v>3</v>
      </c>
      <c r="F1690" t="str">
        <f>VLOOKUP($E1690,categories!$A$1:$B$8,MATCH(order_items!$F$1,categories!$A$1:$B$1,0),FALSE)</f>
        <v>Cruisers Bicycles</v>
      </c>
      <c r="G1690">
        <v>1</v>
      </c>
      <c r="H1690">
        <v>449</v>
      </c>
      <c r="I1690" s="5">
        <v>7.0000000000000007E-2</v>
      </c>
      <c r="J1690">
        <f t="shared" si="52"/>
        <v>417.57</v>
      </c>
      <c r="K1690" s="9">
        <f t="shared" si="53"/>
        <v>-0.56459915393225968</v>
      </c>
    </row>
    <row r="1691" spans="1:11" x14ac:dyDescent="0.3">
      <c r="A1691">
        <v>605</v>
      </c>
      <c r="B1691">
        <v>2</v>
      </c>
      <c r="C1691">
        <v>25</v>
      </c>
      <c r="D1691" t="str">
        <f>VLOOKUP($C1691,products!$A$1:$F$322,MATCH(order_items!$D$1,products!$A$1:$F$1,0),FALSE)</f>
        <v>Electra Townie Original 7D - 2015/2016</v>
      </c>
      <c r="E1691">
        <f>VLOOKUP($C1691,products!$A$1:$F$322,MATCH(order_items!$E$1,products!$A$1:$F$1,0),FALSE)</f>
        <v>2</v>
      </c>
      <c r="F1691" t="str">
        <f>VLOOKUP($E1691,categories!$A$1:$B$8,MATCH(order_items!$F$1,categories!$A$1:$B$1,0),FALSE)</f>
        <v>Comfort Bicycles</v>
      </c>
      <c r="G1691">
        <v>2</v>
      </c>
      <c r="H1691">
        <v>499.99</v>
      </c>
      <c r="I1691" s="5">
        <v>0.05</v>
      </c>
      <c r="J1691">
        <f t="shared" si="52"/>
        <v>949.98099999999999</v>
      </c>
      <c r="K1691" s="9">
        <f t="shared" si="53"/>
        <v>-0.52690291964276081</v>
      </c>
    </row>
    <row r="1692" spans="1:11" x14ac:dyDescent="0.3">
      <c r="A1692">
        <v>605</v>
      </c>
      <c r="B1692">
        <v>3</v>
      </c>
      <c r="C1692">
        <v>13</v>
      </c>
      <c r="D1692" t="str">
        <f>VLOOKUP($C1692,products!$A$1:$F$322,MATCH(order_items!$D$1,products!$A$1:$F$1,0),FALSE)</f>
        <v>Electra Cruiser 1 (24-Inch) - 2016</v>
      </c>
      <c r="E1692">
        <f>VLOOKUP($C1692,products!$A$1:$F$322,MATCH(order_items!$E$1,products!$A$1:$F$1,0),FALSE)</f>
        <v>3</v>
      </c>
      <c r="F1692" t="str">
        <f>VLOOKUP($E1692,categories!$A$1:$B$8,MATCH(order_items!$F$1,categories!$A$1:$B$1,0),FALSE)</f>
        <v>Cruisers Bicycles</v>
      </c>
      <c r="G1692">
        <v>2</v>
      </c>
      <c r="H1692">
        <v>269.99</v>
      </c>
      <c r="I1692" s="5">
        <v>0.2</v>
      </c>
      <c r="J1692">
        <f t="shared" si="52"/>
        <v>431.98400000000004</v>
      </c>
      <c r="K1692" s="9">
        <f t="shared" si="53"/>
        <v>-0.69693888525532666</v>
      </c>
    </row>
    <row r="1693" spans="1:11" x14ac:dyDescent="0.3">
      <c r="A1693">
        <v>605</v>
      </c>
      <c r="B1693">
        <v>4</v>
      </c>
      <c r="C1693">
        <v>11</v>
      </c>
      <c r="D1693" t="str">
        <f>VLOOKUP($C1693,products!$A$1:$F$322,MATCH(order_items!$D$1,products!$A$1:$F$1,0),FALSE)</f>
        <v>Surly Straggler 650b - 2016</v>
      </c>
      <c r="E1693">
        <f>VLOOKUP($C1693,products!$A$1:$F$322,MATCH(order_items!$E$1,products!$A$1:$F$1,0),FALSE)</f>
        <v>4</v>
      </c>
      <c r="F1693" t="str">
        <f>VLOOKUP($E1693,categories!$A$1:$B$8,MATCH(order_items!$F$1,categories!$A$1:$B$1,0),FALSE)</f>
        <v>Cyclocross Bicycles</v>
      </c>
      <c r="G1693">
        <v>1</v>
      </c>
      <c r="H1693">
        <v>1680.99</v>
      </c>
      <c r="I1693" s="5">
        <v>0.2</v>
      </c>
      <c r="J1693">
        <f t="shared" si="52"/>
        <v>1344.7920000000001</v>
      </c>
      <c r="K1693" s="9">
        <f t="shared" si="53"/>
        <v>0.3461947994374141</v>
      </c>
    </row>
    <row r="1694" spans="1:11" x14ac:dyDescent="0.3">
      <c r="A1694">
        <v>606</v>
      </c>
      <c r="B1694">
        <v>1</v>
      </c>
      <c r="C1694">
        <v>6</v>
      </c>
      <c r="D1694" t="str">
        <f>VLOOKUP($C1694,products!$A$1:$F$322,MATCH(order_items!$D$1,products!$A$1:$F$1,0),FALSE)</f>
        <v>Surly Ice Cream Truck Frameset - 2016</v>
      </c>
      <c r="E1694">
        <f>VLOOKUP($C1694,products!$A$1:$F$322,MATCH(order_items!$E$1,products!$A$1:$F$1,0),FALSE)</f>
        <v>6</v>
      </c>
      <c r="F1694" t="str">
        <f>VLOOKUP($E1694,categories!$A$1:$B$8,MATCH(order_items!$F$1,categories!$A$1:$B$1,0),FALSE)</f>
        <v>Mountain Bikes</v>
      </c>
      <c r="G1694">
        <v>2</v>
      </c>
      <c r="H1694">
        <v>469.99</v>
      </c>
      <c r="I1694" s="5">
        <v>0.2</v>
      </c>
      <c r="J1694">
        <f t="shared" si="52"/>
        <v>751.98400000000004</v>
      </c>
      <c r="K1694" s="9">
        <f t="shared" si="53"/>
        <v>-0.5490815238530955</v>
      </c>
    </row>
    <row r="1695" spans="1:11" x14ac:dyDescent="0.3">
      <c r="A1695">
        <v>606</v>
      </c>
      <c r="B1695">
        <v>2</v>
      </c>
      <c r="C1695">
        <v>18</v>
      </c>
      <c r="D1695" t="str">
        <f>VLOOKUP($C1695,products!$A$1:$F$322,MATCH(order_items!$D$1,products!$A$1:$F$1,0),FALSE)</f>
        <v>Pure Cycles Western 3-Speed - Women's - 2015/2016</v>
      </c>
      <c r="E1695">
        <f>VLOOKUP($C1695,products!$A$1:$F$322,MATCH(order_items!$E$1,products!$A$1:$F$1,0),FALSE)</f>
        <v>3</v>
      </c>
      <c r="F1695" t="str">
        <f>VLOOKUP($E1695,categories!$A$1:$B$8,MATCH(order_items!$F$1,categories!$A$1:$B$1,0),FALSE)</f>
        <v>Cruisers Bicycles</v>
      </c>
      <c r="G1695">
        <v>2</v>
      </c>
      <c r="H1695">
        <v>449</v>
      </c>
      <c r="I1695" s="5">
        <v>0.05</v>
      </c>
      <c r="J1695">
        <f t="shared" si="52"/>
        <v>853.09999999999991</v>
      </c>
      <c r="K1695" s="9">
        <f t="shared" si="53"/>
        <v>-0.56459915393225968</v>
      </c>
    </row>
    <row r="1696" spans="1:11" x14ac:dyDescent="0.3">
      <c r="A1696">
        <v>607</v>
      </c>
      <c r="B1696">
        <v>1</v>
      </c>
      <c r="C1696">
        <v>11</v>
      </c>
      <c r="D1696" t="str">
        <f>VLOOKUP($C1696,products!$A$1:$F$322,MATCH(order_items!$D$1,products!$A$1:$F$1,0),FALSE)</f>
        <v>Surly Straggler 650b - 2016</v>
      </c>
      <c r="E1696">
        <f>VLOOKUP($C1696,products!$A$1:$F$322,MATCH(order_items!$E$1,products!$A$1:$F$1,0),FALSE)</f>
        <v>4</v>
      </c>
      <c r="F1696" t="str">
        <f>VLOOKUP($E1696,categories!$A$1:$B$8,MATCH(order_items!$F$1,categories!$A$1:$B$1,0),FALSE)</f>
        <v>Cyclocross Bicycles</v>
      </c>
      <c r="G1696">
        <v>2</v>
      </c>
      <c r="H1696">
        <v>1680.99</v>
      </c>
      <c r="I1696" s="5">
        <v>0.2</v>
      </c>
      <c r="J1696">
        <f t="shared" si="52"/>
        <v>2689.5840000000003</v>
      </c>
      <c r="K1696" s="9">
        <f t="shared" si="53"/>
        <v>0.3461947994374141</v>
      </c>
    </row>
    <row r="1697" spans="1:11" x14ac:dyDescent="0.3">
      <c r="A1697">
        <v>607</v>
      </c>
      <c r="B1697">
        <v>2</v>
      </c>
      <c r="C1697">
        <v>26</v>
      </c>
      <c r="D1697" t="str">
        <f>VLOOKUP($C1697,products!$A$1:$F$322,MATCH(order_items!$D$1,products!$A$1:$F$1,0),FALSE)</f>
        <v>Electra Townie Original 7D EQ - 2016</v>
      </c>
      <c r="E1697">
        <f>VLOOKUP($C1697,products!$A$1:$F$322,MATCH(order_items!$E$1,products!$A$1:$F$1,0),FALSE)</f>
        <v>2</v>
      </c>
      <c r="F1697" t="str">
        <f>VLOOKUP($E1697,categories!$A$1:$B$8,MATCH(order_items!$F$1,categories!$A$1:$B$1,0),FALSE)</f>
        <v>Comfort Bicycles</v>
      </c>
      <c r="G1697">
        <v>2</v>
      </c>
      <c r="H1697">
        <v>599.99</v>
      </c>
      <c r="I1697" s="5">
        <v>0.2</v>
      </c>
      <c r="J1697">
        <f t="shared" si="52"/>
        <v>959.98400000000004</v>
      </c>
      <c r="K1697" s="9">
        <f t="shared" si="53"/>
        <v>-0.45297423894164529</v>
      </c>
    </row>
    <row r="1698" spans="1:11" x14ac:dyDescent="0.3">
      <c r="A1698">
        <v>607</v>
      </c>
      <c r="B1698">
        <v>3</v>
      </c>
      <c r="C1698">
        <v>14</v>
      </c>
      <c r="D1698" t="str">
        <f>VLOOKUP($C1698,products!$A$1:$F$322,MATCH(order_items!$D$1,products!$A$1:$F$1,0),FALSE)</f>
        <v>Electra Girl's Hawaii 1 (16-inch) - 2015/2016</v>
      </c>
      <c r="E1698">
        <f>VLOOKUP($C1698,products!$A$1:$F$322,MATCH(order_items!$E$1,products!$A$1:$F$1,0),FALSE)</f>
        <v>3</v>
      </c>
      <c r="F1698" t="str">
        <f>VLOOKUP($E1698,categories!$A$1:$B$8,MATCH(order_items!$F$1,categories!$A$1:$B$1,0),FALSE)</f>
        <v>Cruisers Bicycles</v>
      </c>
      <c r="G1698">
        <v>1</v>
      </c>
      <c r="H1698">
        <v>269.99</v>
      </c>
      <c r="I1698" s="5">
        <v>7.0000000000000007E-2</v>
      </c>
      <c r="J1698">
        <f t="shared" si="52"/>
        <v>251.0907</v>
      </c>
      <c r="K1698" s="9">
        <f t="shared" si="53"/>
        <v>-0.69693888525532666</v>
      </c>
    </row>
    <row r="1699" spans="1:11" x14ac:dyDescent="0.3">
      <c r="A1699">
        <v>608</v>
      </c>
      <c r="B1699">
        <v>1</v>
      </c>
      <c r="C1699">
        <v>4</v>
      </c>
      <c r="D1699" t="str">
        <f>VLOOKUP($C1699,products!$A$1:$F$322,MATCH(order_items!$D$1,products!$A$1:$F$1,0),FALSE)</f>
        <v>Trek Fuel EX 8 29 - 2016</v>
      </c>
      <c r="E1699">
        <f>VLOOKUP($C1699,products!$A$1:$F$322,MATCH(order_items!$E$1,products!$A$1:$F$1,0),FALSE)</f>
        <v>6</v>
      </c>
      <c r="F1699" t="str">
        <f>VLOOKUP($E1699,categories!$A$1:$B$8,MATCH(order_items!$F$1,categories!$A$1:$B$1,0),FALSE)</f>
        <v>Mountain Bikes</v>
      </c>
      <c r="G1699">
        <v>2</v>
      </c>
      <c r="H1699">
        <v>2899.99</v>
      </c>
      <c r="I1699" s="5">
        <v>0.2</v>
      </c>
      <c r="J1699">
        <f t="shared" si="52"/>
        <v>4639.9839999999995</v>
      </c>
      <c r="K1699" s="9">
        <f t="shared" si="53"/>
        <v>1.2473854171840129</v>
      </c>
    </row>
    <row r="1700" spans="1:11" x14ac:dyDescent="0.3">
      <c r="A1700">
        <v>608</v>
      </c>
      <c r="B1700">
        <v>2</v>
      </c>
      <c r="C1700">
        <v>7</v>
      </c>
      <c r="D1700" t="str">
        <f>VLOOKUP($C1700,products!$A$1:$F$322,MATCH(order_items!$D$1,products!$A$1:$F$1,0),FALSE)</f>
        <v>Trek Slash 8 27.5 - 2016</v>
      </c>
      <c r="E1700">
        <f>VLOOKUP($C1700,products!$A$1:$F$322,MATCH(order_items!$E$1,products!$A$1:$F$1,0),FALSE)</f>
        <v>6</v>
      </c>
      <c r="F1700" t="str">
        <f>VLOOKUP($E1700,categories!$A$1:$B$8,MATCH(order_items!$F$1,categories!$A$1:$B$1,0),FALSE)</f>
        <v>Mountain Bikes</v>
      </c>
      <c r="G1700">
        <v>2</v>
      </c>
      <c r="H1700">
        <v>3999.99</v>
      </c>
      <c r="I1700" s="5">
        <v>0.1</v>
      </c>
      <c r="J1700">
        <f t="shared" si="52"/>
        <v>7199.982</v>
      </c>
      <c r="K1700" s="9">
        <f t="shared" si="53"/>
        <v>2.0606009048962846</v>
      </c>
    </row>
    <row r="1701" spans="1:11" x14ac:dyDescent="0.3">
      <c r="A1701">
        <v>608</v>
      </c>
      <c r="B1701">
        <v>3</v>
      </c>
      <c r="C1701">
        <v>24</v>
      </c>
      <c r="D1701" t="str">
        <f>VLOOKUP($C1701,products!$A$1:$F$322,MATCH(order_items!$D$1,products!$A$1:$F$1,0),FALSE)</f>
        <v>Electra Townie Original 21D - 2016</v>
      </c>
      <c r="E1701">
        <f>VLOOKUP($C1701,products!$A$1:$F$322,MATCH(order_items!$E$1,products!$A$1:$F$1,0),FALSE)</f>
        <v>2</v>
      </c>
      <c r="F1701" t="str">
        <f>VLOOKUP($E1701,categories!$A$1:$B$8,MATCH(order_items!$F$1,categories!$A$1:$B$1,0),FALSE)</f>
        <v>Comfort Bicycles</v>
      </c>
      <c r="G1701">
        <v>1</v>
      </c>
      <c r="H1701">
        <v>549.99</v>
      </c>
      <c r="I1701" s="5">
        <v>0.1</v>
      </c>
      <c r="J1701">
        <f t="shared" si="52"/>
        <v>494.99100000000004</v>
      </c>
      <c r="K1701" s="9">
        <f t="shared" si="53"/>
        <v>-0.48993857929220308</v>
      </c>
    </row>
    <row r="1702" spans="1:11" x14ac:dyDescent="0.3">
      <c r="A1702">
        <v>609</v>
      </c>
      <c r="B1702">
        <v>1</v>
      </c>
      <c r="C1702">
        <v>10</v>
      </c>
      <c r="D1702" t="str">
        <f>VLOOKUP($C1702,products!$A$1:$F$322,MATCH(order_items!$D$1,products!$A$1:$F$1,0),FALSE)</f>
        <v>Surly Straggler - 2016</v>
      </c>
      <c r="E1702">
        <f>VLOOKUP($C1702,products!$A$1:$F$322,MATCH(order_items!$E$1,products!$A$1:$F$1,0),FALSE)</f>
        <v>4</v>
      </c>
      <c r="F1702" t="str">
        <f>VLOOKUP($E1702,categories!$A$1:$B$8,MATCH(order_items!$F$1,categories!$A$1:$B$1,0),FALSE)</f>
        <v>Cyclocross Bicycles</v>
      </c>
      <c r="G1702">
        <v>1</v>
      </c>
      <c r="H1702">
        <v>1549</v>
      </c>
      <c r="I1702" s="5">
        <v>7.0000000000000007E-2</v>
      </c>
      <c r="J1702">
        <f t="shared" si="52"/>
        <v>1440.57</v>
      </c>
      <c r="K1702" s="9">
        <f t="shared" si="53"/>
        <v>0.24861633378001166</v>
      </c>
    </row>
    <row r="1703" spans="1:11" x14ac:dyDescent="0.3">
      <c r="A1703">
        <v>609</v>
      </c>
      <c r="B1703">
        <v>2</v>
      </c>
      <c r="C1703">
        <v>7</v>
      </c>
      <c r="D1703" t="str">
        <f>VLOOKUP($C1703,products!$A$1:$F$322,MATCH(order_items!$D$1,products!$A$1:$F$1,0),FALSE)</f>
        <v>Trek Slash 8 27.5 - 2016</v>
      </c>
      <c r="E1703">
        <f>VLOOKUP($C1703,products!$A$1:$F$322,MATCH(order_items!$E$1,products!$A$1:$F$1,0),FALSE)</f>
        <v>6</v>
      </c>
      <c r="F1703" t="str">
        <f>VLOOKUP($E1703,categories!$A$1:$B$8,MATCH(order_items!$F$1,categories!$A$1:$B$1,0),FALSE)</f>
        <v>Mountain Bikes</v>
      </c>
      <c r="G1703">
        <v>1</v>
      </c>
      <c r="H1703">
        <v>3999.99</v>
      </c>
      <c r="I1703" s="5">
        <v>0.1</v>
      </c>
      <c r="J1703">
        <f t="shared" si="52"/>
        <v>3599.991</v>
      </c>
      <c r="K1703" s="9">
        <f t="shared" si="53"/>
        <v>2.0606009048962846</v>
      </c>
    </row>
    <row r="1704" spans="1:11" x14ac:dyDescent="0.3">
      <c r="A1704">
        <v>609</v>
      </c>
      <c r="B1704">
        <v>3</v>
      </c>
      <c r="C1704">
        <v>22</v>
      </c>
      <c r="D1704" t="str">
        <f>VLOOKUP($C1704,products!$A$1:$F$322,MATCH(order_items!$D$1,products!$A$1:$F$1,0),FALSE)</f>
        <v>Electra Girl's Hawaii 1 (16-inch) - 2015/2016</v>
      </c>
      <c r="E1704">
        <f>VLOOKUP($C1704,products!$A$1:$F$322,MATCH(order_items!$E$1,products!$A$1:$F$1,0),FALSE)</f>
        <v>1</v>
      </c>
      <c r="F1704" t="str">
        <f>VLOOKUP($E1704,categories!$A$1:$B$8,MATCH(order_items!$F$1,categories!$A$1:$B$1,0),FALSE)</f>
        <v>Children Bicycles</v>
      </c>
      <c r="G1704">
        <v>2</v>
      </c>
      <c r="H1704">
        <v>269.99</v>
      </c>
      <c r="I1704" s="5">
        <v>0.1</v>
      </c>
      <c r="J1704">
        <f t="shared" si="52"/>
        <v>485.98200000000003</v>
      </c>
      <c r="K1704" s="9">
        <f t="shared" si="53"/>
        <v>-0.69693888525532666</v>
      </c>
    </row>
    <row r="1705" spans="1:11" x14ac:dyDescent="0.3">
      <c r="A1705">
        <v>609</v>
      </c>
      <c r="B1705">
        <v>4</v>
      </c>
      <c r="C1705">
        <v>5</v>
      </c>
      <c r="D1705" t="str">
        <f>VLOOKUP($C1705,products!$A$1:$F$322,MATCH(order_items!$D$1,products!$A$1:$F$1,0),FALSE)</f>
        <v>Heller Shagamaw Frame - 2016</v>
      </c>
      <c r="E1705">
        <f>VLOOKUP($C1705,products!$A$1:$F$322,MATCH(order_items!$E$1,products!$A$1:$F$1,0),FALSE)</f>
        <v>6</v>
      </c>
      <c r="F1705" t="str">
        <f>VLOOKUP($E1705,categories!$A$1:$B$8,MATCH(order_items!$F$1,categories!$A$1:$B$1,0),FALSE)</f>
        <v>Mountain Bikes</v>
      </c>
      <c r="G1705">
        <v>1</v>
      </c>
      <c r="H1705">
        <v>1320.99</v>
      </c>
      <c r="I1705" s="5">
        <v>0.1</v>
      </c>
      <c r="J1705">
        <f t="shared" si="52"/>
        <v>1188.8910000000001</v>
      </c>
      <c r="K1705" s="9">
        <f t="shared" si="53"/>
        <v>8.0051548913398024E-2</v>
      </c>
    </row>
    <row r="1706" spans="1:11" x14ac:dyDescent="0.3">
      <c r="A1706">
        <v>610</v>
      </c>
      <c r="B1706">
        <v>1</v>
      </c>
      <c r="C1706">
        <v>26</v>
      </c>
      <c r="D1706" t="str">
        <f>VLOOKUP($C1706,products!$A$1:$F$322,MATCH(order_items!$D$1,products!$A$1:$F$1,0),FALSE)</f>
        <v>Electra Townie Original 7D EQ - 2016</v>
      </c>
      <c r="E1706">
        <f>VLOOKUP($C1706,products!$A$1:$F$322,MATCH(order_items!$E$1,products!$A$1:$F$1,0),FALSE)</f>
        <v>2</v>
      </c>
      <c r="F1706" t="str">
        <f>VLOOKUP($E1706,categories!$A$1:$B$8,MATCH(order_items!$F$1,categories!$A$1:$B$1,0),FALSE)</f>
        <v>Comfort Bicycles</v>
      </c>
      <c r="G1706">
        <v>1</v>
      </c>
      <c r="H1706">
        <v>599.99</v>
      </c>
      <c r="I1706" s="5">
        <v>0.1</v>
      </c>
      <c r="J1706">
        <f t="shared" si="52"/>
        <v>539.99099999999999</v>
      </c>
      <c r="K1706" s="9">
        <f t="shared" si="53"/>
        <v>-0.45297423894164529</v>
      </c>
    </row>
    <row r="1707" spans="1:11" x14ac:dyDescent="0.3">
      <c r="A1707">
        <v>610</v>
      </c>
      <c r="B1707">
        <v>2</v>
      </c>
      <c r="C1707">
        <v>24</v>
      </c>
      <c r="D1707" t="str">
        <f>VLOOKUP($C1707,products!$A$1:$F$322,MATCH(order_items!$D$1,products!$A$1:$F$1,0),FALSE)</f>
        <v>Electra Townie Original 21D - 2016</v>
      </c>
      <c r="E1707">
        <f>VLOOKUP($C1707,products!$A$1:$F$322,MATCH(order_items!$E$1,products!$A$1:$F$1,0),FALSE)</f>
        <v>2</v>
      </c>
      <c r="F1707" t="str">
        <f>VLOOKUP($E1707,categories!$A$1:$B$8,MATCH(order_items!$F$1,categories!$A$1:$B$1,0),FALSE)</f>
        <v>Comfort Bicycles</v>
      </c>
      <c r="G1707">
        <v>1</v>
      </c>
      <c r="H1707">
        <v>549.99</v>
      </c>
      <c r="I1707" s="5">
        <v>7.0000000000000007E-2</v>
      </c>
      <c r="J1707">
        <f t="shared" si="52"/>
        <v>511.49069999999995</v>
      </c>
      <c r="K1707" s="9">
        <f t="shared" si="53"/>
        <v>-0.48993857929220308</v>
      </c>
    </row>
    <row r="1708" spans="1:11" x14ac:dyDescent="0.3">
      <c r="A1708">
        <v>610</v>
      </c>
      <c r="B1708">
        <v>3</v>
      </c>
      <c r="C1708">
        <v>18</v>
      </c>
      <c r="D1708" t="str">
        <f>VLOOKUP($C1708,products!$A$1:$F$322,MATCH(order_items!$D$1,products!$A$1:$F$1,0),FALSE)</f>
        <v>Pure Cycles Western 3-Speed - Women's - 2015/2016</v>
      </c>
      <c r="E1708">
        <f>VLOOKUP($C1708,products!$A$1:$F$322,MATCH(order_items!$E$1,products!$A$1:$F$1,0),FALSE)</f>
        <v>3</v>
      </c>
      <c r="F1708" t="str">
        <f>VLOOKUP($E1708,categories!$A$1:$B$8,MATCH(order_items!$F$1,categories!$A$1:$B$1,0),FALSE)</f>
        <v>Cruisers Bicycles</v>
      </c>
      <c r="G1708">
        <v>2</v>
      </c>
      <c r="H1708">
        <v>449</v>
      </c>
      <c r="I1708" s="5">
        <v>7.0000000000000007E-2</v>
      </c>
      <c r="J1708">
        <f t="shared" si="52"/>
        <v>835.14</v>
      </c>
      <c r="K1708" s="9">
        <f t="shared" si="53"/>
        <v>-0.56459915393225968</v>
      </c>
    </row>
    <row r="1709" spans="1:11" x14ac:dyDescent="0.3">
      <c r="A1709">
        <v>610</v>
      </c>
      <c r="B1709">
        <v>4</v>
      </c>
      <c r="C1709">
        <v>3</v>
      </c>
      <c r="D1709" t="str">
        <f>VLOOKUP($C1709,products!$A$1:$F$322,MATCH(order_items!$D$1,products!$A$1:$F$1,0),FALSE)</f>
        <v>Surly Wednesday Frameset - 2016</v>
      </c>
      <c r="E1709">
        <f>VLOOKUP($C1709,products!$A$1:$F$322,MATCH(order_items!$E$1,products!$A$1:$F$1,0),FALSE)</f>
        <v>6</v>
      </c>
      <c r="F1709" t="str">
        <f>VLOOKUP($E1709,categories!$A$1:$B$8,MATCH(order_items!$F$1,categories!$A$1:$B$1,0),FALSE)</f>
        <v>Mountain Bikes</v>
      </c>
      <c r="G1709">
        <v>1</v>
      </c>
      <c r="H1709">
        <v>999.99</v>
      </c>
      <c r="I1709" s="5">
        <v>7.0000000000000007E-2</v>
      </c>
      <c r="J1709">
        <f t="shared" si="52"/>
        <v>929.99069999999995</v>
      </c>
      <c r="K1709" s="9">
        <f t="shared" si="53"/>
        <v>-0.15725951613718298</v>
      </c>
    </row>
    <row r="1710" spans="1:11" x14ac:dyDescent="0.3">
      <c r="A1710">
        <v>610</v>
      </c>
      <c r="B1710">
        <v>5</v>
      </c>
      <c r="C1710">
        <v>8</v>
      </c>
      <c r="D1710" t="str">
        <f>VLOOKUP($C1710,products!$A$1:$F$322,MATCH(order_items!$D$1,products!$A$1:$F$1,0),FALSE)</f>
        <v>Trek Remedy 29 Carbon Frameset - 2016</v>
      </c>
      <c r="E1710">
        <f>VLOOKUP($C1710,products!$A$1:$F$322,MATCH(order_items!$E$1,products!$A$1:$F$1,0),FALSE)</f>
        <v>6</v>
      </c>
      <c r="F1710" t="str">
        <f>VLOOKUP($E1710,categories!$A$1:$B$8,MATCH(order_items!$F$1,categories!$A$1:$B$1,0),FALSE)</f>
        <v>Mountain Bikes</v>
      </c>
      <c r="G1710">
        <v>1</v>
      </c>
      <c r="H1710">
        <v>1799.99</v>
      </c>
      <c r="I1710" s="5">
        <v>0.1</v>
      </c>
      <c r="J1710">
        <f t="shared" si="52"/>
        <v>1619.991</v>
      </c>
      <c r="K1710" s="9">
        <f t="shared" si="53"/>
        <v>0.43416992947174166</v>
      </c>
    </row>
    <row r="1711" spans="1:11" x14ac:dyDescent="0.3">
      <c r="A1711">
        <v>611</v>
      </c>
      <c r="B1711">
        <v>1</v>
      </c>
      <c r="C1711">
        <v>16</v>
      </c>
      <c r="D1711" t="str">
        <f>VLOOKUP($C1711,products!$A$1:$F$322,MATCH(order_items!$D$1,products!$A$1:$F$1,0),FALSE)</f>
        <v>Electra Townie Original 7D EQ - 2016</v>
      </c>
      <c r="E1711">
        <f>VLOOKUP($C1711,products!$A$1:$F$322,MATCH(order_items!$E$1,products!$A$1:$F$1,0),FALSE)</f>
        <v>3</v>
      </c>
      <c r="F1711" t="str">
        <f>VLOOKUP($E1711,categories!$A$1:$B$8,MATCH(order_items!$F$1,categories!$A$1:$B$1,0),FALSE)</f>
        <v>Cruisers Bicycles</v>
      </c>
      <c r="G1711">
        <v>2</v>
      </c>
      <c r="H1711">
        <v>599.99</v>
      </c>
      <c r="I1711" s="5">
        <v>7.0000000000000007E-2</v>
      </c>
      <c r="J1711">
        <f t="shared" si="52"/>
        <v>1115.9813999999999</v>
      </c>
      <c r="K1711" s="9">
        <f t="shared" si="53"/>
        <v>-0.45297423894164529</v>
      </c>
    </row>
    <row r="1712" spans="1:11" x14ac:dyDescent="0.3">
      <c r="A1712">
        <v>612</v>
      </c>
      <c r="B1712">
        <v>1</v>
      </c>
      <c r="C1712">
        <v>13</v>
      </c>
      <c r="D1712" t="str">
        <f>VLOOKUP($C1712,products!$A$1:$F$322,MATCH(order_items!$D$1,products!$A$1:$F$1,0),FALSE)</f>
        <v>Electra Cruiser 1 (24-Inch) - 2016</v>
      </c>
      <c r="E1712">
        <f>VLOOKUP($C1712,products!$A$1:$F$322,MATCH(order_items!$E$1,products!$A$1:$F$1,0),FALSE)</f>
        <v>3</v>
      </c>
      <c r="F1712" t="str">
        <f>VLOOKUP($E1712,categories!$A$1:$B$8,MATCH(order_items!$F$1,categories!$A$1:$B$1,0),FALSE)</f>
        <v>Cruisers Bicycles</v>
      </c>
      <c r="G1712">
        <v>1</v>
      </c>
      <c r="H1712">
        <v>269.99</v>
      </c>
      <c r="I1712" s="5">
        <v>0.1</v>
      </c>
      <c r="J1712">
        <f t="shared" si="52"/>
        <v>242.99100000000001</v>
      </c>
      <c r="K1712" s="9">
        <f t="shared" si="53"/>
        <v>-0.69693888525532666</v>
      </c>
    </row>
    <row r="1713" spans="1:11" x14ac:dyDescent="0.3">
      <c r="A1713">
        <v>612</v>
      </c>
      <c r="B1713">
        <v>2</v>
      </c>
      <c r="C1713">
        <v>14</v>
      </c>
      <c r="D1713" t="str">
        <f>VLOOKUP($C1713,products!$A$1:$F$322,MATCH(order_items!$D$1,products!$A$1:$F$1,0),FALSE)</f>
        <v>Electra Girl's Hawaii 1 (16-inch) - 2015/2016</v>
      </c>
      <c r="E1713">
        <f>VLOOKUP($C1713,products!$A$1:$F$322,MATCH(order_items!$E$1,products!$A$1:$F$1,0),FALSE)</f>
        <v>3</v>
      </c>
      <c r="F1713" t="str">
        <f>VLOOKUP($E1713,categories!$A$1:$B$8,MATCH(order_items!$F$1,categories!$A$1:$B$1,0),FALSE)</f>
        <v>Cruisers Bicycles</v>
      </c>
      <c r="G1713">
        <v>1</v>
      </c>
      <c r="H1713">
        <v>269.99</v>
      </c>
      <c r="I1713" s="5">
        <v>0.1</v>
      </c>
      <c r="J1713">
        <f t="shared" si="52"/>
        <v>242.99100000000001</v>
      </c>
      <c r="K1713" s="9">
        <f t="shared" si="53"/>
        <v>-0.69693888525532666</v>
      </c>
    </row>
    <row r="1714" spans="1:11" x14ac:dyDescent="0.3">
      <c r="A1714">
        <v>612</v>
      </c>
      <c r="B1714">
        <v>3</v>
      </c>
      <c r="C1714">
        <v>17</v>
      </c>
      <c r="D1714" t="str">
        <f>VLOOKUP($C1714,products!$A$1:$F$322,MATCH(order_items!$D$1,products!$A$1:$F$1,0),FALSE)</f>
        <v>Pure Cycles Vine 8-Speed - 2016</v>
      </c>
      <c r="E1714">
        <f>VLOOKUP($C1714,products!$A$1:$F$322,MATCH(order_items!$E$1,products!$A$1:$F$1,0),FALSE)</f>
        <v>3</v>
      </c>
      <c r="F1714" t="str">
        <f>VLOOKUP($E1714,categories!$A$1:$B$8,MATCH(order_items!$F$1,categories!$A$1:$B$1,0),FALSE)</f>
        <v>Cruisers Bicycles</v>
      </c>
      <c r="G1714">
        <v>1</v>
      </c>
      <c r="H1714">
        <v>429</v>
      </c>
      <c r="I1714" s="5">
        <v>7.0000000000000007E-2</v>
      </c>
      <c r="J1714">
        <f t="shared" si="52"/>
        <v>398.96999999999997</v>
      </c>
      <c r="K1714" s="9">
        <f t="shared" si="53"/>
        <v>-0.57938489007248284</v>
      </c>
    </row>
    <row r="1715" spans="1:11" x14ac:dyDescent="0.3">
      <c r="A1715">
        <v>612</v>
      </c>
      <c r="B1715">
        <v>4</v>
      </c>
      <c r="C1715">
        <v>20</v>
      </c>
      <c r="D1715" t="str">
        <f>VLOOKUP($C1715,products!$A$1:$F$322,MATCH(order_items!$D$1,products!$A$1:$F$1,0),FALSE)</f>
        <v>Electra Townie Original 7D EQ - Women's - 2016</v>
      </c>
      <c r="E1715">
        <f>VLOOKUP($C1715,products!$A$1:$F$322,MATCH(order_items!$E$1,products!$A$1:$F$1,0),FALSE)</f>
        <v>3</v>
      </c>
      <c r="F1715" t="str">
        <f>VLOOKUP($E1715,categories!$A$1:$B$8,MATCH(order_items!$F$1,categories!$A$1:$B$1,0),FALSE)</f>
        <v>Cruisers Bicycles</v>
      </c>
      <c r="G1715">
        <v>1</v>
      </c>
      <c r="H1715">
        <v>599.99</v>
      </c>
      <c r="I1715" s="5">
        <v>0.2</v>
      </c>
      <c r="J1715">
        <f t="shared" si="52"/>
        <v>479.99200000000002</v>
      </c>
      <c r="K1715" s="9">
        <f t="shared" si="53"/>
        <v>-0.45297423894164529</v>
      </c>
    </row>
    <row r="1716" spans="1:11" x14ac:dyDescent="0.3">
      <c r="A1716">
        <v>613</v>
      </c>
      <c r="B1716">
        <v>1</v>
      </c>
      <c r="C1716">
        <v>9</v>
      </c>
      <c r="D1716" t="str">
        <f>VLOOKUP($C1716,products!$A$1:$F$322,MATCH(order_items!$D$1,products!$A$1:$F$1,0),FALSE)</f>
        <v>Trek Conduit+ - 2016</v>
      </c>
      <c r="E1716">
        <f>VLOOKUP($C1716,products!$A$1:$F$322,MATCH(order_items!$E$1,products!$A$1:$F$1,0),FALSE)</f>
        <v>5</v>
      </c>
      <c r="F1716" t="str">
        <f>VLOOKUP($E1716,categories!$A$1:$B$8,MATCH(order_items!$F$1,categories!$A$1:$B$1,0),FALSE)</f>
        <v>Electric Bikes</v>
      </c>
      <c r="G1716">
        <v>2</v>
      </c>
      <c r="H1716">
        <v>2999.99</v>
      </c>
      <c r="I1716" s="5">
        <v>0.1</v>
      </c>
      <c r="J1716">
        <f t="shared" si="52"/>
        <v>5399.982</v>
      </c>
      <c r="K1716" s="9">
        <f t="shared" si="53"/>
        <v>1.3213140978851283</v>
      </c>
    </row>
    <row r="1717" spans="1:11" x14ac:dyDescent="0.3">
      <c r="A1717">
        <v>613</v>
      </c>
      <c r="B1717">
        <v>2</v>
      </c>
      <c r="C1717">
        <v>18</v>
      </c>
      <c r="D1717" t="str">
        <f>VLOOKUP($C1717,products!$A$1:$F$322,MATCH(order_items!$D$1,products!$A$1:$F$1,0),FALSE)</f>
        <v>Pure Cycles Western 3-Speed - Women's - 2015/2016</v>
      </c>
      <c r="E1717">
        <f>VLOOKUP($C1717,products!$A$1:$F$322,MATCH(order_items!$E$1,products!$A$1:$F$1,0),FALSE)</f>
        <v>3</v>
      </c>
      <c r="F1717" t="str">
        <f>VLOOKUP($E1717,categories!$A$1:$B$8,MATCH(order_items!$F$1,categories!$A$1:$B$1,0),FALSE)</f>
        <v>Cruisers Bicycles</v>
      </c>
      <c r="G1717">
        <v>2</v>
      </c>
      <c r="H1717">
        <v>449</v>
      </c>
      <c r="I1717" s="5">
        <v>0.05</v>
      </c>
      <c r="J1717">
        <f t="shared" si="52"/>
        <v>853.09999999999991</v>
      </c>
      <c r="K1717" s="9">
        <f t="shared" si="53"/>
        <v>-0.56459915393225968</v>
      </c>
    </row>
    <row r="1718" spans="1:11" x14ac:dyDescent="0.3">
      <c r="A1718">
        <v>613</v>
      </c>
      <c r="B1718">
        <v>3</v>
      </c>
      <c r="C1718">
        <v>12</v>
      </c>
      <c r="D1718" t="str">
        <f>VLOOKUP($C1718,products!$A$1:$F$322,MATCH(order_items!$D$1,products!$A$1:$F$1,0),FALSE)</f>
        <v>Electra Townie Original 21D - 2016</v>
      </c>
      <c r="E1718">
        <f>VLOOKUP($C1718,products!$A$1:$F$322,MATCH(order_items!$E$1,products!$A$1:$F$1,0),FALSE)</f>
        <v>3</v>
      </c>
      <c r="F1718" t="str">
        <f>VLOOKUP($E1718,categories!$A$1:$B$8,MATCH(order_items!$F$1,categories!$A$1:$B$1,0),FALSE)</f>
        <v>Cruisers Bicycles</v>
      </c>
      <c r="G1718">
        <v>1</v>
      </c>
      <c r="H1718">
        <v>549.99</v>
      </c>
      <c r="I1718" s="5">
        <v>7.0000000000000007E-2</v>
      </c>
      <c r="J1718">
        <f t="shared" si="52"/>
        <v>511.49069999999995</v>
      </c>
      <c r="K1718" s="9">
        <f t="shared" si="53"/>
        <v>-0.48993857929220308</v>
      </c>
    </row>
    <row r="1719" spans="1:11" x14ac:dyDescent="0.3">
      <c r="A1719">
        <v>614</v>
      </c>
      <c r="B1719">
        <v>1</v>
      </c>
      <c r="C1719">
        <v>18</v>
      </c>
      <c r="D1719" t="str">
        <f>VLOOKUP($C1719,products!$A$1:$F$322,MATCH(order_items!$D$1,products!$A$1:$F$1,0),FALSE)</f>
        <v>Pure Cycles Western 3-Speed - Women's - 2015/2016</v>
      </c>
      <c r="E1719">
        <f>VLOOKUP($C1719,products!$A$1:$F$322,MATCH(order_items!$E$1,products!$A$1:$F$1,0),FALSE)</f>
        <v>3</v>
      </c>
      <c r="F1719" t="str">
        <f>VLOOKUP($E1719,categories!$A$1:$B$8,MATCH(order_items!$F$1,categories!$A$1:$B$1,0),FALSE)</f>
        <v>Cruisers Bicycles</v>
      </c>
      <c r="G1719">
        <v>1</v>
      </c>
      <c r="H1719">
        <v>449</v>
      </c>
      <c r="I1719" s="5">
        <v>0.1</v>
      </c>
      <c r="J1719">
        <f t="shared" si="52"/>
        <v>404.1</v>
      </c>
      <c r="K1719" s="9">
        <f t="shared" si="53"/>
        <v>-0.56459915393225968</v>
      </c>
    </row>
    <row r="1720" spans="1:11" x14ac:dyDescent="0.3">
      <c r="A1720">
        <v>614</v>
      </c>
      <c r="B1720">
        <v>2</v>
      </c>
      <c r="C1720">
        <v>21</v>
      </c>
      <c r="D1720" t="str">
        <f>VLOOKUP($C1720,products!$A$1:$F$322,MATCH(order_items!$D$1,products!$A$1:$F$1,0),FALSE)</f>
        <v>Electra Cruiser 1 (24-Inch) - 2016</v>
      </c>
      <c r="E1720">
        <f>VLOOKUP($C1720,products!$A$1:$F$322,MATCH(order_items!$E$1,products!$A$1:$F$1,0),FALSE)</f>
        <v>1</v>
      </c>
      <c r="F1720" t="str">
        <f>VLOOKUP($E1720,categories!$A$1:$B$8,MATCH(order_items!$F$1,categories!$A$1:$B$1,0),FALSE)</f>
        <v>Children Bicycles</v>
      </c>
      <c r="G1720">
        <v>1</v>
      </c>
      <c r="H1720">
        <v>269.99</v>
      </c>
      <c r="I1720" s="5">
        <v>0.05</v>
      </c>
      <c r="J1720">
        <f t="shared" si="52"/>
        <v>256.4905</v>
      </c>
      <c r="K1720" s="9">
        <f t="shared" si="53"/>
        <v>-0.69693888525532666</v>
      </c>
    </row>
    <row r="1721" spans="1:11" x14ac:dyDescent="0.3">
      <c r="A1721">
        <v>615</v>
      </c>
      <c r="B1721">
        <v>1</v>
      </c>
      <c r="C1721">
        <v>11</v>
      </c>
      <c r="D1721" t="str">
        <f>VLOOKUP($C1721,products!$A$1:$F$322,MATCH(order_items!$D$1,products!$A$1:$F$1,0),FALSE)</f>
        <v>Surly Straggler 650b - 2016</v>
      </c>
      <c r="E1721">
        <f>VLOOKUP($C1721,products!$A$1:$F$322,MATCH(order_items!$E$1,products!$A$1:$F$1,0),FALSE)</f>
        <v>4</v>
      </c>
      <c r="F1721" t="str">
        <f>VLOOKUP($E1721,categories!$A$1:$B$8,MATCH(order_items!$F$1,categories!$A$1:$B$1,0),FALSE)</f>
        <v>Cyclocross Bicycles</v>
      </c>
      <c r="G1721">
        <v>1</v>
      </c>
      <c r="H1721">
        <v>1680.99</v>
      </c>
      <c r="I1721" s="5">
        <v>7.0000000000000007E-2</v>
      </c>
      <c r="J1721">
        <f t="shared" si="52"/>
        <v>1563.3207</v>
      </c>
      <c r="K1721" s="9">
        <f t="shared" si="53"/>
        <v>0.3461947994374141</v>
      </c>
    </row>
    <row r="1722" spans="1:11" x14ac:dyDescent="0.3">
      <c r="A1722">
        <v>615</v>
      </c>
      <c r="B1722">
        <v>2</v>
      </c>
      <c r="C1722">
        <v>23</v>
      </c>
      <c r="D1722" t="str">
        <f>VLOOKUP($C1722,products!$A$1:$F$322,MATCH(order_items!$D$1,products!$A$1:$F$1,0),FALSE)</f>
        <v>Electra Girl's Hawaii 1 (20-inch) - 2015/2016</v>
      </c>
      <c r="E1722">
        <f>VLOOKUP($C1722,products!$A$1:$F$322,MATCH(order_items!$E$1,products!$A$1:$F$1,0),FALSE)</f>
        <v>1</v>
      </c>
      <c r="F1722" t="str">
        <f>VLOOKUP($E1722,categories!$A$1:$B$8,MATCH(order_items!$F$1,categories!$A$1:$B$1,0),FALSE)</f>
        <v>Children Bicycles</v>
      </c>
      <c r="G1722">
        <v>1</v>
      </c>
      <c r="H1722">
        <v>299.99</v>
      </c>
      <c r="I1722" s="5">
        <v>0.05</v>
      </c>
      <c r="J1722">
        <f t="shared" si="52"/>
        <v>284.9905</v>
      </c>
      <c r="K1722" s="9">
        <f t="shared" si="53"/>
        <v>-0.67476028104499197</v>
      </c>
    </row>
    <row r="1723" spans="1:11" x14ac:dyDescent="0.3">
      <c r="A1723">
        <v>615</v>
      </c>
      <c r="B1723">
        <v>3</v>
      </c>
      <c r="C1723">
        <v>6</v>
      </c>
      <c r="D1723" t="str">
        <f>VLOOKUP($C1723,products!$A$1:$F$322,MATCH(order_items!$D$1,products!$A$1:$F$1,0),FALSE)</f>
        <v>Surly Ice Cream Truck Frameset - 2016</v>
      </c>
      <c r="E1723">
        <f>VLOOKUP($C1723,products!$A$1:$F$322,MATCH(order_items!$E$1,products!$A$1:$F$1,0),FALSE)</f>
        <v>6</v>
      </c>
      <c r="F1723" t="str">
        <f>VLOOKUP($E1723,categories!$A$1:$B$8,MATCH(order_items!$F$1,categories!$A$1:$B$1,0),FALSE)</f>
        <v>Mountain Bikes</v>
      </c>
      <c r="G1723">
        <v>2</v>
      </c>
      <c r="H1723">
        <v>469.99</v>
      </c>
      <c r="I1723" s="5">
        <v>0.1</v>
      </c>
      <c r="J1723">
        <f t="shared" si="52"/>
        <v>845.98200000000008</v>
      </c>
      <c r="K1723" s="9">
        <f t="shared" si="53"/>
        <v>-0.5490815238530955</v>
      </c>
    </row>
    <row r="1724" spans="1:11" x14ac:dyDescent="0.3">
      <c r="A1724">
        <v>615</v>
      </c>
      <c r="B1724">
        <v>4</v>
      </c>
      <c r="C1724">
        <v>19</v>
      </c>
      <c r="D1724" t="str">
        <f>VLOOKUP($C1724,products!$A$1:$F$322,MATCH(order_items!$D$1,products!$A$1:$F$1,0),FALSE)</f>
        <v>Pure Cycles William 3-Speed - 2016</v>
      </c>
      <c r="E1724">
        <f>VLOOKUP($C1724,products!$A$1:$F$322,MATCH(order_items!$E$1,products!$A$1:$F$1,0),FALSE)</f>
        <v>3</v>
      </c>
      <c r="F1724" t="str">
        <f>VLOOKUP($E1724,categories!$A$1:$B$8,MATCH(order_items!$F$1,categories!$A$1:$B$1,0),FALSE)</f>
        <v>Cruisers Bicycles</v>
      </c>
      <c r="G1724">
        <v>2</v>
      </c>
      <c r="H1724">
        <v>449</v>
      </c>
      <c r="I1724" s="5">
        <v>0.1</v>
      </c>
      <c r="J1724">
        <f t="shared" si="52"/>
        <v>808.2</v>
      </c>
      <c r="K1724" s="9">
        <f t="shared" si="53"/>
        <v>-0.56459915393225968</v>
      </c>
    </row>
    <row r="1725" spans="1:11" x14ac:dyDescent="0.3">
      <c r="A1725">
        <v>616</v>
      </c>
      <c r="B1725">
        <v>1</v>
      </c>
      <c r="C1725">
        <v>24</v>
      </c>
      <c r="D1725" t="str">
        <f>VLOOKUP($C1725,products!$A$1:$F$322,MATCH(order_items!$D$1,products!$A$1:$F$1,0),FALSE)</f>
        <v>Electra Townie Original 21D - 2016</v>
      </c>
      <c r="E1725">
        <f>VLOOKUP($C1725,products!$A$1:$F$322,MATCH(order_items!$E$1,products!$A$1:$F$1,0),FALSE)</f>
        <v>2</v>
      </c>
      <c r="F1725" t="str">
        <f>VLOOKUP($E1725,categories!$A$1:$B$8,MATCH(order_items!$F$1,categories!$A$1:$B$1,0),FALSE)</f>
        <v>Comfort Bicycles</v>
      </c>
      <c r="G1725">
        <v>1</v>
      </c>
      <c r="H1725">
        <v>549.99</v>
      </c>
      <c r="I1725" s="5">
        <v>0.2</v>
      </c>
      <c r="J1725">
        <f t="shared" si="52"/>
        <v>439.99200000000002</v>
      </c>
      <c r="K1725" s="9">
        <f t="shared" si="53"/>
        <v>-0.48993857929220308</v>
      </c>
    </row>
    <row r="1726" spans="1:11" x14ac:dyDescent="0.3">
      <c r="A1726">
        <v>616</v>
      </c>
      <c r="B1726">
        <v>2</v>
      </c>
      <c r="C1726">
        <v>16</v>
      </c>
      <c r="D1726" t="str">
        <f>VLOOKUP($C1726,products!$A$1:$F$322,MATCH(order_items!$D$1,products!$A$1:$F$1,0),FALSE)</f>
        <v>Electra Townie Original 7D EQ - 2016</v>
      </c>
      <c r="E1726">
        <f>VLOOKUP($C1726,products!$A$1:$F$322,MATCH(order_items!$E$1,products!$A$1:$F$1,0),FALSE)</f>
        <v>3</v>
      </c>
      <c r="F1726" t="str">
        <f>VLOOKUP($E1726,categories!$A$1:$B$8,MATCH(order_items!$F$1,categories!$A$1:$B$1,0),FALSE)</f>
        <v>Cruisers Bicycles</v>
      </c>
      <c r="G1726">
        <v>2</v>
      </c>
      <c r="H1726">
        <v>599.99</v>
      </c>
      <c r="I1726" s="5">
        <v>0.2</v>
      </c>
      <c r="J1726">
        <f t="shared" si="52"/>
        <v>959.98400000000004</v>
      </c>
      <c r="K1726" s="9">
        <f t="shared" si="53"/>
        <v>-0.45297423894164529</v>
      </c>
    </row>
    <row r="1727" spans="1:11" x14ac:dyDescent="0.3">
      <c r="A1727">
        <v>617</v>
      </c>
      <c r="B1727">
        <v>1</v>
      </c>
      <c r="C1727">
        <v>15</v>
      </c>
      <c r="D1727" t="str">
        <f>VLOOKUP($C1727,products!$A$1:$F$322,MATCH(order_items!$D$1,products!$A$1:$F$1,0),FALSE)</f>
        <v>Electra Moto 1 - 2016</v>
      </c>
      <c r="E1727">
        <f>VLOOKUP($C1727,products!$A$1:$F$322,MATCH(order_items!$E$1,products!$A$1:$F$1,0),FALSE)</f>
        <v>3</v>
      </c>
      <c r="F1727" t="str">
        <f>VLOOKUP($E1727,categories!$A$1:$B$8,MATCH(order_items!$F$1,categories!$A$1:$B$1,0),FALSE)</f>
        <v>Cruisers Bicycles</v>
      </c>
      <c r="G1727">
        <v>2</v>
      </c>
      <c r="H1727">
        <v>529.99</v>
      </c>
      <c r="I1727" s="5">
        <v>0.2</v>
      </c>
      <c r="J1727">
        <f t="shared" si="52"/>
        <v>847.98400000000004</v>
      </c>
      <c r="K1727" s="9">
        <f t="shared" si="53"/>
        <v>-0.50472431543242624</v>
      </c>
    </row>
    <row r="1728" spans="1:11" x14ac:dyDescent="0.3">
      <c r="A1728">
        <v>617</v>
      </c>
      <c r="B1728">
        <v>2</v>
      </c>
      <c r="C1728">
        <v>11</v>
      </c>
      <c r="D1728" t="str">
        <f>VLOOKUP($C1728,products!$A$1:$F$322,MATCH(order_items!$D$1,products!$A$1:$F$1,0),FALSE)</f>
        <v>Surly Straggler 650b - 2016</v>
      </c>
      <c r="E1728">
        <f>VLOOKUP($C1728,products!$A$1:$F$322,MATCH(order_items!$E$1,products!$A$1:$F$1,0),FALSE)</f>
        <v>4</v>
      </c>
      <c r="F1728" t="str">
        <f>VLOOKUP($E1728,categories!$A$1:$B$8,MATCH(order_items!$F$1,categories!$A$1:$B$1,0),FALSE)</f>
        <v>Cyclocross Bicycles</v>
      </c>
      <c r="G1728">
        <v>2</v>
      </c>
      <c r="H1728">
        <v>1680.99</v>
      </c>
      <c r="I1728" s="5">
        <v>7.0000000000000007E-2</v>
      </c>
      <c r="J1728">
        <f t="shared" si="52"/>
        <v>3126.6414</v>
      </c>
      <c r="K1728" s="9">
        <f t="shared" si="53"/>
        <v>0.3461947994374141</v>
      </c>
    </row>
    <row r="1729" spans="1:11" x14ac:dyDescent="0.3">
      <c r="A1729">
        <v>618</v>
      </c>
      <c r="B1729">
        <v>1</v>
      </c>
      <c r="C1729">
        <v>17</v>
      </c>
      <c r="D1729" t="str">
        <f>VLOOKUP($C1729,products!$A$1:$F$322,MATCH(order_items!$D$1,products!$A$1:$F$1,0),FALSE)</f>
        <v>Pure Cycles Vine 8-Speed - 2016</v>
      </c>
      <c r="E1729">
        <f>VLOOKUP($C1729,products!$A$1:$F$322,MATCH(order_items!$E$1,products!$A$1:$F$1,0),FALSE)</f>
        <v>3</v>
      </c>
      <c r="F1729" t="str">
        <f>VLOOKUP($E1729,categories!$A$1:$B$8,MATCH(order_items!$F$1,categories!$A$1:$B$1,0),FALSE)</f>
        <v>Cruisers Bicycles</v>
      </c>
      <c r="G1729">
        <v>2</v>
      </c>
      <c r="H1729">
        <v>429</v>
      </c>
      <c r="I1729" s="5">
        <v>0.1</v>
      </c>
      <c r="J1729">
        <f t="shared" si="52"/>
        <v>772.2</v>
      </c>
      <c r="K1729" s="9">
        <f t="shared" si="53"/>
        <v>-0.57938489007248284</v>
      </c>
    </row>
    <row r="1730" spans="1:11" x14ac:dyDescent="0.3">
      <c r="A1730">
        <v>618</v>
      </c>
      <c r="B1730">
        <v>2</v>
      </c>
      <c r="C1730">
        <v>11</v>
      </c>
      <c r="D1730" t="str">
        <f>VLOOKUP($C1730,products!$A$1:$F$322,MATCH(order_items!$D$1,products!$A$1:$F$1,0),FALSE)</f>
        <v>Surly Straggler 650b - 2016</v>
      </c>
      <c r="E1730">
        <f>VLOOKUP($C1730,products!$A$1:$F$322,MATCH(order_items!$E$1,products!$A$1:$F$1,0),FALSE)</f>
        <v>4</v>
      </c>
      <c r="F1730" t="str">
        <f>VLOOKUP($E1730,categories!$A$1:$B$8,MATCH(order_items!$F$1,categories!$A$1:$B$1,0),FALSE)</f>
        <v>Cyclocross Bicycles</v>
      </c>
      <c r="G1730">
        <v>1</v>
      </c>
      <c r="H1730">
        <v>1680.99</v>
      </c>
      <c r="I1730" s="5">
        <v>7.0000000000000007E-2</v>
      </c>
      <c r="J1730">
        <f t="shared" ref="J1730:J1793" si="54">G1730*H1730*(1-I1730)</f>
        <v>1563.3207</v>
      </c>
      <c r="K1730" s="9">
        <f t="shared" ref="K1730:K1793" si="55">($H1730-$M$7)/$M$9</f>
        <v>0.3461947994374141</v>
      </c>
    </row>
    <row r="1731" spans="1:11" x14ac:dyDescent="0.3">
      <c r="A1731">
        <v>619</v>
      </c>
      <c r="B1731">
        <v>1</v>
      </c>
      <c r="C1731">
        <v>25</v>
      </c>
      <c r="D1731" t="str">
        <f>VLOOKUP($C1731,products!$A$1:$F$322,MATCH(order_items!$D$1,products!$A$1:$F$1,0),FALSE)</f>
        <v>Electra Townie Original 7D - 2015/2016</v>
      </c>
      <c r="E1731">
        <f>VLOOKUP($C1731,products!$A$1:$F$322,MATCH(order_items!$E$1,products!$A$1:$F$1,0),FALSE)</f>
        <v>2</v>
      </c>
      <c r="F1731" t="str">
        <f>VLOOKUP($E1731,categories!$A$1:$B$8,MATCH(order_items!$F$1,categories!$A$1:$B$1,0),FALSE)</f>
        <v>Comfort Bicycles</v>
      </c>
      <c r="G1731">
        <v>1</v>
      </c>
      <c r="H1731">
        <v>499.99</v>
      </c>
      <c r="I1731" s="5">
        <v>7.0000000000000007E-2</v>
      </c>
      <c r="J1731">
        <f t="shared" si="54"/>
        <v>464.9907</v>
      </c>
      <c r="K1731" s="9">
        <f t="shared" si="55"/>
        <v>-0.52690291964276081</v>
      </c>
    </row>
    <row r="1732" spans="1:11" x14ac:dyDescent="0.3">
      <c r="A1732">
        <v>620</v>
      </c>
      <c r="B1732">
        <v>1</v>
      </c>
      <c r="C1732">
        <v>5</v>
      </c>
      <c r="D1732" t="str">
        <f>VLOOKUP($C1732,products!$A$1:$F$322,MATCH(order_items!$D$1,products!$A$1:$F$1,0),FALSE)</f>
        <v>Heller Shagamaw Frame - 2016</v>
      </c>
      <c r="E1732">
        <f>VLOOKUP($C1732,products!$A$1:$F$322,MATCH(order_items!$E$1,products!$A$1:$F$1,0),FALSE)</f>
        <v>6</v>
      </c>
      <c r="F1732" t="str">
        <f>VLOOKUP($E1732,categories!$A$1:$B$8,MATCH(order_items!$F$1,categories!$A$1:$B$1,0),FALSE)</f>
        <v>Mountain Bikes</v>
      </c>
      <c r="G1732">
        <v>2</v>
      </c>
      <c r="H1732">
        <v>1320.99</v>
      </c>
      <c r="I1732" s="5">
        <v>0.2</v>
      </c>
      <c r="J1732">
        <f t="shared" si="54"/>
        <v>2113.5840000000003</v>
      </c>
      <c r="K1732" s="9">
        <f t="shared" si="55"/>
        <v>8.0051548913398024E-2</v>
      </c>
    </row>
    <row r="1733" spans="1:11" x14ac:dyDescent="0.3">
      <c r="A1733">
        <v>621</v>
      </c>
      <c r="B1733">
        <v>1</v>
      </c>
      <c r="C1733">
        <v>17</v>
      </c>
      <c r="D1733" t="str">
        <f>VLOOKUP($C1733,products!$A$1:$F$322,MATCH(order_items!$D$1,products!$A$1:$F$1,0),FALSE)</f>
        <v>Pure Cycles Vine 8-Speed - 2016</v>
      </c>
      <c r="E1733">
        <f>VLOOKUP($C1733,products!$A$1:$F$322,MATCH(order_items!$E$1,products!$A$1:$F$1,0),FALSE)</f>
        <v>3</v>
      </c>
      <c r="F1733" t="str">
        <f>VLOOKUP($E1733,categories!$A$1:$B$8,MATCH(order_items!$F$1,categories!$A$1:$B$1,0),FALSE)</f>
        <v>Cruisers Bicycles</v>
      </c>
      <c r="G1733">
        <v>2</v>
      </c>
      <c r="H1733">
        <v>429</v>
      </c>
      <c r="I1733" s="5">
        <v>7.0000000000000007E-2</v>
      </c>
      <c r="J1733">
        <f t="shared" si="54"/>
        <v>797.93999999999994</v>
      </c>
      <c r="K1733" s="9">
        <f t="shared" si="55"/>
        <v>-0.57938489007248284</v>
      </c>
    </row>
    <row r="1734" spans="1:11" x14ac:dyDescent="0.3">
      <c r="A1734">
        <v>622</v>
      </c>
      <c r="B1734">
        <v>1</v>
      </c>
      <c r="C1734">
        <v>9</v>
      </c>
      <c r="D1734" t="str">
        <f>VLOOKUP($C1734,products!$A$1:$F$322,MATCH(order_items!$D$1,products!$A$1:$F$1,0),FALSE)</f>
        <v>Trek Conduit+ - 2016</v>
      </c>
      <c r="E1734">
        <f>VLOOKUP($C1734,products!$A$1:$F$322,MATCH(order_items!$E$1,products!$A$1:$F$1,0),FALSE)</f>
        <v>5</v>
      </c>
      <c r="F1734" t="str">
        <f>VLOOKUP($E1734,categories!$A$1:$B$8,MATCH(order_items!$F$1,categories!$A$1:$B$1,0),FALSE)</f>
        <v>Electric Bikes</v>
      </c>
      <c r="G1734">
        <v>2</v>
      </c>
      <c r="H1734">
        <v>2999.99</v>
      </c>
      <c r="I1734" s="5">
        <v>7.0000000000000007E-2</v>
      </c>
      <c r="J1734">
        <f t="shared" si="54"/>
        <v>5579.9813999999997</v>
      </c>
      <c r="K1734" s="9">
        <f t="shared" si="55"/>
        <v>1.3213140978851283</v>
      </c>
    </row>
    <row r="1735" spans="1:11" x14ac:dyDescent="0.3">
      <c r="A1735">
        <v>622</v>
      </c>
      <c r="B1735">
        <v>2</v>
      </c>
      <c r="C1735">
        <v>18</v>
      </c>
      <c r="D1735" t="str">
        <f>VLOOKUP($C1735,products!$A$1:$F$322,MATCH(order_items!$D$1,products!$A$1:$F$1,0),FALSE)</f>
        <v>Pure Cycles Western 3-Speed - Women's - 2015/2016</v>
      </c>
      <c r="E1735">
        <f>VLOOKUP($C1735,products!$A$1:$F$322,MATCH(order_items!$E$1,products!$A$1:$F$1,0),FALSE)</f>
        <v>3</v>
      </c>
      <c r="F1735" t="str">
        <f>VLOOKUP($E1735,categories!$A$1:$B$8,MATCH(order_items!$F$1,categories!$A$1:$B$1,0),FALSE)</f>
        <v>Cruisers Bicycles</v>
      </c>
      <c r="G1735">
        <v>1</v>
      </c>
      <c r="H1735">
        <v>449</v>
      </c>
      <c r="I1735" s="5">
        <v>0.1</v>
      </c>
      <c r="J1735">
        <f t="shared" si="54"/>
        <v>404.1</v>
      </c>
      <c r="K1735" s="9">
        <f t="shared" si="55"/>
        <v>-0.56459915393225968</v>
      </c>
    </row>
    <row r="1736" spans="1:11" x14ac:dyDescent="0.3">
      <c r="A1736">
        <v>622</v>
      </c>
      <c r="B1736">
        <v>3</v>
      </c>
      <c r="C1736">
        <v>10</v>
      </c>
      <c r="D1736" t="str">
        <f>VLOOKUP($C1736,products!$A$1:$F$322,MATCH(order_items!$D$1,products!$A$1:$F$1,0),FALSE)</f>
        <v>Surly Straggler - 2016</v>
      </c>
      <c r="E1736">
        <f>VLOOKUP($C1736,products!$A$1:$F$322,MATCH(order_items!$E$1,products!$A$1:$F$1,0),FALSE)</f>
        <v>4</v>
      </c>
      <c r="F1736" t="str">
        <f>VLOOKUP($E1736,categories!$A$1:$B$8,MATCH(order_items!$F$1,categories!$A$1:$B$1,0),FALSE)</f>
        <v>Cyclocross Bicycles</v>
      </c>
      <c r="G1736">
        <v>1</v>
      </c>
      <c r="H1736">
        <v>1549</v>
      </c>
      <c r="I1736" s="5">
        <v>0.2</v>
      </c>
      <c r="J1736">
        <f t="shared" si="54"/>
        <v>1239.2</v>
      </c>
      <c r="K1736" s="9">
        <f t="shared" si="55"/>
        <v>0.24861633378001166</v>
      </c>
    </row>
    <row r="1737" spans="1:11" x14ac:dyDescent="0.3">
      <c r="A1737">
        <v>622</v>
      </c>
      <c r="B1737">
        <v>4</v>
      </c>
      <c r="C1737">
        <v>25</v>
      </c>
      <c r="D1737" t="str">
        <f>VLOOKUP($C1737,products!$A$1:$F$322,MATCH(order_items!$D$1,products!$A$1:$F$1,0),FALSE)</f>
        <v>Electra Townie Original 7D - 2015/2016</v>
      </c>
      <c r="E1737">
        <f>VLOOKUP($C1737,products!$A$1:$F$322,MATCH(order_items!$E$1,products!$A$1:$F$1,0),FALSE)</f>
        <v>2</v>
      </c>
      <c r="F1737" t="str">
        <f>VLOOKUP($E1737,categories!$A$1:$B$8,MATCH(order_items!$F$1,categories!$A$1:$B$1,0),FALSE)</f>
        <v>Comfort Bicycles</v>
      </c>
      <c r="G1737">
        <v>1</v>
      </c>
      <c r="H1737">
        <v>499.99</v>
      </c>
      <c r="I1737" s="5">
        <v>7.0000000000000007E-2</v>
      </c>
      <c r="J1737">
        <f t="shared" si="54"/>
        <v>464.9907</v>
      </c>
      <c r="K1737" s="9">
        <f t="shared" si="55"/>
        <v>-0.52690291964276081</v>
      </c>
    </row>
    <row r="1738" spans="1:11" x14ac:dyDescent="0.3">
      <c r="A1738">
        <v>623</v>
      </c>
      <c r="B1738">
        <v>1</v>
      </c>
      <c r="C1738">
        <v>8</v>
      </c>
      <c r="D1738" t="str">
        <f>VLOOKUP($C1738,products!$A$1:$F$322,MATCH(order_items!$D$1,products!$A$1:$F$1,0),FALSE)</f>
        <v>Trek Remedy 29 Carbon Frameset - 2016</v>
      </c>
      <c r="E1738">
        <f>VLOOKUP($C1738,products!$A$1:$F$322,MATCH(order_items!$E$1,products!$A$1:$F$1,0),FALSE)</f>
        <v>6</v>
      </c>
      <c r="F1738" t="str">
        <f>VLOOKUP($E1738,categories!$A$1:$B$8,MATCH(order_items!$F$1,categories!$A$1:$B$1,0),FALSE)</f>
        <v>Mountain Bikes</v>
      </c>
      <c r="G1738">
        <v>1</v>
      </c>
      <c r="H1738">
        <v>1799.99</v>
      </c>
      <c r="I1738" s="5">
        <v>7.0000000000000007E-2</v>
      </c>
      <c r="J1738">
        <f t="shared" si="54"/>
        <v>1673.9906999999998</v>
      </c>
      <c r="K1738" s="9">
        <f t="shared" si="55"/>
        <v>0.43416992947174166</v>
      </c>
    </row>
    <row r="1739" spans="1:11" x14ac:dyDescent="0.3">
      <c r="A1739">
        <v>624</v>
      </c>
      <c r="B1739">
        <v>1</v>
      </c>
      <c r="C1739">
        <v>21</v>
      </c>
      <c r="D1739" t="str">
        <f>VLOOKUP($C1739,products!$A$1:$F$322,MATCH(order_items!$D$1,products!$A$1:$F$1,0),FALSE)</f>
        <v>Electra Cruiser 1 (24-Inch) - 2016</v>
      </c>
      <c r="E1739">
        <f>VLOOKUP($C1739,products!$A$1:$F$322,MATCH(order_items!$E$1,products!$A$1:$F$1,0),FALSE)</f>
        <v>1</v>
      </c>
      <c r="F1739" t="str">
        <f>VLOOKUP($E1739,categories!$A$1:$B$8,MATCH(order_items!$F$1,categories!$A$1:$B$1,0),FALSE)</f>
        <v>Children Bicycles</v>
      </c>
      <c r="G1739">
        <v>2</v>
      </c>
      <c r="H1739">
        <v>269.99</v>
      </c>
      <c r="I1739" s="5">
        <v>0.05</v>
      </c>
      <c r="J1739">
        <f t="shared" si="54"/>
        <v>512.98099999999999</v>
      </c>
      <c r="K1739" s="9">
        <f t="shared" si="55"/>
        <v>-0.69693888525532666</v>
      </c>
    </row>
    <row r="1740" spans="1:11" x14ac:dyDescent="0.3">
      <c r="A1740">
        <v>624</v>
      </c>
      <c r="B1740">
        <v>2</v>
      </c>
      <c r="C1740">
        <v>16</v>
      </c>
      <c r="D1740" t="str">
        <f>VLOOKUP($C1740,products!$A$1:$F$322,MATCH(order_items!$D$1,products!$A$1:$F$1,0),FALSE)</f>
        <v>Electra Townie Original 7D EQ - 2016</v>
      </c>
      <c r="E1740">
        <f>VLOOKUP($C1740,products!$A$1:$F$322,MATCH(order_items!$E$1,products!$A$1:$F$1,0),FALSE)</f>
        <v>3</v>
      </c>
      <c r="F1740" t="str">
        <f>VLOOKUP($E1740,categories!$A$1:$B$8,MATCH(order_items!$F$1,categories!$A$1:$B$1,0),FALSE)</f>
        <v>Cruisers Bicycles</v>
      </c>
      <c r="G1740">
        <v>1</v>
      </c>
      <c r="H1740">
        <v>599.99</v>
      </c>
      <c r="I1740" s="5">
        <v>7.0000000000000007E-2</v>
      </c>
      <c r="J1740">
        <f t="shared" si="54"/>
        <v>557.99069999999995</v>
      </c>
      <c r="K1740" s="9">
        <f t="shared" si="55"/>
        <v>-0.45297423894164529</v>
      </c>
    </row>
    <row r="1741" spans="1:11" x14ac:dyDescent="0.3">
      <c r="A1741">
        <v>624</v>
      </c>
      <c r="B1741">
        <v>3</v>
      </c>
      <c r="C1741">
        <v>22</v>
      </c>
      <c r="D1741" t="str">
        <f>VLOOKUP($C1741,products!$A$1:$F$322,MATCH(order_items!$D$1,products!$A$1:$F$1,0),FALSE)</f>
        <v>Electra Girl's Hawaii 1 (16-inch) - 2015/2016</v>
      </c>
      <c r="E1741">
        <f>VLOOKUP($C1741,products!$A$1:$F$322,MATCH(order_items!$E$1,products!$A$1:$F$1,0),FALSE)</f>
        <v>1</v>
      </c>
      <c r="F1741" t="str">
        <f>VLOOKUP($E1741,categories!$A$1:$B$8,MATCH(order_items!$F$1,categories!$A$1:$B$1,0),FALSE)</f>
        <v>Children Bicycles</v>
      </c>
      <c r="G1741">
        <v>1</v>
      </c>
      <c r="H1741">
        <v>269.99</v>
      </c>
      <c r="I1741" s="5">
        <v>7.0000000000000007E-2</v>
      </c>
      <c r="J1741">
        <f t="shared" si="54"/>
        <v>251.0907</v>
      </c>
      <c r="K1741" s="9">
        <f t="shared" si="55"/>
        <v>-0.69693888525532666</v>
      </c>
    </row>
    <row r="1742" spans="1:11" x14ac:dyDescent="0.3">
      <c r="A1742">
        <v>624</v>
      </c>
      <c r="B1742">
        <v>4</v>
      </c>
      <c r="C1742">
        <v>14</v>
      </c>
      <c r="D1742" t="str">
        <f>VLOOKUP($C1742,products!$A$1:$F$322,MATCH(order_items!$D$1,products!$A$1:$F$1,0),FALSE)</f>
        <v>Electra Girl's Hawaii 1 (16-inch) - 2015/2016</v>
      </c>
      <c r="E1742">
        <f>VLOOKUP($C1742,products!$A$1:$F$322,MATCH(order_items!$E$1,products!$A$1:$F$1,0),FALSE)</f>
        <v>3</v>
      </c>
      <c r="F1742" t="str">
        <f>VLOOKUP($E1742,categories!$A$1:$B$8,MATCH(order_items!$F$1,categories!$A$1:$B$1,0),FALSE)</f>
        <v>Cruisers Bicycles</v>
      </c>
      <c r="G1742">
        <v>2</v>
      </c>
      <c r="H1742">
        <v>269.99</v>
      </c>
      <c r="I1742" s="5">
        <v>0.2</v>
      </c>
      <c r="J1742">
        <f t="shared" si="54"/>
        <v>431.98400000000004</v>
      </c>
      <c r="K1742" s="9">
        <f t="shared" si="55"/>
        <v>-0.69693888525532666</v>
      </c>
    </row>
    <row r="1743" spans="1:11" x14ac:dyDescent="0.3">
      <c r="A1743">
        <v>625</v>
      </c>
      <c r="B1743">
        <v>1</v>
      </c>
      <c r="C1743">
        <v>17</v>
      </c>
      <c r="D1743" t="str">
        <f>VLOOKUP($C1743,products!$A$1:$F$322,MATCH(order_items!$D$1,products!$A$1:$F$1,0),FALSE)</f>
        <v>Pure Cycles Vine 8-Speed - 2016</v>
      </c>
      <c r="E1743">
        <f>VLOOKUP($C1743,products!$A$1:$F$322,MATCH(order_items!$E$1,products!$A$1:$F$1,0),FALSE)</f>
        <v>3</v>
      </c>
      <c r="F1743" t="str">
        <f>VLOOKUP($E1743,categories!$A$1:$B$8,MATCH(order_items!$F$1,categories!$A$1:$B$1,0),FALSE)</f>
        <v>Cruisers Bicycles</v>
      </c>
      <c r="G1743">
        <v>1</v>
      </c>
      <c r="H1743">
        <v>429</v>
      </c>
      <c r="I1743" s="5">
        <v>7.0000000000000007E-2</v>
      </c>
      <c r="J1743">
        <f t="shared" si="54"/>
        <v>398.96999999999997</v>
      </c>
      <c r="K1743" s="9">
        <f t="shared" si="55"/>
        <v>-0.57938489007248284</v>
      </c>
    </row>
    <row r="1744" spans="1:11" x14ac:dyDescent="0.3">
      <c r="A1744">
        <v>625</v>
      </c>
      <c r="B1744">
        <v>2</v>
      </c>
      <c r="C1744">
        <v>11</v>
      </c>
      <c r="D1744" t="str">
        <f>VLOOKUP($C1744,products!$A$1:$F$322,MATCH(order_items!$D$1,products!$A$1:$F$1,0),FALSE)</f>
        <v>Surly Straggler 650b - 2016</v>
      </c>
      <c r="E1744">
        <f>VLOOKUP($C1744,products!$A$1:$F$322,MATCH(order_items!$E$1,products!$A$1:$F$1,0),FALSE)</f>
        <v>4</v>
      </c>
      <c r="F1744" t="str">
        <f>VLOOKUP($E1744,categories!$A$1:$B$8,MATCH(order_items!$F$1,categories!$A$1:$B$1,0),FALSE)</f>
        <v>Cyclocross Bicycles</v>
      </c>
      <c r="G1744">
        <v>2</v>
      </c>
      <c r="H1744">
        <v>1680.99</v>
      </c>
      <c r="I1744" s="5">
        <v>0.2</v>
      </c>
      <c r="J1744">
        <f t="shared" si="54"/>
        <v>2689.5840000000003</v>
      </c>
      <c r="K1744" s="9">
        <f t="shared" si="55"/>
        <v>0.3461947994374141</v>
      </c>
    </row>
    <row r="1745" spans="1:11" x14ac:dyDescent="0.3">
      <c r="A1745">
        <v>625</v>
      </c>
      <c r="B1745">
        <v>3</v>
      </c>
      <c r="C1745">
        <v>26</v>
      </c>
      <c r="D1745" t="str">
        <f>VLOOKUP($C1745,products!$A$1:$F$322,MATCH(order_items!$D$1,products!$A$1:$F$1,0),FALSE)</f>
        <v>Electra Townie Original 7D EQ - 2016</v>
      </c>
      <c r="E1745">
        <f>VLOOKUP($C1745,products!$A$1:$F$322,MATCH(order_items!$E$1,products!$A$1:$F$1,0),FALSE)</f>
        <v>2</v>
      </c>
      <c r="F1745" t="str">
        <f>VLOOKUP($E1745,categories!$A$1:$B$8,MATCH(order_items!$F$1,categories!$A$1:$B$1,0),FALSE)</f>
        <v>Comfort Bicycles</v>
      </c>
      <c r="G1745">
        <v>1</v>
      </c>
      <c r="H1745">
        <v>599.99</v>
      </c>
      <c r="I1745" s="5">
        <v>7.0000000000000007E-2</v>
      </c>
      <c r="J1745">
        <f t="shared" si="54"/>
        <v>557.99069999999995</v>
      </c>
      <c r="K1745" s="9">
        <f t="shared" si="55"/>
        <v>-0.45297423894164529</v>
      </c>
    </row>
    <row r="1746" spans="1:11" x14ac:dyDescent="0.3">
      <c r="A1746">
        <v>625</v>
      </c>
      <c r="B1746">
        <v>4</v>
      </c>
      <c r="C1746">
        <v>23</v>
      </c>
      <c r="D1746" t="str">
        <f>VLOOKUP($C1746,products!$A$1:$F$322,MATCH(order_items!$D$1,products!$A$1:$F$1,0),FALSE)</f>
        <v>Electra Girl's Hawaii 1 (20-inch) - 2015/2016</v>
      </c>
      <c r="E1746">
        <f>VLOOKUP($C1746,products!$A$1:$F$322,MATCH(order_items!$E$1,products!$A$1:$F$1,0),FALSE)</f>
        <v>1</v>
      </c>
      <c r="F1746" t="str">
        <f>VLOOKUP($E1746,categories!$A$1:$B$8,MATCH(order_items!$F$1,categories!$A$1:$B$1,0),FALSE)</f>
        <v>Children Bicycles</v>
      </c>
      <c r="G1746">
        <v>2</v>
      </c>
      <c r="H1746">
        <v>299.99</v>
      </c>
      <c r="I1746" s="5">
        <v>0.1</v>
      </c>
      <c r="J1746">
        <f t="shared" si="54"/>
        <v>539.98200000000008</v>
      </c>
      <c r="K1746" s="9">
        <f t="shared" si="55"/>
        <v>-0.67476028104499197</v>
      </c>
    </row>
    <row r="1747" spans="1:11" x14ac:dyDescent="0.3">
      <c r="A1747">
        <v>626</v>
      </c>
      <c r="B1747">
        <v>1</v>
      </c>
      <c r="C1747">
        <v>15</v>
      </c>
      <c r="D1747" t="str">
        <f>VLOOKUP($C1747,products!$A$1:$F$322,MATCH(order_items!$D$1,products!$A$1:$F$1,0),FALSE)</f>
        <v>Electra Moto 1 - 2016</v>
      </c>
      <c r="E1747">
        <f>VLOOKUP($C1747,products!$A$1:$F$322,MATCH(order_items!$E$1,products!$A$1:$F$1,0),FALSE)</f>
        <v>3</v>
      </c>
      <c r="F1747" t="str">
        <f>VLOOKUP($E1747,categories!$A$1:$B$8,MATCH(order_items!$F$1,categories!$A$1:$B$1,0),FALSE)</f>
        <v>Cruisers Bicycles</v>
      </c>
      <c r="G1747">
        <v>1</v>
      </c>
      <c r="H1747">
        <v>529.99</v>
      </c>
      <c r="I1747" s="5">
        <v>0.2</v>
      </c>
      <c r="J1747">
        <f t="shared" si="54"/>
        <v>423.99200000000002</v>
      </c>
      <c r="K1747" s="9">
        <f t="shared" si="55"/>
        <v>-0.50472431543242624</v>
      </c>
    </row>
    <row r="1748" spans="1:11" x14ac:dyDescent="0.3">
      <c r="A1748">
        <v>627</v>
      </c>
      <c r="B1748">
        <v>1</v>
      </c>
      <c r="C1748">
        <v>19</v>
      </c>
      <c r="D1748" t="str">
        <f>VLOOKUP($C1748,products!$A$1:$F$322,MATCH(order_items!$D$1,products!$A$1:$F$1,0),FALSE)</f>
        <v>Pure Cycles William 3-Speed - 2016</v>
      </c>
      <c r="E1748">
        <f>VLOOKUP($C1748,products!$A$1:$F$322,MATCH(order_items!$E$1,products!$A$1:$F$1,0),FALSE)</f>
        <v>3</v>
      </c>
      <c r="F1748" t="str">
        <f>VLOOKUP($E1748,categories!$A$1:$B$8,MATCH(order_items!$F$1,categories!$A$1:$B$1,0),FALSE)</f>
        <v>Cruisers Bicycles</v>
      </c>
      <c r="G1748">
        <v>1</v>
      </c>
      <c r="H1748">
        <v>449</v>
      </c>
      <c r="I1748" s="5">
        <v>7.0000000000000007E-2</v>
      </c>
      <c r="J1748">
        <f t="shared" si="54"/>
        <v>417.57</v>
      </c>
      <c r="K1748" s="9">
        <f t="shared" si="55"/>
        <v>-0.56459915393225968</v>
      </c>
    </row>
    <row r="1749" spans="1:11" x14ac:dyDescent="0.3">
      <c r="A1749">
        <v>627</v>
      </c>
      <c r="B1749">
        <v>2</v>
      </c>
      <c r="C1749">
        <v>9</v>
      </c>
      <c r="D1749" t="str">
        <f>VLOOKUP($C1749,products!$A$1:$F$322,MATCH(order_items!$D$1,products!$A$1:$F$1,0),FALSE)</f>
        <v>Trek Conduit+ - 2016</v>
      </c>
      <c r="E1749">
        <f>VLOOKUP($C1749,products!$A$1:$F$322,MATCH(order_items!$E$1,products!$A$1:$F$1,0),FALSE)</f>
        <v>5</v>
      </c>
      <c r="F1749" t="str">
        <f>VLOOKUP($E1749,categories!$A$1:$B$8,MATCH(order_items!$F$1,categories!$A$1:$B$1,0),FALSE)</f>
        <v>Electric Bikes</v>
      </c>
      <c r="G1749">
        <v>2</v>
      </c>
      <c r="H1749">
        <v>2999.99</v>
      </c>
      <c r="I1749" s="5">
        <v>0.2</v>
      </c>
      <c r="J1749">
        <f t="shared" si="54"/>
        <v>4799.9839999999995</v>
      </c>
      <c r="K1749" s="9">
        <f t="shared" si="55"/>
        <v>1.3213140978851283</v>
      </c>
    </row>
    <row r="1750" spans="1:11" x14ac:dyDescent="0.3">
      <c r="A1750">
        <v>627</v>
      </c>
      <c r="B1750">
        <v>3</v>
      </c>
      <c r="C1750">
        <v>26</v>
      </c>
      <c r="D1750" t="str">
        <f>VLOOKUP($C1750,products!$A$1:$F$322,MATCH(order_items!$D$1,products!$A$1:$F$1,0),FALSE)</f>
        <v>Electra Townie Original 7D EQ - 2016</v>
      </c>
      <c r="E1750">
        <f>VLOOKUP($C1750,products!$A$1:$F$322,MATCH(order_items!$E$1,products!$A$1:$F$1,0),FALSE)</f>
        <v>2</v>
      </c>
      <c r="F1750" t="str">
        <f>VLOOKUP($E1750,categories!$A$1:$B$8,MATCH(order_items!$F$1,categories!$A$1:$B$1,0),FALSE)</f>
        <v>Comfort Bicycles</v>
      </c>
      <c r="G1750">
        <v>1</v>
      </c>
      <c r="H1750">
        <v>599.99</v>
      </c>
      <c r="I1750" s="5">
        <v>7.0000000000000007E-2</v>
      </c>
      <c r="J1750">
        <f t="shared" si="54"/>
        <v>557.99069999999995</v>
      </c>
      <c r="K1750" s="9">
        <f t="shared" si="55"/>
        <v>-0.45297423894164529</v>
      </c>
    </row>
    <row r="1751" spans="1:11" x14ac:dyDescent="0.3">
      <c r="A1751">
        <v>628</v>
      </c>
      <c r="B1751">
        <v>1</v>
      </c>
      <c r="C1751">
        <v>15</v>
      </c>
      <c r="D1751" t="str">
        <f>VLOOKUP($C1751,products!$A$1:$F$322,MATCH(order_items!$D$1,products!$A$1:$F$1,0),FALSE)</f>
        <v>Electra Moto 1 - 2016</v>
      </c>
      <c r="E1751">
        <f>VLOOKUP($C1751,products!$A$1:$F$322,MATCH(order_items!$E$1,products!$A$1:$F$1,0),FALSE)</f>
        <v>3</v>
      </c>
      <c r="F1751" t="str">
        <f>VLOOKUP($E1751,categories!$A$1:$B$8,MATCH(order_items!$F$1,categories!$A$1:$B$1,0),FALSE)</f>
        <v>Cruisers Bicycles</v>
      </c>
      <c r="G1751">
        <v>2</v>
      </c>
      <c r="H1751">
        <v>529.99</v>
      </c>
      <c r="I1751" s="5">
        <v>0.1</v>
      </c>
      <c r="J1751">
        <f t="shared" si="54"/>
        <v>953.98200000000008</v>
      </c>
      <c r="K1751" s="9">
        <f t="shared" si="55"/>
        <v>-0.50472431543242624</v>
      </c>
    </row>
    <row r="1752" spans="1:11" x14ac:dyDescent="0.3">
      <c r="A1752">
        <v>629</v>
      </c>
      <c r="B1752">
        <v>1</v>
      </c>
      <c r="C1752">
        <v>19</v>
      </c>
      <c r="D1752" t="str">
        <f>VLOOKUP($C1752,products!$A$1:$F$322,MATCH(order_items!$D$1,products!$A$1:$F$1,0),FALSE)</f>
        <v>Pure Cycles William 3-Speed - 2016</v>
      </c>
      <c r="E1752">
        <f>VLOOKUP($C1752,products!$A$1:$F$322,MATCH(order_items!$E$1,products!$A$1:$F$1,0),FALSE)</f>
        <v>3</v>
      </c>
      <c r="F1752" t="str">
        <f>VLOOKUP($E1752,categories!$A$1:$B$8,MATCH(order_items!$F$1,categories!$A$1:$B$1,0),FALSE)</f>
        <v>Cruisers Bicycles</v>
      </c>
      <c r="G1752">
        <v>1</v>
      </c>
      <c r="H1752">
        <v>449</v>
      </c>
      <c r="I1752" s="5">
        <v>0.05</v>
      </c>
      <c r="J1752">
        <f t="shared" si="54"/>
        <v>426.54999999999995</v>
      </c>
      <c r="K1752" s="9">
        <f t="shared" si="55"/>
        <v>-0.56459915393225968</v>
      </c>
    </row>
    <row r="1753" spans="1:11" x14ac:dyDescent="0.3">
      <c r="A1753">
        <v>629</v>
      </c>
      <c r="B1753">
        <v>2</v>
      </c>
      <c r="C1753">
        <v>5</v>
      </c>
      <c r="D1753" t="str">
        <f>VLOOKUP($C1753,products!$A$1:$F$322,MATCH(order_items!$D$1,products!$A$1:$F$1,0),FALSE)</f>
        <v>Heller Shagamaw Frame - 2016</v>
      </c>
      <c r="E1753">
        <f>VLOOKUP($C1753,products!$A$1:$F$322,MATCH(order_items!$E$1,products!$A$1:$F$1,0),FALSE)</f>
        <v>6</v>
      </c>
      <c r="F1753" t="str">
        <f>VLOOKUP($E1753,categories!$A$1:$B$8,MATCH(order_items!$F$1,categories!$A$1:$B$1,0),FALSE)</f>
        <v>Mountain Bikes</v>
      </c>
      <c r="G1753">
        <v>2</v>
      </c>
      <c r="H1753">
        <v>1320.99</v>
      </c>
      <c r="I1753" s="5">
        <v>0.05</v>
      </c>
      <c r="J1753">
        <f t="shared" si="54"/>
        <v>2509.8809999999999</v>
      </c>
      <c r="K1753" s="9">
        <f t="shared" si="55"/>
        <v>8.0051548913398024E-2</v>
      </c>
    </row>
    <row r="1754" spans="1:11" x14ac:dyDescent="0.3">
      <c r="A1754">
        <v>629</v>
      </c>
      <c r="B1754">
        <v>3</v>
      </c>
      <c r="C1754">
        <v>23</v>
      </c>
      <c r="D1754" t="str">
        <f>VLOOKUP($C1754,products!$A$1:$F$322,MATCH(order_items!$D$1,products!$A$1:$F$1,0),FALSE)</f>
        <v>Electra Girl's Hawaii 1 (20-inch) - 2015/2016</v>
      </c>
      <c r="E1754">
        <f>VLOOKUP($C1754,products!$A$1:$F$322,MATCH(order_items!$E$1,products!$A$1:$F$1,0),FALSE)</f>
        <v>1</v>
      </c>
      <c r="F1754" t="str">
        <f>VLOOKUP($E1754,categories!$A$1:$B$8,MATCH(order_items!$F$1,categories!$A$1:$B$1,0),FALSE)</f>
        <v>Children Bicycles</v>
      </c>
      <c r="G1754">
        <v>2</v>
      </c>
      <c r="H1754">
        <v>299.99</v>
      </c>
      <c r="I1754" s="5">
        <v>0.1</v>
      </c>
      <c r="J1754">
        <f t="shared" si="54"/>
        <v>539.98200000000008</v>
      </c>
      <c r="K1754" s="9">
        <f t="shared" si="55"/>
        <v>-0.67476028104499197</v>
      </c>
    </row>
    <row r="1755" spans="1:11" x14ac:dyDescent="0.3">
      <c r="A1755">
        <v>629</v>
      </c>
      <c r="B1755">
        <v>4</v>
      </c>
      <c r="C1755">
        <v>14</v>
      </c>
      <c r="D1755" t="str">
        <f>VLOOKUP($C1755,products!$A$1:$F$322,MATCH(order_items!$D$1,products!$A$1:$F$1,0),FALSE)</f>
        <v>Electra Girl's Hawaii 1 (16-inch) - 2015/2016</v>
      </c>
      <c r="E1755">
        <f>VLOOKUP($C1755,products!$A$1:$F$322,MATCH(order_items!$E$1,products!$A$1:$F$1,0),FALSE)</f>
        <v>3</v>
      </c>
      <c r="F1755" t="str">
        <f>VLOOKUP($E1755,categories!$A$1:$B$8,MATCH(order_items!$F$1,categories!$A$1:$B$1,0),FALSE)</f>
        <v>Cruisers Bicycles</v>
      </c>
      <c r="G1755">
        <v>2</v>
      </c>
      <c r="H1755">
        <v>269.99</v>
      </c>
      <c r="I1755" s="5">
        <v>0.05</v>
      </c>
      <c r="J1755">
        <f t="shared" si="54"/>
        <v>512.98099999999999</v>
      </c>
      <c r="K1755" s="9">
        <f t="shared" si="55"/>
        <v>-0.69693888525532666</v>
      </c>
    </row>
    <row r="1756" spans="1:11" x14ac:dyDescent="0.3">
      <c r="A1756">
        <v>629</v>
      </c>
      <c r="B1756">
        <v>5</v>
      </c>
      <c r="C1756">
        <v>6</v>
      </c>
      <c r="D1756" t="str">
        <f>VLOOKUP($C1756,products!$A$1:$F$322,MATCH(order_items!$D$1,products!$A$1:$F$1,0),FALSE)</f>
        <v>Surly Ice Cream Truck Frameset - 2016</v>
      </c>
      <c r="E1756">
        <f>VLOOKUP($C1756,products!$A$1:$F$322,MATCH(order_items!$E$1,products!$A$1:$F$1,0),FALSE)</f>
        <v>6</v>
      </c>
      <c r="F1756" t="str">
        <f>VLOOKUP($E1756,categories!$A$1:$B$8,MATCH(order_items!$F$1,categories!$A$1:$B$1,0),FALSE)</f>
        <v>Mountain Bikes</v>
      </c>
      <c r="G1756">
        <v>2</v>
      </c>
      <c r="H1756">
        <v>469.99</v>
      </c>
      <c r="I1756" s="5">
        <v>0.1</v>
      </c>
      <c r="J1756">
        <f t="shared" si="54"/>
        <v>845.98200000000008</v>
      </c>
      <c r="K1756" s="9">
        <f t="shared" si="55"/>
        <v>-0.5490815238530955</v>
      </c>
    </row>
    <row r="1757" spans="1:11" x14ac:dyDescent="0.3">
      <c r="A1757">
        <v>630</v>
      </c>
      <c r="B1757">
        <v>1</v>
      </c>
      <c r="C1757">
        <v>5</v>
      </c>
      <c r="D1757" t="str">
        <f>VLOOKUP($C1757,products!$A$1:$F$322,MATCH(order_items!$D$1,products!$A$1:$F$1,0),FALSE)</f>
        <v>Heller Shagamaw Frame - 2016</v>
      </c>
      <c r="E1757">
        <f>VLOOKUP($C1757,products!$A$1:$F$322,MATCH(order_items!$E$1,products!$A$1:$F$1,0),FALSE)</f>
        <v>6</v>
      </c>
      <c r="F1757" t="str">
        <f>VLOOKUP($E1757,categories!$A$1:$B$8,MATCH(order_items!$F$1,categories!$A$1:$B$1,0),FALSE)</f>
        <v>Mountain Bikes</v>
      </c>
      <c r="G1757">
        <v>1</v>
      </c>
      <c r="H1757">
        <v>1320.99</v>
      </c>
      <c r="I1757" s="5">
        <v>0.05</v>
      </c>
      <c r="J1757">
        <f t="shared" si="54"/>
        <v>1254.9404999999999</v>
      </c>
      <c r="K1757" s="9">
        <f t="shared" si="55"/>
        <v>8.0051548913398024E-2</v>
      </c>
    </row>
    <row r="1758" spans="1:11" x14ac:dyDescent="0.3">
      <c r="A1758">
        <v>630</v>
      </c>
      <c r="B1758">
        <v>2</v>
      </c>
      <c r="C1758">
        <v>25</v>
      </c>
      <c r="D1758" t="str">
        <f>VLOOKUP($C1758,products!$A$1:$F$322,MATCH(order_items!$D$1,products!$A$1:$F$1,0),FALSE)</f>
        <v>Electra Townie Original 7D - 2015/2016</v>
      </c>
      <c r="E1758">
        <f>VLOOKUP($C1758,products!$A$1:$F$322,MATCH(order_items!$E$1,products!$A$1:$F$1,0),FALSE)</f>
        <v>2</v>
      </c>
      <c r="F1758" t="str">
        <f>VLOOKUP($E1758,categories!$A$1:$B$8,MATCH(order_items!$F$1,categories!$A$1:$B$1,0),FALSE)</f>
        <v>Comfort Bicycles</v>
      </c>
      <c r="G1758">
        <v>1</v>
      </c>
      <c r="H1758">
        <v>499.99</v>
      </c>
      <c r="I1758" s="5">
        <v>0.1</v>
      </c>
      <c r="J1758">
        <f t="shared" si="54"/>
        <v>449.99100000000004</v>
      </c>
      <c r="K1758" s="9">
        <f t="shared" si="55"/>
        <v>-0.52690291964276081</v>
      </c>
    </row>
    <row r="1759" spans="1:11" x14ac:dyDescent="0.3">
      <c r="A1759">
        <v>630</v>
      </c>
      <c r="B1759">
        <v>3</v>
      </c>
      <c r="C1759">
        <v>18</v>
      </c>
      <c r="D1759" t="str">
        <f>VLOOKUP($C1759,products!$A$1:$F$322,MATCH(order_items!$D$1,products!$A$1:$F$1,0),FALSE)</f>
        <v>Pure Cycles Western 3-Speed - Women's - 2015/2016</v>
      </c>
      <c r="E1759">
        <f>VLOOKUP($C1759,products!$A$1:$F$322,MATCH(order_items!$E$1,products!$A$1:$F$1,0),FALSE)</f>
        <v>3</v>
      </c>
      <c r="F1759" t="str">
        <f>VLOOKUP($E1759,categories!$A$1:$B$8,MATCH(order_items!$F$1,categories!$A$1:$B$1,0),FALSE)</f>
        <v>Cruisers Bicycles</v>
      </c>
      <c r="G1759">
        <v>2</v>
      </c>
      <c r="H1759">
        <v>449</v>
      </c>
      <c r="I1759" s="5">
        <v>0.1</v>
      </c>
      <c r="J1759">
        <f t="shared" si="54"/>
        <v>808.2</v>
      </c>
      <c r="K1759" s="9">
        <f t="shared" si="55"/>
        <v>-0.56459915393225968</v>
      </c>
    </row>
    <row r="1760" spans="1:11" x14ac:dyDescent="0.3">
      <c r="A1760">
        <v>630</v>
      </c>
      <c r="B1760">
        <v>4</v>
      </c>
      <c r="C1760">
        <v>21</v>
      </c>
      <c r="D1760" t="str">
        <f>VLOOKUP($C1760,products!$A$1:$F$322,MATCH(order_items!$D$1,products!$A$1:$F$1,0),FALSE)</f>
        <v>Electra Cruiser 1 (24-Inch) - 2016</v>
      </c>
      <c r="E1760">
        <f>VLOOKUP($C1760,products!$A$1:$F$322,MATCH(order_items!$E$1,products!$A$1:$F$1,0),FALSE)</f>
        <v>1</v>
      </c>
      <c r="F1760" t="str">
        <f>VLOOKUP($E1760,categories!$A$1:$B$8,MATCH(order_items!$F$1,categories!$A$1:$B$1,0),FALSE)</f>
        <v>Children Bicycles</v>
      </c>
      <c r="G1760">
        <v>2</v>
      </c>
      <c r="H1760">
        <v>269.99</v>
      </c>
      <c r="I1760" s="5">
        <v>7.0000000000000007E-2</v>
      </c>
      <c r="J1760">
        <f t="shared" si="54"/>
        <v>502.1814</v>
      </c>
      <c r="K1760" s="9">
        <f t="shared" si="55"/>
        <v>-0.69693888525532666</v>
      </c>
    </row>
    <row r="1761" spans="1:11" x14ac:dyDescent="0.3">
      <c r="A1761">
        <v>631</v>
      </c>
      <c r="B1761">
        <v>1</v>
      </c>
      <c r="C1761">
        <v>24</v>
      </c>
      <c r="D1761" t="str">
        <f>VLOOKUP($C1761,products!$A$1:$F$322,MATCH(order_items!$D$1,products!$A$1:$F$1,0),FALSE)</f>
        <v>Electra Townie Original 21D - 2016</v>
      </c>
      <c r="E1761">
        <f>VLOOKUP($C1761,products!$A$1:$F$322,MATCH(order_items!$E$1,products!$A$1:$F$1,0),FALSE)</f>
        <v>2</v>
      </c>
      <c r="F1761" t="str">
        <f>VLOOKUP($E1761,categories!$A$1:$B$8,MATCH(order_items!$F$1,categories!$A$1:$B$1,0),FALSE)</f>
        <v>Comfort Bicycles</v>
      </c>
      <c r="G1761">
        <v>2</v>
      </c>
      <c r="H1761">
        <v>549.99</v>
      </c>
      <c r="I1761" s="5">
        <v>7.0000000000000007E-2</v>
      </c>
      <c r="J1761">
        <f t="shared" si="54"/>
        <v>1022.9813999999999</v>
      </c>
      <c r="K1761" s="9">
        <f t="shared" si="55"/>
        <v>-0.48993857929220308</v>
      </c>
    </row>
    <row r="1762" spans="1:11" x14ac:dyDescent="0.3">
      <c r="A1762">
        <v>631</v>
      </c>
      <c r="B1762">
        <v>2</v>
      </c>
      <c r="C1762">
        <v>15</v>
      </c>
      <c r="D1762" t="str">
        <f>VLOOKUP($C1762,products!$A$1:$F$322,MATCH(order_items!$D$1,products!$A$1:$F$1,0),FALSE)</f>
        <v>Electra Moto 1 - 2016</v>
      </c>
      <c r="E1762">
        <f>VLOOKUP($C1762,products!$A$1:$F$322,MATCH(order_items!$E$1,products!$A$1:$F$1,0),FALSE)</f>
        <v>3</v>
      </c>
      <c r="F1762" t="str">
        <f>VLOOKUP($E1762,categories!$A$1:$B$8,MATCH(order_items!$F$1,categories!$A$1:$B$1,0),FALSE)</f>
        <v>Cruisers Bicycles</v>
      </c>
      <c r="G1762">
        <v>2</v>
      </c>
      <c r="H1762">
        <v>529.99</v>
      </c>
      <c r="I1762" s="5">
        <v>7.0000000000000007E-2</v>
      </c>
      <c r="J1762">
        <f t="shared" si="54"/>
        <v>985.78139999999996</v>
      </c>
      <c r="K1762" s="9">
        <f t="shared" si="55"/>
        <v>-0.50472431543242624</v>
      </c>
    </row>
    <row r="1763" spans="1:11" x14ac:dyDescent="0.3">
      <c r="A1763">
        <v>632</v>
      </c>
      <c r="B1763">
        <v>1</v>
      </c>
      <c r="C1763">
        <v>25</v>
      </c>
      <c r="D1763" t="str">
        <f>VLOOKUP($C1763,products!$A$1:$F$322,MATCH(order_items!$D$1,products!$A$1:$F$1,0),FALSE)</f>
        <v>Electra Townie Original 7D - 2015/2016</v>
      </c>
      <c r="E1763">
        <f>VLOOKUP($C1763,products!$A$1:$F$322,MATCH(order_items!$E$1,products!$A$1:$F$1,0),FALSE)</f>
        <v>2</v>
      </c>
      <c r="F1763" t="str">
        <f>VLOOKUP($E1763,categories!$A$1:$B$8,MATCH(order_items!$F$1,categories!$A$1:$B$1,0),FALSE)</f>
        <v>Comfort Bicycles</v>
      </c>
      <c r="G1763">
        <v>1</v>
      </c>
      <c r="H1763">
        <v>499.99</v>
      </c>
      <c r="I1763" s="5">
        <v>0.2</v>
      </c>
      <c r="J1763">
        <f t="shared" si="54"/>
        <v>399.99200000000002</v>
      </c>
      <c r="K1763" s="9">
        <f t="shared" si="55"/>
        <v>-0.52690291964276081</v>
      </c>
    </row>
    <row r="1764" spans="1:11" x14ac:dyDescent="0.3">
      <c r="A1764">
        <v>632</v>
      </c>
      <c r="B1764">
        <v>2</v>
      </c>
      <c r="C1764">
        <v>11</v>
      </c>
      <c r="D1764" t="str">
        <f>VLOOKUP($C1764,products!$A$1:$F$322,MATCH(order_items!$D$1,products!$A$1:$F$1,0),FALSE)</f>
        <v>Surly Straggler 650b - 2016</v>
      </c>
      <c r="E1764">
        <f>VLOOKUP($C1764,products!$A$1:$F$322,MATCH(order_items!$E$1,products!$A$1:$F$1,0),FALSE)</f>
        <v>4</v>
      </c>
      <c r="F1764" t="str">
        <f>VLOOKUP($E1764,categories!$A$1:$B$8,MATCH(order_items!$F$1,categories!$A$1:$B$1,0),FALSE)</f>
        <v>Cyclocross Bicycles</v>
      </c>
      <c r="G1764">
        <v>2</v>
      </c>
      <c r="H1764">
        <v>1680.99</v>
      </c>
      <c r="I1764" s="5">
        <v>0.1</v>
      </c>
      <c r="J1764">
        <f t="shared" si="54"/>
        <v>3025.7820000000002</v>
      </c>
      <c r="K1764" s="9">
        <f t="shared" si="55"/>
        <v>0.3461947994374141</v>
      </c>
    </row>
    <row r="1765" spans="1:11" x14ac:dyDescent="0.3">
      <c r="A1765">
        <v>632</v>
      </c>
      <c r="B1765">
        <v>3</v>
      </c>
      <c r="C1765">
        <v>15</v>
      </c>
      <c r="D1765" t="str">
        <f>VLOOKUP($C1765,products!$A$1:$F$322,MATCH(order_items!$D$1,products!$A$1:$F$1,0),FALSE)</f>
        <v>Electra Moto 1 - 2016</v>
      </c>
      <c r="E1765">
        <f>VLOOKUP($C1765,products!$A$1:$F$322,MATCH(order_items!$E$1,products!$A$1:$F$1,0),FALSE)</f>
        <v>3</v>
      </c>
      <c r="F1765" t="str">
        <f>VLOOKUP($E1765,categories!$A$1:$B$8,MATCH(order_items!$F$1,categories!$A$1:$B$1,0),FALSE)</f>
        <v>Cruisers Bicycles</v>
      </c>
      <c r="G1765">
        <v>1</v>
      </c>
      <c r="H1765">
        <v>529.99</v>
      </c>
      <c r="I1765" s="5">
        <v>7.0000000000000007E-2</v>
      </c>
      <c r="J1765">
        <f t="shared" si="54"/>
        <v>492.89069999999998</v>
      </c>
      <c r="K1765" s="9">
        <f t="shared" si="55"/>
        <v>-0.50472431543242624</v>
      </c>
    </row>
    <row r="1766" spans="1:11" x14ac:dyDescent="0.3">
      <c r="A1766">
        <v>632</v>
      </c>
      <c r="B1766">
        <v>4</v>
      </c>
      <c r="C1766">
        <v>6</v>
      </c>
      <c r="D1766" t="str">
        <f>VLOOKUP($C1766,products!$A$1:$F$322,MATCH(order_items!$D$1,products!$A$1:$F$1,0),FALSE)</f>
        <v>Surly Ice Cream Truck Frameset - 2016</v>
      </c>
      <c r="E1766">
        <f>VLOOKUP($C1766,products!$A$1:$F$322,MATCH(order_items!$E$1,products!$A$1:$F$1,0),FALSE)</f>
        <v>6</v>
      </c>
      <c r="F1766" t="str">
        <f>VLOOKUP($E1766,categories!$A$1:$B$8,MATCH(order_items!$F$1,categories!$A$1:$B$1,0),FALSE)</f>
        <v>Mountain Bikes</v>
      </c>
      <c r="G1766">
        <v>1</v>
      </c>
      <c r="H1766">
        <v>469.99</v>
      </c>
      <c r="I1766" s="5">
        <v>0.05</v>
      </c>
      <c r="J1766">
        <f t="shared" si="54"/>
        <v>446.4905</v>
      </c>
      <c r="K1766" s="9">
        <f t="shared" si="55"/>
        <v>-0.5490815238530955</v>
      </c>
    </row>
    <row r="1767" spans="1:11" x14ac:dyDescent="0.3">
      <c r="A1767">
        <v>632</v>
      </c>
      <c r="B1767">
        <v>5</v>
      </c>
      <c r="C1767">
        <v>22</v>
      </c>
      <c r="D1767" t="str">
        <f>VLOOKUP($C1767,products!$A$1:$F$322,MATCH(order_items!$D$1,products!$A$1:$F$1,0),FALSE)</f>
        <v>Electra Girl's Hawaii 1 (16-inch) - 2015/2016</v>
      </c>
      <c r="E1767">
        <f>VLOOKUP($C1767,products!$A$1:$F$322,MATCH(order_items!$E$1,products!$A$1:$F$1,0),FALSE)</f>
        <v>1</v>
      </c>
      <c r="F1767" t="str">
        <f>VLOOKUP($E1767,categories!$A$1:$B$8,MATCH(order_items!$F$1,categories!$A$1:$B$1,0),FALSE)</f>
        <v>Children Bicycles</v>
      </c>
      <c r="G1767">
        <v>2</v>
      </c>
      <c r="H1767">
        <v>269.99</v>
      </c>
      <c r="I1767" s="5">
        <v>0.1</v>
      </c>
      <c r="J1767">
        <f t="shared" si="54"/>
        <v>485.98200000000003</v>
      </c>
      <c r="K1767" s="9">
        <f t="shared" si="55"/>
        <v>-0.69693888525532666</v>
      </c>
    </row>
    <row r="1768" spans="1:11" x14ac:dyDescent="0.3">
      <c r="A1768">
        <v>633</v>
      </c>
      <c r="B1768">
        <v>1</v>
      </c>
      <c r="C1768">
        <v>12</v>
      </c>
      <c r="D1768" t="str">
        <f>VLOOKUP($C1768,products!$A$1:$F$322,MATCH(order_items!$D$1,products!$A$1:$F$1,0),FALSE)</f>
        <v>Electra Townie Original 21D - 2016</v>
      </c>
      <c r="E1768">
        <f>VLOOKUP($C1768,products!$A$1:$F$322,MATCH(order_items!$E$1,products!$A$1:$F$1,0),FALSE)</f>
        <v>3</v>
      </c>
      <c r="F1768" t="str">
        <f>VLOOKUP($E1768,categories!$A$1:$B$8,MATCH(order_items!$F$1,categories!$A$1:$B$1,0),FALSE)</f>
        <v>Cruisers Bicycles</v>
      </c>
      <c r="G1768">
        <v>2</v>
      </c>
      <c r="H1768">
        <v>549.99</v>
      </c>
      <c r="I1768" s="5">
        <v>0.05</v>
      </c>
      <c r="J1768">
        <f t="shared" si="54"/>
        <v>1044.981</v>
      </c>
      <c r="K1768" s="9">
        <f t="shared" si="55"/>
        <v>-0.48993857929220308</v>
      </c>
    </row>
    <row r="1769" spans="1:11" x14ac:dyDescent="0.3">
      <c r="A1769">
        <v>633</v>
      </c>
      <c r="B1769">
        <v>2</v>
      </c>
      <c r="C1769">
        <v>13</v>
      </c>
      <c r="D1769" t="str">
        <f>VLOOKUP($C1769,products!$A$1:$F$322,MATCH(order_items!$D$1,products!$A$1:$F$1,0),FALSE)</f>
        <v>Electra Cruiser 1 (24-Inch) - 2016</v>
      </c>
      <c r="E1769">
        <f>VLOOKUP($C1769,products!$A$1:$F$322,MATCH(order_items!$E$1,products!$A$1:$F$1,0),FALSE)</f>
        <v>3</v>
      </c>
      <c r="F1769" t="str">
        <f>VLOOKUP($E1769,categories!$A$1:$B$8,MATCH(order_items!$F$1,categories!$A$1:$B$1,0),FALSE)</f>
        <v>Cruisers Bicycles</v>
      </c>
      <c r="G1769">
        <v>2</v>
      </c>
      <c r="H1769">
        <v>269.99</v>
      </c>
      <c r="I1769" s="5">
        <v>0.2</v>
      </c>
      <c r="J1769">
        <f t="shared" si="54"/>
        <v>431.98400000000004</v>
      </c>
      <c r="K1769" s="9">
        <f t="shared" si="55"/>
        <v>-0.69693888525532666</v>
      </c>
    </row>
    <row r="1770" spans="1:11" x14ac:dyDescent="0.3">
      <c r="A1770">
        <v>633</v>
      </c>
      <c r="B1770">
        <v>3</v>
      </c>
      <c r="C1770">
        <v>5</v>
      </c>
      <c r="D1770" t="str">
        <f>VLOOKUP($C1770,products!$A$1:$F$322,MATCH(order_items!$D$1,products!$A$1:$F$1,0),FALSE)</f>
        <v>Heller Shagamaw Frame - 2016</v>
      </c>
      <c r="E1770">
        <f>VLOOKUP($C1770,products!$A$1:$F$322,MATCH(order_items!$E$1,products!$A$1:$F$1,0),FALSE)</f>
        <v>6</v>
      </c>
      <c r="F1770" t="str">
        <f>VLOOKUP($E1770,categories!$A$1:$B$8,MATCH(order_items!$F$1,categories!$A$1:$B$1,0),FALSE)</f>
        <v>Mountain Bikes</v>
      </c>
      <c r="G1770">
        <v>2</v>
      </c>
      <c r="H1770">
        <v>1320.99</v>
      </c>
      <c r="I1770" s="5">
        <v>0.2</v>
      </c>
      <c r="J1770">
        <f t="shared" si="54"/>
        <v>2113.5840000000003</v>
      </c>
      <c r="K1770" s="9">
        <f t="shared" si="55"/>
        <v>8.0051548913398024E-2</v>
      </c>
    </row>
    <row r="1771" spans="1:11" x14ac:dyDescent="0.3">
      <c r="A1771">
        <v>633</v>
      </c>
      <c r="B1771">
        <v>4</v>
      </c>
      <c r="C1771">
        <v>10</v>
      </c>
      <c r="D1771" t="str">
        <f>VLOOKUP($C1771,products!$A$1:$F$322,MATCH(order_items!$D$1,products!$A$1:$F$1,0),FALSE)</f>
        <v>Surly Straggler - 2016</v>
      </c>
      <c r="E1771">
        <f>VLOOKUP($C1771,products!$A$1:$F$322,MATCH(order_items!$E$1,products!$A$1:$F$1,0),FALSE)</f>
        <v>4</v>
      </c>
      <c r="F1771" t="str">
        <f>VLOOKUP($E1771,categories!$A$1:$B$8,MATCH(order_items!$F$1,categories!$A$1:$B$1,0),FALSE)</f>
        <v>Cyclocross Bicycles</v>
      </c>
      <c r="G1771">
        <v>2</v>
      </c>
      <c r="H1771">
        <v>1549</v>
      </c>
      <c r="I1771" s="5">
        <v>0.2</v>
      </c>
      <c r="J1771">
        <f t="shared" si="54"/>
        <v>2478.4</v>
      </c>
      <c r="K1771" s="9">
        <f t="shared" si="55"/>
        <v>0.24861633378001166</v>
      </c>
    </row>
    <row r="1772" spans="1:11" x14ac:dyDescent="0.3">
      <c r="A1772">
        <v>634</v>
      </c>
      <c r="B1772">
        <v>1</v>
      </c>
      <c r="C1772">
        <v>4</v>
      </c>
      <c r="D1772" t="str">
        <f>VLOOKUP($C1772,products!$A$1:$F$322,MATCH(order_items!$D$1,products!$A$1:$F$1,0),FALSE)</f>
        <v>Trek Fuel EX 8 29 - 2016</v>
      </c>
      <c r="E1772">
        <f>VLOOKUP($C1772,products!$A$1:$F$322,MATCH(order_items!$E$1,products!$A$1:$F$1,0),FALSE)</f>
        <v>6</v>
      </c>
      <c r="F1772" t="str">
        <f>VLOOKUP($E1772,categories!$A$1:$B$8,MATCH(order_items!$F$1,categories!$A$1:$B$1,0),FALSE)</f>
        <v>Mountain Bikes</v>
      </c>
      <c r="G1772">
        <v>2</v>
      </c>
      <c r="H1772">
        <v>2899.99</v>
      </c>
      <c r="I1772" s="5">
        <v>0.05</v>
      </c>
      <c r="J1772">
        <f t="shared" si="54"/>
        <v>5509.9809999999998</v>
      </c>
      <c r="K1772" s="9">
        <f t="shared" si="55"/>
        <v>1.2473854171840129</v>
      </c>
    </row>
    <row r="1773" spans="1:11" x14ac:dyDescent="0.3">
      <c r="A1773">
        <v>634</v>
      </c>
      <c r="B1773">
        <v>2</v>
      </c>
      <c r="C1773">
        <v>12</v>
      </c>
      <c r="D1773" t="str">
        <f>VLOOKUP($C1773,products!$A$1:$F$322,MATCH(order_items!$D$1,products!$A$1:$F$1,0),FALSE)</f>
        <v>Electra Townie Original 21D - 2016</v>
      </c>
      <c r="E1773">
        <f>VLOOKUP($C1773,products!$A$1:$F$322,MATCH(order_items!$E$1,products!$A$1:$F$1,0),FALSE)</f>
        <v>3</v>
      </c>
      <c r="F1773" t="str">
        <f>VLOOKUP($E1773,categories!$A$1:$B$8,MATCH(order_items!$F$1,categories!$A$1:$B$1,0),FALSE)</f>
        <v>Cruisers Bicycles</v>
      </c>
      <c r="G1773">
        <v>1</v>
      </c>
      <c r="H1773">
        <v>549.99</v>
      </c>
      <c r="I1773" s="5">
        <v>0.1</v>
      </c>
      <c r="J1773">
        <f t="shared" si="54"/>
        <v>494.99100000000004</v>
      </c>
      <c r="K1773" s="9">
        <f t="shared" si="55"/>
        <v>-0.48993857929220308</v>
      </c>
    </row>
    <row r="1774" spans="1:11" x14ac:dyDescent="0.3">
      <c r="A1774">
        <v>635</v>
      </c>
      <c r="B1774">
        <v>1</v>
      </c>
      <c r="C1774">
        <v>4</v>
      </c>
      <c r="D1774" t="str">
        <f>VLOOKUP($C1774,products!$A$1:$F$322,MATCH(order_items!$D$1,products!$A$1:$F$1,0),FALSE)</f>
        <v>Trek Fuel EX 8 29 - 2016</v>
      </c>
      <c r="E1774">
        <f>VLOOKUP($C1774,products!$A$1:$F$322,MATCH(order_items!$E$1,products!$A$1:$F$1,0),FALSE)</f>
        <v>6</v>
      </c>
      <c r="F1774" t="str">
        <f>VLOOKUP($E1774,categories!$A$1:$B$8,MATCH(order_items!$F$1,categories!$A$1:$B$1,0),FALSE)</f>
        <v>Mountain Bikes</v>
      </c>
      <c r="G1774">
        <v>1</v>
      </c>
      <c r="H1774">
        <v>2899.99</v>
      </c>
      <c r="I1774" s="5">
        <v>0.05</v>
      </c>
      <c r="J1774">
        <f t="shared" si="54"/>
        <v>2754.9904999999999</v>
      </c>
      <c r="K1774" s="9">
        <f t="shared" si="55"/>
        <v>1.2473854171840129</v>
      </c>
    </row>
    <row r="1775" spans="1:11" x14ac:dyDescent="0.3">
      <c r="A1775">
        <v>636</v>
      </c>
      <c r="B1775">
        <v>1</v>
      </c>
      <c r="C1775">
        <v>85</v>
      </c>
      <c r="D1775" t="str">
        <f>VLOOKUP($C1775,products!$A$1:$F$322,MATCH(order_items!$D$1,products!$A$1:$F$1,0),FALSE)</f>
        <v>Haro Downtown 16 - 2017</v>
      </c>
      <c r="E1775">
        <f>VLOOKUP($C1775,products!$A$1:$F$322,MATCH(order_items!$E$1,products!$A$1:$F$1,0),FALSE)</f>
        <v>1</v>
      </c>
      <c r="F1775" t="str">
        <f>VLOOKUP($E1775,categories!$A$1:$B$8,MATCH(order_items!$F$1,categories!$A$1:$B$1,0),FALSE)</f>
        <v>Children Bicycles</v>
      </c>
      <c r="G1775">
        <v>2</v>
      </c>
      <c r="H1775">
        <v>329.99</v>
      </c>
      <c r="I1775" s="5">
        <v>0.2</v>
      </c>
      <c r="J1775">
        <f t="shared" si="54"/>
        <v>527.98400000000004</v>
      </c>
      <c r="K1775" s="9">
        <f t="shared" si="55"/>
        <v>-0.6525816768346574</v>
      </c>
    </row>
    <row r="1776" spans="1:11" x14ac:dyDescent="0.3">
      <c r="A1776">
        <v>637</v>
      </c>
      <c r="B1776">
        <v>1</v>
      </c>
      <c r="C1776">
        <v>9</v>
      </c>
      <c r="D1776" t="str">
        <f>VLOOKUP($C1776,products!$A$1:$F$322,MATCH(order_items!$D$1,products!$A$1:$F$1,0),FALSE)</f>
        <v>Trek Conduit+ - 2016</v>
      </c>
      <c r="E1776">
        <f>VLOOKUP($C1776,products!$A$1:$F$322,MATCH(order_items!$E$1,products!$A$1:$F$1,0),FALSE)</f>
        <v>5</v>
      </c>
      <c r="F1776" t="str">
        <f>VLOOKUP($E1776,categories!$A$1:$B$8,MATCH(order_items!$F$1,categories!$A$1:$B$1,0),FALSE)</f>
        <v>Electric Bikes</v>
      </c>
      <c r="G1776">
        <v>1</v>
      </c>
      <c r="H1776">
        <v>2999.99</v>
      </c>
      <c r="I1776" s="5">
        <v>0.1</v>
      </c>
      <c r="J1776">
        <f t="shared" si="54"/>
        <v>2699.991</v>
      </c>
      <c r="K1776" s="9">
        <f t="shared" si="55"/>
        <v>1.3213140978851283</v>
      </c>
    </row>
    <row r="1777" spans="1:11" x14ac:dyDescent="0.3">
      <c r="A1777">
        <v>637</v>
      </c>
      <c r="B1777">
        <v>2</v>
      </c>
      <c r="C1777">
        <v>106</v>
      </c>
      <c r="D1777" t="str">
        <f>VLOOKUP($C1777,products!$A$1:$F$322,MATCH(order_items!$D$1,products!$A$1:$F$1,0),FALSE)</f>
        <v>Sun Bicycles Cruz 3 - 2017</v>
      </c>
      <c r="E1777">
        <f>VLOOKUP($C1777,products!$A$1:$F$322,MATCH(order_items!$E$1,products!$A$1:$F$1,0),FALSE)</f>
        <v>2</v>
      </c>
      <c r="F1777" t="str">
        <f>VLOOKUP($E1777,categories!$A$1:$B$8,MATCH(order_items!$F$1,categories!$A$1:$B$1,0),FALSE)</f>
        <v>Comfort Bicycles</v>
      </c>
      <c r="G1777">
        <v>2</v>
      </c>
      <c r="H1777">
        <v>449.99</v>
      </c>
      <c r="I1777" s="5">
        <v>0.1</v>
      </c>
      <c r="J1777">
        <f t="shared" si="54"/>
        <v>809.98200000000008</v>
      </c>
      <c r="K1777" s="9">
        <f t="shared" si="55"/>
        <v>-0.56386725999331866</v>
      </c>
    </row>
    <row r="1778" spans="1:11" x14ac:dyDescent="0.3">
      <c r="A1778">
        <v>638</v>
      </c>
      <c r="B1778">
        <v>1</v>
      </c>
      <c r="C1778">
        <v>103</v>
      </c>
      <c r="D1778" t="str">
        <f>VLOOKUP($C1778,products!$A$1:$F$322,MATCH(order_items!$D$1,products!$A$1:$F$1,0),FALSE)</f>
        <v>Sun Bicycles Streamway 3 - 2017</v>
      </c>
      <c r="E1778">
        <f>VLOOKUP($C1778,products!$A$1:$F$322,MATCH(order_items!$E$1,products!$A$1:$F$1,0),FALSE)</f>
        <v>2</v>
      </c>
      <c r="F1778" t="str">
        <f>VLOOKUP($E1778,categories!$A$1:$B$8,MATCH(order_items!$F$1,categories!$A$1:$B$1,0),FALSE)</f>
        <v>Comfort Bicycles</v>
      </c>
      <c r="G1778">
        <v>1</v>
      </c>
      <c r="H1778">
        <v>551.99</v>
      </c>
      <c r="I1778" s="5">
        <v>0.05</v>
      </c>
      <c r="J1778">
        <f t="shared" si="54"/>
        <v>524.39049999999997</v>
      </c>
      <c r="K1778" s="9">
        <f t="shared" si="55"/>
        <v>-0.48846000567818076</v>
      </c>
    </row>
    <row r="1779" spans="1:11" x14ac:dyDescent="0.3">
      <c r="A1779">
        <v>638</v>
      </c>
      <c r="B1779">
        <v>2</v>
      </c>
      <c r="C1779">
        <v>56</v>
      </c>
      <c r="D1779" t="str">
        <f>VLOOKUP($C1779,products!$A$1:$F$322,MATCH(order_items!$D$1,products!$A$1:$F$1,0),FALSE)</f>
        <v>Trek Domane SLR 6 Disc - 2017</v>
      </c>
      <c r="E1779">
        <f>VLOOKUP($C1779,products!$A$1:$F$322,MATCH(order_items!$E$1,products!$A$1:$F$1,0),FALSE)</f>
        <v>7</v>
      </c>
      <c r="F1779" t="str">
        <f>VLOOKUP($E1779,categories!$A$1:$B$8,MATCH(order_items!$F$1,categories!$A$1:$B$1,0),FALSE)</f>
        <v>Road Bikes</v>
      </c>
      <c r="G1779">
        <v>1</v>
      </c>
      <c r="H1779">
        <v>5499.99</v>
      </c>
      <c r="I1779" s="5">
        <v>0.2</v>
      </c>
      <c r="J1779">
        <f t="shared" si="54"/>
        <v>4399.9920000000002</v>
      </c>
      <c r="K1779" s="9">
        <f t="shared" si="55"/>
        <v>3.1695311154130179</v>
      </c>
    </row>
    <row r="1780" spans="1:11" x14ac:dyDescent="0.3">
      <c r="A1780">
        <v>638</v>
      </c>
      <c r="B1780">
        <v>3</v>
      </c>
      <c r="C1780">
        <v>53</v>
      </c>
      <c r="D1780" t="str">
        <f>VLOOKUP($C1780,products!$A$1:$F$322,MATCH(order_items!$D$1,products!$A$1:$F$1,0),FALSE)</f>
        <v>Surly Ogre Frameset - 2017</v>
      </c>
      <c r="E1780">
        <f>VLOOKUP($C1780,products!$A$1:$F$322,MATCH(order_items!$E$1,products!$A$1:$F$1,0),FALSE)</f>
        <v>7</v>
      </c>
      <c r="F1780" t="str">
        <f>VLOOKUP($E1780,categories!$A$1:$B$8,MATCH(order_items!$F$1,categories!$A$1:$B$1,0),FALSE)</f>
        <v>Road Bikes</v>
      </c>
      <c r="G1780">
        <v>2</v>
      </c>
      <c r="H1780">
        <v>749.99</v>
      </c>
      <c r="I1780" s="5">
        <v>0.05</v>
      </c>
      <c r="J1780">
        <f t="shared" si="54"/>
        <v>1424.981</v>
      </c>
      <c r="K1780" s="9">
        <f t="shared" si="55"/>
        <v>-0.34208121788997192</v>
      </c>
    </row>
    <row r="1781" spans="1:11" x14ac:dyDescent="0.3">
      <c r="A1781">
        <v>639</v>
      </c>
      <c r="B1781">
        <v>1</v>
      </c>
      <c r="C1781">
        <v>15</v>
      </c>
      <c r="D1781" t="str">
        <f>VLOOKUP($C1781,products!$A$1:$F$322,MATCH(order_items!$D$1,products!$A$1:$F$1,0),FALSE)</f>
        <v>Electra Moto 1 - 2016</v>
      </c>
      <c r="E1781">
        <f>VLOOKUP($C1781,products!$A$1:$F$322,MATCH(order_items!$E$1,products!$A$1:$F$1,0),FALSE)</f>
        <v>3</v>
      </c>
      <c r="F1781" t="str">
        <f>VLOOKUP($E1781,categories!$A$1:$B$8,MATCH(order_items!$F$1,categories!$A$1:$B$1,0),FALSE)</f>
        <v>Cruisers Bicycles</v>
      </c>
      <c r="G1781">
        <v>1</v>
      </c>
      <c r="H1781">
        <v>529.99</v>
      </c>
      <c r="I1781" s="5">
        <v>7.0000000000000007E-2</v>
      </c>
      <c r="J1781">
        <f t="shared" si="54"/>
        <v>492.89069999999998</v>
      </c>
      <c r="K1781" s="9">
        <f t="shared" si="55"/>
        <v>-0.50472431543242624</v>
      </c>
    </row>
    <row r="1782" spans="1:11" x14ac:dyDescent="0.3">
      <c r="A1782">
        <v>639</v>
      </c>
      <c r="B1782">
        <v>2</v>
      </c>
      <c r="C1782">
        <v>73</v>
      </c>
      <c r="D1782" t="str">
        <f>VLOOKUP($C1782,products!$A$1:$F$322,MATCH(order_items!$D$1,products!$A$1:$F$1,0),FALSE)</f>
        <v>Sun Bicycles Brickell Tandem 7 - 2017</v>
      </c>
      <c r="E1782">
        <f>VLOOKUP($C1782,products!$A$1:$F$322,MATCH(order_items!$E$1,products!$A$1:$F$1,0),FALSE)</f>
        <v>3</v>
      </c>
      <c r="F1782" t="str">
        <f>VLOOKUP($E1782,categories!$A$1:$B$8,MATCH(order_items!$F$1,categories!$A$1:$B$1,0),FALSE)</f>
        <v>Cruisers Bicycles</v>
      </c>
      <c r="G1782">
        <v>1</v>
      </c>
      <c r="H1782">
        <v>749.99</v>
      </c>
      <c r="I1782" s="5">
        <v>0.05</v>
      </c>
      <c r="J1782">
        <f t="shared" si="54"/>
        <v>712.4905</v>
      </c>
      <c r="K1782" s="9">
        <f t="shared" si="55"/>
        <v>-0.34208121788997192</v>
      </c>
    </row>
    <row r="1783" spans="1:11" x14ac:dyDescent="0.3">
      <c r="A1783">
        <v>639</v>
      </c>
      <c r="B1783">
        <v>3</v>
      </c>
      <c r="C1783">
        <v>72</v>
      </c>
      <c r="D1783" t="str">
        <f>VLOOKUP($C1783,products!$A$1:$F$322,MATCH(order_items!$D$1,products!$A$1:$F$1,0),FALSE)</f>
        <v>Sun Bicycles Biscayne Tandem 7 - 2017</v>
      </c>
      <c r="E1783">
        <f>VLOOKUP($C1783,products!$A$1:$F$322,MATCH(order_items!$E$1,products!$A$1:$F$1,0),FALSE)</f>
        <v>3</v>
      </c>
      <c r="F1783" t="str">
        <f>VLOOKUP($E1783,categories!$A$1:$B$8,MATCH(order_items!$F$1,categories!$A$1:$B$1,0),FALSE)</f>
        <v>Cruisers Bicycles</v>
      </c>
      <c r="G1783">
        <v>1</v>
      </c>
      <c r="H1783">
        <v>619.99</v>
      </c>
      <c r="I1783" s="5">
        <v>0.05</v>
      </c>
      <c r="J1783">
        <f t="shared" si="54"/>
        <v>588.9905</v>
      </c>
      <c r="K1783" s="9">
        <f t="shared" si="55"/>
        <v>-0.43818850280142219</v>
      </c>
    </row>
    <row r="1784" spans="1:11" x14ac:dyDescent="0.3">
      <c r="A1784">
        <v>639</v>
      </c>
      <c r="B1784">
        <v>4</v>
      </c>
      <c r="C1784">
        <v>61</v>
      </c>
      <c r="D1784" t="str">
        <f>VLOOKUP($C1784,products!$A$1:$F$322,MATCH(order_items!$D$1,products!$A$1:$F$1,0),FALSE)</f>
        <v>Trek Powerfly 8 FS Plus - 2017</v>
      </c>
      <c r="E1784">
        <f>VLOOKUP($C1784,products!$A$1:$F$322,MATCH(order_items!$E$1,products!$A$1:$F$1,0),FALSE)</f>
        <v>5</v>
      </c>
      <c r="F1784" t="str">
        <f>VLOOKUP($E1784,categories!$A$1:$B$8,MATCH(order_items!$F$1,categories!$A$1:$B$1,0),FALSE)</f>
        <v>Electric Bikes</v>
      </c>
      <c r="G1784">
        <v>2</v>
      </c>
      <c r="H1784">
        <v>4999.99</v>
      </c>
      <c r="I1784" s="5">
        <v>0.1</v>
      </c>
      <c r="J1784">
        <f t="shared" si="54"/>
        <v>8999.982</v>
      </c>
      <c r="K1784" s="9">
        <f t="shared" si="55"/>
        <v>2.7998877119074401</v>
      </c>
    </row>
    <row r="1785" spans="1:11" x14ac:dyDescent="0.3">
      <c r="A1785">
        <v>640</v>
      </c>
      <c r="B1785">
        <v>1</v>
      </c>
      <c r="C1785">
        <v>106</v>
      </c>
      <c r="D1785" t="str">
        <f>VLOOKUP($C1785,products!$A$1:$F$322,MATCH(order_items!$D$1,products!$A$1:$F$1,0),FALSE)</f>
        <v>Sun Bicycles Cruz 3 - 2017</v>
      </c>
      <c r="E1785">
        <f>VLOOKUP($C1785,products!$A$1:$F$322,MATCH(order_items!$E$1,products!$A$1:$F$1,0),FALSE)</f>
        <v>2</v>
      </c>
      <c r="F1785" t="str">
        <f>VLOOKUP($E1785,categories!$A$1:$B$8,MATCH(order_items!$F$1,categories!$A$1:$B$1,0),FALSE)</f>
        <v>Comfort Bicycles</v>
      </c>
      <c r="G1785">
        <v>2</v>
      </c>
      <c r="H1785">
        <v>449.99</v>
      </c>
      <c r="I1785" s="5">
        <v>0.05</v>
      </c>
      <c r="J1785">
        <f t="shared" si="54"/>
        <v>854.98099999999999</v>
      </c>
      <c r="K1785" s="9">
        <f t="shared" si="55"/>
        <v>-0.56386725999331866</v>
      </c>
    </row>
    <row r="1786" spans="1:11" x14ac:dyDescent="0.3">
      <c r="A1786">
        <v>640</v>
      </c>
      <c r="B1786">
        <v>2</v>
      </c>
      <c r="C1786">
        <v>32</v>
      </c>
      <c r="D1786" t="str">
        <f>VLOOKUP($C1786,products!$A$1:$F$322,MATCH(order_items!$D$1,products!$A$1:$F$1,0),FALSE)</f>
        <v>Trek Farley Alloy Frameset - 2017</v>
      </c>
      <c r="E1786">
        <f>VLOOKUP($C1786,products!$A$1:$F$322,MATCH(order_items!$E$1,products!$A$1:$F$1,0),FALSE)</f>
        <v>6</v>
      </c>
      <c r="F1786" t="str">
        <f>VLOOKUP($E1786,categories!$A$1:$B$8,MATCH(order_items!$F$1,categories!$A$1:$B$1,0),FALSE)</f>
        <v>Mountain Bikes</v>
      </c>
      <c r="G1786">
        <v>1</v>
      </c>
      <c r="H1786">
        <v>469.99</v>
      </c>
      <c r="I1786" s="5">
        <v>7.0000000000000007E-2</v>
      </c>
      <c r="J1786">
        <f t="shared" si="54"/>
        <v>437.09069999999997</v>
      </c>
      <c r="K1786" s="9">
        <f t="shared" si="55"/>
        <v>-0.5490815238530955</v>
      </c>
    </row>
    <row r="1787" spans="1:11" x14ac:dyDescent="0.3">
      <c r="A1787">
        <v>640</v>
      </c>
      <c r="B1787">
        <v>3</v>
      </c>
      <c r="C1787">
        <v>30</v>
      </c>
      <c r="D1787" t="str">
        <f>VLOOKUP($C1787,products!$A$1:$F$322,MATCH(order_items!$D$1,products!$A$1:$F$1,0),FALSE)</f>
        <v>Surly Ice Cream Truck Frameset - 2017</v>
      </c>
      <c r="E1787">
        <f>VLOOKUP($C1787,products!$A$1:$F$322,MATCH(order_items!$E$1,products!$A$1:$F$1,0),FALSE)</f>
        <v>6</v>
      </c>
      <c r="F1787" t="str">
        <f>VLOOKUP($E1787,categories!$A$1:$B$8,MATCH(order_items!$F$1,categories!$A$1:$B$1,0),FALSE)</f>
        <v>Mountain Bikes</v>
      </c>
      <c r="G1787">
        <v>1</v>
      </c>
      <c r="H1787">
        <v>999.99</v>
      </c>
      <c r="I1787" s="5">
        <v>7.0000000000000007E-2</v>
      </c>
      <c r="J1787">
        <f t="shared" si="54"/>
        <v>929.99069999999995</v>
      </c>
      <c r="K1787" s="9">
        <f t="shared" si="55"/>
        <v>-0.15725951613718298</v>
      </c>
    </row>
    <row r="1788" spans="1:11" x14ac:dyDescent="0.3">
      <c r="A1788">
        <v>640</v>
      </c>
      <c r="B1788">
        <v>4</v>
      </c>
      <c r="C1788">
        <v>76</v>
      </c>
      <c r="D1788" t="str">
        <f>VLOOKUP($C1788,products!$A$1:$F$322,MATCH(order_items!$D$1,products!$A$1:$F$1,0),FALSE)</f>
        <v>Electra Girl's Hawaii 1 16" - 2017</v>
      </c>
      <c r="E1788">
        <f>VLOOKUP($C1788,products!$A$1:$F$322,MATCH(order_items!$E$1,products!$A$1:$F$1,0),FALSE)</f>
        <v>3</v>
      </c>
      <c r="F1788" t="str">
        <f>VLOOKUP($E1788,categories!$A$1:$B$8,MATCH(order_items!$F$1,categories!$A$1:$B$1,0),FALSE)</f>
        <v>Cruisers Bicycles</v>
      </c>
      <c r="G1788">
        <v>2</v>
      </c>
      <c r="H1788">
        <v>299.99</v>
      </c>
      <c r="I1788" s="5">
        <v>7.0000000000000007E-2</v>
      </c>
      <c r="J1788">
        <f t="shared" si="54"/>
        <v>557.98140000000001</v>
      </c>
      <c r="K1788" s="9">
        <f t="shared" si="55"/>
        <v>-0.67476028104499197</v>
      </c>
    </row>
    <row r="1789" spans="1:11" x14ac:dyDescent="0.3">
      <c r="A1789">
        <v>640</v>
      </c>
      <c r="B1789">
        <v>5</v>
      </c>
      <c r="C1789">
        <v>109</v>
      </c>
      <c r="D1789" t="str">
        <f>VLOOKUP($C1789,products!$A$1:$F$322,MATCH(order_items!$D$1,products!$A$1:$F$1,0),FALSE)</f>
        <v>Sun Bicycles Cruz 7 - Women's - 2017</v>
      </c>
      <c r="E1789">
        <f>VLOOKUP($C1789,products!$A$1:$F$322,MATCH(order_items!$E$1,products!$A$1:$F$1,0),FALSE)</f>
        <v>2</v>
      </c>
      <c r="F1789" t="str">
        <f>VLOOKUP($E1789,categories!$A$1:$B$8,MATCH(order_items!$F$1,categories!$A$1:$B$1,0),FALSE)</f>
        <v>Comfort Bicycles</v>
      </c>
      <c r="G1789">
        <v>2</v>
      </c>
      <c r="H1789">
        <v>416.99</v>
      </c>
      <c r="I1789" s="5">
        <v>0.2</v>
      </c>
      <c r="J1789">
        <f t="shared" si="54"/>
        <v>667.18400000000008</v>
      </c>
      <c r="K1789" s="9">
        <f t="shared" si="55"/>
        <v>-0.58826372462468679</v>
      </c>
    </row>
    <row r="1790" spans="1:11" x14ac:dyDescent="0.3">
      <c r="A1790">
        <v>641</v>
      </c>
      <c r="B1790">
        <v>1</v>
      </c>
      <c r="C1790">
        <v>15</v>
      </c>
      <c r="D1790" t="str">
        <f>VLOOKUP($C1790,products!$A$1:$F$322,MATCH(order_items!$D$1,products!$A$1:$F$1,0),FALSE)</f>
        <v>Electra Moto 1 - 2016</v>
      </c>
      <c r="E1790">
        <f>VLOOKUP($C1790,products!$A$1:$F$322,MATCH(order_items!$E$1,products!$A$1:$F$1,0),FALSE)</f>
        <v>3</v>
      </c>
      <c r="F1790" t="str">
        <f>VLOOKUP($E1790,categories!$A$1:$B$8,MATCH(order_items!$F$1,categories!$A$1:$B$1,0),FALSE)</f>
        <v>Cruisers Bicycles</v>
      </c>
      <c r="G1790">
        <v>1</v>
      </c>
      <c r="H1790">
        <v>529.99</v>
      </c>
      <c r="I1790" s="5">
        <v>0.05</v>
      </c>
      <c r="J1790">
        <f t="shared" si="54"/>
        <v>503.4905</v>
      </c>
      <c r="K1790" s="9">
        <f t="shared" si="55"/>
        <v>-0.50472431543242624</v>
      </c>
    </row>
    <row r="1791" spans="1:11" x14ac:dyDescent="0.3">
      <c r="A1791">
        <v>641</v>
      </c>
      <c r="B1791">
        <v>2</v>
      </c>
      <c r="C1791">
        <v>62</v>
      </c>
      <c r="D1791" t="str">
        <f>VLOOKUP($C1791,products!$A$1:$F$322,MATCH(order_items!$D$1,products!$A$1:$F$1,0),FALSE)</f>
        <v>Trek Boone 7 - 2017</v>
      </c>
      <c r="E1791">
        <f>VLOOKUP($C1791,products!$A$1:$F$322,MATCH(order_items!$E$1,products!$A$1:$F$1,0),FALSE)</f>
        <v>4</v>
      </c>
      <c r="F1791" t="str">
        <f>VLOOKUP($E1791,categories!$A$1:$B$8,MATCH(order_items!$F$1,categories!$A$1:$B$1,0),FALSE)</f>
        <v>Cyclocross Bicycles</v>
      </c>
      <c r="G1791">
        <v>1</v>
      </c>
      <c r="H1791">
        <v>3499.99</v>
      </c>
      <c r="I1791" s="5">
        <v>0.2</v>
      </c>
      <c r="J1791">
        <f t="shared" si="54"/>
        <v>2799.9920000000002</v>
      </c>
      <c r="K1791" s="9">
        <f t="shared" si="55"/>
        <v>1.6909575013907066</v>
      </c>
    </row>
    <row r="1792" spans="1:11" x14ac:dyDescent="0.3">
      <c r="A1792">
        <v>641</v>
      </c>
      <c r="B1792">
        <v>3</v>
      </c>
      <c r="C1792">
        <v>64</v>
      </c>
      <c r="D1792" t="str">
        <f>VLOOKUP($C1792,products!$A$1:$F$322,MATCH(order_items!$D$1,products!$A$1:$F$1,0),FALSE)</f>
        <v>Electra Townie Original 7D - 2017</v>
      </c>
      <c r="E1792">
        <f>VLOOKUP($C1792,products!$A$1:$F$322,MATCH(order_items!$E$1,products!$A$1:$F$1,0),FALSE)</f>
        <v>3</v>
      </c>
      <c r="F1792" t="str">
        <f>VLOOKUP($E1792,categories!$A$1:$B$8,MATCH(order_items!$F$1,categories!$A$1:$B$1,0),FALSE)</f>
        <v>Cruisers Bicycles</v>
      </c>
      <c r="G1792">
        <v>1</v>
      </c>
      <c r="H1792">
        <v>489.99</v>
      </c>
      <c r="I1792" s="5">
        <v>0.2</v>
      </c>
      <c r="J1792">
        <f t="shared" si="54"/>
        <v>391.99200000000002</v>
      </c>
      <c r="K1792" s="9">
        <f t="shared" si="55"/>
        <v>-0.53429578771287245</v>
      </c>
    </row>
    <row r="1793" spans="1:11" x14ac:dyDescent="0.3">
      <c r="A1793">
        <v>642</v>
      </c>
      <c r="B1793">
        <v>1</v>
      </c>
      <c r="C1793">
        <v>68</v>
      </c>
      <c r="D1793" t="str">
        <f>VLOOKUP($C1793,products!$A$1:$F$322,MATCH(order_items!$D$1,products!$A$1:$F$1,0),FALSE)</f>
        <v>Sun Bicycles Cruz 3 - 2017</v>
      </c>
      <c r="E1793">
        <f>VLOOKUP($C1793,products!$A$1:$F$322,MATCH(order_items!$E$1,products!$A$1:$F$1,0),FALSE)</f>
        <v>3</v>
      </c>
      <c r="F1793" t="str">
        <f>VLOOKUP($E1793,categories!$A$1:$B$8,MATCH(order_items!$F$1,categories!$A$1:$B$1,0),FALSE)</f>
        <v>Cruisers Bicycles</v>
      </c>
      <c r="G1793">
        <v>2</v>
      </c>
      <c r="H1793">
        <v>449.99</v>
      </c>
      <c r="I1793" s="5">
        <v>7.0000000000000007E-2</v>
      </c>
      <c r="J1793">
        <f t="shared" si="54"/>
        <v>836.98140000000001</v>
      </c>
      <c r="K1793" s="9">
        <f t="shared" si="55"/>
        <v>-0.56386725999331866</v>
      </c>
    </row>
    <row r="1794" spans="1:11" x14ac:dyDescent="0.3">
      <c r="A1794">
        <v>643</v>
      </c>
      <c r="B1794">
        <v>1</v>
      </c>
      <c r="C1794">
        <v>53</v>
      </c>
      <c r="D1794" t="str">
        <f>VLOOKUP($C1794,products!$A$1:$F$322,MATCH(order_items!$D$1,products!$A$1:$F$1,0),FALSE)</f>
        <v>Surly Ogre Frameset - 2017</v>
      </c>
      <c r="E1794">
        <f>VLOOKUP($C1794,products!$A$1:$F$322,MATCH(order_items!$E$1,products!$A$1:$F$1,0),FALSE)</f>
        <v>7</v>
      </c>
      <c r="F1794" t="str">
        <f>VLOOKUP($E1794,categories!$A$1:$B$8,MATCH(order_items!$F$1,categories!$A$1:$B$1,0),FALSE)</f>
        <v>Road Bikes</v>
      </c>
      <c r="G1794">
        <v>1</v>
      </c>
      <c r="H1794">
        <v>749.99</v>
      </c>
      <c r="I1794" s="5">
        <v>0.05</v>
      </c>
      <c r="J1794">
        <f t="shared" ref="J1794:J1857" si="56">G1794*H1794*(1-I1794)</f>
        <v>712.4905</v>
      </c>
      <c r="K1794" s="9">
        <f t="shared" ref="K1794:K1857" si="57">($H1794-$M$7)/$M$9</f>
        <v>-0.34208121788997192</v>
      </c>
    </row>
    <row r="1795" spans="1:11" x14ac:dyDescent="0.3">
      <c r="A1795">
        <v>644</v>
      </c>
      <c r="B1795">
        <v>1</v>
      </c>
      <c r="C1795">
        <v>9</v>
      </c>
      <c r="D1795" t="str">
        <f>VLOOKUP($C1795,products!$A$1:$F$322,MATCH(order_items!$D$1,products!$A$1:$F$1,0),FALSE)</f>
        <v>Trek Conduit+ - 2016</v>
      </c>
      <c r="E1795">
        <f>VLOOKUP($C1795,products!$A$1:$F$322,MATCH(order_items!$E$1,products!$A$1:$F$1,0),FALSE)</f>
        <v>5</v>
      </c>
      <c r="F1795" t="str">
        <f>VLOOKUP($E1795,categories!$A$1:$B$8,MATCH(order_items!$F$1,categories!$A$1:$B$1,0),FALSE)</f>
        <v>Electric Bikes</v>
      </c>
      <c r="G1795">
        <v>1</v>
      </c>
      <c r="H1795">
        <v>2999.99</v>
      </c>
      <c r="I1795" s="5">
        <v>7.0000000000000007E-2</v>
      </c>
      <c r="J1795">
        <f t="shared" si="56"/>
        <v>2789.9906999999998</v>
      </c>
      <c r="K1795" s="9">
        <f t="shared" si="57"/>
        <v>1.3213140978851283</v>
      </c>
    </row>
    <row r="1796" spans="1:11" x14ac:dyDescent="0.3">
      <c r="A1796">
        <v>645</v>
      </c>
      <c r="B1796">
        <v>1</v>
      </c>
      <c r="C1796">
        <v>99</v>
      </c>
      <c r="D1796" t="str">
        <f>VLOOKUP($C1796,products!$A$1:$F$322,MATCH(order_items!$D$1,products!$A$1:$F$1,0),FALSE)</f>
        <v>Electra Sugar Skulls 1 (20-inch) - Girl's - 2017</v>
      </c>
      <c r="E1796">
        <f>VLOOKUP($C1796,products!$A$1:$F$322,MATCH(order_items!$E$1,products!$A$1:$F$1,0),FALSE)</f>
        <v>1</v>
      </c>
      <c r="F1796" t="str">
        <f>VLOOKUP($E1796,categories!$A$1:$B$8,MATCH(order_items!$F$1,categories!$A$1:$B$1,0),FALSE)</f>
        <v>Children Bicycles</v>
      </c>
      <c r="G1796">
        <v>1</v>
      </c>
      <c r="H1796">
        <v>299.99</v>
      </c>
      <c r="I1796" s="5">
        <v>7.0000000000000007E-2</v>
      </c>
      <c r="J1796">
        <f t="shared" si="56"/>
        <v>278.9907</v>
      </c>
      <c r="K1796" s="9">
        <f t="shared" si="57"/>
        <v>-0.67476028104499197</v>
      </c>
    </row>
    <row r="1797" spans="1:11" x14ac:dyDescent="0.3">
      <c r="A1797">
        <v>645</v>
      </c>
      <c r="B1797">
        <v>2</v>
      </c>
      <c r="C1797">
        <v>42</v>
      </c>
      <c r="D1797" t="str">
        <f>VLOOKUP($C1797,products!$A$1:$F$322,MATCH(order_items!$D$1,products!$A$1:$F$1,0),FALSE)</f>
        <v>Trek Fuel EX 5 27.5 Plus - 2017</v>
      </c>
      <c r="E1797">
        <f>VLOOKUP($C1797,products!$A$1:$F$322,MATCH(order_items!$E$1,products!$A$1:$F$1,0),FALSE)</f>
        <v>6</v>
      </c>
      <c r="F1797" t="str">
        <f>VLOOKUP($E1797,categories!$A$1:$B$8,MATCH(order_items!$F$1,categories!$A$1:$B$1,0),FALSE)</f>
        <v>Mountain Bikes</v>
      </c>
      <c r="G1797">
        <v>2</v>
      </c>
      <c r="H1797">
        <v>2299.9899999999998</v>
      </c>
      <c r="I1797" s="5">
        <v>0.05</v>
      </c>
      <c r="J1797">
        <f t="shared" si="56"/>
        <v>4369.9809999999998</v>
      </c>
      <c r="K1797" s="9">
        <f t="shared" si="57"/>
        <v>0.80381333297731938</v>
      </c>
    </row>
    <row r="1798" spans="1:11" x14ac:dyDescent="0.3">
      <c r="A1798">
        <v>645</v>
      </c>
      <c r="B1798">
        <v>3</v>
      </c>
      <c r="C1798">
        <v>6</v>
      </c>
      <c r="D1798" t="str">
        <f>VLOOKUP($C1798,products!$A$1:$F$322,MATCH(order_items!$D$1,products!$A$1:$F$1,0),FALSE)</f>
        <v>Surly Ice Cream Truck Frameset - 2016</v>
      </c>
      <c r="E1798">
        <f>VLOOKUP($C1798,products!$A$1:$F$322,MATCH(order_items!$E$1,products!$A$1:$F$1,0),FALSE)</f>
        <v>6</v>
      </c>
      <c r="F1798" t="str">
        <f>VLOOKUP($E1798,categories!$A$1:$B$8,MATCH(order_items!$F$1,categories!$A$1:$B$1,0),FALSE)</f>
        <v>Mountain Bikes</v>
      </c>
      <c r="G1798">
        <v>1</v>
      </c>
      <c r="H1798">
        <v>469.99</v>
      </c>
      <c r="I1798" s="5">
        <v>0.05</v>
      </c>
      <c r="J1798">
        <f t="shared" si="56"/>
        <v>446.4905</v>
      </c>
      <c r="K1798" s="9">
        <f t="shared" si="57"/>
        <v>-0.5490815238530955</v>
      </c>
    </row>
    <row r="1799" spans="1:11" x14ac:dyDescent="0.3">
      <c r="A1799">
        <v>645</v>
      </c>
      <c r="B1799">
        <v>4</v>
      </c>
      <c r="C1799">
        <v>47</v>
      </c>
      <c r="D1799" t="str">
        <f>VLOOKUP($C1799,products!$A$1:$F$322,MATCH(order_items!$D$1,products!$A$1:$F$1,0),FALSE)</f>
        <v>Trek Remedy 9.8 - 2017</v>
      </c>
      <c r="E1799">
        <f>VLOOKUP($C1799,products!$A$1:$F$322,MATCH(order_items!$E$1,products!$A$1:$F$1,0),FALSE)</f>
        <v>6</v>
      </c>
      <c r="F1799" t="str">
        <f>VLOOKUP($E1799,categories!$A$1:$B$8,MATCH(order_items!$F$1,categories!$A$1:$B$1,0),FALSE)</f>
        <v>Mountain Bikes</v>
      </c>
      <c r="G1799">
        <v>2</v>
      </c>
      <c r="H1799">
        <v>5299.99</v>
      </c>
      <c r="I1799" s="5">
        <v>7.0000000000000007E-2</v>
      </c>
      <c r="J1799">
        <f t="shared" si="56"/>
        <v>9857.9813999999988</v>
      </c>
      <c r="K1799" s="9">
        <f t="shared" si="57"/>
        <v>3.021673754010787</v>
      </c>
    </row>
    <row r="1800" spans="1:11" x14ac:dyDescent="0.3">
      <c r="A1800">
        <v>645</v>
      </c>
      <c r="B1800">
        <v>5</v>
      </c>
      <c r="C1800">
        <v>21</v>
      </c>
      <c r="D1800" t="str">
        <f>VLOOKUP($C1800,products!$A$1:$F$322,MATCH(order_items!$D$1,products!$A$1:$F$1,0),FALSE)</f>
        <v>Electra Cruiser 1 (24-Inch) - 2016</v>
      </c>
      <c r="E1800">
        <f>VLOOKUP($C1800,products!$A$1:$F$322,MATCH(order_items!$E$1,products!$A$1:$F$1,0),FALSE)</f>
        <v>1</v>
      </c>
      <c r="F1800" t="str">
        <f>VLOOKUP($E1800,categories!$A$1:$B$8,MATCH(order_items!$F$1,categories!$A$1:$B$1,0),FALSE)</f>
        <v>Children Bicycles</v>
      </c>
      <c r="G1800">
        <v>2</v>
      </c>
      <c r="H1800">
        <v>269.99</v>
      </c>
      <c r="I1800" s="5">
        <v>7.0000000000000007E-2</v>
      </c>
      <c r="J1800">
        <f t="shared" si="56"/>
        <v>502.1814</v>
      </c>
      <c r="K1800" s="9">
        <f t="shared" si="57"/>
        <v>-0.69693888525532666</v>
      </c>
    </row>
    <row r="1801" spans="1:11" x14ac:dyDescent="0.3">
      <c r="A1801">
        <v>646</v>
      </c>
      <c r="B1801">
        <v>1</v>
      </c>
      <c r="C1801">
        <v>15</v>
      </c>
      <c r="D1801" t="str">
        <f>VLOOKUP($C1801,products!$A$1:$F$322,MATCH(order_items!$D$1,products!$A$1:$F$1,0),FALSE)</f>
        <v>Electra Moto 1 - 2016</v>
      </c>
      <c r="E1801">
        <f>VLOOKUP($C1801,products!$A$1:$F$322,MATCH(order_items!$E$1,products!$A$1:$F$1,0),FALSE)</f>
        <v>3</v>
      </c>
      <c r="F1801" t="str">
        <f>VLOOKUP($E1801,categories!$A$1:$B$8,MATCH(order_items!$F$1,categories!$A$1:$B$1,0),FALSE)</f>
        <v>Cruisers Bicycles</v>
      </c>
      <c r="G1801">
        <v>2</v>
      </c>
      <c r="H1801">
        <v>529.99</v>
      </c>
      <c r="I1801" s="5">
        <v>0.2</v>
      </c>
      <c r="J1801">
        <f t="shared" si="56"/>
        <v>847.98400000000004</v>
      </c>
      <c r="K1801" s="9">
        <f t="shared" si="57"/>
        <v>-0.50472431543242624</v>
      </c>
    </row>
    <row r="1802" spans="1:11" x14ac:dyDescent="0.3">
      <c r="A1802">
        <v>646</v>
      </c>
      <c r="B1802">
        <v>2</v>
      </c>
      <c r="C1802">
        <v>4</v>
      </c>
      <c r="D1802" t="str">
        <f>VLOOKUP($C1802,products!$A$1:$F$322,MATCH(order_items!$D$1,products!$A$1:$F$1,0),FALSE)</f>
        <v>Trek Fuel EX 8 29 - 2016</v>
      </c>
      <c r="E1802">
        <f>VLOOKUP($C1802,products!$A$1:$F$322,MATCH(order_items!$E$1,products!$A$1:$F$1,0),FALSE)</f>
        <v>6</v>
      </c>
      <c r="F1802" t="str">
        <f>VLOOKUP($E1802,categories!$A$1:$B$8,MATCH(order_items!$F$1,categories!$A$1:$B$1,0),FALSE)</f>
        <v>Mountain Bikes</v>
      </c>
      <c r="G1802">
        <v>1</v>
      </c>
      <c r="H1802">
        <v>2899.99</v>
      </c>
      <c r="I1802" s="5">
        <v>7.0000000000000007E-2</v>
      </c>
      <c r="J1802">
        <f t="shared" si="56"/>
        <v>2696.9906999999998</v>
      </c>
      <c r="K1802" s="9">
        <f t="shared" si="57"/>
        <v>1.2473854171840129</v>
      </c>
    </row>
    <row r="1803" spans="1:11" x14ac:dyDescent="0.3">
      <c r="A1803">
        <v>646</v>
      </c>
      <c r="B1803">
        <v>3</v>
      </c>
      <c r="C1803">
        <v>95</v>
      </c>
      <c r="D1803" t="str">
        <f>VLOOKUP($C1803,products!$A$1:$F$322,MATCH(order_items!$D$1,products!$A$1:$F$1,0),FALSE)</f>
        <v>Electra Girl's Hawaii 1 16" - 2017</v>
      </c>
      <c r="E1803">
        <f>VLOOKUP($C1803,products!$A$1:$F$322,MATCH(order_items!$E$1,products!$A$1:$F$1,0),FALSE)</f>
        <v>1</v>
      </c>
      <c r="F1803" t="str">
        <f>VLOOKUP($E1803,categories!$A$1:$B$8,MATCH(order_items!$F$1,categories!$A$1:$B$1,0),FALSE)</f>
        <v>Children Bicycles</v>
      </c>
      <c r="G1803">
        <v>1</v>
      </c>
      <c r="H1803">
        <v>299.99</v>
      </c>
      <c r="I1803" s="5">
        <v>0.05</v>
      </c>
      <c r="J1803">
        <f t="shared" si="56"/>
        <v>284.9905</v>
      </c>
      <c r="K1803" s="9">
        <f t="shared" si="57"/>
        <v>-0.67476028104499197</v>
      </c>
    </row>
    <row r="1804" spans="1:11" x14ac:dyDescent="0.3">
      <c r="A1804">
        <v>646</v>
      </c>
      <c r="B1804">
        <v>4</v>
      </c>
      <c r="C1804">
        <v>12</v>
      </c>
      <c r="D1804" t="str">
        <f>VLOOKUP($C1804,products!$A$1:$F$322,MATCH(order_items!$D$1,products!$A$1:$F$1,0),FALSE)</f>
        <v>Electra Townie Original 21D - 2016</v>
      </c>
      <c r="E1804">
        <f>VLOOKUP($C1804,products!$A$1:$F$322,MATCH(order_items!$E$1,products!$A$1:$F$1,0),FALSE)</f>
        <v>3</v>
      </c>
      <c r="F1804" t="str">
        <f>VLOOKUP($E1804,categories!$A$1:$B$8,MATCH(order_items!$F$1,categories!$A$1:$B$1,0),FALSE)</f>
        <v>Cruisers Bicycles</v>
      </c>
      <c r="G1804">
        <v>1</v>
      </c>
      <c r="H1804">
        <v>549.99</v>
      </c>
      <c r="I1804" s="5">
        <v>0.2</v>
      </c>
      <c r="J1804">
        <f t="shared" si="56"/>
        <v>439.99200000000002</v>
      </c>
      <c r="K1804" s="9">
        <f t="shared" si="57"/>
        <v>-0.48993857929220308</v>
      </c>
    </row>
    <row r="1805" spans="1:11" x14ac:dyDescent="0.3">
      <c r="A1805">
        <v>647</v>
      </c>
      <c r="B1805">
        <v>1</v>
      </c>
      <c r="C1805">
        <v>25</v>
      </c>
      <c r="D1805" t="str">
        <f>VLOOKUP($C1805,products!$A$1:$F$322,MATCH(order_items!$D$1,products!$A$1:$F$1,0),FALSE)</f>
        <v>Electra Townie Original 7D - 2015/2016</v>
      </c>
      <c r="E1805">
        <f>VLOOKUP($C1805,products!$A$1:$F$322,MATCH(order_items!$E$1,products!$A$1:$F$1,0),FALSE)</f>
        <v>2</v>
      </c>
      <c r="F1805" t="str">
        <f>VLOOKUP($E1805,categories!$A$1:$B$8,MATCH(order_items!$F$1,categories!$A$1:$B$1,0),FALSE)</f>
        <v>Comfort Bicycles</v>
      </c>
      <c r="G1805">
        <v>2</v>
      </c>
      <c r="H1805">
        <v>499.99</v>
      </c>
      <c r="I1805" s="5">
        <v>7.0000000000000007E-2</v>
      </c>
      <c r="J1805">
        <f t="shared" si="56"/>
        <v>929.98140000000001</v>
      </c>
      <c r="K1805" s="9">
        <f t="shared" si="57"/>
        <v>-0.52690291964276081</v>
      </c>
    </row>
    <row r="1806" spans="1:11" x14ac:dyDescent="0.3">
      <c r="A1806">
        <v>647</v>
      </c>
      <c r="B1806">
        <v>2</v>
      </c>
      <c r="C1806">
        <v>13</v>
      </c>
      <c r="D1806" t="str">
        <f>VLOOKUP($C1806,products!$A$1:$F$322,MATCH(order_items!$D$1,products!$A$1:$F$1,0),FALSE)</f>
        <v>Electra Cruiser 1 (24-Inch) - 2016</v>
      </c>
      <c r="E1806">
        <f>VLOOKUP($C1806,products!$A$1:$F$322,MATCH(order_items!$E$1,products!$A$1:$F$1,0),FALSE)</f>
        <v>3</v>
      </c>
      <c r="F1806" t="str">
        <f>VLOOKUP($E1806,categories!$A$1:$B$8,MATCH(order_items!$F$1,categories!$A$1:$B$1,0),FALSE)</f>
        <v>Cruisers Bicycles</v>
      </c>
      <c r="G1806">
        <v>1</v>
      </c>
      <c r="H1806">
        <v>269.99</v>
      </c>
      <c r="I1806" s="5">
        <v>0.1</v>
      </c>
      <c r="J1806">
        <f t="shared" si="56"/>
        <v>242.99100000000001</v>
      </c>
      <c r="K1806" s="9">
        <f t="shared" si="57"/>
        <v>-0.69693888525532666</v>
      </c>
    </row>
    <row r="1807" spans="1:11" x14ac:dyDescent="0.3">
      <c r="A1807">
        <v>648</v>
      </c>
      <c r="B1807">
        <v>1</v>
      </c>
      <c r="C1807">
        <v>24</v>
      </c>
      <c r="D1807" t="str">
        <f>VLOOKUP($C1807,products!$A$1:$F$322,MATCH(order_items!$D$1,products!$A$1:$F$1,0),FALSE)</f>
        <v>Electra Townie Original 21D - 2016</v>
      </c>
      <c r="E1807">
        <f>VLOOKUP($C1807,products!$A$1:$F$322,MATCH(order_items!$E$1,products!$A$1:$F$1,0),FALSE)</f>
        <v>2</v>
      </c>
      <c r="F1807" t="str">
        <f>VLOOKUP($E1807,categories!$A$1:$B$8,MATCH(order_items!$F$1,categories!$A$1:$B$1,0),FALSE)</f>
        <v>Comfort Bicycles</v>
      </c>
      <c r="G1807">
        <v>1</v>
      </c>
      <c r="H1807">
        <v>549.99</v>
      </c>
      <c r="I1807" s="5">
        <v>7.0000000000000007E-2</v>
      </c>
      <c r="J1807">
        <f t="shared" si="56"/>
        <v>511.49069999999995</v>
      </c>
      <c r="K1807" s="9">
        <f t="shared" si="57"/>
        <v>-0.48993857929220308</v>
      </c>
    </row>
    <row r="1808" spans="1:11" x14ac:dyDescent="0.3">
      <c r="A1808">
        <v>649</v>
      </c>
      <c r="B1808">
        <v>1</v>
      </c>
      <c r="C1808">
        <v>97</v>
      </c>
      <c r="D1808" t="str">
        <f>VLOOKUP($C1808,products!$A$1:$F$322,MATCH(order_items!$D$1,products!$A$1:$F$1,0),FALSE)</f>
        <v>Electra Savannah 3i (20-inch) - Girl's - 2017</v>
      </c>
      <c r="E1808">
        <f>VLOOKUP($C1808,products!$A$1:$F$322,MATCH(order_items!$E$1,products!$A$1:$F$1,0),FALSE)</f>
        <v>1</v>
      </c>
      <c r="F1808" t="str">
        <f>VLOOKUP($E1808,categories!$A$1:$B$8,MATCH(order_items!$F$1,categories!$A$1:$B$1,0),FALSE)</f>
        <v>Children Bicycles</v>
      </c>
      <c r="G1808">
        <v>2</v>
      </c>
      <c r="H1808">
        <v>349.99</v>
      </c>
      <c r="I1808" s="5">
        <v>0.1</v>
      </c>
      <c r="J1808">
        <f t="shared" si="56"/>
        <v>629.98200000000008</v>
      </c>
      <c r="K1808" s="9">
        <f t="shared" si="57"/>
        <v>-0.63779594069443424</v>
      </c>
    </row>
    <row r="1809" spans="1:11" x14ac:dyDescent="0.3">
      <c r="A1809">
        <v>649</v>
      </c>
      <c r="B1809">
        <v>2</v>
      </c>
      <c r="C1809">
        <v>90</v>
      </c>
      <c r="D1809" t="str">
        <f>VLOOKUP($C1809,products!$A$1:$F$322,MATCH(order_items!$D$1,products!$A$1:$F$1,0),FALSE)</f>
        <v>Trek Precaliber 16 Girls - 2017</v>
      </c>
      <c r="E1809">
        <f>VLOOKUP($C1809,products!$A$1:$F$322,MATCH(order_items!$E$1,products!$A$1:$F$1,0),FALSE)</f>
        <v>1</v>
      </c>
      <c r="F1809" t="str">
        <f>VLOOKUP($E1809,categories!$A$1:$B$8,MATCH(order_items!$F$1,categories!$A$1:$B$1,0),FALSE)</f>
        <v>Children Bicycles</v>
      </c>
      <c r="G1809">
        <v>1</v>
      </c>
      <c r="H1809">
        <v>209.99</v>
      </c>
      <c r="I1809" s="5">
        <v>7.0000000000000007E-2</v>
      </c>
      <c r="J1809">
        <f t="shared" si="56"/>
        <v>195.29069999999999</v>
      </c>
      <c r="K1809" s="9">
        <f t="shared" si="57"/>
        <v>-0.74129609367599603</v>
      </c>
    </row>
    <row r="1810" spans="1:11" x14ac:dyDescent="0.3">
      <c r="A1810">
        <v>649</v>
      </c>
      <c r="B1810">
        <v>3</v>
      </c>
      <c r="C1810">
        <v>11</v>
      </c>
      <c r="D1810" t="str">
        <f>VLOOKUP($C1810,products!$A$1:$F$322,MATCH(order_items!$D$1,products!$A$1:$F$1,0),FALSE)</f>
        <v>Surly Straggler 650b - 2016</v>
      </c>
      <c r="E1810">
        <f>VLOOKUP($C1810,products!$A$1:$F$322,MATCH(order_items!$E$1,products!$A$1:$F$1,0),FALSE)</f>
        <v>4</v>
      </c>
      <c r="F1810" t="str">
        <f>VLOOKUP($E1810,categories!$A$1:$B$8,MATCH(order_items!$F$1,categories!$A$1:$B$1,0),FALSE)</f>
        <v>Cyclocross Bicycles</v>
      </c>
      <c r="G1810">
        <v>2</v>
      </c>
      <c r="H1810">
        <v>1680.99</v>
      </c>
      <c r="I1810" s="5">
        <v>0.1</v>
      </c>
      <c r="J1810">
        <f t="shared" si="56"/>
        <v>3025.7820000000002</v>
      </c>
      <c r="K1810" s="9">
        <f t="shared" si="57"/>
        <v>0.3461947994374141</v>
      </c>
    </row>
    <row r="1811" spans="1:11" x14ac:dyDescent="0.3">
      <c r="A1811">
        <v>649</v>
      </c>
      <c r="B1811">
        <v>4</v>
      </c>
      <c r="C1811">
        <v>78</v>
      </c>
      <c r="D1811" t="str">
        <f>VLOOKUP($C1811,products!$A$1:$F$322,MATCH(order_items!$D$1,products!$A$1:$F$1,0),FALSE)</f>
        <v>Sun Bicycles Biscayne Tandem CB - 2017</v>
      </c>
      <c r="E1811">
        <f>VLOOKUP($C1811,products!$A$1:$F$322,MATCH(order_items!$E$1,products!$A$1:$F$1,0),FALSE)</f>
        <v>3</v>
      </c>
      <c r="F1811" t="str">
        <f>VLOOKUP($E1811,categories!$A$1:$B$8,MATCH(order_items!$F$1,categories!$A$1:$B$1,0),FALSE)</f>
        <v>Cruisers Bicycles</v>
      </c>
      <c r="G1811">
        <v>1</v>
      </c>
      <c r="H1811">
        <v>647.99</v>
      </c>
      <c r="I1811" s="5">
        <v>0.05</v>
      </c>
      <c r="J1811">
        <f t="shared" si="56"/>
        <v>615.59050000000002</v>
      </c>
      <c r="K1811" s="9">
        <f t="shared" si="57"/>
        <v>-0.41748847220510982</v>
      </c>
    </row>
    <row r="1812" spans="1:11" x14ac:dyDescent="0.3">
      <c r="A1812">
        <v>650</v>
      </c>
      <c r="B1812">
        <v>1</v>
      </c>
      <c r="C1812">
        <v>3</v>
      </c>
      <c r="D1812" t="str">
        <f>VLOOKUP($C1812,products!$A$1:$F$322,MATCH(order_items!$D$1,products!$A$1:$F$1,0),FALSE)</f>
        <v>Surly Wednesday Frameset - 2016</v>
      </c>
      <c r="E1812">
        <f>VLOOKUP($C1812,products!$A$1:$F$322,MATCH(order_items!$E$1,products!$A$1:$F$1,0),FALSE)</f>
        <v>6</v>
      </c>
      <c r="F1812" t="str">
        <f>VLOOKUP($E1812,categories!$A$1:$B$8,MATCH(order_items!$F$1,categories!$A$1:$B$1,0),FALSE)</f>
        <v>Mountain Bikes</v>
      </c>
      <c r="G1812">
        <v>1</v>
      </c>
      <c r="H1812">
        <v>999.99</v>
      </c>
      <c r="I1812" s="5">
        <v>0.2</v>
      </c>
      <c r="J1812">
        <f t="shared" si="56"/>
        <v>799.99200000000008</v>
      </c>
      <c r="K1812" s="9">
        <f t="shared" si="57"/>
        <v>-0.15725951613718298</v>
      </c>
    </row>
    <row r="1813" spans="1:11" x14ac:dyDescent="0.3">
      <c r="A1813">
        <v>651</v>
      </c>
      <c r="B1813">
        <v>1</v>
      </c>
      <c r="C1813">
        <v>79</v>
      </c>
      <c r="D1813" t="str">
        <f>VLOOKUP($C1813,products!$A$1:$F$322,MATCH(order_items!$D$1,products!$A$1:$F$1,0),FALSE)</f>
        <v>Sun Bicycles Boardwalk (24-inch Wheels) - 2017</v>
      </c>
      <c r="E1813">
        <f>VLOOKUP($C1813,products!$A$1:$F$322,MATCH(order_items!$E$1,products!$A$1:$F$1,0),FALSE)</f>
        <v>3</v>
      </c>
      <c r="F1813" t="str">
        <f>VLOOKUP($E1813,categories!$A$1:$B$8,MATCH(order_items!$F$1,categories!$A$1:$B$1,0),FALSE)</f>
        <v>Cruisers Bicycles</v>
      </c>
      <c r="G1813">
        <v>1</v>
      </c>
      <c r="H1813">
        <v>402.99</v>
      </c>
      <c r="I1813" s="5">
        <v>0.1</v>
      </c>
      <c r="J1813">
        <f t="shared" si="56"/>
        <v>362.69100000000003</v>
      </c>
      <c r="K1813" s="9">
        <f t="shared" si="57"/>
        <v>-0.59861373992284295</v>
      </c>
    </row>
    <row r="1814" spans="1:11" x14ac:dyDescent="0.3">
      <c r="A1814">
        <v>651</v>
      </c>
      <c r="B1814">
        <v>2</v>
      </c>
      <c r="C1814">
        <v>85</v>
      </c>
      <c r="D1814" t="str">
        <f>VLOOKUP($C1814,products!$A$1:$F$322,MATCH(order_items!$D$1,products!$A$1:$F$1,0),FALSE)</f>
        <v>Haro Downtown 16 - 2017</v>
      </c>
      <c r="E1814">
        <f>VLOOKUP($C1814,products!$A$1:$F$322,MATCH(order_items!$E$1,products!$A$1:$F$1,0),FALSE)</f>
        <v>1</v>
      </c>
      <c r="F1814" t="str">
        <f>VLOOKUP($E1814,categories!$A$1:$B$8,MATCH(order_items!$F$1,categories!$A$1:$B$1,0),FALSE)</f>
        <v>Children Bicycles</v>
      </c>
      <c r="G1814">
        <v>1</v>
      </c>
      <c r="H1814">
        <v>329.99</v>
      </c>
      <c r="I1814" s="5">
        <v>0.05</v>
      </c>
      <c r="J1814">
        <f t="shared" si="56"/>
        <v>313.4905</v>
      </c>
      <c r="K1814" s="9">
        <f t="shared" si="57"/>
        <v>-0.6525816768346574</v>
      </c>
    </row>
    <row r="1815" spans="1:11" x14ac:dyDescent="0.3">
      <c r="A1815">
        <v>651</v>
      </c>
      <c r="B1815">
        <v>3</v>
      </c>
      <c r="C1815">
        <v>102</v>
      </c>
      <c r="D1815" t="str">
        <f>VLOOKUP($C1815,products!$A$1:$F$322,MATCH(order_items!$D$1,products!$A$1:$F$1,0),FALSE)</f>
        <v>Electra Townie Original 7D - 2017</v>
      </c>
      <c r="E1815">
        <f>VLOOKUP($C1815,products!$A$1:$F$322,MATCH(order_items!$E$1,products!$A$1:$F$1,0),FALSE)</f>
        <v>2</v>
      </c>
      <c r="F1815" t="str">
        <f>VLOOKUP($E1815,categories!$A$1:$B$8,MATCH(order_items!$F$1,categories!$A$1:$B$1,0),FALSE)</f>
        <v>Comfort Bicycles</v>
      </c>
      <c r="G1815">
        <v>2</v>
      </c>
      <c r="H1815">
        <v>489.99</v>
      </c>
      <c r="I1815" s="5">
        <v>0.05</v>
      </c>
      <c r="J1815">
        <f t="shared" si="56"/>
        <v>930.98099999999999</v>
      </c>
      <c r="K1815" s="9">
        <f t="shared" si="57"/>
        <v>-0.53429578771287245</v>
      </c>
    </row>
    <row r="1816" spans="1:11" x14ac:dyDescent="0.3">
      <c r="A1816">
        <v>651</v>
      </c>
      <c r="B1816">
        <v>4</v>
      </c>
      <c r="C1816">
        <v>94</v>
      </c>
      <c r="D1816" t="str">
        <f>VLOOKUP($C1816,products!$A$1:$F$322,MATCH(order_items!$D$1,products!$A$1:$F$1,0),FALSE)</f>
        <v>Haro Shredder Pro 20 - 2017</v>
      </c>
      <c r="E1816">
        <f>VLOOKUP($C1816,products!$A$1:$F$322,MATCH(order_items!$E$1,products!$A$1:$F$1,0),FALSE)</f>
        <v>1</v>
      </c>
      <c r="F1816" t="str">
        <f>VLOOKUP($E1816,categories!$A$1:$B$8,MATCH(order_items!$F$1,categories!$A$1:$B$1,0),FALSE)</f>
        <v>Children Bicycles</v>
      </c>
      <c r="G1816">
        <v>2</v>
      </c>
      <c r="H1816">
        <v>249.99</v>
      </c>
      <c r="I1816" s="5">
        <v>0.05</v>
      </c>
      <c r="J1816">
        <f t="shared" si="56"/>
        <v>474.98099999999999</v>
      </c>
      <c r="K1816" s="9">
        <f t="shared" si="57"/>
        <v>-0.71172462139554982</v>
      </c>
    </row>
    <row r="1817" spans="1:11" x14ac:dyDescent="0.3">
      <c r="A1817">
        <v>652</v>
      </c>
      <c r="B1817">
        <v>1</v>
      </c>
      <c r="C1817">
        <v>102</v>
      </c>
      <c r="D1817" t="str">
        <f>VLOOKUP($C1817,products!$A$1:$F$322,MATCH(order_items!$D$1,products!$A$1:$F$1,0),FALSE)</f>
        <v>Electra Townie Original 7D - 2017</v>
      </c>
      <c r="E1817">
        <f>VLOOKUP($C1817,products!$A$1:$F$322,MATCH(order_items!$E$1,products!$A$1:$F$1,0),FALSE)</f>
        <v>2</v>
      </c>
      <c r="F1817" t="str">
        <f>VLOOKUP($E1817,categories!$A$1:$B$8,MATCH(order_items!$F$1,categories!$A$1:$B$1,0),FALSE)</f>
        <v>Comfort Bicycles</v>
      </c>
      <c r="G1817">
        <v>1</v>
      </c>
      <c r="H1817">
        <v>489.99</v>
      </c>
      <c r="I1817" s="5">
        <v>0.1</v>
      </c>
      <c r="J1817">
        <f t="shared" si="56"/>
        <v>440.99100000000004</v>
      </c>
      <c r="K1817" s="9">
        <f t="shared" si="57"/>
        <v>-0.53429578771287245</v>
      </c>
    </row>
    <row r="1818" spans="1:11" x14ac:dyDescent="0.3">
      <c r="A1818">
        <v>652</v>
      </c>
      <c r="B1818">
        <v>2</v>
      </c>
      <c r="C1818">
        <v>62</v>
      </c>
      <c r="D1818" t="str">
        <f>VLOOKUP($C1818,products!$A$1:$F$322,MATCH(order_items!$D$1,products!$A$1:$F$1,0),FALSE)</f>
        <v>Trek Boone 7 - 2017</v>
      </c>
      <c r="E1818">
        <f>VLOOKUP($C1818,products!$A$1:$F$322,MATCH(order_items!$E$1,products!$A$1:$F$1,0),FALSE)</f>
        <v>4</v>
      </c>
      <c r="F1818" t="str">
        <f>VLOOKUP($E1818,categories!$A$1:$B$8,MATCH(order_items!$F$1,categories!$A$1:$B$1,0),FALSE)</f>
        <v>Cyclocross Bicycles</v>
      </c>
      <c r="G1818">
        <v>2</v>
      </c>
      <c r="H1818">
        <v>3499.99</v>
      </c>
      <c r="I1818" s="5">
        <v>0.2</v>
      </c>
      <c r="J1818">
        <f t="shared" si="56"/>
        <v>5599.9840000000004</v>
      </c>
      <c r="K1818" s="9">
        <f t="shared" si="57"/>
        <v>1.6909575013907066</v>
      </c>
    </row>
    <row r="1819" spans="1:11" x14ac:dyDescent="0.3">
      <c r="A1819">
        <v>652</v>
      </c>
      <c r="B1819">
        <v>3</v>
      </c>
      <c r="C1819">
        <v>67</v>
      </c>
      <c r="D1819" t="str">
        <f>VLOOKUP($C1819,products!$A$1:$F$322,MATCH(order_items!$D$1,products!$A$1:$F$1,0),FALSE)</f>
        <v>Sun Bicycles Revolutions 24 - Girl's - 2017</v>
      </c>
      <c r="E1819">
        <f>VLOOKUP($C1819,products!$A$1:$F$322,MATCH(order_items!$E$1,products!$A$1:$F$1,0),FALSE)</f>
        <v>3</v>
      </c>
      <c r="F1819" t="str">
        <f>VLOOKUP($E1819,categories!$A$1:$B$8,MATCH(order_items!$F$1,categories!$A$1:$B$1,0),FALSE)</f>
        <v>Cruisers Bicycles</v>
      </c>
      <c r="G1819">
        <v>2</v>
      </c>
      <c r="H1819">
        <v>250.99</v>
      </c>
      <c r="I1819" s="5">
        <v>0.2</v>
      </c>
      <c r="J1819">
        <f t="shared" si="56"/>
        <v>401.58400000000006</v>
      </c>
      <c r="K1819" s="9">
        <f t="shared" si="57"/>
        <v>-0.71098533458853863</v>
      </c>
    </row>
    <row r="1820" spans="1:11" x14ac:dyDescent="0.3">
      <c r="A1820">
        <v>652</v>
      </c>
      <c r="B1820">
        <v>4</v>
      </c>
      <c r="C1820">
        <v>23</v>
      </c>
      <c r="D1820" t="str">
        <f>VLOOKUP($C1820,products!$A$1:$F$322,MATCH(order_items!$D$1,products!$A$1:$F$1,0),FALSE)</f>
        <v>Electra Girl's Hawaii 1 (20-inch) - 2015/2016</v>
      </c>
      <c r="E1820">
        <f>VLOOKUP($C1820,products!$A$1:$F$322,MATCH(order_items!$E$1,products!$A$1:$F$1,0),FALSE)</f>
        <v>1</v>
      </c>
      <c r="F1820" t="str">
        <f>VLOOKUP($E1820,categories!$A$1:$B$8,MATCH(order_items!$F$1,categories!$A$1:$B$1,0),FALSE)</f>
        <v>Children Bicycles</v>
      </c>
      <c r="G1820">
        <v>1</v>
      </c>
      <c r="H1820">
        <v>299.99</v>
      </c>
      <c r="I1820" s="5">
        <v>0.1</v>
      </c>
      <c r="J1820">
        <f t="shared" si="56"/>
        <v>269.99100000000004</v>
      </c>
      <c r="K1820" s="9">
        <f t="shared" si="57"/>
        <v>-0.67476028104499197</v>
      </c>
    </row>
    <row r="1821" spans="1:11" x14ac:dyDescent="0.3">
      <c r="A1821">
        <v>652</v>
      </c>
      <c r="B1821">
        <v>5</v>
      </c>
      <c r="C1821">
        <v>74</v>
      </c>
      <c r="D1821" t="str">
        <f>VLOOKUP($C1821,products!$A$1:$F$322,MATCH(order_items!$D$1,products!$A$1:$F$1,0),FALSE)</f>
        <v>Electra Cruiser Lux 1 - 2017</v>
      </c>
      <c r="E1821">
        <f>VLOOKUP($C1821,products!$A$1:$F$322,MATCH(order_items!$E$1,products!$A$1:$F$1,0),FALSE)</f>
        <v>3</v>
      </c>
      <c r="F1821" t="str">
        <f>VLOOKUP($E1821,categories!$A$1:$B$8,MATCH(order_items!$F$1,categories!$A$1:$B$1,0),FALSE)</f>
        <v>Cruisers Bicycles</v>
      </c>
      <c r="G1821">
        <v>1</v>
      </c>
      <c r="H1821">
        <v>439.99</v>
      </c>
      <c r="I1821" s="5">
        <v>0.05</v>
      </c>
      <c r="J1821">
        <f t="shared" si="56"/>
        <v>417.9905</v>
      </c>
      <c r="K1821" s="9">
        <f t="shared" si="57"/>
        <v>-0.57126012806343018</v>
      </c>
    </row>
    <row r="1822" spans="1:11" x14ac:dyDescent="0.3">
      <c r="A1822">
        <v>653</v>
      </c>
      <c r="B1822">
        <v>1</v>
      </c>
      <c r="C1822">
        <v>6</v>
      </c>
      <c r="D1822" t="str">
        <f>VLOOKUP($C1822,products!$A$1:$F$322,MATCH(order_items!$D$1,products!$A$1:$F$1,0),FALSE)</f>
        <v>Surly Ice Cream Truck Frameset - 2016</v>
      </c>
      <c r="E1822">
        <f>VLOOKUP($C1822,products!$A$1:$F$322,MATCH(order_items!$E$1,products!$A$1:$F$1,0),FALSE)</f>
        <v>6</v>
      </c>
      <c r="F1822" t="str">
        <f>VLOOKUP($E1822,categories!$A$1:$B$8,MATCH(order_items!$F$1,categories!$A$1:$B$1,0),FALSE)</f>
        <v>Mountain Bikes</v>
      </c>
      <c r="G1822">
        <v>1</v>
      </c>
      <c r="H1822">
        <v>469.99</v>
      </c>
      <c r="I1822" s="5">
        <v>7.0000000000000007E-2</v>
      </c>
      <c r="J1822">
        <f t="shared" si="56"/>
        <v>437.09069999999997</v>
      </c>
      <c r="K1822" s="9">
        <f t="shared" si="57"/>
        <v>-0.5490815238530955</v>
      </c>
    </row>
    <row r="1823" spans="1:11" x14ac:dyDescent="0.3">
      <c r="A1823">
        <v>653</v>
      </c>
      <c r="B1823">
        <v>2</v>
      </c>
      <c r="C1823">
        <v>43</v>
      </c>
      <c r="D1823" t="str">
        <f>VLOOKUP($C1823,products!$A$1:$F$322,MATCH(order_items!$D$1,products!$A$1:$F$1,0),FALSE)</f>
        <v>Trek Fuel EX 9.8 27.5 Plus - 2017</v>
      </c>
      <c r="E1823">
        <f>VLOOKUP($C1823,products!$A$1:$F$322,MATCH(order_items!$E$1,products!$A$1:$F$1,0),FALSE)</f>
        <v>6</v>
      </c>
      <c r="F1823" t="str">
        <f>VLOOKUP($E1823,categories!$A$1:$B$8,MATCH(order_items!$F$1,categories!$A$1:$B$1,0),FALSE)</f>
        <v>Mountain Bikes</v>
      </c>
      <c r="G1823">
        <v>1</v>
      </c>
      <c r="H1823">
        <v>5299.99</v>
      </c>
      <c r="I1823" s="5">
        <v>0.1</v>
      </c>
      <c r="J1823">
        <f t="shared" si="56"/>
        <v>4769.991</v>
      </c>
      <c r="K1823" s="9">
        <f t="shared" si="57"/>
        <v>3.021673754010787</v>
      </c>
    </row>
    <row r="1824" spans="1:11" x14ac:dyDescent="0.3">
      <c r="A1824">
        <v>653</v>
      </c>
      <c r="B1824">
        <v>3</v>
      </c>
      <c r="C1824">
        <v>2</v>
      </c>
      <c r="D1824" t="str">
        <f>VLOOKUP($C1824,products!$A$1:$F$322,MATCH(order_items!$D$1,products!$A$1:$F$1,0),FALSE)</f>
        <v>Ritchey Timberwolf Frameset - 2016</v>
      </c>
      <c r="E1824">
        <f>VLOOKUP($C1824,products!$A$1:$F$322,MATCH(order_items!$E$1,products!$A$1:$F$1,0),FALSE)</f>
        <v>6</v>
      </c>
      <c r="F1824" t="str">
        <f>VLOOKUP($E1824,categories!$A$1:$B$8,MATCH(order_items!$F$1,categories!$A$1:$B$1,0),FALSE)</f>
        <v>Mountain Bikes</v>
      </c>
      <c r="G1824">
        <v>2</v>
      </c>
      <c r="H1824">
        <v>749.99</v>
      </c>
      <c r="I1824" s="5">
        <v>0.1</v>
      </c>
      <c r="J1824">
        <f t="shared" si="56"/>
        <v>1349.982</v>
      </c>
      <c r="K1824" s="9">
        <f t="shared" si="57"/>
        <v>-0.34208121788997192</v>
      </c>
    </row>
    <row r="1825" spans="1:11" x14ac:dyDescent="0.3">
      <c r="A1825">
        <v>653</v>
      </c>
      <c r="B1825">
        <v>4</v>
      </c>
      <c r="C1825">
        <v>80</v>
      </c>
      <c r="D1825" t="str">
        <f>VLOOKUP($C1825,products!$A$1:$F$322,MATCH(order_items!$D$1,products!$A$1:$F$1,0),FALSE)</f>
        <v>Sun Bicycles Brickell Tandem CB - 2017</v>
      </c>
      <c r="E1825">
        <f>VLOOKUP($C1825,products!$A$1:$F$322,MATCH(order_items!$E$1,products!$A$1:$F$1,0),FALSE)</f>
        <v>3</v>
      </c>
      <c r="F1825" t="str">
        <f>VLOOKUP($E1825,categories!$A$1:$B$8,MATCH(order_items!$F$1,categories!$A$1:$B$1,0),FALSE)</f>
        <v>Cruisers Bicycles</v>
      </c>
      <c r="G1825">
        <v>1</v>
      </c>
      <c r="H1825">
        <v>761.99</v>
      </c>
      <c r="I1825" s="5">
        <v>0.2</v>
      </c>
      <c r="J1825">
        <f t="shared" si="56"/>
        <v>609.59199999999998</v>
      </c>
      <c r="K1825" s="9">
        <f t="shared" si="57"/>
        <v>-0.33320977620583803</v>
      </c>
    </row>
    <row r="1826" spans="1:11" x14ac:dyDescent="0.3">
      <c r="A1826">
        <v>653</v>
      </c>
      <c r="B1826">
        <v>5</v>
      </c>
      <c r="C1826">
        <v>88</v>
      </c>
      <c r="D1826" t="str">
        <f>VLOOKUP($C1826,products!$A$1:$F$322,MATCH(order_items!$D$1,products!$A$1:$F$1,0),FALSE)</f>
        <v>Trek Precaliber 12 Girls - 2017</v>
      </c>
      <c r="E1826">
        <f>VLOOKUP($C1826,products!$A$1:$F$322,MATCH(order_items!$E$1,products!$A$1:$F$1,0),FALSE)</f>
        <v>1</v>
      </c>
      <c r="F1826" t="str">
        <f>VLOOKUP($E1826,categories!$A$1:$B$8,MATCH(order_items!$F$1,categories!$A$1:$B$1,0),FALSE)</f>
        <v>Children Bicycles</v>
      </c>
      <c r="G1826">
        <v>2</v>
      </c>
      <c r="H1826">
        <v>189.99</v>
      </c>
      <c r="I1826" s="5">
        <v>7.0000000000000007E-2</v>
      </c>
      <c r="J1826">
        <f t="shared" si="56"/>
        <v>353.38139999999999</v>
      </c>
      <c r="K1826" s="9">
        <f t="shared" si="57"/>
        <v>-0.75608182981621919</v>
      </c>
    </row>
    <row r="1827" spans="1:11" x14ac:dyDescent="0.3">
      <c r="A1827">
        <v>654</v>
      </c>
      <c r="B1827">
        <v>1</v>
      </c>
      <c r="C1827">
        <v>9</v>
      </c>
      <c r="D1827" t="str">
        <f>VLOOKUP($C1827,products!$A$1:$F$322,MATCH(order_items!$D$1,products!$A$1:$F$1,0),FALSE)</f>
        <v>Trek Conduit+ - 2016</v>
      </c>
      <c r="E1827">
        <f>VLOOKUP($C1827,products!$A$1:$F$322,MATCH(order_items!$E$1,products!$A$1:$F$1,0),FALSE)</f>
        <v>5</v>
      </c>
      <c r="F1827" t="str">
        <f>VLOOKUP($E1827,categories!$A$1:$B$8,MATCH(order_items!$F$1,categories!$A$1:$B$1,0),FALSE)</f>
        <v>Electric Bikes</v>
      </c>
      <c r="G1827">
        <v>1</v>
      </c>
      <c r="H1827">
        <v>2999.99</v>
      </c>
      <c r="I1827" s="5">
        <v>0.1</v>
      </c>
      <c r="J1827">
        <f t="shared" si="56"/>
        <v>2699.991</v>
      </c>
      <c r="K1827" s="9">
        <f t="shared" si="57"/>
        <v>1.3213140978851283</v>
      </c>
    </row>
    <row r="1828" spans="1:11" x14ac:dyDescent="0.3">
      <c r="A1828">
        <v>654</v>
      </c>
      <c r="B1828">
        <v>2</v>
      </c>
      <c r="C1828">
        <v>95</v>
      </c>
      <c r="D1828" t="str">
        <f>VLOOKUP($C1828,products!$A$1:$F$322,MATCH(order_items!$D$1,products!$A$1:$F$1,0),FALSE)</f>
        <v>Electra Girl's Hawaii 1 16" - 2017</v>
      </c>
      <c r="E1828">
        <f>VLOOKUP($C1828,products!$A$1:$F$322,MATCH(order_items!$E$1,products!$A$1:$F$1,0),FALSE)</f>
        <v>1</v>
      </c>
      <c r="F1828" t="str">
        <f>VLOOKUP($E1828,categories!$A$1:$B$8,MATCH(order_items!$F$1,categories!$A$1:$B$1,0),FALSE)</f>
        <v>Children Bicycles</v>
      </c>
      <c r="G1828">
        <v>1</v>
      </c>
      <c r="H1828">
        <v>299.99</v>
      </c>
      <c r="I1828" s="5">
        <v>0.1</v>
      </c>
      <c r="J1828">
        <f t="shared" si="56"/>
        <v>269.99100000000004</v>
      </c>
      <c r="K1828" s="9">
        <f t="shared" si="57"/>
        <v>-0.67476028104499197</v>
      </c>
    </row>
    <row r="1829" spans="1:11" x14ac:dyDescent="0.3">
      <c r="A1829">
        <v>654</v>
      </c>
      <c r="B1829">
        <v>3</v>
      </c>
      <c r="C1829">
        <v>110</v>
      </c>
      <c r="D1829" t="str">
        <f>VLOOKUP($C1829,products!$A$1:$F$322,MATCH(order_items!$D$1,products!$A$1:$F$1,0),FALSE)</f>
        <v>Sun Bicycles Drifter 7 - 2017</v>
      </c>
      <c r="E1829">
        <f>VLOOKUP($C1829,products!$A$1:$F$322,MATCH(order_items!$E$1,products!$A$1:$F$1,0),FALSE)</f>
        <v>2</v>
      </c>
      <c r="F1829" t="str">
        <f>VLOOKUP($E1829,categories!$A$1:$B$8,MATCH(order_items!$F$1,categories!$A$1:$B$1,0),FALSE)</f>
        <v>Comfort Bicycles</v>
      </c>
      <c r="G1829">
        <v>2</v>
      </c>
      <c r="H1829">
        <v>470.99</v>
      </c>
      <c r="I1829" s="5">
        <v>7.0000000000000007E-2</v>
      </c>
      <c r="J1829">
        <f t="shared" si="56"/>
        <v>876.04139999999995</v>
      </c>
      <c r="K1829" s="9">
        <f t="shared" si="57"/>
        <v>-0.54834223704608442</v>
      </c>
    </row>
    <row r="1830" spans="1:11" x14ac:dyDescent="0.3">
      <c r="A1830">
        <v>654</v>
      </c>
      <c r="B1830">
        <v>4</v>
      </c>
      <c r="C1830">
        <v>97</v>
      </c>
      <c r="D1830" t="str">
        <f>VLOOKUP($C1830,products!$A$1:$F$322,MATCH(order_items!$D$1,products!$A$1:$F$1,0),FALSE)</f>
        <v>Electra Savannah 3i (20-inch) - Girl's - 2017</v>
      </c>
      <c r="E1830">
        <f>VLOOKUP($C1830,products!$A$1:$F$322,MATCH(order_items!$E$1,products!$A$1:$F$1,0),FALSE)</f>
        <v>1</v>
      </c>
      <c r="F1830" t="str">
        <f>VLOOKUP($E1830,categories!$A$1:$B$8,MATCH(order_items!$F$1,categories!$A$1:$B$1,0),FALSE)</f>
        <v>Children Bicycles</v>
      </c>
      <c r="G1830">
        <v>2</v>
      </c>
      <c r="H1830">
        <v>349.99</v>
      </c>
      <c r="I1830" s="5">
        <v>7.0000000000000007E-2</v>
      </c>
      <c r="J1830">
        <f t="shared" si="56"/>
        <v>650.98140000000001</v>
      </c>
      <c r="K1830" s="9">
        <f t="shared" si="57"/>
        <v>-0.63779594069443424</v>
      </c>
    </row>
    <row r="1831" spans="1:11" x14ac:dyDescent="0.3">
      <c r="A1831">
        <v>655</v>
      </c>
      <c r="B1831">
        <v>1</v>
      </c>
      <c r="C1831">
        <v>67</v>
      </c>
      <c r="D1831" t="str">
        <f>VLOOKUP($C1831,products!$A$1:$F$322,MATCH(order_items!$D$1,products!$A$1:$F$1,0),FALSE)</f>
        <v>Sun Bicycles Revolutions 24 - Girl's - 2017</v>
      </c>
      <c r="E1831">
        <f>VLOOKUP($C1831,products!$A$1:$F$322,MATCH(order_items!$E$1,products!$A$1:$F$1,0),FALSE)</f>
        <v>3</v>
      </c>
      <c r="F1831" t="str">
        <f>VLOOKUP($E1831,categories!$A$1:$B$8,MATCH(order_items!$F$1,categories!$A$1:$B$1,0),FALSE)</f>
        <v>Cruisers Bicycles</v>
      </c>
      <c r="G1831">
        <v>1</v>
      </c>
      <c r="H1831">
        <v>250.99</v>
      </c>
      <c r="I1831" s="5">
        <v>0.1</v>
      </c>
      <c r="J1831">
        <f t="shared" si="56"/>
        <v>225.89100000000002</v>
      </c>
      <c r="K1831" s="9">
        <f t="shared" si="57"/>
        <v>-0.71098533458853863</v>
      </c>
    </row>
    <row r="1832" spans="1:11" x14ac:dyDescent="0.3">
      <c r="A1832">
        <v>656</v>
      </c>
      <c r="B1832">
        <v>1</v>
      </c>
      <c r="C1832">
        <v>83</v>
      </c>
      <c r="D1832" t="str">
        <f>VLOOKUP($C1832,products!$A$1:$F$322,MATCH(order_items!$D$1,products!$A$1:$F$1,0),FALSE)</f>
        <v>Trek Boy's Kickster - 2015/2017</v>
      </c>
      <c r="E1832">
        <f>VLOOKUP($C1832,products!$A$1:$F$322,MATCH(order_items!$E$1,products!$A$1:$F$1,0),FALSE)</f>
        <v>1</v>
      </c>
      <c r="F1832" t="str">
        <f>VLOOKUP($E1832,categories!$A$1:$B$8,MATCH(order_items!$F$1,categories!$A$1:$B$1,0),FALSE)</f>
        <v>Children Bicycles</v>
      </c>
      <c r="G1832">
        <v>1</v>
      </c>
      <c r="H1832">
        <v>149.99</v>
      </c>
      <c r="I1832" s="5">
        <v>0.1</v>
      </c>
      <c r="J1832">
        <f t="shared" si="56"/>
        <v>134.99100000000001</v>
      </c>
      <c r="K1832" s="9">
        <f t="shared" si="57"/>
        <v>-0.7856533020966654</v>
      </c>
    </row>
    <row r="1833" spans="1:11" x14ac:dyDescent="0.3">
      <c r="A1833">
        <v>656</v>
      </c>
      <c r="B1833">
        <v>2</v>
      </c>
      <c r="C1833">
        <v>22</v>
      </c>
      <c r="D1833" t="str">
        <f>VLOOKUP($C1833,products!$A$1:$F$322,MATCH(order_items!$D$1,products!$A$1:$F$1,0),FALSE)</f>
        <v>Electra Girl's Hawaii 1 (16-inch) - 2015/2016</v>
      </c>
      <c r="E1833">
        <f>VLOOKUP($C1833,products!$A$1:$F$322,MATCH(order_items!$E$1,products!$A$1:$F$1,0),FALSE)</f>
        <v>1</v>
      </c>
      <c r="F1833" t="str">
        <f>VLOOKUP($E1833,categories!$A$1:$B$8,MATCH(order_items!$F$1,categories!$A$1:$B$1,0),FALSE)</f>
        <v>Children Bicycles</v>
      </c>
      <c r="G1833">
        <v>1</v>
      </c>
      <c r="H1833">
        <v>269.99</v>
      </c>
      <c r="I1833" s="5">
        <v>7.0000000000000007E-2</v>
      </c>
      <c r="J1833">
        <f t="shared" si="56"/>
        <v>251.0907</v>
      </c>
      <c r="K1833" s="9">
        <f t="shared" si="57"/>
        <v>-0.69693888525532666</v>
      </c>
    </row>
    <row r="1834" spans="1:11" x14ac:dyDescent="0.3">
      <c r="A1834">
        <v>656</v>
      </c>
      <c r="B1834">
        <v>3</v>
      </c>
      <c r="C1834">
        <v>33</v>
      </c>
      <c r="D1834" t="str">
        <f>VLOOKUP($C1834,products!$A$1:$F$322,MATCH(order_items!$D$1,products!$A$1:$F$1,0),FALSE)</f>
        <v>Surly Wednesday Frameset - 2017</v>
      </c>
      <c r="E1834">
        <f>VLOOKUP($C1834,products!$A$1:$F$322,MATCH(order_items!$E$1,products!$A$1:$F$1,0),FALSE)</f>
        <v>6</v>
      </c>
      <c r="F1834" t="str">
        <f>VLOOKUP($E1834,categories!$A$1:$B$8,MATCH(order_items!$F$1,categories!$A$1:$B$1,0),FALSE)</f>
        <v>Mountain Bikes</v>
      </c>
      <c r="G1834">
        <v>2</v>
      </c>
      <c r="H1834">
        <v>469.99</v>
      </c>
      <c r="I1834" s="5">
        <v>0.05</v>
      </c>
      <c r="J1834">
        <f t="shared" si="56"/>
        <v>892.98099999999999</v>
      </c>
      <c r="K1834" s="9">
        <f t="shared" si="57"/>
        <v>-0.5490815238530955</v>
      </c>
    </row>
    <row r="1835" spans="1:11" x14ac:dyDescent="0.3">
      <c r="A1835">
        <v>657</v>
      </c>
      <c r="B1835">
        <v>1</v>
      </c>
      <c r="C1835">
        <v>52</v>
      </c>
      <c r="D1835" t="str">
        <f>VLOOKUP($C1835,products!$A$1:$F$322,MATCH(order_items!$D$1,products!$A$1:$F$1,0),FALSE)</f>
        <v>Surly Steamroller - 2017</v>
      </c>
      <c r="E1835">
        <f>VLOOKUP($C1835,products!$A$1:$F$322,MATCH(order_items!$E$1,products!$A$1:$F$1,0),FALSE)</f>
        <v>7</v>
      </c>
      <c r="F1835" t="str">
        <f>VLOOKUP($E1835,categories!$A$1:$B$8,MATCH(order_items!$F$1,categories!$A$1:$B$1,0),FALSE)</f>
        <v>Road Bikes</v>
      </c>
      <c r="G1835">
        <v>1</v>
      </c>
      <c r="H1835">
        <v>875.99</v>
      </c>
      <c r="I1835" s="5">
        <v>0.05</v>
      </c>
      <c r="J1835">
        <f t="shared" si="56"/>
        <v>832.19049999999993</v>
      </c>
      <c r="K1835" s="9">
        <f t="shared" si="57"/>
        <v>-0.24893108020656629</v>
      </c>
    </row>
    <row r="1836" spans="1:11" x14ac:dyDescent="0.3">
      <c r="A1836">
        <v>657</v>
      </c>
      <c r="B1836">
        <v>2</v>
      </c>
      <c r="C1836">
        <v>54</v>
      </c>
      <c r="D1836" t="str">
        <f>VLOOKUP($C1836,products!$A$1:$F$322,MATCH(order_items!$D$1,products!$A$1:$F$1,0),FALSE)</f>
        <v>Trek Domane SL Disc Frameset - 2017</v>
      </c>
      <c r="E1836">
        <f>VLOOKUP($C1836,products!$A$1:$F$322,MATCH(order_items!$E$1,products!$A$1:$F$1,0),FALSE)</f>
        <v>7</v>
      </c>
      <c r="F1836" t="str">
        <f>VLOOKUP($E1836,categories!$A$1:$B$8,MATCH(order_items!$F$1,categories!$A$1:$B$1,0),FALSE)</f>
        <v>Road Bikes</v>
      </c>
      <c r="G1836">
        <v>2</v>
      </c>
      <c r="H1836">
        <v>3199.99</v>
      </c>
      <c r="I1836" s="5">
        <v>0.05</v>
      </c>
      <c r="J1836">
        <f t="shared" si="56"/>
        <v>6079.9809999999989</v>
      </c>
      <c r="K1836" s="9">
        <f t="shared" si="57"/>
        <v>1.4691714592873595</v>
      </c>
    </row>
    <row r="1837" spans="1:11" x14ac:dyDescent="0.3">
      <c r="A1837">
        <v>658</v>
      </c>
      <c r="B1837">
        <v>1</v>
      </c>
      <c r="C1837">
        <v>49</v>
      </c>
      <c r="D1837" t="str">
        <f>VLOOKUP($C1837,products!$A$1:$F$322,MATCH(order_items!$D$1,products!$A$1:$F$1,0),FALSE)</f>
        <v>Trek Domane SL 6 - 2017</v>
      </c>
      <c r="E1837">
        <f>VLOOKUP($C1837,products!$A$1:$F$322,MATCH(order_items!$E$1,products!$A$1:$F$1,0),FALSE)</f>
        <v>7</v>
      </c>
      <c r="F1837" t="str">
        <f>VLOOKUP($E1837,categories!$A$1:$B$8,MATCH(order_items!$F$1,categories!$A$1:$B$1,0),FALSE)</f>
        <v>Road Bikes</v>
      </c>
      <c r="G1837">
        <v>2</v>
      </c>
      <c r="H1837">
        <v>3499.99</v>
      </c>
      <c r="I1837" s="5">
        <v>0.2</v>
      </c>
      <c r="J1837">
        <f t="shared" si="56"/>
        <v>5599.9840000000004</v>
      </c>
      <c r="K1837" s="9">
        <f t="shared" si="57"/>
        <v>1.6909575013907066</v>
      </c>
    </row>
    <row r="1838" spans="1:11" x14ac:dyDescent="0.3">
      <c r="A1838">
        <v>658</v>
      </c>
      <c r="B1838">
        <v>2</v>
      </c>
      <c r="C1838">
        <v>29</v>
      </c>
      <c r="D1838" t="str">
        <f>VLOOKUP($C1838,products!$A$1:$F$322,MATCH(order_items!$D$1,products!$A$1:$F$1,0),FALSE)</f>
        <v>Trek X-Caliber 8 - 2017</v>
      </c>
      <c r="E1838">
        <f>VLOOKUP($C1838,products!$A$1:$F$322,MATCH(order_items!$E$1,products!$A$1:$F$1,0),FALSE)</f>
        <v>6</v>
      </c>
      <c r="F1838" t="str">
        <f>VLOOKUP($E1838,categories!$A$1:$B$8,MATCH(order_items!$F$1,categories!$A$1:$B$1,0),FALSE)</f>
        <v>Mountain Bikes</v>
      </c>
      <c r="G1838">
        <v>1</v>
      </c>
      <c r="H1838">
        <v>999.99</v>
      </c>
      <c r="I1838" s="5">
        <v>0.05</v>
      </c>
      <c r="J1838">
        <f t="shared" si="56"/>
        <v>949.9905</v>
      </c>
      <c r="K1838" s="9">
        <f t="shared" si="57"/>
        <v>-0.15725951613718298</v>
      </c>
    </row>
    <row r="1839" spans="1:11" x14ac:dyDescent="0.3">
      <c r="A1839">
        <v>658</v>
      </c>
      <c r="B1839">
        <v>3</v>
      </c>
      <c r="C1839">
        <v>9</v>
      </c>
      <c r="D1839" t="str">
        <f>VLOOKUP($C1839,products!$A$1:$F$322,MATCH(order_items!$D$1,products!$A$1:$F$1,0),FALSE)</f>
        <v>Trek Conduit+ - 2016</v>
      </c>
      <c r="E1839">
        <f>VLOOKUP($C1839,products!$A$1:$F$322,MATCH(order_items!$E$1,products!$A$1:$F$1,0),FALSE)</f>
        <v>5</v>
      </c>
      <c r="F1839" t="str">
        <f>VLOOKUP($E1839,categories!$A$1:$B$8,MATCH(order_items!$F$1,categories!$A$1:$B$1,0),FALSE)</f>
        <v>Electric Bikes</v>
      </c>
      <c r="G1839">
        <v>1</v>
      </c>
      <c r="H1839">
        <v>2999.99</v>
      </c>
      <c r="I1839" s="5">
        <v>0.05</v>
      </c>
      <c r="J1839">
        <f t="shared" si="56"/>
        <v>2849.9904999999999</v>
      </c>
      <c r="K1839" s="9">
        <f t="shared" si="57"/>
        <v>1.3213140978851283</v>
      </c>
    </row>
    <row r="1840" spans="1:11" x14ac:dyDescent="0.3">
      <c r="A1840">
        <v>659</v>
      </c>
      <c r="B1840">
        <v>1</v>
      </c>
      <c r="C1840">
        <v>42</v>
      </c>
      <c r="D1840" t="str">
        <f>VLOOKUP($C1840,products!$A$1:$F$322,MATCH(order_items!$D$1,products!$A$1:$F$1,0),FALSE)</f>
        <v>Trek Fuel EX 5 27.5 Plus - 2017</v>
      </c>
      <c r="E1840">
        <f>VLOOKUP($C1840,products!$A$1:$F$322,MATCH(order_items!$E$1,products!$A$1:$F$1,0),FALSE)</f>
        <v>6</v>
      </c>
      <c r="F1840" t="str">
        <f>VLOOKUP($E1840,categories!$A$1:$B$8,MATCH(order_items!$F$1,categories!$A$1:$B$1,0),FALSE)</f>
        <v>Mountain Bikes</v>
      </c>
      <c r="G1840">
        <v>2</v>
      </c>
      <c r="H1840">
        <v>2299.9899999999998</v>
      </c>
      <c r="I1840" s="5">
        <v>0.05</v>
      </c>
      <c r="J1840">
        <f t="shared" si="56"/>
        <v>4369.9809999999998</v>
      </c>
      <c r="K1840" s="9">
        <f t="shared" si="57"/>
        <v>0.80381333297731938</v>
      </c>
    </row>
    <row r="1841" spans="1:11" x14ac:dyDescent="0.3">
      <c r="A1841">
        <v>659</v>
      </c>
      <c r="B1841">
        <v>2</v>
      </c>
      <c r="C1841">
        <v>39</v>
      </c>
      <c r="D1841" t="str">
        <f>VLOOKUP($C1841,products!$A$1:$F$322,MATCH(order_items!$D$1,products!$A$1:$F$1,0),FALSE)</f>
        <v>Trek Stache 5 - 2017</v>
      </c>
      <c r="E1841">
        <f>VLOOKUP($C1841,products!$A$1:$F$322,MATCH(order_items!$E$1,products!$A$1:$F$1,0),FALSE)</f>
        <v>6</v>
      </c>
      <c r="F1841" t="str">
        <f>VLOOKUP($E1841,categories!$A$1:$B$8,MATCH(order_items!$F$1,categories!$A$1:$B$1,0),FALSE)</f>
        <v>Mountain Bikes</v>
      </c>
      <c r="G1841">
        <v>2</v>
      </c>
      <c r="H1841">
        <v>1499.99</v>
      </c>
      <c r="I1841" s="5">
        <v>7.0000000000000007E-2</v>
      </c>
      <c r="J1841">
        <f t="shared" si="56"/>
        <v>2789.9813999999997</v>
      </c>
      <c r="K1841" s="9">
        <f t="shared" si="57"/>
        <v>0.21238388736839492</v>
      </c>
    </row>
    <row r="1842" spans="1:11" x14ac:dyDescent="0.3">
      <c r="A1842">
        <v>659</v>
      </c>
      <c r="B1842">
        <v>3</v>
      </c>
      <c r="C1842">
        <v>70</v>
      </c>
      <c r="D1842" t="str">
        <f>VLOOKUP($C1842,products!$A$1:$F$322,MATCH(order_items!$D$1,products!$A$1:$F$1,0),FALSE)</f>
        <v>Electra Amsterdam Original 3i - 2015/2017</v>
      </c>
      <c r="E1842">
        <f>VLOOKUP($C1842,products!$A$1:$F$322,MATCH(order_items!$E$1,products!$A$1:$F$1,0),FALSE)</f>
        <v>3</v>
      </c>
      <c r="F1842" t="str">
        <f>VLOOKUP($E1842,categories!$A$1:$B$8,MATCH(order_items!$F$1,categories!$A$1:$B$1,0),FALSE)</f>
        <v>Cruisers Bicycles</v>
      </c>
      <c r="G1842">
        <v>1</v>
      </c>
      <c r="H1842">
        <v>659.99</v>
      </c>
      <c r="I1842" s="5">
        <v>0.05</v>
      </c>
      <c r="J1842">
        <f t="shared" si="56"/>
        <v>626.9905</v>
      </c>
      <c r="K1842" s="9">
        <f t="shared" si="57"/>
        <v>-0.40861703052097592</v>
      </c>
    </row>
    <row r="1843" spans="1:11" x14ac:dyDescent="0.3">
      <c r="A1843">
        <v>659</v>
      </c>
      <c r="B1843">
        <v>4</v>
      </c>
      <c r="C1843">
        <v>61</v>
      </c>
      <c r="D1843" t="str">
        <f>VLOOKUP($C1843,products!$A$1:$F$322,MATCH(order_items!$D$1,products!$A$1:$F$1,0),FALSE)</f>
        <v>Trek Powerfly 8 FS Plus - 2017</v>
      </c>
      <c r="E1843">
        <f>VLOOKUP($C1843,products!$A$1:$F$322,MATCH(order_items!$E$1,products!$A$1:$F$1,0),FALSE)</f>
        <v>5</v>
      </c>
      <c r="F1843" t="str">
        <f>VLOOKUP($E1843,categories!$A$1:$B$8,MATCH(order_items!$F$1,categories!$A$1:$B$1,0),FALSE)</f>
        <v>Electric Bikes</v>
      </c>
      <c r="G1843">
        <v>2</v>
      </c>
      <c r="H1843">
        <v>4999.99</v>
      </c>
      <c r="I1843" s="5">
        <v>7.0000000000000007E-2</v>
      </c>
      <c r="J1843">
        <f t="shared" si="56"/>
        <v>9299.9813999999988</v>
      </c>
      <c r="K1843" s="9">
        <f t="shared" si="57"/>
        <v>2.7998877119074401</v>
      </c>
    </row>
    <row r="1844" spans="1:11" x14ac:dyDescent="0.3">
      <c r="A1844">
        <v>660</v>
      </c>
      <c r="B1844">
        <v>1</v>
      </c>
      <c r="C1844">
        <v>30</v>
      </c>
      <c r="D1844" t="str">
        <f>VLOOKUP($C1844,products!$A$1:$F$322,MATCH(order_items!$D$1,products!$A$1:$F$1,0),FALSE)</f>
        <v>Surly Ice Cream Truck Frameset - 2017</v>
      </c>
      <c r="E1844">
        <f>VLOOKUP($C1844,products!$A$1:$F$322,MATCH(order_items!$E$1,products!$A$1:$F$1,0),FALSE)</f>
        <v>6</v>
      </c>
      <c r="F1844" t="str">
        <f>VLOOKUP($E1844,categories!$A$1:$B$8,MATCH(order_items!$F$1,categories!$A$1:$B$1,0),FALSE)</f>
        <v>Mountain Bikes</v>
      </c>
      <c r="G1844">
        <v>1</v>
      </c>
      <c r="H1844">
        <v>999.99</v>
      </c>
      <c r="I1844" s="5">
        <v>0.2</v>
      </c>
      <c r="J1844">
        <f t="shared" si="56"/>
        <v>799.99200000000008</v>
      </c>
      <c r="K1844" s="9">
        <f t="shared" si="57"/>
        <v>-0.15725951613718298</v>
      </c>
    </row>
    <row r="1845" spans="1:11" x14ac:dyDescent="0.3">
      <c r="A1845">
        <v>660</v>
      </c>
      <c r="B1845">
        <v>2</v>
      </c>
      <c r="C1845">
        <v>59</v>
      </c>
      <c r="D1845" t="str">
        <f>VLOOKUP($C1845,products!$A$1:$F$322,MATCH(order_items!$D$1,products!$A$1:$F$1,0),FALSE)</f>
        <v>Trek Domane S 5 Disc - 2017</v>
      </c>
      <c r="E1845">
        <f>VLOOKUP($C1845,products!$A$1:$F$322,MATCH(order_items!$E$1,products!$A$1:$F$1,0),FALSE)</f>
        <v>7</v>
      </c>
      <c r="F1845" t="str">
        <f>VLOOKUP($E1845,categories!$A$1:$B$8,MATCH(order_items!$F$1,categories!$A$1:$B$1,0),FALSE)</f>
        <v>Road Bikes</v>
      </c>
      <c r="G1845">
        <v>2</v>
      </c>
      <c r="H1845">
        <v>2599.9899999999998</v>
      </c>
      <c r="I1845" s="5">
        <v>7.0000000000000007E-2</v>
      </c>
      <c r="J1845">
        <f t="shared" si="56"/>
        <v>4835.9813999999997</v>
      </c>
      <c r="K1845" s="9">
        <f t="shared" si="57"/>
        <v>1.025599375080666</v>
      </c>
    </row>
    <row r="1846" spans="1:11" x14ac:dyDescent="0.3">
      <c r="A1846">
        <v>660</v>
      </c>
      <c r="B1846">
        <v>3</v>
      </c>
      <c r="C1846">
        <v>47</v>
      </c>
      <c r="D1846" t="str">
        <f>VLOOKUP($C1846,products!$A$1:$F$322,MATCH(order_items!$D$1,products!$A$1:$F$1,0),FALSE)</f>
        <v>Trek Remedy 9.8 - 2017</v>
      </c>
      <c r="E1846">
        <f>VLOOKUP($C1846,products!$A$1:$F$322,MATCH(order_items!$E$1,products!$A$1:$F$1,0),FALSE)</f>
        <v>6</v>
      </c>
      <c r="F1846" t="str">
        <f>VLOOKUP($E1846,categories!$A$1:$B$8,MATCH(order_items!$F$1,categories!$A$1:$B$1,0),FALSE)</f>
        <v>Mountain Bikes</v>
      </c>
      <c r="G1846">
        <v>2</v>
      </c>
      <c r="H1846">
        <v>5299.99</v>
      </c>
      <c r="I1846" s="5">
        <v>0.05</v>
      </c>
      <c r="J1846">
        <f t="shared" si="56"/>
        <v>10069.981</v>
      </c>
      <c r="K1846" s="9">
        <f t="shared" si="57"/>
        <v>3.021673754010787</v>
      </c>
    </row>
    <row r="1847" spans="1:11" x14ac:dyDescent="0.3">
      <c r="A1847">
        <v>660</v>
      </c>
      <c r="B1847">
        <v>4</v>
      </c>
      <c r="C1847">
        <v>29</v>
      </c>
      <c r="D1847" t="str">
        <f>VLOOKUP($C1847,products!$A$1:$F$322,MATCH(order_items!$D$1,products!$A$1:$F$1,0),FALSE)</f>
        <v>Trek X-Caliber 8 - 2017</v>
      </c>
      <c r="E1847">
        <f>VLOOKUP($C1847,products!$A$1:$F$322,MATCH(order_items!$E$1,products!$A$1:$F$1,0),FALSE)</f>
        <v>6</v>
      </c>
      <c r="F1847" t="str">
        <f>VLOOKUP($E1847,categories!$A$1:$B$8,MATCH(order_items!$F$1,categories!$A$1:$B$1,0),FALSE)</f>
        <v>Mountain Bikes</v>
      </c>
      <c r="G1847">
        <v>2</v>
      </c>
      <c r="H1847">
        <v>999.99</v>
      </c>
      <c r="I1847" s="5">
        <v>0.2</v>
      </c>
      <c r="J1847">
        <f t="shared" si="56"/>
        <v>1599.9840000000002</v>
      </c>
      <c r="K1847" s="9">
        <f t="shared" si="57"/>
        <v>-0.15725951613718298</v>
      </c>
    </row>
    <row r="1848" spans="1:11" x14ac:dyDescent="0.3">
      <c r="A1848">
        <v>661</v>
      </c>
      <c r="B1848">
        <v>1</v>
      </c>
      <c r="C1848">
        <v>63</v>
      </c>
      <c r="D1848" t="str">
        <f>VLOOKUP($C1848,products!$A$1:$F$322,MATCH(order_items!$D$1,products!$A$1:$F$1,0),FALSE)</f>
        <v>Trek Boone Race Shop Limited - 2017</v>
      </c>
      <c r="E1848">
        <f>VLOOKUP($C1848,products!$A$1:$F$322,MATCH(order_items!$E$1,products!$A$1:$F$1,0),FALSE)</f>
        <v>4</v>
      </c>
      <c r="F1848" t="str">
        <f>VLOOKUP($E1848,categories!$A$1:$B$8,MATCH(order_items!$F$1,categories!$A$1:$B$1,0),FALSE)</f>
        <v>Cyclocross Bicycles</v>
      </c>
      <c r="G1848">
        <v>2</v>
      </c>
      <c r="H1848">
        <v>3499.99</v>
      </c>
      <c r="I1848" s="5">
        <v>7.0000000000000007E-2</v>
      </c>
      <c r="J1848">
        <f t="shared" si="56"/>
        <v>6509.9813999999988</v>
      </c>
      <c r="K1848" s="9">
        <f t="shared" si="57"/>
        <v>1.6909575013907066</v>
      </c>
    </row>
    <row r="1849" spans="1:11" x14ac:dyDescent="0.3">
      <c r="A1849">
        <v>661</v>
      </c>
      <c r="B1849">
        <v>2</v>
      </c>
      <c r="C1849">
        <v>22</v>
      </c>
      <c r="D1849" t="str">
        <f>VLOOKUP($C1849,products!$A$1:$F$322,MATCH(order_items!$D$1,products!$A$1:$F$1,0),FALSE)</f>
        <v>Electra Girl's Hawaii 1 (16-inch) - 2015/2016</v>
      </c>
      <c r="E1849">
        <f>VLOOKUP($C1849,products!$A$1:$F$322,MATCH(order_items!$E$1,products!$A$1:$F$1,0),FALSE)</f>
        <v>1</v>
      </c>
      <c r="F1849" t="str">
        <f>VLOOKUP($E1849,categories!$A$1:$B$8,MATCH(order_items!$F$1,categories!$A$1:$B$1,0),FALSE)</f>
        <v>Children Bicycles</v>
      </c>
      <c r="G1849">
        <v>2</v>
      </c>
      <c r="H1849">
        <v>269.99</v>
      </c>
      <c r="I1849" s="5">
        <v>0.05</v>
      </c>
      <c r="J1849">
        <f t="shared" si="56"/>
        <v>512.98099999999999</v>
      </c>
      <c r="K1849" s="9">
        <f t="shared" si="57"/>
        <v>-0.69693888525532666</v>
      </c>
    </row>
    <row r="1850" spans="1:11" x14ac:dyDescent="0.3">
      <c r="A1850">
        <v>662</v>
      </c>
      <c r="B1850">
        <v>1</v>
      </c>
      <c r="C1850">
        <v>55</v>
      </c>
      <c r="D1850" t="str">
        <f>VLOOKUP($C1850,products!$A$1:$F$322,MATCH(order_items!$D$1,products!$A$1:$F$1,0),FALSE)</f>
        <v>Trek Domane S 6 - 2017</v>
      </c>
      <c r="E1850">
        <f>VLOOKUP($C1850,products!$A$1:$F$322,MATCH(order_items!$E$1,products!$A$1:$F$1,0),FALSE)</f>
        <v>7</v>
      </c>
      <c r="F1850" t="str">
        <f>VLOOKUP($E1850,categories!$A$1:$B$8,MATCH(order_items!$F$1,categories!$A$1:$B$1,0),FALSE)</f>
        <v>Road Bikes</v>
      </c>
      <c r="G1850">
        <v>2</v>
      </c>
      <c r="H1850">
        <v>2699.99</v>
      </c>
      <c r="I1850" s="5">
        <v>0.1</v>
      </c>
      <c r="J1850">
        <f t="shared" si="56"/>
        <v>4859.982</v>
      </c>
      <c r="K1850" s="9">
        <f t="shared" si="57"/>
        <v>1.0995280557817817</v>
      </c>
    </row>
    <row r="1851" spans="1:11" x14ac:dyDescent="0.3">
      <c r="A1851">
        <v>662</v>
      </c>
      <c r="B1851">
        <v>2</v>
      </c>
      <c r="C1851">
        <v>95</v>
      </c>
      <c r="D1851" t="str">
        <f>VLOOKUP($C1851,products!$A$1:$F$322,MATCH(order_items!$D$1,products!$A$1:$F$1,0),FALSE)</f>
        <v>Electra Girl's Hawaii 1 16" - 2017</v>
      </c>
      <c r="E1851">
        <f>VLOOKUP($C1851,products!$A$1:$F$322,MATCH(order_items!$E$1,products!$A$1:$F$1,0),FALSE)</f>
        <v>1</v>
      </c>
      <c r="F1851" t="str">
        <f>VLOOKUP($E1851,categories!$A$1:$B$8,MATCH(order_items!$F$1,categories!$A$1:$B$1,0),FALSE)</f>
        <v>Children Bicycles</v>
      </c>
      <c r="G1851">
        <v>2</v>
      </c>
      <c r="H1851">
        <v>299.99</v>
      </c>
      <c r="I1851" s="5">
        <v>0.2</v>
      </c>
      <c r="J1851">
        <f t="shared" si="56"/>
        <v>479.98400000000004</v>
      </c>
      <c r="K1851" s="9">
        <f t="shared" si="57"/>
        <v>-0.67476028104499197</v>
      </c>
    </row>
    <row r="1852" spans="1:11" x14ac:dyDescent="0.3">
      <c r="A1852">
        <v>662</v>
      </c>
      <c r="B1852">
        <v>3</v>
      </c>
      <c r="C1852">
        <v>102</v>
      </c>
      <c r="D1852" t="str">
        <f>VLOOKUP($C1852,products!$A$1:$F$322,MATCH(order_items!$D$1,products!$A$1:$F$1,0),FALSE)</f>
        <v>Electra Townie Original 7D - 2017</v>
      </c>
      <c r="E1852">
        <f>VLOOKUP($C1852,products!$A$1:$F$322,MATCH(order_items!$E$1,products!$A$1:$F$1,0),FALSE)</f>
        <v>2</v>
      </c>
      <c r="F1852" t="str">
        <f>VLOOKUP($E1852,categories!$A$1:$B$8,MATCH(order_items!$F$1,categories!$A$1:$B$1,0),FALSE)</f>
        <v>Comfort Bicycles</v>
      </c>
      <c r="G1852">
        <v>2</v>
      </c>
      <c r="H1852">
        <v>489.99</v>
      </c>
      <c r="I1852" s="5">
        <v>7.0000000000000007E-2</v>
      </c>
      <c r="J1852">
        <f t="shared" si="56"/>
        <v>911.38139999999999</v>
      </c>
      <c r="K1852" s="9">
        <f t="shared" si="57"/>
        <v>-0.53429578771287245</v>
      </c>
    </row>
    <row r="1853" spans="1:11" x14ac:dyDescent="0.3">
      <c r="A1853">
        <v>662</v>
      </c>
      <c r="B1853">
        <v>4</v>
      </c>
      <c r="C1853">
        <v>22</v>
      </c>
      <c r="D1853" t="str">
        <f>VLOOKUP($C1853,products!$A$1:$F$322,MATCH(order_items!$D$1,products!$A$1:$F$1,0),FALSE)</f>
        <v>Electra Girl's Hawaii 1 (16-inch) - 2015/2016</v>
      </c>
      <c r="E1853">
        <f>VLOOKUP($C1853,products!$A$1:$F$322,MATCH(order_items!$E$1,products!$A$1:$F$1,0),FALSE)</f>
        <v>1</v>
      </c>
      <c r="F1853" t="str">
        <f>VLOOKUP($E1853,categories!$A$1:$B$8,MATCH(order_items!$F$1,categories!$A$1:$B$1,0),FALSE)</f>
        <v>Children Bicycles</v>
      </c>
      <c r="G1853">
        <v>1</v>
      </c>
      <c r="H1853">
        <v>269.99</v>
      </c>
      <c r="I1853" s="5">
        <v>7.0000000000000007E-2</v>
      </c>
      <c r="J1853">
        <f t="shared" si="56"/>
        <v>251.0907</v>
      </c>
      <c r="K1853" s="9">
        <f t="shared" si="57"/>
        <v>-0.69693888525532666</v>
      </c>
    </row>
    <row r="1854" spans="1:11" x14ac:dyDescent="0.3">
      <c r="A1854">
        <v>662</v>
      </c>
      <c r="B1854">
        <v>5</v>
      </c>
      <c r="C1854">
        <v>106</v>
      </c>
      <c r="D1854" t="str">
        <f>VLOOKUP($C1854,products!$A$1:$F$322,MATCH(order_items!$D$1,products!$A$1:$F$1,0),FALSE)</f>
        <v>Sun Bicycles Cruz 3 - 2017</v>
      </c>
      <c r="E1854">
        <f>VLOOKUP($C1854,products!$A$1:$F$322,MATCH(order_items!$E$1,products!$A$1:$F$1,0),FALSE)</f>
        <v>2</v>
      </c>
      <c r="F1854" t="str">
        <f>VLOOKUP($E1854,categories!$A$1:$B$8,MATCH(order_items!$F$1,categories!$A$1:$B$1,0),FALSE)</f>
        <v>Comfort Bicycles</v>
      </c>
      <c r="G1854">
        <v>2</v>
      </c>
      <c r="H1854">
        <v>449.99</v>
      </c>
      <c r="I1854" s="5">
        <v>7.0000000000000007E-2</v>
      </c>
      <c r="J1854">
        <f t="shared" si="56"/>
        <v>836.98140000000001</v>
      </c>
      <c r="K1854" s="9">
        <f t="shared" si="57"/>
        <v>-0.56386725999331866</v>
      </c>
    </row>
    <row r="1855" spans="1:11" x14ac:dyDescent="0.3">
      <c r="A1855">
        <v>663</v>
      </c>
      <c r="B1855">
        <v>1</v>
      </c>
      <c r="C1855">
        <v>41</v>
      </c>
      <c r="D1855" t="str">
        <f>VLOOKUP($C1855,products!$A$1:$F$322,MATCH(order_items!$D$1,products!$A$1:$F$1,0),FALSE)</f>
        <v>Haro Shift R3 - 2017</v>
      </c>
      <c r="E1855">
        <f>VLOOKUP($C1855,products!$A$1:$F$322,MATCH(order_items!$E$1,products!$A$1:$F$1,0),FALSE)</f>
        <v>6</v>
      </c>
      <c r="F1855" t="str">
        <f>VLOOKUP($E1855,categories!$A$1:$B$8,MATCH(order_items!$F$1,categories!$A$1:$B$1,0),FALSE)</f>
        <v>Mountain Bikes</v>
      </c>
      <c r="G1855">
        <v>2</v>
      </c>
      <c r="H1855">
        <v>1469.99</v>
      </c>
      <c r="I1855" s="5">
        <v>0.05</v>
      </c>
      <c r="J1855">
        <f t="shared" si="56"/>
        <v>2792.9809999999998</v>
      </c>
      <c r="K1855" s="9">
        <f t="shared" si="57"/>
        <v>0.19020528315806023</v>
      </c>
    </row>
    <row r="1856" spans="1:11" x14ac:dyDescent="0.3">
      <c r="A1856">
        <v>663</v>
      </c>
      <c r="B1856">
        <v>2</v>
      </c>
      <c r="C1856">
        <v>17</v>
      </c>
      <c r="D1856" t="str">
        <f>VLOOKUP($C1856,products!$A$1:$F$322,MATCH(order_items!$D$1,products!$A$1:$F$1,0),FALSE)</f>
        <v>Pure Cycles Vine 8-Speed - 2016</v>
      </c>
      <c r="E1856">
        <f>VLOOKUP($C1856,products!$A$1:$F$322,MATCH(order_items!$E$1,products!$A$1:$F$1,0),FALSE)</f>
        <v>3</v>
      </c>
      <c r="F1856" t="str">
        <f>VLOOKUP($E1856,categories!$A$1:$B$8,MATCH(order_items!$F$1,categories!$A$1:$B$1,0),FALSE)</f>
        <v>Cruisers Bicycles</v>
      </c>
      <c r="G1856">
        <v>2</v>
      </c>
      <c r="H1856">
        <v>429</v>
      </c>
      <c r="I1856" s="5">
        <v>0.2</v>
      </c>
      <c r="J1856">
        <f t="shared" si="56"/>
        <v>686.40000000000009</v>
      </c>
      <c r="K1856" s="9">
        <f t="shared" si="57"/>
        <v>-0.57938489007248284</v>
      </c>
    </row>
    <row r="1857" spans="1:11" x14ac:dyDescent="0.3">
      <c r="A1857">
        <v>663</v>
      </c>
      <c r="B1857">
        <v>3</v>
      </c>
      <c r="C1857">
        <v>94</v>
      </c>
      <c r="D1857" t="str">
        <f>VLOOKUP($C1857,products!$A$1:$F$322,MATCH(order_items!$D$1,products!$A$1:$F$1,0),FALSE)</f>
        <v>Haro Shredder Pro 20 - 2017</v>
      </c>
      <c r="E1857">
        <f>VLOOKUP($C1857,products!$A$1:$F$322,MATCH(order_items!$E$1,products!$A$1:$F$1,0),FALSE)</f>
        <v>1</v>
      </c>
      <c r="F1857" t="str">
        <f>VLOOKUP($E1857,categories!$A$1:$B$8,MATCH(order_items!$F$1,categories!$A$1:$B$1,0),FALSE)</f>
        <v>Children Bicycles</v>
      </c>
      <c r="G1857">
        <v>1</v>
      </c>
      <c r="H1857">
        <v>249.99</v>
      </c>
      <c r="I1857" s="5">
        <v>0.05</v>
      </c>
      <c r="J1857">
        <f t="shared" si="56"/>
        <v>237.4905</v>
      </c>
      <c r="K1857" s="9">
        <f t="shared" si="57"/>
        <v>-0.71172462139554982</v>
      </c>
    </row>
    <row r="1858" spans="1:11" x14ac:dyDescent="0.3">
      <c r="A1858">
        <v>663</v>
      </c>
      <c r="B1858">
        <v>4</v>
      </c>
      <c r="C1858">
        <v>71</v>
      </c>
      <c r="D1858" t="str">
        <f>VLOOKUP($C1858,products!$A$1:$F$322,MATCH(order_items!$D$1,products!$A$1:$F$1,0),FALSE)</f>
        <v>Sun Bicycles Atlas X-Type - 2017</v>
      </c>
      <c r="E1858">
        <f>VLOOKUP($C1858,products!$A$1:$F$322,MATCH(order_items!$E$1,products!$A$1:$F$1,0),FALSE)</f>
        <v>3</v>
      </c>
      <c r="F1858" t="str">
        <f>VLOOKUP($E1858,categories!$A$1:$B$8,MATCH(order_items!$F$1,categories!$A$1:$B$1,0),FALSE)</f>
        <v>Cruisers Bicycles</v>
      </c>
      <c r="G1858">
        <v>1</v>
      </c>
      <c r="H1858">
        <v>416.99</v>
      </c>
      <c r="I1858" s="5">
        <v>7.0000000000000007E-2</v>
      </c>
      <c r="J1858">
        <f t="shared" ref="J1858:J1921" si="58">G1858*H1858*(1-I1858)</f>
        <v>387.80070000000001</v>
      </c>
      <c r="K1858" s="9">
        <f t="shared" ref="K1858:K1921" si="59">($H1858-$M$7)/$M$9</f>
        <v>-0.58826372462468679</v>
      </c>
    </row>
    <row r="1859" spans="1:11" x14ac:dyDescent="0.3">
      <c r="A1859">
        <v>663</v>
      </c>
      <c r="B1859">
        <v>5</v>
      </c>
      <c r="C1859">
        <v>106</v>
      </c>
      <c r="D1859" t="str">
        <f>VLOOKUP($C1859,products!$A$1:$F$322,MATCH(order_items!$D$1,products!$A$1:$F$1,0),FALSE)</f>
        <v>Sun Bicycles Cruz 3 - 2017</v>
      </c>
      <c r="E1859">
        <f>VLOOKUP($C1859,products!$A$1:$F$322,MATCH(order_items!$E$1,products!$A$1:$F$1,0),FALSE)</f>
        <v>2</v>
      </c>
      <c r="F1859" t="str">
        <f>VLOOKUP($E1859,categories!$A$1:$B$8,MATCH(order_items!$F$1,categories!$A$1:$B$1,0),FALSE)</f>
        <v>Comfort Bicycles</v>
      </c>
      <c r="G1859">
        <v>1</v>
      </c>
      <c r="H1859">
        <v>449.99</v>
      </c>
      <c r="I1859" s="5">
        <v>0.2</v>
      </c>
      <c r="J1859">
        <f t="shared" si="58"/>
        <v>359.99200000000002</v>
      </c>
      <c r="K1859" s="9">
        <f t="shared" si="59"/>
        <v>-0.56386725999331866</v>
      </c>
    </row>
    <row r="1860" spans="1:11" x14ac:dyDescent="0.3">
      <c r="A1860">
        <v>664</v>
      </c>
      <c r="B1860">
        <v>1</v>
      </c>
      <c r="C1860">
        <v>52</v>
      </c>
      <c r="D1860" t="str">
        <f>VLOOKUP($C1860,products!$A$1:$F$322,MATCH(order_items!$D$1,products!$A$1:$F$1,0),FALSE)</f>
        <v>Surly Steamroller - 2017</v>
      </c>
      <c r="E1860">
        <f>VLOOKUP($C1860,products!$A$1:$F$322,MATCH(order_items!$E$1,products!$A$1:$F$1,0),FALSE)</f>
        <v>7</v>
      </c>
      <c r="F1860" t="str">
        <f>VLOOKUP($E1860,categories!$A$1:$B$8,MATCH(order_items!$F$1,categories!$A$1:$B$1,0),FALSE)</f>
        <v>Road Bikes</v>
      </c>
      <c r="G1860">
        <v>2</v>
      </c>
      <c r="H1860">
        <v>875.99</v>
      </c>
      <c r="I1860" s="5">
        <v>7.0000000000000007E-2</v>
      </c>
      <c r="J1860">
        <f t="shared" si="58"/>
        <v>1629.3414</v>
      </c>
      <c r="K1860" s="9">
        <f t="shared" si="59"/>
        <v>-0.24893108020656629</v>
      </c>
    </row>
    <row r="1861" spans="1:11" x14ac:dyDescent="0.3">
      <c r="A1861">
        <v>664</v>
      </c>
      <c r="B1861">
        <v>2</v>
      </c>
      <c r="C1861">
        <v>5</v>
      </c>
      <c r="D1861" t="str">
        <f>VLOOKUP($C1861,products!$A$1:$F$322,MATCH(order_items!$D$1,products!$A$1:$F$1,0),FALSE)</f>
        <v>Heller Shagamaw Frame - 2016</v>
      </c>
      <c r="E1861">
        <f>VLOOKUP($C1861,products!$A$1:$F$322,MATCH(order_items!$E$1,products!$A$1:$F$1,0),FALSE)</f>
        <v>6</v>
      </c>
      <c r="F1861" t="str">
        <f>VLOOKUP($E1861,categories!$A$1:$B$8,MATCH(order_items!$F$1,categories!$A$1:$B$1,0),FALSE)</f>
        <v>Mountain Bikes</v>
      </c>
      <c r="G1861">
        <v>1</v>
      </c>
      <c r="H1861">
        <v>1320.99</v>
      </c>
      <c r="I1861" s="5">
        <v>7.0000000000000007E-2</v>
      </c>
      <c r="J1861">
        <f t="shared" si="58"/>
        <v>1228.5207</v>
      </c>
      <c r="K1861" s="9">
        <f t="shared" si="59"/>
        <v>8.0051548913398024E-2</v>
      </c>
    </row>
    <row r="1862" spans="1:11" x14ac:dyDescent="0.3">
      <c r="A1862">
        <v>664</v>
      </c>
      <c r="B1862">
        <v>3</v>
      </c>
      <c r="C1862">
        <v>50</v>
      </c>
      <c r="D1862" t="str">
        <f>VLOOKUP($C1862,products!$A$1:$F$322,MATCH(order_items!$D$1,products!$A$1:$F$1,0),FALSE)</f>
        <v>Trek Silque SLR 7 Women's - 2017</v>
      </c>
      <c r="E1862">
        <f>VLOOKUP($C1862,products!$A$1:$F$322,MATCH(order_items!$E$1,products!$A$1:$F$1,0),FALSE)</f>
        <v>7</v>
      </c>
      <c r="F1862" t="str">
        <f>VLOOKUP($E1862,categories!$A$1:$B$8,MATCH(order_items!$F$1,categories!$A$1:$B$1,0),FALSE)</f>
        <v>Road Bikes</v>
      </c>
      <c r="G1862">
        <v>1</v>
      </c>
      <c r="H1862">
        <v>5999.99</v>
      </c>
      <c r="I1862" s="5">
        <v>0.2</v>
      </c>
      <c r="J1862">
        <f t="shared" si="58"/>
        <v>4799.9920000000002</v>
      </c>
      <c r="K1862" s="9">
        <f t="shared" si="59"/>
        <v>3.5391745189185961</v>
      </c>
    </row>
    <row r="1863" spans="1:11" x14ac:dyDescent="0.3">
      <c r="A1863">
        <v>664</v>
      </c>
      <c r="B1863">
        <v>4</v>
      </c>
      <c r="C1863">
        <v>101</v>
      </c>
      <c r="D1863" t="str">
        <f>VLOOKUP($C1863,products!$A$1:$F$322,MATCH(order_items!$D$1,products!$A$1:$F$1,0),FALSE)</f>
        <v>Electra Townie 7D (20-inch) - Boys' - 2017</v>
      </c>
      <c r="E1863">
        <f>VLOOKUP($C1863,products!$A$1:$F$322,MATCH(order_items!$E$1,products!$A$1:$F$1,0),FALSE)</f>
        <v>1</v>
      </c>
      <c r="F1863" t="str">
        <f>VLOOKUP($E1863,categories!$A$1:$B$8,MATCH(order_items!$F$1,categories!$A$1:$B$1,0),FALSE)</f>
        <v>Children Bicycles</v>
      </c>
      <c r="G1863">
        <v>2</v>
      </c>
      <c r="H1863">
        <v>339.99</v>
      </c>
      <c r="I1863" s="5">
        <v>0.2</v>
      </c>
      <c r="J1863">
        <f t="shared" si="58"/>
        <v>543.98400000000004</v>
      </c>
      <c r="K1863" s="9">
        <f t="shared" si="59"/>
        <v>-0.64518880876454576</v>
      </c>
    </row>
    <row r="1864" spans="1:11" x14ac:dyDescent="0.3">
      <c r="A1864">
        <v>664</v>
      </c>
      <c r="B1864">
        <v>5</v>
      </c>
      <c r="C1864">
        <v>47</v>
      </c>
      <c r="D1864" t="str">
        <f>VLOOKUP($C1864,products!$A$1:$F$322,MATCH(order_items!$D$1,products!$A$1:$F$1,0),FALSE)</f>
        <v>Trek Remedy 9.8 - 2017</v>
      </c>
      <c r="E1864">
        <f>VLOOKUP($C1864,products!$A$1:$F$322,MATCH(order_items!$E$1,products!$A$1:$F$1,0),FALSE)</f>
        <v>6</v>
      </c>
      <c r="F1864" t="str">
        <f>VLOOKUP($E1864,categories!$A$1:$B$8,MATCH(order_items!$F$1,categories!$A$1:$B$1,0),FALSE)</f>
        <v>Mountain Bikes</v>
      </c>
      <c r="G1864">
        <v>1</v>
      </c>
      <c r="H1864">
        <v>5299.99</v>
      </c>
      <c r="I1864" s="5">
        <v>7.0000000000000007E-2</v>
      </c>
      <c r="J1864">
        <f t="shared" si="58"/>
        <v>4928.9906999999994</v>
      </c>
      <c r="K1864" s="9">
        <f t="shared" si="59"/>
        <v>3.021673754010787</v>
      </c>
    </row>
    <row r="1865" spans="1:11" x14ac:dyDescent="0.3">
      <c r="A1865">
        <v>665</v>
      </c>
      <c r="B1865">
        <v>1</v>
      </c>
      <c r="C1865">
        <v>58</v>
      </c>
      <c r="D1865" t="str">
        <f>VLOOKUP($C1865,products!$A$1:$F$322,MATCH(order_items!$D$1,products!$A$1:$F$1,0),FALSE)</f>
        <v>Trek Madone 9.2 - 2017</v>
      </c>
      <c r="E1865">
        <f>VLOOKUP($C1865,products!$A$1:$F$322,MATCH(order_items!$E$1,products!$A$1:$F$1,0),FALSE)</f>
        <v>7</v>
      </c>
      <c r="F1865" t="str">
        <f>VLOOKUP($E1865,categories!$A$1:$B$8,MATCH(order_items!$F$1,categories!$A$1:$B$1,0),FALSE)</f>
        <v>Road Bikes</v>
      </c>
      <c r="G1865">
        <v>1</v>
      </c>
      <c r="H1865">
        <v>4999.99</v>
      </c>
      <c r="I1865" s="5">
        <v>7.0000000000000007E-2</v>
      </c>
      <c r="J1865">
        <f t="shared" si="58"/>
        <v>4649.9906999999994</v>
      </c>
      <c r="K1865" s="9">
        <f t="shared" si="59"/>
        <v>2.7998877119074401</v>
      </c>
    </row>
    <row r="1866" spans="1:11" x14ac:dyDescent="0.3">
      <c r="A1866">
        <v>665</v>
      </c>
      <c r="B1866">
        <v>2</v>
      </c>
      <c r="C1866">
        <v>42</v>
      </c>
      <c r="D1866" t="str">
        <f>VLOOKUP($C1866,products!$A$1:$F$322,MATCH(order_items!$D$1,products!$A$1:$F$1,0),FALSE)</f>
        <v>Trek Fuel EX 5 27.5 Plus - 2017</v>
      </c>
      <c r="E1866">
        <f>VLOOKUP($C1866,products!$A$1:$F$322,MATCH(order_items!$E$1,products!$A$1:$F$1,0),FALSE)</f>
        <v>6</v>
      </c>
      <c r="F1866" t="str">
        <f>VLOOKUP($E1866,categories!$A$1:$B$8,MATCH(order_items!$F$1,categories!$A$1:$B$1,0),FALSE)</f>
        <v>Mountain Bikes</v>
      </c>
      <c r="G1866">
        <v>2</v>
      </c>
      <c r="H1866">
        <v>2299.9899999999998</v>
      </c>
      <c r="I1866" s="5">
        <v>0.2</v>
      </c>
      <c r="J1866">
        <f t="shared" si="58"/>
        <v>3679.9839999999999</v>
      </c>
      <c r="K1866" s="9">
        <f t="shared" si="59"/>
        <v>0.80381333297731938</v>
      </c>
    </row>
    <row r="1867" spans="1:11" x14ac:dyDescent="0.3">
      <c r="A1867">
        <v>665</v>
      </c>
      <c r="B1867">
        <v>3</v>
      </c>
      <c r="C1867">
        <v>25</v>
      </c>
      <c r="D1867" t="str">
        <f>VLOOKUP($C1867,products!$A$1:$F$322,MATCH(order_items!$D$1,products!$A$1:$F$1,0),FALSE)</f>
        <v>Electra Townie Original 7D - 2015/2016</v>
      </c>
      <c r="E1867">
        <f>VLOOKUP($C1867,products!$A$1:$F$322,MATCH(order_items!$E$1,products!$A$1:$F$1,0),FALSE)</f>
        <v>2</v>
      </c>
      <c r="F1867" t="str">
        <f>VLOOKUP($E1867,categories!$A$1:$B$8,MATCH(order_items!$F$1,categories!$A$1:$B$1,0),FALSE)</f>
        <v>Comfort Bicycles</v>
      </c>
      <c r="G1867">
        <v>2</v>
      </c>
      <c r="H1867">
        <v>499.99</v>
      </c>
      <c r="I1867" s="5">
        <v>0.05</v>
      </c>
      <c r="J1867">
        <f t="shared" si="58"/>
        <v>949.98099999999999</v>
      </c>
      <c r="K1867" s="9">
        <f t="shared" si="59"/>
        <v>-0.52690291964276081</v>
      </c>
    </row>
    <row r="1868" spans="1:11" x14ac:dyDescent="0.3">
      <c r="A1868">
        <v>666</v>
      </c>
      <c r="B1868">
        <v>1</v>
      </c>
      <c r="C1868">
        <v>98</v>
      </c>
      <c r="D1868" t="str">
        <f>VLOOKUP($C1868,products!$A$1:$F$322,MATCH(order_items!$D$1,products!$A$1:$F$1,0),FALSE)</f>
        <v>Electra Straight 8 3i (20-inch) - Boy's - 2017</v>
      </c>
      <c r="E1868">
        <f>VLOOKUP($C1868,products!$A$1:$F$322,MATCH(order_items!$E$1,products!$A$1:$F$1,0),FALSE)</f>
        <v>1</v>
      </c>
      <c r="F1868" t="str">
        <f>VLOOKUP($E1868,categories!$A$1:$B$8,MATCH(order_items!$F$1,categories!$A$1:$B$1,0),FALSE)</f>
        <v>Children Bicycles</v>
      </c>
      <c r="G1868">
        <v>2</v>
      </c>
      <c r="H1868">
        <v>489.99</v>
      </c>
      <c r="I1868" s="5">
        <v>0.2</v>
      </c>
      <c r="J1868">
        <f t="shared" si="58"/>
        <v>783.98400000000004</v>
      </c>
      <c r="K1868" s="9">
        <f t="shared" si="59"/>
        <v>-0.53429578771287245</v>
      </c>
    </row>
    <row r="1869" spans="1:11" x14ac:dyDescent="0.3">
      <c r="A1869">
        <v>666</v>
      </c>
      <c r="B1869">
        <v>2</v>
      </c>
      <c r="C1869">
        <v>39</v>
      </c>
      <c r="D1869" t="str">
        <f>VLOOKUP($C1869,products!$A$1:$F$322,MATCH(order_items!$D$1,products!$A$1:$F$1,0),FALSE)</f>
        <v>Trek Stache 5 - 2017</v>
      </c>
      <c r="E1869">
        <f>VLOOKUP($C1869,products!$A$1:$F$322,MATCH(order_items!$E$1,products!$A$1:$F$1,0),FALSE)</f>
        <v>6</v>
      </c>
      <c r="F1869" t="str">
        <f>VLOOKUP($E1869,categories!$A$1:$B$8,MATCH(order_items!$F$1,categories!$A$1:$B$1,0),FALSE)</f>
        <v>Mountain Bikes</v>
      </c>
      <c r="G1869">
        <v>1</v>
      </c>
      <c r="H1869">
        <v>1499.99</v>
      </c>
      <c r="I1869" s="5">
        <v>0.05</v>
      </c>
      <c r="J1869">
        <f t="shared" si="58"/>
        <v>1424.9904999999999</v>
      </c>
      <c r="K1869" s="9">
        <f t="shared" si="59"/>
        <v>0.21238388736839492</v>
      </c>
    </row>
    <row r="1870" spans="1:11" x14ac:dyDescent="0.3">
      <c r="A1870">
        <v>667</v>
      </c>
      <c r="B1870">
        <v>1</v>
      </c>
      <c r="C1870">
        <v>79</v>
      </c>
      <c r="D1870" t="str">
        <f>VLOOKUP($C1870,products!$A$1:$F$322,MATCH(order_items!$D$1,products!$A$1:$F$1,0),FALSE)</f>
        <v>Sun Bicycles Boardwalk (24-inch Wheels) - 2017</v>
      </c>
      <c r="E1870">
        <f>VLOOKUP($C1870,products!$A$1:$F$322,MATCH(order_items!$E$1,products!$A$1:$F$1,0),FALSE)</f>
        <v>3</v>
      </c>
      <c r="F1870" t="str">
        <f>VLOOKUP($E1870,categories!$A$1:$B$8,MATCH(order_items!$F$1,categories!$A$1:$B$1,0),FALSE)</f>
        <v>Cruisers Bicycles</v>
      </c>
      <c r="G1870">
        <v>1</v>
      </c>
      <c r="H1870">
        <v>402.99</v>
      </c>
      <c r="I1870" s="5">
        <v>0.2</v>
      </c>
      <c r="J1870">
        <f t="shared" si="58"/>
        <v>322.39200000000005</v>
      </c>
      <c r="K1870" s="9">
        <f t="shared" si="59"/>
        <v>-0.59861373992284295</v>
      </c>
    </row>
    <row r="1871" spans="1:11" x14ac:dyDescent="0.3">
      <c r="A1871">
        <v>667</v>
      </c>
      <c r="B1871">
        <v>2</v>
      </c>
      <c r="C1871">
        <v>84</v>
      </c>
      <c r="D1871" t="str">
        <f>VLOOKUP($C1871,products!$A$1:$F$322,MATCH(order_items!$D$1,products!$A$1:$F$1,0),FALSE)</f>
        <v>Sun Bicycles Lil Kitt'n - 2017</v>
      </c>
      <c r="E1871">
        <f>VLOOKUP($C1871,products!$A$1:$F$322,MATCH(order_items!$E$1,products!$A$1:$F$1,0),FALSE)</f>
        <v>1</v>
      </c>
      <c r="F1871" t="str">
        <f>VLOOKUP($E1871,categories!$A$1:$B$8,MATCH(order_items!$F$1,categories!$A$1:$B$1,0),FALSE)</f>
        <v>Children Bicycles</v>
      </c>
      <c r="G1871">
        <v>1</v>
      </c>
      <c r="H1871">
        <v>109.99</v>
      </c>
      <c r="I1871" s="5">
        <v>0.1</v>
      </c>
      <c r="J1871">
        <f t="shared" si="58"/>
        <v>98.991</v>
      </c>
      <c r="K1871" s="9">
        <f t="shared" si="59"/>
        <v>-0.81522477437711161</v>
      </c>
    </row>
    <row r="1872" spans="1:11" x14ac:dyDescent="0.3">
      <c r="A1872">
        <v>667</v>
      </c>
      <c r="B1872">
        <v>3</v>
      </c>
      <c r="C1872">
        <v>3</v>
      </c>
      <c r="D1872" t="str">
        <f>VLOOKUP($C1872,products!$A$1:$F$322,MATCH(order_items!$D$1,products!$A$1:$F$1,0),FALSE)</f>
        <v>Surly Wednesday Frameset - 2016</v>
      </c>
      <c r="E1872">
        <f>VLOOKUP($C1872,products!$A$1:$F$322,MATCH(order_items!$E$1,products!$A$1:$F$1,0),FALSE)</f>
        <v>6</v>
      </c>
      <c r="F1872" t="str">
        <f>VLOOKUP($E1872,categories!$A$1:$B$8,MATCH(order_items!$F$1,categories!$A$1:$B$1,0),FALSE)</f>
        <v>Mountain Bikes</v>
      </c>
      <c r="G1872">
        <v>1</v>
      </c>
      <c r="H1872">
        <v>999.99</v>
      </c>
      <c r="I1872" s="5">
        <v>0.2</v>
      </c>
      <c r="J1872">
        <f t="shared" si="58"/>
        <v>799.99200000000008</v>
      </c>
      <c r="K1872" s="9">
        <f t="shared" si="59"/>
        <v>-0.15725951613718298</v>
      </c>
    </row>
    <row r="1873" spans="1:11" x14ac:dyDescent="0.3">
      <c r="A1873">
        <v>667</v>
      </c>
      <c r="B1873">
        <v>4</v>
      </c>
      <c r="C1873">
        <v>99</v>
      </c>
      <c r="D1873" t="str">
        <f>VLOOKUP($C1873,products!$A$1:$F$322,MATCH(order_items!$D$1,products!$A$1:$F$1,0),FALSE)</f>
        <v>Electra Sugar Skulls 1 (20-inch) - Girl's - 2017</v>
      </c>
      <c r="E1873">
        <f>VLOOKUP($C1873,products!$A$1:$F$322,MATCH(order_items!$E$1,products!$A$1:$F$1,0),FALSE)</f>
        <v>1</v>
      </c>
      <c r="F1873" t="str">
        <f>VLOOKUP($E1873,categories!$A$1:$B$8,MATCH(order_items!$F$1,categories!$A$1:$B$1,0),FALSE)</f>
        <v>Children Bicycles</v>
      </c>
      <c r="G1873">
        <v>1</v>
      </c>
      <c r="H1873">
        <v>299.99</v>
      </c>
      <c r="I1873" s="5">
        <v>0.1</v>
      </c>
      <c r="J1873">
        <f t="shared" si="58"/>
        <v>269.99100000000004</v>
      </c>
      <c r="K1873" s="9">
        <f t="shared" si="59"/>
        <v>-0.67476028104499197</v>
      </c>
    </row>
    <row r="1874" spans="1:11" x14ac:dyDescent="0.3">
      <c r="A1874">
        <v>667</v>
      </c>
      <c r="B1874">
        <v>5</v>
      </c>
      <c r="C1874">
        <v>85</v>
      </c>
      <c r="D1874" t="str">
        <f>VLOOKUP($C1874,products!$A$1:$F$322,MATCH(order_items!$D$1,products!$A$1:$F$1,0),FALSE)</f>
        <v>Haro Downtown 16 - 2017</v>
      </c>
      <c r="E1874">
        <f>VLOOKUP($C1874,products!$A$1:$F$322,MATCH(order_items!$E$1,products!$A$1:$F$1,0),FALSE)</f>
        <v>1</v>
      </c>
      <c r="F1874" t="str">
        <f>VLOOKUP($E1874,categories!$A$1:$B$8,MATCH(order_items!$F$1,categories!$A$1:$B$1,0),FALSE)</f>
        <v>Children Bicycles</v>
      </c>
      <c r="G1874">
        <v>1</v>
      </c>
      <c r="H1874">
        <v>329.99</v>
      </c>
      <c r="I1874" s="5">
        <v>0.05</v>
      </c>
      <c r="J1874">
        <f t="shared" si="58"/>
        <v>313.4905</v>
      </c>
      <c r="K1874" s="9">
        <f t="shared" si="59"/>
        <v>-0.6525816768346574</v>
      </c>
    </row>
    <row r="1875" spans="1:11" x14ac:dyDescent="0.3">
      <c r="A1875">
        <v>668</v>
      </c>
      <c r="B1875">
        <v>1</v>
      </c>
      <c r="C1875">
        <v>48</v>
      </c>
      <c r="D1875" t="str">
        <f>VLOOKUP($C1875,products!$A$1:$F$322,MATCH(order_items!$D$1,products!$A$1:$F$1,0),FALSE)</f>
        <v>Trek Emonda S 4 - 2017</v>
      </c>
      <c r="E1875">
        <f>VLOOKUP($C1875,products!$A$1:$F$322,MATCH(order_items!$E$1,products!$A$1:$F$1,0),FALSE)</f>
        <v>7</v>
      </c>
      <c r="F1875" t="str">
        <f>VLOOKUP($E1875,categories!$A$1:$B$8,MATCH(order_items!$F$1,categories!$A$1:$B$1,0),FALSE)</f>
        <v>Road Bikes</v>
      </c>
      <c r="G1875">
        <v>2</v>
      </c>
      <c r="H1875">
        <v>1499.99</v>
      </c>
      <c r="I1875" s="5">
        <v>0.05</v>
      </c>
      <c r="J1875">
        <f t="shared" si="58"/>
        <v>2849.9809999999998</v>
      </c>
      <c r="K1875" s="9">
        <f t="shared" si="59"/>
        <v>0.21238388736839492</v>
      </c>
    </row>
    <row r="1876" spans="1:11" x14ac:dyDescent="0.3">
      <c r="A1876">
        <v>668</v>
      </c>
      <c r="B1876">
        <v>2</v>
      </c>
      <c r="C1876">
        <v>19</v>
      </c>
      <c r="D1876" t="str">
        <f>VLOOKUP($C1876,products!$A$1:$F$322,MATCH(order_items!$D$1,products!$A$1:$F$1,0),FALSE)</f>
        <v>Pure Cycles William 3-Speed - 2016</v>
      </c>
      <c r="E1876">
        <f>VLOOKUP($C1876,products!$A$1:$F$322,MATCH(order_items!$E$1,products!$A$1:$F$1,0),FALSE)</f>
        <v>3</v>
      </c>
      <c r="F1876" t="str">
        <f>VLOOKUP($E1876,categories!$A$1:$B$8,MATCH(order_items!$F$1,categories!$A$1:$B$1,0),FALSE)</f>
        <v>Cruisers Bicycles</v>
      </c>
      <c r="G1876">
        <v>2</v>
      </c>
      <c r="H1876">
        <v>449</v>
      </c>
      <c r="I1876" s="5">
        <v>0.1</v>
      </c>
      <c r="J1876">
        <f t="shared" si="58"/>
        <v>808.2</v>
      </c>
      <c r="K1876" s="9">
        <f t="shared" si="59"/>
        <v>-0.56459915393225968</v>
      </c>
    </row>
    <row r="1877" spans="1:11" x14ac:dyDescent="0.3">
      <c r="A1877">
        <v>669</v>
      </c>
      <c r="B1877">
        <v>1</v>
      </c>
      <c r="C1877">
        <v>16</v>
      </c>
      <c r="D1877" t="str">
        <f>VLOOKUP($C1877,products!$A$1:$F$322,MATCH(order_items!$D$1,products!$A$1:$F$1,0),FALSE)</f>
        <v>Electra Townie Original 7D EQ - 2016</v>
      </c>
      <c r="E1877">
        <f>VLOOKUP($C1877,products!$A$1:$F$322,MATCH(order_items!$E$1,products!$A$1:$F$1,0),FALSE)</f>
        <v>3</v>
      </c>
      <c r="F1877" t="str">
        <f>VLOOKUP($E1877,categories!$A$1:$B$8,MATCH(order_items!$F$1,categories!$A$1:$B$1,0),FALSE)</f>
        <v>Cruisers Bicycles</v>
      </c>
      <c r="G1877">
        <v>2</v>
      </c>
      <c r="H1877">
        <v>599.99</v>
      </c>
      <c r="I1877" s="5">
        <v>7.0000000000000007E-2</v>
      </c>
      <c r="J1877">
        <f t="shared" si="58"/>
        <v>1115.9813999999999</v>
      </c>
      <c r="K1877" s="9">
        <f t="shared" si="59"/>
        <v>-0.45297423894164529</v>
      </c>
    </row>
    <row r="1878" spans="1:11" x14ac:dyDescent="0.3">
      <c r="A1878">
        <v>669</v>
      </c>
      <c r="B1878">
        <v>2</v>
      </c>
      <c r="C1878">
        <v>72</v>
      </c>
      <c r="D1878" t="str">
        <f>VLOOKUP($C1878,products!$A$1:$F$322,MATCH(order_items!$D$1,products!$A$1:$F$1,0),FALSE)</f>
        <v>Sun Bicycles Biscayne Tandem 7 - 2017</v>
      </c>
      <c r="E1878">
        <f>VLOOKUP($C1878,products!$A$1:$F$322,MATCH(order_items!$E$1,products!$A$1:$F$1,0),FALSE)</f>
        <v>3</v>
      </c>
      <c r="F1878" t="str">
        <f>VLOOKUP($E1878,categories!$A$1:$B$8,MATCH(order_items!$F$1,categories!$A$1:$B$1,0),FALSE)</f>
        <v>Cruisers Bicycles</v>
      </c>
      <c r="G1878">
        <v>1</v>
      </c>
      <c r="H1878">
        <v>619.99</v>
      </c>
      <c r="I1878" s="5">
        <v>7.0000000000000007E-2</v>
      </c>
      <c r="J1878">
        <f t="shared" si="58"/>
        <v>576.59069999999997</v>
      </c>
      <c r="K1878" s="9">
        <f t="shared" si="59"/>
        <v>-0.43818850280142219</v>
      </c>
    </row>
    <row r="1879" spans="1:11" x14ac:dyDescent="0.3">
      <c r="A1879">
        <v>670</v>
      </c>
      <c r="B1879">
        <v>1</v>
      </c>
      <c r="C1879">
        <v>108</v>
      </c>
      <c r="D1879" t="str">
        <f>VLOOKUP($C1879,products!$A$1:$F$322,MATCH(order_items!$D$1,products!$A$1:$F$1,0),FALSE)</f>
        <v>Sun Bicycles Cruz 3 - Women's - 2017</v>
      </c>
      <c r="E1879">
        <f>VLOOKUP($C1879,products!$A$1:$F$322,MATCH(order_items!$E$1,products!$A$1:$F$1,0),FALSE)</f>
        <v>2</v>
      </c>
      <c r="F1879" t="str">
        <f>VLOOKUP($E1879,categories!$A$1:$B$8,MATCH(order_items!$F$1,categories!$A$1:$B$1,0),FALSE)</f>
        <v>Comfort Bicycles</v>
      </c>
      <c r="G1879">
        <v>1</v>
      </c>
      <c r="H1879">
        <v>449.99</v>
      </c>
      <c r="I1879" s="5">
        <v>0.1</v>
      </c>
      <c r="J1879">
        <f t="shared" si="58"/>
        <v>404.99100000000004</v>
      </c>
      <c r="K1879" s="9">
        <f t="shared" si="59"/>
        <v>-0.56386725999331866</v>
      </c>
    </row>
    <row r="1880" spans="1:11" x14ac:dyDescent="0.3">
      <c r="A1880">
        <v>670</v>
      </c>
      <c r="B1880">
        <v>2</v>
      </c>
      <c r="C1880">
        <v>28</v>
      </c>
      <c r="D1880" t="str">
        <f>VLOOKUP($C1880,products!$A$1:$F$322,MATCH(order_items!$D$1,products!$A$1:$F$1,0),FALSE)</f>
        <v>Surly Karate Monkey 27.5+ Frameset - 2017</v>
      </c>
      <c r="E1880">
        <f>VLOOKUP($C1880,products!$A$1:$F$322,MATCH(order_items!$E$1,products!$A$1:$F$1,0),FALSE)</f>
        <v>6</v>
      </c>
      <c r="F1880" t="str">
        <f>VLOOKUP($E1880,categories!$A$1:$B$8,MATCH(order_items!$F$1,categories!$A$1:$B$1,0),FALSE)</f>
        <v>Mountain Bikes</v>
      </c>
      <c r="G1880">
        <v>1</v>
      </c>
      <c r="H1880">
        <v>2499.9899999999998</v>
      </c>
      <c r="I1880" s="5">
        <v>7.0000000000000007E-2</v>
      </c>
      <c r="J1880">
        <f t="shared" si="58"/>
        <v>2324.9906999999998</v>
      </c>
      <c r="K1880" s="9">
        <f t="shared" si="59"/>
        <v>0.95167069437955054</v>
      </c>
    </row>
    <row r="1881" spans="1:11" x14ac:dyDescent="0.3">
      <c r="A1881">
        <v>670</v>
      </c>
      <c r="B1881">
        <v>3</v>
      </c>
      <c r="C1881">
        <v>104</v>
      </c>
      <c r="D1881" t="str">
        <f>VLOOKUP($C1881,products!$A$1:$F$322,MATCH(order_items!$D$1,products!$A$1:$F$1,0),FALSE)</f>
        <v>Sun Bicycles Streamway - 2017</v>
      </c>
      <c r="E1881">
        <f>VLOOKUP($C1881,products!$A$1:$F$322,MATCH(order_items!$E$1,products!$A$1:$F$1,0),FALSE)</f>
        <v>2</v>
      </c>
      <c r="F1881" t="str">
        <f>VLOOKUP($E1881,categories!$A$1:$B$8,MATCH(order_items!$F$1,categories!$A$1:$B$1,0),FALSE)</f>
        <v>Comfort Bicycles</v>
      </c>
      <c r="G1881">
        <v>2</v>
      </c>
      <c r="H1881">
        <v>481.99</v>
      </c>
      <c r="I1881" s="5">
        <v>0.2</v>
      </c>
      <c r="J1881">
        <f t="shared" si="58"/>
        <v>771.18400000000008</v>
      </c>
      <c r="K1881" s="9">
        <f t="shared" si="59"/>
        <v>-0.54021008216896171</v>
      </c>
    </row>
    <row r="1882" spans="1:11" x14ac:dyDescent="0.3">
      <c r="A1882">
        <v>670</v>
      </c>
      <c r="B1882">
        <v>4</v>
      </c>
      <c r="C1882">
        <v>45</v>
      </c>
      <c r="D1882" t="str">
        <f>VLOOKUP($C1882,products!$A$1:$F$322,MATCH(order_items!$D$1,products!$A$1:$F$1,0),FALSE)</f>
        <v>Haro SR 1.2 - 2017</v>
      </c>
      <c r="E1882">
        <f>VLOOKUP($C1882,products!$A$1:$F$322,MATCH(order_items!$E$1,products!$A$1:$F$1,0),FALSE)</f>
        <v>6</v>
      </c>
      <c r="F1882" t="str">
        <f>VLOOKUP($E1882,categories!$A$1:$B$8,MATCH(order_items!$F$1,categories!$A$1:$B$1,0),FALSE)</f>
        <v>Mountain Bikes</v>
      </c>
      <c r="G1882">
        <v>2</v>
      </c>
      <c r="H1882">
        <v>869.99</v>
      </c>
      <c r="I1882" s="5">
        <v>0.05</v>
      </c>
      <c r="J1882">
        <f t="shared" si="58"/>
        <v>1652.981</v>
      </c>
      <c r="K1882" s="9">
        <f t="shared" si="59"/>
        <v>-0.25336680104863324</v>
      </c>
    </row>
    <row r="1883" spans="1:11" x14ac:dyDescent="0.3">
      <c r="A1883">
        <v>671</v>
      </c>
      <c r="B1883">
        <v>1</v>
      </c>
      <c r="C1883">
        <v>30</v>
      </c>
      <c r="D1883" t="str">
        <f>VLOOKUP($C1883,products!$A$1:$F$322,MATCH(order_items!$D$1,products!$A$1:$F$1,0),FALSE)</f>
        <v>Surly Ice Cream Truck Frameset - 2017</v>
      </c>
      <c r="E1883">
        <f>VLOOKUP($C1883,products!$A$1:$F$322,MATCH(order_items!$E$1,products!$A$1:$F$1,0),FALSE)</f>
        <v>6</v>
      </c>
      <c r="F1883" t="str">
        <f>VLOOKUP($E1883,categories!$A$1:$B$8,MATCH(order_items!$F$1,categories!$A$1:$B$1,0),FALSE)</f>
        <v>Mountain Bikes</v>
      </c>
      <c r="G1883">
        <v>1</v>
      </c>
      <c r="H1883">
        <v>999.99</v>
      </c>
      <c r="I1883" s="5">
        <v>0.05</v>
      </c>
      <c r="J1883">
        <f t="shared" si="58"/>
        <v>949.9905</v>
      </c>
      <c r="K1883" s="9">
        <f t="shared" si="59"/>
        <v>-0.15725951613718298</v>
      </c>
    </row>
    <row r="1884" spans="1:11" x14ac:dyDescent="0.3">
      <c r="A1884">
        <v>671</v>
      </c>
      <c r="B1884">
        <v>2</v>
      </c>
      <c r="C1884">
        <v>69</v>
      </c>
      <c r="D1884" t="str">
        <f>VLOOKUP($C1884,products!$A$1:$F$322,MATCH(order_items!$D$1,products!$A$1:$F$1,0),FALSE)</f>
        <v>Sun Bicycles Cruz 7 - 2017</v>
      </c>
      <c r="E1884">
        <f>VLOOKUP($C1884,products!$A$1:$F$322,MATCH(order_items!$E$1,products!$A$1:$F$1,0),FALSE)</f>
        <v>3</v>
      </c>
      <c r="F1884" t="str">
        <f>VLOOKUP($E1884,categories!$A$1:$B$8,MATCH(order_items!$F$1,categories!$A$1:$B$1,0),FALSE)</f>
        <v>Cruisers Bicycles</v>
      </c>
      <c r="G1884">
        <v>1</v>
      </c>
      <c r="H1884">
        <v>416.99</v>
      </c>
      <c r="I1884" s="5">
        <v>0.05</v>
      </c>
      <c r="J1884">
        <f t="shared" si="58"/>
        <v>396.14049999999997</v>
      </c>
      <c r="K1884" s="9">
        <f t="shared" si="59"/>
        <v>-0.58826372462468679</v>
      </c>
    </row>
    <row r="1885" spans="1:11" x14ac:dyDescent="0.3">
      <c r="A1885">
        <v>671</v>
      </c>
      <c r="B1885">
        <v>3</v>
      </c>
      <c r="C1885">
        <v>55</v>
      </c>
      <c r="D1885" t="str">
        <f>VLOOKUP($C1885,products!$A$1:$F$322,MATCH(order_items!$D$1,products!$A$1:$F$1,0),FALSE)</f>
        <v>Trek Domane S 6 - 2017</v>
      </c>
      <c r="E1885">
        <f>VLOOKUP($C1885,products!$A$1:$F$322,MATCH(order_items!$E$1,products!$A$1:$F$1,0),FALSE)</f>
        <v>7</v>
      </c>
      <c r="F1885" t="str">
        <f>VLOOKUP($E1885,categories!$A$1:$B$8,MATCH(order_items!$F$1,categories!$A$1:$B$1,0),FALSE)</f>
        <v>Road Bikes</v>
      </c>
      <c r="G1885">
        <v>1</v>
      </c>
      <c r="H1885">
        <v>2699.99</v>
      </c>
      <c r="I1885" s="5">
        <v>0.2</v>
      </c>
      <c r="J1885">
        <f t="shared" si="58"/>
        <v>2159.9919999999997</v>
      </c>
      <c r="K1885" s="9">
        <f t="shared" si="59"/>
        <v>1.0995280557817817</v>
      </c>
    </row>
    <row r="1886" spans="1:11" x14ac:dyDescent="0.3">
      <c r="A1886">
        <v>671</v>
      </c>
      <c r="B1886">
        <v>4</v>
      </c>
      <c r="C1886">
        <v>4</v>
      </c>
      <c r="D1886" t="str">
        <f>VLOOKUP($C1886,products!$A$1:$F$322,MATCH(order_items!$D$1,products!$A$1:$F$1,0),FALSE)</f>
        <v>Trek Fuel EX 8 29 - 2016</v>
      </c>
      <c r="E1886">
        <f>VLOOKUP($C1886,products!$A$1:$F$322,MATCH(order_items!$E$1,products!$A$1:$F$1,0),FALSE)</f>
        <v>6</v>
      </c>
      <c r="F1886" t="str">
        <f>VLOOKUP($E1886,categories!$A$1:$B$8,MATCH(order_items!$F$1,categories!$A$1:$B$1,0),FALSE)</f>
        <v>Mountain Bikes</v>
      </c>
      <c r="G1886">
        <v>1</v>
      </c>
      <c r="H1886">
        <v>2899.99</v>
      </c>
      <c r="I1886" s="5">
        <v>7.0000000000000007E-2</v>
      </c>
      <c r="J1886">
        <f t="shared" si="58"/>
        <v>2696.9906999999998</v>
      </c>
      <c r="K1886" s="9">
        <f t="shared" si="59"/>
        <v>1.2473854171840129</v>
      </c>
    </row>
    <row r="1887" spans="1:11" x14ac:dyDescent="0.3">
      <c r="A1887">
        <v>671</v>
      </c>
      <c r="B1887">
        <v>5</v>
      </c>
      <c r="C1887">
        <v>109</v>
      </c>
      <c r="D1887" t="str">
        <f>VLOOKUP($C1887,products!$A$1:$F$322,MATCH(order_items!$D$1,products!$A$1:$F$1,0),FALSE)</f>
        <v>Sun Bicycles Cruz 7 - Women's - 2017</v>
      </c>
      <c r="E1887">
        <f>VLOOKUP($C1887,products!$A$1:$F$322,MATCH(order_items!$E$1,products!$A$1:$F$1,0),FALSE)</f>
        <v>2</v>
      </c>
      <c r="F1887" t="str">
        <f>VLOOKUP($E1887,categories!$A$1:$B$8,MATCH(order_items!$F$1,categories!$A$1:$B$1,0),FALSE)</f>
        <v>Comfort Bicycles</v>
      </c>
      <c r="G1887">
        <v>2</v>
      </c>
      <c r="H1887">
        <v>416.99</v>
      </c>
      <c r="I1887" s="5">
        <v>7.0000000000000007E-2</v>
      </c>
      <c r="J1887">
        <f t="shared" si="58"/>
        <v>775.60140000000001</v>
      </c>
      <c r="K1887" s="9">
        <f t="shared" si="59"/>
        <v>-0.58826372462468679</v>
      </c>
    </row>
    <row r="1888" spans="1:11" x14ac:dyDescent="0.3">
      <c r="A1888">
        <v>672</v>
      </c>
      <c r="B1888">
        <v>1</v>
      </c>
      <c r="C1888">
        <v>51</v>
      </c>
      <c r="D1888" t="str">
        <f>VLOOKUP($C1888,products!$A$1:$F$322,MATCH(order_items!$D$1,products!$A$1:$F$1,0),FALSE)</f>
        <v>Trek Silque SLR 8 Women's - 2017</v>
      </c>
      <c r="E1888">
        <f>VLOOKUP($C1888,products!$A$1:$F$322,MATCH(order_items!$E$1,products!$A$1:$F$1,0),FALSE)</f>
        <v>7</v>
      </c>
      <c r="F1888" t="str">
        <f>VLOOKUP($E1888,categories!$A$1:$B$8,MATCH(order_items!$F$1,categories!$A$1:$B$1,0),FALSE)</f>
        <v>Road Bikes</v>
      </c>
      <c r="G1888">
        <v>2</v>
      </c>
      <c r="H1888">
        <v>6499.99</v>
      </c>
      <c r="I1888" s="5">
        <v>7.0000000000000007E-2</v>
      </c>
      <c r="J1888">
        <f t="shared" si="58"/>
        <v>12089.981399999999</v>
      </c>
      <c r="K1888" s="9">
        <f t="shared" si="59"/>
        <v>3.9088179224241739</v>
      </c>
    </row>
    <row r="1889" spans="1:11" x14ac:dyDescent="0.3">
      <c r="A1889">
        <v>672</v>
      </c>
      <c r="B1889">
        <v>2</v>
      </c>
      <c r="C1889">
        <v>96</v>
      </c>
      <c r="D1889" t="str">
        <f>VLOOKUP($C1889,products!$A$1:$F$322,MATCH(order_items!$D$1,products!$A$1:$F$1,0),FALSE)</f>
        <v>Electra Moto 3i (20-inch) - Boy's - 2017</v>
      </c>
      <c r="E1889">
        <f>VLOOKUP($C1889,products!$A$1:$F$322,MATCH(order_items!$E$1,products!$A$1:$F$1,0),FALSE)</f>
        <v>1</v>
      </c>
      <c r="F1889" t="str">
        <f>VLOOKUP($E1889,categories!$A$1:$B$8,MATCH(order_items!$F$1,categories!$A$1:$B$1,0),FALSE)</f>
        <v>Children Bicycles</v>
      </c>
      <c r="G1889">
        <v>2</v>
      </c>
      <c r="H1889">
        <v>349.99</v>
      </c>
      <c r="I1889" s="5">
        <v>0.2</v>
      </c>
      <c r="J1889">
        <f t="shared" si="58"/>
        <v>559.98400000000004</v>
      </c>
      <c r="K1889" s="9">
        <f t="shared" si="59"/>
        <v>-0.63779594069443424</v>
      </c>
    </row>
    <row r="1890" spans="1:11" x14ac:dyDescent="0.3">
      <c r="A1890">
        <v>672</v>
      </c>
      <c r="B1890">
        <v>3</v>
      </c>
      <c r="C1890">
        <v>48</v>
      </c>
      <c r="D1890" t="str">
        <f>VLOOKUP($C1890,products!$A$1:$F$322,MATCH(order_items!$D$1,products!$A$1:$F$1,0),FALSE)</f>
        <v>Trek Emonda S 4 - 2017</v>
      </c>
      <c r="E1890">
        <f>VLOOKUP($C1890,products!$A$1:$F$322,MATCH(order_items!$E$1,products!$A$1:$F$1,0),FALSE)</f>
        <v>7</v>
      </c>
      <c r="F1890" t="str">
        <f>VLOOKUP($E1890,categories!$A$1:$B$8,MATCH(order_items!$F$1,categories!$A$1:$B$1,0),FALSE)</f>
        <v>Road Bikes</v>
      </c>
      <c r="G1890">
        <v>2</v>
      </c>
      <c r="H1890">
        <v>1499.99</v>
      </c>
      <c r="I1890" s="5">
        <v>7.0000000000000007E-2</v>
      </c>
      <c r="J1890">
        <f t="shared" si="58"/>
        <v>2789.9813999999997</v>
      </c>
      <c r="K1890" s="9">
        <f t="shared" si="59"/>
        <v>0.21238388736839492</v>
      </c>
    </row>
    <row r="1891" spans="1:11" x14ac:dyDescent="0.3">
      <c r="A1891">
        <v>673</v>
      </c>
      <c r="B1891">
        <v>1</v>
      </c>
      <c r="C1891">
        <v>66</v>
      </c>
      <c r="D1891" t="str">
        <f>VLOOKUP($C1891,products!$A$1:$F$322,MATCH(order_items!$D$1,products!$A$1:$F$1,0),FALSE)</f>
        <v>Sun Bicycles Revolutions 24 - 2017</v>
      </c>
      <c r="E1891">
        <f>VLOOKUP($C1891,products!$A$1:$F$322,MATCH(order_items!$E$1,products!$A$1:$F$1,0),FALSE)</f>
        <v>3</v>
      </c>
      <c r="F1891" t="str">
        <f>VLOOKUP($E1891,categories!$A$1:$B$8,MATCH(order_items!$F$1,categories!$A$1:$B$1,0),FALSE)</f>
        <v>Cruisers Bicycles</v>
      </c>
      <c r="G1891">
        <v>1</v>
      </c>
      <c r="H1891">
        <v>250.99</v>
      </c>
      <c r="I1891" s="5">
        <v>0.2</v>
      </c>
      <c r="J1891">
        <f t="shared" si="58"/>
        <v>200.79200000000003</v>
      </c>
      <c r="K1891" s="9">
        <f t="shared" si="59"/>
        <v>-0.71098533458853863</v>
      </c>
    </row>
    <row r="1892" spans="1:11" x14ac:dyDescent="0.3">
      <c r="A1892">
        <v>673</v>
      </c>
      <c r="B1892">
        <v>2</v>
      </c>
      <c r="C1892">
        <v>38</v>
      </c>
      <c r="D1892" t="str">
        <f>VLOOKUP($C1892,products!$A$1:$F$322,MATCH(order_items!$D$1,products!$A$1:$F$1,0),FALSE)</f>
        <v>Haro Flightline Two 26 Plus - 2017</v>
      </c>
      <c r="E1892">
        <f>VLOOKUP($C1892,products!$A$1:$F$322,MATCH(order_items!$E$1,products!$A$1:$F$1,0),FALSE)</f>
        <v>6</v>
      </c>
      <c r="F1892" t="str">
        <f>VLOOKUP($E1892,categories!$A$1:$B$8,MATCH(order_items!$F$1,categories!$A$1:$B$1,0),FALSE)</f>
        <v>Mountain Bikes</v>
      </c>
      <c r="G1892">
        <v>1</v>
      </c>
      <c r="H1892">
        <v>549.99</v>
      </c>
      <c r="I1892" s="5">
        <v>0.2</v>
      </c>
      <c r="J1892">
        <f t="shared" si="58"/>
        <v>439.99200000000002</v>
      </c>
      <c r="K1892" s="9">
        <f t="shared" si="59"/>
        <v>-0.48993857929220308</v>
      </c>
    </row>
    <row r="1893" spans="1:11" x14ac:dyDescent="0.3">
      <c r="A1893">
        <v>673</v>
      </c>
      <c r="B1893">
        <v>3</v>
      </c>
      <c r="C1893">
        <v>5</v>
      </c>
      <c r="D1893" t="str">
        <f>VLOOKUP($C1893,products!$A$1:$F$322,MATCH(order_items!$D$1,products!$A$1:$F$1,0),FALSE)</f>
        <v>Heller Shagamaw Frame - 2016</v>
      </c>
      <c r="E1893">
        <f>VLOOKUP($C1893,products!$A$1:$F$322,MATCH(order_items!$E$1,products!$A$1:$F$1,0),FALSE)</f>
        <v>6</v>
      </c>
      <c r="F1893" t="str">
        <f>VLOOKUP($E1893,categories!$A$1:$B$8,MATCH(order_items!$F$1,categories!$A$1:$B$1,0),FALSE)</f>
        <v>Mountain Bikes</v>
      </c>
      <c r="G1893">
        <v>1</v>
      </c>
      <c r="H1893">
        <v>1320.99</v>
      </c>
      <c r="I1893" s="5">
        <v>7.0000000000000007E-2</v>
      </c>
      <c r="J1893">
        <f t="shared" si="58"/>
        <v>1228.5207</v>
      </c>
      <c r="K1893" s="9">
        <f t="shared" si="59"/>
        <v>8.0051548913398024E-2</v>
      </c>
    </row>
    <row r="1894" spans="1:11" x14ac:dyDescent="0.3">
      <c r="A1894">
        <v>673</v>
      </c>
      <c r="B1894">
        <v>4</v>
      </c>
      <c r="C1894">
        <v>13</v>
      </c>
      <c r="D1894" t="str">
        <f>VLOOKUP($C1894,products!$A$1:$F$322,MATCH(order_items!$D$1,products!$A$1:$F$1,0),FALSE)</f>
        <v>Electra Cruiser 1 (24-Inch) - 2016</v>
      </c>
      <c r="E1894">
        <f>VLOOKUP($C1894,products!$A$1:$F$322,MATCH(order_items!$E$1,products!$A$1:$F$1,0),FALSE)</f>
        <v>3</v>
      </c>
      <c r="F1894" t="str">
        <f>VLOOKUP($E1894,categories!$A$1:$B$8,MATCH(order_items!$F$1,categories!$A$1:$B$1,0),FALSE)</f>
        <v>Cruisers Bicycles</v>
      </c>
      <c r="G1894">
        <v>1</v>
      </c>
      <c r="H1894">
        <v>269.99</v>
      </c>
      <c r="I1894" s="5">
        <v>0.1</v>
      </c>
      <c r="J1894">
        <f t="shared" si="58"/>
        <v>242.99100000000001</v>
      </c>
      <c r="K1894" s="9">
        <f t="shared" si="59"/>
        <v>-0.69693888525532666</v>
      </c>
    </row>
    <row r="1895" spans="1:11" x14ac:dyDescent="0.3">
      <c r="A1895">
        <v>674</v>
      </c>
      <c r="B1895">
        <v>1</v>
      </c>
      <c r="C1895">
        <v>26</v>
      </c>
      <c r="D1895" t="str">
        <f>VLOOKUP($C1895,products!$A$1:$F$322,MATCH(order_items!$D$1,products!$A$1:$F$1,0),FALSE)</f>
        <v>Electra Townie Original 7D EQ - 2016</v>
      </c>
      <c r="E1895">
        <f>VLOOKUP($C1895,products!$A$1:$F$322,MATCH(order_items!$E$1,products!$A$1:$F$1,0),FALSE)</f>
        <v>2</v>
      </c>
      <c r="F1895" t="str">
        <f>VLOOKUP($E1895,categories!$A$1:$B$8,MATCH(order_items!$F$1,categories!$A$1:$B$1,0),FALSE)</f>
        <v>Comfort Bicycles</v>
      </c>
      <c r="G1895">
        <v>2</v>
      </c>
      <c r="H1895">
        <v>599.99</v>
      </c>
      <c r="I1895" s="5">
        <v>0.2</v>
      </c>
      <c r="J1895">
        <f t="shared" si="58"/>
        <v>959.98400000000004</v>
      </c>
      <c r="K1895" s="9">
        <f t="shared" si="59"/>
        <v>-0.45297423894164529</v>
      </c>
    </row>
    <row r="1896" spans="1:11" x14ac:dyDescent="0.3">
      <c r="A1896">
        <v>675</v>
      </c>
      <c r="B1896">
        <v>1</v>
      </c>
      <c r="C1896">
        <v>17</v>
      </c>
      <c r="D1896" t="str">
        <f>VLOOKUP($C1896,products!$A$1:$F$322,MATCH(order_items!$D$1,products!$A$1:$F$1,0),FALSE)</f>
        <v>Pure Cycles Vine 8-Speed - 2016</v>
      </c>
      <c r="E1896">
        <f>VLOOKUP($C1896,products!$A$1:$F$322,MATCH(order_items!$E$1,products!$A$1:$F$1,0),FALSE)</f>
        <v>3</v>
      </c>
      <c r="F1896" t="str">
        <f>VLOOKUP($E1896,categories!$A$1:$B$8,MATCH(order_items!$F$1,categories!$A$1:$B$1,0),FALSE)</f>
        <v>Cruisers Bicycles</v>
      </c>
      <c r="G1896">
        <v>1</v>
      </c>
      <c r="H1896">
        <v>429</v>
      </c>
      <c r="I1896" s="5">
        <v>0.05</v>
      </c>
      <c r="J1896">
        <f t="shared" si="58"/>
        <v>407.54999999999995</v>
      </c>
      <c r="K1896" s="9">
        <f t="shared" si="59"/>
        <v>-0.57938489007248284</v>
      </c>
    </row>
    <row r="1897" spans="1:11" x14ac:dyDescent="0.3">
      <c r="A1897">
        <v>675</v>
      </c>
      <c r="B1897">
        <v>2</v>
      </c>
      <c r="C1897">
        <v>89</v>
      </c>
      <c r="D1897" t="str">
        <f>VLOOKUP($C1897,products!$A$1:$F$322,MATCH(order_items!$D$1,products!$A$1:$F$1,0),FALSE)</f>
        <v>Trek Precaliber 16 Boys - 2017</v>
      </c>
      <c r="E1897">
        <f>VLOOKUP($C1897,products!$A$1:$F$322,MATCH(order_items!$E$1,products!$A$1:$F$1,0),FALSE)</f>
        <v>1</v>
      </c>
      <c r="F1897" t="str">
        <f>VLOOKUP($E1897,categories!$A$1:$B$8,MATCH(order_items!$F$1,categories!$A$1:$B$1,0),FALSE)</f>
        <v>Children Bicycles</v>
      </c>
      <c r="G1897">
        <v>2</v>
      </c>
      <c r="H1897">
        <v>209.99</v>
      </c>
      <c r="I1897" s="5">
        <v>0.05</v>
      </c>
      <c r="J1897">
        <f t="shared" si="58"/>
        <v>398.98099999999999</v>
      </c>
      <c r="K1897" s="9">
        <f t="shared" si="59"/>
        <v>-0.74129609367599603</v>
      </c>
    </row>
    <row r="1898" spans="1:11" x14ac:dyDescent="0.3">
      <c r="A1898">
        <v>675</v>
      </c>
      <c r="B1898">
        <v>3</v>
      </c>
      <c r="C1898">
        <v>19</v>
      </c>
      <c r="D1898" t="str">
        <f>VLOOKUP($C1898,products!$A$1:$F$322,MATCH(order_items!$D$1,products!$A$1:$F$1,0),FALSE)</f>
        <v>Pure Cycles William 3-Speed - 2016</v>
      </c>
      <c r="E1898">
        <f>VLOOKUP($C1898,products!$A$1:$F$322,MATCH(order_items!$E$1,products!$A$1:$F$1,0),FALSE)</f>
        <v>3</v>
      </c>
      <c r="F1898" t="str">
        <f>VLOOKUP($E1898,categories!$A$1:$B$8,MATCH(order_items!$F$1,categories!$A$1:$B$1,0),FALSE)</f>
        <v>Cruisers Bicycles</v>
      </c>
      <c r="G1898">
        <v>1</v>
      </c>
      <c r="H1898">
        <v>449</v>
      </c>
      <c r="I1898" s="5">
        <v>7.0000000000000007E-2</v>
      </c>
      <c r="J1898">
        <f t="shared" si="58"/>
        <v>417.57</v>
      </c>
      <c r="K1898" s="9">
        <f t="shared" si="59"/>
        <v>-0.56459915393225968</v>
      </c>
    </row>
    <row r="1899" spans="1:11" x14ac:dyDescent="0.3">
      <c r="A1899">
        <v>675</v>
      </c>
      <c r="B1899">
        <v>4</v>
      </c>
      <c r="C1899">
        <v>32</v>
      </c>
      <c r="D1899" t="str">
        <f>VLOOKUP($C1899,products!$A$1:$F$322,MATCH(order_items!$D$1,products!$A$1:$F$1,0),FALSE)</f>
        <v>Trek Farley Alloy Frameset - 2017</v>
      </c>
      <c r="E1899">
        <f>VLOOKUP($C1899,products!$A$1:$F$322,MATCH(order_items!$E$1,products!$A$1:$F$1,0),FALSE)</f>
        <v>6</v>
      </c>
      <c r="F1899" t="str">
        <f>VLOOKUP($E1899,categories!$A$1:$B$8,MATCH(order_items!$F$1,categories!$A$1:$B$1,0),FALSE)</f>
        <v>Mountain Bikes</v>
      </c>
      <c r="G1899">
        <v>1</v>
      </c>
      <c r="H1899">
        <v>469.99</v>
      </c>
      <c r="I1899" s="5">
        <v>0.2</v>
      </c>
      <c r="J1899">
        <f t="shared" si="58"/>
        <v>375.99200000000002</v>
      </c>
      <c r="K1899" s="9">
        <f t="shared" si="59"/>
        <v>-0.5490815238530955</v>
      </c>
    </row>
    <row r="1900" spans="1:11" x14ac:dyDescent="0.3">
      <c r="A1900">
        <v>676</v>
      </c>
      <c r="B1900">
        <v>1</v>
      </c>
      <c r="C1900">
        <v>70</v>
      </c>
      <c r="D1900" t="str">
        <f>VLOOKUP($C1900,products!$A$1:$F$322,MATCH(order_items!$D$1,products!$A$1:$F$1,0),FALSE)</f>
        <v>Electra Amsterdam Original 3i - 2015/2017</v>
      </c>
      <c r="E1900">
        <f>VLOOKUP($C1900,products!$A$1:$F$322,MATCH(order_items!$E$1,products!$A$1:$F$1,0),FALSE)</f>
        <v>3</v>
      </c>
      <c r="F1900" t="str">
        <f>VLOOKUP($E1900,categories!$A$1:$B$8,MATCH(order_items!$F$1,categories!$A$1:$B$1,0),FALSE)</f>
        <v>Cruisers Bicycles</v>
      </c>
      <c r="G1900">
        <v>1</v>
      </c>
      <c r="H1900">
        <v>659.99</v>
      </c>
      <c r="I1900" s="5">
        <v>0.2</v>
      </c>
      <c r="J1900">
        <f t="shared" si="58"/>
        <v>527.99200000000008</v>
      </c>
      <c r="K1900" s="9">
        <f t="shared" si="59"/>
        <v>-0.40861703052097592</v>
      </c>
    </row>
    <row r="1901" spans="1:11" x14ac:dyDescent="0.3">
      <c r="A1901">
        <v>676</v>
      </c>
      <c r="B1901">
        <v>2</v>
      </c>
      <c r="C1901">
        <v>104</v>
      </c>
      <c r="D1901" t="str">
        <f>VLOOKUP($C1901,products!$A$1:$F$322,MATCH(order_items!$D$1,products!$A$1:$F$1,0),FALSE)</f>
        <v>Sun Bicycles Streamway - 2017</v>
      </c>
      <c r="E1901">
        <f>VLOOKUP($C1901,products!$A$1:$F$322,MATCH(order_items!$E$1,products!$A$1:$F$1,0),FALSE)</f>
        <v>2</v>
      </c>
      <c r="F1901" t="str">
        <f>VLOOKUP($E1901,categories!$A$1:$B$8,MATCH(order_items!$F$1,categories!$A$1:$B$1,0),FALSE)</f>
        <v>Comfort Bicycles</v>
      </c>
      <c r="G1901">
        <v>2</v>
      </c>
      <c r="H1901">
        <v>481.99</v>
      </c>
      <c r="I1901" s="5">
        <v>7.0000000000000007E-2</v>
      </c>
      <c r="J1901">
        <f t="shared" si="58"/>
        <v>896.50139999999999</v>
      </c>
      <c r="K1901" s="9">
        <f t="shared" si="59"/>
        <v>-0.54021008216896171</v>
      </c>
    </row>
    <row r="1902" spans="1:11" x14ac:dyDescent="0.3">
      <c r="A1902">
        <v>676</v>
      </c>
      <c r="B1902">
        <v>3</v>
      </c>
      <c r="C1902">
        <v>24</v>
      </c>
      <c r="D1902" t="str">
        <f>VLOOKUP($C1902,products!$A$1:$F$322,MATCH(order_items!$D$1,products!$A$1:$F$1,0),FALSE)</f>
        <v>Electra Townie Original 21D - 2016</v>
      </c>
      <c r="E1902">
        <f>VLOOKUP($C1902,products!$A$1:$F$322,MATCH(order_items!$E$1,products!$A$1:$F$1,0),FALSE)</f>
        <v>2</v>
      </c>
      <c r="F1902" t="str">
        <f>VLOOKUP($E1902,categories!$A$1:$B$8,MATCH(order_items!$F$1,categories!$A$1:$B$1,0),FALSE)</f>
        <v>Comfort Bicycles</v>
      </c>
      <c r="G1902">
        <v>1</v>
      </c>
      <c r="H1902">
        <v>549.99</v>
      </c>
      <c r="I1902" s="5">
        <v>0.1</v>
      </c>
      <c r="J1902">
        <f t="shared" si="58"/>
        <v>494.99100000000004</v>
      </c>
      <c r="K1902" s="9">
        <f t="shared" si="59"/>
        <v>-0.48993857929220308</v>
      </c>
    </row>
    <row r="1903" spans="1:11" x14ac:dyDescent="0.3">
      <c r="A1903">
        <v>676</v>
      </c>
      <c r="B1903">
        <v>4</v>
      </c>
      <c r="C1903">
        <v>29</v>
      </c>
      <c r="D1903" t="str">
        <f>VLOOKUP($C1903,products!$A$1:$F$322,MATCH(order_items!$D$1,products!$A$1:$F$1,0),FALSE)</f>
        <v>Trek X-Caliber 8 - 2017</v>
      </c>
      <c r="E1903">
        <f>VLOOKUP($C1903,products!$A$1:$F$322,MATCH(order_items!$E$1,products!$A$1:$F$1,0),FALSE)</f>
        <v>6</v>
      </c>
      <c r="F1903" t="str">
        <f>VLOOKUP($E1903,categories!$A$1:$B$8,MATCH(order_items!$F$1,categories!$A$1:$B$1,0),FALSE)</f>
        <v>Mountain Bikes</v>
      </c>
      <c r="G1903">
        <v>1</v>
      </c>
      <c r="H1903">
        <v>999.99</v>
      </c>
      <c r="I1903" s="5">
        <v>0.2</v>
      </c>
      <c r="J1903">
        <f t="shared" si="58"/>
        <v>799.99200000000008</v>
      </c>
      <c r="K1903" s="9">
        <f t="shared" si="59"/>
        <v>-0.15725951613718298</v>
      </c>
    </row>
    <row r="1904" spans="1:11" x14ac:dyDescent="0.3">
      <c r="A1904">
        <v>677</v>
      </c>
      <c r="B1904">
        <v>1</v>
      </c>
      <c r="C1904">
        <v>75</v>
      </c>
      <c r="D1904" t="str">
        <f>VLOOKUP($C1904,products!$A$1:$F$322,MATCH(order_items!$D$1,products!$A$1:$F$1,0),FALSE)</f>
        <v>Electra Cruiser Lux Fat Tire 1 Ladies - 2017</v>
      </c>
      <c r="E1904">
        <f>VLOOKUP($C1904,products!$A$1:$F$322,MATCH(order_items!$E$1,products!$A$1:$F$1,0),FALSE)</f>
        <v>3</v>
      </c>
      <c r="F1904" t="str">
        <f>VLOOKUP($E1904,categories!$A$1:$B$8,MATCH(order_items!$F$1,categories!$A$1:$B$1,0),FALSE)</f>
        <v>Cruisers Bicycles</v>
      </c>
      <c r="G1904">
        <v>1</v>
      </c>
      <c r="H1904">
        <v>599.99</v>
      </c>
      <c r="I1904" s="5">
        <v>7.0000000000000007E-2</v>
      </c>
      <c r="J1904">
        <f t="shared" si="58"/>
        <v>557.99069999999995</v>
      </c>
      <c r="K1904" s="9">
        <f t="shared" si="59"/>
        <v>-0.45297423894164529</v>
      </c>
    </row>
    <row r="1905" spans="1:11" x14ac:dyDescent="0.3">
      <c r="A1905">
        <v>677</v>
      </c>
      <c r="B1905">
        <v>2</v>
      </c>
      <c r="C1905">
        <v>7</v>
      </c>
      <c r="D1905" t="str">
        <f>VLOOKUP($C1905,products!$A$1:$F$322,MATCH(order_items!$D$1,products!$A$1:$F$1,0),FALSE)</f>
        <v>Trek Slash 8 27.5 - 2016</v>
      </c>
      <c r="E1905">
        <f>VLOOKUP($C1905,products!$A$1:$F$322,MATCH(order_items!$E$1,products!$A$1:$F$1,0),FALSE)</f>
        <v>6</v>
      </c>
      <c r="F1905" t="str">
        <f>VLOOKUP($E1905,categories!$A$1:$B$8,MATCH(order_items!$F$1,categories!$A$1:$B$1,0),FALSE)</f>
        <v>Mountain Bikes</v>
      </c>
      <c r="G1905">
        <v>2</v>
      </c>
      <c r="H1905">
        <v>3999.99</v>
      </c>
      <c r="I1905" s="5">
        <v>7.0000000000000007E-2</v>
      </c>
      <c r="J1905">
        <f t="shared" si="58"/>
        <v>7439.9813999999988</v>
      </c>
      <c r="K1905" s="9">
        <f t="shared" si="59"/>
        <v>2.0606009048962846</v>
      </c>
    </row>
    <row r="1906" spans="1:11" x14ac:dyDescent="0.3">
      <c r="A1906">
        <v>677</v>
      </c>
      <c r="B1906">
        <v>3</v>
      </c>
      <c r="C1906">
        <v>105</v>
      </c>
      <c r="D1906" t="str">
        <f>VLOOKUP($C1906,products!$A$1:$F$322,MATCH(order_items!$D$1,products!$A$1:$F$1,0),FALSE)</f>
        <v>Sun Bicycles Streamway 7 - 2017</v>
      </c>
      <c r="E1906">
        <f>VLOOKUP($C1906,products!$A$1:$F$322,MATCH(order_items!$E$1,products!$A$1:$F$1,0),FALSE)</f>
        <v>2</v>
      </c>
      <c r="F1906" t="str">
        <f>VLOOKUP($E1906,categories!$A$1:$B$8,MATCH(order_items!$F$1,categories!$A$1:$B$1,0),FALSE)</f>
        <v>Comfort Bicycles</v>
      </c>
      <c r="G1906">
        <v>2</v>
      </c>
      <c r="H1906">
        <v>533.99</v>
      </c>
      <c r="I1906" s="5">
        <v>7.0000000000000007E-2</v>
      </c>
      <c r="J1906">
        <f t="shared" si="58"/>
        <v>993.2213999999999</v>
      </c>
      <c r="K1906" s="9">
        <f t="shared" si="59"/>
        <v>-0.50176716820438161</v>
      </c>
    </row>
    <row r="1907" spans="1:11" x14ac:dyDescent="0.3">
      <c r="A1907">
        <v>677</v>
      </c>
      <c r="B1907">
        <v>4</v>
      </c>
      <c r="C1907">
        <v>91</v>
      </c>
      <c r="D1907" t="str">
        <f>VLOOKUP($C1907,products!$A$1:$F$322,MATCH(order_items!$D$1,products!$A$1:$F$1,0),FALSE)</f>
        <v>Trek Precaliber 24 (21-Speed) - Girls - 2017</v>
      </c>
      <c r="E1907">
        <f>VLOOKUP($C1907,products!$A$1:$F$322,MATCH(order_items!$E$1,products!$A$1:$F$1,0),FALSE)</f>
        <v>1</v>
      </c>
      <c r="F1907" t="str">
        <f>VLOOKUP($E1907,categories!$A$1:$B$8,MATCH(order_items!$F$1,categories!$A$1:$B$1,0),FALSE)</f>
        <v>Children Bicycles</v>
      </c>
      <c r="G1907">
        <v>2</v>
      </c>
      <c r="H1907">
        <v>349.99</v>
      </c>
      <c r="I1907" s="5">
        <v>0.05</v>
      </c>
      <c r="J1907">
        <f t="shared" si="58"/>
        <v>664.98099999999999</v>
      </c>
      <c r="K1907" s="9">
        <f t="shared" si="59"/>
        <v>-0.63779594069443424</v>
      </c>
    </row>
    <row r="1908" spans="1:11" x14ac:dyDescent="0.3">
      <c r="A1908">
        <v>677</v>
      </c>
      <c r="B1908">
        <v>5</v>
      </c>
      <c r="C1908">
        <v>54</v>
      </c>
      <c r="D1908" t="str">
        <f>VLOOKUP($C1908,products!$A$1:$F$322,MATCH(order_items!$D$1,products!$A$1:$F$1,0),FALSE)</f>
        <v>Trek Domane SL Disc Frameset - 2017</v>
      </c>
      <c r="E1908">
        <f>VLOOKUP($C1908,products!$A$1:$F$322,MATCH(order_items!$E$1,products!$A$1:$F$1,0),FALSE)</f>
        <v>7</v>
      </c>
      <c r="F1908" t="str">
        <f>VLOOKUP($E1908,categories!$A$1:$B$8,MATCH(order_items!$F$1,categories!$A$1:$B$1,0),FALSE)</f>
        <v>Road Bikes</v>
      </c>
      <c r="G1908">
        <v>2</v>
      </c>
      <c r="H1908">
        <v>3199.99</v>
      </c>
      <c r="I1908" s="5">
        <v>0.1</v>
      </c>
      <c r="J1908">
        <f t="shared" si="58"/>
        <v>5759.982</v>
      </c>
      <c r="K1908" s="9">
        <f t="shared" si="59"/>
        <v>1.4691714592873595</v>
      </c>
    </row>
    <row r="1909" spans="1:11" x14ac:dyDescent="0.3">
      <c r="A1909">
        <v>678</v>
      </c>
      <c r="B1909">
        <v>1</v>
      </c>
      <c r="C1909">
        <v>52</v>
      </c>
      <c r="D1909" t="str">
        <f>VLOOKUP($C1909,products!$A$1:$F$322,MATCH(order_items!$D$1,products!$A$1:$F$1,0),FALSE)</f>
        <v>Surly Steamroller - 2017</v>
      </c>
      <c r="E1909">
        <f>VLOOKUP($C1909,products!$A$1:$F$322,MATCH(order_items!$E$1,products!$A$1:$F$1,0),FALSE)</f>
        <v>7</v>
      </c>
      <c r="F1909" t="str">
        <f>VLOOKUP($E1909,categories!$A$1:$B$8,MATCH(order_items!$F$1,categories!$A$1:$B$1,0),FALSE)</f>
        <v>Road Bikes</v>
      </c>
      <c r="G1909">
        <v>2</v>
      </c>
      <c r="H1909">
        <v>875.99</v>
      </c>
      <c r="I1909" s="5">
        <v>0.05</v>
      </c>
      <c r="J1909">
        <f t="shared" si="58"/>
        <v>1664.3809999999999</v>
      </c>
      <c r="K1909" s="9">
        <f t="shared" si="59"/>
        <v>-0.24893108020656629</v>
      </c>
    </row>
    <row r="1910" spans="1:11" x14ac:dyDescent="0.3">
      <c r="A1910">
        <v>678</v>
      </c>
      <c r="B1910">
        <v>2</v>
      </c>
      <c r="C1910">
        <v>37</v>
      </c>
      <c r="D1910" t="str">
        <f>VLOOKUP($C1910,products!$A$1:$F$322,MATCH(order_items!$D$1,products!$A$1:$F$1,0),FALSE)</f>
        <v>Haro Flightline One ST - 2017</v>
      </c>
      <c r="E1910">
        <f>VLOOKUP($C1910,products!$A$1:$F$322,MATCH(order_items!$E$1,products!$A$1:$F$1,0),FALSE)</f>
        <v>6</v>
      </c>
      <c r="F1910" t="str">
        <f>VLOOKUP($E1910,categories!$A$1:$B$8,MATCH(order_items!$F$1,categories!$A$1:$B$1,0),FALSE)</f>
        <v>Mountain Bikes</v>
      </c>
      <c r="G1910">
        <v>2</v>
      </c>
      <c r="H1910">
        <v>379.99</v>
      </c>
      <c r="I1910" s="5">
        <v>7.0000000000000007E-2</v>
      </c>
      <c r="J1910">
        <f t="shared" si="58"/>
        <v>706.78139999999996</v>
      </c>
      <c r="K1910" s="9">
        <f t="shared" si="59"/>
        <v>-0.61561733648409955</v>
      </c>
    </row>
    <row r="1911" spans="1:11" x14ac:dyDescent="0.3">
      <c r="A1911">
        <v>679</v>
      </c>
      <c r="B1911">
        <v>1</v>
      </c>
      <c r="C1911">
        <v>15</v>
      </c>
      <c r="D1911" t="str">
        <f>VLOOKUP($C1911,products!$A$1:$F$322,MATCH(order_items!$D$1,products!$A$1:$F$1,0),FALSE)</f>
        <v>Electra Moto 1 - 2016</v>
      </c>
      <c r="E1911">
        <f>VLOOKUP($C1911,products!$A$1:$F$322,MATCH(order_items!$E$1,products!$A$1:$F$1,0),FALSE)</f>
        <v>3</v>
      </c>
      <c r="F1911" t="str">
        <f>VLOOKUP($E1911,categories!$A$1:$B$8,MATCH(order_items!$F$1,categories!$A$1:$B$1,0),FALSE)</f>
        <v>Cruisers Bicycles</v>
      </c>
      <c r="G1911">
        <v>2</v>
      </c>
      <c r="H1911">
        <v>529.99</v>
      </c>
      <c r="I1911" s="5">
        <v>0.2</v>
      </c>
      <c r="J1911">
        <f t="shared" si="58"/>
        <v>847.98400000000004</v>
      </c>
      <c r="K1911" s="9">
        <f t="shared" si="59"/>
        <v>-0.50472431543242624</v>
      </c>
    </row>
    <row r="1912" spans="1:11" x14ac:dyDescent="0.3">
      <c r="A1912">
        <v>679</v>
      </c>
      <c r="B1912">
        <v>2</v>
      </c>
      <c r="C1912">
        <v>83</v>
      </c>
      <c r="D1912" t="str">
        <f>VLOOKUP($C1912,products!$A$1:$F$322,MATCH(order_items!$D$1,products!$A$1:$F$1,0),FALSE)</f>
        <v>Trek Boy's Kickster - 2015/2017</v>
      </c>
      <c r="E1912">
        <f>VLOOKUP($C1912,products!$A$1:$F$322,MATCH(order_items!$E$1,products!$A$1:$F$1,0),FALSE)</f>
        <v>1</v>
      </c>
      <c r="F1912" t="str">
        <f>VLOOKUP($E1912,categories!$A$1:$B$8,MATCH(order_items!$F$1,categories!$A$1:$B$1,0),FALSE)</f>
        <v>Children Bicycles</v>
      </c>
      <c r="G1912">
        <v>2</v>
      </c>
      <c r="H1912">
        <v>149.99</v>
      </c>
      <c r="I1912" s="5">
        <v>0.05</v>
      </c>
      <c r="J1912">
        <f t="shared" si="58"/>
        <v>284.98099999999999</v>
      </c>
      <c r="K1912" s="9">
        <f t="shared" si="59"/>
        <v>-0.7856533020966654</v>
      </c>
    </row>
    <row r="1913" spans="1:11" x14ac:dyDescent="0.3">
      <c r="A1913">
        <v>680</v>
      </c>
      <c r="B1913">
        <v>1</v>
      </c>
      <c r="C1913">
        <v>81</v>
      </c>
      <c r="D1913" t="str">
        <f>VLOOKUP($C1913,products!$A$1:$F$322,MATCH(order_items!$D$1,products!$A$1:$F$1,0),FALSE)</f>
        <v>Electra Amsterdam Fashion 7i Ladies' - 2017</v>
      </c>
      <c r="E1913">
        <f>VLOOKUP($C1913,products!$A$1:$F$322,MATCH(order_items!$E$1,products!$A$1:$F$1,0),FALSE)</f>
        <v>3</v>
      </c>
      <c r="F1913" t="str">
        <f>VLOOKUP($E1913,categories!$A$1:$B$8,MATCH(order_items!$F$1,categories!$A$1:$B$1,0),FALSE)</f>
        <v>Cruisers Bicycles</v>
      </c>
      <c r="G1913">
        <v>2</v>
      </c>
      <c r="H1913">
        <v>1099.99</v>
      </c>
      <c r="I1913" s="5">
        <v>0.05</v>
      </c>
      <c r="J1913">
        <f t="shared" si="58"/>
        <v>2089.9809999999998</v>
      </c>
      <c r="K1913" s="9">
        <f t="shared" si="59"/>
        <v>-8.3330835436067396E-2</v>
      </c>
    </row>
    <row r="1914" spans="1:11" x14ac:dyDescent="0.3">
      <c r="A1914">
        <v>680</v>
      </c>
      <c r="B1914">
        <v>2</v>
      </c>
      <c r="C1914">
        <v>7</v>
      </c>
      <c r="D1914" t="str">
        <f>VLOOKUP($C1914,products!$A$1:$F$322,MATCH(order_items!$D$1,products!$A$1:$F$1,0),FALSE)</f>
        <v>Trek Slash 8 27.5 - 2016</v>
      </c>
      <c r="E1914">
        <f>VLOOKUP($C1914,products!$A$1:$F$322,MATCH(order_items!$E$1,products!$A$1:$F$1,0),FALSE)</f>
        <v>6</v>
      </c>
      <c r="F1914" t="str">
        <f>VLOOKUP($E1914,categories!$A$1:$B$8,MATCH(order_items!$F$1,categories!$A$1:$B$1,0),FALSE)</f>
        <v>Mountain Bikes</v>
      </c>
      <c r="G1914">
        <v>1</v>
      </c>
      <c r="H1914">
        <v>3999.99</v>
      </c>
      <c r="I1914" s="5">
        <v>0.2</v>
      </c>
      <c r="J1914">
        <f t="shared" si="58"/>
        <v>3199.9920000000002</v>
      </c>
      <c r="K1914" s="9">
        <f t="shared" si="59"/>
        <v>2.0606009048962846</v>
      </c>
    </row>
    <row r="1915" spans="1:11" x14ac:dyDescent="0.3">
      <c r="A1915">
        <v>680</v>
      </c>
      <c r="B1915">
        <v>3</v>
      </c>
      <c r="C1915">
        <v>50</v>
      </c>
      <c r="D1915" t="str">
        <f>VLOOKUP($C1915,products!$A$1:$F$322,MATCH(order_items!$D$1,products!$A$1:$F$1,0),FALSE)</f>
        <v>Trek Silque SLR 7 Women's - 2017</v>
      </c>
      <c r="E1915">
        <f>VLOOKUP($C1915,products!$A$1:$F$322,MATCH(order_items!$E$1,products!$A$1:$F$1,0),FALSE)</f>
        <v>7</v>
      </c>
      <c r="F1915" t="str">
        <f>VLOOKUP($E1915,categories!$A$1:$B$8,MATCH(order_items!$F$1,categories!$A$1:$B$1,0),FALSE)</f>
        <v>Road Bikes</v>
      </c>
      <c r="G1915">
        <v>1</v>
      </c>
      <c r="H1915">
        <v>5999.99</v>
      </c>
      <c r="I1915" s="5">
        <v>7.0000000000000007E-2</v>
      </c>
      <c r="J1915">
        <f t="shared" si="58"/>
        <v>5579.9906999999994</v>
      </c>
      <c r="K1915" s="9">
        <f t="shared" si="59"/>
        <v>3.5391745189185961</v>
      </c>
    </row>
    <row r="1916" spans="1:11" x14ac:dyDescent="0.3">
      <c r="A1916">
        <v>681</v>
      </c>
      <c r="B1916">
        <v>1</v>
      </c>
      <c r="C1916">
        <v>82</v>
      </c>
      <c r="D1916" t="str">
        <f>VLOOKUP($C1916,products!$A$1:$F$322,MATCH(order_items!$D$1,products!$A$1:$F$1,0),FALSE)</f>
        <v>Electra Amsterdam Original 3i Ladies' - 2017</v>
      </c>
      <c r="E1916">
        <f>VLOOKUP($C1916,products!$A$1:$F$322,MATCH(order_items!$E$1,products!$A$1:$F$1,0),FALSE)</f>
        <v>3</v>
      </c>
      <c r="F1916" t="str">
        <f>VLOOKUP($E1916,categories!$A$1:$B$8,MATCH(order_items!$F$1,categories!$A$1:$B$1,0),FALSE)</f>
        <v>Cruisers Bicycles</v>
      </c>
      <c r="G1916">
        <v>1</v>
      </c>
      <c r="H1916">
        <v>659.99</v>
      </c>
      <c r="I1916" s="5">
        <v>0.05</v>
      </c>
      <c r="J1916">
        <f t="shared" si="58"/>
        <v>626.9905</v>
      </c>
      <c r="K1916" s="9">
        <f t="shared" si="59"/>
        <v>-0.40861703052097592</v>
      </c>
    </row>
    <row r="1917" spans="1:11" x14ac:dyDescent="0.3">
      <c r="A1917">
        <v>681</v>
      </c>
      <c r="B1917">
        <v>2</v>
      </c>
      <c r="C1917">
        <v>63</v>
      </c>
      <c r="D1917" t="str">
        <f>VLOOKUP($C1917,products!$A$1:$F$322,MATCH(order_items!$D$1,products!$A$1:$F$1,0),FALSE)</f>
        <v>Trek Boone Race Shop Limited - 2017</v>
      </c>
      <c r="E1917">
        <f>VLOOKUP($C1917,products!$A$1:$F$322,MATCH(order_items!$E$1,products!$A$1:$F$1,0),FALSE)</f>
        <v>4</v>
      </c>
      <c r="F1917" t="str">
        <f>VLOOKUP($E1917,categories!$A$1:$B$8,MATCH(order_items!$F$1,categories!$A$1:$B$1,0),FALSE)</f>
        <v>Cyclocross Bicycles</v>
      </c>
      <c r="G1917">
        <v>1</v>
      </c>
      <c r="H1917">
        <v>3499.99</v>
      </c>
      <c r="I1917" s="5">
        <v>7.0000000000000007E-2</v>
      </c>
      <c r="J1917">
        <f t="shared" si="58"/>
        <v>3254.9906999999994</v>
      </c>
      <c r="K1917" s="9">
        <f t="shared" si="59"/>
        <v>1.6909575013907066</v>
      </c>
    </row>
    <row r="1918" spans="1:11" x14ac:dyDescent="0.3">
      <c r="A1918">
        <v>681</v>
      </c>
      <c r="B1918">
        <v>3</v>
      </c>
      <c r="C1918">
        <v>61</v>
      </c>
      <c r="D1918" t="str">
        <f>VLOOKUP($C1918,products!$A$1:$F$322,MATCH(order_items!$D$1,products!$A$1:$F$1,0),FALSE)</f>
        <v>Trek Powerfly 8 FS Plus - 2017</v>
      </c>
      <c r="E1918">
        <f>VLOOKUP($C1918,products!$A$1:$F$322,MATCH(order_items!$E$1,products!$A$1:$F$1,0),FALSE)</f>
        <v>5</v>
      </c>
      <c r="F1918" t="str">
        <f>VLOOKUP($E1918,categories!$A$1:$B$8,MATCH(order_items!$F$1,categories!$A$1:$B$1,0),FALSE)</f>
        <v>Electric Bikes</v>
      </c>
      <c r="G1918">
        <v>1</v>
      </c>
      <c r="H1918">
        <v>4999.99</v>
      </c>
      <c r="I1918" s="5">
        <v>0.2</v>
      </c>
      <c r="J1918">
        <f t="shared" si="58"/>
        <v>3999.9920000000002</v>
      </c>
      <c r="K1918" s="9">
        <f t="shared" si="59"/>
        <v>2.7998877119074401</v>
      </c>
    </row>
    <row r="1919" spans="1:11" x14ac:dyDescent="0.3">
      <c r="A1919">
        <v>681</v>
      </c>
      <c r="B1919">
        <v>4</v>
      </c>
      <c r="C1919">
        <v>6</v>
      </c>
      <c r="D1919" t="str">
        <f>VLOOKUP($C1919,products!$A$1:$F$322,MATCH(order_items!$D$1,products!$A$1:$F$1,0),FALSE)</f>
        <v>Surly Ice Cream Truck Frameset - 2016</v>
      </c>
      <c r="E1919">
        <f>VLOOKUP($C1919,products!$A$1:$F$322,MATCH(order_items!$E$1,products!$A$1:$F$1,0),FALSE)</f>
        <v>6</v>
      </c>
      <c r="F1919" t="str">
        <f>VLOOKUP($E1919,categories!$A$1:$B$8,MATCH(order_items!$F$1,categories!$A$1:$B$1,0),FALSE)</f>
        <v>Mountain Bikes</v>
      </c>
      <c r="G1919">
        <v>2</v>
      </c>
      <c r="H1919">
        <v>469.99</v>
      </c>
      <c r="I1919" s="5">
        <v>0.05</v>
      </c>
      <c r="J1919">
        <f t="shared" si="58"/>
        <v>892.98099999999999</v>
      </c>
      <c r="K1919" s="9">
        <f t="shared" si="59"/>
        <v>-0.5490815238530955</v>
      </c>
    </row>
    <row r="1920" spans="1:11" x14ac:dyDescent="0.3">
      <c r="A1920">
        <v>681</v>
      </c>
      <c r="B1920">
        <v>5</v>
      </c>
      <c r="C1920">
        <v>30</v>
      </c>
      <c r="D1920" t="str">
        <f>VLOOKUP($C1920,products!$A$1:$F$322,MATCH(order_items!$D$1,products!$A$1:$F$1,0),FALSE)</f>
        <v>Surly Ice Cream Truck Frameset - 2017</v>
      </c>
      <c r="E1920">
        <f>VLOOKUP($C1920,products!$A$1:$F$322,MATCH(order_items!$E$1,products!$A$1:$F$1,0),FALSE)</f>
        <v>6</v>
      </c>
      <c r="F1920" t="str">
        <f>VLOOKUP($E1920,categories!$A$1:$B$8,MATCH(order_items!$F$1,categories!$A$1:$B$1,0),FALSE)</f>
        <v>Mountain Bikes</v>
      </c>
      <c r="G1920">
        <v>1</v>
      </c>
      <c r="H1920">
        <v>999.99</v>
      </c>
      <c r="I1920" s="5">
        <v>7.0000000000000007E-2</v>
      </c>
      <c r="J1920">
        <f t="shared" si="58"/>
        <v>929.99069999999995</v>
      </c>
      <c r="K1920" s="9">
        <f t="shared" si="59"/>
        <v>-0.15725951613718298</v>
      </c>
    </row>
    <row r="1921" spans="1:11" x14ac:dyDescent="0.3">
      <c r="A1921">
        <v>682</v>
      </c>
      <c r="B1921">
        <v>1</v>
      </c>
      <c r="C1921">
        <v>39</v>
      </c>
      <c r="D1921" t="str">
        <f>VLOOKUP($C1921,products!$A$1:$F$322,MATCH(order_items!$D$1,products!$A$1:$F$1,0),FALSE)</f>
        <v>Trek Stache 5 - 2017</v>
      </c>
      <c r="E1921">
        <f>VLOOKUP($C1921,products!$A$1:$F$322,MATCH(order_items!$E$1,products!$A$1:$F$1,0),FALSE)</f>
        <v>6</v>
      </c>
      <c r="F1921" t="str">
        <f>VLOOKUP($E1921,categories!$A$1:$B$8,MATCH(order_items!$F$1,categories!$A$1:$B$1,0),FALSE)</f>
        <v>Mountain Bikes</v>
      </c>
      <c r="G1921">
        <v>1</v>
      </c>
      <c r="H1921">
        <v>1499.99</v>
      </c>
      <c r="I1921" s="5">
        <v>0.2</v>
      </c>
      <c r="J1921">
        <f t="shared" si="58"/>
        <v>1199.992</v>
      </c>
      <c r="K1921" s="9">
        <f t="shared" si="59"/>
        <v>0.21238388736839492</v>
      </c>
    </row>
    <row r="1922" spans="1:11" x14ac:dyDescent="0.3">
      <c r="A1922">
        <v>682</v>
      </c>
      <c r="B1922">
        <v>2</v>
      </c>
      <c r="C1922">
        <v>60</v>
      </c>
      <c r="D1922" t="str">
        <f>VLOOKUP($C1922,products!$A$1:$F$322,MATCH(order_items!$D$1,products!$A$1:$F$1,0),FALSE)</f>
        <v>Sun Bicycles ElectroLite - 2017</v>
      </c>
      <c r="E1922">
        <f>VLOOKUP($C1922,products!$A$1:$F$322,MATCH(order_items!$E$1,products!$A$1:$F$1,0),FALSE)</f>
        <v>5</v>
      </c>
      <c r="F1922" t="str">
        <f>VLOOKUP($E1922,categories!$A$1:$B$8,MATCH(order_items!$F$1,categories!$A$1:$B$1,0),FALSE)</f>
        <v>Electric Bikes</v>
      </c>
      <c r="G1922">
        <v>2</v>
      </c>
      <c r="H1922">
        <v>1559.99</v>
      </c>
      <c r="I1922" s="5">
        <v>0.2</v>
      </c>
      <c r="J1922">
        <f t="shared" ref="J1922:J1985" si="60">G1922*H1922*(1-I1922)</f>
        <v>2495.9840000000004</v>
      </c>
      <c r="K1922" s="9">
        <f t="shared" ref="K1922:K1985" si="61">($H1922-$M$7)/$M$9</f>
        <v>0.25674109578906423</v>
      </c>
    </row>
    <row r="1923" spans="1:11" x14ac:dyDescent="0.3">
      <c r="A1923">
        <v>682</v>
      </c>
      <c r="B1923">
        <v>3</v>
      </c>
      <c r="C1923">
        <v>99</v>
      </c>
      <c r="D1923" t="str">
        <f>VLOOKUP($C1923,products!$A$1:$F$322,MATCH(order_items!$D$1,products!$A$1:$F$1,0),FALSE)</f>
        <v>Electra Sugar Skulls 1 (20-inch) - Girl's - 2017</v>
      </c>
      <c r="E1923">
        <f>VLOOKUP($C1923,products!$A$1:$F$322,MATCH(order_items!$E$1,products!$A$1:$F$1,0),FALSE)</f>
        <v>1</v>
      </c>
      <c r="F1923" t="str">
        <f>VLOOKUP($E1923,categories!$A$1:$B$8,MATCH(order_items!$F$1,categories!$A$1:$B$1,0),FALSE)</f>
        <v>Children Bicycles</v>
      </c>
      <c r="G1923">
        <v>1</v>
      </c>
      <c r="H1923">
        <v>299.99</v>
      </c>
      <c r="I1923" s="5">
        <v>0.2</v>
      </c>
      <c r="J1923">
        <f t="shared" si="60"/>
        <v>239.99200000000002</v>
      </c>
      <c r="K1923" s="9">
        <f t="shared" si="61"/>
        <v>-0.67476028104499197</v>
      </c>
    </row>
    <row r="1924" spans="1:11" x14ac:dyDescent="0.3">
      <c r="A1924">
        <v>683</v>
      </c>
      <c r="B1924">
        <v>1</v>
      </c>
      <c r="C1924">
        <v>2</v>
      </c>
      <c r="D1924" t="str">
        <f>VLOOKUP($C1924,products!$A$1:$F$322,MATCH(order_items!$D$1,products!$A$1:$F$1,0),FALSE)</f>
        <v>Ritchey Timberwolf Frameset - 2016</v>
      </c>
      <c r="E1924">
        <f>VLOOKUP($C1924,products!$A$1:$F$322,MATCH(order_items!$E$1,products!$A$1:$F$1,0),FALSE)</f>
        <v>6</v>
      </c>
      <c r="F1924" t="str">
        <f>VLOOKUP($E1924,categories!$A$1:$B$8,MATCH(order_items!$F$1,categories!$A$1:$B$1,0),FALSE)</f>
        <v>Mountain Bikes</v>
      </c>
      <c r="G1924">
        <v>2</v>
      </c>
      <c r="H1924">
        <v>749.99</v>
      </c>
      <c r="I1924" s="5">
        <v>0.1</v>
      </c>
      <c r="J1924">
        <f t="shared" si="60"/>
        <v>1349.982</v>
      </c>
      <c r="K1924" s="9">
        <f t="shared" si="61"/>
        <v>-0.34208121788997192</v>
      </c>
    </row>
    <row r="1925" spans="1:11" x14ac:dyDescent="0.3">
      <c r="A1925">
        <v>684</v>
      </c>
      <c r="B1925">
        <v>1</v>
      </c>
      <c r="C1925">
        <v>56</v>
      </c>
      <c r="D1925" t="str">
        <f>VLOOKUP($C1925,products!$A$1:$F$322,MATCH(order_items!$D$1,products!$A$1:$F$1,0),FALSE)</f>
        <v>Trek Domane SLR 6 Disc - 2017</v>
      </c>
      <c r="E1925">
        <f>VLOOKUP($C1925,products!$A$1:$F$322,MATCH(order_items!$E$1,products!$A$1:$F$1,0),FALSE)</f>
        <v>7</v>
      </c>
      <c r="F1925" t="str">
        <f>VLOOKUP($E1925,categories!$A$1:$B$8,MATCH(order_items!$F$1,categories!$A$1:$B$1,0),FALSE)</f>
        <v>Road Bikes</v>
      </c>
      <c r="G1925">
        <v>1</v>
      </c>
      <c r="H1925">
        <v>5499.99</v>
      </c>
      <c r="I1925" s="5">
        <v>7.0000000000000007E-2</v>
      </c>
      <c r="J1925">
        <f t="shared" si="60"/>
        <v>5114.9906999999994</v>
      </c>
      <c r="K1925" s="9">
        <f t="shared" si="61"/>
        <v>3.1695311154130179</v>
      </c>
    </row>
    <row r="1926" spans="1:11" x14ac:dyDescent="0.3">
      <c r="A1926">
        <v>684</v>
      </c>
      <c r="B1926">
        <v>2</v>
      </c>
      <c r="C1926">
        <v>33</v>
      </c>
      <c r="D1926" t="str">
        <f>VLOOKUP($C1926,products!$A$1:$F$322,MATCH(order_items!$D$1,products!$A$1:$F$1,0),FALSE)</f>
        <v>Surly Wednesday Frameset - 2017</v>
      </c>
      <c r="E1926">
        <f>VLOOKUP($C1926,products!$A$1:$F$322,MATCH(order_items!$E$1,products!$A$1:$F$1,0),FALSE)</f>
        <v>6</v>
      </c>
      <c r="F1926" t="str">
        <f>VLOOKUP($E1926,categories!$A$1:$B$8,MATCH(order_items!$F$1,categories!$A$1:$B$1,0),FALSE)</f>
        <v>Mountain Bikes</v>
      </c>
      <c r="G1926">
        <v>1</v>
      </c>
      <c r="H1926">
        <v>469.99</v>
      </c>
      <c r="I1926" s="5">
        <v>0.1</v>
      </c>
      <c r="J1926">
        <f t="shared" si="60"/>
        <v>422.99100000000004</v>
      </c>
      <c r="K1926" s="9">
        <f t="shared" si="61"/>
        <v>-0.5490815238530955</v>
      </c>
    </row>
    <row r="1927" spans="1:11" x14ac:dyDescent="0.3">
      <c r="A1927">
        <v>685</v>
      </c>
      <c r="B1927">
        <v>1</v>
      </c>
      <c r="C1927">
        <v>59</v>
      </c>
      <c r="D1927" t="str">
        <f>VLOOKUP($C1927,products!$A$1:$F$322,MATCH(order_items!$D$1,products!$A$1:$F$1,0),FALSE)</f>
        <v>Trek Domane S 5 Disc - 2017</v>
      </c>
      <c r="E1927">
        <f>VLOOKUP($C1927,products!$A$1:$F$322,MATCH(order_items!$E$1,products!$A$1:$F$1,0),FALSE)</f>
        <v>7</v>
      </c>
      <c r="F1927" t="str">
        <f>VLOOKUP($E1927,categories!$A$1:$B$8,MATCH(order_items!$F$1,categories!$A$1:$B$1,0),FALSE)</f>
        <v>Road Bikes</v>
      </c>
      <c r="G1927">
        <v>1</v>
      </c>
      <c r="H1927">
        <v>2599.9899999999998</v>
      </c>
      <c r="I1927" s="5">
        <v>0.05</v>
      </c>
      <c r="J1927">
        <f t="shared" si="60"/>
        <v>2469.9904999999999</v>
      </c>
      <c r="K1927" s="9">
        <f t="shared" si="61"/>
        <v>1.025599375080666</v>
      </c>
    </row>
    <row r="1928" spans="1:11" x14ac:dyDescent="0.3">
      <c r="A1928">
        <v>685</v>
      </c>
      <c r="B1928">
        <v>2</v>
      </c>
      <c r="C1928">
        <v>48</v>
      </c>
      <c r="D1928" t="str">
        <f>VLOOKUP($C1928,products!$A$1:$F$322,MATCH(order_items!$D$1,products!$A$1:$F$1,0),FALSE)</f>
        <v>Trek Emonda S 4 - 2017</v>
      </c>
      <c r="E1928">
        <f>VLOOKUP($C1928,products!$A$1:$F$322,MATCH(order_items!$E$1,products!$A$1:$F$1,0),FALSE)</f>
        <v>7</v>
      </c>
      <c r="F1928" t="str">
        <f>VLOOKUP($E1928,categories!$A$1:$B$8,MATCH(order_items!$F$1,categories!$A$1:$B$1,0),FALSE)</f>
        <v>Road Bikes</v>
      </c>
      <c r="G1928">
        <v>2</v>
      </c>
      <c r="H1928">
        <v>1499.99</v>
      </c>
      <c r="I1928" s="5">
        <v>0.05</v>
      </c>
      <c r="J1928">
        <f t="shared" si="60"/>
        <v>2849.9809999999998</v>
      </c>
      <c r="K1928" s="9">
        <f t="shared" si="61"/>
        <v>0.21238388736839492</v>
      </c>
    </row>
    <row r="1929" spans="1:11" x14ac:dyDescent="0.3">
      <c r="A1929">
        <v>685</v>
      </c>
      <c r="B1929">
        <v>3</v>
      </c>
      <c r="C1929">
        <v>107</v>
      </c>
      <c r="D1929" t="str">
        <f>VLOOKUP($C1929,products!$A$1:$F$322,MATCH(order_items!$D$1,products!$A$1:$F$1,0),FALSE)</f>
        <v>Sun Bicycles Cruz 7 - 2017</v>
      </c>
      <c r="E1929">
        <f>VLOOKUP($C1929,products!$A$1:$F$322,MATCH(order_items!$E$1,products!$A$1:$F$1,0),FALSE)</f>
        <v>2</v>
      </c>
      <c r="F1929" t="str">
        <f>VLOOKUP($E1929,categories!$A$1:$B$8,MATCH(order_items!$F$1,categories!$A$1:$B$1,0),FALSE)</f>
        <v>Comfort Bicycles</v>
      </c>
      <c r="G1929">
        <v>1</v>
      </c>
      <c r="H1929">
        <v>416.99</v>
      </c>
      <c r="I1929" s="5">
        <v>0.05</v>
      </c>
      <c r="J1929">
        <f t="shared" si="60"/>
        <v>396.14049999999997</v>
      </c>
      <c r="K1929" s="9">
        <f t="shared" si="61"/>
        <v>-0.58826372462468679</v>
      </c>
    </row>
    <row r="1930" spans="1:11" x14ac:dyDescent="0.3">
      <c r="A1930">
        <v>685</v>
      </c>
      <c r="B1930">
        <v>4</v>
      </c>
      <c r="C1930">
        <v>98</v>
      </c>
      <c r="D1930" t="str">
        <f>VLOOKUP($C1930,products!$A$1:$F$322,MATCH(order_items!$D$1,products!$A$1:$F$1,0),FALSE)</f>
        <v>Electra Straight 8 3i (20-inch) - Boy's - 2017</v>
      </c>
      <c r="E1930">
        <f>VLOOKUP($C1930,products!$A$1:$F$322,MATCH(order_items!$E$1,products!$A$1:$F$1,0),FALSE)</f>
        <v>1</v>
      </c>
      <c r="F1930" t="str">
        <f>VLOOKUP($E1930,categories!$A$1:$B$8,MATCH(order_items!$F$1,categories!$A$1:$B$1,0),FALSE)</f>
        <v>Children Bicycles</v>
      </c>
      <c r="G1930">
        <v>2</v>
      </c>
      <c r="H1930">
        <v>489.99</v>
      </c>
      <c r="I1930" s="5">
        <v>0.2</v>
      </c>
      <c r="J1930">
        <f t="shared" si="60"/>
        <v>783.98400000000004</v>
      </c>
      <c r="K1930" s="9">
        <f t="shared" si="61"/>
        <v>-0.53429578771287245</v>
      </c>
    </row>
    <row r="1931" spans="1:11" x14ac:dyDescent="0.3">
      <c r="A1931">
        <v>685</v>
      </c>
      <c r="B1931">
        <v>5</v>
      </c>
      <c r="C1931">
        <v>56</v>
      </c>
      <c r="D1931" t="str">
        <f>VLOOKUP($C1931,products!$A$1:$F$322,MATCH(order_items!$D$1,products!$A$1:$F$1,0),FALSE)</f>
        <v>Trek Domane SLR 6 Disc - 2017</v>
      </c>
      <c r="E1931">
        <f>VLOOKUP($C1931,products!$A$1:$F$322,MATCH(order_items!$E$1,products!$A$1:$F$1,0),FALSE)</f>
        <v>7</v>
      </c>
      <c r="F1931" t="str">
        <f>VLOOKUP($E1931,categories!$A$1:$B$8,MATCH(order_items!$F$1,categories!$A$1:$B$1,0),FALSE)</f>
        <v>Road Bikes</v>
      </c>
      <c r="G1931">
        <v>2</v>
      </c>
      <c r="H1931">
        <v>5499.99</v>
      </c>
      <c r="I1931" s="5">
        <v>0.05</v>
      </c>
      <c r="J1931">
        <f t="shared" si="60"/>
        <v>10449.981</v>
      </c>
      <c r="K1931" s="9">
        <f t="shared" si="61"/>
        <v>3.1695311154130179</v>
      </c>
    </row>
    <row r="1932" spans="1:11" x14ac:dyDescent="0.3">
      <c r="A1932">
        <v>686</v>
      </c>
      <c r="B1932">
        <v>1</v>
      </c>
      <c r="C1932">
        <v>16</v>
      </c>
      <c r="D1932" t="str">
        <f>VLOOKUP($C1932,products!$A$1:$F$322,MATCH(order_items!$D$1,products!$A$1:$F$1,0),FALSE)</f>
        <v>Electra Townie Original 7D EQ - 2016</v>
      </c>
      <c r="E1932">
        <f>VLOOKUP($C1932,products!$A$1:$F$322,MATCH(order_items!$E$1,products!$A$1:$F$1,0),FALSE)</f>
        <v>3</v>
      </c>
      <c r="F1932" t="str">
        <f>VLOOKUP($E1932,categories!$A$1:$B$8,MATCH(order_items!$F$1,categories!$A$1:$B$1,0),FALSE)</f>
        <v>Cruisers Bicycles</v>
      </c>
      <c r="G1932">
        <v>1</v>
      </c>
      <c r="H1932">
        <v>599.99</v>
      </c>
      <c r="I1932" s="5">
        <v>0.2</v>
      </c>
      <c r="J1932">
        <f t="shared" si="60"/>
        <v>479.99200000000002</v>
      </c>
      <c r="K1932" s="9">
        <f t="shared" si="61"/>
        <v>-0.45297423894164529</v>
      </c>
    </row>
    <row r="1933" spans="1:11" x14ac:dyDescent="0.3">
      <c r="A1933">
        <v>686</v>
      </c>
      <c r="B1933">
        <v>2</v>
      </c>
      <c r="C1933">
        <v>30</v>
      </c>
      <c r="D1933" t="str">
        <f>VLOOKUP($C1933,products!$A$1:$F$322,MATCH(order_items!$D$1,products!$A$1:$F$1,0),FALSE)</f>
        <v>Surly Ice Cream Truck Frameset - 2017</v>
      </c>
      <c r="E1933">
        <f>VLOOKUP($C1933,products!$A$1:$F$322,MATCH(order_items!$E$1,products!$A$1:$F$1,0),FALSE)</f>
        <v>6</v>
      </c>
      <c r="F1933" t="str">
        <f>VLOOKUP($E1933,categories!$A$1:$B$8,MATCH(order_items!$F$1,categories!$A$1:$B$1,0),FALSE)</f>
        <v>Mountain Bikes</v>
      </c>
      <c r="G1933">
        <v>1</v>
      </c>
      <c r="H1933">
        <v>999.99</v>
      </c>
      <c r="I1933" s="5">
        <v>0.1</v>
      </c>
      <c r="J1933">
        <f t="shared" si="60"/>
        <v>899.99099999999999</v>
      </c>
      <c r="K1933" s="9">
        <f t="shared" si="61"/>
        <v>-0.15725951613718298</v>
      </c>
    </row>
    <row r="1934" spans="1:11" x14ac:dyDescent="0.3">
      <c r="A1934">
        <v>686</v>
      </c>
      <c r="B1934">
        <v>3</v>
      </c>
      <c r="C1934">
        <v>88</v>
      </c>
      <c r="D1934" t="str">
        <f>VLOOKUP($C1934,products!$A$1:$F$322,MATCH(order_items!$D$1,products!$A$1:$F$1,0),FALSE)</f>
        <v>Trek Precaliber 12 Girls - 2017</v>
      </c>
      <c r="E1934">
        <f>VLOOKUP($C1934,products!$A$1:$F$322,MATCH(order_items!$E$1,products!$A$1:$F$1,0),FALSE)</f>
        <v>1</v>
      </c>
      <c r="F1934" t="str">
        <f>VLOOKUP($E1934,categories!$A$1:$B$8,MATCH(order_items!$F$1,categories!$A$1:$B$1,0),FALSE)</f>
        <v>Children Bicycles</v>
      </c>
      <c r="G1934">
        <v>2</v>
      </c>
      <c r="H1934">
        <v>189.99</v>
      </c>
      <c r="I1934" s="5">
        <v>0.2</v>
      </c>
      <c r="J1934">
        <f t="shared" si="60"/>
        <v>303.98400000000004</v>
      </c>
      <c r="K1934" s="9">
        <f t="shared" si="61"/>
        <v>-0.75608182981621919</v>
      </c>
    </row>
    <row r="1935" spans="1:11" x14ac:dyDescent="0.3">
      <c r="A1935">
        <v>686</v>
      </c>
      <c r="B1935">
        <v>4</v>
      </c>
      <c r="C1935">
        <v>19</v>
      </c>
      <c r="D1935" t="str">
        <f>VLOOKUP($C1935,products!$A$1:$F$322,MATCH(order_items!$D$1,products!$A$1:$F$1,0),FALSE)</f>
        <v>Pure Cycles William 3-Speed - 2016</v>
      </c>
      <c r="E1935">
        <f>VLOOKUP($C1935,products!$A$1:$F$322,MATCH(order_items!$E$1,products!$A$1:$F$1,0),FALSE)</f>
        <v>3</v>
      </c>
      <c r="F1935" t="str">
        <f>VLOOKUP($E1935,categories!$A$1:$B$8,MATCH(order_items!$F$1,categories!$A$1:$B$1,0),FALSE)</f>
        <v>Cruisers Bicycles</v>
      </c>
      <c r="G1935">
        <v>2</v>
      </c>
      <c r="H1935">
        <v>449</v>
      </c>
      <c r="I1935" s="5">
        <v>0.2</v>
      </c>
      <c r="J1935">
        <f t="shared" si="60"/>
        <v>718.40000000000009</v>
      </c>
      <c r="K1935" s="9">
        <f t="shared" si="61"/>
        <v>-0.56459915393225968</v>
      </c>
    </row>
    <row r="1936" spans="1:11" x14ac:dyDescent="0.3">
      <c r="A1936">
        <v>686</v>
      </c>
      <c r="B1936">
        <v>5</v>
      </c>
      <c r="C1936">
        <v>104</v>
      </c>
      <c r="D1936" t="str">
        <f>VLOOKUP($C1936,products!$A$1:$F$322,MATCH(order_items!$D$1,products!$A$1:$F$1,0),FALSE)</f>
        <v>Sun Bicycles Streamway - 2017</v>
      </c>
      <c r="E1936">
        <f>VLOOKUP($C1936,products!$A$1:$F$322,MATCH(order_items!$E$1,products!$A$1:$F$1,0),FALSE)</f>
        <v>2</v>
      </c>
      <c r="F1936" t="str">
        <f>VLOOKUP($E1936,categories!$A$1:$B$8,MATCH(order_items!$F$1,categories!$A$1:$B$1,0),FALSE)</f>
        <v>Comfort Bicycles</v>
      </c>
      <c r="G1936">
        <v>1</v>
      </c>
      <c r="H1936">
        <v>481.99</v>
      </c>
      <c r="I1936" s="5">
        <v>0.2</v>
      </c>
      <c r="J1936">
        <f t="shared" si="60"/>
        <v>385.59200000000004</v>
      </c>
      <c r="K1936" s="9">
        <f t="shared" si="61"/>
        <v>-0.54021008216896171</v>
      </c>
    </row>
    <row r="1937" spans="1:11" x14ac:dyDescent="0.3">
      <c r="A1937">
        <v>687</v>
      </c>
      <c r="B1937">
        <v>1</v>
      </c>
      <c r="C1937">
        <v>48</v>
      </c>
      <c r="D1937" t="str">
        <f>VLOOKUP($C1937,products!$A$1:$F$322,MATCH(order_items!$D$1,products!$A$1:$F$1,0),FALSE)</f>
        <v>Trek Emonda S 4 - 2017</v>
      </c>
      <c r="E1937">
        <f>VLOOKUP($C1937,products!$A$1:$F$322,MATCH(order_items!$E$1,products!$A$1:$F$1,0),FALSE)</f>
        <v>7</v>
      </c>
      <c r="F1937" t="str">
        <f>VLOOKUP($E1937,categories!$A$1:$B$8,MATCH(order_items!$F$1,categories!$A$1:$B$1,0),FALSE)</f>
        <v>Road Bikes</v>
      </c>
      <c r="G1937">
        <v>2</v>
      </c>
      <c r="H1937">
        <v>1499.99</v>
      </c>
      <c r="I1937" s="5">
        <v>0.05</v>
      </c>
      <c r="J1937">
        <f t="shared" si="60"/>
        <v>2849.9809999999998</v>
      </c>
      <c r="K1937" s="9">
        <f t="shared" si="61"/>
        <v>0.21238388736839492</v>
      </c>
    </row>
    <row r="1938" spans="1:11" x14ac:dyDescent="0.3">
      <c r="A1938">
        <v>687</v>
      </c>
      <c r="B1938">
        <v>2</v>
      </c>
      <c r="C1938">
        <v>95</v>
      </c>
      <c r="D1938" t="str">
        <f>VLOOKUP($C1938,products!$A$1:$F$322,MATCH(order_items!$D$1,products!$A$1:$F$1,0),FALSE)</f>
        <v>Electra Girl's Hawaii 1 16" - 2017</v>
      </c>
      <c r="E1938">
        <f>VLOOKUP($C1938,products!$A$1:$F$322,MATCH(order_items!$E$1,products!$A$1:$F$1,0),FALSE)</f>
        <v>1</v>
      </c>
      <c r="F1938" t="str">
        <f>VLOOKUP($E1938,categories!$A$1:$B$8,MATCH(order_items!$F$1,categories!$A$1:$B$1,0),FALSE)</f>
        <v>Children Bicycles</v>
      </c>
      <c r="G1938">
        <v>1</v>
      </c>
      <c r="H1938">
        <v>299.99</v>
      </c>
      <c r="I1938" s="5">
        <v>7.0000000000000007E-2</v>
      </c>
      <c r="J1938">
        <f t="shared" si="60"/>
        <v>278.9907</v>
      </c>
      <c r="K1938" s="9">
        <f t="shared" si="61"/>
        <v>-0.67476028104499197</v>
      </c>
    </row>
    <row r="1939" spans="1:11" x14ac:dyDescent="0.3">
      <c r="A1939">
        <v>687</v>
      </c>
      <c r="B1939">
        <v>3</v>
      </c>
      <c r="C1939">
        <v>5</v>
      </c>
      <c r="D1939" t="str">
        <f>VLOOKUP($C1939,products!$A$1:$F$322,MATCH(order_items!$D$1,products!$A$1:$F$1,0),FALSE)</f>
        <v>Heller Shagamaw Frame - 2016</v>
      </c>
      <c r="E1939">
        <f>VLOOKUP($C1939,products!$A$1:$F$322,MATCH(order_items!$E$1,products!$A$1:$F$1,0),FALSE)</f>
        <v>6</v>
      </c>
      <c r="F1939" t="str">
        <f>VLOOKUP($E1939,categories!$A$1:$B$8,MATCH(order_items!$F$1,categories!$A$1:$B$1,0),FALSE)</f>
        <v>Mountain Bikes</v>
      </c>
      <c r="G1939">
        <v>2</v>
      </c>
      <c r="H1939">
        <v>1320.99</v>
      </c>
      <c r="I1939" s="5">
        <v>0.2</v>
      </c>
      <c r="J1939">
        <f t="shared" si="60"/>
        <v>2113.5840000000003</v>
      </c>
      <c r="K1939" s="9">
        <f t="shared" si="61"/>
        <v>8.0051548913398024E-2</v>
      </c>
    </row>
    <row r="1940" spans="1:11" x14ac:dyDescent="0.3">
      <c r="A1940">
        <v>687</v>
      </c>
      <c r="B1940">
        <v>4</v>
      </c>
      <c r="C1940">
        <v>83</v>
      </c>
      <c r="D1940" t="str">
        <f>VLOOKUP($C1940,products!$A$1:$F$322,MATCH(order_items!$D$1,products!$A$1:$F$1,0),FALSE)</f>
        <v>Trek Boy's Kickster - 2015/2017</v>
      </c>
      <c r="E1940">
        <f>VLOOKUP($C1940,products!$A$1:$F$322,MATCH(order_items!$E$1,products!$A$1:$F$1,0),FALSE)</f>
        <v>1</v>
      </c>
      <c r="F1940" t="str">
        <f>VLOOKUP($E1940,categories!$A$1:$B$8,MATCH(order_items!$F$1,categories!$A$1:$B$1,0),FALSE)</f>
        <v>Children Bicycles</v>
      </c>
      <c r="G1940">
        <v>1</v>
      </c>
      <c r="H1940">
        <v>149.99</v>
      </c>
      <c r="I1940" s="5">
        <v>7.0000000000000007E-2</v>
      </c>
      <c r="J1940">
        <f t="shared" si="60"/>
        <v>139.4907</v>
      </c>
      <c r="K1940" s="9">
        <f t="shared" si="61"/>
        <v>-0.7856533020966654</v>
      </c>
    </row>
    <row r="1941" spans="1:11" x14ac:dyDescent="0.3">
      <c r="A1941">
        <v>688</v>
      </c>
      <c r="B1941">
        <v>1</v>
      </c>
      <c r="C1941">
        <v>8</v>
      </c>
      <c r="D1941" t="str">
        <f>VLOOKUP($C1941,products!$A$1:$F$322,MATCH(order_items!$D$1,products!$A$1:$F$1,0),FALSE)</f>
        <v>Trek Remedy 29 Carbon Frameset - 2016</v>
      </c>
      <c r="E1941">
        <f>VLOOKUP($C1941,products!$A$1:$F$322,MATCH(order_items!$E$1,products!$A$1:$F$1,0),FALSE)</f>
        <v>6</v>
      </c>
      <c r="F1941" t="str">
        <f>VLOOKUP($E1941,categories!$A$1:$B$8,MATCH(order_items!$F$1,categories!$A$1:$B$1,0),FALSE)</f>
        <v>Mountain Bikes</v>
      </c>
      <c r="G1941">
        <v>1</v>
      </c>
      <c r="H1941">
        <v>1799.99</v>
      </c>
      <c r="I1941" s="5">
        <v>0.1</v>
      </c>
      <c r="J1941">
        <f t="shared" si="60"/>
        <v>1619.991</v>
      </c>
      <c r="K1941" s="9">
        <f t="shared" si="61"/>
        <v>0.43416992947174166</v>
      </c>
    </row>
    <row r="1942" spans="1:11" x14ac:dyDescent="0.3">
      <c r="A1942">
        <v>688</v>
      </c>
      <c r="B1942">
        <v>2</v>
      </c>
      <c r="C1942">
        <v>88</v>
      </c>
      <c r="D1942" t="str">
        <f>VLOOKUP($C1942,products!$A$1:$F$322,MATCH(order_items!$D$1,products!$A$1:$F$1,0),FALSE)</f>
        <v>Trek Precaliber 12 Girls - 2017</v>
      </c>
      <c r="E1942">
        <f>VLOOKUP($C1942,products!$A$1:$F$322,MATCH(order_items!$E$1,products!$A$1:$F$1,0),FALSE)</f>
        <v>1</v>
      </c>
      <c r="F1942" t="str">
        <f>VLOOKUP($E1942,categories!$A$1:$B$8,MATCH(order_items!$F$1,categories!$A$1:$B$1,0),FALSE)</f>
        <v>Children Bicycles</v>
      </c>
      <c r="G1942">
        <v>1</v>
      </c>
      <c r="H1942">
        <v>189.99</v>
      </c>
      <c r="I1942" s="5">
        <v>0.05</v>
      </c>
      <c r="J1942">
        <f t="shared" si="60"/>
        <v>180.4905</v>
      </c>
      <c r="K1942" s="9">
        <f t="shared" si="61"/>
        <v>-0.75608182981621919</v>
      </c>
    </row>
    <row r="1943" spans="1:11" x14ac:dyDescent="0.3">
      <c r="A1943">
        <v>689</v>
      </c>
      <c r="B1943">
        <v>1</v>
      </c>
      <c r="C1943">
        <v>33</v>
      </c>
      <c r="D1943" t="str">
        <f>VLOOKUP($C1943,products!$A$1:$F$322,MATCH(order_items!$D$1,products!$A$1:$F$1,0),FALSE)</f>
        <v>Surly Wednesday Frameset - 2017</v>
      </c>
      <c r="E1943">
        <f>VLOOKUP($C1943,products!$A$1:$F$322,MATCH(order_items!$E$1,products!$A$1:$F$1,0),FALSE)</f>
        <v>6</v>
      </c>
      <c r="F1943" t="str">
        <f>VLOOKUP($E1943,categories!$A$1:$B$8,MATCH(order_items!$F$1,categories!$A$1:$B$1,0),FALSE)</f>
        <v>Mountain Bikes</v>
      </c>
      <c r="G1943">
        <v>2</v>
      </c>
      <c r="H1943">
        <v>469.99</v>
      </c>
      <c r="I1943" s="5">
        <v>0.1</v>
      </c>
      <c r="J1943">
        <f t="shared" si="60"/>
        <v>845.98200000000008</v>
      </c>
      <c r="K1943" s="9">
        <f t="shared" si="61"/>
        <v>-0.5490815238530955</v>
      </c>
    </row>
    <row r="1944" spans="1:11" x14ac:dyDescent="0.3">
      <c r="A1944">
        <v>690</v>
      </c>
      <c r="B1944">
        <v>1</v>
      </c>
      <c r="C1944">
        <v>84</v>
      </c>
      <c r="D1944" t="str">
        <f>VLOOKUP($C1944,products!$A$1:$F$322,MATCH(order_items!$D$1,products!$A$1:$F$1,0),FALSE)</f>
        <v>Sun Bicycles Lil Kitt'n - 2017</v>
      </c>
      <c r="E1944">
        <f>VLOOKUP($C1944,products!$A$1:$F$322,MATCH(order_items!$E$1,products!$A$1:$F$1,0),FALSE)</f>
        <v>1</v>
      </c>
      <c r="F1944" t="str">
        <f>VLOOKUP($E1944,categories!$A$1:$B$8,MATCH(order_items!$F$1,categories!$A$1:$B$1,0),FALSE)</f>
        <v>Children Bicycles</v>
      </c>
      <c r="G1944">
        <v>1</v>
      </c>
      <c r="H1944">
        <v>109.99</v>
      </c>
      <c r="I1944" s="5">
        <v>0.2</v>
      </c>
      <c r="J1944">
        <f t="shared" si="60"/>
        <v>87.992000000000004</v>
      </c>
      <c r="K1944" s="9">
        <f t="shared" si="61"/>
        <v>-0.81522477437711161</v>
      </c>
    </row>
    <row r="1945" spans="1:11" x14ac:dyDescent="0.3">
      <c r="A1945">
        <v>690</v>
      </c>
      <c r="B1945">
        <v>2</v>
      </c>
      <c r="C1945">
        <v>11</v>
      </c>
      <c r="D1945" t="str">
        <f>VLOOKUP($C1945,products!$A$1:$F$322,MATCH(order_items!$D$1,products!$A$1:$F$1,0),FALSE)</f>
        <v>Surly Straggler 650b - 2016</v>
      </c>
      <c r="E1945">
        <f>VLOOKUP($C1945,products!$A$1:$F$322,MATCH(order_items!$E$1,products!$A$1:$F$1,0),FALSE)</f>
        <v>4</v>
      </c>
      <c r="F1945" t="str">
        <f>VLOOKUP($E1945,categories!$A$1:$B$8,MATCH(order_items!$F$1,categories!$A$1:$B$1,0),FALSE)</f>
        <v>Cyclocross Bicycles</v>
      </c>
      <c r="G1945">
        <v>2</v>
      </c>
      <c r="H1945">
        <v>1680.99</v>
      </c>
      <c r="I1945" s="5">
        <v>7.0000000000000007E-2</v>
      </c>
      <c r="J1945">
        <f t="shared" si="60"/>
        <v>3126.6414</v>
      </c>
      <c r="K1945" s="9">
        <f t="shared" si="61"/>
        <v>0.3461947994374141</v>
      </c>
    </row>
    <row r="1946" spans="1:11" x14ac:dyDescent="0.3">
      <c r="A1946">
        <v>690</v>
      </c>
      <c r="B1946">
        <v>3</v>
      </c>
      <c r="C1946">
        <v>85</v>
      </c>
      <c r="D1946" t="str">
        <f>VLOOKUP($C1946,products!$A$1:$F$322,MATCH(order_items!$D$1,products!$A$1:$F$1,0),FALSE)</f>
        <v>Haro Downtown 16 - 2017</v>
      </c>
      <c r="E1946">
        <f>VLOOKUP($C1946,products!$A$1:$F$322,MATCH(order_items!$E$1,products!$A$1:$F$1,0),FALSE)</f>
        <v>1</v>
      </c>
      <c r="F1946" t="str">
        <f>VLOOKUP($E1946,categories!$A$1:$B$8,MATCH(order_items!$F$1,categories!$A$1:$B$1,0),FALSE)</f>
        <v>Children Bicycles</v>
      </c>
      <c r="G1946">
        <v>1</v>
      </c>
      <c r="H1946">
        <v>329.99</v>
      </c>
      <c r="I1946" s="5">
        <v>0.05</v>
      </c>
      <c r="J1946">
        <f t="shared" si="60"/>
        <v>313.4905</v>
      </c>
      <c r="K1946" s="9">
        <f t="shared" si="61"/>
        <v>-0.6525816768346574</v>
      </c>
    </row>
    <row r="1947" spans="1:11" x14ac:dyDescent="0.3">
      <c r="A1947">
        <v>690</v>
      </c>
      <c r="B1947">
        <v>4</v>
      </c>
      <c r="C1947">
        <v>109</v>
      </c>
      <c r="D1947" t="str">
        <f>VLOOKUP($C1947,products!$A$1:$F$322,MATCH(order_items!$D$1,products!$A$1:$F$1,0),FALSE)</f>
        <v>Sun Bicycles Cruz 7 - Women's - 2017</v>
      </c>
      <c r="E1947">
        <f>VLOOKUP($C1947,products!$A$1:$F$322,MATCH(order_items!$E$1,products!$A$1:$F$1,0),FALSE)</f>
        <v>2</v>
      </c>
      <c r="F1947" t="str">
        <f>VLOOKUP($E1947,categories!$A$1:$B$8,MATCH(order_items!$F$1,categories!$A$1:$B$1,0),FALSE)</f>
        <v>Comfort Bicycles</v>
      </c>
      <c r="G1947">
        <v>2</v>
      </c>
      <c r="H1947">
        <v>416.99</v>
      </c>
      <c r="I1947" s="5">
        <v>0.2</v>
      </c>
      <c r="J1947">
        <f t="shared" si="60"/>
        <v>667.18400000000008</v>
      </c>
      <c r="K1947" s="9">
        <f t="shared" si="61"/>
        <v>-0.58826372462468679</v>
      </c>
    </row>
    <row r="1948" spans="1:11" x14ac:dyDescent="0.3">
      <c r="A1948">
        <v>691</v>
      </c>
      <c r="B1948">
        <v>1</v>
      </c>
      <c r="C1948">
        <v>23</v>
      </c>
      <c r="D1948" t="str">
        <f>VLOOKUP($C1948,products!$A$1:$F$322,MATCH(order_items!$D$1,products!$A$1:$F$1,0),FALSE)</f>
        <v>Electra Girl's Hawaii 1 (20-inch) - 2015/2016</v>
      </c>
      <c r="E1948">
        <f>VLOOKUP($C1948,products!$A$1:$F$322,MATCH(order_items!$E$1,products!$A$1:$F$1,0),FALSE)</f>
        <v>1</v>
      </c>
      <c r="F1948" t="str">
        <f>VLOOKUP($E1948,categories!$A$1:$B$8,MATCH(order_items!$F$1,categories!$A$1:$B$1,0),FALSE)</f>
        <v>Children Bicycles</v>
      </c>
      <c r="G1948">
        <v>2</v>
      </c>
      <c r="H1948">
        <v>299.99</v>
      </c>
      <c r="I1948" s="5">
        <v>0.05</v>
      </c>
      <c r="J1948">
        <f t="shared" si="60"/>
        <v>569.98099999999999</v>
      </c>
      <c r="K1948" s="9">
        <f t="shared" si="61"/>
        <v>-0.67476028104499197</v>
      </c>
    </row>
    <row r="1949" spans="1:11" x14ac:dyDescent="0.3">
      <c r="A1949">
        <v>691</v>
      </c>
      <c r="B1949">
        <v>2</v>
      </c>
      <c r="C1949">
        <v>5</v>
      </c>
      <c r="D1949" t="str">
        <f>VLOOKUP($C1949,products!$A$1:$F$322,MATCH(order_items!$D$1,products!$A$1:$F$1,0),FALSE)</f>
        <v>Heller Shagamaw Frame - 2016</v>
      </c>
      <c r="E1949">
        <f>VLOOKUP($C1949,products!$A$1:$F$322,MATCH(order_items!$E$1,products!$A$1:$F$1,0),FALSE)</f>
        <v>6</v>
      </c>
      <c r="F1949" t="str">
        <f>VLOOKUP($E1949,categories!$A$1:$B$8,MATCH(order_items!$F$1,categories!$A$1:$B$1,0),FALSE)</f>
        <v>Mountain Bikes</v>
      </c>
      <c r="G1949">
        <v>2</v>
      </c>
      <c r="H1949">
        <v>1320.99</v>
      </c>
      <c r="I1949" s="5">
        <v>0.1</v>
      </c>
      <c r="J1949">
        <f t="shared" si="60"/>
        <v>2377.7820000000002</v>
      </c>
      <c r="K1949" s="9">
        <f t="shared" si="61"/>
        <v>8.0051548913398024E-2</v>
      </c>
    </row>
    <row r="1950" spans="1:11" x14ac:dyDescent="0.3">
      <c r="A1950">
        <v>691</v>
      </c>
      <c r="B1950">
        <v>3</v>
      </c>
      <c r="C1950">
        <v>55</v>
      </c>
      <c r="D1950" t="str">
        <f>VLOOKUP($C1950,products!$A$1:$F$322,MATCH(order_items!$D$1,products!$A$1:$F$1,0),FALSE)</f>
        <v>Trek Domane S 6 - 2017</v>
      </c>
      <c r="E1950">
        <f>VLOOKUP($C1950,products!$A$1:$F$322,MATCH(order_items!$E$1,products!$A$1:$F$1,0),FALSE)</f>
        <v>7</v>
      </c>
      <c r="F1950" t="str">
        <f>VLOOKUP($E1950,categories!$A$1:$B$8,MATCH(order_items!$F$1,categories!$A$1:$B$1,0),FALSE)</f>
        <v>Road Bikes</v>
      </c>
      <c r="G1950">
        <v>2</v>
      </c>
      <c r="H1950">
        <v>2699.99</v>
      </c>
      <c r="I1950" s="5">
        <v>0.2</v>
      </c>
      <c r="J1950">
        <f t="shared" si="60"/>
        <v>4319.9839999999995</v>
      </c>
      <c r="K1950" s="9">
        <f t="shared" si="61"/>
        <v>1.0995280557817817</v>
      </c>
    </row>
    <row r="1951" spans="1:11" x14ac:dyDescent="0.3">
      <c r="A1951">
        <v>691</v>
      </c>
      <c r="B1951">
        <v>4</v>
      </c>
      <c r="C1951">
        <v>20</v>
      </c>
      <c r="D1951" t="str">
        <f>VLOOKUP($C1951,products!$A$1:$F$322,MATCH(order_items!$D$1,products!$A$1:$F$1,0),FALSE)</f>
        <v>Electra Townie Original 7D EQ - Women's - 2016</v>
      </c>
      <c r="E1951">
        <f>VLOOKUP($C1951,products!$A$1:$F$322,MATCH(order_items!$E$1,products!$A$1:$F$1,0),FALSE)</f>
        <v>3</v>
      </c>
      <c r="F1951" t="str">
        <f>VLOOKUP($E1951,categories!$A$1:$B$8,MATCH(order_items!$F$1,categories!$A$1:$B$1,0),FALSE)</f>
        <v>Cruisers Bicycles</v>
      </c>
      <c r="G1951">
        <v>1</v>
      </c>
      <c r="H1951">
        <v>599.99</v>
      </c>
      <c r="I1951" s="5">
        <v>0.2</v>
      </c>
      <c r="J1951">
        <f t="shared" si="60"/>
        <v>479.99200000000002</v>
      </c>
      <c r="K1951" s="9">
        <f t="shared" si="61"/>
        <v>-0.45297423894164529</v>
      </c>
    </row>
    <row r="1952" spans="1:11" x14ac:dyDescent="0.3">
      <c r="A1952">
        <v>692</v>
      </c>
      <c r="B1952">
        <v>1</v>
      </c>
      <c r="C1952">
        <v>59</v>
      </c>
      <c r="D1952" t="str">
        <f>VLOOKUP($C1952,products!$A$1:$F$322,MATCH(order_items!$D$1,products!$A$1:$F$1,0),FALSE)</f>
        <v>Trek Domane S 5 Disc - 2017</v>
      </c>
      <c r="E1952">
        <f>VLOOKUP($C1952,products!$A$1:$F$322,MATCH(order_items!$E$1,products!$A$1:$F$1,0),FALSE)</f>
        <v>7</v>
      </c>
      <c r="F1952" t="str">
        <f>VLOOKUP($E1952,categories!$A$1:$B$8,MATCH(order_items!$F$1,categories!$A$1:$B$1,0),FALSE)</f>
        <v>Road Bikes</v>
      </c>
      <c r="G1952">
        <v>1</v>
      </c>
      <c r="H1952">
        <v>2599.9899999999998</v>
      </c>
      <c r="I1952" s="5">
        <v>0.2</v>
      </c>
      <c r="J1952">
        <f t="shared" si="60"/>
        <v>2079.9919999999997</v>
      </c>
      <c r="K1952" s="9">
        <f t="shared" si="61"/>
        <v>1.025599375080666</v>
      </c>
    </row>
    <row r="1953" spans="1:11" x14ac:dyDescent="0.3">
      <c r="A1953">
        <v>692</v>
      </c>
      <c r="B1953">
        <v>2</v>
      </c>
      <c r="C1953">
        <v>75</v>
      </c>
      <c r="D1953" t="str">
        <f>VLOOKUP($C1953,products!$A$1:$F$322,MATCH(order_items!$D$1,products!$A$1:$F$1,0),FALSE)</f>
        <v>Electra Cruiser Lux Fat Tire 1 Ladies - 2017</v>
      </c>
      <c r="E1953">
        <f>VLOOKUP($C1953,products!$A$1:$F$322,MATCH(order_items!$E$1,products!$A$1:$F$1,0),FALSE)</f>
        <v>3</v>
      </c>
      <c r="F1953" t="str">
        <f>VLOOKUP($E1953,categories!$A$1:$B$8,MATCH(order_items!$F$1,categories!$A$1:$B$1,0),FALSE)</f>
        <v>Cruisers Bicycles</v>
      </c>
      <c r="G1953">
        <v>1</v>
      </c>
      <c r="H1953">
        <v>599.99</v>
      </c>
      <c r="I1953" s="5">
        <v>7.0000000000000007E-2</v>
      </c>
      <c r="J1953">
        <f t="shared" si="60"/>
        <v>557.99069999999995</v>
      </c>
      <c r="K1953" s="9">
        <f t="shared" si="61"/>
        <v>-0.45297423894164529</v>
      </c>
    </row>
    <row r="1954" spans="1:11" x14ac:dyDescent="0.3">
      <c r="A1954">
        <v>692</v>
      </c>
      <c r="B1954">
        <v>3</v>
      </c>
      <c r="C1954">
        <v>15</v>
      </c>
      <c r="D1954" t="str">
        <f>VLOOKUP($C1954,products!$A$1:$F$322,MATCH(order_items!$D$1,products!$A$1:$F$1,0),FALSE)</f>
        <v>Electra Moto 1 - 2016</v>
      </c>
      <c r="E1954">
        <f>VLOOKUP($C1954,products!$A$1:$F$322,MATCH(order_items!$E$1,products!$A$1:$F$1,0),FALSE)</f>
        <v>3</v>
      </c>
      <c r="F1954" t="str">
        <f>VLOOKUP($E1954,categories!$A$1:$B$8,MATCH(order_items!$F$1,categories!$A$1:$B$1,0),FALSE)</f>
        <v>Cruisers Bicycles</v>
      </c>
      <c r="G1954">
        <v>2</v>
      </c>
      <c r="H1954">
        <v>529.99</v>
      </c>
      <c r="I1954" s="5">
        <v>7.0000000000000007E-2</v>
      </c>
      <c r="J1954">
        <f t="shared" si="60"/>
        <v>985.78139999999996</v>
      </c>
      <c r="K1954" s="9">
        <f t="shared" si="61"/>
        <v>-0.50472431543242624</v>
      </c>
    </row>
    <row r="1955" spans="1:11" x14ac:dyDescent="0.3">
      <c r="A1955">
        <v>692</v>
      </c>
      <c r="B1955">
        <v>4</v>
      </c>
      <c r="C1955">
        <v>56</v>
      </c>
      <c r="D1955" t="str">
        <f>VLOOKUP($C1955,products!$A$1:$F$322,MATCH(order_items!$D$1,products!$A$1:$F$1,0),FALSE)</f>
        <v>Trek Domane SLR 6 Disc - 2017</v>
      </c>
      <c r="E1955">
        <f>VLOOKUP($C1955,products!$A$1:$F$322,MATCH(order_items!$E$1,products!$A$1:$F$1,0),FALSE)</f>
        <v>7</v>
      </c>
      <c r="F1955" t="str">
        <f>VLOOKUP($E1955,categories!$A$1:$B$8,MATCH(order_items!$F$1,categories!$A$1:$B$1,0),FALSE)</f>
        <v>Road Bikes</v>
      </c>
      <c r="G1955">
        <v>2</v>
      </c>
      <c r="H1955">
        <v>5499.99</v>
      </c>
      <c r="I1955" s="5">
        <v>0.1</v>
      </c>
      <c r="J1955">
        <f t="shared" si="60"/>
        <v>9899.982</v>
      </c>
      <c r="K1955" s="9">
        <f t="shared" si="61"/>
        <v>3.1695311154130179</v>
      </c>
    </row>
    <row r="1956" spans="1:11" x14ac:dyDescent="0.3">
      <c r="A1956">
        <v>693</v>
      </c>
      <c r="B1956">
        <v>1</v>
      </c>
      <c r="C1956">
        <v>104</v>
      </c>
      <c r="D1956" t="str">
        <f>VLOOKUP($C1956,products!$A$1:$F$322,MATCH(order_items!$D$1,products!$A$1:$F$1,0),FALSE)</f>
        <v>Sun Bicycles Streamway - 2017</v>
      </c>
      <c r="E1956">
        <f>VLOOKUP($C1956,products!$A$1:$F$322,MATCH(order_items!$E$1,products!$A$1:$F$1,0),FALSE)</f>
        <v>2</v>
      </c>
      <c r="F1956" t="str">
        <f>VLOOKUP($E1956,categories!$A$1:$B$8,MATCH(order_items!$F$1,categories!$A$1:$B$1,0),FALSE)</f>
        <v>Comfort Bicycles</v>
      </c>
      <c r="G1956">
        <v>2</v>
      </c>
      <c r="H1956">
        <v>481.99</v>
      </c>
      <c r="I1956" s="5">
        <v>0.2</v>
      </c>
      <c r="J1956">
        <f t="shared" si="60"/>
        <v>771.18400000000008</v>
      </c>
      <c r="K1956" s="9">
        <f t="shared" si="61"/>
        <v>-0.54021008216896171</v>
      </c>
    </row>
    <row r="1957" spans="1:11" x14ac:dyDescent="0.3">
      <c r="A1957">
        <v>693</v>
      </c>
      <c r="B1957">
        <v>2</v>
      </c>
      <c r="C1957">
        <v>13</v>
      </c>
      <c r="D1957" t="str">
        <f>VLOOKUP($C1957,products!$A$1:$F$322,MATCH(order_items!$D$1,products!$A$1:$F$1,0),FALSE)</f>
        <v>Electra Cruiser 1 (24-Inch) - 2016</v>
      </c>
      <c r="E1957">
        <f>VLOOKUP($C1957,products!$A$1:$F$322,MATCH(order_items!$E$1,products!$A$1:$F$1,0),FALSE)</f>
        <v>3</v>
      </c>
      <c r="F1957" t="str">
        <f>VLOOKUP($E1957,categories!$A$1:$B$8,MATCH(order_items!$F$1,categories!$A$1:$B$1,0),FALSE)</f>
        <v>Cruisers Bicycles</v>
      </c>
      <c r="G1957">
        <v>1</v>
      </c>
      <c r="H1957">
        <v>269.99</v>
      </c>
      <c r="I1957" s="5">
        <v>0.2</v>
      </c>
      <c r="J1957">
        <f t="shared" si="60"/>
        <v>215.99200000000002</v>
      </c>
      <c r="K1957" s="9">
        <f t="shared" si="61"/>
        <v>-0.69693888525532666</v>
      </c>
    </row>
    <row r="1958" spans="1:11" x14ac:dyDescent="0.3">
      <c r="A1958">
        <v>693</v>
      </c>
      <c r="B1958">
        <v>3</v>
      </c>
      <c r="C1958">
        <v>5</v>
      </c>
      <c r="D1958" t="str">
        <f>VLOOKUP($C1958,products!$A$1:$F$322,MATCH(order_items!$D$1,products!$A$1:$F$1,0),FALSE)</f>
        <v>Heller Shagamaw Frame - 2016</v>
      </c>
      <c r="E1958">
        <f>VLOOKUP($C1958,products!$A$1:$F$322,MATCH(order_items!$E$1,products!$A$1:$F$1,0),FALSE)</f>
        <v>6</v>
      </c>
      <c r="F1958" t="str">
        <f>VLOOKUP($E1958,categories!$A$1:$B$8,MATCH(order_items!$F$1,categories!$A$1:$B$1,0),FALSE)</f>
        <v>Mountain Bikes</v>
      </c>
      <c r="G1958">
        <v>2</v>
      </c>
      <c r="H1958">
        <v>1320.99</v>
      </c>
      <c r="I1958" s="5">
        <v>0.05</v>
      </c>
      <c r="J1958">
        <f t="shared" si="60"/>
        <v>2509.8809999999999</v>
      </c>
      <c r="K1958" s="9">
        <f t="shared" si="61"/>
        <v>8.0051548913398024E-2</v>
      </c>
    </row>
    <row r="1959" spans="1:11" x14ac:dyDescent="0.3">
      <c r="A1959">
        <v>693</v>
      </c>
      <c r="B1959">
        <v>4</v>
      </c>
      <c r="C1959">
        <v>31</v>
      </c>
      <c r="D1959" t="str">
        <f>VLOOKUP($C1959,products!$A$1:$F$322,MATCH(order_items!$D$1,products!$A$1:$F$1,0),FALSE)</f>
        <v>Surly Wednesday - 2017</v>
      </c>
      <c r="E1959">
        <f>VLOOKUP($C1959,products!$A$1:$F$322,MATCH(order_items!$E$1,products!$A$1:$F$1,0),FALSE)</f>
        <v>6</v>
      </c>
      <c r="F1959" t="str">
        <f>VLOOKUP($E1959,categories!$A$1:$B$8,MATCH(order_items!$F$1,categories!$A$1:$B$1,0),FALSE)</f>
        <v>Mountain Bikes</v>
      </c>
      <c r="G1959">
        <v>1</v>
      </c>
      <c r="H1959">
        <v>1632.99</v>
      </c>
      <c r="I1959" s="5">
        <v>7.0000000000000007E-2</v>
      </c>
      <c r="J1959">
        <f t="shared" si="60"/>
        <v>1518.6806999999999</v>
      </c>
      <c r="K1959" s="9">
        <f t="shared" si="61"/>
        <v>0.31070903270087863</v>
      </c>
    </row>
    <row r="1960" spans="1:11" x14ac:dyDescent="0.3">
      <c r="A1960">
        <v>694</v>
      </c>
      <c r="B1960">
        <v>1</v>
      </c>
      <c r="C1960">
        <v>48</v>
      </c>
      <c r="D1960" t="str">
        <f>VLOOKUP($C1960,products!$A$1:$F$322,MATCH(order_items!$D$1,products!$A$1:$F$1,0),FALSE)</f>
        <v>Trek Emonda S 4 - 2017</v>
      </c>
      <c r="E1960">
        <f>VLOOKUP($C1960,products!$A$1:$F$322,MATCH(order_items!$E$1,products!$A$1:$F$1,0),FALSE)</f>
        <v>7</v>
      </c>
      <c r="F1960" t="str">
        <f>VLOOKUP($E1960,categories!$A$1:$B$8,MATCH(order_items!$F$1,categories!$A$1:$B$1,0),FALSE)</f>
        <v>Road Bikes</v>
      </c>
      <c r="G1960">
        <v>1</v>
      </c>
      <c r="H1960">
        <v>1499.99</v>
      </c>
      <c r="I1960" s="5">
        <v>0.2</v>
      </c>
      <c r="J1960">
        <f t="shared" si="60"/>
        <v>1199.992</v>
      </c>
      <c r="K1960" s="9">
        <f t="shared" si="61"/>
        <v>0.21238388736839492</v>
      </c>
    </row>
    <row r="1961" spans="1:11" x14ac:dyDescent="0.3">
      <c r="A1961">
        <v>694</v>
      </c>
      <c r="B1961">
        <v>2</v>
      </c>
      <c r="C1961">
        <v>39</v>
      </c>
      <c r="D1961" t="str">
        <f>VLOOKUP($C1961,products!$A$1:$F$322,MATCH(order_items!$D$1,products!$A$1:$F$1,0),FALSE)</f>
        <v>Trek Stache 5 - 2017</v>
      </c>
      <c r="E1961">
        <f>VLOOKUP($C1961,products!$A$1:$F$322,MATCH(order_items!$E$1,products!$A$1:$F$1,0),FALSE)</f>
        <v>6</v>
      </c>
      <c r="F1961" t="str">
        <f>VLOOKUP($E1961,categories!$A$1:$B$8,MATCH(order_items!$F$1,categories!$A$1:$B$1,0),FALSE)</f>
        <v>Mountain Bikes</v>
      </c>
      <c r="G1961">
        <v>1</v>
      </c>
      <c r="H1961">
        <v>1499.99</v>
      </c>
      <c r="I1961" s="5">
        <v>0.05</v>
      </c>
      <c r="J1961">
        <f t="shared" si="60"/>
        <v>1424.9904999999999</v>
      </c>
      <c r="K1961" s="9">
        <f t="shared" si="61"/>
        <v>0.21238388736839492</v>
      </c>
    </row>
    <row r="1962" spans="1:11" x14ac:dyDescent="0.3">
      <c r="A1962">
        <v>694</v>
      </c>
      <c r="B1962">
        <v>3</v>
      </c>
      <c r="C1962">
        <v>55</v>
      </c>
      <c r="D1962" t="str">
        <f>VLOOKUP($C1962,products!$A$1:$F$322,MATCH(order_items!$D$1,products!$A$1:$F$1,0),FALSE)</f>
        <v>Trek Domane S 6 - 2017</v>
      </c>
      <c r="E1962">
        <f>VLOOKUP($C1962,products!$A$1:$F$322,MATCH(order_items!$E$1,products!$A$1:$F$1,0),FALSE)</f>
        <v>7</v>
      </c>
      <c r="F1962" t="str">
        <f>VLOOKUP($E1962,categories!$A$1:$B$8,MATCH(order_items!$F$1,categories!$A$1:$B$1,0),FALSE)</f>
        <v>Road Bikes</v>
      </c>
      <c r="G1962">
        <v>2</v>
      </c>
      <c r="H1962">
        <v>2699.99</v>
      </c>
      <c r="I1962" s="5">
        <v>0.1</v>
      </c>
      <c r="J1962">
        <f t="shared" si="60"/>
        <v>4859.982</v>
      </c>
      <c r="K1962" s="9">
        <f t="shared" si="61"/>
        <v>1.0995280557817817</v>
      </c>
    </row>
    <row r="1963" spans="1:11" x14ac:dyDescent="0.3">
      <c r="A1963">
        <v>694</v>
      </c>
      <c r="B1963">
        <v>4</v>
      </c>
      <c r="C1963">
        <v>103</v>
      </c>
      <c r="D1963" t="str">
        <f>VLOOKUP($C1963,products!$A$1:$F$322,MATCH(order_items!$D$1,products!$A$1:$F$1,0),FALSE)</f>
        <v>Sun Bicycles Streamway 3 - 2017</v>
      </c>
      <c r="E1963">
        <f>VLOOKUP($C1963,products!$A$1:$F$322,MATCH(order_items!$E$1,products!$A$1:$F$1,0),FALSE)</f>
        <v>2</v>
      </c>
      <c r="F1963" t="str">
        <f>VLOOKUP($E1963,categories!$A$1:$B$8,MATCH(order_items!$F$1,categories!$A$1:$B$1,0),FALSE)</f>
        <v>Comfort Bicycles</v>
      </c>
      <c r="G1963">
        <v>2</v>
      </c>
      <c r="H1963">
        <v>551.99</v>
      </c>
      <c r="I1963" s="5">
        <v>0.2</v>
      </c>
      <c r="J1963">
        <f t="shared" si="60"/>
        <v>883.18400000000008</v>
      </c>
      <c r="K1963" s="9">
        <f t="shared" si="61"/>
        <v>-0.48846000567818076</v>
      </c>
    </row>
    <row r="1964" spans="1:11" x14ac:dyDescent="0.3">
      <c r="A1964">
        <v>694</v>
      </c>
      <c r="B1964">
        <v>5</v>
      </c>
      <c r="C1964">
        <v>45</v>
      </c>
      <c r="D1964" t="str">
        <f>VLOOKUP($C1964,products!$A$1:$F$322,MATCH(order_items!$D$1,products!$A$1:$F$1,0),FALSE)</f>
        <v>Haro SR 1.2 - 2017</v>
      </c>
      <c r="E1964">
        <f>VLOOKUP($C1964,products!$A$1:$F$322,MATCH(order_items!$E$1,products!$A$1:$F$1,0),FALSE)</f>
        <v>6</v>
      </c>
      <c r="F1964" t="str">
        <f>VLOOKUP($E1964,categories!$A$1:$B$8,MATCH(order_items!$F$1,categories!$A$1:$B$1,0),FALSE)</f>
        <v>Mountain Bikes</v>
      </c>
      <c r="G1964">
        <v>2</v>
      </c>
      <c r="H1964">
        <v>869.99</v>
      </c>
      <c r="I1964" s="5">
        <v>0.1</v>
      </c>
      <c r="J1964">
        <f t="shared" si="60"/>
        <v>1565.982</v>
      </c>
      <c r="K1964" s="9">
        <f t="shared" si="61"/>
        <v>-0.25336680104863324</v>
      </c>
    </row>
    <row r="1965" spans="1:11" x14ac:dyDescent="0.3">
      <c r="A1965">
        <v>695</v>
      </c>
      <c r="B1965">
        <v>1</v>
      </c>
      <c r="C1965">
        <v>82</v>
      </c>
      <c r="D1965" t="str">
        <f>VLOOKUP($C1965,products!$A$1:$F$322,MATCH(order_items!$D$1,products!$A$1:$F$1,0),FALSE)</f>
        <v>Electra Amsterdam Original 3i Ladies' - 2017</v>
      </c>
      <c r="E1965">
        <f>VLOOKUP($C1965,products!$A$1:$F$322,MATCH(order_items!$E$1,products!$A$1:$F$1,0),FALSE)</f>
        <v>3</v>
      </c>
      <c r="F1965" t="str">
        <f>VLOOKUP($E1965,categories!$A$1:$B$8,MATCH(order_items!$F$1,categories!$A$1:$B$1,0),FALSE)</f>
        <v>Cruisers Bicycles</v>
      </c>
      <c r="G1965">
        <v>2</v>
      </c>
      <c r="H1965">
        <v>659.99</v>
      </c>
      <c r="I1965" s="5">
        <v>0.1</v>
      </c>
      <c r="J1965">
        <f t="shared" si="60"/>
        <v>1187.982</v>
      </c>
      <c r="K1965" s="9">
        <f t="shared" si="61"/>
        <v>-0.40861703052097592</v>
      </c>
    </row>
    <row r="1966" spans="1:11" x14ac:dyDescent="0.3">
      <c r="A1966">
        <v>695</v>
      </c>
      <c r="B1966">
        <v>2</v>
      </c>
      <c r="C1966">
        <v>57</v>
      </c>
      <c r="D1966" t="str">
        <f>VLOOKUP($C1966,products!$A$1:$F$322,MATCH(order_items!$D$1,products!$A$1:$F$1,0),FALSE)</f>
        <v>Trek Emonda S 5 - 2017</v>
      </c>
      <c r="E1966">
        <f>VLOOKUP($C1966,products!$A$1:$F$322,MATCH(order_items!$E$1,products!$A$1:$F$1,0),FALSE)</f>
        <v>7</v>
      </c>
      <c r="F1966" t="str">
        <f>VLOOKUP($E1966,categories!$A$1:$B$8,MATCH(order_items!$F$1,categories!$A$1:$B$1,0),FALSE)</f>
        <v>Road Bikes</v>
      </c>
      <c r="G1966">
        <v>2</v>
      </c>
      <c r="H1966">
        <v>1999.99</v>
      </c>
      <c r="I1966" s="5">
        <v>0.2</v>
      </c>
      <c r="J1966">
        <f t="shared" si="60"/>
        <v>3199.9840000000004</v>
      </c>
      <c r="K1966" s="9">
        <f t="shared" si="61"/>
        <v>0.58202729087397276</v>
      </c>
    </row>
    <row r="1967" spans="1:11" x14ac:dyDescent="0.3">
      <c r="A1967">
        <v>696</v>
      </c>
      <c r="B1967">
        <v>1</v>
      </c>
      <c r="C1967">
        <v>88</v>
      </c>
      <c r="D1967" t="str">
        <f>VLOOKUP($C1967,products!$A$1:$F$322,MATCH(order_items!$D$1,products!$A$1:$F$1,0),FALSE)</f>
        <v>Trek Precaliber 12 Girls - 2017</v>
      </c>
      <c r="E1967">
        <f>VLOOKUP($C1967,products!$A$1:$F$322,MATCH(order_items!$E$1,products!$A$1:$F$1,0),FALSE)</f>
        <v>1</v>
      </c>
      <c r="F1967" t="str">
        <f>VLOOKUP($E1967,categories!$A$1:$B$8,MATCH(order_items!$F$1,categories!$A$1:$B$1,0),FALSE)</f>
        <v>Children Bicycles</v>
      </c>
      <c r="G1967">
        <v>2</v>
      </c>
      <c r="H1967">
        <v>189.99</v>
      </c>
      <c r="I1967" s="5">
        <v>7.0000000000000007E-2</v>
      </c>
      <c r="J1967">
        <f t="shared" si="60"/>
        <v>353.38139999999999</v>
      </c>
      <c r="K1967" s="9">
        <f t="shared" si="61"/>
        <v>-0.75608182981621919</v>
      </c>
    </row>
    <row r="1968" spans="1:11" x14ac:dyDescent="0.3">
      <c r="A1968">
        <v>696</v>
      </c>
      <c r="B1968">
        <v>2</v>
      </c>
      <c r="C1968">
        <v>7</v>
      </c>
      <c r="D1968" t="str">
        <f>VLOOKUP($C1968,products!$A$1:$F$322,MATCH(order_items!$D$1,products!$A$1:$F$1,0),FALSE)</f>
        <v>Trek Slash 8 27.5 - 2016</v>
      </c>
      <c r="E1968">
        <f>VLOOKUP($C1968,products!$A$1:$F$322,MATCH(order_items!$E$1,products!$A$1:$F$1,0),FALSE)</f>
        <v>6</v>
      </c>
      <c r="F1968" t="str">
        <f>VLOOKUP($E1968,categories!$A$1:$B$8,MATCH(order_items!$F$1,categories!$A$1:$B$1,0),FALSE)</f>
        <v>Mountain Bikes</v>
      </c>
      <c r="G1968">
        <v>1</v>
      </c>
      <c r="H1968">
        <v>3999.99</v>
      </c>
      <c r="I1968" s="5">
        <v>0.1</v>
      </c>
      <c r="J1968">
        <f t="shared" si="60"/>
        <v>3599.991</v>
      </c>
      <c r="K1968" s="9">
        <f t="shared" si="61"/>
        <v>2.0606009048962846</v>
      </c>
    </row>
    <row r="1969" spans="1:11" x14ac:dyDescent="0.3">
      <c r="A1969">
        <v>696</v>
      </c>
      <c r="B1969">
        <v>3</v>
      </c>
      <c r="C1969">
        <v>45</v>
      </c>
      <c r="D1969" t="str">
        <f>VLOOKUP($C1969,products!$A$1:$F$322,MATCH(order_items!$D$1,products!$A$1:$F$1,0),FALSE)</f>
        <v>Haro SR 1.2 - 2017</v>
      </c>
      <c r="E1969">
        <f>VLOOKUP($C1969,products!$A$1:$F$322,MATCH(order_items!$E$1,products!$A$1:$F$1,0),FALSE)</f>
        <v>6</v>
      </c>
      <c r="F1969" t="str">
        <f>VLOOKUP($E1969,categories!$A$1:$B$8,MATCH(order_items!$F$1,categories!$A$1:$B$1,0),FALSE)</f>
        <v>Mountain Bikes</v>
      </c>
      <c r="G1969">
        <v>1</v>
      </c>
      <c r="H1969">
        <v>869.99</v>
      </c>
      <c r="I1969" s="5">
        <v>7.0000000000000007E-2</v>
      </c>
      <c r="J1969">
        <f t="shared" si="60"/>
        <v>809.09069999999997</v>
      </c>
      <c r="K1969" s="9">
        <f t="shared" si="61"/>
        <v>-0.25336680104863324</v>
      </c>
    </row>
    <row r="1970" spans="1:11" x14ac:dyDescent="0.3">
      <c r="A1970">
        <v>697</v>
      </c>
      <c r="B1970">
        <v>1</v>
      </c>
      <c r="C1970">
        <v>5</v>
      </c>
      <c r="D1970" t="str">
        <f>VLOOKUP($C1970,products!$A$1:$F$322,MATCH(order_items!$D$1,products!$A$1:$F$1,0),FALSE)</f>
        <v>Heller Shagamaw Frame - 2016</v>
      </c>
      <c r="E1970">
        <f>VLOOKUP($C1970,products!$A$1:$F$322,MATCH(order_items!$E$1,products!$A$1:$F$1,0),FALSE)</f>
        <v>6</v>
      </c>
      <c r="F1970" t="str">
        <f>VLOOKUP($E1970,categories!$A$1:$B$8,MATCH(order_items!$F$1,categories!$A$1:$B$1,0),FALSE)</f>
        <v>Mountain Bikes</v>
      </c>
      <c r="G1970">
        <v>2</v>
      </c>
      <c r="H1970">
        <v>1320.99</v>
      </c>
      <c r="I1970" s="5">
        <v>0.05</v>
      </c>
      <c r="J1970">
        <f t="shared" si="60"/>
        <v>2509.8809999999999</v>
      </c>
      <c r="K1970" s="9">
        <f t="shared" si="61"/>
        <v>8.0051548913398024E-2</v>
      </c>
    </row>
    <row r="1971" spans="1:11" x14ac:dyDescent="0.3">
      <c r="A1971">
        <v>698</v>
      </c>
      <c r="B1971">
        <v>1</v>
      </c>
      <c r="C1971">
        <v>96</v>
      </c>
      <c r="D1971" t="str">
        <f>VLOOKUP($C1971,products!$A$1:$F$322,MATCH(order_items!$D$1,products!$A$1:$F$1,0),FALSE)</f>
        <v>Electra Moto 3i (20-inch) - Boy's - 2017</v>
      </c>
      <c r="E1971">
        <f>VLOOKUP($C1971,products!$A$1:$F$322,MATCH(order_items!$E$1,products!$A$1:$F$1,0),FALSE)</f>
        <v>1</v>
      </c>
      <c r="F1971" t="str">
        <f>VLOOKUP($E1971,categories!$A$1:$B$8,MATCH(order_items!$F$1,categories!$A$1:$B$1,0),FALSE)</f>
        <v>Children Bicycles</v>
      </c>
      <c r="G1971">
        <v>1</v>
      </c>
      <c r="H1971">
        <v>349.99</v>
      </c>
      <c r="I1971" s="5">
        <v>7.0000000000000007E-2</v>
      </c>
      <c r="J1971">
        <f t="shared" si="60"/>
        <v>325.4907</v>
      </c>
      <c r="K1971" s="9">
        <f t="shared" si="61"/>
        <v>-0.63779594069443424</v>
      </c>
    </row>
    <row r="1972" spans="1:11" x14ac:dyDescent="0.3">
      <c r="A1972">
        <v>698</v>
      </c>
      <c r="B1972">
        <v>2</v>
      </c>
      <c r="C1972">
        <v>12</v>
      </c>
      <c r="D1972" t="str">
        <f>VLOOKUP($C1972,products!$A$1:$F$322,MATCH(order_items!$D$1,products!$A$1:$F$1,0),FALSE)</f>
        <v>Electra Townie Original 21D - 2016</v>
      </c>
      <c r="E1972">
        <f>VLOOKUP($C1972,products!$A$1:$F$322,MATCH(order_items!$E$1,products!$A$1:$F$1,0),FALSE)</f>
        <v>3</v>
      </c>
      <c r="F1972" t="str">
        <f>VLOOKUP($E1972,categories!$A$1:$B$8,MATCH(order_items!$F$1,categories!$A$1:$B$1,0),FALSE)</f>
        <v>Cruisers Bicycles</v>
      </c>
      <c r="G1972">
        <v>1</v>
      </c>
      <c r="H1972">
        <v>549.99</v>
      </c>
      <c r="I1972" s="5">
        <v>7.0000000000000007E-2</v>
      </c>
      <c r="J1972">
        <f t="shared" si="60"/>
        <v>511.49069999999995</v>
      </c>
      <c r="K1972" s="9">
        <f t="shared" si="61"/>
        <v>-0.48993857929220308</v>
      </c>
    </row>
    <row r="1973" spans="1:11" x14ac:dyDescent="0.3">
      <c r="A1973">
        <v>698</v>
      </c>
      <c r="B1973">
        <v>3</v>
      </c>
      <c r="C1973">
        <v>40</v>
      </c>
      <c r="D1973" t="str">
        <f>VLOOKUP($C1973,products!$A$1:$F$322,MATCH(order_items!$D$1,products!$A$1:$F$1,0),FALSE)</f>
        <v>Trek Fuel EX 9.8 29 - 2017</v>
      </c>
      <c r="E1973">
        <f>VLOOKUP($C1973,products!$A$1:$F$322,MATCH(order_items!$E$1,products!$A$1:$F$1,0),FALSE)</f>
        <v>6</v>
      </c>
      <c r="F1973" t="str">
        <f>VLOOKUP($E1973,categories!$A$1:$B$8,MATCH(order_items!$F$1,categories!$A$1:$B$1,0),FALSE)</f>
        <v>Mountain Bikes</v>
      </c>
      <c r="G1973">
        <v>2</v>
      </c>
      <c r="H1973">
        <v>4999.99</v>
      </c>
      <c r="I1973" s="5">
        <v>0.05</v>
      </c>
      <c r="J1973">
        <f t="shared" si="60"/>
        <v>9499.9809999999998</v>
      </c>
      <c r="K1973" s="9">
        <f t="shared" si="61"/>
        <v>2.7998877119074401</v>
      </c>
    </row>
    <row r="1974" spans="1:11" x14ac:dyDescent="0.3">
      <c r="A1974">
        <v>699</v>
      </c>
      <c r="B1974">
        <v>1</v>
      </c>
      <c r="C1974">
        <v>106</v>
      </c>
      <c r="D1974" t="str">
        <f>VLOOKUP($C1974,products!$A$1:$F$322,MATCH(order_items!$D$1,products!$A$1:$F$1,0),FALSE)</f>
        <v>Sun Bicycles Cruz 3 - 2017</v>
      </c>
      <c r="E1974">
        <f>VLOOKUP($C1974,products!$A$1:$F$322,MATCH(order_items!$E$1,products!$A$1:$F$1,0),FALSE)</f>
        <v>2</v>
      </c>
      <c r="F1974" t="str">
        <f>VLOOKUP($E1974,categories!$A$1:$B$8,MATCH(order_items!$F$1,categories!$A$1:$B$1,0),FALSE)</f>
        <v>Comfort Bicycles</v>
      </c>
      <c r="G1974">
        <v>2</v>
      </c>
      <c r="H1974">
        <v>449.99</v>
      </c>
      <c r="I1974" s="5">
        <v>0.1</v>
      </c>
      <c r="J1974">
        <f t="shared" si="60"/>
        <v>809.98200000000008</v>
      </c>
      <c r="K1974" s="9">
        <f t="shared" si="61"/>
        <v>-0.56386725999331866</v>
      </c>
    </row>
    <row r="1975" spans="1:11" x14ac:dyDescent="0.3">
      <c r="A1975">
        <v>699</v>
      </c>
      <c r="B1975">
        <v>2</v>
      </c>
      <c r="C1975">
        <v>48</v>
      </c>
      <c r="D1975" t="str">
        <f>VLOOKUP($C1975,products!$A$1:$F$322,MATCH(order_items!$D$1,products!$A$1:$F$1,0),FALSE)</f>
        <v>Trek Emonda S 4 - 2017</v>
      </c>
      <c r="E1975">
        <f>VLOOKUP($C1975,products!$A$1:$F$322,MATCH(order_items!$E$1,products!$A$1:$F$1,0),FALSE)</f>
        <v>7</v>
      </c>
      <c r="F1975" t="str">
        <f>VLOOKUP($E1975,categories!$A$1:$B$8,MATCH(order_items!$F$1,categories!$A$1:$B$1,0),FALSE)</f>
        <v>Road Bikes</v>
      </c>
      <c r="G1975">
        <v>1</v>
      </c>
      <c r="H1975">
        <v>1499.99</v>
      </c>
      <c r="I1975" s="5">
        <v>7.0000000000000007E-2</v>
      </c>
      <c r="J1975">
        <f t="shared" si="60"/>
        <v>1394.9906999999998</v>
      </c>
      <c r="K1975" s="9">
        <f t="shared" si="61"/>
        <v>0.21238388736839492</v>
      </c>
    </row>
    <row r="1976" spans="1:11" x14ac:dyDescent="0.3">
      <c r="A1976">
        <v>699</v>
      </c>
      <c r="B1976">
        <v>3</v>
      </c>
      <c r="C1976">
        <v>31</v>
      </c>
      <c r="D1976" t="str">
        <f>VLOOKUP($C1976,products!$A$1:$F$322,MATCH(order_items!$D$1,products!$A$1:$F$1,0),FALSE)</f>
        <v>Surly Wednesday - 2017</v>
      </c>
      <c r="E1976">
        <f>VLOOKUP($C1976,products!$A$1:$F$322,MATCH(order_items!$E$1,products!$A$1:$F$1,0),FALSE)</f>
        <v>6</v>
      </c>
      <c r="F1976" t="str">
        <f>VLOOKUP($E1976,categories!$A$1:$B$8,MATCH(order_items!$F$1,categories!$A$1:$B$1,0),FALSE)</f>
        <v>Mountain Bikes</v>
      </c>
      <c r="G1976">
        <v>1</v>
      </c>
      <c r="H1976">
        <v>1632.99</v>
      </c>
      <c r="I1976" s="5">
        <v>0.2</v>
      </c>
      <c r="J1976">
        <f t="shared" si="60"/>
        <v>1306.3920000000001</v>
      </c>
      <c r="K1976" s="9">
        <f t="shared" si="61"/>
        <v>0.31070903270087863</v>
      </c>
    </row>
    <row r="1977" spans="1:11" x14ac:dyDescent="0.3">
      <c r="A1977">
        <v>699</v>
      </c>
      <c r="B1977">
        <v>4</v>
      </c>
      <c r="C1977">
        <v>24</v>
      </c>
      <c r="D1977" t="str">
        <f>VLOOKUP($C1977,products!$A$1:$F$322,MATCH(order_items!$D$1,products!$A$1:$F$1,0),FALSE)</f>
        <v>Electra Townie Original 21D - 2016</v>
      </c>
      <c r="E1977">
        <f>VLOOKUP($C1977,products!$A$1:$F$322,MATCH(order_items!$E$1,products!$A$1:$F$1,0),FALSE)</f>
        <v>2</v>
      </c>
      <c r="F1977" t="str">
        <f>VLOOKUP($E1977,categories!$A$1:$B$8,MATCH(order_items!$F$1,categories!$A$1:$B$1,0),FALSE)</f>
        <v>Comfort Bicycles</v>
      </c>
      <c r="G1977">
        <v>2</v>
      </c>
      <c r="H1977">
        <v>549.99</v>
      </c>
      <c r="I1977" s="5">
        <v>0.1</v>
      </c>
      <c r="J1977">
        <f t="shared" si="60"/>
        <v>989.98200000000008</v>
      </c>
      <c r="K1977" s="9">
        <f t="shared" si="61"/>
        <v>-0.48993857929220308</v>
      </c>
    </row>
    <row r="1978" spans="1:11" x14ac:dyDescent="0.3">
      <c r="A1978">
        <v>699</v>
      </c>
      <c r="B1978">
        <v>5</v>
      </c>
      <c r="C1978">
        <v>82</v>
      </c>
      <c r="D1978" t="str">
        <f>VLOOKUP($C1978,products!$A$1:$F$322,MATCH(order_items!$D$1,products!$A$1:$F$1,0),FALSE)</f>
        <v>Electra Amsterdam Original 3i Ladies' - 2017</v>
      </c>
      <c r="E1978">
        <f>VLOOKUP($C1978,products!$A$1:$F$322,MATCH(order_items!$E$1,products!$A$1:$F$1,0),FALSE)</f>
        <v>3</v>
      </c>
      <c r="F1978" t="str">
        <f>VLOOKUP($E1978,categories!$A$1:$B$8,MATCH(order_items!$F$1,categories!$A$1:$B$1,0),FALSE)</f>
        <v>Cruisers Bicycles</v>
      </c>
      <c r="G1978">
        <v>2</v>
      </c>
      <c r="H1978">
        <v>659.99</v>
      </c>
      <c r="I1978" s="5">
        <v>0.2</v>
      </c>
      <c r="J1978">
        <f t="shared" si="60"/>
        <v>1055.9840000000002</v>
      </c>
      <c r="K1978" s="9">
        <f t="shared" si="61"/>
        <v>-0.40861703052097592</v>
      </c>
    </row>
    <row r="1979" spans="1:11" x14ac:dyDescent="0.3">
      <c r="A1979">
        <v>700</v>
      </c>
      <c r="B1979">
        <v>1</v>
      </c>
      <c r="C1979">
        <v>7</v>
      </c>
      <c r="D1979" t="str">
        <f>VLOOKUP($C1979,products!$A$1:$F$322,MATCH(order_items!$D$1,products!$A$1:$F$1,0),FALSE)</f>
        <v>Trek Slash 8 27.5 - 2016</v>
      </c>
      <c r="E1979">
        <f>VLOOKUP($C1979,products!$A$1:$F$322,MATCH(order_items!$E$1,products!$A$1:$F$1,0),FALSE)</f>
        <v>6</v>
      </c>
      <c r="F1979" t="str">
        <f>VLOOKUP($E1979,categories!$A$1:$B$8,MATCH(order_items!$F$1,categories!$A$1:$B$1,0),FALSE)</f>
        <v>Mountain Bikes</v>
      </c>
      <c r="G1979">
        <v>2</v>
      </c>
      <c r="H1979">
        <v>3999.99</v>
      </c>
      <c r="I1979" s="5">
        <v>0.05</v>
      </c>
      <c r="J1979">
        <f t="shared" si="60"/>
        <v>7599.9809999999989</v>
      </c>
      <c r="K1979" s="9">
        <f t="shared" si="61"/>
        <v>2.0606009048962846</v>
      </c>
    </row>
    <row r="1980" spans="1:11" x14ac:dyDescent="0.3">
      <c r="A1980">
        <v>700</v>
      </c>
      <c r="B1980">
        <v>2</v>
      </c>
      <c r="C1980">
        <v>63</v>
      </c>
      <c r="D1980" t="str">
        <f>VLOOKUP($C1980,products!$A$1:$F$322,MATCH(order_items!$D$1,products!$A$1:$F$1,0),FALSE)</f>
        <v>Trek Boone Race Shop Limited - 2017</v>
      </c>
      <c r="E1980">
        <f>VLOOKUP($C1980,products!$A$1:$F$322,MATCH(order_items!$E$1,products!$A$1:$F$1,0),FALSE)</f>
        <v>4</v>
      </c>
      <c r="F1980" t="str">
        <f>VLOOKUP($E1980,categories!$A$1:$B$8,MATCH(order_items!$F$1,categories!$A$1:$B$1,0),FALSE)</f>
        <v>Cyclocross Bicycles</v>
      </c>
      <c r="G1980">
        <v>1</v>
      </c>
      <c r="H1980">
        <v>3499.99</v>
      </c>
      <c r="I1980" s="5">
        <v>0.2</v>
      </c>
      <c r="J1980">
        <f t="shared" si="60"/>
        <v>2799.9920000000002</v>
      </c>
      <c r="K1980" s="9">
        <f t="shared" si="61"/>
        <v>1.6909575013907066</v>
      </c>
    </row>
    <row r="1981" spans="1:11" x14ac:dyDescent="0.3">
      <c r="A1981">
        <v>701</v>
      </c>
      <c r="B1981">
        <v>1</v>
      </c>
      <c r="C1981">
        <v>84</v>
      </c>
      <c r="D1981" t="str">
        <f>VLOOKUP($C1981,products!$A$1:$F$322,MATCH(order_items!$D$1,products!$A$1:$F$1,0),FALSE)</f>
        <v>Sun Bicycles Lil Kitt'n - 2017</v>
      </c>
      <c r="E1981">
        <f>VLOOKUP($C1981,products!$A$1:$F$322,MATCH(order_items!$E$1,products!$A$1:$F$1,0),FALSE)</f>
        <v>1</v>
      </c>
      <c r="F1981" t="str">
        <f>VLOOKUP($E1981,categories!$A$1:$B$8,MATCH(order_items!$F$1,categories!$A$1:$B$1,0),FALSE)</f>
        <v>Children Bicycles</v>
      </c>
      <c r="G1981">
        <v>1</v>
      </c>
      <c r="H1981">
        <v>109.99</v>
      </c>
      <c r="I1981" s="5">
        <v>0.05</v>
      </c>
      <c r="J1981">
        <f t="shared" si="60"/>
        <v>104.4905</v>
      </c>
      <c r="K1981" s="9">
        <f t="shared" si="61"/>
        <v>-0.81522477437711161</v>
      </c>
    </row>
    <row r="1982" spans="1:11" x14ac:dyDescent="0.3">
      <c r="A1982">
        <v>702</v>
      </c>
      <c r="B1982">
        <v>1</v>
      </c>
      <c r="C1982">
        <v>25</v>
      </c>
      <c r="D1982" t="str">
        <f>VLOOKUP($C1982,products!$A$1:$F$322,MATCH(order_items!$D$1,products!$A$1:$F$1,0),FALSE)</f>
        <v>Electra Townie Original 7D - 2015/2016</v>
      </c>
      <c r="E1982">
        <f>VLOOKUP($C1982,products!$A$1:$F$322,MATCH(order_items!$E$1,products!$A$1:$F$1,0),FALSE)</f>
        <v>2</v>
      </c>
      <c r="F1982" t="str">
        <f>VLOOKUP($E1982,categories!$A$1:$B$8,MATCH(order_items!$F$1,categories!$A$1:$B$1,0),FALSE)</f>
        <v>Comfort Bicycles</v>
      </c>
      <c r="G1982">
        <v>2</v>
      </c>
      <c r="H1982">
        <v>499.99</v>
      </c>
      <c r="I1982" s="5">
        <v>0.05</v>
      </c>
      <c r="J1982">
        <f t="shared" si="60"/>
        <v>949.98099999999999</v>
      </c>
      <c r="K1982" s="9">
        <f t="shared" si="61"/>
        <v>-0.52690291964276081</v>
      </c>
    </row>
    <row r="1983" spans="1:11" x14ac:dyDescent="0.3">
      <c r="A1983">
        <v>702</v>
      </c>
      <c r="B1983">
        <v>2</v>
      </c>
      <c r="C1983">
        <v>104</v>
      </c>
      <c r="D1983" t="str">
        <f>VLOOKUP($C1983,products!$A$1:$F$322,MATCH(order_items!$D$1,products!$A$1:$F$1,0),FALSE)</f>
        <v>Sun Bicycles Streamway - 2017</v>
      </c>
      <c r="E1983">
        <f>VLOOKUP($C1983,products!$A$1:$F$322,MATCH(order_items!$E$1,products!$A$1:$F$1,0),FALSE)</f>
        <v>2</v>
      </c>
      <c r="F1983" t="str">
        <f>VLOOKUP($E1983,categories!$A$1:$B$8,MATCH(order_items!$F$1,categories!$A$1:$B$1,0),FALSE)</f>
        <v>Comfort Bicycles</v>
      </c>
      <c r="G1983">
        <v>1</v>
      </c>
      <c r="H1983">
        <v>481.99</v>
      </c>
      <c r="I1983" s="5">
        <v>0.1</v>
      </c>
      <c r="J1983">
        <f t="shared" si="60"/>
        <v>433.791</v>
      </c>
      <c r="K1983" s="9">
        <f t="shared" si="61"/>
        <v>-0.54021008216896171</v>
      </c>
    </row>
    <row r="1984" spans="1:11" x14ac:dyDescent="0.3">
      <c r="A1984">
        <v>702</v>
      </c>
      <c r="B1984">
        <v>3</v>
      </c>
      <c r="C1984">
        <v>3</v>
      </c>
      <c r="D1984" t="str">
        <f>VLOOKUP($C1984,products!$A$1:$F$322,MATCH(order_items!$D$1,products!$A$1:$F$1,0),FALSE)</f>
        <v>Surly Wednesday Frameset - 2016</v>
      </c>
      <c r="E1984">
        <f>VLOOKUP($C1984,products!$A$1:$F$322,MATCH(order_items!$E$1,products!$A$1:$F$1,0),FALSE)</f>
        <v>6</v>
      </c>
      <c r="F1984" t="str">
        <f>VLOOKUP($E1984,categories!$A$1:$B$8,MATCH(order_items!$F$1,categories!$A$1:$B$1,0),FALSE)</f>
        <v>Mountain Bikes</v>
      </c>
      <c r="G1984">
        <v>2</v>
      </c>
      <c r="H1984">
        <v>999.99</v>
      </c>
      <c r="I1984" s="5">
        <v>7.0000000000000007E-2</v>
      </c>
      <c r="J1984">
        <f t="shared" si="60"/>
        <v>1859.9813999999999</v>
      </c>
      <c r="K1984" s="9">
        <f t="shared" si="61"/>
        <v>-0.15725951613718298</v>
      </c>
    </row>
    <row r="1985" spans="1:11" x14ac:dyDescent="0.3">
      <c r="A1985">
        <v>703</v>
      </c>
      <c r="B1985">
        <v>1</v>
      </c>
      <c r="C1985">
        <v>45</v>
      </c>
      <c r="D1985" t="str">
        <f>VLOOKUP($C1985,products!$A$1:$F$322,MATCH(order_items!$D$1,products!$A$1:$F$1,0),FALSE)</f>
        <v>Haro SR 1.2 - 2017</v>
      </c>
      <c r="E1985">
        <f>VLOOKUP($C1985,products!$A$1:$F$322,MATCH(order_items!$E$1,products!$A$1:$F$1,0),FALSE)</f>
        <v>6</v>
      </c>
      <c r="F1985" t="str">
        <f>VLOOKUP($E1985,categories!$A$1:$B$8,MATCH(order_items!$F$1,categories!$A$1:$B$1,0),FALSE)</f>
        <v>Mountain Bikes</v>
      </c>
      <c r="G1985">
        <v>2</v>
      </c>
      <c r="H1985">
        <v>869.99</v>
      </c>
      <c r="I1985" s="5">
        <v>0.2</v>
      </c>
      <c r="J1985">
        <f t="shared" si="60"/>
        <v>1391.9840000000002</v>
      </c>
      <c r="K1985" s="9">
        <f t="shared" si="61"/>
        <v>-0.25336680104863324</v>
      </c>
    </row>
    <row r="1986" spans="1:11" x14ac:dyDescent="0.3">
      <c r="A1986">
        <v>703</v>
      </c>
      <c r="B1986">
        <v>2</v>
      </c>
      <c r="C1986">
        <v>66</v>
      </c>
      <c r="D1986" t="str">
        <f>VLOOKUP($C1986,products!$A$1:$F$322,MATCH(order_items!$D$1,products!$A$1:$F$1,0),FALSE)</f>
        <v>Sun Bicycles Revolutions 24 - 2017</v>
      </c>
      <c r="E1986">
        <f>VLOOKUP($C1986,products!$A$1:$F$322,MATCH(order_items!$E$1,products!$A$1:$F$1,0),FALSE)</f>
        <v>3</v>
      </c>
      <c r="F1986" t="str">
        <f>VLOOKUP($E1986,categories!$A$1:$B$8,MATCH(order_items!$F$1,categories!$A$1:$B$1,0),FALSE)</f>
        <v>Cruisers Bicycles</v>
      </c>
      <c r="G1986">
        <v>2</v>
      </c>
      <c r="H1986">
        <v>250.99</v>
      </c>
      <c r="I1986" s="5">
        <v>0.05</v>
      </c>
      <c r="J1986">
        <f t="shared" ref="J1986:J2049" si="62">G1986*H1986*(1-I1986)</f>
        <v>476.88099999999997</v>
      </c>
      <c r="K1986" s="9">
        <f t="shared" ref="K1986:K2049" si="63">($H1986-$M$7)/$M$9</f>
        <v>-0.71098533458853863</v>
      </c>
    </row>
    <row r="1987" spans="1:11" x14ac:dyDescent="0.3">
      <c r="A1987">
        <v>703</v>
      </c>
      <c r="B1987">
        <v>3</v>
      </c>
      <c r="C1987">
        <v>72</v>
      </c>
      <c r="D1987" t="str">
        <f>VLOOKUP($C1987,products!$A$1:$F$322,MATCH(order_items!$D$1,products!$A$1:$F$1,0),FALSE)</f>
        <v>Sun Bicycles Biscayne Tandem 7 - 2017</v>
      </c>
      <c r="E1987">
        <f>VLOOKUP($C1987,products!$A$1:$F$322,MATCH(order_items!$E$1,products!$A$1:$F$1,0),FALSE)</f>
        <v>3</v>
      </c>
      <c r="F1987" t="str">
        <f>VLOOKUP($E1987,categories!$A$1:$B$8,MATCH(order_items!$F$1,categories!$A$1:$B$1,0),FALSE)</f>
        <v>Cruisers Bicycles</v>
      </c>
      <c r="G1987">
        <v>1</v>
      </c>
      <c r="H1987">
        <v>619.99</v>
      </c>
      <c r="I1987" s="5">
        <v>0.2</v>
      </c>
      <c r="J1987">
        <f t="shared" si="62"/>
        <v>495.99200000000002</v>
      </c>
      <c r="K1987" s="9">
        <f t="shared" si="63"/>
        <v>-0.43818850280142219</v>
      </c>
    </row>
    <row r="1988" spans="1:11" x14ac:dyDescent="0.3">
      <c r="A1988">
        <v>703</v>
      </c>
      <c r="B1988">
        <v>4</v>
      </c>
      <c r="C1988">
        <v>4</v>
      </c>
      <c r="D1988" t="str">
        <f>VLOOKUP($C1988,products!$A$1:$F$322,MATCH(order_items!$D$1,products!$A$1:$F$1,0),FALSE)</f>
        <v>Trek Fuel EX 8 29 - 2016</v>
      </c>
      <c r="E1988">
        <f>VLOOKUP($C1988,products!$A$1:$F$322,MATCH(order_items!$E$1,products!$A$1:$F$1,0),FALSE)</f>
        <v>6</v>
      </c>
      <c r="F1988" t="str">
        <f>VLOOKUP($E1988,categories!$A$1:$B$8,MATCH(order_items!$F$1,categories!$A$1:$B$1,0),FALSE)</f>
        <v>Mountain Bikes</v>
      </c>
      <c r="G1988">
        <v>2</v>
      </c>
      <c r="H1988">
        <v>2899.99</v>
      </c>
      <c r="I1988" s="5">
        <v>0.2</v>
      </c>
      <c r="J1988">
        <f t="shared" si="62"/>
        <v>4639.9839999999995</v>
      </c>
      <c r="K1988" s="9">
        <f t="shared" si="63"/>
        <v>1.2473854171840129</v>
      </c>
    </row>
    <row r="1989" spans="1:11" x14ac:dyDescent="0.3">
      <c r="A1989">
        <v>704</v>
      </c>
      <c r="B1989">
        <v>1</v>
      </c>
      <c r="C1989">
        <v>10</v>
      </c>
      <c r="D1989" t="str">
        <f>VLOOKUP($C1989,products!$A$1:$F$322,MATCH(order_items!$D$1,products!$A$1:$F$1,0),FALSE)</f>
        <v>Surly Straggler - 2016</v>
      </c>
      <c r="E1989">
        <f>VLOOKUP($C1989,products!$A$1:$F$322,MATCH(order_items!$E$1,products!$A$1:$F$1,0),FALSE)</f>
        <v>4</v>
      </c>
      <c r="F1989" t="str">
        <f>VLOOKUP($E1989,categories!$A$1:$B$8,MATCH(order_items!$F$1,categories!$A$1:$B$1,0),FALSE)</f>
        <v>Cyclocross Bicycles</v>
      </c>
      <c r="G1989">
        <v>2</v>
      </c>
      <c r="H1989">
        <v>1549</v>
      </c>
      <c r="I1989" s="5">
        <v>0.05</v>
      </c>
      <c r="J1989">
        <f t="shared" si="62"/>
        <v>2943.1</v>
      </c>
      <c r="K1989" s="9">
        <f t="shared" si="63"/>
        <v>0.24861633378001166</v>
      </c>
    </row>
    <row r="1990" spans="1:11" x14ac:dyDescent="0.3">
      <c r="A1990">
        <v>704</v>
      </c>
      <c r="B1990">
        <v>2</v>
      </c>
      <c r="C1990">
        <v>62</v>
      </c>
      <c r="D1990" t="str">
        <f>VLOOKUP($C1990,products!$A$1:$F$322,MATCH(order_items!$D$1,products!$A$1:$F$1,0),FALSE)</f>
        <v>Trek Boone 7 - 2017</v>
      </c>
      <c r="E1990">
        <f>VLOOKUP($C1990,products!$A$1:$F$322,MATCH(order_items!$E$1,products!$A$1:$F$1,0),FALSE)</f>
        <v>4</v>
      </c>
      <c r="F1990" t="str">
        <f>VLOOKUP($E1990,categories!$A$1:$B$8,MATCH(order_items!$F$1,categories!$A$1:$B$1,0),FALSE)</f>
        <v>Cyclocross Bicycles</v>
      </c>
      <c r="G1990">
        <v>1</v>
      </c>
      <c r="H1990">
        <v>3499.99</v>
      </c>
      <c r="I1990" s="5">
        <v>0.2</v>
      </c>
      <c r="J1990">
        <f t="shared" si="62"/>
        <v>2799.9920000000002</v>
      </c>
      <c r="K1990" s="9">
        <f t="shared" si="63"/>
        <v>1.6909575013907066</v>
      </c>
    </row>
    <row r="1991" spans="1:11" x14ac:dyDescent="0.3">
      <c r="A1991">
        <v>704</v>
      </c>
      <c r="B1991">
        <v>3</v>
      </c>
      <c r="C1991">
        <v>100</v>
      </c>
      <c r="D1991" t="str">
        <f>VLOOKUP($C1991,products!$A$1:$F$322,MATCH(order_items!$D$1,products!$A$1:$F$1,0),FALSE)</f>
        <v>Electra Townie 3i EQ (20-inch) - Boys' - 2017</v>
      </c>
      <c r="E1991">
        <f>VLOOKUP($C1991,products!$A$1:$F$322,MATCH(order_items!$E$1,products!$A$1:$F$1,0),FALSE)</f>
        <v>1</v>
      </c>
      <c r="F1991" t="str">
        <f>VLOOKUP($E1991,categories!$A$1:$B$8,MATCH(order_items!$F$1,categories!$A$1:$B$1,0),FALSE)</f>
        <v>Children Bicycles</v>
      </c>
      <c r="G1991">
        <v>2</v>
      </c>
      <c r="H1991">
        <v>489.99</v>
      </c>
      <c r="I1991" s="5">
        <v>7.0000000000000007E-2</v>
      </c>
      <c r="J1991">
        <f t="shared" si="62"/>
        <v>911.38139999999999</v>
      </c>
      <c r="K1991" s="9">
        <f t="shared" si="63"/>
        <v>-0.53429578771287245</v>
      </c>
    </row>
    <row r="1992" spans="1:11" x14ac:dyDescent="0.3">
      <c r="A1992">
        <v>705</v>
      </c>
      <c r="B1992">
        <v>1</v>
      </c>
      <c r="C1992">
        <v>61</v>
      </c>
      <c r="D1992" t="str">
        <f>VLOOKUP($C1992,products!$A$1:$F$322,MATCH(order_items!$D$1,products!$A$1:$F$1,0),FALSE)</f>
        <v>Trek Powerfly 8 FS Plus - 2017</v>
      </c>
      <c r="E1992">
        <f>VLOOKUP($C1992,products!$A$1:$F$322,MATCH(order_items!$E$1,products!$A$1:$F$1,0),FALSE)</f>
        <v>5</v>
      </c>
      <c r="F1992" t="str">
        <f>VLOOKUP($E1992,categories!$A$1:$B$8,MATCH(order_items!$F$1,categories!$A$1:$B$1,0),FALSE)</f>
        <v>Electric Bikes</v>
      </c>
      <c r="G1992">
        <v>1</v>
      </c>
      <c r="H1992">
        <v>4999.99</v>
      </c>
      <c r="I1992" s="5">
        <v>0.1</v>
      </c>
      <c r="J1992">
        <f t="shared" si="62"/>
        <v>4499.991</v>
      </c>
      <c r="K1992" s="9">
        <f t="shared" si="63"/>
        <v>2.7998877119074401</v>
      </c>
    </row>
    <row r="1993" spans="1:11" x14ac:dyDescent="0.3">
      <c r="A1993">
        <v>706</v>
      </c>
      <c r="B1993">
        <v>1</v>
      </c>
      <c r="C1993">
        <v>27</v>
      </c>
      <c r="D1993" t="str">
        <f>VLOOKUP($C1993,products!$A$1:$F$322,MATCH(order_items!$D$1,products!$A$1:$F$1,0),FALSE)</f>
        <v>Surly Big Dummy Frameset - 2017</v>
      </c>
      <c r="E1993">
        <f>VLOOKUP($C1993,products!$A$1:$F$322,MATCH(order_items!$E$1,products!$A$1:$F$1,0),FALSE)</f>
        <v>6</v>
      </c>
      <c r="F1993" t="str">
        <f>VLOOKUP($E1993,categories!$A$1:$B$8,MATCH(order_items!$F$1,categories!$A$1:$B$1,0),FALSE)</f>
        <v>Mountain Bikes</v>
      </c>
      <c r="G1993">
        <v>1</v>
      </c>
      <c r="H1993">
        <v>999.99</v>
      </c>
      <c r="I1993" s="5">
        <v>0.1</v>
      </c>
      <c r="J1993">
        <f t="shared" si="62"/>
        <v>899.99099999999999</v>
      </c>
      <c r="K1993" s="9">
        <f t="shared" si="63"/>
        <v>-0.15725951613718298</v>
      </c>
    </row>
    <row r="1994" spans="1:11" x14ac:dyDescent="0.3">
      <c r="A1994">
        <v>706</v>
      </c>
      <c r="B1994">
        <v>2</v>
      </c>
      <c r="C1994">
        <v>23</v>
      </c>
      <c r="D1994" t="str">
        <f>VLOOKUP($C1994,products!$A$1:$F$322,MATCH(order_items!$D$1,products!$A$1:$F$1,0),FALSE)</f>
        <v>Electra Girl's Hawaii 1 (20-inch) - 2015/2016</v>
      </c>
      <c r="E1994">
        <f>VLOOKUP($C1994,products!$A$1:$F$322,MATCH(order_items!$E$1,products!$A$1:$F$1,0),FALSE)</f>
        <v>1</v>
      </c>
      <c r="F1994" t="str">
        <f>VLOOKUP($E1994,categories!$A$1:$B$8,MATCH(order_items!$F$1,categories!$A$1:$B$1,0),FALSE)</f>
        <v>Children Bicycles</v>
      </c>
      <c r="G1994">
        <v>2</v>
      </c>
      <c r="H1994">
        <v>299.99</v>
      </c>
      <c r="I1994" s="5">
        <v>0.05</v>
      </c>
      <c r="J1994">
        <f t="shared" si="62"/>
        <v>569.98099999999999</v>
      </c>
      <c r="K1994" s="9">
        <f t="shared" si="63"/>
        <v>-0.67476028104499197</v>
      </c>
    </row>
    <row r="1995" spans="1:11" x14ac:dyDescent="0.3">
      <c r="A1995">
        <v>706</v>
      </c>
      <c r="B1995">
        <v>3</v>
      </c>
      <c r="C1995">
        <v>60</v>
      </c>
      <c r="D1995" t="str">
        <f>VLOOKUP($C1995,products!$A$1:$F$322,MATCH(order_items!$D$1,products!$A$1:$F$1,0),FALSE)</f>
        <v>Sun Bicycles ElectroLite - 2017</v>
      </c>
      <c r="E1995">
        <f>VLOOKUP($C1995,products!$A$1:$F$322,MATCH(order_items!$E$1,products!$A$1:$F$1,0),FALSE)</f>
        <v>5</v>
      </c>
      <c r="F1995" t="str">
        <f>VLOOKUP($E1995,categories!$A$1:$B$8,MATCH(order_items!$F$1,categories!$A$1:$B$1,0),FALSE)</f>
        <v>Electric Bikes</v>
      </c>
      <c r="G1995">
        <v>1</v>
      </c>
      <c r="H1995">
        <v>1559.99</v>
      </c>
      <c r="I1995" s="5">
        <v>0.2</v>
      </c>
      <c r="J1995">
        <f t="shared" si="62"/>
        <v>1247.9920000000002</v>
      </c>
      <c r="K1995" s="9">
        <f t="shared" si="63"/>
        <v>0.25674109578906423</v>
      </c>
    </row>
    <row r="1996" spans="1:11" x14ac:dyDescent="0.3">
      <c r="A1996">
        <v>707</v>
      </c>
      <c r="B1996">
        <v>1</v>
      </c>
      <c r="C1996">
        <v>106</v>
      </c>
      <c r="D1996" t="str">
        <f>VLOOKUP($C1996,products!$A$1:$F$322,MATCH(order_items!$D$1,products!$A$1:$F$1,0),FALSE)</f>
        <v>Sun Bicycles Cruz 3 - 2017</v>
      </c>
      <c r="E1996">
        <f>VLOOKUP($C1996,products!$A$1:$F$322,MATCH(order_items!$E$1,products!$A$1:$F$1,0),FALSE)</f>
        <v>2</v>
      </c>
      <c r="F1996" t="str">
        <f>VLOOKUP($E1996,categories!$A$1:$B$8,MATCH(order_items!$F$1,categories!$A$1:$B$1,0),FALSE)</f>
        <v>Comfort Bicycles</v>
      </c>
      <c r="G1996">
        <v>2</v>
      </c>
      <c r="H1996">
        <v>449.99</v>
      </c>
      <c r="I1996" s="5">
        <v>0.05</v>
      </c>
      <c r="J1996">
        <f t="shared" si="62"/>
        <v>854.98099999999999</v>
      </c>
      <c r="K1996" s="9">
        <f t="shared" si="63"/>
        <v>-0.56386725999331866</v>
      </c>
    </row>
    <row r="1997" spans="1:11" x14ac:dyDescent="0.3">
      <c r="A1997">
        <v>707</v>
      </c>
      <c r="B1997">
        <v>2</v>
      </c>
      <c r="C1997">
        <v>100</v>
      </c>
      <c r="D1997" t="str">
        <f>VLOOKUP($C1997,products!$A$1:$F$322,MATCH(order_items!$D$1,products!$A$1:$F$1,0),FALSE)</f>
        <v>Electra Townie 3i EQ (20-inch) - Boys' - 2017</v>
      </c>
      <c r="E1997">
        <f>VLOOKUP($C1997,products!$A$1:$F$322,MATCH(order_items!$E$1,products!$A$1:$F$1,0),FALSE)</f>
        <v>1</v>
      </c>
      <c r="F1997" t="str">
        <f>VLOOKUP($E1997,categories!$A$1:$B$8,MATCH(order_items!$F$1,categories!$A$1:$B$1,0),FALSE)</f>
        <v>Children Bicycles</v>
      </c>
      <c r="G1997">
        <v>1</v>
      </c>
      <c r="H1997">
        <v>489.99</v>
      </c>
      <c r="I1997" s="5">
        <v>7.0000000000000007E-2</v>
      </c>
      <c r="J1997">
        <f t="shared" si="62"/>
        <v>455.69069999999999</v>
      </c>
      <c r="K1997" s="9">
        <f t="shared" si="63"/>
        <v>-0.53429578771287245</v>
      </c>
    </row>
    <row r="1998" spans="1:11" x14ac:dyDescent="0.3">
      <c r="A1998">
        <v>707</v>
      </c>
      <c r="B1998">
        <v>3</v>
      </c>
      <c r="C1998">
        <v>11</v>
      </c>
      <c r="D1998" t="str">
        <f>VLOOKUP($C1998,products!$A$1:$F$322,MATCH(order_items!$D$1,products!$A$1:$F$1,0),FALSE)</f>
        <v>Surly Straggler 650b - 2016</v>
      </c>
      <c r="E1998">
        <f>VLOOKUP($C1998,products!$A$1:$F$322,MATCH(order_items!$E$1,products!$A$1:$F$1,0),FALSE)</f>
        <v>4</v>
      </c>
      <c r="F1998" t="str">
        <f>VLOOKUP($E1998,categories!$A$1:$B$8,MATCH(order_items!$F$1,categories!$A$1:$B$1,0),FALSE)</f>
        <v>Cyclocross Bicycles</v>
      </c>
      <c r="G1998">
        <v>2</v>
      </c>
      <c r="H1998">
        <v>1680.99</v>
      </c>
      <c r="I1998" s="5">
        <v>0.1</v>
      </c>
      <c r="J1998">
        <f t="shared" si="62"/>
        <v>3025.7820000000002</v>
      </c>
      <c r="K1998" s="9">
        <f t="shared" si="63"/>
        <v>0.3461947994374141</v>
      </c>
    </row>
    <row r="1999" spans="1:11" x14ac:dyDescent="0.3">
      <c r="A1999">
        <v>707</v>
      </c>
      <c r="B1999">
        <v>4</v>
      </c>
      <c r="C1999">
        <v>26</v>
      </c>
      <c r="D1999" t="str">
        <f>VLOOKUP($C1999,products!$A$1:$F$322,MATCH(order_items!$D$1,products!$A$1:$F$1,0),FALSE)</f>
        <v>Electra Townie Original 7D EQ - 2016</v>
      </c>
      <c r="E1999">
        <f>VLOOKUP($C1999,products!$A$1:$F$322,MATCH(order_items!$E$1,products!$A$1:$F$1,0),FALSE)</f>
        <v>2</v>
      </c>
      <c r="F1999" t="str">
        <f>VLOOKUP($E1999,categories!$A$1:$B$8,MATCH(order_items!$F$1,categories!$A$1:$B$1,0),FALSE)</f>
        <v>Comfort Bicycles</v>
      </c>
      <c r="G1999">
        <v>2</v>
      </c>
      <c r="H1999">
        <v>599.99</v>
      </c>
      <c r="I1999" s="5">
        <v>0.1</v>
      </c>
      <c r="J1999">
        <f t="shared" si="62"/>
        <v>1079.982</v>
      </c>
      <c r="K1999" s="9">
        <f t="shared" si="63"/>
        <v>-0.45297423894164529</v>
      </c>
    </row>
    <row r="2000" spans="1:11" x14ac:dyDescent="0.3">
      <c r="A2000">
        <v>708</v>
      </c>
      <c r="B2000">
        <v>1</v>
      </c>
      <c r="C2000">
        <v>6</v>
      </c>
      <c r="D2000" t="str">
        <f>VLOOKUP($C2000,products!$A$1:$F$322,MATCH(order_items!$D$1,products!$A$1:$F$1,0),FALSE)</f>
        <v>Surly Ice Cream Truck Frameset - 2016</v>
      </c>
      <c r="E2000">
        <f>VLOOKUP($C2000,products!$A$1:$F$322,MATCH(order_items!$E$1,products!$A$1:$F$1,0),FALSE)</f>
        <v>6</v>
      </c>
      <c r="F2000" t="str">
        <f>VLOOKUP($E2000,categories!$A$1:$B$8,MATCH(order_items!$F$1,categories!$A$1:$B$1,0),FALSE)</f>
        <v>Mountain Bikes</v>
      </c>
      <c r="G2000">
        <v>1</v>
      </c>
      <c r="H2000">
        <v>469.99</v>
      </c>
      <c r="I2000" s="5">
        <v>7.0000000000000007E-2</v>
      </c>
      <c r="J2000">
        <f t="shared" si="62"/>
        <v>437.09069999999997</v>
      </c>
      <c r="K2000" s="9">
        <f t="shared" si="63"/>
        <v>-0.5490815238530955</v>
      </c>
    </row>
    <row r="2001" spans="1:11" x14ac:dyDescent="0.3">
      <c r="A2001">
        <v>708</v>
      </c>
      <c r="B2001">
        <v>2</v>
      </c>
      <c r="C2001">
        <v>47</v>
      </c>
      <c r="D2001" t="str">
        <f>VLOOKUP($C2001,products!$A$1:$F$322,MATCH(order_items!$D$1,products!$A$1:$F$1,0),FALSE)</f>
        <v>Trek Remedy 9.8 - 2017</v>
      </c>
      <c r="E2001">
        <f>VLOOKUP($C2001,products!$A$1:$F$322,MATCH(order_items!$E$1,products!$A$1:$F$1,0),FALSE)</f>
        <v>6</v>
      </c>
      <c r="F2001" t="str">
        <f>VLOOKUP($E2001,categories!$A$1:$B$8,MATCH(order_items!$F$1,categories!$A$1:$B$1,0),FALSE)</f>
        <v>Mountain Bikes</v>
      </c>
      <c r="G2001">
        <v>1</v>
      </c>
      <c r="H2001">
        <v>5299.99</v>
      </c>
      <c r="I2001" s="5">
        <v>0.1</v>
      </c>
      <c r="J2001">
        <f t="shared" si="62"/>
        <v>4769.991</v>
      </c>
      <c r="K2001" s="9">
        <f t="shared" si="63"/>
        <v>3.021673754010787</v>
      </c>
    </row>
    <row r="2002" spans="1:11" x14ac:dyDescent="0.3">
      <c r="A2002">
        <v>708</v>
      </c>
      <c r="B2002">
        <v>3</v>
      </c>
      <c r="C2002">
        <v>34</v>
      </c>
      <c r="D2002" t="str">
        <f>VLOOKUP($C2002,products!$A$1:$F$322,MATCH(order_items!$D$1,products!$A$1:$F$1,0),FALSE)</f>
        <v>Trek Session DH 27.5 Carbon Frameset - 2017</v>
      </c>
      <c r="E2002">
        <f>VLOOKUP($C2002,products!$A$1:$F$322,MATCH(order_items!$E$1,products!$A$1:$F$1,0),FALSE)</f>
        <v>6</v>
      </c>
      <c r="F2002" t="str">
        <f>VLOOKUP($E2002,categories!$A$1:$B$8,MATCH(order_items!$F$1,categories!$A$1:$B$1,0),FALSE)</f>
        <v>Mountain Bikes</v>
      </c>
      <c r="G2002">
        <v>2</v>
      </c>
      <c r="H2002">
        <v>469.99</v>
      </c>
      <c r="I2002" s="5">
        <v>0.2</v>
      </c>
      <c r="J2002">
        <f t="shared" si="62"/>
        <v>751.98400000000004</v>
      </c>
      <c r="K2002" s="9">
        <f t="shared" si="63"/>
        <v>-0.5490815238530955</v>
      </c>
    </row>
    <row r="2003" spans="1:11" x14ac:dyDescent="0.3">
      <c r="A2003">
        <v>709</v>
      </c>
      <c r="B2003">
        <v>1</v>
      </c>
      <c r="C2003">
        <v>55</v>
      </c>
      <c r="D2003" t="str">
        <f>VLOOKUP($C2003,products!$A$1:$F$322,MATCH(order_items!$D$1,products!$A$1:$F$1,0),FALSE)</f>
        <v>Trek Domane S 6 - 2017</v>
      </c>
      <c r="E2003">
        <f>VLOOKUP($C2003,products!$A$1:$F$322,MATCH(order_items!$E$1,products!$A$1:$F$1,0),FALSE)</f>
        <v>7</v>
      </c>
      <c r="F2003" t="str">
        <f>VLOOKUP($E2003,categories!$A$1:$B$8,MATCH(order_items!$F$1,categories!$A$1:$B$1,0),FALSE)</f>
        <v>Road Bikes</v>
      </c>
      <c r="G2003">
        <v>2</v>
      </c>
      <c r="H2003">
        <v>2699.99</v>
      </c>
      <c r="I2003" s="5">
        <v>0.05</v>
      </c>
      <c r="J2003">
        <f t="shared" si="62"/>
        <v>5129.9809999999998</v>
      </c>
      <c r="K2003" s="9">
        <f t="shared" si="63"/>
        <v>1.0995280557817817</v>
      </c>
    </row>
    <row r="2004" spans="1:11" x14ac:dyDescent="0.3">
      <c r="A2004">
        <v>709</v>
      </c>
      <c r="B2004">
        <v>2</v>
      </c>
      <c r="C2004">
        <v>101</v>
      </c>
      <c r="D2004" t="str">
        <f>VLOOKUP($C2004,products!$A$1:$F$322,MATCH(order_items!$D$1,products!$A$1:$F$1,0),FALSE)</f>
        <v>Electra Townie 7D (20-inch) - Boys' - 2017</v>
      </c>
      <c r="E2004">
        <f>VLOOKUP($C2004,products!$A$1:$F$322,MATCH(order_items!$E$1,products!$A$1:$F$1,0),FALSE)</f>
        <v>1</v>
      </c>
      <c r="F2004" t="str">
        <f>VLOOKUP($E2004,categories!$A$1:$B$8,MATCH(order_items!$F$1,categories!$A$1:$B$1,0),FALSE)</f>
        <v>Children Bicycles</v>
      </c>
      <c r="G2004">
        <v>2</v>
      </c>
      <c r="H2004">
        <v>339.99</v>
      </c>
      <c r="I2004" s="5">
        <v>7.0000000000000007E-2</v>
      </c>
      <c r="J2004">
        <f t="shared" si="62"/>
        <v>632.38139999999999</v>
      </c>
      <c r="K2004" s="9">
        <f t="shared" si="63"/>
        <v>-0.64518880876454576</v>
      </c>
    </row>
    <row r="2005" spans="1:11" x14ac:dyDescent="0.3">
      <c r="A2005">
        <v>709</v>
      </c>
      <c r="B2005">
        <v>3</v>
      </c>
      <c r="C2005">
        <v>48</v>
      </c>
      <c r="D2005" t="str">
        <f>VLOOKUP($C2005,products!$A$1:$F$322,MATCH(order_items!$D$1,products!$A$1:$F$1,0),FALSE)</f>
        <v>Trek Emonda S 4 - 2017</v>
      </c>
      <c r="E2005">
        <f>VLOOKUP($C2005,products!$A$1:$F$322,MATCH(order_items!$E$1,products!$A$1:$F$1,0),FALSE)</f>
        <v>7</v>
      </c>
      <c r="F2005" t="str">
        <f>VLOOKUP($E2005,categories!$A$1:$B$8,MATCH(order_items!$F$1,categories!$A$1:$B$1,0),FALSE)</f>
        <v>Road Bikes</v>
      </c>
      <c r="G2005">
        <v>1</v>
      </c>
      <c r="H2005">
        <v>1499.99</v>
      </c>
      <c r="I2005" s="5">
        <v>7.0000000000000007E-2</v>
      </c>
      <c r="J2005">
        <f t="shared" si="62"/>
        <v>1394.9906999999998</v>
      </c>
      <c r="K2005" s="9">
        <f t="shared" si="63"/>
        <v>0.21238388736839492</v>
      </c>
    </row>
    <row r="2006" spans="1:11" x14ac:dyDescent="0.3">
      <c r="A2006">
        <v>710</v>
      </c>
      <c r="B2006">
        <v>1</v>
      </c>
      <c r="C2006">
        <v>42</v>
      </c>
      <c r="D2006" t="str">
        <f>VLOOKUP($C2006,products!$A$1:$F$322,MATCH(order_items!$D$1,products!$A$1:$F$1,0),FALSE)</f>
        <v>Trek Fuel EX 5 27.5 Plus - 2017</v>
      </c>
      <c r="E2006">
        <f>VLOOKUP($C2006,products!$A$1:$F$322,MATCH(order_items!$E$1,products!$A$1:$F$1,0),FALSE)</f>
        <v>6</v>
      </c>
      <c r="F2006" t="str">
        <f>VLOOKUP($E2006,categories!$A$1:$B$8,MATCH(order_items!$F$1,categories!$A$1:$B$1,0),FALSE)</f>
        <v>Mountain Bikes</v>
      </c>
      <c r="G2006">
        <v>1</v>
      </c>
      <c r="H2006">
        <v>2299.9899999999998</v>
      </c>
      <c r="I2006" s="5">
        <v>0.05</v>
      </c>
      <c r="J2006">
        <f t="shared" si="62"/>
        <v>2184.9904999999999</v>
      </c>
      <c r="K2006" s="9">
        <f t="shared" si="63"/>
        <v>0.80381333297731938</v>
      </c>
    </row>
    <row r="2007" spans="1:11" x14ac:dyDescent="0.3">
      <c r="A2007">
        <v>710</v>
      </c>
      <c r="B2007">
        <v>2</v>
      </c>
      <c r="C2007">
        <v>60</v>
      </c>
      <c r="D2007" t="str">
        <f>VLOOKUP($C2007,products!$A$1:$F$322,MATCH(order_items!$D$1,products!$A$1:$F$1,0),FALSE)</f>
        <v>Sun Bicycles ElectroLite - 2017</v>
      </c>
      <c r="E2007">
        <f>VLOOKUP($C2007,products!$A$1:$F$322,MATCH(order_items!$E$1,products!$A$1:$F$1,0),FALSE)</f>
        <v>5</v>
      </c>
      <c r="F2007" t="str">
        <f>VLOOKUP($E2007,categories!$A$1:$B$8,MATCH(order_items!$F$1,categories!$A$1:$B$1,0),FALSE)</f>
        <v>Electric Bikes</v>
      </c>
      <c r="G2007">
        <v>2</v>
      </c>
      <c r="H2007">
        <v>1559.99</v>
      </c>
      <c r="I2007" s="5">
        <v>0.2</v>
      </c>
      <c r="J2007">
        <f t="shared" si="62"/>
        <v>2495.9840000000004</v>
      </c>
      <c r="K2007" s="9">
        <f t="shared" si="63"/>
        <v>0.25674109578906423</v>
      </c>
    </row>
    <row r="2008" spans="1:11" x14ac:dyDescent="0.3">
      <c r="A2008">
        <v>710</v>
      </c>
      <c r="B2008">
        <v>3</v>
      </c>
      <c r="C2008">
        <v>39</v>
      </c>
      <c r="D2008" t="str">
        <f>VLOOKUP($C2008,products!$A$1:$F$322,MATCH(order_items!$D$1,products!$A$1:$F$1,0),FALSE)</f>
        <v>Trek Stache 5 - 2017</v>
      </c>
      <c r="E2008">
        <f>VLOOKUP($C2008,products!$A$1:$F$322,MATCH(order_items!$E$1,products!$A$1:$F$1,0),FALSE)</f>
        <v>6</v>
      </c>
      <c r="F2008" t="str">
        <f>VLOOKUP($E2008,categories!$A$1:$B$8,MATCH(order_items!$F$1,categories!$A$1:$B$1,0),FALSE)</f>
        <v>Mountain Bikes</v>
      </c>
      <c r="G2008">
        <v>2</v>
      </c>
      <c r="H2008">
        <v>1499.99</v>
      </c>
      <c r="I2008" s="5">
        <v>0.2</v>
      </c>
      <c r="J2008">
        <f t="shared" si="62"/>
        <v>2399.9839999999999</v>
      </c>
      <c r="K2008" s="9">
        <f t="shared" si="63"/>
        <v>0.21238388736839492</v>
      </c>
    </row>
    <row r="2009" spans="1:11" x14ac:dyDescent="0.3">
      <c r="A2009">
        <v>710</v>
      </c>
      <c r="B2009">
        <v>4</v>
      </c>
      <c r="C2009">
        <v>57</v>
      </c>
      <c r="D2009" t="str">
        <f>VLOOKUP($C2009,products!$A$1:$F$322,MATCH(order_items!$D$1,products!$A$1:$F$1,0),FALSE)</f>
        <v>Trek Emonda S 5 - 2017</v>
      </c>
      <c r="E2009">
        <f>VLOOKUP($C2009,products!$A$1:$F$322,MATCH(order_items!$E$1,products!$A$1:$F$1,0),FALSE)</f>
        <v>7</v>
      </c>
      <c r="F2009" t="str">
        <f>VLOOKUP($E2009,categories!$A$1:$B$8,MATCH(order_items!$F$1,categories!$A$1:$B$1,0),FALSE)</f>
        <v>Road Bikes</v>
      </c>
      <c r="G2009">
        <v>1</v>
      </c>
      <c r="H2009">
        <v>1999.99</v>
      </c>
      <c r="I2009" s="5">
        <v>0.2</v>
      </c>
      <c r="J2009">
        <f t="shared" si="62"/>
        <v>1599.9920000000002</v>
      </c>
      <c r="K2009" s="9">
        <f t="shared" si="63"/>
        <v>0.58202729087397276</v>
      </c>
    </row>
    <row r="2010" spans="1:11" x14ac:dyDescent="0.3">
      <c r="A2010">
        <v>710</v>
      </c>
      <c r="B2010">
        <v>5</v>
      </c>
      <c r="C2010">
        <v>28</v>
      </c>
      <c r="D2010" t="str">
        <f>VLOOKUP($C2010,products!$A$1:$F$322,MATCH(order_items!$D$1,products!$A$1:$F$1,0),FALSE)</f>
        <v>Surly Karate Monkey 27.5+ Frameset - 2017</v>
      </c>
      <c r="E2010">
        <f>VLOOKUP($C2010,products!$A$1:$F$322,MATCH(order_items!$E$1,products!$A$1:$F$1,0),FALSE)</f>
        <v>6</v>
      </c>
      <c r="F2010" t="str">
        <f>VLOOKUP($E2010,categories!$A$1:$B$8,MATCH(order_items!$F$1,categories!$A$1:$B$1,0),FALSE)</f>
        <v>Mountain Bikes</v>
      </c>
      <c r="G2010">
        <v>1</v>
      </c>
      <c r="H2010">
        <v>2499.9899999999998</v>
      </c>
      <c r="I2010" s="5">
        <v>0.05</v>
      </c>
      <c r="J2010">
        <f t="shared" si="62"/>
        <v>2374.9904999999999</v>
      </c>
      <c r="K2010" s="9">
        <f t="shared" si="63"/>
        <v>0.95167069437955054</v>
      </c>
    </row>
    <row r="2011" spans="1:11" x14ac:dyDescent="0.3">
      <c r="A2011">
        <v>711</v>
      </c>
      <c r="B2011">
        <v>1</v>
      </c>
      <c r="C2011">
        <v>5</v>
      </c>
      <c r="D2011" t="str">
        <f>VLOOKUP($C2011,products!$A$1:$F$322,MATCH(order_items!$D$1,products!$A$1:$F$1,0),FALSE)</f>
        <v>Heller Shagamaw Frame - 2016</v>
      </c>
      <c r="E2011">
        <f>VLOOKUP($C2011,products!$A$1:$F$322,MATCH(order_items!$E$1,products!$A$1:$F$1,0),FALSE)</f>
        <v>6</v>
      </c>
      <c r="F2011" t="str">
        <f>VLOOKUP($E2011,categories!$A$1:$B$8,MATCH(order_items!$F$1,categories!$A$1:$B$1,0),FALSE)</f>
        <v>Mountain Bikes</v>
      </c>
      <c r="G2011">
        <v>2</v>
      </c>
      <c r="H2011">
        <v>1320.99</v>
      </c>
      <c r="I2011" s="5">
        <v>0.05</v>
      </c>
      <c r="J2011">
        <f t="shared" si="62"/>
        <v>2509.8809999999999</v>
      </c>
      <c r="K2011" s="9">
        <f t="shared" si="63"/>
        <v>8.0051548913398024E-2</v>
      </c>
    </row>
    <row r="2012" spans="1:11" x14ac:dyDescent="0.3">
      <c r="A2012">
        <v>711</v>
      </c>
      <c r="B2012">
        <v>2</v>
      </c>
      <c r="C2012">
        <v>95</v>
      </c>
      <c r="D2012" t="str">
        <f>VLOOKUP($C2012,products!$A$1:$F$322,MATCH(order_items!$D$1,products!$A$1:$F$1,0),FALSE)</f>
        <v>Electra Girl's Hawaii 1 16" - 2017</v>
      </c>
      <c r="E2012">
        <f>VLOOKUP($C2012,products!$A$1:$F$322,MATCH(order_items!$E$1,products!$A$1:$F$1,0),FALSE)</f>
        <v>1</v>
      </c>
      <c r="F2012" t="str">
        <f>VLOOKUP($E2012,categories!$A$1:$B$8,MATCH(order_items!$F$1,categories!$A$1:$B$1,0),FALSE)</f>
        <v>Children Bicycles</v>
      </c>
      <c r="G2012">
        <v>2</v>
      </c>
      <c r="H2012">
        <v>299.99</v>
      </c>
      <c r="I2012" s="5">
        <v>0.2</v>
      </c>
      <c r="J2012">
        <f t="shared" si="62"/>
        <v>479.98400000000004</v>
      </c>
      <c r="K2012" s="9">
        <f t="shared" si="63"/>
        <v>-0.67476028104499197</v>
      </c>
    </row>
    <row r="2013" spans="1:11" x14ac:dyDescent="0.3">
      <c r="A2013">
        <v>711</v>
      </c>
      <c r="B2013">
        <v>3</v>
      </c>
      <c r="C2013">
        <v>72</v>
      </c>
      <c r="D2013" t="str">
        <f>VLOOKUP($C2013,products!$A$1:$F$322,MATCH(order_items!$D$1,products!$A$1:$F$1,0),FALSE)</f>
        <v>Sun Bicycles Biscayne Tandem 7 - 2017</v>
      </c>
      <c r="E2013">
        <f>VLOOKUP($C2013,products!$A$1:$F$322,MATCH(order_items!$E$1,products!$A$1:$F$1,0),FALSE)</f>
        <v>3</v>
      </c>
      <c r="F2013" t="str">
        <f>VLOOKUP($E2013,categories!$A$1:$B$8,MATCH(order_items!$F$1,categories!$A$1:$B$1,0),FALSE)</f>
        <v>Cruisers Bicycles</v>
      </c>
      <c r="G2013">
        <v>2</v>
      </c>
      <c r="H2013">
        <v>619.99</v>
      </c>
      <c r="I2013" s="5">
        <v>0.05</v>
      </c>
      <c r="J2013">
        <f t="shared" si="62"/>
        <v>1177.981</v>
      </c>
      <c r="K2013" s="9">
        <f t="shared" si="63"/>
        <v>-0.43818850280142219</v>
      </c>
    </row>
    <row r="2014" spans="1:11" x14ac:dyDescent="0.3">
      <c r="A2014">
        <v>712</v>
      </c>
      <c r="B2014">
        <v>1</v>
      </c>
      <c r="C2014">
        <v>44</v>
      </c>
      <c r="D2014" t="str">
        <f>VLOOKUP($C2014,products!$A$1:$F$322,MATCH(order_items!$D$1,products!$A$1:$F$1,0),FALSE)</f>
        <v>Haro SR 1.1 - 2017</v>
      </c>
      <c r="E2014">
        <f>VLOOKUP($C2014,products!$A$1:$F$322,MATCH(order_items!$E$1,products!$A$1:$F$1,0),FALSE)</f>
        <v>6</v>
      </c>
      <c r="F2014" t="str">
        <f>VLOOKUP($E2014,categories!$A$1:$B$8,MATCH(order_items!$F$1,categories!$A$1:$B$1,0),FALSE)</f>
        <v>Mountain Bikes</v>
      </c>
      <c r="G2014">
        <v>2</v>
      </c>
      <c r="H2014">
        <v>539.99</v>
      </c>
      <c r="I2014" s="5">
        <v>0.2</v>
      </c>
      <c r="J2014">
        <f t="shared" si="62"/>
        <v>863.98400000000004</v>
      </c>
      <c r="K2014" s="9">
        <f t="shared" si="63"/>
        <v>-0.49733144736231466</v>
      </c>
    </row>
    <row r="2015" spans="1:11" x14ac:dyDescent="0.3">
      <c r="A2015">
        <v>712</v>
      </c>
      <c r="B2015">
        <v>2</v>
      </c>
      <c r="C2015">
        <v>74</v>
      </c>
      <c r="D2015" t="str">
        <f>VLOOKUP($C2015,products!$A$1:$F$322,MATCH(order_items!$D$1,products!$A$1:$F$1,0),FALSE)</f>
        <v>Electra Cruiser Lux 1 - 2017</v>
      </c>
      <c r="E2015">
        <f>VLOOKUP($C2015,products!$A$1:$F$322,MATCH(order_items!$E$1,products!$A$1:$F$1,0),FALSE)</f>
        <v>3</v>
      </c>
      <c r="F2015" t="str">
        <f>VLOOKUP($E2015,categories!$A$1:$B$8,MATCH(order_items!$F$1,categories!$A$1:$B$1,0),FALSE)</f>
        <v>Cruisers Bicycles</v>
      </c>
      <c r="G2015">
        <v>2</v>
      </c>
      <c r="H2015">
        <v>439.99</v>
      </c>
      <c r="I2015" s="5">
        <v>0.1</v>
      </c>
      <c r="J2015">
        <f t="shared" si="62"/>
        <v>791.98200000000008</v>
      </c>
      <c r="K2015" s="9">
        <f t="shared" si="63"/>
        <v>-0.57126012806343018</v>
      </c>
    </row>
    <row r="2016" spans="1:11" x14ac:dyDescent="0.3">
      <c r="A2016">
        <v>712</v>
      </c>
      <c r="B2016">
        <v>3</v>
      </c>
      <c r="C2016">
        <v>35</v>
      </c>
      <c r="D2016" t="str">
        <f>VLOOKUP($C2016,products!$A$1:$F$322,MATCH(order_items!$D$1,products!$A$1:$F$1,0),FALSE)</f>
        <v>Sun Bicycles Spider 3i - 2017</v>
      </c>
      <c r="E2016">
        <f>VLOOKUP($C2016,products!$A$1:$F$322,MATCH(order_items!$E$1,products!$A$1:$F$1,0),FALSE)</f>
        <v>6</v>
      </c>
      <c r="F2016" t="str">
        <f>VLOOKUP($E2016,categories!$A$1:$B$8,MATCH(order_items!$F$1,categories!$A$1:$B$1,0),FALSE)</f>
        <v>Mountain Bikes</v>
      </c>
      <c r="G2016">
        <v>1</v>
      </c>
      <c r="H2016">
        <v>832.99</v>
      </c>
      <c r="I2016" s="5">
        <v>0.2</v>
      </c>
      <c r="J2016">
        <f t="shared" si="62"/>
        <v>666.39200000000005</v>
      </c>
      <c r="K2016" s="9">
        <f t="shared" si="63"/>
        <v>-0.280720412908046</v>
      </c>
    </row>
    <row r="2017" spans="1:11" x14ac:dyDescent="0.3">
      <c r="A2017">
        <v>712</v>
      </c>
      <c r="B2017">
        <v>4</v>
      </c>
      <c r="C2017">
        <v>76</v>
      </c>
      <c r="D2017" t="str">
        <f>VLOOKUP($C2017,products!$A$1:$F$322,MATCH(order_items!$D$1,products!$A$1:$F$1,0),FALSE)</f>
        <v>Electra Girl's Hawaii 1 16" - 2017</v>
      </c>
      <c r="E2017">
        <f>VLOOKUP($C2017,products!$A$1:$F$322,MATCH(order_items!$E$1,products!$A$1:$F$1,0),FALSE)</f>
        <v>3</v>
      </c>
      <c r="F2017" t="str">
        <f>VLOOKUP($E2017,categories!$A$1:$B$8,MATCH(order_items!$F$1,categories!$A$1:$B$1,0),FALSE)</f>
        <v>Cruisers Bicycles</v>
      </c>
      <c r="G2017">
        <v>1</v>
      </c>
      <c r="H2017">
        <v>299.99</v>
      </c>
      <c r="I2017" s="5">
        <v>0.2</v>
      </c>
      <c r="J2017">
        <f t="shared" si="62"/>
        <v>239.99200000000002</v>
      </c>
      <c r="K2017" s="9">
        <f t="shared" si="63"/>
        <v>-0.67476028104499197</v>
      </c>
    </row>
    <row r="2018" spans="1:11" x14ac:dyDescent="0.3">
      <c r="A2018">
        <v>712</v>
      </c>
      <c r="B2018">
        <v>5</v>
      </c>
      <c r="C2018">
        <v>4</v>
      </c>
      <c r="D2018" t="str">
        <f>VLOOKUP($C2018,products!$A$1:$F$322,MATCH(order_items!$D$1,products!$A$1:$F$1,0),FALSE)</f>
        <v>Trek Fuel EX 8 29 - 2016</v>
      </c>
      <c r="E2018">
        <f>VLOOKUP($C2018,products!$A$1:$F$322,MATCH(order_items!$E$1,products!$A$1:$F$1,0),FALSE)</f>
        <v>6</v>
      </c>
      <c r="F2018" t="str">
        <f>VLOOKUP($E2018,categories!$A$1:$B$8,MATCH(order_items!$F$1,categories!$A$1:$B$1,0),FALSE)</f>
        <v>Mountain Bikes</v>
      </c>
      <c r="G2018">
        <v>2</v>
      </c>
      <c r="H2018">
        <v>2899.99</v>
      </c>
      <c r="I2018" s="5">
        <v>0.05</v>
      </c>
      <c r="J2018">
        <f t="shared" si="62"/>
        <v>5509.9809999999998</v>
      </c>
      <c r="K2018" s="9">
        <f t="shared" si="63"/>
        <v>1.2473854171840129</v>
      </c>
    </row>
    <row r="2019" spans="1:11" x14ac:dyDescent="0.3">
      <c r="A2019">
        <v>713</v>
      </c>
      <c r="B2019">
        <v>1</v>
      </c>
      <c r="C2019">
        <v>93</v>
      </c>
      <c r="D2019" t="str">
        <f>VLOOKUP($C2019,products!$A$1:$F$322,MATCH(order_items!$D$1,products!$A$1:$F$1,0),FALSE)</f>
        <v>Haro Shredder 20 Girls - 2017</v>
      </c>
      <c r="E2019">
        <f>VLOOKUP($C2019,products!$A$1:$F$322,MATCH(order_items!$E$1,products!$A$1:$F$1,0),FALSE)</f>
        <v>1</v>
      </c>
      <c r="F2019" t="str">
        <f>VLOOKUP($E2019,categories!$A$1:$B$8,MATCH(order_items!$F$1,categories!$A$1:$B$1,0),FALSE)</f>
        <v>Children Bicycles</v>
      </c>
      <c r="G2019">
        <v>2</v>
      </c>
      <c r="H2019">
        <v>209.99</v>
      </c>
      <c r="I2019" s="5">
        <v>0.2</v>
      </c>
      <c r="J2019">
        <f t="shared" si="62"/>
        <v>335.98400000000004</v>
      </c>
      <c r="K2019" s="9">
        <f t="shared" si="63"/>
        <v>-0.74129609367599603</v>
      </c>
    </row>
    <row r="2020" spans="1:11" x14ac:dyDescent="0.3">
      <c r="A2020">
        <v>713</v>
      </c>
      <c r="B2020">
        <v>2</v>
      </c>
      <c r="C2020">
        <v>97</v>
      </c>
      <c r="D2020" t="str">
        <f>VLOOKUP($C2020,products!$A$1:$F$322,MATCH(order_items!$D$1,products!$A$1:$F$1,0),FALSE)</f>
        <v>Electra Savannah 3i (20-inch) - Girl's - 2017</v>
      </c>
      <c r="E2020">
        <f>VLOOKUP($C2020,products!$A$1:$F$322,MATCH(order_items!$E$1,products!$A$1:$F$1,0),FALSE)</f>
        <v>1</v>
      </c>
      <c r="F2020" t="str">
        <f>VLOOKUP($E2020,categories!$A$1:$B$8,MATCH(order_items!$F$1,categories!$A$1:$B$1,0),FALSE)</f>
        <v>Children Bicycles</v>
      </c>
      <c r="G2020">
        <v>2</v>
      </c>
      <c r="H2020">
        <v>349.99</v>
      </c>
      <c r="I2020" s="5">
        <v>0.1</v>
      </c>
      <c r="J2020">
        <f t="shared" si="62"/>
        <v>629.98200000000008</v>
      </c>
      <c r="K2020" s="9">
        <f t="shared" si="63"/>
        <v>-0.63779594069443424</v>
      </c>
    </row>
    <row r="2021" spans="1:11" x14ac:dyDescent="0.3">
      <c r="A2021">
        <v>713</v>
      </c>
      <c r="B2021">
        <v>3</v>
      </c>
      <c r="C2021">
        <v>53</v>
      </c>
      <c r="D2021" t="str">
        <f>VLOOKUP($C2021,products!$A$1:$F$322,MATCH(order_items!$D$1,products!$A$1:$F$1,0),FALSE)</f>
        <v>Surly Ogre Frameset - 2017</v>
      </c>
      <c r="E2021">
        <f>VLOOKUP($C2021,products!$A$1:$F$322,MATCH(order_items!$E$1,products!$A$1:$F$1,0),FALSE)</f>
        <v>7</v>
      </c>
      <c r="F2021" t="str">
        <f>VLOOKUP($E2021,categories!$A$1:$B$8,MATCH(order_items!$F$1,categories!$A$1:$B$1,0),FALSE)</f>
        <v>Road Bikes</v>
      </c>
      <c r="G2021">
        <v>1</v>
      </c>
      <c r="H2021">
        <v>749.99</v>
      </c>
      <c r="I2021" s="5">
        <v>7.0000000000000007E-2</v>
      </c>
      <c r="J2021">
        <f t="shared" si="62"/>
        <v>697.49069999999995</v>
      </c>
      <c r="K2021" s="9">
        <f t="shared" si="63"/>
        <v>-0.34208121788997192</v>
      </c>
    </row>
    <row r="2022" spans="1:11" x14ac:dyDescent="0.3">
      <c r="A2022">
        <v>713</v>
      </c>
      <c r="B2022">
        <v>4</v>
      </c>
      <c r="C2022">
        <v>108</v>
      </c>
      <c r="D2022" t="str">
        <f>VLOOKUP($C2022,products!$A$1:$F$322,MATCH(order_items!$D$1,products!$A$1:$F$1,0),FALSE)</f>
        <v>Sun Bicycles Cruz 3 - Women's - 2017</v>
      </c>
      <c r="E2022">
        <f>VLOOKUP($C2022,products!$A$1:$F$322,MATCH(order_items!$E$1,products!$A$1:$F$1,0),FALSE)</f>
        <v>2</v>
      </c>
      <c r="F2022" t="str">
        <f>VLOOKUP($E2022,categories!$A$1:$B$8,MATCH(order_items!$F$1,categories!$A$1:$B$1,0),FALSE)</f>
        <v>Comfort Bicycles</v>
      </c>
      <c r="G2022">
        <v>2</v>
      </c>
      <c r="H2022">
        <v>449.99</v>
      </c>
      <c r="I2022" s="5">
        <v>7.0000000000000007E-2</v>
      </c>
      <c r="J2022">
        <f t="shared" si="62"/>
        <v>836.98140000000001</v>
      </c>
      <c r="K2022" s="9">
        <f t="shared" si="63"/>
        <v>-0.56386725999331866</v>
      </c>
    </row>
    <row r="2023" spans="1:11" x14ac:dyDescent="0.3">
      <c r="A2023">
        <v>714</v>
      </c>
      <c r="B2023">
        <v>1</v>
      </c>
      <c r="C2023">
        <v>92</v>
      </c>
      <c r="D2023" t="str">
        <f>VLOOKUP($C2023,products!$A$1:$F$322,MATCH(order_items!$D$1,products!$A$1:$F$1,0),FALSE)</f>
        <v>Haro Shredder 20 - 2017</v>
      </c>
      <c r="E2023">
        <f>VLOOKUP($C2023,products!$A$1:$F$322,MATCH(order_items!$E$1,products!$A$1:$F$1,0),FALSE)</f>
        <v>1</v>
      </c>
      <c r="F2023" t="str">
        <f>VLOOKUP($E2023,categories!$A$1:$B$8,MATCH(order_items!$F$1,categories!$A$1:$B$1,0),FALSE)</f>
        <v>Children Bicycles</v>
      </c>
      <c r="G2023">
        <v>2</v>
      </c>
      <c r="H2023">
        <v>209.99</v>
      </c>
      <c r="I2023" s="5">
        <v>0.2</v>
      </c>
      <c r="J2023">
        <f t="shared" si="62"/>
        <v>335.98400000000004</v>
      </c>
      <c r="K2023" s="9">
        <f t="shared" si="63"/>
        <v>-0.74129609367599603</v>
      </c>
    </row>
    <row r="2024" spans="1:11" x14ac:dyDescent="0.3">
      <c r="A2024">
        <v>715</v>
      </c>
      <c r="B2024">
        <v>1</v>
      </c>
      <c r="C2024">
        <v>61</v>
      </c>
      <c r="D2024" t="str">
        <f>VLOOKUP($C2024,products!$A$1:$F$322,MATCH(order_items!$D$1,products!$A$1:$F$1,0),FALSE)</f>
        <v>Trek Powerfly 8 FS Plus - 2017</v>
      </c>
      <c r="E2024">
        <f>VLOOKUP($C2024,products!$A$1:$F$322,MATCH(order_items!$E$1,products!$A$1:$F$1,0),FALSE)</f>
        <v>5</v>
      </c>
      <c r="F2024" t="str">
        <f>VLOOKUP($E2024,categories!$A$1:$B$8,MATCH(order_items!$F$1,categories!$A$1:$B$1,0),FALSE)</f>
        <v>Electric Bikes</v>
      </c>
      <c r="G2024">
        <v>2</v>
      </c>
      <c r="H2024">
        <v>4999.99</v>
      </c>
      <c r="I2024" s="5">
        <v>0.1</v>
      </c>
      <c r="J2024">
        <f t="shared" si="62"/>
        <v>8999.982</v>
      </c>
      <c r="K2024" s="9">
        <f t="shared" si="63"/>
        <v>2.7998877119074401</v>
      </c>
    </row>
    <row r="2025" spans="1:11" x14ac:dyDescent="0.3">
      <c r="A2025">
        <v>715</v>
      </c>
      <c r="B2025">
        <v>2</v>
      </c>
      <c r="C2025">
        <v>50</v>
      </c>
      <c r="D2025" t="str">
        <f>VLOOKUP($C2025,products!$A$1:$F$322,MATCH(order_items!$D$1,products!$A$1:$F$1,0),FALSE)</f>
        <v>Trek Silque SLR 7 Women's - 2017</v>
      </c>
      <c r="E2025">
        <f>VLOOKUP($C2025,products!$A$1:$F$322,MATCH(order_items!$E$1,products!$A$1:$F$1,0),FALSE)</f>
        <v>7</v>
      </c>
      <c r="F2025" t="str">
        <f>VLOOKUP($E2025,categories!$A$1:$B$8,MATCH(order_items!$F$1,categories!$A$1:$B$1,0),FALSE)</f>
        <v>Road Bikes</v>
      </c>
      <c r="G2025">
        <v>1</v>
      </c>
      <c r="H2025">
        <v>5999.99</v>
      </c>
      <c r="I2025" s="5">
        <v>0.2</v>
      </c>
      <c r="J2025">
        <f t="shared" si="62"/>
        <v>4799.9920000000002</v>
      </c>
      <c r="K2025" s="9">
        <f t="shared" si="63"/>
        <v>3.5391745189185961</v>
      </c>
    </row>
    <row r="2026" spans="1:11" x14ac:dyDescent="0.3">
      <c r="A2026">
        <v>716</v>
      </c>
      <c r="B2026">
        <v>1</v>
      </c>
      <c r="C2026">
        <v>111</v>
      </c>
      <c r="D2026" t="str">
        <f>VLOOKUP($C2026,products!$A$1:$F$322,MATCH(order_items!$D$1,products!$A$1:$F$1,0),FALSE)</f>
        <v>Sun Bicycles Drifter 7 - Women's - 2017</v>
      </c>
      <c r="E2026">
        <f>VLOOKUP($C2026,products!$A$1:$F$322,MATCH(order_items!$E$1,products!$A$1:$F$1,0),FALSE)</f>
        <v>2</v>
      </c>
      <c r="F2026" t="str">
        <f>VLOOKUP($E2026,categories!$A$1:$B$8,MATCH(order_items!$F$1,categories!$A$1:$B$1,0),FALSE)</f>
        <v>Comfort Bicycles</v>
      </c>
      <c r="G2026">
        <v>2</v>
      </c>
      <c r="H2026">
        <v>470.99</v>
      </c>
      <c r="I2026" s="5">
        <v>0.1</v>
      </c>
      <c r="J2026">
        <f t="shared" si="62"/>
        <v>847.78200000000004</v>
      </c>
      <c r="K2026" s="9">
        <f t="shared" si="63"/>
        <v>-0.54834223704608442</v>
      </c>
    </row>
    <row r="2027" spans="1:11" x14ac:dyDescent="0.3">
      <c r="A2027">
        <v>716</v>
      </c>
      <c r="B2027">
        <v>2</v>
      </c>
      <c r="C2027">
        <v>93</v>
      </c>
      <c r="D2027" t="str">
        <f>VLOOKUP($C2027,products!$A$1:$F$322,MATCH(order_items!$D$1,products!$A$1:$F$1,0),FALSE)</f>
        <v>Haro Shredder 20 Girls - 2017</v>
      </c>
      <c r="E2027">
        <f>VLOOKUP($C2027,products!$A$1:$F$322,MATCH(order_items!$E$1,products!$A$1:$F$1,0),FALSE)</f>
        <v>1</v>
      </c>
      <c r="F2027" t="str">
        <f>VLOOKUP($E2027,categories!$A$1:$B$8,MATCH(order_items!$F$1,categories!$A$1:$B$1,0),FALSE)</f>
        <v>Children Bicycles</v>
      </c>
      <c r="G2027">
        <v>2</v>
      </c>
      <c r="H2027">
        <v>209.99</v>
      </c>
      <c r="I2027" s="5">
        <v>7.0000000000000007E-2</v>
      </c>
      <c r="J2027">
        <f t="shared" si="62"/>
        <v>390.58139999999997</v>
      </c>
      <c r="K2027" s="9">
        <f t="shared" si="63"/>
        <v>-0.74129609367599603</v>
      </c>
    </row>
    <row r="2028" spans="1:11" x14ac:dyDescent="0.3">
      <c r="A2028">
        <v>716</v>
      </c>
      <c r="B2028">
        <v>3</v>
      </c>
      <c r="C2028">
        <v>79</v>
      </c>
      <c r="D2028" t="str">
        <f>VLOOKUP($C2028,products!$A$1:$F$322,MATCH(order_items!$D$1,products!$A$1:$F$1,0),FALSE)</f>
        <v>Sun Bicycles Boardwalk (24-inch Wheels) - 2017</v>
      </c>
      <c r="E2028">
        <f>VLOOKUP($C2028,products!$A$1:$F$322,MATCH(order_items!$E$1,products!$A$1:$F$1,0),FALSE)</f>
        <v>3</v>
      </c>
      <c r="F2028" t="str">
        <f>VLOOKUP($E2028,categories!$A$1:$B$8,MATCH(order_items!$F$1,categories!$A$1:$B$1,0),FALSE)</f>
        <v>Cruisers Bicycles</v>
      </c>
      <c r="G2028">
        <v>1</v>
      </c>
      <c r="H2028">
        <v>402.99</v>
      </c>
      <c r="I2028" s="5">
        <v>0.1</v>
      </c>
      <c r="J2028">
        <f t="shared" si="62"/>
        <v>362.69100000000003</v>
      </c>
      <c r="K2028" s="9">
        <f t="shared" si="63"/>
        <v>-0.59861373992284295</v>
      </c>
    </row>
    <row r="2029" spans="1:11" x14ac:dyDescent="0.3">
      <c r="A2029">
        <v>716</v>
      </c>
      <c r="B2029">
        <v>4</v>
      </c>
      <c r="C2029">
        <v>4</v>
      </c>
      <c r="D2029" t="str">
        <f>VLOOKUP($C2029,products!$A$1:$F$322,MATCH(order_items!$D$1,products!$A$1:$F$1,0),FALSE)</f>
        <v>Trek Fuel EX 8 29 - 2016</v>
      </c>
      <c r="E2029">
        <f>VLOOKUP($C2029,products!$A$1:$F$322,MATCH(order_items!$E$1,products!$A$1:$F$1,0),FALSE)</f>
        <v>6</v>
      </c>
      <c r="F2029" t="str">
        <f>VLOOKUP($E2029,categories!$A$1:$B$8,MATCH(order_items!$F$1,categories!$A$1:$B$1,0),FALSE)</f>
        <v>Mountain Bikes</v>
      </c>
      <c r="G2029">
        <v>2</v>
      </c>
      <c r="H2029">
        <v>2899.99</v>
      </c>
      <c r="I2029" s="5">
        <v>0.05</v>
      </c>
      <c r="J2029">
        <f t="shared" si="62"/>
        <v>5509.9809999999998</v>
      </c>
      <c r="K2029" s="9">
        <f t="shared" si="63"/>
        <v>1.2473854171840129</v>
      </c>
    </row>
    <row r="2030" spans="1:11" x14ac:dyDescent="0.3">
      <c r="A2030">
        <v>717</v>
      </c>
      <c r="B2030">
        <v>1</v>
      </c>
      <c r="C2030">
        <v>56</v>
      </c>
      <c r="D2030" t="str">
        <f>VLOOKUP($C2030,products!$A$1:$F$322,MATCH(order_items!$D$1,products!$A$1:$F$1,0),FALSE)</f>
        <v>Trek Domane SLR 6 Disc - 2017</v>
      </c>
      <c r="E2030">
        <f>VLOOKUP($C2030,products!$A$1:$F$322,MATCH(order_items!$E$1,products!$A$1:$F$1,0),FALSE)</f>
        <v>7</v>
      </c>
      <c r="F2030" t="str">
        <f>VLOOKUP($E2030,categories!$A$1:$B$8,MATCH(order_items!$F$1,categories!$A$1:$B$1,0),FALSE)</f>
        <v>Road Bikes</v>
      </c>
      <c r="G2030">
        <v>2</v>
      </c>
      <c r="H2030">
        <v>5499.99</v>
      </c>
      <c r="I2030" s="5">
        <v>0.05</v>
      </c>
      <c r="J2030">
        <f t="shared" si="62"/>
        <v>10449.981</v>
      </c>
      <c r="K2030" s="9">
        <f t="shared" si="63"/>
        <v>3.1695311154130179</v>
      </c>
    </row>
    <row r="2031" spans="1:11" x14ac:dyDescent="0.3">
      <c r="A2031">
        <v>717</v>
      </c>
      <c r="B2031">
        <v>2</v>
      </c>
      <c r="C2031">
        <v>93</v>
      </c>
      <c r="D2031" t="str">
        <f>VLOOKUP($C2031,products!$A$1:$F$322,MATCH(order_items!$D$1,products!$A$1:$F$1,0),FALSE)</f>
        <v>Haro Shredder 20 Girls - 2017</v>
      </c>
      <c r="E2031">
        <f>VLOOKUP($C2031,products!$A$1:$F$322,MATCH(order_items!$E$1,products!$A$1:$F$1,0),FALSE)</f>
        <v>1</v>
      </c>
      <c r="F2031" t="str">
        <f>VLOOKUP($E2031,categories!$A$1:$B$8,MATCH(order_items!$F$1,categories!$A$1:$B$1,0),FALSE)</f>
        <v>Children Bicycles</v>
      </c>
      <c r="G2031">
        <v>1</v>
      </c>
      <c r="H2031">
        <v>209.99</v>
      </c>
      <c r="I2031" s="5">
        <v>0.2</v>
      </c>
      <c r="J2031">
        <f t="shared" si="62"/>
        <v>167.99200000000002</v>
      </c>
      <c r="K2031" s="9">
        <f t="shared" si="63"/>
        <v>-0.74129609367599603</v>
      </c>
    </row>
    <row r="2032" spans="1:11" x14ac:dyDescent="0.3">
      <c r="A2032">
        <v>718</v>
      </c>
      <c r="B2032">
        <v>1</v>
      </c>
      <c r="C2032">
        <v>92</v>
      </c>
      <c r="D2032" t="str">
        <f>VLOOKUP($C2032,products!$A$1:$F$322,MATCH(order_items!$D$1,products!$A$1:$F$1,0),FALSE)</f>
        <v>Haro Shredder 20 - 2017</v>
      </c>
      <c r="E2032">
        <f>VLOOKUP($C2032,products!$A$1:$F$322,MATCH(order_items!$E$1,products!$A$1:$F$1,0),FALSE)</f>
        <v>1</v>
      </c>
      <c r="F2032" t="str">
        <f>VLOOKUP($E2032,categories!$A$1:$B$8,MATCH(order_items!$F$1,categories!$A$1:$B$1,0),FALSE)</f>
        <v>Children Bicycles</v>
      </c>
      <c r="G2032">
        <v>2</v>
      </c>
      <c r="H2032">
        <v>209.99</v>
      </c>
      <c r="I2032" s="5">
        <v>7.0000000000000007E-2</v>
      </c>
      <c r="J2032">
        <f t="shared" si="62"/>
        <v>390.58139999999997</v>
      </c>
      <c r="K2032" s="9">
        <f t="shared" si="63"/>
        <v>-0.74129609367599603</v>
      </c>
    </row>
    <row r="2033" spans="1:11" x14ac:dyDescent="0.3">
      <c r="A2033">
        <v>718</v>
      </c>
      <c r="B2033">
        <v>2</v>
      </c>
      <c r="C2033">
        <v>40</v>
      </c>
      <c r="D2033" t="str">
        <f>VLOOKUP($C2033,products!$A$1:$F$322,MATCH(order_items!$D$1,products!$A$1:$F$1,0),FALSE)</f>
        <v>Trek Fuel EX 9.8 29 - 2017</v>
      </c>
      <c r="E2033">
        <f>VLOOKUP($C2033,products!$A$1:$F$322,MATCH(order_items!$E$1,products!$A$1:$F$1,0),FALSE)</f>
        <v>6</v>
      </c>
      <c r="F2033" t="str">
        <f>VLOOKUP($E2033,categories!$A$1:$B$8,MATCH(order_items!$F$1,categories!$A$1:$B$1,0),FALSE)</f>
        <v>Mountain Bikes</v>
      </c>
      <c r="G2033">
        <v>2</v>
      </c>
      <c r="H2033">
        <v>4999.99</v>
      </c>
      <c r="I2033" s="5">
        <v>7.0000000000000007E-2</v>
      </c>
      <c r="J2033">
        <f t="shared" si="62"/>
        <v>9299.9813999999988</v>
      </c>
      <c r="K2033" s="9">
        <f t="shared" si="63"/>
        <v>2.7998877119074401</v>
      </c>
    </row>
    <row r="2034" spans="1:11" x14ac:dyDescent="0.3">
      <c r="A2034">
        <v>718</v>
      </c>
      <c r="B2034">
        <v>3</v>
      </c>
      <c r="C2034">
        <v>64</v>
      </c>
      <c r="D2034" t="str">
        <f>VLOOKUP($C2034,products!$A$1:$F$322,MATCH(order_items!$D$1,products!$A$1:$F$1,0),FALSE)</f>
        <v>Electra Townie Original 7D - 2017</v>
      </c>
      <c r="E2034">
        <f>VLOOKUP($C2034,products!$A$1:$F$322,MATCH(order_items!$E$1,products!$A$1:$F$1,0),FALSE)</f>
        <v>3</v>
      </c>
      <c r="F2034" t="str">
        <f>VLOOKUP($E2034,categories!$A$1:$B$8,MATCH(order_items!$F$1,categories!$A$1:$B$1,0),FALSE)</f>
        <v>Cruisers Bicycles</v>
      </c>
      <c r="G2034">
        <v>2</v>
      </c>
      <c r="H2034">
        <v>489.99</v>
      </c>
      <c r="I2034" s="5">
        <v>0.1</v>
      </c>
      <c r="J2034">
        <f t="shared" si="62"/>
        <v>881.98200000000008</v>
      </c>
      <c r="K2034" s="9">
        <f t="shared" si="63"/>
        <v>-0.53429578771287245</v>
      </c>
    </row>
    <row r="2035" spans="1:11" x14ac:dyDescent="0.3">
      <c r="A2035">
        <v>719</v>
      </c>
      <c r="B2035">
        <v>1</v>
      </c>
      <c r="C2035">
        <v>100</v>
      </c>
      <c r="D2035" t="str">
        <f>VLOOKUP($C2035,products!$A$1:$F$322,MATCH(order_items!$D$1,products!$A$1:$F$1,0),FALSE)</f>
        <v>Electra Townie 3i EQ (20-inch) - Boys' - 2017</v>
      </c>
      <c r="E2035">
        <f>VLOOKUP($C2035,products!$A$1:$F$322,MATCH(order_items!$E$1,products!$A$1:$F$1,0),FALSE)</f>
        <v>1</v>
      </c>
      <c r="F2035" t="str">
        <f>VLOOKUP($E2035,categories!$A$1:$B$8,MATCH(order_items!$F$1,categories!$A$1:$B$1,0),FALSE)</f>
        <v>Children Bicycles</v>
      </c>
      <c r="G2035">
        <v>1</v>
      </c>
      <c r="H2035">
        <v>489.99</v>
      </c>
      <c r="I2035" s="5">
        <v>0.2</v>
      </c>
      <c r="J2035">
        <f t="shared" si="62"/>
        <v>391.99200000000002</v>
      </c>
      <c r="K2035" s="9">
        <f t="shared" si="63"/>
        <v>-0.53429578771287245</v>
      </c>
    </row>
    <row r="2036" spans="1:11" x14ac:dyDescent="0.3">
      <c r="A2036">
        <v>720</v>
      </c>
      <c r="B2036">
        <v>1</v>
      </c>
      <c r="C2036">
        <v>111</v>
      </c>
      <c r="D2036" t="str">
        <f>VLOOKUP($C2036,products!$A$1:$F$322,MATCH(order_items!$D$1,products!$A$1:$F$1,0),FALSE)</f>
        <v>Sun Bicycles Drifter 7 - Women's - 2017</v>
      </c>
      <c r="E2036">
        <f>VLOOKUP($C2036,products!$A$1:$F$322,MATCH(order_items!$E$1,products!$A$1:$F$1,0),FALSE)</f>
        <v>2</v>
      </c>
      <c r="F2036" t="str">
        <f>VLOOKUP($E2036,categories!$A$1:$B$8,MATCH(order_items!$F$1,categories!$A$1:$B$1,0),FALSE)</f>
        <v>Comfort Bicycles</v>
      </c>
      <c r="G2036">
        <v>1</v>
      </c>
      <c r="H2036">
        <v>470.99</v>
      </c>
      <c r="I2036" s="5">
        <v>7.0000000000000007E-2</v>
      </c>
      <c r="J2036">
        <f t="shared" si="62"/>
        <v>438.02069999999998</v>
      </c>
      <c r="K2036" s="9">
        <f t="shared" si="63"/>
        <v>-0.54834223704608442</v>
      </c>
    </row>
    <row r="2037" spans="1:11" x14ac:dyDescent="0.3">
      <c r="A2037">
        <v>720</v>
      </c>
      <c r="B2037">
        <v>2</v>
      </c>
      <c r="C2037">
        <v>6</v>
      </c>
      <c r="D2037" t="str">
        <f>VLOOKUP($C2037,products!$A$1:$F$322,MATCH(order_items!$D$1,products!$A$1:$F$1,0),FALSE)</f>
        <v>Surly Ice Cream Truck Frameset - 2016</v>
      </c>
      <c r="E2037">
        <f>VLOOKUP($C2037,products!$A$1:$F$322,MATCH(order_items!$E$1,products!$A$1:$F$1,0),FALSE)</f>
        <v>6</v>
      </c>
      <c r="F2037" t="str">
        <f>VLOOKUP($E2037,categories!$A$1:$B$8,MATCH(order_items!$F$1,categories!$A$1:$B$1,0),FALSE)</f>
        <v>Mountain Bikes</v>
      </c>
      <c r="G2037">
        <v>1</v>
      </c>
      <c r="H2037">
        <v>469.99</v>
      </c>
      <c r="I2037" s="5">
        <v>0.1</v>
      </c>
      <c r="J2037">
        <f t="shared" si="62"/>
        <v>422.99100000000004</v>
      </c>
      <c r="K2037" s="9">
        <f t="shared" si="63"/>
        <v>-0.5490815238530955</v>
      </c>
    </row>
    <row r="2038" spans="1:11" x14ac:dyDescent="0.3">
      <c r="A2038">
        <v>721</v>
      </c>
      <c r="B2038">
        <v>1</v>
      </c>
      <c r="C2038">
        <v>45</v>
      </c>
      <c r="D2038" t="str">
        <f>VLOOKUP($C2038,products!$A$1:$F$322,MATCH(order_items!$D$1,products!$A$1:$F$1,0),FALSE)</f>
        <v>Haro SR 1.2 - 2017</v>
      </c>
      <c r="E2038">
        <f>VLOOKUP($C2038,products!$A$1:$F$322,MATCH(order_items!$E$1,products!$A$1:$F$1,0),FALSE)</f>
        <v>6</v>
      </c>
      <c r="F2038" t="str">
        <f>VLOOKUP($E2038,categories!$A$1:$B$8,MATCH(order_items!$F$1,categories!$A$1:$B$1,0),FALSE)</f>
        <v>Mountain Bikes</v>
      </c>
      <c r="G2038">
        <v>2</v>
      </c>
      <c r="H2038">
        <v>869.99</v>
      </c>
      <c r="I2038" s="5">
        <v>7.0000000000000007E-2</v>
      </c>
      <c r="J2038">
        <f t="shared" si="62"/>
        <v>1618.1813999999999</v>
      </c>
      <c r="K2038" s="9">
        <f t="shared" si="63"/>
        <v>-0.25336680104863324</v>
      </c>
    </row>
    <row r="2039" spans="1:11" x14ac:dyDescent="0.3">
      <c r="A2039">
        <v>721</v>
      </c>
      <c r="B2039">
        <v>2</v>
      </c>
      <c r="C2039">
        <v>102</v>
      </c>
      <c r="D2039" t="str">
        <f>VLOOKUP($C2039,products!$A$1:$F$322,MATCH(order_items!$D$1,products!$A$1:$F$1,0),FALSE)</f>
        <v>Electra Townie Original 7D - 2017</v>
      </c>
      <c r="E2039">
        <f>VLOOKUP($C2039,products!$A$1:$F$322,MATCH(order_items!$E$1,products!$A$1:$F$1,0),FALSE)</f>
        <v>2</v>
      </c>
      <c r="F2039" t="str">
        <f>VLOOKUP($E2039,categories!$A$1:$B$8,MATCH(order_items!$F$1,categories!$A$1:$B$1,0),FALSE)</f>
        <v>Comfort Bicycles</v>
      </c>
      <c r="G2039">
        <v>1</v>
      </c>
      <c r="H2039">
        <v>489.99</v>
      </c>
      <c r="I2039" s="5">
        <v>0.1</v>
      </c>
      <c r="J2039">
        <f t="shared" si="62"/>
        <v>440.99100000000004</v>
      </c>
      <c r="K2039" s="9">
        <f t="shared" si="63"/>
        <v>-0.53429578771287245</v>
      </c>
    </row>
    <row r="2040" spans="1:11" x14ac:dyDescent="0.3">
      <c r="A2040">
        <v>721</v>
      </c>
      <c r="B2040">
        <v>3</v>
      </c>
      <c r="C2040">
        <v>73</v>
      </c>
      <c r="D2040" t="str">
        <f>VLOOKUP($C2040,products!$A$1:$F$322,MATCH(order_items!$D$1,products!$A$1:$F$1,0),FALSE)</f>
        <v>Sun Bicycles Brickell Tandem 7 - 2017</v>
      </c>
      <c r="E2040">
        <f>VLOOKUP($C2040,products!$A$1:$F$322,MATCH(order_items!$E$1,products!$A$1:$F$1,0),FALSE)</f>
        <v>3</v>
      </c>
      <c r="F2040" t="str">
        <f>VLOOKUP($E2040,categories!$A$1:$B$8,MATCH(order_items!$F$1,categories!$A$1:$B$1,0),FALSE)</f>
        <v>Cruisers Bicycles</v>
      </c>
      <c r="G2040">
        <v>2</v>
      </c>
      <c r="H2040">
        <v>749.99</v>
      </c>
      <c r="I2040" s="5">
        <v>0.05</v>
      </c>
      <c r="J2040">
        <f t="shared" si="62"/>
        <v>1424.981</v>
      </c>
      <c r="K2040" s="9">
        <f t="shared" si="63"/>
        <v>-0.34208121788997192</v>
      </c>
    </row>
    <row r="2041" spans="1:11" x14ac:dyDescent="0.3">
      <c r="A2041">
        <v>721</v>
      </c>
      <c r="B2041">
        <v>4</v>
      </c>
      <c r="C2041">
        <v>33</v>
      </c>
      <c r="D2041" t="str">
        <f>VLOOKUP($C2041,products!$A$1:$F$322,MATCH(order_items!$D$1,products!$A$1:$F$1,0),FALSE)</f>
        <v>Surly Wednesday Frameset - 2017</v>
      </c>
      <c r="E2041">
        <f>VLOOKUP($C2041,products!$A$1:$F$322,MATCH(order_items!$E$1,products!$A$1:$F$1,0),FALSE)</f>
        <v>6</v>
      </c>
      <c r="F2041" t="str">
        <f>VLOOKUP($E2041,categories!$A$1:$B$8,MATCH(order_items!$F$1,categories!$A$1:$B$1,0),FALSE)</f>
        <v>Mountain Bikes</v>
      </c>
      <c r="G2041">
        <v>1</v>
      </c>
      <c r="H2041">
        <v>469.99</v>
      </c>
      <c r="I2041" s="5">
        <v>0.2</v>
      </c>
      <c r="J2041">
        <f t="shared" si="62"/>
        <v>375.99200000000002</v>
      </c>
      <c r="K2041" s="9">
        <f t="shared" si="63"/>
        <v>-0.5490815238530955</v>
      </c>
    </row>
    <row r="2042" spans="1:11" x14ac:dyDescent="0.3">
      <c r="A2042">
        <v>722</v>
      </c>
      <c r="B2042">
        <v>1</v>
      </c>
      <c r="C2042">
        <v>22</v>
      </c>
      <c r="D2042" t="str">
        <f>VLOOKUP($C2042,products!$A$1:$F$322,MATCH(order_items!$D$1,products!$A$1:$F$1,0),FALSE)</f>
        <v>Electra Girl's Hawaii 1 (16-inch) - 2015/2016</v>
      </c>
      <c r="E2042">
        <f>VLOOKUP($C2042,products!$A$1:$F$322,MATCH(order_items!$E$1,products!$A$1:$F$1,0),FALSE)</f>
        <v>1</v>
      </c>
      <c r="F2042" t="str">
        <f>VLOOKUP($E2042,categories!$A$1:$B$8,MATCH(order_items!$F$1,categories!$A$1:$B$1,0),FALSE)</f>
        <v>Children Bicycles</v>
      </c>
      <c r="G2042">
        <v>2</v>
      </c>
      <c r="H2042">
        <v>269.99</v>
      </c>
      <c r="I2042" s="5">
        <v>7.0000000000000007E-2</v>
      </c>
      <c r="J2042">
        <f t="shared" si="62"/>
        <v>502.1814</v>
      </c>
      <c r="K2042" s="9">
        <f t="shared" si="63"/>
        <v>-0.69693888525532666</v>
      </c>
    </row>
    <row r="2043" spans="1:11" x14ac:dyDescent="0.3">
      <c r="A2043">
        <v>722</v>
      </c>
      <c r="B2043">
        <v>2</v>
      </c>
      <c r="C2043">
        <v>3</v>
      </c>
      <c r="D2043" t="str">
        <f>VLOOKUP($C2043,products!$A$1:$F$322,MATCH(order_items!$D$1,products!$A$1:$F$1,0),FALSE)</f>
        <v>Surly Wednesday Frameset - 2016</v>
      </c>
      <c r="E2043">
        <f>VLOOKUP($C2043,products!$A$1:$F$322,MATCH(order_items!$E$1,products!$A$1:$F$1,0),FALSE)</f>
        <v>6</v>
      </c>
      <c r="F2043" t="str">
        <f>VLOOKUP($E2043,categories!$A$1:$B$8,MATCH(order_items!$F$1,categories!$A$1:$B$1,0),FALSE)</f>
        <v>Mountain Bikes</v>
      </c>
      <c r="G2043">
        <v>1</v>
      </c>
      <c r="H2043">
        <v>999.99</v>
      </c>
      <c r="I2043" s="5">
        <v>0.05</v>
      </c>
      <c r="J2043">
        <f t="shared" si="62"/>
        <v>949.9905</v>
      </c>
      <c r="K2043" s="9">
        <f t="shared" si="63"/>
        <v>-0.15725951613718298</v>
      </c>
    </row>
    <row r="2044" spans="1:11" x14ac:dyDescent="0.3">
      <c r="A2044">
        <v>722</v>
      </c>
      <c r="B2044">
        <v>3</v>
      </c>
      <c r="C2044">
        <v>104</v>
      </c>
      <c r="D2044" t="str">
        <f>VLOOKUP($C2044,products!$A$1:$F$322,MATCH(order_items!$D$1,products!$A$1:$F$1,0),FALSE)</f>
        <v>Sun Bicycles Streamway - 2017</v>
      </c>
      <c r="E2044">
        <f>VLOOKUP($C2044,products!$A$1:$F$322,MATCH(order_items!$E$1,products!$A$1:$F$1,0),FALSE)</f>
        <v>2</v>
      </c>
      <c r="F2044" t="str">
        <f>VLOOKUP($E2044,categories!$A$1:$B$8,MATCH(order_items!$F$1,categories!$A$1:$B$1,0),FALSE)</f>
        <v>Comfort Bicycles</v>
      </c>
      <c r="G2044">
        <v>2</v>
      </c>
      <c r="H2044">
        <v>481.99</v>
      </c>
      <c r="I2044" s="5">
        <v>0.1</v>
      </c>
      <c r="J2044">
        <f t="shared" si="62"/>
        <v>867.58199999999999</v>
      </c>
      <c r="K2044" s="9">
        <f t="shared" si="63"/>
        <v>-0.54021008216896171</v>
      </c>
    </row>
    <row r="2045" spans="1:11" x14ac:dyDescent="0.3">
      <c r="A2045">
        <v>723</v>
      </c>
      <c r="B2045">
        <v>1</v>
      </c>
      <c r="C2045">
        <v>24</v>
      </c>
      <c r="D2045" t="str">
        <f>VLOOKUP($C2045,products!$A$1:$F$322,MATCH(order_items!$D$1,products!$A$1:$F$1,0),FALSE)</f>
        <v>Electra Townie Original 21D - 2016</v>
      </c>
      <c r="E2045">
        <f>VLOOKUP($C2045,products!$A$1:$F$322,MATCH(order_items!$E$1,products!$A$1:$F$1,0),FALSE)</f>
        <v>2</v>
      </c>
      <c r="F2045" t="str">
        <f>VLOOKUP($E2045,categories!$A$1:$B$8,MATCH(order_items!$F$1,categories!$A$1:$B$1,0),FALSE)</f>
        <v>Comfort Bicycles</v>
      </c>
      <c r="G2045">
        <v>2</v>
      </c>
      <c r="H2045">
        <v>549.99</v>
      </c>
      <c r="I2045" s="5">
        <v>7.0000000000000007E-2</v>
      </c>
      <c r="J2045">
        <f t="shared" si="62"/>
        <v>1022.9813999999999</v>
      </c>
      <c r="K2045" s="9">
        <f t="shared" si="63"/>
        <v>-0.48993857929220308</v>
      </c>
    </row>
    <row r="2046" spans="1:11" x14ac:dyDescent="0.3">
      <c r="A2046">
        <v>723</v>
      </c>
      <c r="B2046">
        <v>2</v>
      </c>
      <c r="C2046">
        <v>16</v>
      </c>
      <c r="D2046" t="str">
        <f>VLOOKUP($C2046,products!$A$1:$F$322,MATCH(order_items!$D$1,products!$A$1:$F$1,0),FALSE)</f>
        <v>Electra Townie Original 7D EQ - 2016</v>
      </c>
      <c r="E2046">
        <f>VLOOKUP($C2046,products!$A$1:$F$322,MATCH(order_items!$E$1,products!$A$1:$F$1,0),FALSE)</f>
        <v>3</v>
      </c>
      <c r="F2046" t="str">
        <f>VLOOKUP($E2046,categories!$A$1:$B$8,MATCH(order_items!$F$1,categories!$A$1:$B$1,0),FALSE)</f>
        <v>Cruisers Bicycles</v>
      </c>
      <c r="G2046">
        <v>1</v>
      </c>
      <c r="H2046">
        <v>599.99</v>
      </c>
      <c r="I2046" s="5">
        <v>0.05</v>
      </c>
      <c r="J2046">
        <f t="shared" si="62"/>
        <v>569.9905</v>
      </c>
      <c r="K2046" s="9">
        <f t="shared" si="63"/>
        <v>-0.45297423894164529</v>
      </c>
    </row>
    <row r="2047" spans="1:11" x14ac:dyDescent="0.3">
      <c r="A2047">
        <v>723</v>
      </c>
      <c r="B2047">
        <v>3</v>
      </c>
      <c r="C2047">
        <v>108</v>
      </c>
      <c r="D2047" t="str">
        <f>VLOOKUP($C2047,products!$A$1:$F$322,MATCH(order_items!$D$1,products!$A$1:$F$1,0),FALSE)</f>
        <v>Sun Bicycles Cruz 3 - Women's - 2017</v>
      </c>
      <c r="E2047">
        <f>VLOOKUP($C2047,products!$A$1:$F$322,MATCH(order_items!$E$1,products!$A$1:$F$1,0),FALSE)</f>
        <v>2</v>
      </c>
      <c r="F2047" t="str">
        <f>VLOOKUP($E2047,categories!$A$1:$B$8,MATCH(order_items!$F$1,categories!$A$1:$B$1,0),FALSE)</f>
        <v>Comfort Bicycles</v>
      </c>
      <c r="G2047">
        <v>1</v>
      </c>
      <c r="H2047">
        <v>449.99</v>
      </c>
      <c r="I2047" s="5">
        <v>7.0000000000000007E-2</v>
      </c>
      <c r="J2047">
        <f t="shared" si="62"/>
        <v>418.4907</v>
      </c>
      <c r="K2047" s="9">
        <f t="shared" si="63"/>
        <v>-0.56386725999331866</v>
      </c>
    </row>
    <row r="2048" spans="1:11" x14ac:dyDescent="0.3">
      <c r="A2048">
        <v>724</v>
      </c>
      <c r="B2048">
        <v>1</v>
      </c>
      <c r="C2048">
        <v>23</v>
      </c>
      <c r="D2048" t="str">
        <f>VLOOKUP($C2048,products!$A$1:$F$322,MATCH(order_items!$D$1,products!$A$1:$F$1,0),FALSE)</f>
        <v>Electra Girl's Hawaii 1 (20-inch) - 2015/2016</v>
      </c>
      <c r="E2048">
        <f>VLOOKUP($C2048,products!$A$1:$F$322,MATCH(order_items!$E$1,products!$A$1:$F$1,0),FALSE)</f>
        <v>1</v>
      </c>
      <c r="F2048" t="str">
        <f>VLOOKUP($E2048,categories!$A$1:$B$8,MATCH(order_items!$F$1,categories!$A$1:$B$1,0),FALSE)</f>
        <v>Children Bicycles</v>
      </c>
      <c r="G2048">
        <v>1</v>
      </c>
      <c r="H2048">
        <v>299.99</v>
      </c>
      <c r="I2048" s="5">
        <v>0.05</v>
      </c>
      <c r="J2048">
        <f t="shared" si="62"/>
        <v>284.9905</v>
      </c>
      <c r="K2048" s="9">
        <f t="shared" si="63"/>
        <v>-0.67476028104499197</v>
      </c>
    </row>
    <row r="2049" spans="1:11" x14ac:dyDescent="0.3">
      <c r="A2049">
        <v>724</v>
      </c>
      <c r="B2049">
        <v>2</v>
      </c>
      <c r="C2049">
        <v>75</v>
      </c>
      <c r="D2049" t="str">
        <f>VLOOKUP($C2049,products!$A$1:$F$322,MATCH(order_items!$D$1,products!$A$1:$F$1,0),FALSE)</f>
        <v>Electra Cruiser Lux Fat Tire 1 Ladies - 2017</v>
      </c>
      <c r="E2049">
        <f>VLOOKUP($C2049,products!$A$1:$F$322,MATCH(order_items!$E$1,products!$A$1:$F$1,0),FALSE)</f>
        <v>3</v>
      </c>
      <c r="F2049" t="str">
        <f>VLOOKUP($E2049,categories!$A$1:$B$8,MATCH(order_items!$F$1,categories!$A$1:$B$1,0),FALSE)</f>
        <v>Cruisers Bicycles</v>
      </c>
      <c r="G2049">
        <v>1</v>
      </c>
      <c r="H2049">
        <v>599.99</v>
      </c>
      <c r="I2049" s="5">
        <v>0.2</v>
      </c>
      <c r="J2049">
        <f t="shared" si="62"/>
        <v>479.99200000000002</v>
      </c>
      <c r="K2049" s="9">
        <f t="shared" si="63"/>
        <v>-0.45297423894164529</v>
      </c>
    </row>
    <row r="2050" spans="1:11" x14ac:dyDescent="0.3">
      <c r="A2050">
        <v>724</v>
      </c>
      <c r="B2050">
        <v>3</v>
      </c>
      <c r="C2050">
        <v>102</v>
      </c>
      <c r="D2050" t="str">
        <f>VLOOKUP($C2050,products!$A$1:$F$322,MATCH(order_items!$D$1,products!$A$1:$F$1,0),FALSE)</f>
        <v>Electra Townie Original 7D - 2017</v>
      </c>
      <c r="E2050">
        <f>VLOOKUP($C2050,products!$A$1:$F$322,MATCH(order_items!$E$1,products!$A$1:$F$1,0),FALSE)</f>
        <v>2</v>
      </c>
      <c r="F2050" t="str">
        <f>VLOOKUP($E2050,categories!$A$1:$B$8,MATCH(order_items!$F$1,categories!$A$1:$B$1,0),FALSE)</f>
        <v>Comfort Bicycles</v>
      </c>
      <c r="G2050">
        <v>1</v>
      </c>
      <c r="H2050">
        <v>489.99</v>
      </c>
      <c r="I2050" s="5">
        <v>0.05</v>
      </c>
      <c r="J2050">
        <f t="shared" ref="J2050:J2113" si="64">G2050*H2050*(1-I2050)</f>
        <v>465.4905</v>
      </c>
      <c r="K2050" s="9">
        <f t="shared" ref="K2050:K2113" si="65">($H2050-$M$7)/$M$9</f>
        <v>-0.53429578771287245</v>
      </c>
    </row>
    <row r="2051" spans="1:11" x14ac:dyDescent="0.3">
      <c r="A2051">
        <v>724</v>
      </c>
      <c r="B2051">
        <v>4</v>
      </c>
      <c r="C2051">
        <v>55</v>
      </c>
      <c r="D2051" t="str">
        <f>VLOOKUP($C2051,products!$A$1:$F$322,MATCH(order_items!$D$1,products!$A$1:$F$1,0),FALSE)</f>
        <v>Trek Domane S 6 - 2017</v>
      </c>
      <c r="E2051">
        <f>VLOOKUP($C2051,products!$A$1:$F$322,MATCH(order_items!$E$1,products!$A$1:$F$1,0),FALSE)</f>
        <v>7</v>
      </c>
      <c r="F2051" t="str">
        <f>VLOOKUP($E2051,categories!$A$1:$B$8,MATCH(order_items!$F$1,categories!$A$1:$B$1,0),FALSE)</f>
        <v>Road Bikes</v>
      </c>
      <c r="G2051">
        <v>1</v>
      </c>
      <c r="H2051">
        <v>2699.99</v>
      </c>
      <c r="I2051" s="5">
        <v>0.2</v>
      </c>
      <c r="J2051">
        <f t="shared" si="64"/>
        <v>2159.9919999999997</v>
      </c>
      <c r="K2051" s="9">
        <f t="shared" si="65"/>
        <v>1.0995280557817817</v>
      </c>
    </row>
    <row r="2052" spans="1:11" x14ac:dyDescent="0.3">
      <c r="A2052">
        <v>725</v>
      </c>
      <c r="B2052">
        <v>1</v>
      </c>
      <c r="C2052">
        <v>90</v>
      </c>
      <c r="D2052" t="str">
        <f>VLOOKUP($C2052,products!$A$1:$F$322,MATCH(order_items!$D$1,products!$A$1:$F$1,0),FALSE)</f>
        <v>Trek Precaliber 16 Girls - 2017</v>
      </c>
      <c r="E2052">
        <f>VLOOKUP($C2052,products!$A$1:$F$322,MATCH(order_items!$E$1,products!$A$1:$F$1,0),FALSE)</f>
        <v>1</v>
      </c>
      <c r="F2052" t="str">
        <f>VLOOKUP($E2052,categories!$A$1:$B$8,MATCH(order_items!$F$1,categories!$A$1:$B$1,0),FALSE)</f>
        <v>Children Bicycles</v>
      </c>
      <c r="G2052">
        <v>1</v>
      </c>
      <c r="H2052">
        <v>209.99</v>
      </c>
      <c r="I2052" s="5">
        <v>0.1</v>
      </c>
      <c r="J2052">
        <f t="shared" si="64"/>
        <v>188.99100000000001</v>
      </c>
      <c r="K2052" s="9">
        <f t="shared" si="65"/>
        <v>-0.74129609367599603</v>
      </c>
    </row>
    <row r="2053" spans="1:11" x14ac:dyDescent="0.3">
      <c r="A2053">
        <v>725</v>
      </c>
      <c r="B2053">
        <v>2</v>
      </c>
      <c r="C2053">
        <v>91</v>
      </c>
      <c r="D2053" t="str">
        <f>VLOOKUP($C2053,products!$A$1:$F$322,MATCH(order_items!$D$1,products!$A$1:$F$1,0),FALSE)</f>
        <v>Trek Precaliber 24 (21-Speed) - Girls - 2017</v>
      </c>
      <c r="E2053">
        <f>VLOOKUP($C2053,products!$A$1:$F$322,MATCH(order_items!$E$1,products!$A$1:$F$1,0),FALSE)</f>
        <v>1</v>
      </c>
      <c r="F2053" t="str">
        <f>VLOOKUP($E2053,categories!$A$1:$B$8,MATCH(order_items!$F$1,categories!$A$1:$B$1,0),FALSE)</f>
        <v>Children Bicycles</v>
      </c>
      <c r="G2053">
        <v>1</v>
      </c>
      <c r="H2053">
        <v>349.99</v>
      </c>
      <c r="I2053" s="5">
        <v>0.05</v>
      </c>
      <c r="J2053">
        <f t="shared" si="64"/>
        <v>332.4905</v>
      </c>
      <c r="K2053" s="9">
        <f t="shared" si="65"/>
        <v>-0.63779594069443424</v>
      </c>
    </row>
    <row r="2054" spans="1:11" x14ac:dyDescent="0.3">
      <c r="A2054">
        <v>725</v>
      </c>
      <c r="B2054">
        <v>3</v>
      </c>
      <c r="C2054">
        <v>77</v>
      </c>
      <c r="D2054" t="str">
        <f>VLOOKUP($C2054,products!$A$1:$F$322,MATCH(order_items!$D$1,products!$A$1:$F$1,0),FALSE)</f>
        <v>Electra Glam Punk 3i Ladies' - 2017</v>
      </c>
      <c r="E2054">
        <f>VLOOKUP($C2054,products!$A$1:$F$322,MATCH(order_items!$E$1,products!$A$1:$F$1,0),FALSE)</f>
        <v>3</v>
      </c>
      <c r="F2054" t="str">
        <f>VLOOKUP($E2054,categories!$A$1:$B$8,MATCH(order_items!$F$1,categories!$A$1:$B$1,0),FALSE)</f>
        <v>Cruisers Bicycles</v>
      </c>
      <c r="G2054">
        <v>2</v>
      </c>
      <c r="H2054">
        <v>799.99</v>
      </c>
      <c r="I2054" s="5">
        <v>7.0000000000000007E-2</v>
      </c>
      <c r="J2054">
        <f t="shared" si="64"/>
        <v>1487.9813999999999</v>
      </c>
      <c r="K2054" s="9">
        <f t="shared" si="65"/>
        <v>-0.30511687753941413</v>
      </c>
    </row>
    <row r="2055" spans="1:11" x14ac:dyDescent="0.3">
      <c r="A2055">
        <v>725</v>
      </c>
      <c r="B2055">
        <v>4</v>
      </c>
      <c r="C2055">
        <v>62</v>
      </c>
      <c r="D2055" t="str">
        <f>VLOOKUP($C2055,products!$A$1:$F$322,MATCH(order_items!$D$1,products!$A$1:$F$1,0),FALSE)</f>
        <v>Trek Boone 7 - 2017</v>
      </c>
      <c r="E2055">
        <f>VLOOKUP($C2055,products!$A$1:$F$322,MATCH(order_items!$E$1,products!$A$1:$F$1,0),FALSE)</f>
        <v>4</v>
      </c>
      <c r="F2055" t="str">
        <f>VLOOKUP($E2055,categories!$A$1:$B$8,MATCH(order_items!$F$1,categories!$A$1:$B$1,0),FALSE)</f>
        <v>Cyclocross Bicycles</v>
      </c>
      <c r="G2055">
        <v>2</v>
      </c>
      <c r="H2055">
        <v>3499.99</v>
      </c>
      <c r="I2055" s="5">
        <v>0.1</v>
      </c>
      <c r="J2055">
        <f t="shared" si="64"/>
        <v>6299.982</v>
      </c>
      <c r="K2055" s="9">
        <f t="shared" si="65"/>
        <v>1.6909575013907066</v>
      </c>
    </row>
    <row r="2056" spans="1:11" x14ac:dyDescent="0.3">
      <c r="A2056">
        <v>726</v>
      </c>
      <c r="B2056">
        <v>1</v>
      </c>
      <c r="C2056">
        <v>64</v>
      </c>
      <c r="D2056" t="str">
        <f>VLOOKUP($C2056,products!$A$1:$F$322,MATCH(order_items!$D$1,products!$A$1:$F$1,0),FALSE)</f>
        <v>Electra Townie Original 7D - 2017</v>
      </c>
      <c r="E2056">
        <f>VLOOKUP($C2056,products!$A$1:$F$322,MATCH(order_items!$E$1,products!$A$1:$F$1,0),FALSE)</f>
        <v>3</v>
      </c>
      <c r="F2056" t="str">
        <f>VLOOKUP($E2056,categories!$A$1:$B$8,MATCH(order_items!$F$1,categories!$A$1:$B$1,0),FALSE)</f>
        <v>Cruisers Bicycles</v>
      </c>
      <c r="G2056">
        <v>1</v>
      </c>
      <c r="H2056">
        <v>489.99</v>
      </c>
      <c r="I2056" s="5">
        <v>0.2</v>
      </c>
      <c r="J2056">
        <f t="shared" si="64"/>
        <v>391.99200000000002</v>
      </c>
      <c r="K2056" s="9">
        <f t="shared" si="65"/>
        <v>-0.53429578771287245</v>
      </c>
    </row>
    <row r="2057" spans="1:11" x14ac:dyDescent="0.3">
      <c r="A2057">
        <v>727</v>
      </c>
      <c r="B2057">
        <v>1</v>
      </c>
      <c r="C2057">
        <v>78</v>
      </c>
      <c r="D2057" t="str">
        <f>VLOOKUP($C2057,products!$A$1:$F$322,MATCH(order_items!$D$1,products!$A$1:$F$1,0),FALSE)</f>
        <v>Sun Bicycles Biscayne Tandem CB - 2017</v>
      </c>
      <c r="E2057">
        <f>VLOOKUP($C2057,products!$A$1:$F$322,MATCH(order_items!$E$1,products!$A$1:$F$1,0),FALSE)</f>
        <v>3</v>
      </c>
      <c r="F2057" t="str">
        <f>VLOOKUP($E2057,categories!$A$1:$B$8,MATCH(order_items!$F$1,categories!$A$1:$B$1,0),FALSE)</f>
        <v>Cruisers Bicycles</v>
      </c>
      <c r="G2057">
        <v>1</v>
      </c>
      <c r="H2057">
        <v>647.99</v>
      </c>
      <c r="I2057" s="5">
        <v>7.0000000000000007E-2</v>
      </c>
      <c r="J2057">
        <f t="shared" si="64"/>
        <v>602.63069999999993</v>
      </c>
      <c r="K2057" s="9">
        <f t="shared" si="65"/>
        <v>-0.41748847220510982</v>
      </c>
    </row>
    <row r="2058" spans="1:11" x14ac:dyDescent="0.3">
      <c r="A2058">
        <v>727</v>
      </c>
      <c r="B2058">
        <v>2</v>
      </c>
      <c r="C2058">
        <v>82</v>
      </c>
      <c r="D2058" t="str">
        <f>VLOOKUP($C2058,products!$A$1:$F$322,MATCH(order_items!$D$1,products!$A$1:$F$1,0),FALSE)</f>
        <v>Electra Amsterdam Original 3i Ladies' - 2017</v>
      </c>
      <c r="E2058">
        <f>VLOOKUP($C2058,products!$A$1:$F$322,MATCH(order_items!$E$1,products!$A$1:$F$1,0),FALSE)</f>
        <v>3</v>
      </c>
      <c r="F2058" t="str">
        <f>VLOOKUP($E2058,categories!$A$1:$B$8,MATCH(order_items!$F$1,categories!$A$1:$B$1,0),FALSE)</f>
        <v>Cruisers Bicycles</v>
      </c>
      <c r="G2058">
        <v>2</v>
      </c>
      <c r="H2058">
        <v>659.99</v>
      </c>
      <c r="I2058" s="5">
        <v>0.05</v>
      </c>
      <c r="J2058">
        <f t="shared" si="64"/>
        <v>1253.981</v>
      </c>
      <c r="K2058" s="9">
        <f t="shared" si="65"/>
        <v>-0.40861703052097592</v>
      </c>
    </row>
    <row r="2059" spans="1:11" x14ac:dyDescent="0.3">
      <c r="A2059">
        <v>728</v>
      </c>
      <c r="B2059">
        <v>1</v>
      </c>
      <c r="C2059">
        <v>70</v>
      </c>
      <c r="D2059" t="str">
        <f>VLOOKUP($C2059,products!$A$1:$F$322,MATCH(order_items!$D$1,products!$A$1:$F$1,0),FALSE)</f>
        <v>Electra Amsterdam Original 3i - 2015/2017</v>
      </c>
      <c r="E2059">
        <f>VLOOKUP($C2059,products!$A$1:$F$322,MATCH(order_items!$E$1,products!$A$1:$F$1,0),FALSE)</f>
        <v>3</v>
      </c>
      <c r="F2059" t="str">
        <f>VLOOKUP($E2059,categories!$A$1:$B$8,MATCH(order_items!$F$1,categories!$A$1:$B$1,0),FALSE)</f>
        <v>Cruisers Bicycles</v>
      </c>
      <c r="G2059">
        <v>1</v>
      </c>
      <c r="H2059">
        <v>659.99</v>
      </c>
      <c r="I2059" s="5">
        <v>0.05</v>
      </c>
      <c r="J2059">
        <f t="shared" si="64"/>
        <v>626.9905</v>
      </c>
      <c r="K2059" s="9">
        <f t="shared" si="65"/>
        <v>-0.40861703052097592</v>
      </c>
    </row>
    <row r="2060" spans="1:11" x14ac:dyDescent="0.3">
      <c r="A2060">
        <v>728</v>
      </c>
      <c r="B2060">
        <v>2</v>
      </c>
      <c r="C2060">
        <v>56</v>
      </c>
      <c r="D2060" t="str">
        <f>VLOOKUP($C2060,products!$A$1:$F$322,MATCH(order_items!$D$1,products!$A$1:$F$1,0),FALSE)</f>
        <v>Trek Domane SLR 6 Disc - 2017</v>
      </c>
      <c r="E2060">
        <f>VLOOKUP($C2060,products!$A$1:$F$322,MATCH(order_items!$E$1,products!$A$1:$F$1,0),FALSE)</f>
        <v>7</v>
      </c>
      <c r="F2060" t="str">
        <f>VLOOKUP($E2060,categories!$A$1:$B$8,MATCH(order_items!$F$1,categories!$A$1:$B$1,0),FALSE)</f>
        <v>Road Bikes</v>
      </c>
      <c r="G2060">
        <v>1</v>
      </c>
      <c r="H2060">
        <v>5499.99</v>
      </c>
      <c r="I2060" s="5">
        <v>0.1</v>
      </c>
      <c r="J2060">
        <f t="shared" si="64"/>
        <v>4949.991</v>
      </c>
      <c r="K2060" s="9">
        <f t="shared" si="65"/>
        <v>3.1695311154130179</v>
      </c>
    </row>
    <row r="2061" spans="1:11" x14ac:dyDescent="0.3">
      <c r="A2061">
        <v>728</v>
      </c>
      <c r="B2061">
        <v>3</v>
      </c>
      <c r="C2061">
        <v>91</v>
      </c>
      <c r="D2061" t="str">
        <f>VLOOKUP($C2061,products!$A$1:$F$322,MATCH(order_items!$D$1,products!$A$1:$F$1,0),FALSE)</f>
        <v>Trek Precaliber 24 (21-Speed) - Girls - 2017</v>
      </c>
      <c r="E2061">
        <f>VLOOKUP($C2061,products!$A$1:$F$322,MATCH(order_items!$E$1,products!$A$1:$F$1,0),FALSE)</f>
        <v>1</v>
      </c>
      <c r="F2061" t="str">
        <f>VLOOKUP($E2061,categories!$A$1:$B$8,MATCH(order_items!$F$1,categories!$A$1:$B$1,0),FALSE)</f>
        <v>Children Bicycles</v>
      </c>
      <c r="G2061">
        <v>1</v>
      </c>
      <c r="H2061">
        <v>349.99</v>
      </c>
      <c r="I2061" s="5">
        <v>0.1</v>
      </c>
      <c r="J2061">
        <f t="shared" si="64"/>
        <v>314.99100000000004</v>
      </c>
      <c r="K2061" s="9">
        <f t="shared" si="65"/>
        <v>-0.63779594069443424</v>
      </c>
    </row>
    <row r="2062" spans="1:11" x14ac:dyDescent="0.3">
      <c r="A2062">
        <v>728</v>
      </c>
      <c r="B2062">
        <v>4</v>
      </c>
      <c r="C2062">
        <v>58</v>
      </c>
      <c r="D2062" t="str">
        <f>VLOOKUP($C2062,products!$A$1:$F$322,MATCH(order_items!$D$1,products!$A$1:$F$1,0),FALSE)</f>
        <v>Trek Madone 9.2 - 2017</v>
      </c>
      <c r="E2062">
        <f>VLOOKUP($C2062,products!$A$1:$F$322,MATCH(order_items!$E$1,products!$A$1:$F$1,0),FALSE)</f>
        <v>7</v>
      </c>
      <c r="F2062" t="str">
        <f>VLOOKUP($E2062,categories!$A$1:$B$8,MATCH(order_items!$F$1,categories!$A$1:$B$1,0),FALSE)</f>
        <v>Road Bikes</v>
      </c>
      <c r="G2062">
        <v>1</v>
      </c>
      <c r="H2062">
        <v>4999.99</v>
      </c>
      <c r="I2062" s="5">
        <v>7.0000000000000007E-2</v>
      </c>
      <c r="J2062">
        <f t="shared" si="64"/>
        <v>4649.9906999999994</v>
      </c>
      <c r="K2062" s="9">
        <f t="shared" si="65"/>
        <v>2.7998877119074401</v>
      </c>
    </row>
    <row r="2063" spans="1:11" x14ac:dyDescent="0.3">
      <c r="A2063">
        <v>729</v>
      </c>
      <c r="B2063">
        <v>1</v>
      </c>
      <c r="C2063">
        <v>101</v>
      </c>
      <c r="D2063" t="str">
        <f>VLOOKUP($C2063,products!$A$1:$F$322,MATCH(order_items!$D$1,products!$A$1:$F$1,0),FALSE)</f>
        <v>Electra Townie 7D (20-inch) - Boys' - 2017</v>
      </c>
      <c r="E2063">
        <f>VLOOKUP($C2063,products!$A$1:$F$322,MATCH(order_items!$E$1,products!$A$1:$F$1,0),FALSE)</f>
        <v>1</v>
      </c>
      <c r="F2063" t="str">
        <f>VLOOKUP($E2063,categories!$A$1:$B$8,MATCH(order_items!$F$1,categories!$A$1:$B$1,0),FALSE)</f>
        <v>Children Bicycles</v>
      </c>
      <c r="G2063">
        <v>2</v>
      </c>
      <c r="H2063">
        <v>339.99</v>
      </c>
      <c r="I2063" s="5">
        <v>0.1</v>
      </c>
      <c r="J2063">
        <f t="shared" si="64"/>
        <v>611.98200000000008</v>
      </c>
      <c r="K2063" s="9">
        <f t="shared" si="65"/>
        <v>-0.64518880876454576</v>
      </c>
    </row>
    <row r="2064" spans="1:11" x14ac:dyDescent="0.3">
      <c r="A2064">
        <v>730</v>
      </c>
      <c r="B2064">
        <v>1</v>
      </c>
      <c r="C2064">
        <v>59</v>
      </c>
      <c r="D2064" t="str">
        <f>VLOOKUP($C2064,products!$A$1:$F$322,MATCH(order_items!$D$1,products!$A$1:$F$1,0),FALSE)</f>
        <v>Trek Domane S 5 Disc - 2017</v>
      </c>
      <c r="E2064">
        <f>VLOOKUP($C2064,products!$A$1:$F$322,MATCH(order_items!$E$1,products!$A$1:$F$1,0),FALSE)</f>
        <v>7</v>
      </c>
      <c r="F2064" t="str">
        <f>VLOOKUP($E2064,categories!$A$1:$B$8,MATCH(order_items!$F$1,categories!$A$1:$B$1,0),FALSE)</f>
        <v>Road Bikes</v>
      </c>
      <c r="G2064">
        <v>2</v>
      </c>
      <c r="H2064">
        <v>2599.9899999999998</v>
      </c>
      <c r="I2064" s="5">
        <v>0.05</v>
      </c>
      <c r="J2064">
        <f t="shared" si="64"/>
        <v>4939.9809999999998</v>
      </c>
      <c r="K2064" s="9">
        <f t="shared" si="65"/>
        <v>1.025599375080666</v>
      </c>
    </row>
    <row r="2065" spans="1:11" x14ac:dyDescent="0.3">
      <c r="A2065">
        <v>730</v>
      </c>
      <c r="B2065">
        <v>2</v>
      </c>
      <c r="C2065">
        <v>79</v>
      </c>
      <c r="D2065" t="str">
        <f>VLOOKUP($C2065,products!$A$1:$F$322,MATCH(order_items!$D$1,products!$A$1:$F$1,0),FALSE)</f>
        <v>Sun Bicycles Boardwalk (24-inch Wheels) - 2017</v>
      </c>
      <c r="E2065">
        <f>VLOOKUP($C2065,products!$A$1:$F$322,MATCH(order_items!$E$1,products!$A$1:$F$1,0),FALSE)</f>
        <v>3</v>
      </c>
      <c r="F2065" t="str">
        <f>VLOOKUP($E2065,categories!$A$1:$B$8,MATCH(order_items!$F$1,categories!$A$1:$B$1,0),FALSE)</f>
        <v>Cruisers Bicycles</v>
      </c>
      <c r="G2065">
        <v>1</v>
      </c>
      <c r="H2065">
        <v>402.99</v>
      </c>
      <c r="I2065" s="5">
        <v>0.1</v>
      </c>
      <c r="J2065">
        <f t="shared" si="64"/>
        <v>362.69100000000003</v>
      </c>
      <c r="K2065" s="9">
        <f t="shared" si="65"/>
        <v>-0.59861373992284295</v>
      </c>
    </row>
    <row r="2066" spans="1:11" x14ac:dyDescent="0.3">
      <c r="A2066">
        <v>730</v>
      </c>
      <c r="B2066">
        <v>3</v>
      </c>
      <c r="C2066">
        <v>96</v>
      </c>
      <c r="D2066" t="str">
        <f>VLOOKUP($C2066,products!$A$1:$F$322,MATCH(order_items!$D$1,products!$A$1:$F$1,0),FALSE)</f>
        <v>Electra Moto 3i (20-inch) - Boy's - 2017</v>
      </c>
      <c r="E2066">
        <f>VLOOKUP($C2066,products!$A$1:$F$322,MATCH(order_items!$E$1,products!$A$1:$F$1,0),FALSE)</f>
        <v>1</v>
      </c>
      <c r="F2066" t="str">
        <f>VLOOKUP($E2066,categories!$A$1:$B$8,MATCH(order_items!$F$1,categories!$A$1:$B$1,0),FALSE)</f>
        <v>Children Bicycles</v>
      </c>
      <c r="G2066">
        <v>2</v>
      </c>
      <c r="H2066">
        <v>349.99</v>
      </c>
      <c r="I2066" s="5">
        <v>7.0000000000000007E-2</v>
      </c>
      <c r="J2066">
        <f t="shared" si="64"/>
        <v>650.98140000000001</v>
      </c>
      <c r="K2066" s="9">
        <f t="shared" si="65"/>
        <v>-0.63779594069443424</v>
      </c>
    </row>
    <row r="2067" spans="1:11" x14ac:dyDescent="0.3">
      <c r="A2067">
        <v>730</v>
      </c>
      <c r="B2067">
        <v>4</v>
      </c>
      <c r="C2067">
        <v>13</v>
      </c>
      <c r="D2067" t="str">
        <f>VLOOKUP($C2067,products!$A$1:$F$322,MATCH(order_items!$D$1,products!$A$1:$F$1,0),FALSE)</f>
        <v>Electra Cruiser 1 (24-Inch) - 2016</v>
      </c>
      <c r="E2067">
        <f>VLOOKUP($C2067,products!$A$1:$F$322,MATCH(order_items!$E$1,products!$A$1:$F$1,0),FALSE)</f>
        <v>3</v>
      </c>
      <c r="F2067" t="str">
        <f>VLOOKUP($E2067,categories!$A$1:$B$8,MATCH(order_items!$F$1,categories!$A$1:$B$1,0),FALSE)</f>
        <v>Cruisers Bicycles</v>
      </c>
      <c r="G2067">
        <v>1</v>
      </c>
      <c r="H2067">
        <v>269.99</v>
      </c>
      <c r="I2067" s="5">
        <v>0.1</v>
      </c>
      <c r="J2067">
        <f t="shared" si="64"/>
        <v>242.99100000000001</v>
      </c>
      <c r="K2067" s="9">
        <f t="shared" si="65"/>
        <v>-0.69693888525532666</v>
      </c>
    </row>
    <row r="2068" spans="1:11" x14ac:dyDescent="0.3">
      <c r="A2068">
        <v>731</v>
      </c>
      <c r="B2068">
        <v>1</v>
      </c>
      <c r="C2068">
        <v>91</v>
      </c>
      <c r="D2068" t="str">
        <f>VLOOKUP($C2068,products!$A$1:$F$322,MATCH(order_items!$D$1,products!$A$1:$F$1,0),FALSE)</f>
        <v>Trek Precaliber 24 (21-Speed) - Girls - 2017</v>
      </c>
      <c r="E2068">
        <f>VLOOKUP($C2068,products!$A$1:$F$322,MATCH(order_items!$E$1,products!$A$1:$F$1,0),FALSE)</f>
        <v>1</v>
      </c>
      <c r="F2068" t="str">
        <f>VLOOKUP($E2068,categories!$A$1:$B$8,MATCH(order_items!$F$1,categories!$A$1:$B$1,0),FALSE)</f>
        <v>Children Bicycles</v>
      </c>
      <c r="G2068">
        <v>1</v>
      </c>
      <c r="H2068">
        <v>349.99</v>
      </c>
      <c r="I2068" s="5">
        <v>0.05</v>
      </c>
      <c r="J2068">
        <f t="shared" si="64"/>
        <v>332.4905</v>
      </c>
      <c r="K2068" s="9">
        <f t="shared" si="65"/>
        <v>-0.63779594069443424</v>
      </c>
    </row>
    <row r="2069" spans="1:11" x14ac:dyDescent="0.3">
      <c r="A2069">
        <v>731</v>
      </c>
      <c r="B2069">
        <v>2</v>
      </c>
      <c r="C2069">
        <v>49</v>
      </c>
      <c r="D2069" t="str">
        <f>VLOOKUP($C2069,products!$A$1:$F$322,MATCH(order_items!$D$1,products!$A$1:$F$1,0),FALSE)</f>
        <v>Trek Domane SL 6 - 2017</v>
      </c>
      <c r="E2069">
        <f>VLOOKUP($C2069,products!$A$1:$F$322,MATCH(order_items!$E$1,products!$A$1:$F$1,0),FALSE)</f>
        <v>7</v>
      </c>
      <c r="F2069" t="str">
        <f>VLOOKUP($E2069,categories!$A$1:$B$8,MATCH(order_items!$F$1,categories!$A$1:$B$1,0),FALSE)</f>
        <v>Road Bikes</v>
      </c>
      <c r="G2069">
        <v>1</v>
      </c>
      <c r="H2069">
        <v>3499.99</v>
      </c>
      <c r="I2069" s="5">
        <v>0.2</v>
      </c>
      <c r="J2069">
        <f t="shared" si="64"/>
        <v>2799.9920000000002</v>
      </c>
      <c r="K2069" s="9">
        <f t="shared" si="65"/>
        <v>1.6909575013907066</v>
      </c>
    </row>
    <row r="2070" spans="1:11" x14ac:dyDescent="0.3">
      <c r="A2070">
        <v>731</v>
      </c>
      <c r="B2070">
        <v>3</v>
      </c>
      <c r="C2070">
        <v>67</v>
      </c>
      <c r="D2070" t="str">
        <f>VLOOKUP($C2070,products!$A$1:$F$322,MATCH(order_items!$D$1,products!$A$1:$F$1,0),FALSE)</f>
        <v>Sun Bicycles Revolutions 24 - Girl's - 2017</v>
      </c>
      <c r="E2070">
        <f>VLOOKUP($C2070,products!$A$1:$F$322,MATCH(order_items!$E$1,products!$A$1:$F$1,0),FALSE)</f>
        <v>3</v>
      </c>
      <c r="F2070" t="str">
        <f>VLOOKUP($E2070,categories!$A$1:$B$8,MATCH(order_items!$F$1,categories!$A$1:$B$1,0),FALSE)</f>
        <v>Cruisers Bicycles</v>
      </c>
      <c r="G2070">
        <v>2</v>
      </c>
      <c r="H2070">
        <v>250.99</v>
      </c>
      <c r="I2070" s="5">
        <v>0.2</v>
      </c>
      <c r="J2070">
        <f t="shared" si="64"/>
        <v>401.58400000000006</v>
      </c>
      <c r="K2070" s="9">
        <f t="shared" si="65"/>
        <v>-0.71098533458853863</v>
      </c>
    </row>
    <row r="2071" spans="1:11" x14ac:dyDescent="0.3">
      <c r="A2071">
        <v>731</v>
      </c>
      <c r="B2071">
        <v>4</v>
      </c>
      <c r="C2071">
        <v>29</v>
      </c>
      <c r="D2071" t="str">
        <f>VLOOKUP($C2071,products!$A$1:$F$322,MATCH(order_items!$D$1,products!$A$1:$F$1,0),FALSE)</f>
        <v>Trek X-Caliber 8 - 2017</v>
      </c>
      <c r="E2071">
        <f>VLOOKUP($C2071,products!$A$1:$F$322,MATCH(order_items!$E$1,products!$A$1:$F$1,0),FALSE)</f>
        <v>6</v>
      </c>
      <c r="F2071" t="str">
        <f>VLOOKUP($E2071,categories!$A$1:$B$8,MATCH(order_items!$F$1,categories!$A$1:$B$1,0),FALSE)</f>
        <v>Mountain Bikes</v>
      </c>
      <c r="G2071">
        <v>1</v>
      </c>
      <c r="H2071">
        <v>999.99</v>
      </c>
      <c r="I2071" s="5">
        <v>0.2</v>
      </c>
      <c r="J2071">
        <f t="shared" si="64"/>
        <v>799.99200000000008</v>
      </c>
      <c r="K2071" s="9">
        <f t="shared" si="65"/>
        <v>-0.15725951613718298</v>
      </c>
    </row>
    <row r="2072" spans="1:11" x14ac:dyDescent="0.3">
      <c r="A2072">
        <v>732</v>
      </c>
      <c r="B2072">
        <v>1</v>
      </c>
      <c r="C2072">
        <v>47</v>
      </c>
      <c r="D2072" t="str">
        <f>VLOOKUP($C2072,products!$A$1:$F$322,MATCH(order_items!$D$1,products!$A$1:$F$1,0),FALSE)</f>
        <v>Trek Remedy 9.8 - 2017</v>
      </c>
      <c r="E2072">
        <f>VLOOKUP($C2072,products!$A$1:$F$322,MATCH(order_items!$E$1,products!$A$1:$F$1,0),FALSE)</f>
        <v>6</v>
      </c>
      <c r="F2072" t="str">
        <f>VLOOKUP($E2072,categories!$A$1:$B$8,MATCH(order_items!$F$1,categories!$A$1:$B$1,0),FALSE)</f>
        <v>Mountain Bikes</v>
      </c>
      <c r="G2072">
        <v>1</v>
      </c>
      <c r="H2072">
        <v>5299.99</v>
      </c>
      <c r="I2072" s="5">
        <v>7.0000000000000007E-2</v>
      </c>
      <c r="J2072">
        <f t="shared" si="64"/>
        <v>4928.9906999999994</v>
      </c>
      <c r="K2072" s="9">
        <f t="shared" si="65"/>
        <v>3.021673754010787</v>
      </c>
    </row>
    <row r="2073" spans="1:11" x14ac:dyDescent="0.3">
      <c r="A2073">
        <v>732</v>
      </c>
      <c r="B2073">
        <v>2</v>
      </c>
      <c r="C2073">
        <v>4</v>
      </c>
      <c r="D2073" t="str">
        <f>VLOOKUP($C2073,products!$A$1:$F$322,MATCH(order_items!$D$1,products!$A$1:$F$1,0),FALSE)</f>
        <v>Trek Fuel EX 8 29 - 2016</v>
      </c>
      <c r="E2073">
        <f>VLOOKUP($C2073,products!$A$1:$F$322,MATCH(order_items!$E$1,products!$A$1:$F$1,0),FALSE)</f>
        <v>6</v>
      </c>
      <c r="F2073" t="str">
        <f>VLOOKUP($E2073,categories!$A$1:$B$8,MATCH(order_items!$F$1,categories!$A$1:$B$1,0),FALSE)</f>
        <v>Mountain Bikes</v>
      </c>
      <c r="G2073">
        <v>2</v>
      </c>
      <c r="H2073">
        <v>2899.99</v>
      </c>
      <c r="I2073" s="5">
        <v>7.0000000000000007E-2</v>
      </c>
      <c r="J2073">
        <f t="shared" si="64"/>
        <v>5393.9813999999997</v>
      </c>
      <c r="K2073" s="9">
        <f t="shared" si="65"/>
        <v>1.2473854171840129</v>
      </c>
    </row>
    <row r="2074" spans="1:11" x14ac:dyDescent="0.3">
      <c r="A2074">
        <v>733</v>
      </c>
      <c r="B2074">
        <v>1</v>
      </c>
      <c r="C2074">
        <v>84</v>
      </c>
      <c r="D2074" t="str">
        <f>VLOOKUP($C2074,products!$A$1:$F$322,MATCH(order_items!$D$1,products!$A$1:$F$1,0),FALSE)</f>
        <v>Sun Bicycles Lil Kitt'n - 2017</v>
      </c>
      <c r="E2074">
        <f>VLOOKUP($C2074,products!$A$1:$F$322,MATCH(order_items!$E$1,products!$A$1:$F$1,0),FALSE)</f>
        <v>1</v>
      </c>
      <c r="F2074" t="str">
        <f>VLOOKUP($E2074,categories!$A$1:$B$8,MATCH(order_items!$F$1,categories!$A$1:$B$1,0),FALSE)</f>
        <v>Children Bicycles</v>
      </c>
      <c r="G2074">
        <v>1</v>
      </c>
      <c r="H2074">
        <v>109.99</v>
      </c>
      <c r="I2074" s="5">
        <v>0.05</v>
      </c>
      <c r="J2074">
        <f t="shared" si="64"/>
        <v>104.4905</v>
      </c>
      <c r="K2074" s="9">
        <f t="shared" si="65"/>
        <v>-0.81522477437711161</v>
      </c>
    </row>
    <row r="2075" spans="1:11" x14ac:dyDescent="0.3">
      <c r="A2075">
        <v>733</v>
      </c>
      <c r="B2075">
        <v>2</v>
      </c>
      <c r="C2075">
        <v>55</v>
      </c>
      <c r="D2075" t="str">
        <f>VLOOKUP($C2075,products!$A$1:$F$322,MATCH(order_items!$D$1,products!$A$1:$F$1,0),FALSE)</f>
        <v>Trek Domane S 6 - 2017</v>
      </c>
      <c r="E2075">
        <f>VLOOKUP($C2075,products!$A$1:$F$322,MATCH(order_items!$E$1,products!$A$1:$F$1,0),FALSE)</f>
        <v>7</v>
      </c>
      <c r="F2075" t="str">
        <f>VLOOKUP($E2075,categories!$A$1:$B$8,MATCH(order_items!$F$1,categories!$A$1:$B$1,0),FALSE)</f>
        <v>Road Bikes</v>
      </c>
      <c r="G2075">
        <v>1</v>
      </c>
      <c r="H2075">
        <v>2699.99</v>
      </c>
      <c r="I2075" s="5">
        <v>0.2</v>
      </c>
      <c r="J2075">
        <f t="shared" si="64"/>
        <v>2159.9919999999997</v>
      </c>
      <c r="K2075" s="9">
        <f t="shared" si="65"/>
        <v>1.0995280557817817</v>
      </c>
    </row>
    <row r="2076" spans="1:11" x14ac:dyDescent="0.3">
      <c r="A2076">
        <v>733</v>
      </c>
      <c r="B2076">
        <v>3</v>
      </c>
      <c r="C2076">
        <v>102</v>
      </c>
      <c r="D2076" t="str">
        <f>VLOOKUP($C2076,products!$A$1:$F$322,MATCH(order_items!$D$1,products!$A$1:$F$1,0),FALSE)</f>
        <v>Electra Townie Original 7D - 2017</v>
      </c>
      <c r="E2076">
        <f>VLOOKUP($C2076,products!$A$1:$F$322,MATCH(order_items!$E$1,products!$A$1:$F$1,0),FALSE)</f>
        <v>2</v>
      </c>
      <c r="F2076" t="str">
        <f>VLOOKUP($E2076,categories!$A$1:$B$8,MATCH(order_items!$F$1,categories!$A$1:$B$1,0),FALSE)</f>
        <v>Comfort Bicycles</v>
      </c>
      <c r="G2076">
        <v>2</v>
      </c>
      <c r="H2076">
        <v>489.99</v>
      </c>
      <c r="I2076" s="5">
        <v>0.1</v>
      </c>
      <c r="J2076">
        <f t="shared" si="64"/>
        <v>881.98200000000008</v>
      </c>
      <c r="K2076" s="9">
        <f t="shared" si="65"/>
        <v>-0.53429578771287245</v>
      </c>
    </row>
    <row r="2077" spans="1:11" x14ac:dyDescent="0.3">
      <c r="A2077">
        <v>734</v>
      </c>
      <c r="B2077">
        <v>1</v>
      </c>
      <c r="C2077">
        <v>26</v>
      </c>
      <c r="D2077" t="str">
        <f>VLOOKUP($C2077,products!$A$1:$F$322,MATCH(order_items!$D$1,products!$A$1:$F$1,0),FALSE)</f>
        <v>Electra Townie Original 7D EQ - 2016</v>
      </c>
      <c r="E2077">
        <f>VLOOKUP($C2077,products!$A$1:$F$322,MATCH(order_items!$E$1,products!$A$1:$F$1,0),FALSE)</f>
        <v>2</v>
      </c>
      <c r="F2077" t="str">
        <f>VLOOKUP($E2077,categories!$A$1:$B$8,MATCH(order_items!$F$1,categories!$A$1:$B$1,0),FALSE)</f>
        <v>Comfort Bicycles</v>
      </c>
      <c r="G2077">
        <v>1</v>
      </c>
      <c r="H2077">
        <v>599.99</v>
      </c>
      <c r="I2077" s="5">
        <v>0.2</v>
      </c>
      <c r="J2077">
        <f t="shared" si="64"/>
        <v>479.99200000000002</v>
      </c>
      <c r="K2077" s="9">
        <f t="shared" si="65"/>
        <v>-0.45297423894164529</v>
      </c>
    </row>
    <row r="2078" spans="1:11" x14ac:dyDescent="0.3">
      <c r="A2078">
        <v>734</v>
      </c>
      <c r="B2078">
        <v>2</v>
      </c>
      <c r="C2078">
        <v>3</v>
      </c>
      <c r="D2078" t="str">
        <f>VLOOKUP($C2078,products!$A$1:$F$322,MATCH(order_items!$D$1,products!$A$1:$F$1,0),FALSE)</f>
        <v>Surly Wednesday Frameset - 2016</v>
      </c>
      <c r="E2078">
        <f>VLOOKUP($C2078,products!$A$1:$F$322,MATCH(order_items!$E$1,products!$A$1:$F$1,0),FALSE)</f>
        <v>6</v>
      </c>
      <c r="F2078" t="str">
        <f>VLOOKUP($E2078,categories!$A$1:$B$8,MATCH(order_items!$F$1,categories!$A$1:$B$1,0),FALSE)</f>
        <v>Mountain Bikes</v>
      </c>
      <c r="G2078">
        <v>1</v>
      </c>
      <c r="H2078">
        <v>999.99</v>
      </c>
      <c r="I2078" s="5">
        <v>0.05</v>
      </c>
      <c r="J2078">
        <f t="shared" si="64"/>
        <v>949.9905</v>
      </c>
      <c r="K2078" s="9">
        <f t="shared" si="65"/>
        <v>-0.15725951613718298</v>
      </c>
    </row>
    <row r="2079" spans="1:11" x14ac:dyDescent="0.3">
      <c r="A2079">
        <v>734</v>
      </c>
      <c r="B2079">
        <v>3</v>
      </c>
      <c r="C2079">
        <v>84</v>
      </c>
      <c r="D2079" t="str">
        <f>VLOOKUP($C2079,products!$A$1:$F$322,MATCH(order_items!$D$1,products!$A$1:$F$1,0),FALSE)</f>
        <v>Sun Bicycles Lil Kitt'n - 2017</v>
      </c>
      <c r="E2079">
        <f>VLOOKUP($C2079,products!$A$1:$F$322,MATCH(order_items!$E$1,products!$A$1:$F$1,0),FALSE)</f>
        <v>1</v>
      </c>
      <c r="F2079" t="str">
        <f>VLOOKUP($E2079,categories!$A$1:$B$8,MATCH(order_items!$F$1,categories!$A$1:$B$1,0),FALSE)</f>
        <v>Children Bicycles</v>
      </c>
      <c r="G2079">
        <v>2</v>
      </c>
      <c r="H2079">
        <v>109.99</v>
      </c>
      <c r="I2079" s="5">
        <v>0.2</v>
      </c>
      <c r="J2079">
        <f t="shared" si="64"/>
        <v>175.98400000000001</v>
      </c>
      <c r="K2079" s="9">
        <f t="shared" si="65"/>
        <v>-0.81522477437711161</v>
      </c>
    </row>
    <row r="2080" spans="1:11" x14ac:dyDescent="0.3">
      <c r="A2080">
        <v>734</v>
      </c>
      <c r="B2080">
        <v>4</v>
      </c>
      <c r="C2080">
        <v>65</v>
      </c>
      <c r="D2080" t="str">
        <f>VLOOKUP($C2080,products!$A$1:$F$322,MATCH(order_items!$D$1,products!$A$1:$F$1,0),FALSE)</f>
        <v>Sun Bicycles Lil Bolt Type-R - 2017</v>
      </c>
      <c r="E2080">
        <f>VLOOKUP($C2080,products!$A$1:$F$322,MATCH(order_items!$E$1,products!$A$1:$F$1,0),FALSE)</f>
        <v>3</v>
      </c>
      <c r="F2080" t="str">
        <f>VLOOKUP($E2080,categories!$A$1:$B$8,MATCH(order_items!$F$1,categories!$A$1:$B$1,0),FALSE)</f>
        <v>Cruisers Bicycles</v>
      </c>
      <c r="G2080">
        <v>2</v>
      </c>
      <c r="H2080">
        <v>346.99</v>
      </c>
      <c r="I2080" s="5">
        <v>0.1</v>
      </c>
      <c r="J2080">
        <f t="shared" si="64"/>
        <v>624.58199999999999</v>
      </c>
      <c r="K2080" s="9">
        <f t="shared" si="65"/>
        <v>-0.64001380111546768</v>
      </c>
    </row>
    <row r="2081" spans="1:11" x14ac:dyDescent="0.3">
      <c r="A2081">
        <v>735</v>
      </c>
      <c r="B2081">
        <v>1</v>
      </c>
      <c r="C2081">
        <v>71</v>
      </c>
      <c r="D2081" t="str">
        <f>VLOOKUP($C2081,products!$A$1:$F$322,MATCH(order_items!$D$1,products!$A$1:$F$1,0),FALSE)</f>
        <v>Sun Bicycles Atlas X-Type - 2017</v>
      </c>
      <c r="E2081">
        <f>VLOOKUP($C2081,products!$A$1:$F$322,MATCH(order_items!$E$1,products!$A$1:$F$1,0),FALSE)</f>
        <v>3</v>
      </c>
      <c r="F2081" t="str">
        <f>VLOOKUP($E2081,categories!$A$1:$B$8,MATCH(order_items!$F$1,categories!$A$1:$B$1,0),FALSE)</f>
        <v>Cruisers Bicycles</v>
      </c>
      <c r="G2081">
        <v>2</v>
      </c>
      <c r="H2081">
        <v>416.99</v>
      </c>
      <c r="I2081" s="5">
        <v>0.1</v>
      </c>
      <c r="J2081">
        <f t="shared" si="64"/>
        <v>750.58199999999999</v>
      </c>
      <c r="K2081" s="9">
        <f t="shared" si="65"/>
        <v>-0.58826372462468679</v>
      </c>
    </row>
    <row r="2082" spans="1:11" x14ac:dyDescent="0.3">
      <c r="A2082">
        <v>735</v>
      </c>
      <c r="B2082">
        <v>2</v>
      </c>
      <c r="C2082">
        <v>10</v>
      </c>
      <c r="D2082" t="str">
        <f>VLOOKUP($C2082,products!$A$1:$F$322,MATCH(order_items!$D$1,products!$A$1:$F$1,0),FALSE)</f>
        <v>Surly Straggler - 2016</v>
      </c>
      <c r="E2082">
        <f>VLOOKUP($C2082,products!$A$1:$F$322,MATCH(order_items!$E$1,products!$A$1:$F$1,0),FALSE)</f>
        <v>4</v>
      </c>
      <c r="F2082" t="str">
        <f>VLOOKUP($E2082,categories!$A$1:$B$8,MATCH(order_items!$F$1,categories!$A$1:$B$1,0),FALSE)</f>
        <v>Cyclocross Bicycles</v>
      </c>
      <c r="G2082">
        <v>2</v>
      </c>
      <c r="H2082">
        <v>1549</v>
      </c>
      <c r="I2082" s="5">
        <v>7.0000000000000007E-2</v>
      </c>
      <c r="J2082">
        <f t="shared" si="64"/>
        <v>2881.14</v>
      </c>
      <c r="K2082" s="9">
        <f t="shared" si="65"/>
        <v>0.24861633378001166</v>
      </c>
    </row>
    <row r="2083" spans="1:11" x14ac:dyDescent="0.3">
      <c r="A2083">
        <v>736</v>
      </c>
      <c r="B2083">
        <v>1</v>
      </c>
      <c r="C2083">
        <v>56</v>
      </c>
      <c r="D2083" t="str">
        <f>VLOOKUP($C2083,products!$A$1:$F$322,MATCH(order_items!$D$1,products!$A$1:$F$1,0),FALSE)</f>
        <v>Trek Domane SLR 6 Disc - 2017</v>
      </c>
      <c r="E2083">
        <f>VLOOKUP($C2083,products!$A$1:$F$322,MATCH(order_items!$E$1,products!$A$1:$F$1,0),FALSE)</f>
        <v>7</v>
      </c>
      <c r="F2083" t="str">
        <f>VLOOKUP($E2083,categories!$A$1:$B$8,MATCH(order_items!$F$1,categories!$A$1:$B$1,0),FALSE)</f>
        <v>Road Bikes</v>
      </c>
      <c r="G2083">
        <v>2</v>
      </c>
      <c r="H2083">
        <v>5499.99</v>
      </c>
      <c r="I2083" s="5">
        <v>0.05</v>
      </c>
      <c r="J2083">
        <f t="shared" si="64"/>
        <v>10449.981</v>
      </c>
      <c r="K2083" s="9">
        <f t="shared" si="65"/>
        <v>3.1695311154130179</v>
      </c>
    </row>
    <row r="2084" spans="1:11" x14ac:dyDescent="0.3">
      <c r="A2084">
        <v>736</v>
      </c>
      <c r="B2084">
        <v>2</v>
      </c>
      <c r="C2084">
        <v>17</v>
      </c>
      <c r="D2084" t="str">
        <f>VLOOKUP($C2084,products!$A$1:$F$322,MATCH(order_items!$D$1,products!$A$1:$F$1,0),FALSE)</f>
        <v>Pure Cycles Vine 8-Speed - 2016</v>
      </c>
      <c r="E2084">
        <f>VLOOKUP($C2084,products!$A$1:$F$322,MATCH(order_items!$E$1,products!$A$1:$F$1,0),FALSE)</f>
        <v>3</v>
      </c>
      <c r="F2084" t="str">
        <f>VLOOKUP($E2084,categories!$A$1:$B$8,MATCH(order_items!$F$1,categories!$A$1:$B$1,0),FALSE)</f>
        <v>Cruisers Bicycles</v>
      </c>
      <c r="G2084">
        <v>1</v>
      </c>
      <c r="H2084">
        <v>429</v>
      </c>
      <c r="I2084" s="5">
        <v>0.1</v>
      </c>
      <c r="J2084">
        <f t="shared" si="64"/>
        <v>386.1</v>
      </c>
      <c r="K2084" s="9">
        <f t="shared" si="65"/>
        <v>-0.57938489007248284</v>
      </c>
    </row>
    <row r="2085" spans="1:11" x14ac:dyDescent="0.3">
      <c r="A2085">
        <v>736</v>
      </c>
      <c r="B2085">
        <v>3</v>
      </c>
      <c r="C2085">
        <v>62</v>
      </c>
      <c r="D2085" t="str">
        <f>VLOOKUP($C2085,products!$A$1:$F$322,MATCH(order_items!$D$1,products!$A$1:$F$1,0),FALSE)</f>
        <v>Trek Boone 7 - 2017</v>
      </c>
      <c r="E2085">
        <f>VLOOKUP($C2085,products!$A$1:$F$322,MATCH(order_items!$E$1,products!$A$1:$F$1,0),FALSE)</f>
        <v>4</v>
      </c>
      <c r="F2085" t="str">
        <f>VLOOKUP($E2085,categories!$A$1:$B$8,MATCH(order_items!$F$1,categories!$A$1:$B$1,0),FALSE)</f>
        <v>Cyclocross Bicycles</v>
      </c>
      <c r="G2085">
        <v>2</v>
      </c>
      <c r="H2085">
        <v>3499.99</v>
      </c>
      <c r="I2085" s="5">
        <v>0.2</v>
      </c>
      <c r="J2085">
        <f t="shared" si="64"/>
        <v>5599.9840000000004</v>
      </c>
      <c r="K2085" s="9">
        <f t="shared" si="65"/>
        <v>1.6909575013907066</v>
      </c>
    </row>
    <row r="2086" spans="1:11" x14ac:dyDescent="0.3">
      <c r="A2086">
        <v>737</v>
      </c>
      <c r="B2086">
        <v>1</v>
      </c>
      <c r="C2086">
        <v>52</v>
      </c>
      <c r="D2086" t="str">
        <f>VLOOKUP($C2086,products!$A$1:$F$322,MATCH(order_items!$D$1,products!$A$1:$F$1,0),FALSE)</f>
        <v>Surly Steamroller - 2017</v>
      </c>
      <c r="E2086">
        <f>VLOOKUP($C2086,products!$A$1:$F$322,MATCH(order_items!$E$1,products!$A$1:$F$1,0),FALSE)</f>
        <v>7</v>
      </c>
      <c r="F2086" t="str">
        <f>VLOOKUP($E2086,categories!$A$1:$B$8,MATCH(order_items!$F$1,categories!$A$1:$B$1,0),FALSE)</f>
        <v>Road Bikes</v>
      </c>
      <c r="G2086">
        <v>1</v>
      </c>
      <c r="H2086">
        <v>875.99</v>
      </c>
      <c r="I2086" s="5">
        <v>0.05</v>
      </c>
      <c r="J2086">
        <f t="shared" si="64"/>
        <v>832.19049999999993</v>
      </c>
      <c r="K2086" s="9">
        <f t="shared" si="65"/>
        <v>-0.24893108020656629</v>
      </c>
    </row>
    <row r="2087" spans="1:11" x14ac:dyDescent="0.3">
      <c r="A2087">
        <v>737</v>
      </c>
      <c r="B2087">
        <v>2</v>
      </c>
      <c r="C2087">
        <v>19</v>
      </c>
      <c r="D2087" t="str">
        <f>VLOOKUP($C2087,products!$A$1:$F$322,MATCH(order_items!$D$1,products!$A$1:$F$1,0),FALSE)</f>
        <v>Pure Cycles William 3-Speed - 2016</v>
      </c>
      <c r="E2087">
        <f>VLOOKUP($C2087,products!$A$1:$F$322,MATCH(order_items!$E$1,products!$A$1:$F$1,0),FALSE)</f>
        <v>3</v>
      </c>
      <c r="F2087" t="str">
        <f>VLOOKUP($E2087,categories!$A$1:$B$8,MATCH(order_items!$F$1,categories!$A$1:$B$1,0),FALSE)</f>
        <v>Cruisers Bicycles</v>
      </c>
      <c r="G2087">
        <v>2</v>
      </c>
      <c r="H2087">
        <v>449</v>
      </c>
      <c r="I2087" s="5">
        <v>7.0000000000000007E-2</v>
      </c>
      <c r="J2087">
        <f t="shared" si="64"/>
        <v>835.14</v>
      </c>
      <c r="K2087" s="9">
        <f t="shared" si="65"/>
        <v>-0.56459915393225968</v>
      </c>
    </row>
    <row r="2088" spans="1:11" x14ac:dyDescent="0.3">
      <c r="A2088">
        <v>737</v>
      </c>
      <c r="B2088">
        <v>3</v>
      </c>
      <c r="C2088">
        <v>77</v>
      </c>
      <c r="D2088" t="str">
        <f>VLOOKUP($C2088,products!$A$1:$F$322,MATCH(order_items!$D$1,products!$A$1:$F$1,0),FALSE)</f>
        <v>Electra Glam Punk 3i Ladies' - 2017</v>
      </c>
      <c r="E2088">
        <f>VLOOKUP($C2088,products!$A$1:$F$322,MATCH(order_items!$E$1,products!$A$1:$F$1,0),FALSE)</f>
        <v>3</v>
      </c>
      <c r="F2088" t="str">
        <f>VLOOKUP($E2088,categories!$A$1:$B$8,MATCH(order_items!$F$1,categories!$A$1:$B$1,0),FALSE)</f>
        <v>Cruisers Bicycles</v>
      </c>
      <c r="G2088">
        <v>2</v>
      </c>
      <c r="H2088">
        <v>799.99</v>
      </c>
      <c r="I2088" s="5">
        <v>7.0000000000000007E-2</v>
      </c>
      <c r="J2088">
        <f t="shared" si="64"/>
        <v>1487.9813999999999</v>
      </c>
      <c r="K2088" s="9">
        <f t="shared" si="65"/>
        <v>-0.30511687753941413</v>
      </c>
    </row>
    <row r="2089" spans="1:11" x14ac:dyDescent="0.3">
      <c r="A2089">
        <v>737</v>
      </c>
      <c r="B2089">
        <v>4</v>
      </c>
      <c r="C2089">
        <v>34</v>
      </c>
      <c r="D2089" t="str">
        <f>VLOOKUP($C2089,products!$A$1:$F$322,MATCH(order_items!$D$1,products!$A$1:$F$1,0),FALSE)</f>
        <v>Trek Session DH 27.5 Carbon Frameset - 2017</v>
      </c>
      <c r="E2089">
        <f>VLOOKUP($C2089,products!$A$1:$F$322,MATCH(order_items!$E$1,products!$A$1:$F$1,0),FALSE)</f>
        <v>6</v>
      </c>
      <c r="F2089" t="str">
        <f>VLOOKUP($E2089,categories!$A$1:$B$8,MATCH(order_items!$F$1,categories!$A$1:$B$1,0),FALSE)</f>
        <v>Mountain Bikes</v>
      </c>
      <c r="G2089">
        <v>1</v>
      </c>
      <c r="H2089">
        <v>469.99</v>
      </c>
      <c r="I2089" s="5">
        <v>0.2</v>
      </c>
      <c r="J2089">
        <f t="shared" si="64"/>
        <v>375.99200000000002</v>
      </c>
      <c r="K2089" s="9">
        <f t="shared" si="65"/>
        <v>-0.5490815238530955</v>
      </c>
    </row>
    <row r="2090" spans="1:11" x14ac:dyDescent="0.3">
      <c r="A2090">
        <v>738</v>
      </c>
      <c r="B2090">
        <v>1</v>
      </c>
      <c r="C2090">
        <v>82</v>
      </c>
      <c r="D2090" t="str">
        <f>VLOOKUP($C2090,products!$A$1:$F$322,MATCH(order_items!$D$1,products!$A$1:$F$1,0),FALSE)</f>
        <v>Electra Amsterdam Original 3i Ladies' - 2017</v>
      </c>
      <c r="E2090">
        <f>VLOOKUP($C2090,products!$A$1:$F$322,MATCH(order_items!$E$1,products!$A$1:$F$1,0),FALSE)</f>
        <v>3</v>
      </c>
      <c r="F2090" t="str">
        <f>VLOOKUP($E2090,categories!$A$1:$B$8,MATCH(order_items!$F$1,categories!$A$1:$B$1,0),FALSE)</f>
        <v>Cruisers Bicycles</v>
      </c>
      <c r="G2090">
        <v>2</v>
      </c>
      <c r="H2090">
        <v>659.99</v>
      </c>
      <c r="I2090" s="5">
        <v>7.0000000000000007E-2</v>
      </c>
      <c r="J2090">
        <f t="shared" si="64"/>
        <v>1227.5814</v>
      </c>
      <c r="K2090" s="9">
        <f t="shared" si="65"/>
        <v>-0.40861703052097592</v>
      </c>
    </row>
    <row r="2091" spans="1:11" x14ac:dyDescent="0.3">
      <c r="A2091">
        <v>738</v>
      </c>
      <c r="B2091">
        <v>2</v>
      </c>
      <c r="C2091">
        <v>38</v>
      </c>
      <c r="D2091" t="str">
        <f>VLOOKUP($C2091,products!$A$1:$F$322,MATCH(order_items!$D$1,products!$A$1:$F$1,0),FALSE)</f>
        <v>Haro Flightline Two 26 Plus - 2017</v>
      </c>
      <c r="E2091">
        <f>VLOOKUP($C2091,products!$A$1:$F$322,MATCH(order_items!$E$1,products!$A$1:$F$1,0),FALSE)</f>
        <v>6</v>
      </c>
      <c r="F2091" t="str">
        <f>VLOOKUP($E2091,categories!$A$1:$B$8,MATCH(order_items!$F$1,categories!$A$1:$B$1,0),FALSE)</f>
        <v>Mountain Bikes</v>
      </c>
      <c r="G2091">
        <v>2</v>
      </c>
      <c r="H2091">
        <v>549.99</v>
      </c>
      <c r="I2091" s="5">
        <v>0.2</v>
      </c>
      <c r="J2091">
        <f t="shared" si="64"/>
        <v>879.98400000000004</v>
      </c>
      <c r="K2091" s="9">
        <f t="shared" si="65"/>
        <v>-0.48993857929220308</v>
      </c>
    </row>
    <row r="2092" spans="1:11" x14ac:dyDescent="0.3">
      <c r="A2092">
        <v>738</v>
      </c>
      <c r="B2092">
        <v>3</v>
      </c>
      <c r="C2092">
        <v>25</v>
      </c>
      <c r="D2092" t="str">
        <f>VLOOKUP($C2092,products!$A$1:$F$322,MATCH(order_items!$D$1,products!$A$1:$F$1,0),FALSE)</f>
        <v>Electra Townie Original 7D - 2015/2016</v>
      </c>
      <c r="E2092">
        <f>VLOOKUP($C2092,products!$A$1:$F$322,MATCH(order_items!$E$1,products!$A$1:$F$1,0),FALSE)</f>
        <v>2</v>
      </c>
      <c r="F2092" t="str">
        <f>VLOOKUP($E2092,categories!$A$1:$B$8,MATCH(order_items!$F$1,categories!$A$1:$B$1,0),FALSE)</f>
        <v>Comfort Bicycles</v>
      </c>
      <c r="G2092">
        <v>1</v>
      </c>
      <c r="H2092">
        <v>499.99</v>
      </c>
      <c r="I2092" s="5">
        <v>0.1</v>
      </c>
      <c r="J2092">
        <f t="shared" si="64"/>
        <v>449.99100000000004</v>
      </c>
      <c r="K2092" s="9">
        <f t="shared" si="65"/>
        <v>-0.52690291964276081</v>
      </c>
    </row>
    <row r="2093" spans="1:11" x14ac:dyDescent="0.3">
      <c r="A2093">
        <v>738</v>
      </c>
      <c r="B2093">
        <v>4</v>
      </c>
      <c r="C2093">
        <v>63</v>
      </c>
      <c r="D2093" t="str">
        <f>VLOOKUP($C2093,products!$A$1:$F$322,MATCH(order_items!$D$1,products!$A$1:$F$1,0),FALSE)</f>
        <v>Trek Boone Race Shop Limited - 2017</v>
      </c>
      <c r="E2093">
        <f>VLOOKUP($C2093,products!$A$1:$F$322,MATCH(order_items!$E$1,products!$A$1:$F$1,0),FALSE)</f>
        <v>4</v>
      </c>
      <c r="F2093" t="str">
        <f>VLOOKUP($E2093,categories!$A$1:$B$8,MATCH(order_items!$F$1,categories!$A$1:$B$1,0),FALSE)</f>
        <v>Cyclocross Bicycles</v>
      </c>
      <c r="G2093">
        <v>1</v>
      </c>
      <c r="H2093">
        <v>3499.99</v>
      </c>
      <c r="I2093" s="5">
        <v>7.0000000000000007E-2</v>
      </c>
      <c r="J2093">
        <f t="shared" si="64"/>
        <v>3254.9906999999994</v>
      </c>
      <c r="K2093" s="9">
        <f t="shared" si="65"/>
        <v>1.6909575013907066</v>
      </c>
    </row>
    <row r="2094" spans="1:11" x14ac:dyDescent="0.3">
      <c r="A2094">
        <v>739</v>
      </c>
      <c r="B2094">
        <v>1</v>
      </c>
      <c r="C2094">
        <v>3</v>
      </c>
      <c r="D2094" t="str">
        <f>VLOOKUP($C2094,products!$A$1:$F$322,MATCH(order_items!$D$1,products!$A$1:$F$1,0),FALSE)</f>
        <v>Surly Wednesday Frameset - 2016</v>
      </c>
      <c r="E2094">
        <f>VLOOKUP($C2094,products!$A$1:$F$322,MATCH(order_items!$E$1,products!$A$1:$F$1,0),FALSE)</f>
        <v>6</v>
      </c>
      <c r="F2094" t="str">
        <f>VLOOKUP($E2094,categories!$A$1:$B$8,MATCH(order_items!$F$1,categories!$A$1:$B$1,0),FALSE)</f>
        <v>Mountain Bikes</v>
      </c>
      <c r="G2094">
        <v>1</v>
      </c>
      <c r="H2094">
        <v>999.99</v>
      </c>
      <c r="I2094" s="5">
        <v>0.2</v>
      </c>
      <c r="J2094">
        <f t="shared" si="64"/>
        <v>799.99200000000008</v>
      </c>
      <c r="K2094" s="9">
        <f t="shared" si="65"/>
        <v>-0.15725951613718298</v>
      </c>
    </row>
    <row r="2095" spans="1:11" x14ac:dyDescent="0.3">
      <c r="A2095">
        <v>740</v>
      </c>
      <c r="B2095">
        <v>1</v>
      </c>
      <c r="C2095">
        <v>81</v>
      </c>
      <c r="D2095" t="str">
        <f>VLOOKUP($C2095,products!$A$1:$F$322,MATCH(order_items!$D$1,products!$A$1:$F$1,0),FALSE)</f>
        <v>Electra Amsterdam Fashion 7i Ladies' - 2017</v>
      </c>
      <c r="E2095">
        <f>VLOOKUP($C2095,products!$A$1:$F$322,MATCH(order_items!$E$1,products!$A$1:$F$1,0),FALSE)</f>
        <v>3</v>
      </c>
      <c r="F2095" t="str">
        <f>VLOOKUP($E2095,categories!$A$1:$B$8,MATCH(order_items!$F$1,categories!$A$1:$B$1,0),FALSE)</f>
        <v>Cruisers Bicycles</v>
      </c>
      <c r="G2095">
        <v>1</v>
      </c>
      <c r="H2095">
        <v>1099.99</v>
      </c>
      <c r="I2095" s="5">
        <v>0.05</v>
      </c>
      <c r="J2095">
        <f t="shared" si="64"/>
        <v>1044.9904999999999</v>
      </c>
      <c r="K2095" s="9">
        <f t="shared" si="65"/>
        <v>-8.3330835436067396E-2</v>
      </c>
    </row>
    <row r="2096" spans="1:11" x14ac:dyDescent="0.3">
      <c r="A2096">
        <v>740</v>
      </c>
      <c r="B2096">
        <v>2</v>
      </c>
      <c r="C2096">
        <v>94</v>
      </c>
      <c r="D2096" t="str">
        <f>VLOOKUP($C2096,products!$A$1:$F$322,MATCH(order_items!$D$1,products!$A$1:$F$1,0),FALSE)</f>
        <v>Haro Shredder Pro 20 - 2017</v>
      </c>
      <c r="E2096">
        <f>VLOOKUP($C2096,products!$A$1:$F$322,MATCH(order_items!$E$1,products!$A$1:$F$1,0),FALSE)</f>
        <v>1</v>
      </c>
      <c r="F2096" t="str">
        <f>VLOOKUP($E2096,categories!$A$1:$B$8,MATCH(order_items!$F$1,categories!$A$1:$B$1,0),FALSE)</f>
        <v>Children Bicycles</v>
      </c>
      <c r="G2096">
        <v>2</v>
      </c>
      <c r="H2096">
        <v>249.99</v>
      </c>
      <c r="I2096" s="5">
        <v>0.2</v>
      </c>
      <c r="J2096">
        <f t="shared" si="64"/>
        <v>399.98400000000004</v>
      </c>
      <c r="K2096" s="9">
        <f t="shared" si="65"/>
        <v>-0.71172462139554982</v>
      </c>
    </row>
    <row r="2097" spans="1:11" x14ac:dyDescent="0.3">
      <c r="A2097">
        <v>740</v>
      </c>
      <c r="B2097">
        <v>3</v>
      </c>
      <c r="C2097">
        <v>11</v>
      </c>
      <c r="D2097" t="str">
        <f>VLOOKUP($C2097,products!$A$1:$F$322,MATCH(order_items!$D$1,products!$A$1:$F$1,0),FALSE)</f>
        <v>Surly Straggler 650b - 2016</v>
      </c>
      <c r="E2097">
        <f>VLOOKUP($C2097,products!$A$1:$F$322,MATCH(order_items!$E$1,products!$A$1:$F$1,0),FALSE)</f>
        <v>4</v>
      </c>
      <c r="F2097" t="str">
        <f>VLOOKUP($E2097,categories!$A$1:$B$8,MATCH(order_items!$F$1,categories!$A$1:$B$1,0),FALSE)</f>
        <v>Cyclocross Bicycles</v>
      </c>
      <c r="G2097">
        <v>1</v>
      </c>
      <c r="H2097">
        <v>1680.99</v>
      </c>
      <c r="I2097" s="5">
        <v>0.2</v>
      </c>
      <c r="J2097">
        <f t="shared" si="64"/>
        <v>1344.7920000000001</v>
      </c>
      <c r="K2097" s="9">
        <f t="shared" si="65"/>
        <v>0.3461947994374141</v>
      </c>
    </row>
    <row r="2098" spans="1:11" x14ac:dyDescent="0.3">
      <c r="A2098">
        <v>740</v>
      </c>
      <c r="B2098">
        <v>4</v>
      </c>
      <c r="C2098">
        <v>19</v>
      </c>
      <c r="D2098" t="str">
        <f>VLOOKUP($C2098,products!$A$1:$F$322,MATCH(order_items!$D$1,products!$A$1:$F$1,0),FALSE)</f>
        <v>Pure Cycles William 3-Speed - 2016</v>
      </c>
      <c r="E2098">
        <f>VLOOKUP($C2098,products!$A$1:$F$322,MATCH(order_items!$E$1,products!$A$1:$F$1,0),FALSE)</f>
        <v>3</v>
      </c>
      <c r="F2098" t="str">
        <f>VLOOKUP($E2098,categories!$A$1:$B$8,MATCH(order_items!$F$1,categories!$A$1:$B$1,0),FALSE)</f>
        <v>Cruisers Bicycles</v>
      </c>
      <c r="G2098">
        <v>1</v>
      </c>
      <c r="H2098">
        <v>449</v>
      </c>
      <c r="I2098" s="5">
        <v>0.2</v>
      </c>
      <c r="J2098">
        <f t="shared" si="64"/>
        <v>359.20000000000005</v>
      </c>
      <c r="K2098" s="9">
        <f t="shared" si="65"/>
        <v>-0.56459915393225968</v>
      </c>
    </row>
    <row r="2099" spans="1:11" x14ac:dyDescent="0.3">
      <c r="A2099">
        <v>740</v>
      </c>
      <c r="B2099">
        <v>5</v>
      </c>
      <c r="C2099">
        <v>12</v>
      </c>
      <c r="D2099" t="str">
        <f>VLOOKUP($C2099,products!$A$1:$F$322,MATCH(order_items!$D$1,products!$A$1:$F$1,0),FALSE)</f>
        <v>Electra Townie Original 21D - 2016</v>
      </c>
      <c r="E2099">
        <f>VLOOKUP($C2099,products!$A$1:$F$322,MATCH(order_items!$E$1,products!$A$1:$F$1,0),FALSE)</f>
        <v>3</v>
      </c>
      <c r="F2099" t="str">
        <f>VLOOKUP($E2099,categories!$A$1:$B$8,MATCH(order_items!$F$1,categories!$A$1:$B$1,0),FALSE)</f>
        <v>Cruisers Bicycles</v>
      </c>
      <c r="G2099">
        <v>2</v>
      </c>
      <c r="H2099">
        <v>549.99</v>
      </c>
      <c r="I2099" s="5">
        <v>7.0000000000000007E-2</v>
      </c>
      <c r="J2099">
        <f t="shared" si="64"/>
        <v>1022.9813999999999</v>
      </c>
      <c r="K2099" s="9">
        <f t="shared" si="65"/>
        <v>-0.48993857929220308</v>
      </c>
    </row>
    <row r="2100" spans="1:11" x14ac:dyDescent="0.3">
      <c r="A2100">
        <v>741</v>
      </c>
      <c r="B2100">
        <v>1</v>
      </c>
      <c r="C2100">
        <v>58</v>
      </c>
      <c r="D2100" t="str">
        <f>VLOOKUP($C2100,products!$A$1:$F$322,MATCH(order_items!$D$1,products!$A$1:$F$1,0),FALSE)</f>
        <v>Trek Madone 9.2 - 2017</v>
      </c>
      <c r="E2100">
        <f>VLOOKUP($C2100,products!$A$1:$F$322,MATCH(order_items!$E$1,products!$A$1:$F$1,0),FALSE)</f>
        <v>7</v>
      </c>
      <c r="F2100" t="str">
        <f>VLOOKUP($E2100,categories!$A$1:$B$8,MATCH(order_items!$F$1,categories!$A$1:$B$1,0),FALSE)</f>
        <v>Road Bikes</v>
      </c>
      <c r="G2100">
        <v>1</v>
      </c>
      <c r="H2100">
        <v>4999.99</v>
      </c>
      <c r="I2100" s="5">
        <v>0.05</v>
      </c>
      <c r="J2100">
        <f t="shared" si="64"/>
        <v>4749.9904999999999</v>
      </c>
      <c r="K2100" s="9">
        <f t="shared" si="65"/>
        <v>2.7998877119074401</v>
      </c>
    </row>
    <row r="2101" spans="1:11" x14ac:dyDescent="0.3">
      <c r="A2101">
        <v>741</v>
      </c>
      <c r="B2101">
        <v>2</v>
      </c>
      <c r="C2101">
        <v>76</v>
      </c>
      <c r="D2101" t="str">
        <f>VLOOKUP($C2101,products!$A$1:$F$322,MATCH(order_items!$D$1,products!$A$1:$F$1,0),FALSE)</f>
        <v>Electra Girl's Hawaii 1 16" - 2017</v>
      </c>
      <c r="E2101">
        <f>VLOOKUP($C2101,products!$A$1:$F$322,MATCH(order_items!$E$1,products!$A$1:$F$1,0),FALSE)</f>
        <v>3</v>
      </c>
      <c r="F2101" t="str">
        <f>VLOOKUP($E2101,categories!$A$1:$B$8,MATCH(order_items!$F$1,categories!$A$1:$B$1,0),FALSE)</f>
        <v>Cruisers Bicycles</v>
      </c>
      <c r="G2101">
        <v>1</v>
      </c>
      <c r="H2101">
        <v>299.99</v>
      </c>
      <c r="I2101" s="5">
        <v>7.0000000000000007E-2</v>
      </c>
      <c r="J2101">
        <f t="shared" si="64"/>
        <v>278.9907</v>
      </c>
      <c r="K2101" s="9">
        <f t="shared" si="65"/>
        <v>-0.67476028104499197</v>
      </c>
    </row>
    <row r="2102" spans="1:11" x14ac:dyDescent="0.3">
      <c r="A2102">
        <v>741</v>
      </c>
      <c r="B2102">
        <v>3</v>
      </c>
      <c r="C2102">
        <v>21</v>
      </c>
      <c r="D2102" t="str">
        <f>VLOOKUP($C2102,products!$A$1:$F$322,MATCH(order_items!$D$1,products!$A$1:$F$1,0),FALSE)</f>
        <v>Electra Cruiser 1 (24-Inch) - 2016</v>
      </c>
      <c r="E2102">
        <f>VLOOKUP($C2102,products!$A$1:$F$322,MATCH(order_items!$E$1,products!$A$1:$F$1,0),FALSE)</f>
        <v>1</v>
      </c>
      <c r="F2102" t="str">
        <f>VLOOKUP($E2102,categories!$A$1:$B$8,MATCH(order_items!$F$1,categories!$A$1:$B$1,0),FALSE)</f>
        <v>Children Bicycles</v>
      </c>
      <c r="G2102">
        <v>2</v>
      </c>
      <c r="H2102">
        <v>269.99</v>
      </c>
      <c r="I2102" s="5">
        <v>7.0000000000000007E-2</v>
      </c>
      <c r="J2102">
        <f t="shared" si="64"/>
        <v>502.1814</v>
      </c>
      <c r="K2102" s="9">
        <f t="shared" si="65"/>
        <v>-0.69693888525532666</v>
      </c>
    </row>
    <row r="2103" spans="1:11" x14ac:dyDescent="0.3">
      <c r="A2103">
        <v>741</v>
      </c>
      <c r="B2103">
        <v>4</v>
      </c>
      <c r="C2103">
        <v>56</v>
      </c>
      <c r="D2103" t="str">
        <f>VLOOKUP($C2103,products!$A$1:$F$322,MATCH(order_items!$D$1,products!$A$1:$F$1,0),FALSE)</f>
        <v>Trek Domane SLR 6 Disc - 2017</v>
      </c>
      <c r="E2103">
        <f>VLOOKUP($C2103,products!$A$1:$F$322,MATCH(order_items!$E$1,products!$A$1:$F$1,0),FALSE)</f>
        <v>7</v>
      </c>
      <c r="F2103" t="str">
        <f>VLOOKUP($E2103,categories!$A$1:$B$8,MATCH(order_items!$F$1,categories!$A$1:$B$1,0),FALSE)</f>
        <v>Road Bikes</v>
      </c>
      <c r="G2103">
        <v>2</v>
      </c>
      <c r="H2103">
        <v>5499.99</v>
      </c>
      <c r="I2103" s="5">
        <v>0.05</v>
      </c>
      <c r="J2103">
        <f t="shared" si="64"/>
        <v>10449.981</v>
      </c>
      <c r="K2103" s="9">
        <f t="shared" si="65"/>
        <v>3.1695311154130179</v>
      </c>
    </row>
    <row r="2104" spans="1:11" x14ac:dyDescent="0.3">
      <c r="A2104">
        <v>742</v>
      </c>
      <c r="B2104">
        <v>1</v>
      </c>
      <c r="C2104">
        <v>107</v>
      </c>
      <c r="D2104" t="str">
        <f>VLOOKUP($C2104,products!$A$1:$F$322,MATCH(order_items!$D$1,products!$A$1:$F$1,0),FALSE)</f>
        <v>Sun Bicycles Cruz 7 - 2017</v>
      </c>
      <c r="E2104">
        <f>VLOOKUP($C2104,products!$A$1:$F$322,MATCH(order_items!$E$1,products!$A$1:$F$1,0),FALSE)</f>
        <v>2</v>
      </c>
      <c r="F2104" t="str">
        <f>VLOOKUP($E2104,categories!$A$1:$B$8,MATCH(order_items!$F$1,categories!$A$1:$B$1,0),FALSE)</f>
        <v>Comfort Bicycles</v>
      </c>
      <c r="G2104">
        <v>2</v>
      </c>
      <c r="H2104">
        <v>416.99</v>
      </c>
      <c r="I2104" s="5">
        <v>0.05</v>
      </c>
      <c r="J2104">
        <f t="shared" si="64"/>
        <v>792.28099999999995</v>
      </c>
      <c r="K2104" s="9">
        <f t="shared" si="65"/>
        <v>-0.58826372462468679</v>
      </c>
    </row>
    <row r="2105" spans="1:11" x14ac:dyDescent="0.3">
      <c r="A2105">
        <v>742</v>
      </c>
      <c r="B2105">
        <v>2</v>
      </c>
      <c r="C2105">
        <v>45</v>
      </c>
      <c r="D2105" t="str">
        <f>VLOOKUP($C2105,products!$A$1:$F$322,MATCH(order_items!$D$1,products!$A$1:$F$1,0),FALSE)</f>
        <v>Haro SR 1.2 - 2017</v>
      </c>
      <c r="E2105">
        <f>VLOOKUP($C2105,products!$A$1:$F$322,MATCH(order_items!$E$1,products!$A$1:$F$1,0),FALSE)</f>
        <v>6</v>
      </c>
      <c r="F2105" t="str">
        <f>VLOOKUP($E2105,categories!$A$1:$B$8,MATCH(order_items!$F$1,categories!$A$1:$B$1,0),FALSE)</f>
        <v>Mountain Bikes</v>
      </c>
      <c r="G2105">
        <v>1</v>
      </c>
      <c r="H2105">
        <v>869.99</v>
      </c>
      <c r="I2105" s="5">
        <v>7.0000000000000007E-2</v>
      </c>
      <c r="J2105">
        <f t="shared" si="64"/>
        <v>809.09069999999997</v>
      </c>
      <c r="K2105" s="9">
        <f t="shared" si="65"/>
        <v>-0.25336680104863324</v>
      </c>
    </row>
    <row r="2106" spans="1:11" x14ac:dyDescent="0.3">
      <c r="A2106">
        <v>743</v>
      </c>
      <c r="B2106">
        <v>1</v>
      </c>
      <c r="C2106">
        <v>80</v>
      </c>
      <c r="D2106" t="str">
        <f>VLOOKUP($C2106,products!$A$1:$F$322,MATCH(order_items!$D$1,products!$A$1:$F$1,0),FALSE)</f>
        <v>Sun Bicycles Brickell Tandem CB - 2017</v>
      </c>
      <c r="E2106">
        <f>VLOOKUP($C2106,products!$A$1:$F$322,MATCH(order_items!$E$1,products!$A$1:$F$1,0),FALSE)</f>
        <v>3</v>
      </c>
      <c r="F2106" t="str">
        <f>VLOOKUP($E2106,categories!$A$1:$B$8,MATCH(order_items!$F$1,categories!$A$1:$B$1,0),FALSE)</f>
        <v>Cruisers Bicycles</v>
      </c>
      <c r="G2106">
        <v>1</v>
      </c>
      <c r="H2106">
        <v>761.99</v>
      </c>
      <c r="I2106" s="5">
        <v>0.05</v>
      </c>
      <c r="J2106">
        <f t="shared" si="64"/>
        <v>723.89049999999997</v>
      </c>
      <c r="K2106" s="9">
        <f t="shared" si="65"/>
        <v>-0.33320977620583803</v>
      </c>
    </row>
    <row r="2107" spans="1:11" x14ac:dyDescent="0.3">
      <c r="A2107">
        <v>744</v>
      </c>
      <c r="B2107">
        <v>1</v>
      </c>
      <c r="C2107">
        <v>33</v>
      </c>
      <c r="D2107" t="str">
        <f>VLOOKUP($C2107,products!$A$1:$F$322,MATCH(order_items!$D$1,products!$A$1:$F$1,0),FALSE)</f>
        <v>Surly Wednesday Frameset - 2017</v>
      </c>
      <c r="E2107">
        <f>VLOOKUP($C2107,products!$A$1:$F$322,MATCH(order_items!$E$1,products!$A$1:$F$1,0),FALSE)</f>
        <v>6</v>
      </c>
      <c r="F2107" t="str">
        <f>VLOOKUP($E2107,categories!$A$1:$B$8,MATCH(order_items!$F$1,categories!$A$1:$B$1,0),FALSE)</f>
        <v>Mountain Bikes</v>
      </c>
      <c r="G2107">
        <v>2</v>
      </c>
      <c r="H2107">
        <v>469.99</v>
      </c>
      <c r="I2107" s="5">
        <v>0.2</v>
      </c>
      <c r="J2107">
        <f t="shared" si="64"/>
        <v>751.98400000000004</v>
      </c>
      <c r="K2107" s="9">
        <f t="shared" si="65"/>
        <v>-0.5490815238530955</v>
      </c>
    </row>
    <row r="2108" spans="1:11" x14ac:dyDescent="0.3">
      <c r="A2108">
        <v>745</v>
      </c>
      <c r="B2108">
        <v>1</v>
      </c>
      <c r="C2108">
        <v>95</v>
      </c>
      <c r="D2108" t="str">
        <f>VLOOKUP($C2108,products!$A$1:$F$322,MATCH(order_items!$D$1,products!$A$1:$F$1,0),FALSE)</f>
        <v>Electra Girl's Hawaii 1 16" - 2017</v>
      </c>
      <c r="E2108">
        <f>VLOOKUP($C2108,products!$A$1:$F$322,MATCH(order_items!$E$1,products!$A$1:$F$1,0),FALSE)</f>
        <v>1</v>
      </c>
      <c r="F2108" t="str">
        <f>VLOOKUP($E2108,categories!$A$1:$B$8,MATCH(order_items!$F$1,categories!$A$1:$B$1,0),FALSE)</f>
        <v>Children Bicycles</v>
      </c>
      <c r="G2108">
        <v>2</v>
      </c>
      <c r="H2108">
        <v>299.99</v>
      </c>
      <c r="I2108" s="5">
        <v>0.05</v>
      </c>
      <c r="J2108">
        <f t="shared" si="64"/>
        <v>569.98099999999999</v>
      </c>
      <c r="K2108" s="9">
        <f t="shared" si="65"/>
        <v>-0.67476028104499197</v>
      </c>
    </row>
    <row r="2109" spans="1:11" x14ac:dyDescent="0.3">
      <c r="A2109">
        <v>745</v>
      </c>
      <c r="B2109">
        <v>2</v>
      </c>
      <c r="C2109">
        <v>22</v>
      </c>
      <c r="D2109" t="str">
        <f>VLOOKUP($C2109,products!$A$1:$F$322,MATCH(order_items!$D$1,products!$A$1:$F$1,0),FALSE)</f>
        <v>Electra Girl's Hawaii 1 (16-inch) - 2015/2016</v>
      </c>
      <c r="E2109">
        <f>VLOOKUP($C2109,products!$A$1:$F$322,MATCH(order_items!$E$1,products!$A$1:$F$1,0),FALSE)</f>
        <v>1</v>
      </c>
      <c r="F2109" t="str">
        <f>VLOOKUP($E2109,categories!$A$1:$B$8,MATCH(order_items!$F$1,categories!$A$1:$B$1,0),FALSE)</f>
        <v>Children Bicycles</v>
      </c>
      <c r="G2109">
        <v>2</v>
      </c>
      <c r="H2109">
        <v>269.99</v>
      </c>
      <c r="I2109" s="5">
        <v>0.2</v>
      </c>
      <c r="J2109">
        <f t="shared" si="64"/>
        <v>431.98400000000004</v>
      </c>
      <c r="K2109" s="9">
        <f t="shared" si="65"/>
        <v>-0.69693888525532666</v>
      </c>
    </row>
    <row r="2110" spans="1:11" x14ac:dyDescent="0.3">
      <c r="A2110">
        <v>745</v>
      </c>
      <c r="B2110">
        <v>3</v>
      </c>
      <c r="C2110">
        <v>78</v>
      </c>
      <c r="D2110" t="str">
        <f>VLOOKUP($C2110,products!$A$1:$F$322,MATCH(order_items!$D$1,products!$A$1:$F$1,0),FALSE)</f>
        <v>Sun Bicycles Biscayne Tandem CB - 2017</v>
      </c>
      <c r="E2110">
        <f>VLOOKUP($C2110,products!$A$1:$F$322,MATCH(order_items!$E$1,products!$A$1:$F$1,0),FALSE)</f>
        <v>3</v>
      </c>
      <c r="F2110" t="str">
        <f>VLOOKUP($E2110,categories!$A$1:$B$8,MATCH(order_items!$F$1,categories!$A$1:$B$1,0),FALSE)</f>
        <v>Cruisers Bicycles</v>
      </c>
      <c r="G2110">
        <v>1</v>
      </c>
      <c r="H2110">
        <v>647.99</v>
      </c>
      <c r="I2110" s="5">
        <v>0.1</v>
      </c>
      <c r="J2110">
        <f t="shared" si="64"/>
        <v>583.19100000000003</v>
      </c>
      <c r="K2110" s="9">
        <f t="shared" si="65"/>
        <v>-0.41748847220510982</v>
      </c>
    </row>
    <row r="2111" spans="1:11" x14ac:dyDescent="0.3">
      <c r="A2111">
        <v>746</v>
      </c>
      <c r="B2111">
        <v>1</v>
      </c>
      <c r="C2111">
        <v>99</v>
      </c>
      <c r="D2111" t="str">
        <f>VLOOKUP($C2111,products!$A$1:$F$322,MATCH(order_items!$D$1,products!$A$1:$F$1,0),FALSE)</f>
        <v>Electra Sugar Skulls 1 (20-inch) - Girl's - 2017</v>
      </c>
      <c r="E2111">
        <f>VLOOKUP($C2111,products!$A$1:$F$322,MATCH(order_items!$E$1,products!$A$1:$F$1,0),FALSE)</f>
        <v>1</v>
      </c>
      <c r="F2111" t="str">
        <f>VLOOKUP($E2111,categories!$A$1:$B$8,MATCH(order_items!$F$1,categories!$A$1:$B$1,0),FALSE)</f>
        <v>Children Bicycles</v>
      </c>
      <c r="G2111">
        <v>1</v>
      </c>
      <c r="H2111">
        <v>299.99</v>
      </c>
      <c r="I2111" s="5">
        <v>0.1</v>
      </c>
      <c r="J2111">
        <f t="shared" si="64"/>
        <v>269.99100000000004</v>
      </c>
      <c r="K2111" s="9">
        <f t="shared" si="65"/>
        <v>-0.67476028104499197</v>
      </c>
    </row>
    <row r="2112" spans="1:11" x14ac:dyDescent="0.3">
      <c r="A2112">
        <v>747</v>
      </c>
      <c r="B2112">
        <v>1</v>
      </c>
      <c r="C2112">
        <v>110</v>
      </c>
      <c r="D2112" t="str">
        <f>VLOOKUP($C2112,products!$A$1:$F$322,MATCH(order_items!$D$1,products!$A$1:$F$1,0),FALSE)</f>
        <v>Sun Bicycles Drifter 7 - 2017</v>
      </c>
      <c r="E2112">
        <f>VLOOKUP($C2112,products!$A$1:$F$322,MATCH(order_items!$E$1,products!$A$1:$F$1,0),FALSE)</f>
        <v>2</v>
      </c>
      <c r="F2112" t="str">
        <f>VLOOKUP($E2112,categories!$A$1:$B$8,MATCH(order_items!$F$1,categories!$A$1:$B$1,0),FALSE)</f>
        <v>Comfort Bicycles</v>
      </c>
      <c r="G2112">
        <v>1</v>
      </c>
      <c r="H2112">
        <v>470.99</v>
      </c>
      <c r="I2112" s="5">
        <v>7.0000000000000007E-2</v>
      </c>
      <c r="J2112">
        <f t="shared" si="64"/>
        <v>438.02069999999998</v>
      </c>
      <c r="K2112" s="9">
        <f t="shared" si="65"/>
        <v>-0.54834223704608442</v>
      </c>
    </row>
    <row r="2113" spans="1:11" x14ac:dyDescent="0.3">
      <c r="A2113">
        <v>747</v>
      </c>
      <c r="B2113">
        <v>2</v>
      </c>
      <c r="C2113">
        <v>86</v>
      </c>
      <c r="D2113" t="str">
        <f>VLOOKUP($C2113,products!$A$1:$F$322,MATCH(order_items!$D$1,products!$A$1:$F$1,0),FALSE)</f>
        <v>Trek Girl's Kickster - 2017</v>
      </c>
      <c r="E2113">
        <f>VLOOKUP($C2113,products!$A$1:$F$322,MATCH(order_items!$E$1,products!$A$1:$F$1,0),FALSE)</f>
        <v>1</v>
      </c>
      <c r="F2113" t="str">
        <f>VLOOKUP($E2113,categories!$A$1:$B$8,MATCH(order_items!$F$1,categories!$A$1:$B$1,0),FALSE)</f>
        <v>Children Bicycles</v>
      </c>
      <c r="G2113">
        <v>1</v>
      </c>
      <c r="H2113">
        <v>149.99</v>
      </c>
      <c r="I2113" s="5">
        <v>0.2</v>
      </c>
      <c r="J2113">
        <f t="shared" si="64"/>
        <v>119.99200000000002</v>
      </c>
      <c r="K2113" s="9">
        <f t="shared" si="65"/>
        <v>-0.7856533020966654</v>
      </c>
    </row>
    <row r="2114" spans="1:11" x14ac:dyDescent="0.3">
      <c r="A2114">
        <v>747</v>
      </c>
      <c r="B2114">
        <v>3</v>
      </c>
      <c r="C2114">
        <v>33</v>
      </c>
      <c r="D2114" t="str">
        <f>VLOOKUP($C2114,products!$A$1:$F$322,MATCH(order_items!$D$1,products!$A$1:$F$1,0),FALSE)</f>
        <v>Surly Wednesday Frameset - 2017</v>
      </c>
      <c r="E2114">
        <f>VLOOKUP($C2114,products!$A$1:$F$322,MATCH(order_items!$E$1,products!$A$1:$F$1,0),FALSE)</f>
        <v>6</v>
      </c>
      <c r="F2114" t="str">
        <f>VLOOKUP($E2114,categories!$A$1:$B$8,MATCH(order_items!$F$1,categories!$A$1:$B$1,0),FALSE)</f>
        <v>Mountain Bikes</v>
      </c>
      <c r="G2114">
        <v>2</v>
      </c>
      <c r="H2114">
        <v>469.99</v>
      </c>
      <c r="I2114" s="5">
        <v>0.1</v>
      </c>
      <c r="J2114">
        <f t="shared" ref="J2114:J2177" si="66">G2114*H2114*(1-I2114)</f>
        <v>845.98200000000008</v>
      </c>
      <c r="K2114" s="9">
        <f t="shared" ref="K2114:K2177" si="67">($H2114-$M$7)/$M$9</f>
        <v>-0.5490815238530955</v>
      </c>
    </row>
    <row r="2115" spans="1:11" x14ac:dyDescent="0.3">
      <c r="A2115">
        <v>747</v>
      </c>
      <c r="B2115">
        <v>4</v>
      </c>
      <c r="C2115">
        <v>81</v>
      </c>
      <c r="D2115" t="str">
        <f>VLOOKUP($C2115,products!$A$1:$F$322,MATCH(order_items!$D$1,products!$A$1:$F$1,0),FALSE)</f>
        <v>Electra Amsterdam Fashion 7i Ladies' - 2017</v>
      </c>
      <c r="E2115">
        <f>VLOOKUP($C2115,products!$A$1:$F$322,MATCH(order_items!$E$1,products!$A$1:$F$1,0),FALSE)</f>
        <v>3</v>
      </c>
      <c r="F2115" t="str">
        <f>VLOOKUP($E2115,categories!$A$1:$B$8,MATCH(order_items!$F$1,categories!$A$1:$B$1,0),FALSE)</f>
        <v>Cruisers Bicycles</v>
      </c>
      <c r="G2115">
        <v>1</v>
      </c>
      <c r="H2115">
        <v>1099.99</v>
      </c>
      <c r="I2115" s="5">
        <v>7.0000000000000007E-2</v>
      </c>
      <c r="J2115">
        <f t="shared" si="66"/>
        <v>1022.9906999999999</v>
      </c>
      <c r="K2115" s="9">
        <f t="shared" si="67"/>
        <v>-8.3330835436067396E-2</v>
      </c>
    </row>
    <row r="2116" spans="1:11" x14ac:dyDescent="0.3">
      <c r="A2116">
        <v>748</v>
      </c>
      <c r="B2116">
        <v>1</v>
      </c>
      <c r="C2116">
        <v>16</v>
      </c>
      <c r="D2116" t="str">
        <f>VLOOKUP($C2116,products!$A$1:$F$322,MATCH(order_items!$D$1,products!$A$1:$F$1,0),FALSE)</f>
        <v>Electra Townie Original 7D EQ - 2016</v>
      </c>
      <c r="E2116">
        <f>VLOOKUP($C2116,products!$A$1:$F$322,MATCH(order_items!$E$1,products!$A$1:$F$1,0),FALSE)</f>
        <v>3</v>
      </c>
      <c r="F2116" t="str">
        <f>VLOOKUP($E2116,categories!$A$1:$B$8,MATCH(order_items!$F$1,categories!$A$1:$B$1,0),FALSE)</f>
        <v>Cruisers Bicycles</v>
      </c>
      <c r="G2116">
        <v>2</v>
      </c>
      <c r="H2116">
        <v>599.99</v>
      </c>
      <c r="I2116" s="5">
        <v>0.1</v>
      </c>
      <c r="J2116">
        <f t="shared" si="66"/>
        <v>1079.982</v>
      </c>
      <c r="K2116" s="9">
        <f t="shared" si="67"/>
        <v>-0.45297423894164529</v>
      </c>
    </row>
    <row r="2117" spans="1:11" x14ac:dyDescent="0.3">
      <c r="A2117">
        <v>748</v>
      </c>
      <c r="B2117">
        <v>2</v>
      </c>
      <c r="C2117">
        <v>83</v>
      </c>
      <c r="D2117" t="str">
        <f>VLOOKUP($C2117,products!$A$1:$F$322,MATCH(order_items!$D$1,products!$A$1:$F$1,0),FALSE)</f>
        <v>Trek Boy's Kickster - 2015/2017</v>
      </c>
      <c r="E2117">
        <f>VLOOKUP($C2117,products!$A$1:$F$322,MATCH(order_items!$E$1,products!$A$1:$F$1,0),FALSE)</f>
        <v>1</v>
      </c>
      <c r="F2117" t="str">
        <f>VLOOKUP($E2117,categories!$A$1:$B$8,MATCH(order_items!$F$1,categories!$A$1:$B$1,0),FALSE)</f>
        <v>Children Bicycles</v>
      </c>
      <c r="G2117">
        <v>2</v>
      </c>
      <c r="H2117">
        <v>149.99</v>
      </c>
      <c r="I2117" s="5">
        <v>0.05</v>
      </c>
      <c r="J2117">
        <f t="shared" si="66"/>
        <v>284.98099999999999</v>
      </c>
      <c r="K2117" s="9">
        <f t="shared" si="67"/>
        <v>-0.7856533020966654</v>
      </c>
    </row>
    <row r="2118" spans="1:11" x14ac:dyDescent="0.3">
      <c r="A2118">
        <v>748</v>
      </c>
      <c r="B2118">
        <v>3</v>
      </c>
      <c r="C2118">
        <v>41</v>
      </c>
      <c r="D2118" t="str">
        <f>VLOOKUP($C2118,products!$A$1:$F$322,MATCH(order_items!$D$1,products!$A$1:$F$1,0),FALSE)</f>
        <v>Haro Shift R3 - 2017</v>
      </c>
      <c r="E2118">
        <f>VLOOKUP($C2118,products!$A$1:$F$322,MATCH(order_items!$E$1,products!$A$1:$F$1,0),FALSE)</f>
        <v>6</v>
      </c>
      <c r="F2118" t="str">
        <f>VLOOKUP($E2118,categories!$A$1:$B$8,MATCH(order_items!$F$1,categories!$A$1:$B$1,0),FALSE)</f>
        <v>Mountain Bikes</v>
      </c>
      <c r="G2118">
        <v>1</v>
      </c>
      <c r="H2118">
        <v>1469.99</v>
      </c>
      <c r="I2118" s="5">
        <v>7.0000000000000007E-2</v>
      </c>
      <c r="J2118">
        <f t="shared" si="66"/>
        <v>1367.0907</v>
      </c>
      <c r="K2118" s="9">
        <f t="shared" si="67"/>
        <v>0.19020528315806023</v>
      </c>
    </row>
    <row r="2119" spans="1:11" x14ac:dyDescent="0.3">
      <c r="A2119">
        <v>748</v>
      </c>
      <c r="B2119">
        <v>4</v>
      </c>
      <c r="C2119">
        <v>35</v>
      </c>
      <c r="D2119" t="str">
        <f>VLOOKUP($C2119,products!$A$1:$F$322,MATCH(order_items!$D$1,products!$A$1:$F$1,0),FALSE)</f>
        <v>Sun Bicycles Spider 3i - 2017</v>
      </c>
      <c r="E2119">
        <f>VLOOKUP($C2119,products!$A$1:$F$322,MATCH(order_items!$E$1,products!$A$1:$F$1,0),FALSE)</f>
        <v>6</v>
      </c>
      <c r="F2119" t="str">
        <f>VLOOKUP($E2119,categories!$A$1:$B$8,MATCH(order_items!$F$1,categories!$A$1:$B$1,0),FALSE)</f>
        <v>Mountain Bikes</v>
      </c>
      <c r="G2119">
        <v>2</v>
      </c>
      <c r="H2119">
        <v>832.99</v>
      </c>
      <c r="I2119" s="5">
        <v>0.2</v>
      </c>
      <c r="J2119">
        <f t="shared" si="66"/>
        <v>1332.7840000000001</v>
      </c>
      <c r="K2119" s="9">
        <f t="shared" si="67"/>
        <v>-0.280720412908046</v>
      </c>
    </row>
    <row r="2120" spans="1:11" x14ac:dyDescent="0.3">
      <c r="A2120">
        <v>749</v>
      </c>
      <c r="B2120">
        <v>1</v>
      </c>
      <c r="C2120">
        <v>9</v>
      </c>
      <c r="D2120" t="str">
        <f>VLOOKUP($C2120,products!$A$1:$F$322,MATCH(order_items!$D$1,products!$A$1:$F$1,0),FALSE)</f>
        <v>Trek Conduit+ - 2016</v>
      </c>
      <c r="E2120">
        <f>VLOOKUP($C2120,products!$A$1:$F$322,MATCH(order_items!$E$1,products!$A$1:$F$1,0),FALSE)</f>
        <v>5</v>
      </c>
      <c r="F2120" t="str">
        <f>VLOOKUP($E2120,categories!$A$1:$B$8,MATCH(order_items!$F$1,categories!$A$1:$B$1,0),FALSE)</f>
        <v>Electric Bikes</v>
      </c>
      <c r="G2120">
        <v>1</v>
      </c>
      <c r="H2120">
        <v>2999.99</v>
      </c>
      <c r="I2120" s="5">
        <v>0.2</v>
      </c>
      <c r="J2120">
        <f t="shared" si="66"/>
        <v>2399.9919999999997</v>
      </c>
      <c r="K2120" s="9">
        <f t="shared" si="67"/>
        <v>1.3213140978851283</v>
      </c>
    </row>
    <row r="2121" spans="1:11" x14ac:dyDescent="0.3">
      <c r="A2121">
        <v>749</v>
      </c>
      <c r="B2121">
        <v>2</v>
      </c>
      <c r="C2121">
        <v>28</v>
      </c>
      <c r="D2121" t="str">
        <f>VLOOKUP($C2121,products!$A$1:$F$322,MATCH(order_items!$D$1,products!$A$1:$F$1,0),FALSE)</f>
        <v>Surly Karate Monkey 27.5+ Frameset - 2017</v>
      </c>
      <c r="E2121">
        <f>VLOOKUP($C2121,products!$A$1:$F$322,MATCH(order_items!$E$1,products!$A$1:$F$1,0),FALSE)</f>
        <v>6</v>
      </c>
      <c r="F2121" t="str">
        <f>VLOOKUP($E2121,categories!$A$1:$B$8,MATCH(order_items!$F$1,categories!$A$1:$B$1,0),FALSE)</f>
        <v>Mountain Bikes</v>
      </c>
      <c r="G2121">
        <v>1</v>
      </c>
      <c r="H2121">
        <v>2499.9899999999998</v>
      </c>
      <c r="I2121" s="5">
        <v>0.05</v>
      </c>
      <c r="J2121">
        <f t="shared" si="66"/>
        <v>2374.9904999999999</v>
      </c>
      <c r="K2121" s="9">
        <f t="shared" si="67"/>
        <v>0.95167069437955054</v>
      </c>
    </row>
    <row r="2122" spans="1:11" x14ac:dyDescent="0.3">
      <c r="A2122">
        <v>749</v>
      </c>
      <c r="B2122">
        <v>3</v>
      </c>
      <c r="C2122">
        <v>79</v>
      </c>
      <c r="D2122" t="str">
        <f>VLOOKUP($C2122,products!$A$1:$F$322,MATCH(order_items!$D$1,products!$A$1:$F$1,0),FALSE)</f>
        <v>Sun Bicycles Boardwalk (24-inch Wheels) - 2017</v>
      </c>
      <c r="E2122">
        <f>VLOOKUP($C2122,products!$A$1:$F$322,MATCH(order_items!$E$1,products!$A$1:$F$1,0),FALSE)</f>
        <v>3</v>
      </c>
      <c r="F2122" t="str">
        <f>VLOOKUP($E2122,categories!$A$1:$B$8,MATCH(order_items!$F$1,categories!$A$1:$B$1,0),FALSE)</f>
        <v>Cruisers Bicycles</v>
      </c>
      <c r="G2122">
        <v>1</v>
      </c>
      <c r="H2122">
        <v>402.99</v>
      </c>
      <c r="I2122" s="5">
        <v>0.2</v>
      </c>
      <c r="J2122">
        <f t="shared" si="66"/>
        <v>322.39200000000005</v>
      </c>
      <c r="K2122" s="9">
        <f t="shared" si="67"/>
        <v>-0.59861373992284295</v>
      </c>
    </row>
    <row r="2123" spans="1:11" x14ac:dyDescent="0.3">
      <c r="A2123">
        <v>749</v>
      </c>
      <c r="B2123">
        <v>4</v>
      </c>
      <c r="C2123">
        <v>24</v>
      </c>
      <c r="D2123" t="str">
        <f>VLOOKUP($C2123,products!$A$1:$F$322,MATCH(order_items!$D$1,products!$A$1:$F$1,0),FALSE)</f>
        <v>Electra Townie Original 21D - 2016</v>
      </c>
      <c r="E2123">
        <f>VLOOKUP($C2123,products!$A$1:$F$322,MATCH(order_items!$E$1,products!$A$1:$F$1,0),FALSE)</f>
        <v>2</v>
      </c>
      <c r="F2123" t="str">
        <f>VLOOKUP($E2123,categories!$A$1:$B$8,MATCH(order_items!$F$1,categories!$A$1:$B$1,0),FALSE)</f>
        <v>Comfort Bicycles</v>
      </c>
      <c r="G2123">
        <v>1</v>
      </c>
      <c r="H2123">
        <v>549.99</v>
      </c>
      <c r="I2123" s="5">
        <v>0.05</v>
      </c>
      <c r="J2123">
        <f t="shared" si="66"/>
        <v>522.4905</v>
      </c>
      <c r="K2123" s="9">
        <f t="shared" si="67"/>
        <v>-0.48993857929220308</v>
      </c>
    </row>
    <row r="2124" spans="1:11" x14ac:dyDescent="0.3">
      <c r="A2124">
        <v>749</v>
      </c>
      <c r="B2124">
        <v>5</v>
      </c>
      <c r="C2124">
        <v>40</v>
      </c>
      <c r="D2124" t="str">
        <f>VLOOKUP($C2124,products!$A$1:$F$322,MATCH(order_items!$D$1,products!$A$1:$F$1,0),FALSE)</f>
        <v>Trek Fuel EX 9.8 29 - 2017</v>
      </c>
      <c r="E2124">
        <f>VLOOKUP($C2124,products!$A$1:$F$322,MATCH(order_items!$E$1,products!$A$1:$F$1,0),FALSE)</f>
        <v>6</v>
      </c>
      <c r="F2124" t="str">
        <f>VLOOKUP($E2124,categories!$A$1:$B$8,MATCH(order_items!$F$1,categories!$A$1:$B$1,0),FALSE)</f>
        <v>Mountain Bikes</v>
      </c>
      <c r="G2124">
        <v>1</v>
      </c>
      <c r="H2124">
        <v>4999.99</v>
      </c>
      <c r="I2124" s="5">
        <v>7.0000000000000007E-2</v>
      </c>
      <c r="J2124">
        <f t="shared" si="66"/>
        <v>4649.9906999999994</v>
      </c>
      <c r="K2124" s="9">
        <f t="shared" si="67"/>
        <v>2.7998877119074401</v>
      </c>
    </row>
    <row r="2125" spans="1:11" x14ac:dyDescent="0.3">
      <c r="A2125">
        <v>750</v>
      </c>
      <c r="B2125">
        <v>1</v>
      </c>
      <c r="C2125">
        <v>72</v>
      </c>
      <c r="D2125" t="str">
        <f>VLOOKUP($C2125,products!$A$1:$F$322,MATCH(order_items!$D$1,products!$A$1:$F$1,0),FALSE)</f>
        <v>Sun Bicycles Biscayne Tandem 7 - 2017</v>
      </c>
      <c r="E2125">
        <f>VLOOKUP($C2125,products!$A$1:$F$322,MATCH(order_items!$E$1,products!$A$1:$F$1,0),FALSE)</f>
        <v>3</v>
      </c>
      <c r="F2125" t="str">
        <f>VLOOKUP($E2125,categories!$A$1:$B$8,MATCH(order_items!$F$1,categories!$A$1:$B$1,0),FALSE)</f>
        <v>Cruisers Bicycles</v>
      </c>
      <c r="G2125">
        <v>1</v>
      </c>
      <c r="H2125">
        <v>619.99</v>
      </c>
      <c r="I2125" s="5">
        <v>0.05</v>
      </c>
      <c r="J2125">
        <f t="shared" si="66"/>
        <v>588.9905</v>
      </c>
      <c r="K2125" s="9">
        <f t="shared" si="67"/>
        <v>-0.43818850280142219</v>
      </c>
    </row>
    <row r="2126" spans="1:11" x14ac:dyDescent="0.3">
      <c r="A2126">
        <v>750</v>
      </c>
      <c r="B2126">
        <v>2</v>
      </c>
      <c r="C2126">
        <v>78</v>
      </c>
      <c r="D2126" t="str">
        <f>VLOOKUP($C2126,products!$A$1:$F$322,MATCH(order_items!$D$1,products!$A$1:$F$1,0),FALSE)</f>
        <v>Sun Bicycles Biscayne Tandem CB - 2017</v>
      </c>
      <c r="E2126">
        <f>VLOOKUP($C2126,products!$A$1:$F$322,MATCH(order_items!$E$1,products!$A$1:$F$1,0),FALSE)</f>
        <v>3</v>
      </c>
      <c r="F2126" t="str">
        <f>VLOOKUP($E2126,categories!$A$1:$B$8,MATCH(order_items!$F$1,categories!$A$1:$B$1,0),FALSE)</f>
        <v>Cruisers Bicycles</v>
      </c>
      <c r="G2126">
        <v>2</v>
      </c>
      <c r="H2126">
        <v>647.99</v>
      </c>
      <c r="I2126" s="5">
        <v>0.1</v>
      </c>
      <c r="J2126">
        <f t="shared" si="66"/>
        <v>1166.3820000000001</v>
      </c>
      <c r="K2126" s="9">
        <f t="shared" si="67"/>
        <v>-0.41748847220510982</v>
      </c>
    </row>
    <row r="2127" spans="1:11" x14ac:dyDescent="0.3">
      <c r="A2127">
        <v>751</v>
      </c>
      <c r="B2127">
        <v>1</v>
      </c>
      <c r="C2127">
        <v>45</v>
      </c>
      <c r="D2127" t="str">
        <f>VLOOKUP($C2127,products!$A$1:$F$322,MATCH(order_items!$D$1,products!$A$1:$F$1,0),FALSE)</f>
        <v>Haro SR 1.2 - 2017</v>
      </c>
      <c r="E2127">
        <f>VLOOKUP($C2127,products!$A$1:$F$322,MATCH(order_items!$E$1,products!$A$1:$F$1,0),FALSE)</f>
        <v>6</v>
      </c>
      <c r="F2127" t="str">
        <f>VLOOKUP($E2127,categories!$A$1:$B$8,MATCH(order_items!$F$1,categories!$A$1:$B$1,0),FALSE)</f>
        <v>Mountain Bikes</v>
      </c>
      <c r="G2127">
        <v>2</v>
      </c>
      <c r="H2127">
        <v>869.99</v>
      </c>
      <c r="I2127" s="5">
        <v>0.05</v>
      </c>
      <c r="J2127">
        <f t="shared" si="66"/>
        <v>1652.981</v>
      </c>
      <c r="K2127" s="9">
        <f t="shared" si="67"/>
        <v>-0.25336680104863324</v>
      </c>
    </row>
    <row r="2128" spans="1:11" x14ac:dyDescent="0.3">
      <c r="A2128">
        <v>752</v>
      </c>
      <c r="B2128">
        <v>1</v>
      </c>
      <c r="C2128">
        <v>12</v>
      </c>
      <c r="D2128" t="str">
        <f>VLOOKUP($C2128,products!$A$1:$F$322,MATCH(order_items!$D$1,products!$A$1:$F$1,0),FALSE)</f>
        <v>Electra Townie Original 21D - 2016</v>
      </c>
      <c r="E2128">
        <f>VLOOKUP($C2128,products!$A$1:$F$322,MATCH(order_items!$E$1,products!$A$1:$F$1,0),FALSE)</f>
        <v>3</v>
      </c>
      <c r="F2128" t="str">
        <f>VLOOKUP($E2128,categories!$A$1:$B$8,MATCH(order_items!$F$1,categories!$A$1:$B$1,0),FALSE)</f>
        <v>Cruisers Bicycles</v>
      </c>
      <c r="G2128">
        <v>2</v>
      </c>
      <c r="H2128">
        <v>549.99</v>
      </c>
      <c r="I2128" s="5">
        <v>0.05</v>
      </c>
      <c r="J2128">
        <f t="shared" si="66"/>
        <v>1044.981</v>
      </c>
      <c r="K2128" s="9">
        <f t="shared" si="67"/>
        <v>-0.48993857929220308</v>
      </c>
    </row>
    <row r="2129" spans="1:11" x14ac:dyDescent="0.3">
      <c r="A2129">
        <v>752</v>
      </c>
      <c r="B2129">
        <v>2</v>
      </c>
      <c r="C2129">
        <v>31</v>
      </c>
      <c r="D2129" t="str">
        <f>VLOOKUP($C2129,products!$A$1:$F$322,MATCH(order_items!$D$1,products!$A$1:$F$1,0),FALSE)</f>
        <v>Surly Wednesday - 2017</v>
      </c>
      <c r="E2129">
        <f>VLOOKUP($C2129,products!$A$1:$F$322,MATCH(order_items!$E$1,products!$A$1:$F$1,0),FALSE)</f>
        <v>6</v>
      </c>
      <c r="F2129" t="str">
        <f>VLOOKUP($E2129,categories!$A$1:$B$8,MATCH(order_items!$F$1,categories!$A$1:$B$1,0),FALSE)</f>
        <v>Mountain Bikes</v>
      </c>
      <c r="G2129">
        <v>2</v>
      </c>
      <c r="H2129">
        <v>1632.99</v>
      </c>
      <c r="I2129" s="5">
        <v>0.05</v>
      </c>
      <c r="J2129">
        <f t="shared" si="66"/>
        <v>3102.681</v>
      </c>
      <c r="K2129" s="9">
        <f t="shared" si="67"/>
        <v>0.31070903270087863</v>
      </c>
    </row>
    <row r="2130" spans="1:11" x14ac:dyDescent="0.3">
      <c r="A2130">
        <v>753</v>
      </c>
      <c r="B2130">
        <v>1</v>
      </c>
      <c r="C2130">
        <v>105</v>
      </c>
      <c r="D2130" t="str">
        <f>VLOOKUP($C2130,products!$A$1:$F$322,MATCH(order_items!$D$1,products!$A$1:$F$1,0),FALSE)</f>
        <v>Sun Bicycles Streamway 7 - 2017</v>
      </c>
      <c r="E2130">
        <f>VLOOKUP($C2130,products!$A$1:$F$322,MATCH(order_items!$E$1,products!$A$1:$F$1,0),FALSE)</f>
        <v>2</v>
      </c>
      <c r="F2130" t="str">
        <f>VLOOKUP($E2130,categories!$A$1:$B$8,MATCH(order_items!$F$1,categories!$A$1:$B$1,0),FALSE)</f>
        <v>Comfort Bicycles</v>
      </c>
      <c r="G2130">
        <v>2</v>
      </c>
      <c r="H2130">
        <v>533.99</v>
      </c>
      <c r="I2130" s="5">
        <v>7.0000000000000007E-2</v>
      </c>
      <c r="J2130">
        <f t="shared" si="66"/>
        <v>993.2213999999999</v>
      </c>
      <c r="K2130" s="9">
        <f t="shared" si="67"/>
        <v>-0.50176716820438161</v>
      </c>
    </row>
    <row r="2131" spans="1:11" x14ac:dyDescent="0.3">
      <c r="A2131">
        <v>753</v>
      </c>
      <c r="B2131">
        <v>2</v>
      </c>
      <c r="C2131">
        <v>7</v>
      </c>
      <c r="D2131" t="str">
        <f>VLOOKUP($C2131,products!$A$1:$F$322,MATCH(order_items!$D$1,products!$A$1:$F$1,0),FALSE)</f>
        <v>Trek Slash 8 27.5 - 2016</v>
      </c>
      <c r="E2131">
        <f>VLOOKUP($C2131,products!$A$1:$F$322,MATCH(order_items!$E$1,products!$A$1:$F$1,0),FALSE)</f>
        <v>6</v>
      </c>
      <c r="F2131" t="str">
        <f>VLOOKUP($E2131,categories!$A$1:$B$8,MATCH(order_items!$F$1,categories!$A$1:$B$1,0),FALSE)</f>
        <v>Mountain Bikes</v>
      </c>
      <c r="G2131">
        <v>2</v>
      </c>
      <c r="H2131">
        <v>3999.99</v>
      </c>
      <c r="I2131" s="5">
        <v>0.2</v>
      </c>
      <c r="J2131">
        <f t="shared" si="66"/>
        <v>6399.9840000000004</v>
      </c>
      <c r="K2131" s="9">
        <f t="shared" si="67"/>
        <v>2.0606009048962846</v>
      </c>
    </row>
    <row r="2132" spans="1:11" x14ac:dyDescent="0.3">
      <c r="A2132">
        <v>753</v>
      </c>
      <c r="B2132">
        <v>3</v>
      </c>
      <c r="C2132">
        <v>36</v>
      </c>
      <c r="D2132" t="str">
        <f>VLOOKUP($C2132,products!$A$1:$F$322,MATCH(order_items!$D$1,products!$A$1:$F$1,0),FALSE)</f>
        <v>Surly Troll Frameset - 2017</v>
      </c>
      <c r="E2132">
        <f>VLOOKUP($C2132,products!$A$1:$F$322,MATCH(order_items!$E$1,products!$A$1:$F$1,0),FALSE)</f>
        <v>6</v>
      </c>
      <c r="F2132" t="str">
        <f>VLOOKUP($E2132,categories!$A$1:$B$8,MATCH(order_items!$F$1,categories!$A$1:$B$1,0),FALSE)</f>
        <v>Mountain Bikes</v>
      </c>
      <c r="G2132">
        <v>2</v>
      </c>
      <c r="H2132">
        <v>832.99</v>
      </c>
      <c r="I2132" s="5">
        <v>0.1</v>
      </c>
      <c r="J2132">
        <f t="shared" si="66"/>
        <v>1499.3820000000001</v>
      </c>
      <c r="K2132" s="9">
        <f t="shared" si="67"/>
        <v>-0.280720412908046</v>
      </c>
    </row>
    <row r="2133" spans="1:11" x14ac:dyDescent="0.3">
      <c r="A2133">
        <v>753</v>
      </c>
      <c r="B2133">
        <v>4</v>
      </c>
      <c r="C2133">
        <v>95</v>
      </c>
      <c r="D2133" t="str">
        <f>VLOOKUP($C2133,products!$A$1:$F$322,MATCH(order_items!$D$1,products!$A$1:$F$1,0),FALSE)</f>
        <v>Electra Girl's Hawaii 1 16" - 2017</v>
      </c>
      <c r="E2133">
        <f>VLOOKUP($C2133,products!$A$1:$F$322,MATCH(order_items!$E$1,products!$A$1:$F$1,0),FALSE)</f>
        <v>1</v>
      </c>
      <c r="F2133" t="str">
        <f>VLOOKUP($E2133,categories!$A$1:$B$8,MATCH(order_items!$F$1,categories!$A$1:$B$1,0),FALSE)</f>
        <v>Children Bicycles</v>
      </c>
      <c r="G2133">
        <v>1</v>
      </c>
      <c r="H2133">
        <v>299.99</v>
      </c>
      <c r="I2133" s="5">
        <v>7.0000000000000007E-2</v>
      </c>
      <c r="J2133">
        <f t="shared" si="66"/>
        <v>278.9907</v>
      </c>
      <c r="K2133" s="9">
        <f t="shared" si="67"/>
        <v>-0.67476028104499197</v>
      </c>
    </row>
    <row r="2134" spans="1:11" x14ac:dyDescent="0.3">
      <c r="A2134">
        <v>753</v>
      </c>
      <c r="B2134">
        <v>5</v>
      </c>
      <c r="C2134">
        <v>66</v>
      </c>
      <c r="D2134" t="str">
        <f>VLOOKUP($C2134,products!$A$1:$F$322,MATCH(order_items!$D$1,products!$A$1:$F$1,0),FALSE)</f>
        <v>Sun Bicycles Revolutions 24 - 2017</v>
      </c>
      <c r="E2134">
        <f>VLOOKUP($C2134,products!$A$1:$F$322,MATCH(order_items!$E$1,products!$A$1:$F$1,0),FALSE)</f>
        <v>3</v>
      </c>
      <c r="F2134" t="str">
        <f>VLOOKUP($E2134,categories!$A$1:$B$8,MATCH(order_items!$F$1,categories!$A$1:$B$1,0),FALSE)</f>
        <v>Cruisers Bicycles</v>
      </c>
      <c r="G2134">
        <v>1</v>
      </c>
      <c r="H2134">
        <v>250.99</v>
      </c>
      <c r="I2134" s="5">
        <v>0.2</v>
      </c>
      <c r="J2134">
        <f t="shared" si="66"/>
        <v>200.79200000000003</v>
      </c>
      <c r="K2134" s="9">
        <f t="shared" si="67"/>
        <v>-0.71098533458853863</v>
      </c>
    </row>
    <row r="2135" spans="1:11" x14ac:dyDescent="0.3">
      <c r="A2135">
        <v>754</v>
      </c>
      <c r="B2135">
        <v>1</v>
      </c>
      <c r="C2135">
        <v>74</v>
      </c>
      <c r="D2135" t="str">
        <f>VLOOKUP($C2135,products!$A$1:$F$322,MATCH(order_items!$D$1,products!$A$1:$F$1,0),FALSE)</f>
        <v>Electra Cruiser Lux 1 - 2017</v>
      </c>
      <c r="E2135">
        <f>VLOOKUP($C2135,products!$A$1:$F$322,MATCH(order_items!$E$1,products!$A$1:$F$1,0),FALSE)</f>
        <v>3</v>
      </c>
      <c r="F2135" t="str">
        <f>VLOOKUP($E2135,categories!$A$1:$B$8,MATCH(order_items!$F$1,categories!$A$1:$B$1,0),FALSE)</f>
        <v>Cruisers Bicycles</v>
      </c>
      <c r="G2135">
        <v>2</v>
      </c>
      <c r="H2135">
        <v>439.99</v>
      </c>
      <c r="I2135" s="5">
        <v>7.0000000000000007E-2</v>
      </c>
      <c r="J2135">
        <f t="shared" si="66"/>
        <v>818.38139999999999</v>
      </c>
      <c r="K2135" s="9">
        <f t="shared" si="67"/>
        <v>-0.57126012806343018</v>
      </c>
    </row>
    <row r="2136" spans="1:11" x14ac:dyDescent="0.3">
      <c r="A2136">
        <v>754</v>
      </c>
      <c r="B2136">
        <v>2</v>
      </c>
      <c r="C2136">
        <v>12</v>
      </c>
      <c r="D2136" t="str">
        <f>VLOOKUP($C2136,products!$A$1:$F$322,MATCH(order_items!$D$1,products!$A$1:$F$1,0),FALSE)</f>
        <v>Electra Townie Original 21D - 2016</v>
      </c>
      <c r="E2136">
        <f>VLOOKUP($C2136,products!$A$1:$F$322,MATCH(order_items!$E$1,products!$A$1:$F$1,0),FALSE)</f>
        <v>3</v>
      </c>
      <c r="F2136" t="str">
        <f>VLOOKUP($E2136,categories!$A$1:$B$8,MATCH(order_items!$F$1,categories!$A$1:$B$1,0),FALSE)</f>
        <v>Cruisers Bicycles</v>
      </c>
      <c r="G2136">
        <v>2</v>
      </c>
      <c r="H2136">
        <v>549.99</v>
      </c>
      <c r="I2136" s="5">
        <v>7.0000000000000007E-2</v>
      </c>
      <c r="J2136">
        <f t="shared" si="66"/>
        <v>1022.9813999999999</v>
      </c>
      <c r="K2136" s="9">
        <f t="shared" si="67"/>
        <v>-0.48993857929220308</v>
      </c>
    </row>
    <row r="2137" spans="1:11" x14ac:dyDescent="0.3">
      <c r="A2137">
        <v>754</v>
      </c>
      <c r="B2137">
        <v>3</v>
      </c>
      <c r="C2137">
        <v>3</v>
      </c>
      <c r="D2137" t="str">
        <f>VLOOKUP($C2137,products!$A$1:$F$322,MATCH(order_items!$D$1,products!$A$1:$F$1,0),FALSE)</f>
        <v>Surly Wednesday Frameset - 2016</v>
      </c>
      <c r="E2137">
        <f>VLOOKUP($C2137,products!$A$1:$F$322,MATCH(order_items!$E$1,products!$A$1:$F$1,0),FALSE)</f>
        <v>6</v>
      </c>
      <c r="F2137" t="str">
        <f>VLOOKUP($E2137,categories!$A$1:$B$8,MATCH(order_items!$F$1,categories!$A$1:$B$1,0),FALSE)</f>
        <v>Mountain Bikes</v>
      </c>
      <c r="G2137">
        <v>1</v>
      </c>
      <c r="H2137">
        <v>999.99</v>
      </c>
      <c r="I2137" s="5">
        <v>0.05</v>
      </c>
      <c r="J2137">
        <f t="shared" si="66"/>
        <v>949.9905</v>
      </c>
      <c r="K2137" s="9">
        <f t="shared" si="67"/>
        <v>-0.15725951613718298</v>
      </c>
    </row>
    <row r="2138" spans="1:11" x14ac:dyDescent="0.3">
      <c r="A2138">
        <v>754</v>
      </c>
      <c r="B2138">
        <v>4</v>
      </c>
      <c r="C2138">
        <v>67</v>
      </c>
      <c r="D2138" t="str">
        <f>VLOOKUP($C2138,products!$A$1:$F$322,MATCH(order_items!$D$1,products!$A$1:$F$1,0),FALSE)</f>
        <v>Sun Bicycles Revolutions 24 - Girl's - 2017</v>
      </c>
      <c r="E2138">
        <f>VLOOKUP($C2138,products!$A$1:$F$322,MATCH(order_items!$E$1,products!$A$1:$F$1,0),FALSE)</f>
        <v>3</v>
      </c>
      <c r="F2138" t="str">
        <f>VLOOKUP($E2138,categories!$A$1:$B$8,MATCH(order_items!$F$1,categories!$A$1:$B$1,0),FALSE)</f>
        <v>Cruisers Bicycles</v>
      </c>
      <c r="G2138">
        <v>2</v>
      </c>
      <c r="H2138">
        <v>250.99</v>
      </c>
      <c r="I2138" s="5">
        <v>0.05</v>
      </c>
      <c r="J2138">
        <f t="shared" si="66"/>
        <v>476.88099999999997</v>
      </c>
      <c r="K2138" s="9">
        <f t="shared" si="67"/>
        <v>-0.71098533458853863</v>
      </c>
    </row>
    <row r="2139" spans="1:11" x14ac:dyDescent="0.3">
      <c r="A2139">
        <v>754</v>
      </c>
      <c r="B2139">
        <v>5</v>
      </c>
      <c r="C2139">
        <v>7</v>
      </c>
      <c r="D2139" t="str">
        <f>VLOOKUP($C2139,products!$A$1:$F$322,MATCH(order_items!$D$1,products!$A$1:$F$1,0),FALSE)</f>
        <v>Trek Slash 8 27.5 - 2016</v>
      </c>
      <c r="E2139">
        <f>VLOOKUP($C2139,products!$A$1:$F$322,MATCH(order_items!$E$1,products!$A$1:$F$1,0),FALSE)</f>
        <v>6</v>
      </c>
      <c r="F2139" t="str">
        <f>VLOOKUP($E2139,categories!$A$1:$B$8,MATCH(order_items!$F$1,categories!$A$1:$B$1,0),FALSE)</f>
        <v>Mountain Bikes</v>
      </c>
      <c r="G2139">
        <v>1</v>
      </c>
      <c r="H2139">
        <v>3999.99</v>
      </c>
      <c r="I2139" s="5">
        <v>0.2</v>
      </c>
      <c r="J2139">
        <f t="shared" si="66"/>
        <v>3199.9920000000002</v>
      </c>
      <c r="K2139" s="9">
        <f t="shared" si="67"/>
        <v>2.0606009048962846</v>
      </c>
    </row>
    <row r="2140" spans="1:11" x14ac:dyDescent="0.3">
      <c r="A2140">
        <v>755</v>
      </c>
      <c r="B2140">
        <v>1</v>
      </c>
      <c r="C2140">
        <v>80</v>
      </c>
      <c r="D2140" t="str">
        <f>VLOOKUP($C2140,products!$A$1:$F$322,MATCH(order_items!$D$1,products!$A$1:$F$1,0),FALSE)</f>
        <v>Sun Bicycles Brickell Tandem CB - 2017</v>
      </c>
      <c r="E2140">
        <f>VLOOKUP($C2140,products!$A$1:$F$322,MATCH(order_items!$E$1,products!$A$1:$F$1,0),FALSE)</f>
        <v>3</v>
      </c>
      <c r="F2140" t="str">
        <f>VLOOKUP($E2140,categories!$A$1:$B$8,MATCH(order_items!$F$1,categories!$A$1:$B$1,0),FALSE)</f>
        <v>Cruisers Bicycles</v>
      </c>
      <c r="G2140">
        <v>2</v>
      </c>
      <c r="H2140">
        <v>761.99</v>
      </c>
      <c r="I2140" s="5">
        <v>7.0000000000000007E-2</v>
      </c>
      <c r="J2140">
        <f t="shared" si="66"/>
        <v>1417.3013999999998</v>
      </c>
      <c r="K2140" s="9">
        <f t="shared" si="67"/>
        <v>-0.33320977620583803</v>
      </c>
    </row>
    <row r="2141" spans="1:11" x14ac:dyDescent="0.3">
      <c r="A2141">
        <v>755</v>
      </c>
      <c r="B2141">
        <v>2</v>
      </c>
      <c r="C2141">
        <v>43</v>
      </c>
      <c r="D2141" t="str">
        <f>VLOOKUP($C2141,products!$A$1:$F$322,MATCH(order_items!$D$1,products!$A$1:$F$1,0),FALSE)</f>
        <v>Trek Fuel EX 9.8 27.5 Plus - 2017</v>
      </c>
      <c r="E2141">
        <f>VLOOKUP($C2141,products!$A$1:$F$322,MATCH(order_items!$E$1,products!$A$1:$F$1,0),FALSE)</f>
        <v>6</v>
      </c>
      <c r="F2141" t="str">
        <f>VLOOKUP($E2141,categories!$A$1:$B$8,MATCH(order_items!$F$1,categories!$A$1:$B$1,0),FALSE)</f>
        <v>Mountain Bikes</v>
      </c>
      <c r="G2141">
        <v>2</v>
      </c>
      <c r="H2141">
        <v>5299.99</v>
      </c>
      <c r="I2141" s="5">
        <v>0.05</v>
      </c>
      <c r="J2141">
        <f t="shared" si="66"/>
        <v>10069.981</v>
      </c>
      <c r="K2141" s="9">
        <f t="shared" si="67"/>
        <v>3.021673754010787</v>
      </c>
    </row>
    <row r="2142" spans="1:11" x14ac:dyDescent="0.3">
      <c r="A2142">
        <v>755</v>
      </c>
      <c r="B2142">
        <v>3</v>
      </c>
      <c r="C2142">
        <v>57</v>
      </c>
      <c r="D2142" t="str">
        <f>VLOOKUP($C2142,products!$A$1:$F$322,MATCH(order_items!$D$1,products!$A$1:$F$1,0),FALSE)</f>
        <v>Trek Emonda S 5 - 2017</v>
      </c>
      <c r="E2142">
        <f>VLOOKUP($C2142,products!$A$1:$F$322,MATCH(order_items!$E$1,products!$A$1:$F$1,0),FALSE)</f>
        <v>7</v>
      </c>
      <c r="F2142" t="str">
        <f>VLOOKUP($E2142,categories!$A$1:$B$8,MATCH(order_items!$F$1,categories!$A$1:$B$1,0),FALSE)</f>
        <v>Road Bikes</v>
      </c>
      <c r="G2142">
        <v>2</v>
      </c>
      <c r="H2142">
        <v>1999.99</v>
      </c>
      <c r="I2142" s="5">
        <v>0.1</v>
      </c>
      <c r="J2142">
        <f t="shared" si="66"/>
        <v>3599.982</v>
      </c>
      <c r="K2142" s="9">
        <f t="shared" si="67"/>
        <v>0.58202729087397276</v>
      </c>
    </row>
    <row r="2143" spans="1:11" x14ac:dyDescent="0.3">
      <c r="A2143">
        <v>756</v>
      </c>
      <c r="B2143">
        <v>1</v>
      </c>
      <c r="C2143">
        <v>64</v>
      </c>
      <c r="D2143" t="str">
        <f>VLOOKUP($C2143,products!$A$1:$F$322,MATCH(order_items!$D$1,products!$A$1:$F$1,0),FALSE)</f>
        <v>Electra Townie Original 7D - 2017</v>
      </c>
      <c r="E2143">
        <f>VLOOKUP($C2143,products!$A$1:$F$322,MATCH(order_items!$E$1,products!$A$1:$F$1,0),FALSE)</f>
        <v>3</v>
      </c>
      <c r="F2143" t="str">
        <f>VLOOKUP($E2143,categories!$A$1:$B$8,MATCH(order_items!$F$1,categories!$A$1:$B$1,0),FALSE)</f>
        <v>Cruisers Bicycles</v>
      </c>
      <c r="G2143">
        <v>1</v>
      </c>
      <c r="H2143">
        <v>489.99</v>
      </c>
      <c r="I2143" s="5">
        <v>0.1</v>
      </c>
      <c r="J2143">
        <f t="shared" si="66"/>
        <v>440.99100000000004</v>
      </c>
      <c r="K2143" s="9">
        <f t="shared" si="67"/>
        <v>-0.53429578771287245</v>
      </c>
    </row>
    <row r="2144" spans="1:11" x14ac:dyDescent="0.3">
      <c r="A2144">
        <v>756</v>
      </c>
      <c r="B2144">
        <v>2</v>
      </c>
      <c r="C2144">
        <v>17</v>
      </c>
      <c r="D2144" t="str">
        <f>VLOOKUP($C2144,products!$A$1:$F$322,MATCH(order_items!$D$1,products!$A$1:$F$1,0),FALSE)</f>
        <v>Pure Cycles Vine 8-Speed - 2016</v>
      </c>
      <c r="E2144">
        <f>VLOOKUP($C2144,products!$A$1:$F$322,MATCH(order_items!$E$1,products!$A$1:$F$1,0),FALSE)</f>
        <v>3</v>
      </c>
      <c r="F2144" t="str">
        <f>VLOOKUP($E2144,categories!$A$1:$B$8,MATCH(order_items!$F$1,categories!$A$1:$B$1,0),FALSE)</f>
        <v>Cruisers Bicycles</v>
      </c>
      <c r="G2144">
        <v>2</v>
      </c>
      <c r="H2144">
        <v>429</v>
      </c>
      <c r="I2144" s="5">
        <v>0.05</v>
      </c>
      <c r="J2144">
        <f t="shared" si="66"/>
        <v>815.09999999999991</v>
      </c>
      <c r="K2144" s="9">
        <f t="shared" si="67"/>
        <v>-0.57938489007248284</v>
      </c>
    </row>
    <row r="2145" spans="1:11" x14ac:dyDescent="0.3">
      <c r="A2145">
        <v>757</v>
      </c>
      <c r="B2145">
        <v>1</v>
      </c>
      <c r="C2145">
        <v>95</v>
      </c>
      <c r="D2145" t="str">
        <f>VLOOKUP($C2145,products!$A$1:$F$322,MATCH(order_items!$D$1,products!$A$1:$F$1,0),FALSE)</f>
        <v>Electra Girl's Hawaii 1 16" - 2017</v>
      </c>
      <c r="E2145">
        <f>VLOOKUP($C2145,products!$A$1:$F$322,MATCH(order_items!$E$1,products!$A$1:$F$1,0),FALSE)</f>
        <v>1</v>
      </c>
      <c r="F2145" t="str">
        <f>VLOOKUP($E2145,categories!$A$1:$B$8,MATCH(order_items!$F$1,categories!$A$1:$B$1,0),FALSE)</f>
        <v>Children Bicycles</v>
      </c>
      <c r="G2145">
        <v>1</v>
      </c>
      <c r="H2145">
        <v>299.99</v>
      </c>
      <c r="I2145" s="5">
        <v>0.1</v>
      </c>
      <c r="J2145">
        <f t="shared" si="66"/>
        <v>269.99100000000004</v>
      </c>
      <c r="K2145" s="9">
        <f t="shared" si="67"/>
        <v>-0.67476028104499197</v>
      </c>
    </row>
    <row r="2146" spans="1:11" x14ac:dyDescent="0.3">
      <c r="A2146">
        <v>758</v>
      </c>
      <c r="B2146">
        <v>1</v>
      </c>
      <c r="C2146">
        <v>22</v>
      </c>
      <c r="D2146" t="str">
        <f>VLOOKUP($C2146,products!$A$1:$F$322,MATCH(order_items!$D$1,products!$A$1:$F$1,0),FALSE)</f>
        <v>Electra Girl's Hawaii 1 (16-inch) - 2015/2016</v>
      </c>
      <c r="E2146">
        <f>VLOOKUP($C2146,products!$A$1:$F$322,MATCH(order_items!$E$1,products!$A$1:$F$1,0),FALSE)</f>
        <v>1</v>
      </c>
      <c r="F2146" t="str">
        <f>VLOOKUP($E2146,categories!$A$1:$B$8,MATCH(order_items!$F$1,categories!$A$1:$B$1,0),FALSE)</f>
        <v>Children Bicycles</v>
      </c>
      <c r="G2146">
        <v>2</v>
      </c>
      <c r="H2146">
        <v>269.99</v>
      </c>
      <c r="I2146" s="5">
        <v>7.0000000000000007E-2</v>
      </c>
      <c r="J2146">
        <f t="shared" si="66"/>
        <v>502.1814</v>
      </c>
      <c r="K2146" s="9">
        <f t="shared" si="67"/>
        <v>-0.69693888525532666</v>
      </c>
    </row>
    <row r="2147" spans="1:11" x14ac:dyDescent="0.3">
      <c r="A2147">
        <v>758</v>
      </c>
      <c r="B2147">
        <v>2</v>
      </c>
      <c r="C2147">
        <v>99</v>
      </c>
      <c r="D2147" t="str">
        <f>VLOOKUP($C2147,products!$A$1:$F$322,MATCH(order_items!$D$1,products!$A$1:$F$1,0),FALSE)</f>
        <v>Electra Sugar Skulls 1 (20-inch) - Girl's - 2017</v>
      </c>
      <c r="E2147">
        <f>VLOOKUP($C2147,products!$A$1:$F$322,MATCH(order_items!$E$1,products!$A$1:$F$1,0),FALSE)</f>
        <v>1</v>
      </c>
      <c r="F2147" t="str">
        <f>VLOOKUP($E2147,categories!$A$1:$B$8,MATCH(order_items!$F$1,categories!$A$1:$B$1,0),FALSE)</f>
        <v>Children Bicycles</v>
      </c>
      <c r="G2147">
        <v>1</v>
      </c>
      <c r="H2147">
        <v>299.99</v>
      </c>
      <c r="I2147" s="5">
        <v>0.1</v>
      </c>
      <c r="J2147">
        <f t="shared" si="66"/>
        <v>269.99100000000004</v>
      </c>
      <c r="K2147" s="9">
        <f t="shared" si="67"/>
        <v>-0.67476028104499197</v>
      </c>
    </row>
    <row r="2148" spans="1:11" x14ac:dyDescent="0.3">
      <c r="A2148">
        <v>758</v>
      </c>
      <c r="B2148">
        <v>3</v>
      </c>
      <c r="C2148">
        <v>27</v>
      </c>
      <c r="D2148" t="str">
        <f>VLOOKUP($C2148,products!$A$1:$F$322,MATCH(order_items!$D$1,products!$A$1:$F$1,0),FALSE)</f>
        <v>Surly Big Dummy Frameset - 2017</v>
      </c>
      <c r="E2148">
        <f>VLOOKUP($C2148,products!$A$1:$F$322,MATCH(order_items!$E$1,products!$A$1:$F$1,0),FALSE)</f>
        <v>6</v>
      </c>
      <c r="F2148" t="str">
        <f>VLOOKUP($E2148,categories!$A$1:$B$8,MATCH(order_items!$F$1,categories!$A$1:$B$1,0),FALSE)</f>
        <v>Mountain Bikes</v>
      </c>
      <c r="G2148">
        <v>1</v>
      </c>
      <c r="H2148">
        <v>999.99</v>
      </c>
      <c r="I2148" s="5">
        <v>7.0000000000000007E-2</v>
      </c>
      <c r="J2148">
        <f t="shared" si="66"/>
        <v>929.99069999999995</v>
      </c>
      <c r="K2148" s="9">
        <f t="shared" si="67"/>
        <v>-0.15725951613718298</v>
      </c>
    </row>
    <row r="2149" spans="1:11" x14ac:dyDescent="0.3">
      <c r="A2149">
        <v>758</v>
      </c>
      <c r="B2149">
        <v>4</v>
      </c>
      <c r="C2149">
        <v>65</v>
      </c>
      <c r="D2149" t="str">
        <f>VLOOKUP($C2149,products!$A$1:$F$322,MATCH(order_items!$D$1,products!$A$1:$F$1,0),FALSE)</f>
        <v>Sun Bicycles Lil Bolt Type-R - 2017</v>
      </c>
      <c r="E2149">
        <f>VLOOKUP($C2149,products!$A$1:$F$322,MATCH(order_items!$E$1,products!$A$1:$F$1,0),FALSE)</f>
        <v>3</v>
      </c>
      <c r="F2149" t="str">
        <f>VLOOKUP($E2149,categories!$A$1:$B$8,MATCH(order_items!$F$1,categories!$A$1:$B$1,0),FALSE)</f>
        <v>Cruisers Bicycles</v>
      </c>
      <c r="G2149">
        <v>2</v>
      </c>
      <c r="H2149">
        <v>346.99</v>
      </c>
      <c r="I2149" s="5">
        <v>7.0000000000000007E-2</v>
      </c>
      <c r="J2149">
        <f t="shared" si="66"/>
        <v>645.40139999999997</v>
      </c>
      <c r="K2149" s="9">
        <f t="shared" si="67"/>
        <v>-0.64001380111546768</v>
      </c>
    </row>
    <row r="2150" spans="1:11" x14ac:dyDescent="0.3">
      <c r="A2150">
        <v>758</v>
      </c>
      <c r="B2150">
        <v>5</v>
      </c>
      <c r="C2150">
        <v>109</v>
      </c>
      <c r="D2150" t="str">
        <f>VLOOKUP($C2150,products!$A$1:$F$322,MATCH(order_items!$D$1,products!$A$1:$F$1,0),FALSE)</f>
        <v>Sun Bicycles Cruz 7 - Women's - 2017</v>
      </c>
      <c r="E2150">
        <f>VLOOKUP($C2150,products!$A$1:$F$322,MATCH(order_items!$E$1,products!$A$1:$F$1,0),FALSE)</f>
        <v>2</v>
      </c>
      <c r="F2150" t="str">
        <f>VLOOKUP($E2150,categories!$A$1:$B$8,MATCH(order_items!$F$1,categories!$A$1:$B$1,0),FALSE)</f>
        <v>Comfort Bicycles</v>
      </c>
      <c r="G2150">
        <v>1</v>
      </c>
      <c r="H2150">
        <v>416.99</v>
      </c>
      <c r="I2150" s="5">
        <v>0.2</v>
      </c>
      <c r="J2150">
        <f t="shared" si="66"/>
        <v>333.59200000000004</v>
      </c>
      <c r="K2150" s="9">
        <f t="shared" si="67"/>
        <v>-0.58826372462468679</v>
      </c>
    </row>
    <row r="2151" spans="1:11" x14ac:dyDescent="0.3">
      <c r="A2151">
        <v>759</v>
      </c>
      <c r="B2151">
        <v>1</v>
      </c>
      <c r="C2151">
        <v>93</v>
      </c>
      <c r="D2151" t="str">
        <f>VLOOKUP($C2151,products!$A$1:$F$322,MATCH(order_items!$D$1,products!$A$1:$F$1,0),FALSE)</f>
        <v>Haro Shredder 20 Girls - 2017</v>
      </c>
      <c r="E2151">
        <f>VLOOKUP($C2151,products!$A$1:$F$322,MATCH(order_items!$E$1,products!$A$1:$F$1,0),FALSE)</f>
        <v>1</v>
      </c>
      <c r="F2151" t="str">
        <f>VLOOKUP($E2151,categories!$A$1:$B$8,MATCH(order_items!$F$1,categories!$A$1:$B$1,0),FALSE)</f>
        <v>Children Bicycles</v>
      </c>
      <c r="G2151">
        <v>2</v>
      </c>
      <c r="H2151">
        <v>209.99</v>
      </c>
      <c r="I2151" s="5">
        <v>0.05</v>
      </c>
      <c r="J2151">
        <f t="shared" si="66"/>
        <v>398.98099999999999</v>
      </c>
      <c r="K2151" s="9">
        <f t="shared" si="67"/>
        <v>-0.74129609367599603</v>
      </c>
    </row>
    <row r="2152" spans="1:11" x14ac:dyDescent="0.3">
      <c r="A2152">
        <v>759</v>
      </c>
      <c r="B2152">
        <v>2</v>
      </c>
      <c r="C2152">
        <v>78</v>
      </c>
      <c r="D2152" t="str">
        <f>VLOOKUP($C2152,products!$A$1:$F$322,MATCH(order_items!$D$1,products!$A$1:$F$1,0),FALSE)</f>
        <v>Sun Bicycles Biscayne Tandem CB - 2017</v>
      </c>
      <c r="E2152">
        <f>VLOOKUP($C2152,products!$A$1:$F$322,MATCH(order_items!$E$1,products!$A$1:$F$1,0),FALSE)</f>
        <v>3</v>
      </c>
      <c r="F2152" t="str">
        <f>VLOOKUP($E2152,categories!$A$1:$B$8,MATCH(order_items!$F$1,categories!$A$1:$B$1,0),FALSE)</f>
        <v>Cruisers Bicycles</v>
      </c>
      <c r="G2152">
        <v>1</v>
      </c>
      <c r="H2152">
        <v>647.99</v>
      </c>
      <c r="I2152" s="5">
        <v>7.0000000000000007E-2</v>
      </c>
      <c r="J2152">
        <f t="shared" si="66"/>
        <v>602.63069999999993</v>
      </c>
      <c r="K2152" s="9">
        <f t="shared" si="67"/>
        <v>-0.41748847220510982</v>
      </c>
    </row>
    <row r="2153" spans="1:11" x14ac:dyDescent="0.3">
      <c r="A2153">
        <v>760</v>
      </c>
      <c r="B2153">
        <v>1</v>
      </c>
      <c r="C2153">
        <v>21</v>
      </c>
      <c r="D2153" t="str">
        <f>VLOOKUP($C2153,products!$A$1:$F$322,MATCH(order_items!$D$1,products!$A$1:$F$1,0),FALSE)</f>
        <v>Electra Cruiser 1 (24-Inch) - 2016</v>
      </c>
      <c r="E2153">
        <f>VLOOKUP($C2153,products!$A$1:$F$322,MATCH(order_items!$E$1,products!$A$1:$F$1,0),FALSE)</f>
        <v>1</v>
      </c>
      <c r="F2153" t="str">
        <f>VLOOKUP($E2153,categories!$A$1:$B$8,MATCH(order_items!$F$1,categories!$A$1:$B$1,0),FALSE)</f>
        <v>Children Bicycles</v>
      </c>
      <c r="G2153">
        <v>2</v>
      </c>
      <c r="H2153">
        <v>269.99</v>
      </c>
      <c r="I2153" s="5">
        <v>7.0000000000000007E-2</v>
      </c>
      <c r="J2153">
        <f t="shared" si="66"/>
        <v>502.1814</v>
      </c>
      <c r="K2153" s="9">
        <f t="shared" si="67"/>
        <v>-0.69693888525532666</v>
      </c>
    </row>
    <row r="2154" spans="1:11" x14ac:dyDescent="0.3">
      <c r="A2154">
        <v>760</v>
      </c>
      <c r="B2154">
        <v>2</v>
      </c>
      <c r="C2154">
        <v>29</v>
      </c>
      <c r="D2154" t="str">
        <f>VLOOKUP($C2154,products!$A$1:$F$322,MATCH(order_items!$D$1,products!$A$1:$F$1,0),FALSE)</f>
        <v>Trek X-Caliber 8 - 2017</v>
      </c>
      <c r="E2154">
        <f>VLOOKUP($C2154,products!$A$1:$F$322,MATCH(order_items!$E$1,products!$A$1:$F$1,0),FALSE)</f>
        <v>6</v>
      </c>
      <c r="F2154" t="str">
        <f>VLOOKUP($E2154,categories!$A$1:$B$8,MATCH(order_items!$F$1,categories!$A$1:$B$1,0),FALSE)</f>
        <v>Mountain Bikes</v>
      </c>
      <c r="G2154">
        <v>2</v>
      </c>
      <c r="H2154">
        <v>999.99</v>
      </c>
      <c r="I2154" s="5">
        <v>7.0000000000000007E-2</v>
      </c>
      <c r="J2154">
        <f t="shared" si="66"/>
        <v>1859.9813999999999</v>
      </c>
      <c r="K2154" s="9">
        <f t="shared" si="67"/>
        <v>-0.15725951613718298</v>
      </c>
    </row>
    <row r="2155" spans="1:11" x14ac:dyDescent="0.3">
      <c r="A2155">
        <v>761</v>
      </c>
      <c r="B2155">
        <v>1</v>
      </c>
      <c r="C2155">
        <v>43</v>
      </c>
      <c r="D2155" t="str">
        <f>VLOOKUP($C2155,products!$A$1:$F$322,MATCH(order_items!$D$1,products!$A$1:$F$1,0),FALSE)</f>
        <v>Trek Fuel EX 9.8 27.5 Plus - 2017</v>
      </c>
      <c r="E2155">
        <f>VLOOKUP($C2155,products!$A$1:$F$322,MATCH(order_items!$E$1,products!$A$1:$F$1,0),FALSE)</f>
        <v>6</v>
      </c>
      <c r="F2155" t="str">
        <f>VLOOKUP($E2155,categories!$A$1:$B$8,MATCH(order_items!$F$1,categories!$A$1:$B$1,0),FALSE)</f>
        <v>Mountain Bikes</v>
      </c>
      <c r="G2155">
        <v>1</v>
      </c>
      <c r="H2155">
        <v>5299.99</v>
      </c>
      <c r="I2155" s="5">
        <v>7.0000000000000007E-2</v>
      </c>
      <c r="J2155">
        <f t="shared" si="66"/>
        <v>4928.9906999999994</v>
      </c>
      <c r="K2155" s="9">
        <f t="shared" si="67"/>
        <v>3.021673754010787</v>
      </c>
    </row>
    <row r="2156" spans="1:11" x14ac:dyDescent="0.3">
      <c r="A2156">
        <v>761</v>
      </c>
      <c r="B2156">
        <v>2</v>
      </c>
      <c r="C2156">
        <v>52</v>
      </c>
      <c r="D2156" t="str">
        <f>VLOOKUP($C2156,products!$A$1:$F$322,MATCH(order_items!$D$1,products!$A$1:$F$1,0),FALSE)</f>
        <v>Surly Steamroller - 2017</v>
      </c>
      <c r="E2156">
        <f>VLOOKUP($C2156,products!$A$1:$F$322,MATCH(order_items!$E$1,products!$A$1:$F$1,0),FALSE)</f>
        <v>7</v>
      </c>
      <c r="F2156" t="str">
        <f>VLOOKUP($E2156,categories!$A$1:$B$8,MATCH(order_items!$F$1,categories!$A$1:$B$1,0),FALSE)</f>
        <v>Road Bikes</v>
      </c>
      <c r="G2156">
        <v>2</v>
      </c>
      <c r="H2156">
        <v>875.99</v>
      </c>
      <c r="I2156" s="5">
        <v>0.2</v>
      </c>
      <c r="J2156">
        <f t="shared" si="66"/>
        <v>1401.5840000000001</v>
      </c>
      <c r="K2156" s="9">
        <f t="shared" si="67"/>
        <v>-0.24893108020656629</v>
      </c>
    </row>
    <row r="2157" spans="1:11" x14ac:dyDescent="0.3">
      <c r="A2157">
        <v>762</v>
      </c>
      <c r="B2157">
        <v>1</v>
      </c>
      <c r="C2157">
        <v>102</v>
      </c>
      <c r="D2157" t="str">
        <f>VLOOKUP($C2157,products!$A$1:$F$322,MATCH(order_items!$D$1,products!$A$1:$F$1,0),FALSE)</f>
        <v>Electra Townie Original 7D - 2017</v>
      </c>
      <c r="E2157">
        <f>VLOOKUP($C2157,products!$A$1:$F$322,MATCH(order_items!$E$1,products!$A$1:$F$1,0),FALSE)</f>
        <v>2</v>
      </c>
      <c r="F2157" t="str">
        <f>VLOOKUP($E2157,categories!$A$1:$B$8,MATCH(order_items!$F$1,categories!$A$1:$B$1,0),FALSE)</f>
        <v>Comfort Bicycles</v>
      </c>
      <c r="G2157">
        <v>2</v>
      </c>
      <c r="H2157">
        <v>489.99</v>
      </c>
      <c r="I2157" s="5">
        <v>0.05</v>
      </c>
      <c r="J2157">
        <f t="shared" si="66"/>
        <v>930.98099999999999</v>
      </c>
      <c r="K2157" s="9">
        <f t="shared" si="67"/>
        <v>-0.53429578771287245</v>
      </c>
    </row>
    <row r="2158" spans="1:11" x14ac:dyDescent="0.3">
      <c r="A2158">
        <v>763</v>
      </c>
      <c r="B2158">
        <v>1</v>
      </c>
      <c r="C2158">
        <v>90</v>
      </c>
      <c r="D2158" t="str">
        <f>VLOOKUP($C2158,products!$A$1:$F$322,MATCH(order_items!$D$1,products!$A$1:$F$1,0),FALSE)</f>
        <v>Trek Precaliber 16 Girls - 2017</v>
      </c>
      <c r="E2158">
        <f>VLOOKUP($C2158,products!$A$1:$F$322,MATCH(order_items!$E$1,products!$A$1:$F$1,0),FALSE)</f>
        <v>1</v>
      </c>
      <c r="F2158" t="str">
        <f>VLOOKUP($E2158,categories!$A$1:$B$8,MATCH(order_items!$F$1,categories!$A$1:$B$1,0),FALSE)</f>
        <v>Children Bicycles</v>
      </c>
      <c r="G2158">
        <v>1</v>
      </c>
      <c r="H2158">
        <v>209.99</v>
      </c>
      <c r="I2158" s="5">
        <v>7.0000000000000007E-2</v>
      </c>
      <c r="J2158">
        <f t="shared" si="66"/>
        <v>195.29069999999999</v>
      </c>
      <c r="K2158" s="9">
        <f t="shared" si="67"/>
        <v>-0.74129609367599603</v>
      </c>
    </row>
    <row r="2159" spans="1:11" x14ac:dyDescent="0.3">
      <c r="A2159">
        <v>763</v>
      </c>
      <c r="B2159">
        <v>2</v>
      </c>
      <c r="C2159">
        <v>103</v>
      </c>
      <c r="D2159" t="str">
        <f>VLOOKUP($C2159,products!$A$1:$F$322,MATCH(order_items!$D$1,products!$A$1:$F$1,0),FALSE)</f>
        <v>Sun Bicycles Streamway 3 - 2017</v>
      </c>
      <c r="E2159">
        <f>VLOOKUP($C2159,products!$A$1:$F$322,MATCH(order_items!$E$1,products!$A$1:$F$1,0),FALSE)</f>
        <v>2</v>
      </c>
      <c r="F2159" t="str">
        <f>VLOOKUP($E2159,categories!$A$1:$B$8,MATCH(order_items!$F$1,categories!$A$1:$B$1,0),FALSE)</f>
        <v>Comfort Bicycles</v>
      </c>
      <c r="G2159">
        <v>1</v>
      </c>
      <c r="H2159">
        <v>551.99</v>
      </c>
      <c r="I2159" s="5">
        <v>0.1</v>
      </c>
      <c r="J2159">
        <f t="shared" si="66"/>
        <v>496.791</v>
      </c>
      <c r="K2159" s="9">
        <f t="shared" si="67"/>
        <v>-0.48846000567818076</v>
      </c>
    </row>
    <row r="2160" spans="1:11" x14ac:dyDescent="0.3">
      <c r="A2160">
        <v>764</v>
      </c>
      <c r="B2160">
        <v>1</v>
      </c>
      <c r="C2160">
        <v>55</v>
      </c>
      <c r="D2160" t="str">
        <f>VLOOKUP($C2160,products!$A$1:$F$322,MATCH(order_items!$D$1,products!$A$1:$F$1,0),FALSE)</f>
        <v>Trek Domane S 6 - 2017</v>
      </c>
      <c r="E2160">
        <f>VLOOKUP($C2160,products!$A$1:$F$322,MATCH(order_items!$E$1,products!$A$1:$F$1,0),FALSE)</f>
        <v>7</v>
      </c>
      <c r="F2160" t="str">
        <f>VLOOKUP($E2160,categories!$A$1:$B$8,MATCH(order_items!$F$1,categories!$A$1:$B$1,0),FALSE)</f>
        <v>Road Bikes</v>
      </c>
      <c r="G2160">
        <v>1</v>
      </c>
      <c r="H2160">
        <v>2699.99</v>
      </c>
      <c r="I2160" s="5">
        <v>7.0000000000000007E-2</v>
      </c>
      <c r="J2160">
        <f t="shared" si="66"/>
        <v>2510.9906999999998</v>
      </c>
      <c r="K2160" s="9">
        <f t="shared" si="67"/>
        <v>1.0995280557817817</v>
      </c>
    </row>
    <row r="2161" spans="1:11" x14ac:dyDescent="0.3">
      <c r="A2161">
        <v>764</v>
      </c>
      <c r="B2161">
        <v>2</v>
      </c>
      <c r="C2161">
        <v>95</v>
      </c>
      <c r="D2161" t="str">
        <f>VLOOKUP($C2161,products!$A$1:$F$322,MATCH(order_items!$D$1,products!$A$1:$F$1,0),FALSE)</f>
        <v>Electra Girl's Hawaii 1 16" - 2017</v>
      </c>
      <c r="E2161">
        <f>VLOOKUP($C2161,products!$A$1:$F$322,MATCH(order_items!$E$1,products!$A$1:$F$1,0),FALSE)</f>
        <v>1</v>
      </c>
      <c r="F2161" t="str">
        <f>VLOOKUP($E2161,categories!$A$1:$B$8,MATCH(order_items!$F$1,categories!$A$1:$B$1,0),FALSE)</f>
        <v>Children Bicycles</v>
      </c>
      <c r="G2161">
        <v>2</v>
      </c>
      <c r="H2161">
        <v>299.99</v>
      </c>
      <c r="I2161" s="5">
        <v>0.05</v>
      </c>
      <c r="J2161">
        <f t="shared" si="66"/>
        <v>569.98099999999999</v>
      </c>
      <c r="K2161" s="9">
        <f t="shared" si="67"/>
        <v>-0.67476028104499197</v>
      </c>
    </row>
    <row r="2162" spans="1:11" x14ac:dyDescent="0.3">
      <c r="A2162">
        <v>764</v>
      </c>
      <c r="B2162">
        <v>3</v>
      </c>
      <c r="C2162">
        <v>81</v>
      </c>
      <c r="D2162" t="str">
        <f>VLOOKUP($C2162,products!$A$1:$F$322,MATCH(order_items!$D$1,products!$A$1:$F$1,0),FALSE)</f>
        <v>Electra Amsterdam Fashion 7i Ladies' - 2017</v>
      </c>
      <c r="E2162">
        <f>VLOOKUP($C2162,products!$A$1:$F$322,MATCH(order_items!$E$1,products!$A$1:$F$1,0),FALSE)</f>
        <v>3</v>
      </c>
      <c r="F2162" t="str">
        <f>VLOOKUP($E2162,categories!$A$1:$B$8,MATCH(order_items!$F$1,categories!$A$1:$B$1,0),FALSE)</f>
        <v>Cruisers Bicycles</v>
      </c>
      <c r="G2162">
        <v>2</v>
      </c>
      <c r="H2162">
        <v>1099.99</v>
      </c>
      <c r="I2162" s="5">
        <v>7.0000000000000007E-2</v>
      </c>
      <c r="J2162">
        <f t="shared" si="66"/>
        <v>2045.9813999999999</v>
      </c>
      <c r="K2162" s="9">
        <f t="shared" si="67"/>
        <v>-8.3330835436067396E-2</v>
      </c>
    </row>
    <row r="2163" spans="1:11" x14ac:dyDescent="0.3">
      <c r="A2163">
        <v>765</v>
      </c>
      <c r="B2163">
        <v>1</v>
      </c>
      <c r="C2163">
        <v>28</v>
      </c>
      <c r="D2163" t="str">
        <f>VLOOKUP($C2163,products!$A$1:$F$322,MATCH(order_items!$D$1,products!$A$1:$F$1,0),FALSE)</f>
        <v>Surly Karate Monkey 27.5+ Frameset - 2017</v>
      </c>
      <c r="E2163">
        <f>VLOOKUP($C2163,products!$A$1:$F$322,MATCH(order_items!$E$1,products!$A$1:$F$1,0),FALSE)</f>
        <v>6</v>
      </c>
      <c r="F2163" t="str">
        <f>VLOOKUP($E2163,categories!$A$1:$B$8,MATCH(order_items!$F$1,categories!$A$1:$B$1,0),FALSE)</f>
        <v>Mountain Bikes</v>
      </c>
      <c r="G2163">
        <v>2</v>
      </c>
      <c r="H2163">
        <v>2499.9899999999998</v>
      </c>
      <c r="I2163" s="5">
        <v>0.2</v>
      </c>
      <c r="J2163">
        <f t="shared" si="66"/>
        <v>3999.9839999999999</v>
      </c>
      <c r="K2163" s="9">
        <f t="shared" si="67"/>
        <v>0.95167069437955054</v>
      </c>
    </row>
    <row r="2164" spans="1:11" x14ac:dyDescent="0.3">
      <c r="A2164">
        <v>765</v>
      </c>
      <c r="B2164">
        <v>2</v>
      </c>
      <c r="C2164">
        <v>12</v>
      </c>
      <c r="D2164" t="str">
        <f>VLOOKUP($C2164,products!$A$1:$F$322,MATCH(order_items!$D$1,products!$A$1:$F$1,0),FALSE)</f>
        <v>Electra Townie Original 21D - 2016</v>
      </c>
      <c r="E2164">
        <f>VLOOKUP($C2164,products!$A$1:$F$322,MATCH(order_items!$E$1,products!$A$1:$F$1,0),FALSE)</f>
        <v>3</v>
      </c>
      <c r="F2164" t="str">
        <f>VLOOKUP($E2164,categories!$A$1:$B$8,MATCH(order_items!$F$1,categories!$A$1:$B$1,0),FALSE)</f>
        <v>Cruisers Bicycles</v>
      </c>
      <c r="G2164">
        <v>1</v>
      </c>
      <c r="H2164">
        <v>549.99</v>
      </c>
      <c r="I2164" s="5">
        <v>7.0000000000000007E-2</v>
      </c>
      <c r="J2164">
        <f t="shared" si="66"/>
        <v>511.49069999999995</v>
      </c>
      <c r="K2164" s="9">
        <f t="shared" si="67"/>
        <v>-0.48993857929220308</v>
      </c>
    </row>
    <row r="2165" spans="1:11" x14ac:dyDescent="0.3">
      <c r="A2165">
        <v>765</v>
      </c>
      <c r="B2165">
        <v>3</v>
      </c>
      <c r="C2165">
        <v>25</v>
      </c>
      <c r="D2165" t="str">
        <f>VLOOKUP($C2165,products!$A$1:$F$322,MATCH(order_items!$D$1,products!$A$1:$F$1,0),FALSE)</f>
        <v>Electra Townie Original 7D - 2015/2016</v>
      </c>
      <c r="E2165">
        <f>VLOOKUP($C2165,products!$A$1:$F$322,MATCH(order_items!$E$1,products!$A$1:$F$1,0),FALSE)</f>
        <v>2</v>
      </c>
      <c r="F2165" t="str">
        <f>VLOOKUP($E2165,categories!$A$1:$B$8,MATCH(order_items!$F$1,categories!$A$1:$B$1,0),FALSE)</f>
        <v>Comfort Bicycles</v>
      </c>
      <c r="G2165">
        <v>1</v>
      </c>
      <c r="H2165">
        <v>499.99</v>
      </c>
      <c r="I2165" s="5">
        <v>0.2</v>
      </c>
      <c r="J2165">
        <f t="shared" si="66"/>
        <v>399.99200000000002</v>
      </c>
      <c r="K2165" s="9">
        <f t="shared" si="67"/>
        <v>-0.52690291964276081</v>
      </c>
    </row>
    <row r="2166" spans="1:11" x14ac:dyDescent="0.3">
      <c r="A2166">
        <v>765</v>
      </c>
      <c r="B2166">
        <v>4</v>
      </c>
      <c r="C2166">
        <v>53</v>
      </c>
      <c r="D2166" t="str">
        <f>VLOOKUP($C2166,products!$A$1:$F$322,MATCH(order_items!$D$1,products!$A$1:$F$1,0),FALSE)</f>
        <v>Surly Ogre Frameset - 2017</v>
      </c>
      <c r="E2166">
        <f>VLOOKUP($C2166,products!$A$1:$F$322,MATCH(order_items!$E$1,products!$A$1:$F$1,0),FALSE)</f>
        <v>7</v>
      </c>
      <c r="F2166" t="str">
        <f>VLOOKUP($E2166,categories!$A$1:$B$8,MATCH(order_items!$F$1,categories!$A$1:$B$1,0),FALSE)</f>
        <v>Road Bikes</v>
      </c>
      <c r="G2166">
        <v>1</v>
      </c>
      <c r="H2166">
        <v>749.99</v>
      </c>
      <c r="I2166" s="5">
        <v>0.2</v>
      </c>
      <c r="J2166">
        <f t="shared" si="66"/>
        <v>599.99200000000008</v>
      </c>
      <c r="K2166" s="9">
        <f t="shared" si="67"/>
        <v>-0.34208121788997192</v>
      </c>
    </row>
    <row r="2167" spans="1:11" x14ac:dyDescent="0.3">
      <c r="A2167">
        <v>765</v>
      </c>
      <c r="B2167">
        <v>5</v>
      </c>
      <c r="C2167">
        <v>65</v>
      </c>
      <c r="D2167" t="str">
        <f>VLOOKUP($C2167,products!$A$1:$F$322,MATCH(order_items!$D$1,products!$A$1:$F$1,0),FALSE)</f>
        <v>Sun Bicycles Lil Bolt Type-R - 2017</v>
      </c>
      <c r="E2167">
        <f>VLOOKUP($C2167,products!$A$1:$F$322,MATCH(order_items!$E$1,products!$A$1:$F$1,0),FALSE)</f>
        <v>3</v>
      </c>
      <c r="F2167" t="str">
        <f>VLOOKUP($E2167,categories!$A$1:$B$8,MATCH(order_items!$F$1,categories!$A$1:$B$1,0),FALSE)</f>
        <v>Cruisers Bicycles</v>
      </c>
      <c r="G2167">
        <v>1</v>
      </c>
      <c r="H2167">
        <v>346.99</v>
      </c>
      <c r="I2167" s="5">
        <v>0.05</v>
      </c>
      <c r="J2167">
        <f t="shared" si="66"/>
        <v>329.64049999999997</v>
      </c>
      <c r="K2167" s="9">
        <f t="shared" si="67"/>
        <v>-0.64001380111546768</v>
      </c>
    </row>
    <row r="2168" spans="1:11" x14ac:dyDescent="0.3">
      <c r="A2168">
        <v>766</v>
      </c>
      <c r="B2168">
        <v>1</v>
      </c>
      <c r="C2168">
        <v>111</v>
      </c>
      <c r="D2168" t="str">
        <f>VLOOKUP($C2168,products!$A$1:$F$322,MATCH(order_items!$D$1,products!$A$1:$F$1,0),FALSE)</f>
        <v>Sun Bicycles Drifter 7 - Women's - 2017</v>
      </c>
      <c r="E2168">
        <f>VLOOKUP($C2168,products!$A$1:$F$322,MATCH(order_items!$E$1,products!$A$1:$F$1,0),FALSE)</f>
        <v>2</v>
      </c>
      <c r="F2168" t="str">
        <f>VLOOKUP($E2168,categories!$A$1:$B$8,MATCH(order_items!$F$1,categories!$A$1:$B$1,0),FALSE)</f>
        <v>Comfort Bicycles</v>
      </c>
      <c r="G2168">
        <v>1</v>
      </c>
      <c r="H2168">
        <v>470.99</v>
      </c>
      <c r="I2168" s="5">
        <v>0.2</v>
      </c>
      <c r="J2168">
        <f t="shared" si="66"/>
        <v>376.79200000000003</v>
      </c>
      <c r="K2168" s="9">
        <f t="shared" si="67"/>
        <v>-0.54834223704608442</v>
      </c>
    </row>
    <row r="2169" spans="1:11" x14ac:dyDescent="0.3">
      <c r="A2169">
        <v>767</v>
      </c>
      <c r="B2169">
        <v>1</v>
      </c>
      <c r="C2169">
        <v>63</v>
      </c>
      <c r="D2169" t="str">
        <f>VLOOKUP($C2169,products!$A$1:$F$322,MATCH(order_items!$D$1,products!$A$1:$F$1,0),FALSE)</f>
        <v>Trek Boone Race Shop Limited - 2017</v>
      </c>
      <c r="E2169">
        <f>VLOOKUP($C2169,products!$A$1:$F$322,MATCH(order_items!$E$1,products!$A$1:$F$1,0),FALSE)</f>
        <v>4</v>
      </c>
      <c r="F2169" t="str">
        <f>VLOOKUP($E2169,categories!$A$1:$B$8,MATCH(order_items!$F$1,categories!$A$1:$B$1,0),FALSE)</f>
        <v>Cyclocross Bicycles</v>
      </c>
      <c r="G2169">
        <v>1</v>
      </c>
      <c r="H2169">
        <v>3499.99</v>
      </c>
      <c r="I2169" s="5">
        <v>0.1</v>
      </c>
      <c r="J2169">
        <f t="shared" si="66"/>
        <v>3149.991</v>
      </c>
      <c r="K2169" s="9">
        <f t="shared" si="67"/>
        <v>1.6909575013907066</v>
      </c>
    </row>
    <row r="2170" spans="1:11" x14ac:dyDescent="0.3">
      <c r="A2170">
        <v>767</v>
      </c>
      <c r="B2170">
        <v>2</v>
      </c>
      <c r="C2170">
        <v>29</v>
      </c>
      <c r="D2170" t="str">
        <f>VLOOKUP($C2170,products!$A$1:$F$322,MATCH(order_items!$D$1,products!$A$1:$F$1,0),FALSE)</f>
        <v>Trek X-Caliber 8 - 2017</v>
      </c>
      <c r="E2170">
        <f>VLOOKUP($C2170,products!$A$1:$F$322,MATCH(order_items!$E$1,products!$A$1:$F$1,0),FALSE)</f>
        <v>6</v>
      </c>
      <c r="F2170" t="str">
        <f>VLOOKUP($E2170,categories!$A$1:$B$8,MATCH(order_items!$F$1,categories!$A$1:$B$1,0),FALSE)</f>
        <v>Mountain Bikes</v>
      </c>
      <c r="G2170">
        <v>1</v>
      </c>
      <c r="H2170">
        <v>999.99</v>
      </c>
      <c r="I2170" s="5">
        <v>7.0000000000000007E-2</v>
      </c>
      <c r="J2170">
        <f t="shared" si="66"/>
        <v>929.99069999999995</v>
      </c>
      <c r="K2170" s="9">
        <f t="shared" si="67"/>
        <v>-0.15725951613718298</v>
      </c>
    </row>
    <row r="2171" spans="1:11" x14ac:dyDescent="0.3">
      <c r="A2171">
        <v>767</v>
      </c>
      <c r="B2171">
        <v>3</v>
      </c>
      <c r="C2171">
        <v>41</v>
      </c>
      <c r="D2171" t="str">
        <f>VLOOKUP($C2171,products!$A$1:$F$322,MATCH(order_items!$D$1,products!$A$1:$F$1,0),FALSE)</f>
        <v>Haro Shift R3 - 2017</v>
      </c>
      <c r="E2171">
        <f>VLOOKUP($C2171,products!$A$1:$F$322,MATCH(order_items!$E$1,products!$A$1:$F$1,0),FALSE)</f>
        <v>6</v>
      </c>
      <c r="F2171" t="str">
        <f>VLOOKUP($E2171,categories!$A$1:$B$8,MATCH(order_items!$F$1,categories!$A$1:$B$1,0),FALSE)</f>
        <v>Mountain Bikes</v>
      </c>
      <c r="G2171">
        <v>2</v>
      </c>
      <c r="H2171">
        <v>1469.99</v>
      </c>
      <c r="I2171" s="5">
        <v>0.05</v>
      </c>
      <c r="J2171">
        <f t="shared" si="66"/>
        <v>2792.9809999999998</v>
      </c>
      <c r="K2171" s="9">
        <f t="shared" si="67"/>
        <v>0.19020528315806023</v>
      </c>
    </row>
    <row r="2172" spans="1:11" x14ac:dyDescent="0.3">
      <c r="A2172">
        <v>767</v>
      </c>
      <c r="B2172">
        <v>4</v>
      </c>
      <c r="C2172">
        <v>77</v>
      </c>
      <c r="D2172" t="str">
        <f>VLOOKUP($C2172,products!$A$1:$F$322,MATCH(order_items!$D$1,products!$A$1:$F$1,0),FALSE)</f>
        <v>Electra Glam Punk 3i Ladies' - 2017</v>
      </c>
      <c r="E2172">
        <f>VLOOKUP($C2172,products!$A$1:$F$322,MATCH(order_items!$E$1,products!$A$1:$F$1,0),FALSE)</f>
        <v>3</v>
      </c>
      <c r="F2172" t="str">
        <f>VLOOKUP($E2172,categories!$A$1:$B$8,MATCH(order_items!$F$1,categories!$A$1:$B$1,0),FALSE)</f>
        <v>Cruisers Bicycles</v>
      </c>
      <c r="G2172">
        <v>2</v>
      </c>
      <c r="H2172">
        <v>799.99</v>
      </c>
      <c r="I2172" s="5">
        <v>0.05</v>
      </c>
      <c r="J2172">
        <f t="shared" si="66"/>
        <v>1519.981</v>
      </c>
      <c r="K2172" s="9">
        <f t="shared" si="67"/>
        <v>-0.30511687753941413</v>
      </c>
    </row>
    <row r="2173" spans="1:11" x14ac:dyDescent="0.3">
      <c r="A2173">
        <v>768</v>
      </c>
      <c r="B2173">
        <v>1</v>
      </c>
      <c r="C2173">
        <v>31</v>
      </c>
      <c r="D2173" t="str">
        <f>VLOOKUP($C2173,products!$A$1:$F$322,MATCH(order_items!$D$1,products!$A$1:$F$1,0),FALSE)</f>
        <v>Surly Wednesday - 2017</v>
      </c>
      <c r="E2173">
        <f>VLOOKUP($C2173,products!$A$1:$F$322,MATCH(order_items!$E$1,products!$A$1:$F$1,0),FALSE)</f>
        <v>6</v>
      </c>
      <c r="F2173" t="str">
        <f>VLOOKUP($E2173,categories!$A$1:$B$8,MATCH(order_items!$F$1,categories!$A$1:$B$1,0),FALSE)</f>
        <v>Mountain Bikes</v>
      </c>
      <c r="G2173">
        <v>1</v>
      </c>
      <c r="H2173">
        <v>1632.99</v>
      </c>
      <c r="I2173" s="5">
        <v>0.2</v>
      </c>
      <c r="J2173">
        <f t="shared" si="66"/>
        <v>1306.3920000000001</v>
      </c>
      <c r="K2173" s="9">
        <f t="shared" si="67"/>
        <v>0.31070903270087863</v>
      </c>
    </row>
    <row r="2174" spans="1:11" x14ac:dyDescent="0.3">
      <c r="A2174">
        <v>768</v>
      </c>
      <c r="B2174">
        <v>2</v>
      </c>
      <c r="C2174">
        <v>76</v>
      </c>
      <c r="D2174" t="str">
        <f>VLOOKUP($C2174,products!$A$1:$F$322,MATCH(order_items!$D$1,products!$A$1:$F$1,0),FALSE)</f>
        <v>Electra Girl's Hawaii 1 16" - 2017</v>
      </c>
      <c r="E2174">
        <f>VLOOKUP($C2174,products!$A$1:$F$322,MATCH(order_items!$E$1,products!$A$1:$F$1,0),FALSE)</f>
        <v>3</v>
      </c>
      <c r="F2174" t="str">
        <f>VLOOKUP($E2174,categories!$A$1:$B$8,MATCH(order_items!$F$1,categories!$A$1:$B$1,0),FALSE)</f>
        <v>Cruisers Bicycles</v>
      </c>
      <c r="G2174">
        <v>1</v>
      </c>
      <c r="H2174">
        <v>299.99</v>
      </c>
      <c r="I2174" s="5">
        <v>0.2</v>
      </c>
      <c r="J2174">
        <f t="shared" si="66"/>
        <v>239.99200000000002</v>
      </c>
      <c r="K2174" s="9">
        <f t="shared" si="67"/>
        <v>-0.67476028104499197</v>
      </c>
    </row>
    <row r="2175" spans="1:11" x14ac:dyDescent="0.3">
      <c r="A2175">
        <v>769</v>
      </c>
      <c r="B2175">
        <v>1</v>
      </c>
      <c r="C2175">
        <v>8</v>
      </c>
      <c r="D2175" t="str">
        <f>VLOOKUP($C2175,products!$A$1:$F$322,MATCH(order_items!$D$1,products!$A$1:$F$1,0),FALSE)</f>
        <v>Trek Remedy 29 Carbon Frameset - 2016</v>
      </c>
      <c r="E2175">
        <f>VLOOKUP($C2175,products!$A$1:$F$322,MATCH(order_items!$E$1,products!$A$1:$F$1,0),FALSE)</f>
        <v>6</v>
      </c>
      <c r="F2175" t="str">
        <f>VLOOKUP($E2175,categories!$A$1:$B$8,MATCH(order_items!$F$1,categories!$A$1:$B$1,0),FALSE)</f>
        <v>Mountain Bikes</v>
      </c>
      <c r="G2175">
        <v>1</v>
      </c>
      <c r="H2175">
        <v>1799.99</v>
      </c>
      <c r="I2175" s="5">
        <v>0.1</v>
      </c>
      <c r="J2175">
        <f t="shared" si="66"/>
        <v>1619.991</v>
      </c>
      <c r="K2175" s="9">
        <f t="shared" si="67"/>
        <v>0.43416992947174166</v>
      </c>
    </row>
    <row r="2176" spans="1:11" x14ac:dyDescent="0.3">
      <c r="A2176">
        <v>769</v>
      </c>
      <c r="B2176">
        <v>2</v>
      </c>
      <c r="C2176">
        <v>6</v>
      </c>
      <c r="D2176" t="str">
        <f>VLOOKUP($C2176,products!$A$1:$F$322,MATCH(order_items!$D$1,products!$A$1:$F$1,0),FALSE)</f>
        <v>Surly Ice Cream Truck Frameset - 2016</v>
      </c>
      <c r="E2176">
        <f>VLOOKUP($C2176,products!$A$1:$F$322,MATCH(order_items!$E$1,products!$A$1:$F$1,0),FALSE)</f>
        <v>6</v>
      </c>
      <c r="F2176" t="str">
        <f>VLOOKUP($E2176,categories!$A$1:$B$8,MATCH(order_items!$F$1,categories!$A$1:$B$1,0),FALSE)</f>
        <v>Mountain Bikes</v>
      </c>
      <c r="G2176">
        <v>2</v>
      </c>
      <c r="H2176">
        <v>469.99</v>
      </c>
      <c r="I2176" s="5">
        <v>0.05</v>
      </c>
      <c r="J2176">
        <f t="shared" si="66"/>
        <v>892.98099999999999</v>
      </c>
      <c r="K2176" s="9">
        <f t="shared" si="67"/>
        <v>-0.5490815238530955</v>
      </c>
    </row>
    <row r="2177" spans="1:11" x14ac:dyDescent="0.3">
      <c r="A2177">
        <v>769</v>
      </c>
      <c r="B2177">
        <v>3</v>
      </c>
      <c r="C2177">
        <v>36</v>
      </c>
      <c r="D2177" t="str">
        <f>VLOOKUP($C2177,products!$A$1:$F$322,MATCH(order_items!$D$1,products!$A$1:$F$1,0),FALSE)</f>
        <v>Surly Troll Frameset - 2017</v>
      </c>
      <c r="E2177">
        <f>VLOOKUP($C2177,products!$A$1:$F$322,MATCH(order_items!$E$1,products!$A$1:$F$1,0),FALSE)</f>
        <v>6</v>
      </c>
      <c r="F2177" t="str">
        <f>VLOOKUP($E2177,categories!$A$1:$B$8,MATCH(order_items!$F$1,categories!$A$1:$B$1,0),FALSE)</f>
        <v>Mountain Bikes</v>
      </c>
      <c r="G2177">
        <v>2</v>
      </c>
      <c r="H2177">
        <v>832.99</v>
      </c>
      <c r="I2177" s="5">
        <v>7.0000000000000007E-2</v>
      </c>
      <c r="J2177">
        <f t="shared" si="66"/>
        <v>1549.3614</v>
      </c>
      <c r="K2177" s="9">
        <f t="shared" si="67"/>
        <v>-0.280720412908046</v>
      </c>
    </row>
    <row r="2178" spans="1:11" x14ac:dyDescent="0.3">
      <c r="A2178">
        <v>770</v>
      </c>
      <c r="B2178">
        <v>1</v>
      </c>
      <c r="C2178">
        <v>110</v>
      </c>
      <c r="D2178" t="str">
        <f>VLOOKUP($C2178,products!$A$1:$F$322,MATCH(order_items!$D$1,products!$A$1:$F$1,0),FALSE)</f>
        <v>Sun Bicycles Drifter 7 - 2017</v>
      </c>
      <c r="E2178">
        <f>VLOOKUP($C2178,products!$A$1:$F$322,MATCH(order_items!$E$1,products!$A$1:$F$1,0),FALSE)</f>
        <v>2</v>
      </c>
      <c r="F2178" t="str">
        <f>VLOOKUP($E2178,categories!$A$1:$B$8,MATCH(order_items!$F$1,categories!$A$1:$B$1,0),FALSE)</f>
        <v>Comfort Bicycles</v>
      </c>
      <c r="G2178">
        <v>1</v>
      </c>
      <c r="H2178">
        <v>470.99</v>
      </c>
      <c r="I2178" s="5">
        <v>0.05</v>
      </c>
      <c r="J2178">
        <f t="shared" ref="J2178:J2241" si="68">G2178*H2178*(1-I2178)</f>
        <v>447.44049999999999</v>
      </c>
      <c r="K2178" s="9">
        <f t="shared" ref="K2178:K2241" si="69">($H2178-$M$7)/$M$9</f>
        <v>-0.54834223704608442</v>
      </c>
    </row>
    <row r="2179" spans="1:11" x14ac:dyDescent="0.3">
      <c r="A2179">
        <v>770</v>
      </c>
      <c r="B2179">
        <v>2</v>
      </c>
      <c r="C2179">
        <v>42</v>
      </c>
      <c r="D2179" t="str">
        <f>VLOOKUP($C2179,products!$A$1:$F$322,MATCH(order_items!$D$1,products!$A$1:$F$1,0),FALSE)</f>
        <v>Trek Fuel EX 5 27.5 Plus - 2017</v>
      </c>
      <c r="E2179">
        <f>VLOOKUP($C2179,products!$A$1:$F$322,MATCH(order_items!$E$1,products!$A$1:$F$1,0),FALSE)</f>
        <v>6</v>
      </c>
      <c r="F2179" t="str">
        <f>VLOOKUP($E2179,categories!$A$1:$B$8,MATCH(order_items!$F$1,categories!$A$1:$B$1,0),FALSE)</f>
        <v>Mountain Bikes</v>
      </c>
      <c r="G2179">
        <v>1</v>
      </c>
      <c r="H2179">
        <v>2299.9899999999998</v>
      </c>
      <c r="I2179" s="5">
        <v>0.2</v>
      </c>
      <c r="J2179">
        <f t="shared" si="68"/>
        <v>1839.992</v>
      </c>
      <c r="K2179" s="9">
        <f t="shared" si="69"/>
        <v>0.80381333297731938</v>
      </c>
    </row>
    <row r="2180" spans="1:11" x14ac:dyDescent="0.3">
      <c r="A2180">
        <v>770</v>
      </c>
      <c r="B2180">
        <v>3</v>
      </c>
      <c r="C2180">
        <v>103</v>
      </c>
      <c r="D2180" t="str">
        <f>VLOOKUP($C2180,products!$A$1:$F$322,MATCH(order_items!$D$1,products!$A$1:$F$1,0),FALSE)</f>
        <v>Sun Bicycles Streamway 3 - 2017</v>
      </c>
      <c r="E2180">
        <f>VLOOKUP($C2180,products!$A$1:$F$322,MATCH(order_items!$E$1,products!$A$1:$F$1,0),FALSE)</f>
        <v>2</v>
      </c>
      <c r="F2180" t="str">
        <f>VLOOKUP($E2180,categories!$A$1:$B$8,MATCH(order_items!$F$1,categories!$A$1:$B$1,0),FALSE)</f>
        <v>Comfort Bicycles</v>
      </c>
      <c r="G2180">
        <v>1</v>
      </c>
      <c r="H2180">
        <v>551.99</v>
      </c>
      <c r="I2180" s="5">
        <v>0.2</v>
      </c>
      <c r="J2180">
        <f t="shared" si="68"/>
        <v>441.59200000000004</v>
      </c>
      <c r="K2180" s="9">
        <f t="shared" si="69"/>
        <v>-0.48846000567818076</v>
      </c>
    </row>
    <row r="2181" spans="1:11" x14ac:dyDescent="0.3">
      <c r="A2181">
        <v>770</v>
      </c>
      <c r="B2181">
        <v>4</v>
      </c>
      <c r="C2181">
        <v>11</v>
      </c>
      <c r="D2181" t="str">
        <f>VLOOKUP($C2181,products!$A$1:$F$322,MATCH(order_items!$D$1,products!$A$1:$F$1,0),FALSE)</f>
        <v>Surly Straggler 650b - 2016</v>
      </c>
      <c r="E2181">
        <f>VLOOKUP($C2181,products!$A$1:$F$322,MATCH(order_items!$E$1,products!$A$1:$F$1,0),FALSE)</f>
        <v>4</v>
      </c>
      <c r="F2181" t="str">
        <f>VLOOKUP($E2181,categories!$A$1:$B$8,MATCH(order_items!$F$1,categories!$A$1:$B$1,0),FALSE)</f>
        <v>Cyclocross Bicycles</v>
      </c>
      <c r="G2181">
        <v>2</v>
      </c>
      <c r="H2181">
        <v>1680.99</v>
      </c>
      <c r="I2181" s="5">
        <v>0.05</v>
      </c>
      <c r="J2181">
        <f t="shared" si="68"/>
        <v>3193.8809999999999</v>
      </c>
      <c r="K2181" s="9">
        <f t="shared" si="69"/>
        <v>0.3461947994374141</v>
      </c>
    </row>
    <row r="2182" spans="1:11" x14ac:dyDescent="0.3">
      <c r="A2182">
        <v>771</v>
      </c>
      <c r="B2182">
        <v>1</v>
      </c>
      <c r="C2182">
        <v>13</v>
      </c>
      <c r="D2182" t="str">
        <f>VLOOKUP($C2182,products!$A$1:$F$322,MATCH(order_items!$D$1,products!$A$1:$F$1,0),FALSE)</f>
        <v>Electra Cruiser 1 (24-Inch) - 2016</v>
      </c>
      <c r="E2182">
        <f>VLOOKUP($C2182,products!$A$1:$F$322,MATCH(order_items!$E$1,products!$A$1:$F$1,0),FALSE)</f>
        <v>3</v>
      </c>
      <c r="F2182" t="str">
        <f>VLOOKUP($E2182,categories!$A$1:$B$8,MATCH(order_items!$F$1,categories!$A$1:$B$1,0),FALSE)</f>
        <v>Cruisers Bicycles</v>
      </c>
      <c r="G2182">
        <v>2</v>
      </c>
      <c r="H2182">
        <v>269.99</v>
      </c>
      <c r="I2182" s="5">
        <v>0.2</v>
      </c>
      <c r="J2182">
        <f t="shared" si="68"/>
        <v>431.98400000000004</v>
      </c>
      <c r="K2182" s="9">
        <f t="shared" si="69"/>
        <v>-0.69693888525532666</v>
      </c>
    </row>
    <row r="2183" spans="1:11" x14ac:dyDescent="0.3">
      <c r="A2183">
        <v>771</v>
      </c>
      <c r="B2183">
        <v>2</v>
      </c>
      <c r="C2183">
        <v>88</v>
      </c>
      <c r="D2183" t="str">
        <f>VLOOKUP($C2183,products!$A$1:$F$322,MATCH(order_items!$D$1,products!$A$1:$F$1,0),FALSE)</f>
        <v>Trek Precaliber 12 Girls - 2017</v>
      </c>
      <c r="E2183">
        <f>VLOOKUP($C2183,products!$A$1:$F$322,MATCH(order_items!$E$1,products!$A$1:$F$1,0),FALSE)</f>
        <v>1</v>
      </c>
      <c r="F2183" t="str">
        <f>VLOOKUP($E2183,categories!$A$1:$B$8,MATCH(order_items!$F$1,categories!$A$1:$B$1,0),FALSE)</f>
        <v>Children Bicycles</v>
      </c>
      <c r="G2183">
        <v>1</v>
      </c>
      <c r="H2183">
        <v>189.99</v>
      </c>
      <c r="I2183" s="5">
        <v>0.2</v>
      </c>
      <c r="J2183">
        <f t="shared" si="68"/>
        <v>151.99200000000002</v>
      </c>
      <c r="K2183" s="9">
        <f t="shared" si="69"/>
        <v>-0.75608182981621919</v>
      </c>
    </row>
    <row r="2184" spans="1:11" x14ac:dyDescent="0.3">
      <c r="A2184">
        <v>772</v>
      </c>
      <c r="B2184">
        <v>1</v>
      </c>
      <c r="C2184">
        <v>103</v>
      </c>
      <c r="D2184" t="str">
        <f>VLOOKUP($C2184,products!$A$1:$F$322,MATCH(order_items!$D$1,products!$A$1:$F$1,0),FALSE)</f>
        <v>Sun Bicycles Streamway 3 - 2017</v>
      </c>
      <c r="E2184">
        <f>VLOOKUP($C2184,products!$A$1:$F$322,MATCH(order_items!$E$1,products!$A$1:$F$1,0),FALSE)</f>
        <v>2</v>
      </c>
      <c r="F2184" t="str">
        <f>VLOOKUP($E2184,categories!$A$1:$B$8,MATCH(order_items!$F$1,categories!$A$1:$B$1,0),FALSE)</f>
        <v>Comfort Bicycles</v>
      </c>
      <c r="G2184">
        <v>1</v>
      </c>
      <c r="H2184">
        <v>551.99</v>
      </c>
      <c r="I2184" s="5">
        <v>7.0000000000000007E-2</v>
      </c>
      <c r="J2184">
        <f t="shared" si="68"/>
        <v>513.35069999999996</v>
      </c>
      <c r="K2184" s="9">
        <f t="shared" si="69"/>
        <v>-0.48846000567818076</v>
      </c>
    </row>
    <row r="2185" spans="1:11" x14ac:dyDescent="0.3">
      <c r="A2185">
        <v>773</v>
      </c>
      <c r="B2185">
        <v>1</v>
      </c>
      <c r="C2185">
        <v>92</v>
      </c>
      <c r="D2185" t="str">
        <f>VLOOKUP($C2185,products!$A$1:$F$322,MATCH(order_items!$D$1,products!$A$1:$F$1,0),FALSE)</f>
        <v>Haro Shredder 20 - 2017</v>
      </c>
      <c r="E2185">
        <f>VLOOKUP($C2185,products!$A$1:$F$322,MATCH(order_items!$E$1,products!$A$1:$F$1,0),FALSE)</f>
        <v>1</v>
      </c>
      <c r="F2185" t="str">
        <f>VLOOKUP($E2185,categories!$A$1:$B$8,MATCH(order_items!$F$1,categories!$A$1:$B$1,0),FALSE)</f>
        <v>Children Bicycles</v>
      </c>
      <c r="G2185">
        <v>1</v>
      </c>
      <c r="H2185">
        <v>209.99</v>
      </c>
      <c r="I2185" s="5">
        <v>0.1</v>
      </c>
      <c r="J2185">
        <f t="shared" si="68"/>
        <v>188.99100000000001</v>
      </c>
      <c r="K2185" s="9">
        <f t="shared" si="69"/>
        <v>-0.74129609367599603</v>
      </c>
    </row>
    <row r="2186" spans="1:11" x14ac:dyDescent="0.3">
      <c r="A2186">
        <v>773</v>
      </c>
      <c r="B2186">
        <v>2</v>
      </c>
      <c r="C2186">
        <v>14</v>
      </c>
      <c r="D2186" t="str">
        <f>VLOOKUP($C2186,products!$A$1:$F$322,MATCH(order_items!$D$1,products!$A$1:$F$1,0),FALSE)</f>
        <v>Electra Girl's Hawaii 1 (16-inch) - 2015/2016</v>
      </c>
      <c r="E2186">
        <f>VLOOKUP($C2186,products!$A$1:$F$322,MATCH(order_items!$E$1,products!$A$1:$F$1,0),FALSE)</f>
        <v>3</v>
      </c>
      <c r="F2186" t="str">
        <f>VLOOKUP($E2186,categories!$A$1:$B$8,MATCH(order_items!$F$1,categories!$A$1:$B$1,0),FALSE)</f>
        <v>Cruisers Bicycles</v>
      </c>
      <c r="G2186">
        <v>1</v>
      </c>
      <c r="H2186">
        <v>269.99</v>
      </c>
      <c r="I2186" s="5">
        <v>0.05</v>
      </c>
      <c r="J2186">
        <f t="shared" si="68"/>
        <v>256.4905</v>
      </c>
      <c r="K2186" s="9">
        <f t="shared" si="69"/>
        <v>-0.69693888525532666</v>
      </c>
    </row>
    <row r="2187" spans="1:11" x14ac:dyDescent="0.3">
      <c r="A2187">
        <v>773</v>
      </c>
      <c r="B2187">
        <v>3</v>
      </c>
      <c r="C2187">
        <v>17</v>
      </c>
      <c r="D2187" t="str">
        <f>VLOOKUP($C2187,products!$A$1:$F$322,MATCH(order_items!$D$1,products!$A$1:$F$1,0),FALSE)</f>
        <v>Pure Cycles Vine 8-Speed - 2016</v>
      </c>
      <c r="E2187">
        <f>VLOOKUP($C2187,products!$A$1:$F$322,MATCH(order_items!$E$1,products!$A$1:$F$1,0),FALSE)</f>
        <v>3</v>
      </c>
      <c r="F2187" t="str">
        <f>VLOOKUP($E2187,categories!$A$1:$B$8,MATCH(order_items!$F$1,categories!$A$1:$B$1,0),FALSE)</f>
        <v>Cruisers Bicycles</v>
      </c>
      <c r="G2187">
        <v>2</v>
      </c>
      <c r="H2187">
        <v>429</v>
      </c>
      <c r="I2187" s="5">
        <v>0.2</v>
      </c>
      <c r="J2187">
        <f t="shared" si="68"/>
        <v>686.40000000000009</v>
      </c>
      <c r="K2187" s="9">
        <f t="shared" si="69"/>
        <v>-0.57938489007248284</v>
      </c>
    </row>
    <row r="2188" spans="1:11" x14ac:dyDescent="0.3">
      <c r="A2188">
        <v>773</v>
      </c>
      <c r="B2188">
        <v>4</v>
      </c>
      <c r="C2188">
        <v>33</v>
      </c>
      <c r="D2188" t="str">
        <f>VLOOKUP($C2188,products!$A$1:$F$322,MATCH(order_items!$D$1,products!$A$1:$F$1,0),FALSE)</f>
        <v>Surly Wednesday Frameset - 2017</v>
      </c>
      <c r="E2188">
        <f>VLOOKUP($C2188,products!$A$1:$F$322,MATCH(order_items!$E$1,products!$A$1:$F$1,0),FALSE)</f>
        <v>6</v>
      </c>
      <c r="F2188" t="str">
        <f>VLOOKUP($E2188,categories!$A$1:$B$8,MATCH(order_items!$F$1,categories!$A$1:$B$1,0),FALSE)</f>
        <v>Mountain Bikes</v>
      </c>
      <c r="G2188">
        <v>2</v>
      </c>
      <c r="H2188">
        <v>469.99</v>
      </c>
      <c r="I2188" s="5">
        <v>7.0000000000000007E-2</v>
      </c>
      <c r="J2188">
        <f t="shared" si="68"/>
        <v>874.18139999999994</v>
      </c>
      <c r="K2188" s="9">
        <f t="shared" si="69"/>
        <v>-0.5490815238530955</v>
      </c>
    </row>
    <row r="2189" spans="1:11" x14ac:dyDescent="0.3">
      <c r="A2189">
        <v>774</v>
      </c>
      <c r="B2189">
        <v>1</v>
      </c>
      <c r="C2189">
        <v>65</v>
      </c>
      <c r="D2189" t="str">
        <f>VLOOKUP($C2189,products!$A$1:$F$322,MATCH(order_items!$D$1,products!$A$1:$F$1,0),FALSE)</f>
        <v>Sun Bicycles Lil Bolt Type-R - 2017</v>
      </c>
      <c r="E2189">
        <f>VLOOKUP($C2189,products!$A$1:$F$322,MATCH(order_items!$E$1,products!$A$1:$F$1,0),FALSE)</f>
        <v>3</v>
      </c>
      <c r="F2189" t="str">
        <f>VLOOKUP($E2189,categories!$A$1:$B$8,MATCH(order_items!$F$1,categories!$A$1:$B$1,0),FALSE)</f>
        <v>Cruisers Bicycles</v>
      </c>
      <c r="G2189">
        <v>1</v>
      </c>
      <c r="H2189">
        <v>346.99</v>
      </c>
      <c r="I2189" s="5">
        <v>0.05</v>
      </c>
      <c r="J2189">
        <f t="shared" si="68"/>
        <v>329.64049999999997</v>
      </c>
      <c r="K2189" s="9">
        <f t="shared" si="69"/>
        <v>-0.64001380111546768</v>
      </c>
    </row>
    <row r="2190" spans="1:11" x14ac:dyDescent="0.3">
      <c r="A2190">
        <v>774</v>
      </c>
      <c r="B2190">
        <v>2</v>
      </c>
      <c r="C2190">
        <v>36</v>
      </c>
      <c r="D2190" t="str">
        <f>VLOOKUP($C2190,products!$A$1:$F$322,MATCH(order_items!$D$1,products!$A$1:$F$1,0),FALSE)</f>
        <v>Surly Troll Frameset - 2017</v>
      </c>
      <c r="E2190">
        <f>VLOOKUP($C2190,products!$A$1:$F$322,MATCH(order_items!$E$1,products!$A$1:$F$1,0),FALSE)</f>
        <v>6</v>
      </c>
      <c r="F2190" t="str">
        <f>VLOOKUP($E2190,categories!$A$1:$B$8,MATCH(order_items!$F$1,categories!$A$1:$B$1,0),FALSE)</f>
        <v>Mountain Bikes</v>
      </c>
      <c r="G2190">
        <v>2</v>
      </c>
      <c r="H2190">
        <v>832.99</v>
      </c>
      <c r="I2190" s="5">
        <v>0.05</v>
      </c>
      <c r="J2190">
        <f t="shared" si="68"/>
        <v>1582.681</v>
      </c>
      <c r="K2190" s="9">
        <f t="shared" si="69"/>
        <v>-0.280720412908046</v>
      </c>
    </row>
    <row r="2191" spans="1:11" x14ac:dyDescent="0.3">
      <c r="A2191">
        <v>774</v>
      </c>
      <c r="B2191">
        <v>3</v>
      </c>
      <c r="C2191">
        <v>20</v>
      </c>
      <c r="D2191" t="str">
        <f>VLOOKUP($C2191,products!$A$1:$F$322,MATCH(order_items!$D$1,products!$A$1:$F$1,0),FALSE)</f>
        <v>Electra Townie Original 7D EQ - Women's - 2016</v>
      </c>
      <c r="E2191">
        <f>VLOOKUP($C2191,products!$A$1:$F$322,MATCH(order_items!$E$1,products!$A$1:$F$1,0),FALSE)</f>
        <v>3</v>
      </c>
      <c r="F2191" t="str">
        <f>VLOOKUP($E2191,categories!$A$1:$B$8,MATCH(order_items!$F$1,categories!$A$1:$B$1,0),FALSE)</f>
        <v>Cruisers Bicycles</v>
      </c>
      <c r="G2191">
        <v>1</v>
      </c>
      <c r="H2191">
        <v>599.99</v>
      </c>
      <c r="I2191" s="5">
        <v>0.2</v>
      </c>
      <c r="J2191">
        <f t="shared" si="68"/>
        <v>479.99200000000002</v>
      </c>
      <c r="K2191" s="9">
        <f t="shared" si="69"/>
        <v>-0.45297423894164529</v>
      </c>
    </row>
    <row r="2192" spans="1:11" x14ac:dyDescent="0.3">
      <c r="A2192">
        <v>774</v>
      </c>
      <c r="B2192">
        <v>4</v>
      </c>
      <c r="C2192">
        <v>73</v>
      </c>
      <c r="D2192" t="str">
        <f>VLOOKUP($C2192,products!$A$1:$F$322,MATCH(order_items!$D$1,products!$A$1:$F$1,0),FALSE)</f>
        <v>Sun Bicycles Brickell Tandem 7 - 2017</v>
      </c>
      <c r="E2192">
        <f>VLOOKUP($C2192,products!$A$1:$F$322,MATCH(order_items!$E$1,products!$A$1:$F$1,0),FALSE)</f>
        <v>3</v>
      </c>
      <c r="F2192" t="str">
        <f>VLOOKUP($E2192,categories!$A$1:$B$8,MATCH(order_items!$F$1,categories!$A$1:$B$1,0),FALSE)</f>
        <v>Cruisers Bicycles</v>
      </c>
      <c r="G2192">
        <v>1</v>
      </c>
      <c r="H2192">
        <v>749.99</v>
      </c>
      <c r="I2192" s="5">
        <v>0.05</v>
      </c>
      <c r="J2192">
        <f t="shared" si="68"/>
        <v>712.4905</v>
      </c>
      <c r="K2192" s="9">
        <f t="shared" si="69"/>
        <v>-0.34208121788997192</v>
      </c>
    </row>
    <row r="2193" spans="1:11" x14ac:dyDescent="0.3">
      <c r="A2193">
        <v>774</v>
      </c>
      <c r="B2193">
        <v>5</v>
      </c>
      <c r="C2193">
        <v>58</v>
      </c>
      <c r="D2193" t="str">
        <f>VLOOKUP($C2193,products!$A$1:$F$322,MATCH(order_items!$D$1,products!$A$1:$F$1,0),FALSE)</f>
        <v>Trek Madone 9.2 - 2017</v>
      </c>
      <c r="E2193">
        <f>VLOOKUP($C2193,products!$A$1:$F$322,MATCH(order_items!$E$1,products!$A$1:$F$1,0),FALSE)</f>
        <v>7</v>
      </c>
      <c r="F2193" t="str">
        <f>VLOOKUP($E2193,categories!$A$1:$B$8,MATCH(order_items!$F$1,categories!$A$1:$B$1,0),FALSE)</f>
        <v>Road Bikes</v>
      </c>
      <c r="G2193">
        <v>2</v>
      </c>
      <c r="H2193">
        <v>4999.99</v>
      </c>
      <c r="I2193" s="5">
        <v>0.1</v>
      </c>
      <c r="J2193">
        <f t="shared" si="68"/>
        <v>8999.982</v>
      </c>
      <c r="K2193" s="9">
        <f t="shared" si="69"/>
        <v>2.7998877119074401</v>
      </c>
    </row>
    <row r="2194" spans="1:11" x14ac:dyDescent="0.3">
      <c r="A2194">
        <v>775</v>
      </c>
      <c r="B2194">
        <v>1</v>
      </c>
      <c r="C2194">
        <v>39</v>
      </c>
      <c r="D2194" t="str">
        <f>VLOOKUP($C2194,products!$A$1:$F$322,MATCH(order_items!$D$1,products!$A$1:$F$1,0),FALSE)</f>
        <v>Trek Stache 5 - 2017</v>
      </c>
      <c r="E2194">
        <f>VLOOKUP($C2194,products!$A$1:$F$322,MATCH(order_items!$E$1,products!$A$1:$F$1,0),FALSE)</f>
        <v>6</v>
      </c>
      <c r="F2194" t="str">
        <f>VLOOKUP($E2194,categories!$A$1:$B$8,MATCH(order_items!$F$1,categories!$A$1:$B$1,0),FALSE)</f>
        <v>Mountain Bikes</v>
      </c>
      <c r="G2194">
        <v>1</v>
      </c>
      <c r="H2194">
        <v>1499.99</v>
      </c>
      <c r="I2194" s="5">
        <v>7.0000000000000007E-2</v>
      </c>
      <c r="J2194">
        <f t="shared" si="68"/>
        <v>1394.9906999999998</v>
      </c>
      <c r="K2194" s="9">
        <f t="shared" si="69"/>
        <v>0.21238388736839492</v>
      </c>
    </row>
    <row r="2195" spans="1:11" x14ac:dyDescent="0.3">
      <c r="A2195">
        <v>776</v>
      </c>
      <c r="B2195">
        <v>1</v>
      </c>
      <c r="C2195">
        <v>28</v>
      </c>
      <c r="D2195" t="str">
        <f>VLOOKUP($C2195,products!$A$1:$F$322,MATCH(order_items!$D$1,products!$A$1:$F$1,0),FALSE)</f>
        <v>Surly Karate Monkey 27.5+ Frameset - 2017</v>
      </c>
      <c r="E2195">
        <f>VLOOKUP($C2195,products!$A$1:$F$322,MATCH(order_items!$E$1,products!$A$1:$F$1,0),FALSE)</f>
        <v>6</v>
      </c>
      <c r="F2195" t="str">
        <f>VLOOKUP($E2195,categories!$A$1:$B$8,MATCH(order_items!$F$1,categories!$A$1:$B$1,0),FALSE)</f>
        <v>Mountain Bikes</v>
      </c>
      <c r="G2195">
        <v>1</v>
      </c>
      <c r="H2195">
        <v>2499.9899999999998</v>
      </c>
      <c r="I2195" s="5">
        <v>0.2</v>
      </c>
      <c r="J2195">
        <f t="shared" si="68"/>
        <v>1999.992</v>
      </c>
      <c r="K2195" s="9">
        <f t="shared" si="69"/>
        <v>0.95167069437955054</v>
      </c>
    </row>
    <row r="2196" spans="1:11" x14ac:dyDescent="0.3">
      <c r="A2196">
        <v>776</v>
      </c>
      <c r="B2196">
        <v>2</v>
      </c>
      <c r="C2196">
        <v>42</v>
      </c>
      <c r="D2196" t="str">
        <f>VLOOKUP($C2196,products!$A$1:$F$322,MATCH(order_items!$D$1,products!$A$1:$F$1,0),FALSE)</f>
        <v>Trek Fuel EX 5 27.5 Plus - 2017</v>
      </c>
      <c r="E2196">
        <f>VLOOKUP($C2196,products!$A$1:$F$322,MATCH(order_items!$E$1,products!$A$1:$F$1,0),FALSE)</f>
        <v>6</v>
      </c>
      <c r="F2196" t="str">
        <f>VLOOKUP($E2196,categories!$A$1:$B$8,MATCH(order_items!$F$1,categories!$A$1:$B$1,0),FALSE)</f>
        <v>Mountain Bikes</v>
      </c>
      <c r="G2196">
        <v>2</v>
      </c>
      <c r="H2196">
        <v>2299.9899999999998</v>
      </c>
      <c r="I2196" s="5">
        <v>0.2</v>
      </c>
      <c r="J2196">
        <f t="shared" si="68"/>
        <v>3679.9839999999999</v>
      </c>
      <c r="K2196" s="9">
        <f t="shared" si="69"/>
        <v>0.80381333297731938</v>
      </c>
    </row>
    <row r="2197" spans="1:11" x14ac:dyDescent="0.3">
      <c r="A2197">
        <v>776</v>
      </c>
      <c r="B2197">
        <v>3</v>
      </c>
      <c r="C2197">
        <v>71</v>
      </c>
      <c r="D2197" t="str">
        <f>VLOOKUP($C2197,products!$A$1:$F$322,MATCH(order_items!$D$1,products!$A$1:$F$1,0),FALSE)</f>
        <v>Sun Bicycles Atlas X-Type - 2017</v>
      </c>
      <c r="E2197">
        <f>VLOOKUP($C2197,products!$A$1:$F$322,MATCH(order_items!$E$1,products!$A$1:$F$1,0),FALSE)</f>
        <v>3</v>
      </c>
      <c r="F2197" t="str">
        <f>VLOOKUP($E2197,categories!$A$1:$B$8,MATCH(order_items!$F$1,categories!$A$1:$B$1,0),FALSE)</f>
        <v>Cruisers Bicycles</v>
      </c>
      <c r="G2197">
        <v>1</v>
      </c>
      <c r="H2197">
        <v>416.99</v>
      </c>
      <c r="I2197" s="5">
        <v>0.1</v>
      </c>
      <c r="J2197">
        <f t="shared" si="68"/>
        <v>375.291</v>
      </c>
      <c r="K2197" s="9">
        <f t="shared" si="69"/>
        <v>-0.58826372462468679</v>
      </c>
    </row>
    <row r="2198" spans="1:11" x14ac:dyDescent="0.3">
      <c r="A2198">
        <v>776</v>
      </c>
      <c r="B2198">
        <v>4</v>
      </c>
      <c r="C2198">
        <v>35</v>
      </c>
      <c r="D2198" t="str">
        <f>VLOOKUP($C2198,products!$A$1:$F$322,MATCH(order_items!$D$1,products!$A$1:$F$1,0),FALSE)</f>
        <v>Sun Bicycles Spider 3i - 2017</v>
      </c>
      <c r="E2198">
        <f>VLOOKUP($C2198,products!$A$1:$F$322,MATCH(order_items!$E$1,products!$A$1:$F$1,0),FALSE)</f>
        <v>6</v>
      </c>
      <c r="F2198" t="str">
        <f>VLOOKUP($E2198,categories!$A$1:$B$8,MATCH(order_items!$F$1,categories!$A$1:$B$1,0),FALSE)</f>
        <v>Mountain Bikes</v>
      </c>
      <c r="G2198">
        <v>1</v>
      </c>
      <c r="H2198">
        <v>832.99</v>
      </c>
      <c r="I2198" s="5">
        <v>0.1</v>
      </c>
      <c r="J2198">
        <f t="shared" si="68"/>
        <v>749.69100000000003</v>
      </c>
      <c r="K2198" s="9">
        <f t="shared" si="69"/>
        <v>-0.280720412908046</v>
      </c>
    </row>
    <row r="2199" spans="1:11" x14ac:dyDescent="0.3">
      <c r="A2199">
        <v>777</v>
      </c>
      <c r="B2199">
        <v>1</v>
      </c>
      <c r="C2199">
        <v>5</v>
      </c>
      <c r="D2199" t="str">
        <f>VLOOKUP($C2199,products!$A$1:$F$322,MATCH(order_items!$D$1,products!$A$1:$F$1,0),FALSE)</f>
        <v>Heller Shagamaw Frame - 2016</v>
      </c>
      <c r="E2199">
        <f>VLOOKUP($C2199,products!$A$1:$F$322,MATCH(order_items!$E$1,products!$A$1:$F$1,0),FALSE)</f>
        <v>6</v>
      </c>
      <c r="F2199" t="str">
        <f>VLOOKUP($E2199,categories!$A$1:$B$8,MATCH(order_items!$F$1,categories!$A$1:$B$1,0),FALSE)</f>
        <v>Mountain Bikes</v>
      </c>
      <c r="G2199">
        <v>1</v>
      </c>
      <c r="H2199">
        <v>1320.99</v>
      </c>
      <c r="I2199" s="5">
        <v>0.2</v>
      </c>
      <c r="J2199">
        <f t="shared" si="68"/>
        <v>1056.7920000000001</v>
      </c>
      <c r="K2199" s="9">
        <f t="shared" si="69"/>
        <v>8.0051548913398024E-2</v>
      </c>
    </row>
    <row r="2200" spans="1:11" x14ac:dyDescent="0.3">
      <c r="A2200">
        <v>777</v>
      </c>
      <c r="B2200">
        <v>2</v>
      </c>
      <c r="C2200">
        <v>7</v>
      </c>
      <c r="D2200" t="str">
        <f>VLOOKUP($C2200,products!$A$1:$F$322,MATCH(order_items!$D$1,products!$A$1:$F$1,0),FALSE)</f>
        <v>Trek Slash 8 27.5 - 2016</v>
      </c>
      <c r="E2200">
        <f>VLOOKUP($C2200,products!$A$1:$F$322,MATCH(order_items!$E$1,products!$A$1:$F$1,0),FALSE)</f>
        <v>6</v>
      </c>
      <c r="F2200" t="str">
        <f>VLOOKUP($E2200,categories!$A$1:$B$8,MATCH(order_items!$F$1,categories!$A$1:$B$1,0),FALSE)</f>
        <v>Mountain Bikes</v>
      </c>
      <c r="G2200">
        <v>2</v>
      </c>
      <c r="H2200">
        <v>3999.99</v>
      </c>
      <c r="I2200" s="5">
        <v>0.2</v>
      </c>
      <c r="J2200">
        <f t="shared" si="68"/>
        <v>6399.9840000000004</v>
      </c>
      <c r="K2200" s="9">
        <f t="shared" si="69"/>
        <v>2.0606009048962846</v>
      </c>
    </row>
    <row r="2201" spans="1:11" x14ac:dyDescent="0.3">
      <c r="A2201">
        <v>777</v>
      </c>
      <c r="B2201">
        <v>3</v>
      </c>
      <c r="C2201">
        <v>2</v>
      </c>
      <c r="D2201" t="str">
        <f>VLOOKUP($C2201,products!$A$1:$F$322,MATCH(order_items!$D$1,products!$A$1:$F$1,0),FALSE)</f>
        <v>Ritchey Timberwolf Frameset - 2016</v>
      </c>
      <c r="E2201">
        <f>VLOOKUP($C2201,products!$A$1:$F$322,MATCH(order_items!$E$1,products!$A$1:$F$1,0),FALSE)</f>
        <v>6</v>
      </c>
      <c r="F2201" t="str">
        <f>VLOOKUP($E2201,categories!$A$1:$B$8,MATCH(order_items!$F$1,categories!$A$1:$B$1,0),FALSE)</f>
        <v>Mountain Bikes</v>
      </c>
      <c r="G2201">
        <v>1</v>
      </c>
      <c r="H2201">
        <v>749.99</v>
      </c>
      <c r="I2201" s="5">
        <v>0.2</v>
      </c>
      <c r="J2201">
        <f t="shared" si="68"/>
        <v>599.99200000000008</v>
      </c>
      <c r="K2201" s="9">
        <f t="shared" si="69"/>
        <v>-0.34208121788997192</v>
      </c>
    </row>
    <row r="2202" spans="1:11" x14ac:dyDescent="0.3">
      <c r="A2202">
        <v>778</v>
      </c>
      <c r="B2202">
        <v>1</v>
      </c>
      <c r="C2202">
        <v>64</v>
      </c>
      <c r="D2202" t="str">
        <f>VLOOKUP($C2202,products!$A$1:$F$322,MATCH(order_items!$D$1,products!$A$1:$F$1,0),FALSE)</f>
        <v>Electra Townie Original 7D - 2017</v>
      </c>
      <c r="E2202">
        <f>VLOOKUP($C2202,products!$A$1:$F$322,MATCH(order_items!$E$1,products!$A$1:$F$1,0),FALSE)</f>
        <v>3</v>
      </c>
      <c r="F2202" t="str">
        <f>VLOOKUP($E2202,categories!$A$1:$B$8,MATCH(order_items!$F$1,categories!$A$1:$B$1,0),FALSE)</f>
        <v>Cruisers Bicycles</v>
      </c>
      <c r="G2202">
        <v>1</v>
      </c>
      <c r="H2202">
        <v>489.99</v>
      </c>
      <c r="I2202" s="5">
        <v>0.1</v>
      </c>
      <c r="J2202">
        <f t="shared" si="68"/>
        <v>440.99100000000004</v>
      </c>
      <c r="K2202" s="9">
        <f t="shared" si="69"/>
        <v>-0.53429578771287245</v>
      </c>
    </row>
    <row r="2203" spans="1:11" x14ac:dyDescent="0.3">
      <c r="A2203">
        <v>778</v>
      </c>
      <c r="B2203">
        <v>2</v>
      </c>
      <c r="C2203">
        <v>85</v>
      </c>
      <c r="D2203" t="str">
        <f>VLOOKUP($C2203,products!$A$1:$F$322,MATCH(order_items!$D$1,products!$A$1:$F$1,0),FALSE)</f>
        <v>Haro Downtown 16 - 2017</v>
      </c>
      <c r="E2203">
        <f>VLOOKUP($C2203,products!$A$1:$F$322,MATCH(order_items!$E$1,products!$A$1:$F$1,0),FALSE)</f>
        <v>1</v>
      </c>
      <c r="F2203" t="str">
        <f>VLOOKUP($E2203,categories!$A$1:$B$8,MATCH(order_items!$F$1,categories!$A$1:$B$1,0),FALSE)</f>
        <v>Children Bicycles</v>
      </c>
      <c r="G2203">
        <v>1</v>
      </c>
      <c r="H2203">
        <v>329.99</v>
      </c>
      <c r="I2203" s="5">
        <v>0.05</v>
      </c>
      <c r="J2203">
        <f t="shared" si="68"/>
        <v>313.4905</v>
      </c>
      <c r="K2203" s="9">
        <f t="shared" si="69"/>
        <v>-0.6525816768346574</v>
      </c>
    </row>
    <row r="2204" spans="1:11" x14ac:dyDescent="0.3">
      <c r="A2204">
        <v>779</v>
      </c>
      <c r="B2204">
        <v>1</v>
      </c>
      <c r="C2204">
        <v>101</v>
      </c>
      <c r="D2204" t="str">
        <f>VLOOKUP($C2204,products!$A$1:$F$322,MATCH(order_items!$D$1,products!$A$1:$F$1,0),FALSE)</f>
        <v>Electra Townie 7D (20-inch) - Boys' - 2017</v>
      </c>
      <c r="E2204">
        <f>VLOOKUP($C2204,products!$A$1:$F$322,MATCH(order_items!$E$1,products!$A$1:$F$1,0),FALSE)</f>
        <v>1</v>
      </c>
      <c r="F2204" t="str">
        <f>VLOOKUP($E2204,categories!$A$1:$B$8,MATCH(order_items!$F$1,categories!$A$1:$B$1,0),FALSE)</f>
        <v>Children Bicycles</v>
      </c>
      <c r="G2204">
        <v>1</v>
      </c>
      <c r="H2204">
        <v>339.99</v>
      </c>
      <c r="I2204" s="5">
        <v>0.05</v>
      </c>
      <c r="J2204">
        <f t="shared" si="68"/>
        <v>322.9905</v>
      </c>
      <c r="K2204" s="9">
        <f t="shared" si="69"/>
        <v>-0.64518880876454576</v>
      </c>
    </row>
    <row r="2205" spans="1:11" x14ac:dyDescent="0.3">
      <c r="A2205">
        <v>779</v>
      </c>
      <c r="B2205">
        <v>2</v>
      </c>
      <c r="C2205">
        <v>90</v>
      </c>
      <c r="D2205" t="str">
        <f>VLOOKUP($C2205,products!$A$1:$F$322,MATCH(order_items!$D$1,products!$A$1:$F$1,0),FALSE)</f>
        <v>Trek Precaliber 16 Girls - 2017</v>
      </c>
      <c r="E2205">
        <f>VLOOKUP($C2205,products!$A$1:$F$322,MATCH(order_items!$E$1,products!$A$1:$F$1,0),FALSE)</f>
        <v>1</v>
      </c>
      <c r="F2205" t="str">
        <f>VLOOKUP($E2205,categories!$A$1:$B$8,MATCH(order_items!$F$1,categories!$A$1:$B$1,0),FALSE)</f>
        <v>Children Bicycles</v>
      </c>
      <c r="G2205">
        <v>2</v>
      </c>
      <c r="H2205">
        <v>209.99</v>
      </c>
      <c r="I2205" s="5">
        <v>0.2</v>
      </c>
      <c r="J2205">
        <f t="shared" si="68"/>
        <v>335.98400000000004</v>
      </c>
      <c r="K2205" s="9">
        <f t="shared" si="69"/>
        <v>-0.74129609367599603</v>
      </c>
    </row>
    <row r="2206" spans="1:11" x14ac:dyDescent="0.3">
      <c r="A2206">
        <v>779</v>
      </c>
      <c r="B2206">
        <v>3</v>
      </c>
      <c r="C2206">
        <v>47</v>
      </c>
      <c r="D2206" t="str">
        <f>VLOOKUP($C2206,products!$A$1:$F$322,MATCH(order_items!$D$1,products!$A$1:$F$1,0),FALSE)</f>
        <v>Trek Remedy 9.8 - 2017</v>
      </c>
      <c r="E2206">
        <f>VLOOKUP($C2206,products!$A$1:$F$322,MATCH(order_items!$E$1,products!$A$1:$F$1,0),FALSE)</f>
        <v>6</v>
      </c>
      <c r="F2206" t="str">
        <f>VLOOKUP($E2206,categories!$A$1:$B$8,MATCH(order_items!$F$1,categories!$A$1:$B$1,0),FALSE)</f>
        <v>Mountain Bikes</v>
      </c>
      <c r="G2206">
        <v>1</v>
      </c>
      <c r="H2206">
        <v>5299.99</v>
      </c>
      <c r="I2206" s="5">
        <v>0.2</v>
      </c>
      <c r="J2206">
        <f t="shared" si="68"/>
        <v>4239.9920000000002</v>
      </c>
      <c r="K2206" s="9">
        <f t="shared" si="69"/>
        <v>3.021673754010787</v>
      </c>
    </row>
    <row r="2207" spans="1:11" x14ac:dyDescent="0.3">
      <c r="A2207">
        <v>779</v>
      </c>
      <c r="B2207">
        <v>4</v>
      </c>
      <c r="C2207">
        <v>8</v>
      </c>
      <c r="D2207" t="str">
        <f>VLOOKUP($C2207,products!$A$1:$F$322,MATCH(order_items!$D$1,products!$A$1:$F$1,0),FALSE)</f>
        <v>Trek Remedy 29 Carbon Frameset - 2016</v>
      </c>
      <c r="E2207">
        <f>VLOOKUP($C2207,products!$A$1:$F$322,MATCH(order_items!$E$1,products!$A$1:$F$1,0),FALSE)</f>
        <v>6</v>
      </c>
      <c r="F2207" t="str">
        <f>VLOOKUP($E2207,categories!$A$1:$B$8,MATCH(order_items!$F$1,categories!$A$1:$B$1,0),FALSE)</f>
        <v>Mountain Bikes</v>
      </c>
      <c r="G2207">
        <v>1</v>
      </c>
      <c r="H2207">
        <v>1799.99</v>
      </c>
      <c r="I2207" s="5">
        <v>0.2</v>
      </c>
      <c r="J2207">
        <f t="shared" si="68"/>
        <v>1439.9920000000002</v>
      </c>
      <c r="K2207" s="9">
        <f t="shared" si="69"/>
        <v>0.43416992947174166</v>
      </c>
    </row>
    <row r="2208" spans="1:11" x14ac:dyDescent="0.3">
      <c r="A2208">
        <v>779</v>
      </c>
      <c r="B2208">
        <v>5</v>
      </c>
      <c r="C2208">
        <v>85</v>
      </c>
      <c r="D2208" t="str">
        <f>VLOOKUP($C2208,products!$A$1:$F$322,MATCH(order_items!$D$1,products!$A$1:$F$1,0),FALSE)</f>
        <v>Haro Downtown 16 - 2017</v>
      </c>
      <c r="E2208">
        <f>VLOOKUP($C2208,products!$A$1:$F$322,MATCH(order_items!$E$1,products!$A$1:$F$1,0),FALSE)</f>
        <v>1</v>
      </c>
      <c r="F2208" t="str">
        <f>VLOOKUP($E2208,categories!$A$1:$B$8,MATCH(order_items!$F$1,categories!$A$1:$B$1,0),FALSE)</f>
        <v>Children Bicycles</v>
      </c>
      <c r="G2208">
        <v>1</v>
      </c>
      <c r="H2208">
        <v>329.99</v>
      </c>
      <c r="I2208" s="5">
        <v>0.2</v>
      </c>
      <c r="J2208">
        <f t="shared" si="68"/>
        <v>263.99200000000002</v>
      </c>
      <c r="K2208" s="9">
        <f t="shared" si="69"/>
        <v>-0.6525816768346574</v>
      </c>
    </row>
    <row r="2209" spans="1:11" x14ac:dyDescent="0.3">
      <c r="A2209">
        <v>780</v>
      </c>
      <c r="B2209">
        <v>1</v>
      </c>
      <c r="C2209">
        <v>32</v>
      </c>
      <c r="D2209" t="str">
        <f>VLOOKUP($C2209,products!$A$1:$F$322,MATCH(order_items!$D$1,products!$A$1:$F$1,0),FALSE)</f>
        <v>Trek Farley Alloy Frameset - 2017</v>
      </c>
      <c r="E2209">
        <f>VLOOKUP($C2209,products!$A$1:$F$322,MATCH(order_items!$E$1,products!$A$1:$F$1,0),FALSE)</f>
        <v>6</v>
      </c>
      <c r="F2209" t="str">
        <f>VLOOKUP($E2209,categories!$A$1:$B$8,MATCH(order_items!$F$1,categories!$A$1:$B$1,0),FALSE)</f>
        <v>Mountain Bikes</v>
      </c>
      <c r="G2209">
        <v>1</v>
      </c>
      <c r="H2209">
        <v>469.99</v>
      </c>
      <c r="I2209" s="5">
        <v>0.1</v>
      </c>
      <c r="J2209">
        <f t="shared" si="68"/>
        <v>422.99100000000004</v>
      </c>
      <c r="K2209" s="9">
        <f t="shared" si="69"/>
        <v>-0.5490815238530955</v>
      </c>
    </row>
    <row r="2210" spans="1:11" x14ac:dyDescent="0.3">
      <c r="A2210">
        <v>781</v>
      </c>
      <c r="B2210">
        <v>1</v>
      </c>
      <c r="C2210">
        <v>109</v>
      </c>
      <c r="D2210" t="str">
        <f>VLOOKUP($C2210,products!$A$1:$F$322,MATCH(order_items!$D$1,products!$A$1:$F$1,0),FALSE)</f>
        <v>Sun Bicycles Cruz 7 - Women's - 2017</v>
      </c>
      <c r="E2210">
        <f>VLOOKUP($C2210,products!$A$1:$F$322,MATCH(order_items!$E$1,products!$A$1:$F$1,0),FALSE)</f>
        <v>2</v>
      </c>
      <c r="F2210" t="str">
        <f>VLOOKUP($E2210,categories!$A$1:$B$8,MATCH(order_items!$F$1,categories!$A$1:$B$1,0),FALSE)</f>
        <v>Comfort Bicycles</v>
      </c>
      <c r="G2210">
        <v>2</v>
      </c>
      <c r="H2210">
        <v>416.99</v>
      </c>
      <c r="I2210" s="5">
        <v>0.05</v>
      </c>
      <c r="J2210">
        <f t="shared" si="68"/>
        <v>792.28099999999995</v>
      </c>
      <c r="K2210" s="9">
        <f t="shared" si="69"/>
        <v>-0.58826372462468679</v>
      </c>
    </row>
    <row r="2211" spans="1:11" x14ac:dyDescent="0.3">
      <c r="A2211">
        <v>781</v>
      </c>
      <c r="B2211">
        <v>2</v>
      </c>
      <c r="C2211">
        <v>7</v>
      </c>
      <c r="D2211" t="str">
        <f>VLOOKUP($C2211,products!$A$1:$F$322,MATCH(order_items!$D$1,products!$A$1:$F$1,0),FALSE)</f>
        <v>Trek Slash 8 27.5 - 2016</v>
      </c>
      <c r="E2211">
        <f>VLOOKUP($C2211,products!$A$1:$F$322,MATCH(order_items!$E$1,products!$A$1:$F$1,0),FALSE)</f>
        <v>6</v>
      </c>
      <c r="F2211" t="str">
        <f>VLOOKUP($E2211,categories!$A$1:$B$8,MATCH(order_items!$F$1,categories!$A$1:$B$1,0),FALSE)</f>
        <v>Mountain Bikes</v>
      </c>
      <c r="G2211">
        <v>2</v>
      </c>
      <c r="H2211">
        <v>3999.99</v>
      </c>
      <c r="I2211" s="5">
        <v>0.2</v>
      </c>
      <c r="J2211">
        <f t="shared" si="68"/>
        <v>6399.9840000000004</v>
      </c>
      <c r="K2211" s="9">
        <f t="shared" si="69"/>
        <v>2.0606009048962846</v>
      </c>
    </row>
    <row r="2212" spans="1:11" x14ac:dyDescent="0.3">
      <c r="A2212">
        <v>781</v>
      </c>
      <c r="B2212">
        <v>3</v>
      </c>
      <c r="C2212">
        <v>57</v>
      </c>
      <c r="D2212" t="str">
        <f>VLOOKUP($C2212,products!$A$1:$F$322,MATCH(order_items!$D$1,products!$A$1:$F$1,0),FALSE)</f>
        <v>Trek Emonda S 5 - 2017</v>
      </c>
      <c r="E2212">
        <f>VLOOKUP($C2212,products!$A$1:$F$322,MATCH(order_items!$E$1,products!$A$1:$F$1,0),FALSE)</f>
        <v>7</v>
      </c>
      <c r="F2212" t="str">
        <f>VLOOKUP($E2212,categories!$A$1:$B$8,MATCH(order_items!$F$1,categories!$A$1:$B$1,0),FALSE)</f>
        <v>Road Bikes</v>
      </c>
      <c r="G2212">
        <v>2</v>
      </c>
      <c r="H2212">
        <v>1999.99</v>
      </c>
      <c r="I2212" s="5">
        <v>0.1</v>
      </c>
      <c r="J2212">
        <f t="shared" si="68"/>
        <v>3599.982</v>
      </c>
      <c r="K2212" s="9">
        <f t="shared" si="69"/>
        <v>0.58202729087397276</v>
      </c>
    </row>
    <row r="2213" spans="1:11" x14ac:dyDescent="0.3">
      <c r="A2213">
        <v>782</v>
      </c>
      <c r="B2213">
        <v>1</v>
      </c>
      <c r="C2213">
        <v>20</v>
      </c>
      <c r="D2213" t="str">
        <f>VLOOKUP($C2213,products!$A$1:$F$322,MATCH(order_items!$D$1,products!$A$1:$F$1,0),FALSE)</f>
        <v>Electra Townie Original 7D EQ - Women's - 2016</v>
      </c>
      <c r="E2213">
        <f>VLOOKUP($C2213,products!$A$1:$F$322,MATCH(order_items!$E$1,products!$A$1:$F$1,0),FALSE)</f>
        <v>3</v>
      </c>
      <c r="F2213" t="str">
        <f>VLOOKUP($E2213,categories!$A$1:$B$8,MATCH(order_items!$F$1,categories!$A$1:$B$1,0),FALSE)</f>
        <v>Cruisers Bicycles</v>
      </c>
      <c r="G2213">
        <v>2</v>
      </c>
      <c r="H2213">
        <v>599.99</v>
      </c>
      <c r="I2213" s="5">
        <v>7.0000000000000007E-2</v>
      </c>
      <c r="J2213">
        <f t="shared" si="68"/>
        <v>1115.9813999999999</v>
      </c>
      <c r="K2213" s="9">
        <f t="shared" si="69"/>
        <v>-0.45297423894164529</v>
      </c>
    </row>
    <row r="2214" spans="1:11" x14ac:dyDescent="0.3">
      <c r="A2214">
        <v>782</v>
      </c>
      <c r="B2214">
        <v>2</v>
      </c>
      <c r="C2214">
        <v>57</v>
      </c>
      <c r="D2214" t="str">
        <f>VLOOKUP($C2214,products!$A$1:$F$322,MATCH(order_items!$D$1,products!$A$1:$F$1,0),FALSE)</f>
        <v>Trek Emonda S 5 - 2017</v>
      </c>
      <c r="E2214">
        <f>VLOOKUP($C2214,products!$A$1:$F$322,MATCH(order_items!$E$1,products!$A$1:$F$1,0),FALSE)</f>
        <v>7</v>
      </c>
      <c r="F2214" t="str">
        <f>VLOOKUP($E2214,categories!$A$1:$B$8,MATCH(order_items!$F$1,categories!$A$1:$B$1,0),FALSE)</f>
        <v>Road Bikes</v>
      </c>
      <c r="G2214">
        <v>1</v>
      </c>
      <c r="H2214">
        <v>1999.99</v>
      </c>
      <c r="I2214" s="5">
        <v>7.0000000000000007E-2</v>
      </c>
      <c r="J2214">
        <f t="shared" si="68"/>
        <v>1859.9906999999998</v>
      </c>
      <c r="K2214" s="9">
        <f t="shared" si="69"/>
        <v>0.58202729087397276</v>
      </c>
    </row>
    <row r="2215" spans="1:11" x14ac:dyDescent="0.3">
      <c r="A2215">
        <v>782</v>
      </c>
      <c r="B2215">
        <v>3</v>
      </c>
      <c r="C2215">
        <v>99</v>
      </c>
      <c r="D2215" t="str">
        <f>VLOOKUP($C2215,products!$A$1:$F$322,MATCH(order_items!$D$1,products!$A$1:$F$1,0),FALSE)</f>
        <v>Electra Sugar Skulls 1 (20-inch) - Girl's - 2017</v>
      </c>
      <c r="E2215">
        <f>VLOOKUP($C2215,products!$A$1:$F$322,MATCH(order_items!$E$1,products!$A$1:$F$1,0),FALSE)</f>
        <v>1</v>
      </c>
      <c r="F2215" t="str">
        <f>VLOOKUP($E2215,categories!$A$1:$B$8,MATCH(order_items!$F$1,categories!$A$1:$B$1,0),FALSE)</f>
        <v>Children Bicycles</v>
      </c>
      <c r="G2215">
        <v>1</v>
      </c>
      <c r="H2215">
        <v>299.99</v>
      </c>
      <c r="I2215" s="5">
        <v>7.0000000000000007E-2</v>
      </c>
      <c r="J2215">
        <f t="shared" si="68"/>
        <v>278.9907</v>
      </c>
      <c r="K2215" s="9">
        <f t="shared" si="69"/>
        <v>-0.67476028104499197</v>
      </c>
    </row>
    <row r="2216" spans="1:11" x14ac:dyDescent="0.3">
      <c r="A2216">
        <v>782</v>
      </c>
      <c r="B2216">
        <v>4</v>
      </c>
      <c r="C2216">
        <v>16</v>
      </c>
      <c r="D2216" t="str">
        <f>VLOOKUP($C2216,products!$A$1:$F$322,MATCH(order_items!$D$1,products!$A$1:$F$1,0),FALSE)</f>
        <v>Electra Townie Original 7D EQ - 2016</v>
      </c>
      <c r="E2216">
        <f>VLOOKUP($C2216,products!$A$1:$F$322,MATCH(order_items!$E$1,products!$A$1:$F$1,0),FALSE)</f>
        <v>3</v>
      </c>
      <c r="F2216" t="str">
        <f>VLOOKUP($E2216,categories!$A$1:$B$8,MATCH(order_items!$F$1,categories!$A$1:$B$1,0),FALSE)</f>
        <v>Cruisers Bicycles</v>
      </c>
      <c r="G2216">
        <v>2</v>
      </c>
      <c r="H2216">
        <v>599.99</v>
      </c>
      <c r="I2216" s="5">
        <v>0.2</v>
      </c>
      <c r="J2216">
        <f t="shared" si="68"/>
        <v>959.98400000000004</v>
      </c>
      <c r="K2216" s="9">
        <f t="shared" si="69"/>
        <v>-0.45297423894164529</v>
      </c>
    </row>
    <row r="2217" spans="1:11" x14ac:dyDescent="0.3">
      <c r="A2217">
        <v>783</v>
      </c>
      <c r="B2217">
        <v>1</v>
      </c>
      <c r="C2217">
        <v>92</v>
      </c>
      <c r="D2217" t="str">
        <f>VLOOKUP($C2217,products!$A$1:$F$322,MATCH(order_items!$D$1,products!$A$1:$F$1,0),FALSE)</f>
        <v>Haro Shredder 20 - 2017</v>
      </c>
      <c r="E2217">
        <f>VLOOKUP($C2217,products!$A$1:$F$322,MATCH(order_items!$E$1,products!$A$1:$F$1,0),FALSE)</f>
        <v>1</v>
      </c>
      <c r="F2217" t="str">
        <f>VLOOKUP($E2217,categories!$A$1:$B$8,MATCH(order_items!$F$1,categories!$A$1:$B$1,0),FALSE)</f>
        <v>Children Bicycles</v>
      </c>
      <c r="G2217">
        <v>1</v>
      </c>
      <c r="H2217">
        <v>209.99</v>
      </c>
      <c r="I2217" s="5">
        <v>0.2</v>
      </c>
      <c r="J2217">
        <f t="shared" si="68"/>
        <v>167.99200000000002</v>
      </c>
      <c r="K2217" s="9">
        <f t="shared" si="69"/>
        <v>-0.74129609367599603</v>
      </c>
    </row>
    <row r="2218" spans="1:11" x14ac:dyDescent="0.3">
      <c r="A2218">
        <v>783</v>
      </c>
      <c r="B2218">
        <v>2</v>
      </c>
      <c r="C2218">
        <v>22</v>
      </c>
      <c r="D2218" t="str">
        <f>VLOOKUP($C2218,products!$A$1:$F$322,MATCH(order_items!$D$1,products!$A$1:$F$1,0),FALSE)</f>
        <v>Electra Girl's Hawaii 1 (16-inch) - 2015/2016</v>
      </c>
      <c r="E2218">
        <f>VLOOKUP($C2218,products!$A$1:$F$322,MATCH(order_items!$E$1,products!$A$1:$F$1,0),FALSE)</f>
        <v>1</v>
      </c>
      <c r="F2218" t="str">
        <f>VLOOKUP($E2218,categories!$A$1:$B$8,MATCH(order_items!$F$1,categories!$A$1:$B$1,0),FALSE)</f>
        <v>Children Bicycles</v>
      </c>
      <c r="G2218">
        <v>2</v>
      </c>
      <c r="H2218">
        <v>269.99</v>
      </c>
      <c r="I2218" s="5">
        <v>0.05</v>
      </c>
      <c r="J2218">
        <f t="shared" si="68"/>
        <v>512.98099999999999</v>
      </c>
      <c r="K2218" s="9">
        <f t="shared" si="69"/>
        <v>-0.69693888525532666</v>
      </c>
    </row>
    <row r="2219" spans="1:11" x14ac:dyDescent="0.3">
      <c r="A2219">
        <v>783</v>
      </c>
      <c r="B2219">
        <v>3</v>
      </c>
      <c r="C2219">
        <v>94</v>
      </c>
      <c r="D2219" t="str">
        <f>VLOOKUP($C2219,products!$A$1:$F$322,MATCH(order_items!$D$1,products!$A$1:$F$1,0),FALSE)</f>
        <v>Haro Shredder Pro 20 - 2017</v>
      </c>
      <c r="E2219">
        <f>VLOOKUP($C2219,products!$A$1:$F$322,MATCH(order_items!$E$1,products!$A$1:$F$1,0),FALSE)</f>
        <v>1</v>
      </c>
      <c r="F2219" t="str">
        <f>VLOOKUP($E2219,categories!$A$1:$B$8,MATCH(order_items!$F$1,categories!$A$1:$B$1,0),FALSE)</f>
        <v>Children Bicycles</v>
      </c>
      <c r="G2219">
        <v>1</v>
      </c>
      <c r="H2219">
        <v>249.99</v>
      </c>
      <c r="I2219" s="5">
        <v>0.05</v>
      </c>
      <c r="J2219">
        <f t="shared" si="68"/>
        <v>237.4905</v>
      </c>
      <c r="K2219" s="9">
        <f t="shared" si="69"/>
        <v>-0.71172462139554982</v>
      </c>
    </row>
    <row r="2220" spans="1:11" x14ac:dyDescent="0.3">
      <c r="A2220">
        <v>783</v>
      </c>
      <c r="B2220">
        <v>4</v>
      </c>
      <c r="C2220">
        <v>29</v>
      </c>
      <c r="D2220" t="str">
        <f>VLOOKUP($C2220,products!$A$1:$F$322,MATCH(order_items!$D$1,products!$A$1:$F$1,0),FALSE)</f>
        <v>Trek X-Caliber 8 - 2017</v>
      </c>
      <c r="E2220">
        <f>VLOOKUP($C2220,products!$A$1:$F$322,MATCH(order_items!$E$1,products!$A$1:$F$1,0),FALSE)</f>
        <v>6</v>
      </c>
      <c r="F2220" t="str">
        <f>VLOOKUP($E2220,categories!$A$1:$B$8,MATCH(order_items!$F$1,categories!$A$1:$B$1,0),FALSE)</f>
        <v>Mountain Bikes</v>
      </c>
      <c r="G2220">
        <v>1</v>
      </c>
      <c r="H2220">
        <v>999.99</v>
      </c>
      <c r="I2220" s="5">
        <v>0.1</v>
      </c>
      <c r="J2220">
        <f t="shared" si="68"/>
        <v>899.99099999999999</v>
      </c>
      <c r="K2220" s="9">
        <f t="shared" si="69"/>
        <v>-0.15725951613718298</v>
      </c>
    </row>
    <row r="2221" spans="1:11" x14ac:dyDescent="0.3">
      <c r="A2221">
        <v>784</v>
      </c>
      <c r="B2221">
        <v>1</v>
      </c>
      <c r="C2221">
        <v>22</v>
      </c>
      <c r="D2221" t="str">
        <f>VLOOKUP($C2221,products!$A$1:$F$322,MATCH(order_items!$D$1,products!$A$1:$F$1,0),FALSE)</f>
        <v>Electra Girl's Hawaii 1 (16-inch) - 2015/2016</v>
      </c>
      <c r="E2221">
        <f>VLOOKUP($C2221,products!$A$1:$F$322,MATCH(order_items!$E$1,products!$A$1:$F$1,0),FALSE)</f>
        <v>1</v>
      </c>
      <c r="F2221" t="str">
        <f>VLOOKUP($E2221,categories!$A$1:$B$8,MATCH(order_items!$F$1,categories!$A$1:$B$1,0),FALSE)</f>
        <v>Children Bicycles</v>
      </c>
      <c r="G2221">
        <v>1</v>
      </c>
      <c r="H2221">
        <v>269.99</v>
      </c>
      <c r="I2221" s="5">
        <v>7.0000000000000007E-2</v>
      </c>
      <c r="J2221">
        <f t="shared" si="68"/>
        <v>251.0907</v>
      </c>
      <c r="K2221" s="9">
        <f t="shared" si="69"/>
        <v>-0.69693888525532666</v>
      </c>
    </row>
    <row r="2222" spans="1:11" x14ac:dyDescent="0.3">
      <c r="A2222">
        <v>784</v>
      </c>
      <c r="B2222">
        <v>2</v>
      </c>
      <c r="C2222">
        <v>72</v>
      </c>
      <c r="D2222" t="str">
        <f>VLOOKUP($C2222,products!$A$1:$F$322,MATCH(order_items!$D$1,products!$A$1:$F$1,0),FALSE)</f>
        <v>Sun Bicycles Biscayne Tandem 7 - 2017</v>
      </c>
      <c r="E2222">
        <f>VLOOKUP($C2222,products!$A$1:$F$322,MATCH(order_items!$E$1,products!$A$1:$F$1,0),FALSE)</f>
        <v>3</v>
      </c>
      <c r="F2222" t="str">
        <f>VLOOKUP($E2222,categories!$A$1:$B$8,MATCH(order_items!$F$1,categories!$A$1:$B$1,0),FALSE)</f>
        <v>Cruisers Bicycles</v>
      </c>
      <c r="G2222">
        <v>2</v>
      </c>
      <c r="H2222">
        <v>619.99</v>
      </c>
      <c r="I2222" s="5">
        <v>0.1</v>
      </c>
      <c r="J2222">
        <f t="shared" si="68"/>
        <v>1115.982</v>
      </c>
      <c r="K2222" s="9">
        <f t="shared" si="69"/>
        <v>-0.43818850280142219</v>
      </c>
    </row>
    <row r="2223" spans="1:11" x14ac:dyDescent="0.3">
      <c r="A2223">
        <v>784</v>
      </c>
      <c r="B2223">
        <v>3</v>
      </c>
      <c r="C2223">
        <v>16</v>
      </c>
      <c r="D2223" t="str">
        <f>VLOOKUP($C2223,products!$A$1:$F$322,MATCH(order_items!$D$1,products!$A$1:$F$1,0),FALSE)</f>
        <v>Electra Townie Original 7D EQ - 2016</v>
      </c>
      <c r="E2223">
        <f>VLOOKUP($C2223,products!$A$1:$F$322,MATCH(order_items!$E$1,products!$A$1:$F$1,0),FALSE)</f>
        <v>3</v>
      </c>
      <c r="F2223" t="str">
        <f>VLOOKUP($E2223,categories!$A$1:$B$8,MATCH(order_items!$F$1,categories!$A$1:$B$1,0),FALSE)</f>
        <v>Cruisers Bicycles</v>
      </c>
      <c r="G2223">
        <v>1</v>
      </c>
      <c r="H2223">
        <v>599.99</v>
      </c>
      <c r="I2223" s="5">
        <v>0.2</v>
      </c>
      <c r="J2223">
        <f t="shared" si="68"/>
        <v>479.99200000000002</v>
      </c>
      <c r="K2223" s="9">
        <f t="shared" si="69"/>
        <v>-0.45297423894164529</v>
      </c>
    </row>
    <row r="2224" spans="1:11" x14ac:dyDescent="0.3">
      <c r="A2224">
        <v>785</v>
      </c>
      <c r="B2224">
        <v>1</v>
      </c>
      <c r="C2224">
        <v>59</v>
      </c>
      <c r="D2224" t="str">
        <f>VLOOKUP($C2224,products!$A$1:$F$322,MATCH(order_items!$D$1,products!$A$1:$F$1,0),FALSE)</f>
        <v>Trek Domane S 5 Disc - 2017</v>
      </c>
      <c r="E2224">
        <f>VLOOKUP($C2224,products!$A$1:$F$322,MATCH(order_items!$E$1,products!$A$1:$F$1,0),FALSE)</f>
        <v>7</v>
      </c>
      <c r="F2224" t="str">
        <f>VLOOKUP($E2224,categories!$A$1:$B$8,MATCH(order_items!$F$1,categories!$A$1:$B$1,0),FALSE)</f>
        <v>Road Bikes</v>
      </c>
      <c r="G2224">
        <v>2</v>
      </c>
      <c r="H2224">
        <v>2599.9899999999998</v>
      </c>
      <c r="I2224" s="5">
        <v>0.2</v>
      </c>
      <c r="J2224">
        <f t="shared" si="68"/>
        <v>4159.9839999999995</v>
      </c>
      <c r="K2224" s="9">
        <f t="shared" si="69"/>
        <v>1.025599375080666</v>
      </c>
    </row>
    <row r="2225" spans="1:11" x14ac:dyDescent="0.3">
      <c r="A2225">
        <v>785</v>
      </c>
      <c r="B2225">
        <v>2</v>
      </c>
      <c r="C2225">
        <v>40</v>
      </c>
      <c r="D2225" t="str">
        <f>VLOOKUP($C2225,products!$A$1:$F$322,MATCH(order_items!$D$1,products!$A$1:$F$1,0),FALSE)</f>
        <v>Trek Fuel EX 9.8 29 - 2017</v>
      </c>
      <c r="E2225">
        <f>VLOOKUP($C2225,products!$A$1:$F$322,MATCH(order_items!$E$1,products!$A$1:$F$1,0),FALSE)</f>
        <v>6</v>
      </c>
      <c r="F2225" t="str">
        <f>VLOOKUP($E2225,categories!$A$1:$B$8,MATCH(order_items!$F$1,categories!$A$1:$B$1,0),FALSE)</f>
        <v>Mountain Bikes</v>
      </c>
      <c r="G2225">
        <v>1</v>
      </c>
      <c r="H2225">
        <v>4999.99</v>
      </c>
      <c r="I2225" s="5">
        <v>7.0000000000000007E-2</v>
      </c>
      <c r="J2225">
        <f t="shared" si="68"/>
        <v>4649.9906999999994</v>
      </c>
      <c r="K2225" s="9">
        <f t="shared" si="69"/>
        <v>2.7998877119074401</v>
      </c>
    </row>
    <row r="2226" spans="1:11" x14ac:dyDescent="0.3">
      <c r="A2226">
        <v>785</v>
      </c>
      <c r="B2226">
        <v>3</v>
      </c>
      <c r="C2226">
        <v>25</v>
      </c>
      <c r="D2226" t="str">
        <f>VLOOKUP($C2226,products!$A$1:$F$322,MATCH(order_items!$D$1,products!$A$1:$F$1,0),FALSE)</f>
        <v>Electra Townie Original 7D - 2015/2016</v>
      </c>
      <c r="E2226">
        <f>VLOOKUP($C2226,products!$A$1:$F$322,MATCH(order_items!$E$1,products!$A$1:$F$1,0),FALSE)</f>
        <v>2</v>
      </c>
      <c r="F2226" t="str">
        <f>VLOOKUP($E2226,categories!$A$1:$B$8,MATCH(order_items!$F$1,categories!$A$1:$B$1,0),FALSE)</f>
        <v>Comfort Bicycles</v>
      </c>
      <c r="G2226">
        <v>1</v>
      </c>
      <c r="H2226">
        <v>499.99</v>
      </c>
      <c r="I2226" s="5">
        <v>7.0000000000000007E-2</v>
      </c>
      <c r="J2226">
        <f t="shared" si="68"/>
        <v>464.9907</v>
      </c>
      <c r="K2226" s="9">
        <f t="shared" si="69"/>
        <v>-0.52690291964276081</v>
      </c>
    </row>
    <row r="2227" spans="1:11" x14ac:dyDescent="0.3">
      <c r="A2227">
        <v>786</v>
      </c>
      <c r="B2227">
        <v>1</v>
      </c>
      <c r="C2227">
        <v>80</v>
      </c>
      <c r="D2227" t="str">
        <f>VLOOKUP($C2227,products!$A$1:$F$322,MATCH(order_items!$D$1,products!$A$1:$F$1,0),FALSE)</f>
        <v>Sun Bicycles Brickell Tandem CB - 2017</v>
      </c>
      <c r="E2227">
        <f>VLOOKUP($C2227,products!$A$1:$F$322,MATCH(order_items!$E$1,products!$A$1:$F$1,0),FALSE)</f>
        <v>3</v>
      </c>
      <c r="F2227" t="str">
        <f>VLOOKUP($E2227,categories!$A$1:$B$8,MATCH(order_items!$F$1,categories!$A$1:$B$1,0),FALSE)</f>
        <v>Cruisers Bicycles</v>
      </c>
      <c r="G2227">
        <v>1</v>
      </c>
      <c r="H2227">
        <v>761.99</v>
      </c>
      <c r="I2227" s="5">
        <v>0.05</v>
      </c>
      <c r="J2227">
        <f t="shared" si="68"/>
        <v>723.89049999999997</v>
      </c>
      <c r="K2227" s="9">
        <f t="shared" si="69"/>
        <v>-0.33320977620583803</v>
      </c>
    </row>
    <row r="2228" spans="1:11" x14ac:dyDescent="0.3">
      <c r="A2228">
        <v>787</v>
      </c>
      <c r="B2228">
        <v>1</v>
      </c>
      <c r="C2228">
        <v>51</v>
      </c>
      <c r="D2228" t="str">
        <f>VLOOKUP($C2228,products!$A$1:$F$322,MATCH(order_items!$D$1,products!$A$1:$F$1,0),FALSE)</f>
        <v>Trek Silque SLR 8 Women's - 2017</v>
      </c>
      <c r="E2228">
        <f>VLOOKUP($C2228,products!$A$1:$F$322,MATCH(order_items!$E$1,products!$A$1:$F$1,0),FALSE)</f>
        <v>7</v>
      </c>
      <c r="F2228" t="str">
        <f>VLOOKUP($E2228,categories!$A$1:$B$8,MATCH(order_items!$F$1,categories!$A$1:$B$1,0),FALSE)</f>
        <v>Road Bikes</v>
      </c>
      <c r="G2228">
        <v>2</v>
      </c>
      <c r="H2228">
        <v>6499.99</v>
      </c>
      <c r="I2228" s="5">
        <v>7.0000000000000007E-2</v>
      </c>
      <c r="J2228">
        <f t="shared" si="68"/>
        <v>12089.981399999999</v>
      </c>
      <c r="K2228" s="9">
        <f t="shared" si="69"/>
        <v>3.9088179224241739</v>
      </c>
    </row>
    <row r="2229" spans="1:11" x14ac:dyDescent="0.3">
      <c r="A2229">
        <v>787</v>
      </c>
      <c r="B2229">
        <v>2</v>
      </c>
      <c r="C2229">
        <v>66</v>
      </c>
      <c r="D2229" t="str">
        <f>VLOOKUP($C2229,products!$A$1:$F$322,MATCH(order_items!$D$1,products!$A$1:$F$1,0),FALSE)</f>
        <v>Sun Bicycles Revolutions 24 - 2017</v>
      </c>
      <c r="E2229">
        <f>VLOOKUP($C2229,products!$A$1:$F$322,MATCH(order_items!$E$1,products!$A$1:$F$1,0),FALSE)</f>
        <v>3</v>
      </c>
      <c r="F2229" t="str">
        <f>VLOOKUP($E2229,categories!$A$1:$B$8,MATCH(order_items!$F$1,categories!$A$1:$B$1,0),FALSE)</f>
        <v>Cruisers Bicycles</v>
      </c>
      <c r="G2229">
        <v>2</v>
      </c>
      <c r="H2229">
        <v>250.99</v>
      </c>
      <c r="I2229" s="5">
        <v>0.1</v>
      </c>
      <c r="J2229">
        <f t="shared" si="68"/>
        <v>451.78200000000004</v>
      </c>
      <c r="K2229" s="9">
        <f t="shared" si="69"/>
        <v>-0.71098533458853863</v>
      </c>
    </row>
    <row r="2230" spans="1:11" x14ac:dyDescent="0.3">
      <c r="A2230">
        <v>788</v>
      </c>
      <c r="B2230">
        <v>1</v>
      </c>
      <c r="C2230">
        <v>48</v>
      </c>
      <c r="D2230" t="str">
        <f>VLOOKUP($C2230,products!$A$1:$F$322,MATCH(order_items!$D$1,products!$A$1:$F$1,0),FALSE)</f>
        <v>Trek Emonda S 4 - 2017</v>
      </c>
      <c r="E2230">
        <f>VLOOKUP($C2230,products!$A$1:$F$322,MATCH(order_items!$E$1,products!$A$1:$F$1,0),FALSE)</f>
        <v>7</v>
      </c>
      <c r="F2230" t="str">
        <f>VLOOKUP($E2230,categories!$A$1:$B$8,MATCH(order_items!$F$1,categories!$A$1:$B$1,0),FALSE)</f>
        <v>Road Bikes</v>
      </c>
      <c r="G2230">
        <v>1</v>
      </c>
      <c r="H2230">
        <v>1499.99</v>
      </c>
      <c r="I2230" s="5">
        <v>0.2</v>
      </c>
      <c r="J2230">
        <f t="shared" si="68"/>
        <v>1199.992</v>
      </c>
      <c r="K2230" s="9">
        <f t="shared" si="69"/>
        <v>0.21238388736839492</v>
      </c>
    </row>
    <row r="2231" spans="1:11" x14ac:dyDescent="0.3">
      <c r="A2231">
        <v>788</v>
      </c>
      <c r="B2231">
        <v>2</v>
      </c>
      <c r="C2231">
        <v>19</v>
      </c>
      <c r="D2231" t="str">
        <f>VLOOKUP($C2231,products!$A$1:$F$322,MATCH(order_items!$D$1,products!$A$1:$F$1,0),FALSE)</f>
        <v>Pure Cycles William 3-Speed - 2016</v>
      </c>
      <c r="E2231">
        <f>VLOOKUP($C2231,products!$A$1:$F$322,MATCH(order_items!$E$1,products!$A$1:$F$1,0),FALSE)</f>
        <v>3</v>
      </c>
      <c r="F2231" t="str">
        <f>VLOOKUP($E2231,categories!$A$1:$B$8,MATCH(order_items!$F$1,categories!$A$1:$B$1,0),FALSE)</f>
        <v>Cruisers Bicycles</v>
      </c>
      <c r="G2231">
        <v>1</v>
      </c>
      <c r="H2231">
        <v>449</v>
      </c>
      <c r="I2231" s="5">
        <v>0.1</v>
      </c>
      <c r="J2231">
        <f t="shared" si="68"/>
        <v>404.1</v>
      </c>
      <c r="K2231" s="9">
        <f t="shared" si="69"/>
        <v>-0.56459915393225968</v>
      </c>
    </row>
    <row r="2232" spans="1:11" x14ac:dyDescent="0.3">
      <c r="A2232">
        <v>788</v>
      </c>
      <c r="B2232">
        <v>3</v>
      </c>
      <c r="C2232">
        <v>13</v>
      </c>
      <c r="D2232" t="str">
        <f>VLOOKUP($C2232,products!$A$1:$F$322,MATCH(order_items!$D$1,products!$A$1:$F$1,0),FALSE)</f>
        <v>Electra Cruiser 1 (24-Inch) - 2016</v>
      </c>
      <c r="E2232">
        <f>VLOOKUP($C2232,products!$A$1:$F$322,MATCH(order_items!$E$1,products!$A$1:$F$1,0),FALSE)</f>
        <v>3</v>
      </c>
      <c r="F2232" t="str">
        <f>VLOOKUP($E2232,categories!$A$1:$B$8,MATCH(order_items!$F$1,categories!$A$1:$B$1,0),FALSE)</f>
        <v>Cruisers Bicycles</v>
      </c>
      <c r="G2232">
        <v>1</v>
      </c>
      <c r="H2232">
        <v>269.99</v>
      </c>
      <c r="I2232" s="5">
        <v>0.05</v>
      </c>
      <c r="J2232">
        <f t="shared" si="68"/>
        <v>256.4905</v>
      </c>
      <c r="K2232" s="9">
        <f t="shared" si="69"/>
        <v>-0.69693888525532666</v>
      </c>
    </row>
    <row r="2233" spans="1:11" x14ac:dyDescent="0.3">
      <c r="A2233">
        <v>789</v>
      </c>
      <c r="B2233">
        <v>1</v>
      </c>
      <c r="C2233">
        <v>100</v>
      </c>
      <c r="D2233" t="str">
        <f>VLOOKUP($C2233,products!$A$1:$F$322,MATCH(order_items!$D$1,products!$A$1:$F$1,0),FALSE)</f>
        <v>Electra Townie 3i EQ (20-inch) - Boys' - 2017</v>
      </c>
      <c r="E2233">
        <f>VLOOKUP($C2233,products!$A$1:$F$322,MATCH(order_items!$E$1,products!$A$1:$F$1,0),FALSE)</f>
        <v>1</v>
      </c>
      <c r="F2233" t="str">
        <f>VLOOKUP($E2233,categories!$A$1:$B$8,MATCH(order_items!$F$1,categories!$A$1:$B$1,0),FALSE)</f>
        <v>Children Bicycles</v>
      </c>
      <c r="G2233">
        <v>2</v>
      </c>
      <c r="H2233">
        <v>489.99</v>
      </c>
      <c r="I2233" s="5">
        <v>0.2</v>
      </c>
      <c r="J2233">
        <f t="shared" si="68"/>
        <v>783.98400000000004</v>
      </c>
      <c r="K2233" s="9">
        <f t="shared" si="69"/>
        <v>-0.53429578771287245</v>
      </c>
    </row>
    <row r="2234" spans="1:11" x14ac:dyDescent="0.3">
      <c r="A2234">
        <v>789</v>
      </c>
      <c r="B2234">
        <v>2</v>
      </c>
      <c r="C2234">
        <v>93</v>
      </c>
      <c r="D2234" t="str">
        <f>VLOOKUP($C2234,products!$A$1:$F$322,MATCH(order_items!$D$1,products!$A$1:$F$1,0),FALSE)</f>
        <v>Haro Shredder 20 Girls - 2017</v>
      </c>
      <c r="E2234">
        <f>VLOOKUP($C2234,products!$A$1:$F$322,MATCH(order_items!$E$1,products!$A$1:$F$1,0),FALSE)</f>
        <v>1</v>
      </c>
      <c r="F2234" t="str">
        <f>VLOOKUP($E2234,categories!$A$1:$B$8,MATCH(order_items!$F$1,categories!$A$1:$B$1,0),FALSE)</f>
        <v>Children Bicycles</v>
      </c>
      <c r="G2234">
        <v>2</v>
      </c>
      <c r="H2234">
        <v>209.99</v>
      </c>
      <c r="I2234" s="5">
        <v>7.0000000000000007E-2</v>
      </c>
      <c r="J2234">
        <f t="shared" si="68"/>
        <v>390.58139999999997</v>
      </c>
      <c r="K2234" s="9">
        <f t="shared" si="69"/>
        <v>-0.74129609367599603</v>
      </c>
    </row>
    <row r="2235" spans="1:11" x14ac:dyDescent="0.3">
      <c r="A2235">
        <v>790</v>
      </c>
      <c r="B2235">
        <v>1</v>
      </c>
      <c r="C2235">
        <v>62</v>
      </c>
      <c r="D2235" t="str">
        <f>VLOOKUP($C2235,products!$A$1:$F$322,MATCH(order_items!$D$1,products!$A$1:$F$1,0),FALSE)</f>
        <v>Trek Boone 7 - 2017</v>
      </c>
      <c r="E2235">
        <f>VLOOKUP($C2235,products!$A$1:$F$322,MATCH(order_items!$E$1,products!$A$1:$F$1,0),FALSE)</f>
        <v>4</v>
      </c>
      <c r="F2235" t="str">
        <f>VLOOKUP($E2235,categories!$A$1:$B$8,MATCH(order_items!$F$1,categories!$A$1:$B$1,0),FALSE)</f>
        <v>Cyclocross Bicycles</v>
      </c>
      <c r="G2235">
        <v>2</v>
      </c>
      <c r="H2235">
        <v>3499.99</v>
      </c>
      <c r="I2235" s="5">
        <v>7.0000000000000007E-2</v>
      </c>
      <c r="J2235">
        <f t="shared" si="68"/>
        <v>6509.9813999999988</v>
      </c>
      <c r="K2235" s="9">
        <f t="shared" si="69"/>
        <v>1.6909575013907066</v>
      </c>
    </row>
    <row r="2236" spans="1:11" x14ac:dyDescent="0.3">
      <c r="A2236">
        <v>790</v>
      </c>
      <c r="B2236">
        <v>2</v>
      </c>
      <c r="C2236">
        <v>91</v>
      </c>
      <c r="D2236" t="str">
        <f>VLOOKUP($C2236,products!$A$1:$F$322,MATCH(order_items!$D$1,products!$A$1:$F$1,0),FALSE)</f>
        <v>Trek Precaliber 24 (21-Speed) - Girls - 2017</v>
      </c>
      <c r="E2236">
        <f>VLOOKUP($C2236,products!$A$1:$F$322,MATCH(order_items!$E$1,products!$A$1:$F$1,0),FALSE)</f>
        <v>1</v>
      </c>
      <c r="F2236" t="str">
        <f>VLOOKUP($E2236,categories!$A$1:$B$8,MATCH(order_items!$F$1,categories!$A$1:$B$1,0),FALSE)</f>
        <v>Children Bicycles</v>
      </c>
      <c r="G2236">
        <v>1</v>
      </c>
      <c r="H2236">
        <v>349.99</v>
      </c>
      <c r="I2236" s="5">
        <v>0.1</v>
      </c>
      <c r="J2236">
        <f t="shared" si="68"/>
        <v>314.99100000000004</v>
      </c>
      <c r="K2236" s="9">
        <f t="shared" si="69"/>
        <v>-0.63779594069443424</v>
      </c>
    </row>
    <row r="2237" spans="1:11" x14ac:dyDescent="0.3">
      <c r="A2237">
        <v>791</v>
      </c>
      <c r="B2237">
        <v>1</v>
      </c>
      <c r="C2237">
        <v>54</v>
      </c>
      <c r="D2237" t="str">
        <f>VLOOKUP($C2237,products!$A$1:$F$322,MATCH(order_items!$D$1,products!$A$1:$F$1,0),FALSE)</f>
        <v>Trek Domane SL Disc Frameset - 2017</v>
      </c>
      <c r="E2237">
        <f>VLOOKUP($C2237,products!$A$1:$F$322,MATCH(order_items!$E$1,products!$A$1:$F$1,0),FALSE)</f>
        <v>7</v>
      </c>
      <c r="F2237" t="str">
        <f>VLOOKUP($E2237,categories!$A$1:$B$8,MATCH(order_items!$F$1,categories!$A$1:$B$1,0),FALSE)</f>
        <v>Road Bikes</v>
      </c>
      <c r="G2237">
        <v>1</v>
      </c>
      <c r="H2237">
        <v>3199.99</v>
      </c>
      <c r="I2237" s="5">
        <v>0.2</v>
      </c>
      <c r="J2237">
        <f t="shared" si="68"/>
        <v>2559.9920000000002</v>
      </c>
      <c r="K2237" s="9">
        <f t="shared" si="69"/>
        <v>1.4691714592873595</v>
      </c>
    </row>
    <row r="2238" spans="1:11" x14ac:dyDescent="0.3">
      <c r="A2238">
        <v>791</v>
      </c>
      <c r="B2238">
        <v>2</v>
      </c>
      <c r="C2238">
        <v>25</v>
      </c>
      <c r="D2238" t="str">
        <f>VLOOKUP($C2238,products!$A$1:$F$322,MATCH(order_items!$D$1,products!$A$1:$F$1,0),FALSE)</f>
        <v>Electra Townie Original 7D - 2015/2016</v>
      </c>
      <c r="E2238">
        <f>VLOOKUP($C2238,products!$A$1:$F$322,MATCH(order_items!$E$1,products!$A$1:$F$1,0),FALSE)</f>
        <v>2</v>
      </c>
      <c r="F2238" t="str">
        <f>VLOOKUP($E2238,categories!$A$1:$B$8,MATCH(order_items!$F$1,categories!$A$1:$B$1,0),FALSE)</f>
        <v>Comfort Bicycles</v>
      </c>
      <c r="G2238">
        <v>2</v>
      </c>
      <c r="H2238">
        <v>499.99</v>
      </c>
      <c r="I2238" s="5">
        <v>7.0000000000000007E-2</v>
      </c>
      <c r="J2238">
        <f t="shared" si="68"/>
        <v>929.98140000000001</v>
      </c>
      <c r="K2238" s="9">
        <f t="shared" si="69"/>
        <v>-0.52690291964276081</v>
      </c>
    </row>
    <row r="2239" spans="1:11" x14ac:dyDescent="0.3">
      <c r="A2239">
        <v>792</v>
      </c>
      <c r="B2239">
        <v>1</v>
      </c>
      <c r="C2239">
        <v>16</v>
      </c>
      <c r="D2239" t="str">
        <f>VLOOKUP($C2239,products!$A$1:$F$322,MATCH(order_items!$D$1,products!$A$1:$F$1,0),FALSE)</f>
        <v>Electra Townie Original 7D EQ - 2016</v>
      </c>
      <c r="E2239">
        <f>VLOOKUP($C2239,products!$A$1:$F$322,MATCH(order_items!$E$1,products!$A$1:$F$1,0),FALSE)</f>
        <v>3</v>
      </c>
      <c r="F2239" t="str">
        <f>VLOOKUP($E2239,categories!$A$1:$B$8,MATCH(order_items!$F$1,categories!$A$1:$B$1,0),FALSE)</f>
        <v>Cruisers Bicycles</v>
      </c>
      <c r="G2239">
        <v>2</v>
      </c>
      <c r="H2239">
        <v>599.99</v>
      </c>
      <c r="I2239" s="5">
        <v>0.2</v>
      </c>
      <c r="J2239">
        <f t="shared" si="68"/>
        <v>959.98400000000004</v>
      </c>
      <c r="K2239" s="9">
        <f t="shared" si="69"/>
        <v>-0.45297423894164529</v>
      </c>
    </row>
    <row r="2240" spans="1:11" x14ac:dyDescent="0.3">
      <c r="A2240">
        <v>792</v>
      </c>
      <c r="B2240">
        <v>2</v>
      </c>
      <c r="C2240">
        <v>39</v>
      </c>
      <c r="D2240" t="str">
        <f>VLOOKUP($C2240,products!$A$1:$F$322,MATCH(order_items!$D$1,products!$A$1:$F$1,0),FALSE)</f>
        <v>Trek Stache 5 - 2017</v>
      </c>
      <c r="E2240">
        <f>VLOOKUP($C2240,products!$A$1:$F$322,MATCH(order_items!$E$1,products!$A$1:$F$1,0),FALSE)</f>
        <v>6</v>
      </c>
      <c r="F2240" t="str">
        <f>VLOOKUP($E2240,categories!$A$1:$B$8,MATCH(order_items!$F$1,categories!$A$1:$B$1,0),FALSE)</f>
        <v>Mountain Bikes</v>
      </c>
      <c r="G2240">
        <v>1</v>
      </c>
      <c r="H2240">
        <v>1499.99</v>
      </c>
      <c r="I2240" s="5">
        <v>0.2</v>
      </c>
      <c r="J2240">
        <f t="shared" si="68"/>
        <v>1199.992</v>
      </c>
      <c r="K2240" s="9">
        <f t="shared" si="69"/>
        <v>0.21238388736839492</v>
      </c>
    </row>
    <row r="2241" spans="1:11" x14ac:dyDescent="0.3">
      <c r="A2241">
        <v>792</v>
      </c>
      <c r="B2241">
        <v>3</v>
      </c>
      <c r="C2241">
        <v>56</v>
      </c>
      <c r="D2241" t="str">
        <f>VLOOKUP($C2241,products!$A$1:$F$322,MATCH(order_items!$D$1,products!$A$1:$F$1,0),FALSE)</f>
        <v>Trek Domane SLR 6 Disc - 2017</v>
      </c>
      <c r="E2241">
        <f>VLOOKUP($C2241,products!$A$1:$F$322,MATCH(order_items!$E$1,products!$A$1:$F$1,0),FALSE)</f>
        <v>7</v>
      </c>
      <c r="F2241" t="str">
        <f>VLOOKUP($E2241,categories!$A$1:$B$8,MATCH(order_items!$F$1,categories!$A$1:$B$1,0),FALSE)</f>
        <v>Road Bikes</v>
      </c>
      <c r="G2241">
        <v>1</v>
      </c>
      <c r="H2241">
        <v>5499.99</v>
      </c>
      <c r="I2241" s="5">
        <v>0.2</v>
      </c>
      <c r="J2241">
        <f t="shared" si="68"/>
        <v>4399.9920000000002</v>
      </c>
      <c r="K2241" s="9">
        <f t="shared" si="69"/>
        <v>3.1695311154130179</v>
      </c>
    </row>
    <row r="2242" spans="1:11" x14ac:dyDescent="0.3">
      <c r="A2242">
        <v>792</v>
      </c>
      <c r="B2242">
        <v>4</v>
      </c>
      <c r="C2242">
        <v>30</v>
      </c>
      <c r="D2242" t="str">
        <f>VLOOKUP($C2242,products!$A$1:$F$322,MATCH(order_items!$D$1,products!$A$1:$F$1,0),FALSE)</f>
        <v>Surly Ice Cream Truck Frameset - 2017</v>
      </c>
      <c r="E2242">
        <f>VLOOKUP($C2242,products!$A$1:$F$322,MATCH(order_items!$E$1,products!$A$1:$F$1,0),FALSE)</f>
        <v>6</v>
      </c>
      <c r="F2242" t="str">
        <f>VLOOKUP($E2242,categories!$A$1:$B$8,MATCH(order_items!$F$1,categories!$A$1:$B$1,0),FALSE)</f>
        <v>Mountain Bikes</v>
      </c>
      <c r="G2242">
        <v>1</v>
      </c>
      <c r="H2242">
        <v>999.99</v>
      </c>
      <c r="I2242" s="5">
        <v>0.05</v>
      </c>
      <c r="J2242">
        <f t="shared" ref="J2242:J2305" si="70">G2242*H2242*(1-I2242)</f>
        <v>949.9905</v>
      </c>
      <c r="K2242" s="9">
        <f t="shared" ref="K2242:K2305" si="71">($H2242-$M$7)/$M$9</f>
        <v>-0.15725951613718298</v>
      </c>
    </row>
    <row r="2243" spans="1:11" x14ac:dyDescent="0.3">
      <c r="A2243">
        <v>792</v>
      </c>
      <c r="B2243">
        <v>5</v>
      </c>
      <c r="C2243">
        <v>2</v>
      </c>
      <c r="D2243" t="str">
        <f>VLOOKUP($C2243,products!$A$1:$F$322,MATCH(order_items!$D$1,products!$A$1:$F$1,0),FALSE)</f>
        <v>Ritchey Timberwolf Frameset - 2016</v>
      </c>
      <c r="E2243">
        <f>VLOOKUP($C2243,products!$A$1:$F$322,MATCH(order_items!$E$1,products!$A$1:$F$1,0),FALSE)</f>
        <v>6</v>
      </c>
      <c r="F2243" t="str">
        <f>VLOOKUP($E2243,categories!$A$1:$B$8,MATCH(order_items!$F$1,categories!$A$1:$B$1,0),FALSE)</f>
        <v>Mountain Bikes</v>
      </c>
      <c r="G2243">
        <v>1</v>
      </c>
      <c r="H2243">
        <v>749.99</v>
      </c>
      <c r="I2243" s="5">
        <v>0.2</v>
      </c>
      <c r="J2243">
        <f t="shared" si="70"/>
        <v>599.99200000000008</v>
      </c>
      <c r="K2243" s="9">
        <f t="shared" si="71"/>
        <v>-0.34208121788997192</v>
      </c>
    </row>
    <row r="2244" spans="1:11" x14ac:dyDescent="0.3">
      <c r="A2244">
        <v>793</v>
      </c>
      <c r="B2244">
        <v>1</v>
      </c>
      <c r="C2244">
        <v>60</v>
      </c>
      <c r="D2244" t="str">
        <f>VLOOKUP($C2244,products!$A$1:$F$322,MATCH(order_items!$D$1,products!$A$1:$F$1,0),FALSE)</f>
        <v>Sun Bicycles ElectroLite - 2017</v>
      </c>
      <c r="E2244">
        <f>VLOOKUP($C2244,products!$A$1:$F$322,MATCH(order_items!$E$1,products!$A$1:$F$1,0),FALSE)</f>
        <v>5</v>
      </c>
      <c r="F2244" t="str">
        <f>VLOOKUP($E2244,categories!$A$1:$B$8,MATCH(order_items!$F$1,categories!$A$1:$B$1,0),FALSE)</f>
        <v>Electric Bikes</v>
      </c>
      <c r="G2244">
        <v>1</v>
      </c>
      <c r="H2244">
        <v>1559.99</v>
      </c>
      <c r="I2244" s="5">
        <v>0.05</v>
      </c>
      <c r="J2244">
        <f t="shared" si="70"/>
        <v>1481.9904999999999</v>
      </c>
      <c r="K2244" s="9">
        <f t="shared" si="71"/>
        <v>0.25674109578906423</v>
      </c>
    </row>
    <row r="2245" spans="1:11" x14ac:dyDescent="0.3">
      <c r="A2245">
        <v>793</v>
      </c>
      <c r="B2245">
        <v>2</v>
      </c>
      <c r="C2245">
        <v>95</v>
      </c>
      <c r="D2245" t="str">
        <f>VLOOKUP($C2245,products!$A$1:$F$322,MATCH(order_items!$D$1,products!$A$1:$F$1,0),FALSE)</f>
        <v>Electra Girl's Hawaii 1 16" - 2017</v>
      </c>
      <c r="E2245">
        <f>VLOOKUP($C2245,products!$A$1:$F$322,MATCH(order_items!$E$1,products!$A$1:$F$1,0),FALSE)</f>
        <v>1</v>
      </c>
      <c r="F2245" t="str">
        <f>VLOOKUP($E2245,categories!$A$1:$B$8,MATCH(order_items!$F$1,categories!$A$1:$B$1,0),FALSE)</f>
        <v>Children Bicycles</v>
      </c>
      <c r="G2245">
        <v>2</v>
      </c>
      <c r="H2245">
        <v>299.99</v>
      </c>
      <c r="I2245" s="5">
        <v>0.05</v>
      </c>
      <c r="J2245">
        <f t="shared" si="70"/>
        <v>569.98099999999999</v>
      </c>
      <c r="K2245" s="9">
        <f t="shared" si="71"/>
        <v>-0.67476028104499197</v>
      </c>
    </row>
    <row r="2246" spans="1:11" x14ac:dyDescent="0.3">
      <c r="A2246">
        <v>793</v>
      </c>
      <c r="B2246">
        <v>3</v>
      </c>
      <c r="C2246">
        <v>75</v>
      </c>
      <c r="D2246" t="str">
        <f>VLOOKUP($C2246,products!$A$1:$F$322,MATCH(order_items!$D$1,products!$A$1:$F$1,0),FALSE)</f>
        <v>Electra Cruiser Lux Fat Tire 1 Ladies - 2017</v>
      </c>
      <c r="E2246">
        <f>VLOOKUP($C2246,products!$A$1:$F$322,MATCH(order_items!$E$1,products!$A$1:$F$1,0),FALSE)</f>
        <v>3</v>
      </c>
      <c r="F2246" t="str">
        <f>VLOOKUP($E2246,categories!$A$1:$B$8,MATCH(order_items!$F$1,categories!$A$1:$B$1,0),FALSE)</f>
        <v>Cruisers Bicycles</v>
      </c>
      <c r="G2246">
        <v>2</v>
      </c>
      <c r="H2246">
        <v>599.99</v>
      </c>
      <c r="I2246" s="5">
        <v>0.05</v>
      </c>
      <c r="J2246">
        <f t="shared" si="70"/>
        <v>1139.981</v>
      </c>
      <c r="K2246" s="9">
        <f t="shared" si="71"/>
        <v>-0.45297423894164529</v>
      </c>
    </row>
    <row r="2247" spans="1:11" x14ac:dyDescent="0.3">
      <c r="A2247">
        <v>794</v>
      </c>
      <c r="B2247">
        <v>1</v>
      </c>
      <c r="C2247">
        <v>41</v>
      </c>
      <c r="D2247" t="str">
        <f>VLOOKUP($C2247,products!$A$1:$F$322,MATCH(order_items!$D$1,products!$A$1:$F$1,0),FALSE)</f>
        <v>Haro Shift R3 - 2017</v>
      </c>
      <c r="E2247">
        <f>VLOOKUP($C2247,products!$A$1:$F$322,MATCH(order_items!$E$1,products!$A$1:$F$1,0),FALSE)</f>
        <v>6</v>
      </c>
      <c r="F2247" t="str">
        <f>VLOOKUP($E2247,categories!$A$1:$B$8,MATCH(order_items!$F$1,categories!$A$1:$B$1,0),FALSE)</f>
        <v>Mountain Bikes</v>
      </c>
      <c r="G2247">
        <v>2</v>
      </c>
      <c r="H2247">
        <v>1469.99</v>
      </c>
      <c r="I2247" s="5">
        <v>0.05</v>
      </c>
      <c r="J2247">
        <f t="shared" si="70"/>
        <v>2792.9809999999998</v>
      </c>
      <c r="K2247" s="9">
        <f t="shared" si="71"/>
        <v>0.19020528315806023</v>
      </c>
    </row>
    <row r="2248" spans="1:11" x14ac:dyDescent="0.3">
      <c r="A2248">
        <v>794</v>
      </c>
      <c r="B2248">
        <v>2</v>
      </c>
      <c r="C2248">
        <v>68</v>
      </c>
      <c r="D2248" t="str">
        <f>VLOOKUP($C2248,products!$A$1:$F$322,MATCH(order_items!$D$1,products!$A$1:$F$1,0),FALSE)</f>
        <v>Sun Bicycles Cruz 3 - 2017</v>
      </c>
      <c r="E2248">
        <f>VLOOKUP($C2248,products!$A$1:$F$322,MATCH(order_items!$E$1,products!$A$1:$F$1,0),FALSE)</f>
        <v>3</v>
      </c>
      <c r="F2248" t="str">
        <f>VLOOKUP($E2248,categories!$A$1:$B$8,MATCH(order_items!$F$1,categories!$A$1:$B$1,0),FALSE)</f>
        <v>Cruisers Bicycles</v>
      </c>
      <c r="G2248">
        <v>1</v>
      </c>
      <c r="H2248">
        <v>449.99</v>
      </c>
      <c r="I2248" s="5">
        <v>0.2</v>
      </c>
      <c r="J2248">
        <f t="shared" si="70"/>
        <v>359.99200000000002</v>
      </c>
      <c r="K2248" s="9">
        <f t="shared" si="71"/>
        <v>-0.56386725999331866</v>
      </c>
    </row>
    <row r="2249" spans="1:11" x14ac:dyDescent="0.3">
      <c r="A2249">
        <v>794</v>
      </c>
      <c r="B2249">
        <v>3</v>
      </c>
      <c r="C2249">
        <v>17</v>
      </c>
      <c r="D2249" t="str">
        <f>VLOOKUP($C2249,products!$A$1:$F$322,MATCH(order_items!$D$1,products!$A$1:$F$1,0),FALSE)</f>
        <v>Pure Cycles Vine 8-Speed - 2016</v>
      </c>
      <c r="E2249">
        <f>VLOOKUP($C2249,products!$A$1:$F$322,MATCH(order_items!$E$1,products!$A$1:$F$1,0),FALSE)</f>
        <v>3</v>
      </c>
      <c r="F2249" t="str">
        <f>VLOOKUP($E2249,categories!$A$1:$B$8,MATCH(order_items!$F$1,categories!$A$1:$B$1,0),FALSE)</f>
        <v>Cruisers Bicycles</v>
      </c>
      <c r="G2249">
        <v>1</v>
      </c>
      <c r="H2249">
        <v>429</v>
      </c>
      <c r="I2249" s="5">
        <v>7.0000000000000007E-2</v>
      </c>
      <c r="J2249">
        <f t="shared" si="70"/>
        <v>398.96999999999997</v>
      </c>
      <c r="K2249" s="9">
        <f t="shared" si="71"/>
        <v>-0.57938489007248284</v>
      </c>
    </row>
    <row r="2250" spans="1:11" x14ac:dyDescent="0.3">
      <c r="A2250">
        <v>794</v>
      </c>
      <c r="B2250">
        <v>4</v>
      </c>
      <c r="C2250">
        <v>28</v>
      </c>
      <c r="D2250" t="str">
        <f>VLOOKUP($C2250,products!$A$1:$F$322,MATCH(order_items!$D$1,products!$A$1:$F$1,0),FALSE)</f>
        <v>Surly Karate Monkey 27.5+ Frameset - 2017</v>
      </c>
      <c r="E2250">
        <f>VLOOKUP($C2250,products!$A$1:$F$322,MATCH(order_items!$E$1,products!$A$1:$F$1,0),FALSE)</f>
        <v>6</v>
      </c>
      <c r="F2250" t="str">
        <f>VLOOKUP($E2250,categories!$A$1:$B$8,MATCH(order_items!$F$1,categories!$A$1:$B$1,0),FALSE)</f>
        <v>Mountain Bikes</v>
      </c>
      <c r="G2250">
        <v>1</v>
      </c>
      <c r="H2250">
        <v>2499.9899999999998</v>
      </c>
      <c r="I2250" s="5">
        <v>0.1</v>
      </c>
      <c r="J2250">
        <f t="shared" si="70"/>
        <v>2249.991</v>
      </c>
      <c r="K2250" s="9">
        <f t="shared" si="71"/>
        <v>0.95167069437955054</v>
      </c>
    </row>
    <row r="2251" spans="1:11" x14ac:dyDescent="0.3">
      <c r="A2251">
        <v>795</v>
      </c>
      <c r="B2251">
        <v>1</v>
      </c>
      <c r="C2251">
        <v>95</v>
      </c>
      <c r="D2251" t="str">
        <f>VLOOKUP($C2251,products!$A$1:$F$322,MATCH(order_items!$D$1,products!$A$1:$F$1,0),FALSE)</f>
        <v>Electra Girl's Hawaii 1 16" - 2017</v>
      </c>
      <c r="E2251">
        <f>VLOOKUP($C2251,products!$A$1:$F$322,MATCH(order_items!$E$1,products!$A$1:$F$1,0),FALSE)</f>
        <v>1</v>
      </c>
      <c r="F2251" t="str">
        <f>VLOOKUP($E2251,categories!$A$1:$B$8,MATCH(order_items!$F$1,categories!$A$1:$B$1,0),FALSE)</f>
        <v>Children Bicycles</v>
      </c>
      <c r="G2251">
        <v>2</v>
      </c>
      <c r="H2251">
        <v>299.99</v>
      </c>
      <c r="I2251" s="5">
        <v>0.05</v>
      </c>
      <c r="J2251">
        <f t="shared" si="70"/>
        <v>569.98099999999999</v>
      </c>
      <c r="K2251" s="9">
        <f t="shared" si="71"/>
        <v>-0.67476028104499197</v>
      </c>
    </row>
    <row r="2252" spans="1:11" x14ac:dyDescent="0.3">
      <c r="A2252">
        <v>795</v>
      </c>
      <c r="B2252">
        <v>2</v>
      </c>
      <c r="C2252">
        <v>99</v>
      </c>
      <c r="D2252" t="str">
        <f>VLOOKUP($C2252,products!$A$1:$F$322,MATCH(order_items!$D$1,products!$A$1:$F$1,0),FALSE)</f>
        <v>Electra Sugar Skulls 1 (20-inch) - Girl's - 2017</v>
      </c>
      <c r="E2252">
        <f>VLOOKUP($C2252,products!$A$1:$F$322,MATCH(order_items!$E$1,products!$A$1:$F$1,0),FALSE)</f>
        <v>1</v>
      </c>
      <c r="F2252" t="str">
        <f>VLOOKUP($E2252,categories!$A$1:$B$8,MATCH(order_items!$F$1,categories!$A$1:$B$1,0),FALSE)</f>
        <v>Children Bicycles</v>
      </c>
      <c r="G2252">
        <v>2</v>
      </c>
      <c r="H2252">
        <v>299.99</v>
      </c>
      <c r="I2252" s="5">
        <v>0.05</v>
      </c>
      <c r="J2252">
        <f t="shared" si="70"/>
        <v>569.98099999999999</v>
      </c>
      <c r="K2252" s="9">
        <f t="shared" si="71"/>
        <v>-0.67476028104499197</v>
      </c>
    </row>
    <row r="2253" spans="1:11" x14ac:dyDescent="0.3">
      <c r="A2253">
        <v>796</v>
      </c>
      <c r="B2253">
        <v>1</v>
      </c>
      <c r="C2253">
        <v>6</v>
      </c>
      <c r="D2253" t="str">
        <f>VLOOKUP($C2253,products!$A$1:$F$322,MATCH(order_items!$D$1,products!$A$1:$F$1,0),FALSE)</f>
        <v>Surly Ice Cream Truck Frameset - 2016</v>
      </c>
      <c r="E2253">
        <f>VLOOKUP($C2253,products!$A$1:$F$322,MATCH(order_items!$E$1,products!$A$1:$F$1,0),FALSE)</f>
        <v>6</v>
      </c>
      <c r="F2253" t="str">
        <f>VLOOKUP($E2253,categories!$A$1:$B$8,MATCH(order_items!$F$1,categories!$A$1:$B$1,0),FALSE)</f>
        <v>Mountain Bikes</v>
      </c>
      <c r="G2253">
        <v>2</v>
      </c>
      <c r="H2253">
        <v>469.99</v>
      </c>
      <c r="I2253" s="5">
        <v>0.2</v>
      </c>
      <c r="J2253">
        <f t="shared" si="70"/>
        <v>751.98400000000004</v>
      </c>
      <c r="K2253" s="9">
        <f t="shared" si="71"/>
        <v>-0.5490815238530955</v>
      </c>
    </row>
    <row r="2254" spans="1:11" x14ac:dyDescent="0.3">
      <c r="A2254">
        <v>797</v>
      </c>
      <c r="B2254">
        <v>1</v>
      </c>
      <c r="C2254">
        <v>11</v>
      </c>
      <c r="D2254" t="str">
        <f>VLOOKUP($C2254,products!$A$1:$F$322,MATCH(order_items!$D$1,products!$A$1:$F$1,0),FALSE)</f>
        <v>Surly Straggler 650b - 2016</v>
      </c>
      <c r="E2254">
        <f>VLOOKUP($C2254,products!$A$1:$F$322,MATCH(order_items!$E$1,products!$A$1:$F$1,0),FALSE)</f>
        <v>4</v>
      </c>
      <c r="F2254" t="str">
        <f>VLOOKUP($E2254,categories!$A$1:$B$8,MATCH(order_items!$F$1,categories!$A$1:$B$1,0),FALSE)</f>
        <v>Cyclocross Bicycles</v>
      </c>
      <c r="G2254">
        <v>1</v>
      </c>
      <c r="H2254">
        <v>1680.99</v>
      </c>
      <c r="I2254" s="5">
        <v>7.0000000000000007E-2</v>
      </c>
      <c r="J2254">
        <f t="shared" si="70"/>
        <v>1563.3207</v>
      </c>
      <c r="K2254" s="9">
        <f t="shared" si="71"/>
        <v>0.3461947994374141</v>
      </c>
    </row>
    <row r="2255" spans="1:11" x14ac:dyDescent="0.3">
      <c r="A2255">
        <v>797</v>
      </c>
      <c r="B2255">
        <v>2</v>
      </c>
      <c r="C2255">
        <v>69</v>
      </c>
      <c r="D2255" t="str">
        <f>VLOOKUP($C2255,products!$A$1:$F$322,MATCH(order_items!$D$1,products!$A$1:$F$1,0),FALSE)</f>
        <v>Sun Bicycles Cruz 7 - 2017</v>
      </c>
      <c r="E2255">
        <f>VLOOKUP($C2255,products!$A$1:$F$322,MATCH(order_items!$E$1,products!$A$1:$F$1,0),FALSE)</f>
        <v>3</v>
      </c>
      <c r="F2255" t="str">
        <f>VLOOKUP($E2255,categories!$A$1:$B$8,MATCH(order_items!$F$1,categories!$A$1:$B$1,0),FALSE)</f>
        <v>Cruisers Bicycles</v>
      </c>
      <c r="G2255">
        <v>1</v>
      </c>
      <c r="H2255">
        <v>416.99</v>
      </c>
      <c r="I2255" s="5">
        <v>0.05</v>
      </c>
      <c r="J2255">
        <f t="shared" si="70"/>
        <v>396.14049999999997</v>
      </c>
      <c r="K2255" s="9">
        <f t="shared" si="71"/>
        <v>-0.58826372462468679</v>
      </c>
    </row>
    <row r="2256" spans="1:11" x14ac:dyDescent="0.3">
      <c r="A2256">
        <v>797</v>
      </c>
      <c r="B2256">
        <v>3</v>
      </c>
      <c r="C2256">
        <v>74</v>
      </c>
      <c r="D2256" t="str">
        <f>VLOOKUP($C2256,products!$A$1:$F$322,MATCH(order_items!$D$1,products!$A$1:$F$1,0),FALSE)</f>
        <v>Electra Cruiser Lux 1 - 2017</v>
      </c>
      <c r="E2256">
        <f>VLOOKUP($C2256,products!$A$1:$F$322,MATCH(order_items!$E$1,products!$A$1:$F$1,0),FALSE)</f>
        <v>3</v>
      </c>
      <c r="F2256" t="str">
        <f>VLOOKUP($E2256,categories!$A$1:$B$8,MATCH(order_items!$F$1,categories!$A$1:$B$1,0),FALSE)</f>
        <v>Cruisers Bicycles</v>
      </c>
      <c r="G2256">
        <v>1</v>
      </c>
      <c r="H2256">
        <v>439.99</v>
      </c>
      <c r="I2256" s="5">
        <v>0.1</v>
      </c>
      <c r="J2256">
        <f t="shared" si="70"/>
        <v>395.99100000000004</v>
      </c>
      <c r="K2256" s="9">
        <f t="shared" si="71"/>
        <v>-0.57126012806343018</v>
      </c>
    </row>
    <row r="2257" spans="1:11" x14ac:dyDescent="0.3">
      <c r="A2257">
        <v>797</v>
      </c>
      <c r="B2257">
        <v>4</v>
      </c>
      <c r="C2257">
        <v>54</v>
      </c>
      <c r="D2257" t="str">
        <f>VLOOKUP($C2257,products!$A$1:$F$322,MATCH(order_items!$D$1,products!$A$1:$F$1,0),FALSE)</f>
        <v>Trek Domane SL Disc Frameset - 2017</v>
      </c>
      <c r="E2257">
        <f>VLOOKUP($C2257,products!$A$1:$F$322,MATCH(order_items!$E$1,products!$A$1:$F$1,0),FALSE)</f>
        <v>7</v>
      </c>
      <c r="F2257" t="str">
        <f>VLOOKUP($E2257,categories!$A$1:$B$8,MATCH(order_items!$F$1,categories!$A$1:$B$1,0),FALSE)</f>
        <v>Road Bikes</v>
      </c>
      <c r="G2257">
        <v>2</v>
      </c>
      <c r="H2257">
        <v>3199.99</v>
      </c>
      <c r="I2257" s="5">
        <v>0.05</v>
      </c>
      <c r="J2257">
        <f t="shared" si="70"/>
        <v>6079.9809999999989</v>
      </c>
      <c r="K2257" s="9">
        <f t="shared" si="71"/>
        <v>1.4691714592873595</v>
      </c>
    </row>
    <row r="2258" spans="1:11" x14ac:dyDescent="0.3">
      <c r="A2258">
        <v>797</v>
      </c>
      <c r="B2258">
        <v>5</v>
      </c>
      <c r="C2258">
        <v>62</v>
      </c>
      <c r="D2258" t="str">
        <f>VLOOKUP($C2258,products!$A$1:$F$322,MATCH(order_items!$D$1,products!$A$1:$F$1,0),FALSE)</f>
        <v>Trek Boone 7 - 2017</v>
      </c>
      <c r="E2258">
        <f>VLOOKUP($C2258,products!$A$1:$F$322,MATCH(order_items!$E$1,products!$A$1:$F$1,0),FALSE)</f>
        <v>4</v>
      </c>
      <c r="F2258" t="str">
        <f>VLOOKUP($E2258,categories!$A$1:$B$8,MATCH(order_items!$F$1,categories!$A$1:$B$1,0),FALSE)</f>
        <v>Cyclocross Bicycles</v>
      </c>
      <c r="G2258">
        <v>2</v>
      </c>
      <c r="H2258">
        <v>3499.99</v>
      </c>
      <c r="I2258" s="5">
        <v>0.1</v>
      </c>
      <c r="J2258">
        <f t="shared" si="70"/>
        <v>6299.982</v>
      </c>
      <c r="K2258" s="9">
        <f t="shared" si="71"/>
        <v>1.6909575013907066</v>
      </c>
    </row>
    <row r="2259" spans="1:11" x14ac:dyDescent="0.3">
      <c r="A2259">
        <v>798</v>
      </c>
      <c r="B2259">
        <v>1</v>
      </c>
      <c r="C2259">
        <v>23</v>
      </c>
      <c r="D2259" t="str">
        <f>VLOOKUP($C2259,products!$A$1:$F$322,MATCH(order_items!$D$1,products!$A$1:$F$1,0),FALSE)</f>
        <v>Electra Girl's Hawaii 1 (20-inch) - 2015/2016</v>
      </c>
      <c r="E2259">
        <f>VLOOKUP($C2259,products!$A$1:$F$322,MATCH(order_items!$E$1,products!$A$1:$F$1,0),FALSE)</f>
        <v>1</v>
      </c>
      <c r="F2259" t="str">
        <f>VLOOKUP($E2259,categories!$A$1:$B$8,MATCH(order_items!$F$1,categories!$A$1:$B$1,0),FALSE)</f>
        <v>Children Bicycles</v>
      </c>
      <c r="G2259">
        <v>1</v>
      </c>
      <c r="H2259">
        <v>299.99</v>
      </c>
      <c r="I2259" s="5">
        <v>0.1</v>
      </c>
      <c r="J2259">
        <f t="shared" si="70"/>
        <v>269.99100000000004</v>
      </c>
      <c r="K2259" s="9">
        <f t="shared" si="71"/>
        <v>-0.67476028104499197</v>
      </c>
    </row>
    <row r="2260" spans="1:11" x14ac:dyDescent="0.3">
      <c r="A2260">
        <v>798</v>
      </c>
      <c r="B2260">
        <v>2</v>
      </c>
      <c r="C2260">
        <v>90</v>
      </c>
      <c r="D2260" t="str">
        <f>VLOOKUP($C2260,products!$A$1:$F$322,MATCH(order_items!$D$1,products!$A$1:$F$1,0),FALSE)</f>
        <v>Trek Precaliber 16 Girls - 2017</v>
      </c>
      <c r="E2260">
        <f>VLOOKUP($C2260,products!$A$1:$F$322,MATCH(order_items!$E$1,products!$A$1:$F$1,0),FALSE)</f>
        <v>1</v>
      </c>
      <c r="F2260" t="str">
        <f>VLOOKUP($E2260,categories!$A$1:$B$8,MATCH(order_items!$F$1,categories!$A$1:$B$1,0),FALSE)</f>
        <v>Children Bicycles</v>
      </c>
      <c r="G2260">
        <v>1</v>
      </c>
      <c r="H2260">
        <v>209.99</v>
      </c>
      <c r="I2260" s="5">
        <v>0.05</v>
      </c>
      <c r="J2260">
        <f t="shared" si="70"/>
        <v>199.4905</v>
      </c>
      <c r="K2260" s="9">
        <f t="shared" si="71"/>
        <v>-0.74129609367599603</v>
      </c>
    </row>
    <row r="2261" spans="1:11" x14ac:dyDescent="0.3">
      <c r="A2261">
        <v>798</v>
      </c>
      <c r="B2261">
        <v>3</v>
      </c>
      <c r="C2261">
        <v>91</v>
      </c>
      <c r="D2261" t="str">
        <f>VLOOKUP($C2261,products!$A$1:$F$322,MATCH(order_items!$D$1,products!$A$1:$F$1,0),FALSE)</f>
        <v>Trek Precaliber 24 (21-Speed) - Girls - 2017</v>
      </c>
      <c r="E2261">
        <f>VLOOKUP($C2261,products!$A$1:$F$322,MATCH(order_items!$E$1,products!$A$1:$F$1,0),FALSE)</f>
        <v>1</v>
      </c>
      <c r="F2261" t="str">
        <f>VLOOKUP($E2261,categories!$A$1:$B$8,MATCH(order_items!$F$1,categories!$A$1:$B$1,0),FALSE)</f>
        <v>Children Bicycles</v>
      </c>
      <c r="G2261">
        <v>2</v>
      </c>
      <c r="H2261">
        <v>349.99</v>
      </c>
      <c r="I2261" s="5">
        <v>7.0000000000000007E-2</v>
      </c>
      <c r="J2261">
        <f t="shared" si="70"/>
        <v>650.98140000000001</v>
      </c>
      <c r="K2261" s="9">
        <f t="shared" si="71"/>
        <v>-0.63779594069443424</v>
      </c>
    </row>
    <row r="2262" spans="1:11" x14ac:dyDescent="0.3">
      <c r="A2262">
        <v>798</v>
      </c>
      <c r="B2262">
        <v>4</v>
      </c>
      <c r="C2262">
        <v>42</v>
      </c>
      <c r="D2262" t="str">
        <f>VLOOKUP($C2262,products!$A$1:$F$322,MATCH(order_items!$D$1,products!$A$1:$F$1,0),FALSE)</f>
        <v>Trek Fuel EX 5 27.5 Plus - 2017</v>
      </c>
      <c r="E2262">
        <f>VLOOKUP($C2262,products!$A$1:$F$322,MATCH(order_items!$E$1,products!$A$1:$F$1,0),FALSE)</f>
        <v>6</v>
      </c>
      <c r="F2262" t="str">
        <f>VLOOKUP($E2262,categories!$A$1:$B$8,MATCH(order_items!$F$1,categories!$A$1:$B$1,0),FALSE)</f>
        <v>Mountain Bikes</v>
      </c>
      <c r="G2262">
        <v>1</v>
      </c>
      <c r="H2262">
        <v>2299.9899999999998</v>
      </c>
      <c r="I2262" s="5">
        <v>0.2</v>
      </c>
      <c r="J2262">
        <f t="shared" si="70"/>
        <v>1839.992</v>
      </c>
      <c r="K2262" s="9">
        <f t="shared" si="71"/>
        <v>0.80381333297731938</v>
      </c>
    </row>
    <row r="2263" spans="1:11" x14ac:dyDescent="0.3">
      <c r="A2263">
        <v>798</v>
      </c>
      <c r="B2263">
        <v>5</v>
      </c>
      <c r="C2263">
        <v>26</v>
      </c>
      <c r="D2263" t="str">
        <f>VLOOKUP($C2263,products!$A$1:$F$322,MATCH(order_items!$D$1,products!$A$1:$F$1,0),FALSE)</f>
        <v>Electra Townie Original 7D EQ - 2016</v>
      </c>
      <c r="E2263">
        <f>VLOOKUP($C2263,products!$A$1:$F$322,MATCH(order_items!$E$1,products!$A$1:$F$1,0),FALSE)</f>
        <v>2</v>
      </c>
      <c r="F2263" t="str">
        <f>VLOOKUP($E2263,categories!$A$1:$B$8,MATCH(order_items!$F$1,categories!$A$1:$B$1,0),FALSE)</f>
        <v>Comfort Bicycles</v>
      </c>
      <c r="G2263">
        <v>2</v>
      </c>
      <c r="H2263">
        <v>599.99</v>
      </c>
      <c r="I2263" s="5">
        <v>0.05</v>
      </c>
      <c r="J2263">
        <f t="shared" si="70"/>
        <v>1139.981</v>
      </c>
      <c r="K2263" s="9">
        <f t="shared" si="71"/>
        <v>-0.45297423894164529</v>
      </c>
    </row>
    <row r="2264" spans="1:11" x14ac:dyDescent="0.3">
      <c r="A2264">
        <v>799</v>
      </c>
      <c r="B2264">
        <v>1</v>
      </c>
      <c r="C2264">
        <v>5</v>
      </c>
      <c r="D2264" t="str">
        <f>VLOOKUP($C2264,products!$A$1:$F$322,MATCH(order_items!$D$1,products!$A$1:$F$1,0),FALSE)</f>
        <v>Heller Shagamaw Frame - 2016</v>
      </c>
      <c r="E2264">
        <f>VLOOKUP($C2264,products!$A$1:$F$322,MATCH(order_items!$E$1,products!$A$1:$F$1,0),FALSE)</f>
        <v>6</v>
      </c>
      <c r="F2264" t="str">
        <f>VLOOKUP($E2264,categories!$A$1:$B$8,MATCH(order_items!$F$1,categories!$A$1:$B$1,0),FALSE)</f>
        <v>Mountain Bikes</v>
      </c>
      <c r="G2264">
        <v>2</v>
      </c>
      <c r="H2264">
        <v>1320.99</v>
      </c>
      <c r="I2264" s="5">
        <v>0.1</v>
      </c>
      <c r="J2264">
        <f t="shared" si="70"/>
        <v>2377.7820000000002</v>
      </c>
      <c r="K2264" s="9">
        <f t="shared" si="71"/>
        <v>8.0051548913398024E-2</v>
      </c>
    </row>
    <row r="2265" spans="1:11" x14ac:dyDescent="0.3">
      <c r="A2265">
        <v>799</v>
      </c>
      <c r="B2265">
        <v>2</v>
      </c>
      <c r="C2265">
        <v>34</v>
      </c>
      <c r="D2265" t="str">
        <f>VLOOKUP($C2265,products!$A$1:$F$322,MATCH(order_items!$D$1,products!$A$1:$F$1,0),FALSE)</f>
        <v>Trek Session DH 27.5 Carbon Frameset - 2017</v>
      </c>
      <c r="E2265">
        <f>VLOOKUP($C2265,products!$A$1:$F$322,MATCH(order_items!$E$1,products!$A$1:$F$1,0),FALSE)</f>
        <v>6</v>
      </c>
      <c r="F2265" t="str">
        <f>VLOOKUP($E2265,categories!$A$1:$B$8,MATCH(order_items!$F$1,categories!$A$1:$B$1,0),FALSE)</f>
        <v>Mountain Bikes</v>
      </c>
      <c r="G2265">
        <v>2</v>
      </c>
      <c r="H2265">
        <v>469.99</v>
      </c>
      <c r="I2265" s="5">
        <v>0.05</v>
      </c>
      <c r="J2265">
        <f t="shared" si="70"/>
        <v>892.98099999999999</v>
      </c>
      <c r="K2265" s="9">
        <f t="shared" si="71"/>
        <v>-0.5490815238530955</v>
      </c>
    </row>
    <row r="2266" spans="1:11" x14ac:dyDescent="0.3">
      <c r="A2266">
        <v>799</v>
      </c>
      <c r="B2266">
        <v>3</v>
      </c>
      <c r="C2266">
        <v>29</v>
      </c>
      <c r="D2266" t="str">
        <f>VLOOKUP($C2266,products!$A$1:$F$322,MATCH(order_items!$D$1,products!$A$1:$F$1,0),FALSE)</f>
        <v>Trek X-Caliber 8 - 2017</v>
      </c>
      <c r="E2266">
        <f>VLOOKUP($C2266,products!$A$1:$F$322,MATCH(order_items!$E$1,products!$A$1:$F$1,0),FALSE)</f>
        <v>6</v>
      </c>
      <c r="F2266" t="str">
        <f>VLOOKUP($E2266,categories!$A$1:$B$8,MATCH(order_items!$F$1,categories!$A$1:$B$1,0),FALSE)</f>
        <v>Mountain Bikes</v>
      </c>
      <c r="G2266">
        <v>2</v>
      </c>
      <c r="H2266">
        <v>999.99</v>
      </c>
      <c r="I2266" s="5">
        <v>7.0000000000000007E-2</v>
      </c>
      <c r="J2266">
        <f t="shared" si="70"/>
        <v>1859.9813999999999</v>
      </c>
      <c r="K2266" s="9">
        <f t="shared" si="71"/>
        <v>-0.15725951613718298</v>
      </c>
    </row>
    <row r="2267" spans="1:11" x14ac:dyDescent="0.3">
      <c r="A2267">
        <v>799</v>
      </c>
      <c r="B2267">
        <v>4</v>
      </c>
      <c r="C2267">
        <v>63</v>
      </c>
      <c r="D2267" t="str">
        <f>VLOOKUP($C2267,products!$A$1:$F$322,MATCH(order_items!$D$1,products!$A$1:$F$1,0),FALSE)</f>
        <v>Trek Boone Race Shop Limited - 2017</v>
      </c>
      <c r="E2267">
        <f>VLOOKUP($C2267,products!$A$1:$F$322,MATCH(order_items!$E$1,products!$A$1:$F$1,0),FALSE)</f>
        <v>4</v>
      </c>
      <c r="F2267" t="str">
        <f>VLOOKUP($E2267,categories!$A$1:$B$8,MATCH(order_items!$F$1,categories!$A$1:$B$1,0),FALSE)</f>
        <v>Cyclocross Bicycles</v>
      </c>
      <c r="G2267">
        <v>1</v>
      </c>
      <c r="H2267">
        <v>3499.99</v>
      </c>
      <c r="I2267" s="5">
        <v>0.1</v>
      </c>
      <c r="J2267">
        <f t="shared" si="70"/>
        <v>3149.991</v>
      </c>
      <c r="K2267" s="9">
        <f t="shared" si="71"/>
        <v>1.6909575013907066</v>
      </c>
    </row>
    <row r="2268" spans="1:11" x14ac:dyDescent="0.3">
      <c r="A2268">
        <v>799</v>
      </c>
      <c r="B2268">
        <v>5</v>
      </c>
      <c r="C2268">
        <v>58</v>
      </c>
      <c r="D2268" t="str">
        <f>VLOOKUP($C2268,products!$A$1:$F$322,MATCH(order_items!$D$1,products!$A$1:$F$1,0),FALSE)</f>
        <v>Trek Madone 9.2 - 2017</v>
      </c>
      <c r="E2268">
        <f>VLOOKUP($C2268,products!$A$1:$F$322,MATCH(order_items!$E$1,products!$A$1:$F$1,0),FALSE)</f>
        <v>7</v>
      </c>
      <c r="F2268" t="str">
        <f>VLOOKUP($E2268,categories!$A$1:$B$8,MATCH(order_items!$F$1,categories!$A$1:$B$1,0),FALSE)</f>
        <v>Road Bikes</v>
      </c>
      <c r="G2268">
        <v>2</v>
      </c>
      <c r="H2268">
        <v>4999.99</v>
      </c>
      <c r="I2268" s="5">
        <v>7.0000000000000007E-2</v>
      </c>
      <c r="J2268">
        <f t="shared" si="70"/>
        <v>9299.9813999999988</v>
      </c>
      <c r="K2268" s="9">
        <f t="shared" si="71"/>
        <v>2.7998877119074401</v>
      </c>
    </row>
    <row r="2269" spans="1:11" x14ac:dyDescent="0.3">
      <c r="A2269">
        <v>800</v>
      </c>
      <c r="B2269">
        <v>1</v>
      </c>
      <c r="C2269">
        <v>65</v>
      </c>
      <c r="D2269" t="str">
        <f>VLOOKUP($C2269,products!$A$1:$F$322,MATCH(order_items!$D$1,products!$A$1:$F$1,0),FALSE)</f>
        <v>Sun Bicycles Lil Bolt Type-R - 2017</v>
      </c>
      <c r="E2269">
        <f>VLOOKUP($C2269,products!$A$1:$F$322,MATCH(order_items!$E$1,products!$A$1:$F$1,0),FALSE)</f>
        <v>3</v>
      </c>
      <c r="F2269" t="str">
        <f>VLOOKUP($E2269,categories!$A$1:$B$8,MATCH(order_items!$F$1,categories!$A$1:$B$1,0),FALSE)</f>
        <v>Cruisers Bicycles</v>
      </c>
      <c r="G2269">
        <v>2</v>
      </c>
      <c r="H2269">
        <v>346.99</v>
      </c>
      <c r="I2269" s="5">
        <v>0.1</v>
      </c>
      <c r="J2269">
        <f t="shared" si="70"/>
        <v>624.58199999999999</v>
      </c>
      <c r="K2269" s="9">
        <f t="shared" si="71"/>
        <v>-0.64001380111546768</v>
      </c>
    </row>
    <row r="2270" spans="1:11" x14ac:dyDescent="0.3">
      <c r="A2270">
        <v>800</v>
      </c>
      <c r="B2270">
        <v>2</v>
      </c>
      <c r="C2270">
        <v>54</v>
      </c>
      <c r="D2270" t="str">
        <f>VLOOKUP($C2270,products!$A$1:$F$322,MATCH(order_items!$D$1,products!$A$1:$F$1,0),FALSE)</f>
        <v>Trek Domane SL Disc Frameset - 2017</v>
      </c>
      <c r="E2270">
        <f>VLOOKUP($C2270,products!$A$1:$F$322,MATCH(order_items!$E$1,products!$A$1:$F$1,0),FALSE)</f>
        <v>7</v>
      </c>
      <c r="F2270" t="str">
        <f>VLOOKUP($E2270,categories!$A$1:$B$8,MATCH(order_items!$F$1,categories!$A$1:$B$1,0),FALSE)</f>
        <v>Road Bikes</v>
      </c>
      <c r="G2270">
        <v>1</v>
      </c>
      <c r="H2270">
        <v>3199.99</v>
      </c>
      <c r="I2270" s="5">
        <v>7.0000000000000007E-2</v>
      </c>
      <c r="J2270">
        <f t="shared" si="70"/>
        <v>2975.9906999999994</v>
      </c>
      <c r="K2270" s="9">
        <f t="shared" si="71"/>
        <v>1.4691714592873595</v>
      </c>
    </row>
    <row r="2271" spans="1:11" x14ac:dyDescent="0.3">
      <c r="A2271">
        <v>800</v>
      </c>
      <c r="B2271">
        <v>3</v>
      </c>
      <c r="C2271">
        <v>6</v>
      </c>
      <c r="D2271" t="str">
        <f>VLOOKUP($C2271,products!$A$1:$F$322,MATCH(order_items!$D$1,products!$A$1:$F$1,0),FALSE)</f>
        <v>Surly Ice Cream Truck Frameset - 2016</v>
      </c>
      <c r="E2271">
        <f>VLOOKUP($C2271,products!$A$1:$F$322,MATCH(order_items!$E$1,products!$A$1:$F$1,0),FALSE)</f>
        <v>6</v>
      </c>
      <c r="F2271" t="str">
        <f>VLOOKUP($E2271,categories!$A$1:$B$8,MATCH(order_items!$F$1,categories!$A$1:$B$1,0),FALSE)</f>
        <v>Mountain Bikes</v>
      </c>
      <c r="G2271">
        <v>2</v>
      </c>
      <c r="H2271">
        <v>469.99</v>
      </c>
      <c r="I2271" s="5">
        <v>0.05</v>
      </c>
      <c r="J2271">
        <f t="shared" si="70"/>
        <v>892.98099999999999</v>
      </c>
      <c r="K2271" s="9">
        <f t="shared" si="71"/>
        <v>-0.5490815238530955</v>
      </c>
    </row>
    <row r="2272" spans="1:11" x14ac:dyDescent="0.3">
      <c r="A2272">
        <v>800</v>
      </c>
      <c r="B2272">
        <v>4</v>
      </c>
      <c r="C2272">
        <v>52</v>
      </c>
      <c r="D2272" t="str">
        <f>VLOOKUP($C2272,products!$A$1:$F$322,MATCH(order_items!$D$1,products!$A$1:$F$1,0),FALSE)</f>
        <v>Surly Steamroller - 2017</v>
      </c>
      <c r="E2272">
        <f>VLOOKUP($C2272,products!$A$1:$F$322,MATCH(order_items!$E$1,products!$A$1:$F$1,0),FALSE)</f>
        <v>7</v>
      </c>
      <c r="F2272" t="str">
        <f>VLOOKUP($E2272,categories!$A$1:$B$8,MATCH(order_items!$F$1,categories!$A$1:$B$1,0),FALSE)</f>
        <v>Road Bikes</v>
      </c>
      <c r="G2272">
        <v>1</v>
      </c>
      <c r="H2272">
        <v>875.99</v>
      </c>
      <c r="I2272" s="5">
        <v>0.1</v>
      </c>
      <c r="J2272">
        <f t="shared" si="70"/>
        <v>788.39100000000008</v>
      </c>
      <c r="K2272" s="9">
        <f t="shared" si="71"/>
        <v>-0.24893108020656629</v>
      </c>
    </row>
    <row r="2273" spans="1:11" x14ac:dyDescent="0.3">
      <c r="A2273">
        <v>800</v>
      </c>
      <c r="B2273">
        <v>5</v>
      </c>
      <c r="C2273">
        <v>95</v>
      </c>
      <c r="D2273" t="str">
        <f>VLOOKUP($C2273,products!$A$1:$F$322,MATCH(order_items!$D$1,products!$A$1:$F$1,0),FALSE)</f>
        <v>Electra Girl's Hawaii 1 16" - 2017</v>
      </c>
      <c r="E2273">
        <f>VLOOKUP($C2273,products!$A$1:$F$322,MATCH(order_items!$E$1,products!$A$1:$F$1,0),FALSE)</f>
        <v>1</v>
      </c>
      <c r="F2273" t="str">
        <f>VLOOKUP($E2273,categories!$A$1:$B$8,MATCH(order_items!$F$1,categories!$A$1:$B$1,0),FALSE)</f>
        <v>Children Bicycles</v>
      </c>
      <c r="G2273">
        <v>2</v>
      </c>
      <c r="H2273">
        <v>299.99</v>
      </c>
      <c r="I2273" s="5">
        <v>0.05</v>
      </c>
      <c r="J2273">
        <f t="shared" si="70"/>
        <v>569.98099999999999</v>
      </c>
      <c r="K2273" s="9">
        <f t="shared" si="71"/>
        <v>-0.67476028104499197</v>
      </c>
    </row>
    <row r="2274" spans="1:11" x14ac:dyDescent="0.3">
      <c r="A2274">
        <v>801</v>
      </c>
      <c r="B2274">
        <v>1</v>
      </c>
      <c r="C2274">
        <v>101</v>
      </c>
      <c r="D2274" t="str">
        <f>VLOOKUP($C2274,products!$A$1:$F$322,MATCH(order_items!$D$1,products!$A$1:$F$1,0),FALSE)</f>
        <v>Electra Townie 7D (20-inch) - Boys' - 2017</v>
      </c>
      <c r="E2274">
        <f>VLOOKUP($C2274,products!$A$1:$F$322,MATCH(order_items!$E$1,products!$A$1:$F$1,0),FALSE)</f>
        <v>1</v>
      </c>
      <c r="F2274" t="str">
        <f>VLOOKUP($E2274,categories!$A$1:$B$8,MATCH(order_items!$F$1,categories!$A$1:$B$1,0),FALSE)</f>
        <v>Children Bicycles</v>
      </c>
      <c r="G2274">
        <v>1</v>
      </c>
      <c r="H2274">
        <v>339.99</v>
      </c>
      <c r="I2274" s="5">
        <v>7.0000000000000007E-2</v>
      </c>
      <c r="J2274">
        <f t="shared" si="70"/>
        <v>316.19069999999999</v>
      </c>
      <c r="K2274" s="9">
        <f t="shared" si="71"/>
        <v>-0.64518880876454576</v>
      </c>
    </row>
    <row r="2275" spans="1:11" x14ac:dyDescent="0.3">
      <c r="A2275">
        <v>802</v>
      </c>
      <c r="B2275">
        <v>1</v>
      </c>
      <c r="C2275">
        <v>30</v>
      </c>
      <c r="D2275" t="str">
        <f>VLOOKUP($C2275,products!$A$1:$F$322,MATCH(order_items!$D$1,products!$A$1:$F$1,0),FALSE)</f>
        <v>Surly Ice Cream Truck Frameset - 2017</v>
      </c>
      <c r="E2275">
        <f>VLOOKUP($C2275,products!$A$1:$F$322,MATCH(order_items!$E$1,products!$A$1:$F$1,0),FALSE)</f>
        <v>6</v>
      </c>
      <c r="F2275" t="str">
        <f>VLOOKUP($E2275,categories!$A$1:$B$8,MATCH(order_items!$F$1,categories!$A$1:$B$1,0),FALSE)</f>
        <v>Mountain Bikes</v>
      </c>
      <c r="G2275">
        <v>1</v>
      </c>
      <c r="H2275">
        <v>999.99</v>
      </c>
      <c r="I2275" s="5">
        <v>0.05</v>
      </c>
      <c r="J2275">
        <f t="shared" si="70"/>
        <v>949.9905</v>
      </c>
      <c r="K2275" s="9">
        <f t="shared" si="71"/>
        <v>-0.15725951613718298</v>
      </c>
    </row>
    <row r="2276" spans="1:11" x14ac:dyDescent="0.3">
      <c r="A2276">
        <v>802</v>
      </c>
      <c r="B2276">
        <v>2</v>
      </c>
      <c r="C2276">
        <v>36</v>
      </c>
      <c r="D2276" t="str">
        <f>VLOOKUP($C2276,products!$A$1:$F$322,MATCH(order_items!$D$1,products!$A$1:$F$1,0),FALSE)</f>
        <v>Surly Troll Frameset - 2017</v>
      </c>
      <c r="E2276">
        <f>VLOOKUP($C2276,products!$A$1:$F$322,MATCH(order_items!$E$1,products!$A$1:$F$1,0),FALSE)</f>
        <v>6</v>
      </c>
      <c r="F2276" t="str">
        <f>VLOOKUP($E2276,categories!$A$1:$B$8,MATCH(order_items!$F$1,categories!$A$1:$B$1,0),FALSE)</f>
        <v>Mountain Bikes</v>
      </c>
      <c r="G2276">
        <v>2</v>
      </c>
      <c r="H2276">
        <v>832.99</v>
      </c>
      <c r="I2276" s="5">
        <v>0.2</v>
      </c>
      <c r="J2276">
        <f t="shared" si="70"/>
        <v>1332.7840000000001</v>
      </c>
      <c r="K2276" s="9">
        <f t="shared" si="71"/>
        <v>-0.280720412908046</v>
      </c>
    </row>
    <row r="2277" spans="1:11" x14ac:dyDescent="0.3">
      <c r="A2277">
        <v>802</v>
      </c>
      <c r="B2277">
        <v>3</v>
      </c>
      <c r="C2277">
        <v>40</v>
      </c>
      <c r="D2277" t="str">
        <f>VLOOKUP($C2277,products!$A$1:$F$322,MATCH(order_items!$D$1,products!$A$1:$F$1,0),FALSE)</f>
        <v>Trek Fuel EX 9.8 29 - 2017</v>
      </c>
      <c r="E2277">
        <f>VLOOKUP($C2277,products!$A$1:$F$322,MATCH(order_items!$E$1,products!$A$1:$F$1,0),FALSE)</f>
        <v>6</v>
      </c>
      <c r="F2277" t="str">
        <f>VLOOKUP($E2277,categories!$A$1:$B$8,MATCH(order_items!$F$1,categories!$A$1:$B$1,0),FALSE)</f>
        <v>Mountain Bikes</v>
      </c>
      <c r="G2277">
        <v>1</v>
      </c>
      <c r="H2277">
        <v>4999.99</v>
      </c>
      <c r="I2277" s="5">
        <v>0.1</v>
      </c>
      <c r="J2277">
        <f t="shared" si="70"/>
        <v>4499.991</v>
      </c>
      <c r="K2277" s="9">
        <f t="shared" si="71"/>
        <v>2.7998877119074401</v>
      </c>
    </row>
    <row r="2278" spans="1:11" x14ac:dyDescent="0.3">
      <c r="A2278">
        <v>802</v>
      </c>
      <c r="B2278">
        <v>4</v>
      </c>
      <c r="C2278">
        <v>28</v>
      </c>
      <c r="D2278" t="str">
        <f>VLOOKUP($C2278,products!$A$1:$F$322,MATCH(order_items!$D$1,products!$A$1:$F$1,0),FALSE)</f>
        <v>Surly Karate Monkey 27.5+ Frameset - 2017</v>
      </c>
      <c r="E2278">
        <f>VLOOKUP($C2278,products!$A$1:$F$322,MATCH(order_items!$E$1,products!$A$1:$F$1,0),FALSE)</f>
        <v>6</v>
      </c>
      <c r="F2278" t="str">
        <f>VLOOKUP($E2278,categories!$A$1:$B$8,MATCH(order_items!$F$1,categories!$A$1:$B$1,0),FALSE)</f>
        <v>Mountain Bikes</v>
      </c>
      <c r="G2278">
        <v>1</v>
      </c>
      <c r="H2278">
        <v>2499.9899999999998</v>
      </c>
      <c r="I2278" s="5">
        <v>0.05</v>
      </c>
      <c r="J2278">
        <f t="shared" si="70"/>
        <v>2374.9904999999999</v>
      </c>
      <c r="K2278" s="9">
        <f t="shared" si="71"/>
        <v>0.95167069437955054</v>
      </c>
    </row>
    <row r="2279" spans="1:11" x14ac:dyDescent="0.3">
      <c r="A2279">
        <v>803</v>
      </c>
      <c r="B2279">
        <v>1</v>
      </c>
      <c r="C2279">
        <v>111</v>
      </c>
      <c r="D2279" t="str">
        <f>VLOOKUP($C2279,products!$A$1:$F$322,MATCH(order_items!$D$1,products!$A$1:$F$1,0),FALSE)</f>
        <v>Sun Bicycles Drifter 7 - Women's - 2017</v>
      </c>
      <c r="E2279">
        <f>VLOOKUP($C2279,products!$A$1:$F$322,MATCH(order_items!$E$1,products!$A$1:$F$1,0),FALSE)</f>
        <v>2</v>
      </c>
      <c r="F2279" t="str">
        <f>VLOOKUP($E2279,categories!$A$1:$B$8,MATCH(order_items!$F$1,categories!$A$1:$B$1,0),FALSE)</f>
        <v>Comfort Bicycles</v>
      </c>
      <c r="G2279">
        <v>1</v>
      </c>
      <c r="H2279">
        <v>470.99</v>
      </c>
      <c r="I2279" s="5">
        <v>7.0000000000000007E-2</v>
      </c>
      <c r="J2279">
        <f t="shared" si="70"/>
        <v>438.02069999999998</v>
      </c>
      <c r="K2279" s="9">
        <f t="shared" si="71"/>
        <v>-0.54834223704608442</v>
      </c>
    </row>
    <row r="2280" spans="1:11" x14ac:dyDescent="0.3">
      <c r="A2280">
        <v>803</v>
      </c>
      <c r="B2280">
        <v>2</v>
      </c>
      <c r="C2280">
        <v>52</v>
      </c>
      <c r="D2280" t="str">
        <f>VLOOKUP($C2280,products!$A$1:$F$322,MATCH(order_items!$D$1,products!$A$1:$F$1,0),FALSE)</f>
        <v>Surly Steamroller - 2017</v>
      </c>
      <c r="E2280">
        <f>VLOOKUP($C2280,products!$A$1:$F$322,MATCH(order_items!$E$1,products!$A$1:$F$1,0),FALSE)</f>
        <v>7</v>
      </c>
      <c r="F2280" t="str">
        <f>VLOOKUP($E2280,categories!$A$1:$B$8,MATCH(order_items!$F$1,categories!$A$1:$B$1,0),FALSE)</f>
        <v>Road Bikes</v>
      </c>
      <c r="G2280">
        <v>2</v>
      </c>
      <c r="H2280">
        <v>875.99</v>
      </c>
      <c r="I2280" s="5">
        <v>0.05</v>
      </c>
      <c r="J2280">
        <f t="shared" si="70"/>
        <v>1664.3809999999999</v>
      </c>
      <c r="K2280" s="9">
        <f t="shared" si="71"/>
        <v>-0.24893108020656629</v>
      </c>
    </row>
    <row r="2281" spans="1:11" x14ac:dyDescent="0.3">
      <c r="A2281">
        <v>803</v>
      </c>
      <c r="B2281">
        <v>3</v>
      </c>
      <c r="C2281">
        <v>102</v>
      </c>
      <c r="D2281" t="str">
        <f>VLOOKUP($C2281,products!$A$1:$F$322,MATCH(order_items!$D$1,products!$A$1:$F$1,0),FALSE)</f>
        <v>Electra Townie Original 7D - 2017</v>
      </c>
      <c r="E2281">
        <f>VLOOKUP($C2281,products!$A$1:$F$322,MATCH(order_items!$E$1,products!$A$1:$F$1,0),FALSE)</f>
        <v>2</v>
      </c>
      <c r="F2281" t="str">
        <f>VLOOKUP($E2281,categories!$A$1:$B$8,MATCH(order_items!$F$1,categories!$A$1:$B$1,0),FALSE)</f>
        <v>Comfort Bicycles</v>
      </c>
      <c r="G2281">
        <v>1</v>
      </c>
      <c r="H2281">
        <v>489.99</v>
      </c>
      <c r="I2281" s="5">
        <v>7.0000000000000007E-2</v>
      </c>
      <c r="J2281">
        <f t="shared" si="70"/>
        <v>455.69069999999999</v>
      </c>
      <c r="K2281" s="9">
        <f t="shared" si="71"/>
        <v>-0.53429578771287245</v>
      </c>
    </row>
    <row r="2282" spans="1:11" x14ac:dyDescent="0.3">
      <c r="A2282">
        <v>803</v>
      </c>
      <c r="B2282">
        <v>4</v>
      </c>
      <c r="C2282">
        <v>83</v>
      </c>
      <c r="D2282" t="str">
        <f>VLOOKUP($C2282,products!$A$1:$F$322,MATCH(order_items!$D$1,products!$A$1:$F$1,0),FALSE)</f>
        <v>Trek Boy's Kickster - 2015/2017</v>
      </c>
      <c r="E2282">
        <f>VLOOKUP($C2282,products!$A$1:$F$322,MATCH(order_items!$E$1,products!$A$1:$F$1,0),FALSE)</f>
        <v>1</v>
      </c>
      <c r="F2282" t="str">
        <f>VLOOKUP($E2282,categories!$A$1:$B$8,MATCH(order_items!$F$1,categories!$A$1:$B$1,0),FALSE)</f>
        <v>Children Bicycles</v>
      </c>
      <c r="G2282">
        <v>2</v>
      </c>
      <c r="H2282">
        <v>149.99</v>
      </c>
      <c r="I2282" s="5">
        <v>0.05</v>
      </c>
      <c r="J2282">
        <f t="shared" si="70"/>
        <v>284.98099999999999</v>
      </c>
      <c r="K2282" s="9">
        <f t="shared" si="71"/>
        <v>-0.7856533020966654</v>
      </c>
    </row>
    <row r="2283" spans="1:11" x14ac:dyDescent="0.3">
      <c r="A2283">
        <v>804</v>
      </c>
      <c r="B2283">
        <v>1</v>
      </c>
      <c r="C2283">
        <v>89</v>
      </c>
      <c r="D2283" t="str">
        <f>VLOOKUP($C2283,products!$A$1:$F$322,MATCH(order_items!$D$1,products!$A$1:$F$1,0),FALSE)</f>
        <v>Trek Precaliber 16 Boys - 2017</v>
      </c>
      <c r="E2283">
        <f>VLOOKUP($C2283,products!$A$1:$F$322,MATCH(order_items!$E$1,products!$A$1:$F$1,0),FALSE)</f>
        <v>1</v>
      </c>
      <c r="F2283" t="str">
        <f>VLOOKUP($E2283,categories!$A$1:$B$8,MATCH(order_items!$F$1,categories!$A$1:$B$1,0),FALSE)</f>
        <v>Children Bicycles</v>
      </c>
      <c r="G2283">
        <v>2</v>
      </c>
      <c r="H2283">
        <v>209.99</v>
      </c>
      <c r="I2283" s="5">
        <v>0.2</v>
      </c>
      <c r="J2283">
        <f t="shared" si="70"/>
        <v>335.98400000000004</v>
      </c>
      <c r="K2283" s="9">
        <f t="shared" si="71"/>
        <v>-0.74129609367599603</v>
      </c>
    </row>
    <row r="2284" spans="1:11" x14ac:dyDescent="0.3">
      <c r="A2284">
        <v>804</v>
      </c>
      <c r="B2284">
        <v>2</v>
      </c>
      <c r="C2284">
        <v>53</v>
      </c>
      <c r="D2284" t="str">
        <f>VLOOKUP($C2284,products!$A$1:$F$322,MATCH(order_items!$D$1,products!$A$1:$F$1,0),FALSE)</f>
        <v>Surly Ogre Frameset - 2017</v>
      </c>
      <c r="E2284">
        <f>VLOOKUP($C2284,products!$A$1:$F$322,MATCH(order_items!$E$1,products!$A$1:$F$1,0),FALSE)</f>
        <v>7</v>
      </c>
      <c r="F2284" t="str">
        <f>VLOOKUP($E2284,categories!$A$1:$B$8,MATCH(order_items!$F$1,categories!$A$1:$B$1,0),FALSE)</f>
        <v>Road Bikes</v>
      </c>
      <c r="G2284">
        <v>1</v>
      </c>
      <c r="H2284">
        <v>749.99</v>
      </c>
      <c r="I2284" s="5">
        <v>7.0000000000000007E-2</v>
      </c>
      <c r="J2284">
        <f t="shared" si="70"/>
        <v>697.49069999999995</v>
      </c>
      <c r="K2284" s="9">
        <f t="shared" si="71"/>
        <v>-0.34208121788997192</v>
      </c>
    </row>
    <row r="2285" spans="1:11" x14ac:dyDescent="0.3">
      <c r="A2285">
        <v>804</v>
      </c>
      <c r="B2285">
        <v>3</v>
      </c>
      <c r="C2285">
        <v>50</v>
      </c>
      <c r="D2285" t="str">
        <f>VLOOKUP($C2285,products!$A$1:$F$322,MATCH(order_items!$D$1,products!$A$1:$F$1,0),FALSE)</f>
        <v>Trek Silque SLR 7 Women's - 2017</v>
      </c>
      <c r="E2285">
        <f>VLOOKUP($C2285,products!$A$1:$F$322,MATCH(order_items!$E$1,products!$A$1:$F$1,0),FALSE)</f>
        <v>7</v>
      </c>
      <c r="F2285" t="str">
        <f>VLOOKUP($E2285,categories!$A$1:$B$8,MATCH(order_items!$F$1,categories!$A$1:$B$1,0),FALSE)</f>
        <v>Road Bikes</v>
      </c>
      <c r="G2285">
        <v>2</v>
      </c>
      <c r="H2285">
        <v>5999.99</v>
      </c>
      <c r="I2285" s="5">
        <v>0.05</v>
      </c>
      <c r="J2285">
        <f t="shared" si="70"/>
        <v>11399.981</v>
      </c>
      <c r="K2285" s="9">
        <f t="shared" si="71"/>
        <v>3.5391745189185961</v>
      </c>
    </row>
    <row r="2286" spans="1:11" x14ac:dyDescent="0.3">
      <c r="A2286">
        <v>805</v>
      </c>
      <c r="B2286">
        <v>1</v>
      </c>
      <c r="C2286">
        <v>24</v>
      </c>
      <c r="D2286" t="str">
        <f>VLOOKUP($C2286,products!$A$1:$F$322,MATCH(order_items!$D$1,products!$A$1:$F$1,0),FALSE)</f>
        <v>Electra Townie Original 21D - 2016</v>
      </c>
      <c r="E2286">
        <f>VLOOKUP($C2286,products!$A$1:$F$322,MATCH(order_items!$E$1,products!$A$1:$F$1,0),FALSE)</f>
        <v>2</v>
      </c>
      <c r="F2286" t="str">
        <f>VLOOKUP($E2286,categories!$A$1:$B$8,MATCH(order_items!$F$1,categories!$A$1:$B$1,0),FALSE)</f>
        <v>Comfort Bicycles</v>
      </c>
      <c r="G2286">
        <v>1</v>
      </c>
      <c r="H2286">
        <v>549.99</v>
      </c>
      <c r="I2286" s="5">
        <v>0.05</v>
      </c>
      <c r="J2286">
        <f t="shared" si="70"/>
        <v>522.4905</v>
      </c>
      <c r="K2286" s="9">
        <f t="shared" si="71"/>
        <v>-0.48993857929220308</v>
      </c>
    </row>
    <row r="2287" spans="1:11" x14ac:dyDescent="0.3">
      <c r="A2287">
        <v>805</v>
      </c>
      <c r="B2287">
        <v>2</v>
      </c>
      <c r="C2287">
        <v>33</v>
      </c>
      <c r="D2287" t="str">
        <f>VLOOKUP($C2287,products!$A$1:$F$322,MATCH(order_items!$D$1,products!$A$1:$F$1,0),FALSE)</f>
        <v>Surly Wednesday Frameset - 2017</v>
      </c>
      <c r="E2287">
        <f>VLOOKUP($C2287,products!$A$1:$F$322,MATCH(order_items!$E$1,products!$A$1:$F$1,0),FALSE)</f>
        <v>6</v>
      </c>
      <c r="F2287" t="str">
        <f>VLOOKUP($E2287,categories!$A$1:$B$8,MATCH(order_items!$F$1,categories!$A$1:$B$1,0),FALSE)</f>
        <v>Mountain Bikes</v>
      </c>
      <c r="G2287">
        <v>2</v>
      </c>
      <c r="H2287">
        <v>469.99</v>
      </c>
      <c r="I2287" s="5">
        <v>0.2</v>
      </c>
      <c r="J2287">
        <f t="shared" si="70"/>
        <v>751.98400000000004</v>
      </c>
      <c r="K2287" s="9">
        <f t="shared" si="71"/>
        <v>-0.5490815238530955</v>
      </c>
    </row>
    <row r="2288" spans="1:11" x14ac:dyDescent="0.3">
      <c r="A2288">
        <v>805</v>
      </c>
      <c r="B2288">
        <v>3</v>
      </c>
      <c r="C2288">
        <v>62</v>
      </c>
      <c r="D2288" t="str">
        <f>VLOOKUP($C2288,products!$A$1:$F$322,MATCH(order_items!$D$1,products!$A$1:$F$1,0),FALSE)</f>
        <v>Trek Boone 7 - 2017</v>
      </c>
      <c r="E2288">
        <f>VLOOKUP($C2288,products!$A$1:$F$322,MATCH(order_items!$E$1,products!$A$1:$F$1,0),FALSE)</f>
        <v>4</v>
      </c>
      <c r="F2288" t="str">
        <f>VLOOKUP($E2288,categories!$A$1:$B$8,MATCH(order_items!$F$1,categories!$A$1:$B$1,0),FALSE)</f>
        <v>Cyclocross Bicycles</v>
      </c>
      <c r="G2288">
        <v>2</v>
      </c>
      <c r="H2288">
        <v>3499.99</v>
      </c>
      <c r="I2288" s="5">
        <v>0.2</v>
      </c>
      <c r="J2288">
        <f t="shared" si="70"/>
        <v>5599.9840000000004</v>
      </c>
      <c r="K2288" s="9">
        <f t="shared" si="71"/>
        <v>1.6909575013907066</v>
      </c>
    </row>
    <row r="2289" spans="1:11" x14ac:dyDescent="0.3">
      <c r="A2289">
        <v>805</v>
      </c>
      <c r="B2289">
        <v>4</v>
      </c>
      <c r="C2289">
        <v>32</v>
      </c>
      <c r="D2289" t="str">
        <f>VLOOKUP($C2289,products!$A$1:$F$322,MATCH(order_items!$D$1,products!$A$1:$F$1,0),FALSE)</f>
        <v>Trek Farley Alloy Frameset - 2017</v>
      </c>
      <c r="E2289">
        <f>VLOOKUP($C2289,products!$A$1:$F$322,MATCH(order_items!$E$1,products!$A$1:$F$1,0),FALSE)</f>
        <v>6</v>
      </c>
      <c r="F2289" t="str">
        <f>VLOOKUP($E2289,categories!$A$1:$B$8,MATCH(order_items!$F$1,categories!$A$1:$B$1,0),FALSE)</f>
        <v>Mountain Bikes</v>
      </c>
      <c r="G2289">
        <v>1</v>
      </c>
      <c r="H2289">
        <v>469.99</v>
      </c>
      <c r="I2289" s="5">
        <v>7.0000000000000007E-2</v>
      </c>
      <c r="J2289">
        <f t="shared" si="70"/>
        <v>437.09069999999997</v>
      </c>
      <c r="K2289" s="9">
        <f t="shared" si="71"/>
        <v>-0.5490815238530955</v>
      </c>
    </row>
    <row r="2290" spans="1:11" x14ac:dyDescent="0.3">
      <c r="A2290">
        <v>805</v>
      </c>
      <c r="B2290">
        <v>5</v>
      </c>
      <c r="C2290">
        <v>6</v>
      </c>
      <c r="D2290" t="str">
        <f>VLOOKUP($C2290,products!$A$1:$F$322,MATCH(order_items!$D$1,products!$A$1:$F$1,0),FALSE)</f>
        <v>Surly Ice Cream Truck Frameset - 2016</v>
      </c>
      <c r="E2290">
        <f>VLOOKUP($C2290,products!$A$1:$F$322,MATCH(order_items!$E$1,products!$A$1:$F$1,0),FALSE)</f>
        <v>6</v>
      </c>
      <c r="F2290" t="str">
        <f>VLOOKUP($E2290,categories!$A$1:$B$8,MATCH(order_items!$F$1,categories!$A$1:$B$1,0),FALSE)</f>
        <v>Mountain Bikes</v>
      </c>
      <c r="G2290">
        <v>2</v>
      </c>
      <c r="H2290">
        <v>469.99</v>
      </c>
      <c r="I2290" s="5">
        <v>0.05</v>
      </c>
      <c r="J2290">
        <f t="shared" si="70"/>
        <v>892.98099999999999</v>
      </c>
      <c r="K2290" s="9">
        <f t="shared" si="71"/>
        <v>-0.5490815238530955</v>
      </c>
    </row>
    <row r="2291" spans="1:11" x14ac:dyDescent="0.3">
      <c r="A2291">
        <v>806</v>
      </c>
      <c r="B2291">
        <v>1</v>
      </c>
      <c r="C2291">
        <v>93</v>
      </c>
      <c r="D2291" t="str">
        <f>VLOOKUP($C2291,products!$A$1:$F$322,MATCH(order_items!$D$1,products!$A$1:$F$1,0),FALSE)</f>
        <v>Haro Shredder 20 Girls - 2017</v>
      </c>
      <c r="E2291">
        <f>VLOOKUP($C2291,products!$A$1:$F$322,MATCH(order_items!$E$1,products!$A$1:$F$1,0),FALSE)</f>
        <v>1</v>
      </c>
      <c r="F2291" t="str">
        <f>VLOOKUP($E2291,categories!$A$1:$B$8,MATCH(order_items!$F$1,categories!$A$1:$B$1,0),FALSE)</f>
        <v>Children Bicycles</v>
      </c>
      <c r="G2291">
        <v>2</v>
      </c>
      <c r="H2291">
        <v>209.99</v>
      </c>
      <c r="I2291" s="5">
        <v>0.1</v>
      </c>
      <c r="J2291">
        <f t="shared" si="70"/>
        <v>377.98200000000003</v>
      </c>
      <c r="K2291" s="9">
        <f t="shared" si="71"/>
        <v>-0.74129609367599603</v>
      </c>
    </row>
    <row r="2292" spans="1:11" x14ac:dyDescent="0.3">
      <c r="A2292">
        <v>806</v>
      </c>
      <c r="B2292">
        <v>2</v>
      </c>
      <c r="C2292">
        <v>97</v>
      </c>
      <c r="D2292" t="str">
        <f>VLOOKUP($C2292,products!$A$1:$F$322,MATCH(order_items!$D$1,products!$A$1:$F$1,0),FALSE)</f>
        <v>Electra Savannah 3i (20-inch) - Girl's - 2017</v>
      </c>
      <c r="E2292">
        <f>VLOOKUP($C2292,products!$A$1:$F$322,MATCH(order_items!$E$1,products!$A$1:$F$1,0),FALSE)</f>
        <v>1</v>
      </c>
      <c r="F2292" t="str">
        <f>VLOOKUP($E2292,categories!$A$1:$B$8,MATCH(order_items!$F$1,categories!$A$1:$B$1,0),FALSE)</f>
        <v>Children Bicycles</v>
      </c>
      <c r="G2292">
        <v>1</v>
      </c>
      <c r="H2292">
        <v>349.99</v>
      </c>
      <c r="I2292" s="5">
        <v>0.2</v>
      </c>
      <c r="J2292">
        <f t="shared" si="70"/>
        <v>279.99200000000002</v>
      </c>
      <c r="K2292" s="9">
        <f t="shared" si="71"/>
        <v>-0.63779594069443424</v>
      </c>
    </row>
    <row r="2293" spans="1:11" x14ac:dyDescent="0.3">
      <c r="A2293">
        <v>806</v>
      </c>
      <c r="B2293">
        <v>3</v>
      </c>
      <c r="C2293">
        <v>77</v>
      </c>
      <c r="D2293" t="str">
        <f>VLOOKUP($C2293,products!$A$1:$F$322,MATCH(order_items!$D$1,products!$A$1:$F$1,0),FALSE)</f>
        <v>Electra Glam Punk 3i Ladies' - 2017</v>
      </c>
      <c r="E2293">
        <f>VLOOKUP($C2293,products!$A$1:$F$322,MATCH(order_items!$E$1,products!$A$1:$F$1,0),FALSE)</f>
        <v>3</v>
      </c>
      <c r="F2293" t="str">
        <f>VLOOKUP($E2293,categories!$A$1:$B$8,MATCH(order_items!$F$1,categories!$A$1:$B$1,0),FALSE)</f>
        <v>Cruisers Bicycles</v>
      </c>
      <c r="G2293">
        <v>2</v>
      </c>
      <c r="H2293">
        <v>799.99</v>
      </c>
      <c r="I2293" s="5">
        <v>0.1</v>
      </c>
      <c r="J2293">
        <f t="shared" si="70"/>
        <v>1439.982</v>
      </c>
      <c r="K2293" s="9">
        <f t="shared" si="71"/>
        <v>-0.30511687753941413</v>
      </c>
    </row>
    <row r="2294" spans="1:11" x14ac:dyDescent="0.3">
      <c r="A2294">
        <v>806</v>
      </c>
      <c r="B2294">
        <v>4</v>
      </c>
      <c r="C2294">
        <v>82</v>
      </c>
      <c r="D2294" t="str">
        <f>VLOOKUP($C2294,products!$A$1:$F$322,MATCH(order_items!$D$1,products!$A$1:$F$1,0),FALSE)</f>
        <v>Electra Amsterdam Original 3i Ladies' - 2017</v>
      </c>
      <c r="E2294">
        <f>VLOOKUP($C2294,products!$A$1:$F$322,MATCH(order_items!$E$1,products!$A$1:$F$1,0),FALSE)</f>
        <v>3</v>
      </c>
      <c r="F2294" t="str">
        <f>VLOOKUP($E2294,categories!$A$1:$B$8,MATCH(order_items!$F$1,categories!$A$1:$B$1,0),FALSE)</f>
        <v>Cruisers Bicycles</v>
      </c>
      <c r="G2294">
        <v>2</v>
      </c>
      <c r="H2294">
        <v>659.99</v>
      </c>
      <c r="I2294" s="5">
        <v>0.2</v>
      </c>
      <c r="J2294">
        <f t="shared" si="70"/>
        <v>1055.9840000000002</v>
      </c>
      <c r="K2294" s="9">
        <f t="shared" si="71"/>
        <v>-0.40861703052097592</v>
      </c>
    </row>
    <row r="2295" spans="1:11" x14ac:dyDescent="0.3">
      <c r="A2295">
        <v>806</v>
      </c>
      <c r="B2295">
        <v>5</v>
      </c>
      <c r="C2295">
        <v>91</v>
      </c>
      <c r="D2295" t="str">
        <f>VLOOKUP($C2295,products!$A$1:$F$322,MATCH(order_items!$D$1,products!$A$1:$F$1,0),FALSE)</f>
        <v>Trek Precaliber 24 (21-Speed) - Girls - 2017</v>
      </c>
      <c r="E2295">
        <f>VLOOKUP($C2295,products!$A$1:$F$322,MATCH(order_items!$E$1,products!$A$1:$F$1,0),FALSE)</f>
        <v>1</v>
      </c>
      <c r="F2295" t="str">
        <f>VLOOKUP($E2295,categories!$A$1:$B$8,MATCH(order_items!$F$1,categories!$A$1:$B$1,0),FALSE)</f>
        <v>Children Bicycles</v>
      </c>
      <c r="G2295">
        <v>2</v>
      </c>
      <c r="H2295">
        <v>349.99</v>
      </c>
      <c r="I2295" s="5">
        <v>7.0000000000000007E-2</v>
      </c>
      <c r="J2295">
        <f t="shared" si="70"/>
        <v>650.98140000000001</v>
      </c>
      <c r="K2295" s="9">
        <f t="shared" si="71"/>
        <v>-0.63779594069443424</v>
      </c>
    </row>
    <row r="2296" spans="1:11" x14ac:dyDescent="0.3">
      <c r="A2296">
        <v>807</v>
      </c>
      <c r="B2296">
        <v>1</v>
      </c>
      <c r="C2296">
        <v>21</v>
      </c>
      <c r="D2296" t="str">
        <f>VLOOKUP($C2296,products!$A$1:$F$322,MATCH(order_items!$D$1,products!$A$1:$F$1,0),FALSE)</f>
        <v>Electra Cruiser 1 (24-Inch) - 2016</v>
      </c>
      <c r="E2296">
        <f>VLOOKUP($C2296,products!$A$1:$F$322,MATCH(order_items!$E$1,products!$A$1:$F$1,0),FALSE)</f>
        <v>1</v>
      </c>
      <c r="F2296" t="str">
        <f>VLOOKUP($E2296,categories!$A$1:$B$8,MATCH(order_items!$F$1,categories!$A$1:$B$1,0),FALSE)</f>
        <v>Children Bicycles</v>
      </c>
      <c r="G2296">
        <v>2</v>
      </c>
      <c r="H2296">
        <v>269.99</v>
      </c>
      <c r="I2296" s="5">
        <v>0.2</v>
      </c>
      <c r="J2296">
        <f t="shared" si="70"/>
        <v>431.98400000000004</v>
      </c>
      <c r="K2296" s="9">
        <f t="shared" si="71"/>
        <v>-0.69693888525532666</v>
      </c>
    </row>
    <row r="2297" spans="1:11" x14ac:dyDescent="0.3">
      <c r="A2297">
        <v>807</v>
      </c>
      <c r="B2297">
        <v>2</v>
      </c>
      <c r="C2297">
        <v>6</v>
      </c>
      <c r="D2297" t="str">
        <f>VLOOKUP($C2297,products!$A$1:$F$322,MATCH(order_items!$D$1,products!$A$1:$F$1,0),FALSE)</f>
        <v>Surly Ice Cream Truck Frameset - 2016</v>
      </c>
      <c r="E2297">
        <f>VLOOKUP($C2297,products!$A$1:$F$322,MATCH(order_items!$E$1,products!$A$1:$F$1,0),FALSE)</f>
        <v>6</v>
      </c>
      <c r="F2297" t="str">
        <f>VLOOKUP($E2297,categories!$A$1:$B$8,MATCH(order_items!$F$1,categories!$A$1:$B$1,0),FALSE)</f>
        <v>Mountain Bikes</v>
      </c>
      <c r="G2297">
        <v>1</v>
      </c>
      <c r="H2297">
        <v>469.99</v>
      </c>
      <c r="I2297" s="5">
        <v>7.0000000000000007E-2</v>
      </c>
      <c r="J2297">
        <f t="shared" si="70"/>
        <v>437.09069999999997</v>
      </c>
      <c r="K2297" s="9">
        <f t="shared" si="71"/>
        <v>-0.5490815238530955</v>
      </c>
    </row>
    <row r="2298" spans="1:11" x14ac:dyDescent="0.3">
      <c r="A2298">
        <v>807</v>
      </c>
      <c r="B2298">
        <v>3</v>
      </c>
      <c r="C2298">
        <v>3</v>
      </c>
      <c r="D2298" t="str">
        <f>VLOOKUP($C2298,products!$A$1:$F$322,MATCH(order_items!$D$1,products!$A$1:$F$1,0),FALSE)</f>
        <v>Surly Wednesday Frameset - 2016</v>
      </c>
      <c r="E2298">
        <f>VLOOKUP($C2298,products!$A$1:$F$322,MATCH(order_items!$E$1,products!$A$1:$F$1,0),FALSE)</f>
        <v>6</v>
      </c>
      <c r="F2298" t="str">
        <f>VLOOKUP($E2298,categories!$A$1:$B$8,MATCH(order_items!$F$1,categories!$A$1:$B$1,0),FALSE)</f>
        <v>Mountain Bikes</v>
      </c>
      <c r="G2298">
        <v>2</v>
      </c>
      <c r="H2298">
        <v>999.99</v>
      </c>
      <c r="I2298" s="5">
        <v>7.0000000000000007E-2</v>
      </c>
      <c r="J2298">
        <f t="shared" si="70"/>
        <v>1859.9813999999999</v>
      </c>
      <c r="K2298" s="9">
        <f t="shared" si="71"/>
        <v>-0.15725951613718298</v>
      </c>
    </row>
    <row r="2299" spans="1:11" x14ac:dyDescent="0.3">
      <c r="A2299">
        <v>807</v>
      </c>
      <c r="B2299">
        <v>4</v>
      </c>
      <c r="C2299">
        <v>9</v>
      </c>
      <c r="D2299" t="str">
        <f>VLOOKUP($C2299,products!$A$1:$F$322,MATCH(order_items!$D$1,products!$A$1:$F$1,0),FALSE)</f>
        <v>Trek Conduit+ - 2016</v>
      </c>
      <c r="E2299">
        <f>VLOOKUP($C2299,products!$A$1:$F$322,MATCH(order_items!$E$1,products!$A$1:$F$1,0),FALSE)</f>
        <v>5</v>
      </c>
      <c r="F2299" t="str">
        <f>VLOOKUP($E2299,categories!$A$1:$B$8,MATCH(order_items!$F$1,categories!$A$1:$B$1,0),FALSE)</f>
        <v>Electric Bikes</v>
      </c>
      <c r="G2299">
        <v>2</v>
      </c>
      <c r="H2299">
        <v>2999.99</v>
      </c>
      <c r="I2299" s="5">
        <v>0.2</v>
      </c>
      <c r="J2299">
        <f t="shared" si="70"/>
        <v>4799.9839999999995</v>
      </c>
      <c r="K2299" s="9">
        <f t="shared" si="71"/>
        <v>1.3213140978851283</v>
      </c>
    </row>
    <row r="2300" spans="1:11" x14ac:dyDescent="0.3">
      <c r="A2300">
        <v>807</v>
      </c>
      <c r="B2300">
        <v>5</v>
      </c>
      <c r="C2300">
        <v>16</v>
      </c>
      <c r="D2300" t="str">
        <f>VLOOKUP($C2300,products!$A$1:$F$322,MATCH(order_items!$D$1,products!$A$1:$F$1,0),FALSE)</f>
        <v>Electra Townie Original 7D EQ - 2016</v>
      </c>
      <c r="E2300">
        <f>VLOOKUP($C2300,products!$A$1:$F$322,MATCH(order_items!$E$1,products!$A$1:$F$1,0),FALSE)</f>
        <v>3</v>
      </c>
      <c r="F2300" t="str">
        <f>VLOOKUP($E2300,categories!$A$1:$B$8,MATCH(order_items!$F$1,categories!$A$1:$B$1,0),FALSE)</f>
        <v>Cruisers Bicycles</v>
      </c>
      <c r="G2300">
        <v>1</v>
      </c>
      <c r="H2300">
        <v>599.99</v>
      </c>
      <c r="I2300" s="5">
        <v>0.2</v>
      </c>
      <c r="J2300">
        <f t="shared" si="70"/>
        <v>479.99200000000002</v>
      </c>
      <c r="K2300" s="9">
        <f t="shared" si="71"/>
        <v>-0.45297423894164529</v>
      </c>
    </row>
    <row r="2301" spans="1:11" x14ac:dyDescent="0.3">
      <c r="A2301">
        <v>808</v>
      </c>
      <c r="B2301">
        <v>1</v>
      </c>
      <c r="C2301">
        <v>96</v>
      </c>
      <c r="D2301" t="str">
        <f>VLOOKUP($C2301,products!$A$1:$F$322,MATCH(order_items!$D$1,products!$A$1:$F$1,0),FALSE)</f>
        <v>Electra Moto 3i (20-inch) - Boy's - 2017</v>
      </c>
      <c r="E2301">
        <f>VLOOKUP($C2301,products!$A$1:$F$322,MATCH(order_items!$E$1,products!$A$1:$F$1,0),FALSE)</f>
        <v>1</v>
      </c>
      <c r="F2301" t="str">
        <f>VLOOKUP($E2301,categories!$A$1:$B$8,MATCH(order_items!$F$1,categories!$A$1:$B$1,0),FALSE)</f>
        <v>Children Bicycles</v>
      </c>
      <c r="G2301">
        <v>2</v>
      </c>
      <c r="H2301">
        <v>349.99</v>
      </c>
      <c r="I2301" s="5">
        <v>0.05</v>
      </c>
      <c r="J2301">
        <f t="shared" si="70"/>
        <v>664.98099999999999</v>
      </c>
      <c r="K2301" s="9">
        <f t="shared" si="71"/>
        <v>-0.63779594069443424</v>
      </c>
    </row>
    <row r="2302" spans="1:11" x14ac:dyDescent="0.3">
      <c r="A2302">
        <v>808</v>
      </c>
      <c r="B2302">
        <v>2</v>
      </c>
      <c r="C2302">
        <v>18</v>
      </c>
      <c r="D2302" t="str">
        <f>VLOOKUP($C2302,products!$A$1:$F$322,MATCH(order_items!$D$1,products!$A$1:$F$1,0),FALSE)</f>
        <v>Pure Cycles Western 3-Speed - Women's - 2015/2016</v>
      </c>
      <c r="E2302">
        <f>VLOOKUP($C2302,products!$A$1:$F$322,MATCH(order_items!$E$1,products!$A$1:$F$1,0),FALSE)</f>
        <v>3</v>
      </c>
      <c r="F2302" t="str">
        <f>VLOOKUP($E2302,categories!$A$1:$B$8,MATCH(order_items!$F$1,categories!$A$1:$B$1,0),FALSE)</f>
        <v>Cruisers Bicycles</v>
      </c>
      <c r="G2302">
        <v>1</v>
      </c>
      <c r="H2302">
        <v>449</v>
      </c>
      <c r="I2302" s="5">
        <v>0.05</v>
      </c>
      <c r="J2302">
        <f t="shared" si="70"/>
        <v>426.54999999999995</v>
      </c>
      <c r="K2302" s="9">
        <f t="shared" si="71"/>
        <v>-0.56459915393225968</v>
      </c>
    </row>
    <row r="2303" spans="1:11" x14ac:dyDescent="0.3">
      <c r="A2303">
        <v>808</v>
      </c>
      <c r="B2303">
        <v>3</v>
      </c>
      <c r="C2303">
        <v>85</v>
      </c>
      <c r="D2303" t="str">
        <f>VLOOKUP($C2303,products!$A$1:$F$322,MATCH(order_items!$D$1,products!$A$1:$F$1,0),FALSE)</f>
        <v>Haro Downtown 16 - 2017</v>
      </c>
      <c r="E2303">
        <f>VLOOKUP($C2303,products!$A$1:$F$322,MATCH(order_items!$E$1,products!$A$1:$F$1,0),FALSE)</f>
        <v>1</v>
      </c>
      <c r="F2303" t="str">
        <f>VLOOKUP($E2303,categories!$A$1:$B$8,MATCH(order_items!$F$1,categories!$A$1:$B$1,0),FALSE)</f>
        <v>Children Bicycles</v>
      </c>
      <c r="G2303">
        <v>1</v>
      </c>
      <c r="H2303">
        <v>329.99</v>
      </c>
      <c r="I2303" s="5">
        <v>0.05</v>
      </c>
      <c r="J2303">
        <f t="shared" si="70"/>
        <v>313.4905</v>
      </c>
      <c r="K2303" s="9">
        <f t="shared" si="71"/>
        <v>-0.6525816768346574</v>
      </c>
    </row>
    <row r="2304" spans="1:11" x14ac:dyDescent="0.3">
      <c r="A2304">
        <v>808</v>
      </c>
      <c r="B2304">
        <v>4</v>
      </c>
      <c r="C2304">
        <v>19</v>
      </c>
      <c r="D2304" t="str">
        <f>VLOOKUP($C2304,products!$A$1:$F$322,MATCH(order_items!$D$1,products!$A$1:$F$1,0),FALSE)</f>
        <v>Pure Cycles William 3-Speed - 2016</v>
      </c>
      <c r="E2304">
        <f>VLOOKUP($C2304,products!$A$1:$F$322,MATCH(order_items!$E$1,products!$A$1:$F$1,0),FALSE)</f>
        <v>3</v>
      </c>
      <c r="F2304" t="str">
        <f>VLOOKUP($E2304,categories!$A$1:$B$8,MATCH(order_items!$F$1,categories!$A$1:$B$1,0),FALSE)</f>
        <v>Cruisers Bicycles</v>
      </c>
      <c r="G2304">
        <v>2</v>
      </c>
      <c r="H2304">
        <v>449</v>
      </c>
      <c r="I2304" s="5">
        <v>0.05</v>
      </c>
      <c r="J2304">
        <f t="shared" si="70"/>
        <v>853.09999999999991</v>
      </c>
      <c r="K2304" s="9">
        <f t="shared" si="71"/>
        <v>-0.56459915393225968</v>
      </c>
    </row>
    <row r="2305" spans="1:11" x14ac:dyDescent="0.3">
      <c r="A2305">
        <v>809</v>
      </c>
      <c r="B2305">
        <v>1</v>
      </c>
      <c r="C2305">
        <v>78</v>
      </c>
      <c r="D2305" t="str">
        <f>VLOOKUP($C2305,products!$A$1:$F$322,MATCH(order_items!$D$1,products!$A$1:$F$1,0),FALSE)</f>
        <v>Sun Bicycles Biscayne Tandem CB - 2017</v>
      </c>
      <c r="E2305">
        <f>VLOOKUP($C2305,products!$A$1:$F$322,MATCH(order_items!$E$1,products!$A$1:$F$1,0),FALSE)</f>
        <v>3</v>
      </c>
      <c r="F2305" t="str">
        <f>VLOOKUP($E2305,categories!$A$1:$B$8,MATCH(order_items!$F$1,categories!$A$1:$B$1,0),FALSE)</f>
        <v>Cruisers Bicycles</v>
      </c>
      <c r="G2305">
        <v>1</v>
      </c>
      <c r="H2305">
        <v>647.99</v>
      </c>
      <c r="I2305" s="5">
        <v>0.1</v>
      </c>
      <c r="J2305">
        <f t="shared" si="70"/>
        <v>583.19100000000003</v>
      </c>
      <c r="K2305" s="9">
        <f t="shared" si="71"/>
        <v>-0.41748847220510982</v>
      </c>
    </row>
    <row r="2306" spans="1:11" x14ac:dyDescent="0.3">
      <c r="A2306">
        <v>809</v>
      </c>
      <c r="B2306">
        <v>2</v>
      </c>
      <c r="C2306">
        <v>26</v>
      </c>
      <c r="D2306" t="str">
        <f>VLOOKUP($C2306,products!$A$1:$F$322,MATCH(order_items!$D$1,products!$A$1:$F$1,0),FALSE)</f>
        <v>Electra Townie Original 7D EQ - 2016</v>
      </c>
      <c r="E2306">
        <f>VLOOKUP($C2306,products!$A$1:$F$322,MATCH(order_items!$E$1,products!$A$1:$F$1,0),FALSE)</f>
        <v>2</v>
      </c>
      <c r="F2306" t="str">
        <f>VLOOKUP($E2306,categories!$A$1:$B$8,MATCH(order_items!$F$1,categories!$A$1:$B$1,0),FALSE)</f>
        <v>Comfort Bicycles</v>
      </c>
      <c r="G2306">
        <v>1</v>
      </c>
      <c r="H2306">
        <v>599.99</v>
      </c>
      <c r="I2306" s="5">
        <v>0.2</v>
      </c>
      <c r="J2306">
        <f t="shared" ref="J2306:J2369" si="72">G2306*H2306*(1-I2306)</f>
        <v>479.99200000000002</v>
      </c>
      <c r="K2306" s="9">
        <f t="shared" ref="K2306:K2369" si="73">($H2306-$M$7)/$M$9</f>
        <v>-0.45297423894164529</v>
      </c>
    </row>
    <row r="2307" spans="1:11" x14ac:dyDescent="0.3">
      <c r="A2307">
        <v>809</v>
      </c>
      <c r="B2307">
        <v>3</v>
      </c>
      <c r="C2307">
        <v>92</v>
      </c>
      <c r="D2307" t="str">
        <f>VLOOKUP($C2307,products!$A$1:$F$322,MATCH(order_items!$D$1,products!$A$1:$F$1,0),FALSE)</f>
        <v>Haro Shredder 20 - 2017</v>
      </c>
      <c r="E2307">
        <f>VLOOKUP($C2307,products!$A$1:$F$322,MATCH(order_items!$E$1,products!$A$1:$F$1,0),FALSE)</f>
        <v>1</v>
      </c>
      <c r="F2307" t="str">
        <f>VLOOKUP($E2307,categories!$A$1:$B$8,MATCH(order_items!$F$1,categories!$A$1:$B$1,0),FALSE)</f>
        <v>Children Bicycles</v>
      </c>
      <c r="G2307">
        <v>2</v>
      </c>
      <c r="H2307">
        <v>209.99</v>
      </c>
      <c r="I2307" s="5">
        <v>0.1</v>
      </c>
      <c r="J2307">
        <f t="shared" si="72"/>
        <v>377.98200000000003</v>
      </c>
      <c r="K2307" s="9">
        <f t="shared" si="73"/>
        <v>-0.74129609367599603</v>
      </c>
    </row>
    <row r="2308" spans="1:11" x14ac:dyDescent="0.3">
      <c r="A2308">
        <v>810</v>
      </c>
      <c r="B2308">
        <v>1</v>
      </c>
      <c r="C2308">
        <v>103</v>
      </c>
      <c r="D2308" t="str">
        <f>VLOOKUP($C2308,products!$A$1:$F$322,MATCH(order_items!$D$1,products!$A$1:$F$1,0),FALSE)</f>
        <v>Sun Bicycles Streamway 3 - 2017</v>
      </c>
      <c r="E2308">
        <f>VLOOKUP($C2308,products!$A$1:$F$322,MATCH(order_items!$E$1,products!$A$1:$F$1,0),FALSE)</f>
        <v>2</v>
      </c>
      <c r="F2308" t="str">
        <f>VLOOKUP($E2308,categories!$A$1:$B$8,MATCH(order_items!$F$1,categories!$A$1:$B$1,0),FALSE)</f>
        <v>Comfort Bicycles</v>
      </c>
      <c r="G2308">
        <v>2</v>
      </c>
      <c r="H2308">
        <v>551.99</v>
      </c>
      <c r="I2308" s="5">
        <v>0.05</v>
      </c>
      <c r="J2308">
        <f t="shared" si="72"/>
        <v>1048.7809999999999</v>
      </c>
      <c r="K2308" s="9">
        <f t="shared" si="73"/>
        <v>-0.48846000567818076</v>
      </c>
    </row>
    <row r="2309" spans="1:11" x14ac:dyDescent="0.3">
      <c r="A2309">
        <v>810</v>
      </c>
      <c r="B2309">
        <v>2</v>
      </c>
      <c r="C2309">
        <v>100</v>
      </c>
      <c r="D2309" t="str">
        <f>VLOOKUP($C2309,products!$A$1:$F$322,MATCH(order_items!$D$1,products!$A$1:$F$1,0),FALSE)</f>
        <v>Electra Townie 3i EQ (20-inch) - Boys' - 2017</v>
      </c>
      <c r="E2309">
        <f>VLOOKUP($C2309,products!$A$1:$F$322,MATCH(order_items!$E$1,products!$A$1:$F$1,0),FALSE)</f>
        <v>1</v>
      </c>
      <c r="F2309" t="str">
        <f>VLOOKUP($E2309,categories!$A$1:$B$8,MATCH(order_items!$F$1,categories!$A$1:$B$1,0),FALSE)</f>
        <v>Children Bicycles</v>
      </c>
      <c r="G2309">
        <v>1</v>
      </c>
      <c r="H2309">
        <v>489.99</v>
      </c>
      <c r="I2309" s="5">
        <v>0.2</v>
      </c>
      <c r="J2309">
        <f t="shared" si="72"/>
        <v>391.99200000000002</v>
      </c>
      <c r="K2309" s="9">
        <f t="shared" si="73"/>
        <v>-0.53429578771287245</v>
      </c>
    </row>
    <row r="2310" spans="1:11" x14ac:dyDescent="0.3">
      <c r="A2310">
        <v>810</v>
      </c>
      <c r="B2310">
        <v>3</v>
      </c>
      <c r="C2310">
        <v>56</v>
      </c>
      <c r="D2310" t="str">
        <f>VLOOKUP($C2310,products!$A$1:$F$322,MATCH(order_items!$D$1,products!$A$1:$F$1,0),FALSE)</f>
        <v>Trek Domane SLR 6 Disc - 2017</v>
      </c>
      <c r="E2310">
        <f>VLOOKUP($C2310,products!$A$1:$F$322,MATCH(order_items!$E$1,products!$A$1:$F$1,0),FALSE)</f>
        <v>7</v>
      </c>
      <c r="F2310" t="str">
        <f>VLOOKUP($E2310,categories!$A$1:$B$8,MATCH(order_items!$F$1,categories!$A$1:$B$1,0),FALSE)</f>
        <v>Road Bikes</v>
      </c>
      <c r="G2310">
        <v>1</v>
      </c>
      <c r="H2310">
        <v>5499.99</v>
      </c>
      <c r="I2310" s="5">
        <v>0.05</v>
      </c>
      <c r="J2310">
        <f t="shared" si="72"/>
        <v>5224.9904999999999</v>
      </c>
      <c r="K2310" s="9">
        <f t="shared" si="73"/>
        <v>3.1695311154130179</v>
      </c>
    </row>
    <row r="2311" spans="1:11" x14ac:dyDescent="0.3">
      <c r="A2311">
        <v>810</v>
      </c>
      <c r="B2311">
        <v>4</v>
      </c>
      <c r="C2311">
        <v>22</v>
      </c>
      <c r="D2311" t="str">
        <f>VLOOKUP($C2311,products!$A$1:$F$322,MATCH(order_items!$D$1,products!$A$1:$F$1,0),FALSE)</f>
        <v>Electra Girl's Hawaii 1 (16-inch) - 2015/2016</v>
      </c>
      <c r="E2311">
        <f>VLOOKUP($C2311,products!$A$1:$F$322,MATCH(order_items!$E$1,products!$A$1:$F$1,0),FALSE)</f>
        <v>1</v>
      </c>
      <c r="F2311" t="str">
        <f>VLOOKUP($E2311,categories!$A$1:$B$8,MATCH(order_items!$F$1,categories!$A$1:$B$1,0),FALSE)</f>
        <v>Children Bicycles</v>
      </c>
      <c r="G2311">
        <v>1</v>
      </c>
      <c r="H2311">
        <v>269.99</v>
      </c>
      <c r="I2311" s="5">
        <v>0.2</v>
      </c>
      <c r="J2311">
        <f t="shared" si="72"/>
        <v>215.99200000000002</v>
      </c>
      <c r="K2311" s="9">
        <f t="shared" si="73"/>
        <v>-0.69693888525532666</v>
      </c>
    </row>
    <row r="2312" spans="1:11" x14ac:dyDescent="0.3">
      <c r="A2312">
        <v>811</v>
      </c>
      <c r="B2312">
        <v>1</v>
      </c>
      <c r="C2312">
        <v>45</v>
      </c>
      <c r="D2312" t="str">
        <f>VLOOKUP($C2312,products!$A$1:$F$322,MATCH(order_items!$D$1,products!$A$1:$F$1,0),FALSE)</f>
        <v>Haro SR 1.2 - 2017</v>
      </c>
      <c r="E2312">
        <f>VLOOKUP($C2312,products!$A$1:$F$322,MATCH(order_items!$E$1,products!$A$1:$F$1,0),FALSE)</f>
        <v>6</v>
      </c>
      <c r="F2312" t="str">
        <f>VLOOKUP($E2312,categories!$A$1:$B$8,MATCH(order_items!$F$1,categories!$A$1:$B$1,0),FALSE)</f>
        <v>Mountain Bikes</v>
      </c>
      <c r="G2312">
        <v>2</v>
      </c>
      <c r="H2312">
        <v>869.99</v>
      </c>
      <c r="I2312" s="5">
        <v>7.0000000000000007E-2</v>
      </c>
      <c r="J2312">
        <f t="shared" si="72"/>
        <v>1618.1813999999999</v>
      </c>
      <c r="K2312" s="9">
        <f t="shared" si="73"/>
        <v>-0.25336680104863324</v>
      </c>
    </row>
    <row r="2313" spans="1:11" x14ac:dyDescent="0.3">
      <c r="A2313">
        <v>811</v>
      </c>
      <c r="B2313">
        <v>2</v>
      </c>
      <c r="C2313">
        <v>54</v>
      </c>
      <c r="D2313" t="str">
        <f>VLOOKUP($C2313,products!$A$1:$F$322,MATCH(order_items!$D$1,products!$A$1:$F$1,0),FALSE)</f>
        <v>Trek Domane SL Disc Frameset - 2017</v>
      </c>
      <c r="E2313">
        <f>VLOOKUP($C2313,products!$A$1:$F$322,MATCH(order_items!$E$1,products!$A$1:$F$1,0),FALSE)</f>
        <v>7</v>
      </c>
      <c r="F2313" t="str">
        <f>VLOOKUP($E2313,categories!$A$1:$B$8,MATCH(order_items!$F$1,categories!$A$1:$B$1,0),FALSE)</f>
        <v>Road Bikes</v>
      </c>
      <c r="G2313">
        <v>1</v>
      </c>
      <c r="H2313">
        <v>3199.99</v>
      </c>
      <c r="I2313" s="5">
        <v>0.2</v>
      </c>
      <c r="J2313">
        <f t="shared" si="72"/>
        <v>2559.9920000000002</v>
      </c>
      <c r="K2313" s="9">
        <f t="shared" si="73"/>
        <v>1.4691714592873595</v>
      </c>
    </row>
    <row r="2314" spans="1:11" x14ac:dyDescent="0.3">
      <c r="A2314">
        <v>811</v>
      </c>
      <c r="B2314">
        <v>3</v>
      </c>
      <c r="C2314">
        <v>70</v>
      </c>
      <c r="D2314" t="str">
        <f>VLOOKUP($C2314,products!$A$1:$F$322,MATCH(order_items!$D$1,products!$A$1:$F$1,0),FALSE)</f>
        <v>Electra Amsterdam Original 3i - 2015/2017</v>
      </c>
      <c r="E2314">
        <f>VLOOKUP($C2314,products!$A$1:$F$322,MATCH(order_items!$E$1,products!$A$1:$F$1,0),FALSE)</f>
        <v>3</v>
      </c>
      <c r="F2314" t="str">
        <f>VLOOKUP($E2314,categories!$A$1:$B$8,MATCH(order_items!$F$1,categories!$A$1:$B$1,0),FALSE)</f>
        <v>Cruisers Bicycles</v>
      </c>
      <c r="G2314">
        <v>1</v>
      </c>
      <c r="H2314">
        <v>659.99</v>
      </c>
      <c r="I2314" s="5">
        <v>7.0000000000000007E-2</v>
      </c>
      <c r="J2314">
        <f t="shared" si="72"/>
        <v>613.79070000000002</v>
      </c>
      <c r="K2314" s="9">
        <f t="shared" si="73"/>
        <v>-0.40861703052097592</v>
      </c>
    </row>
    <row r="2315" spans="1:11" x14ac:dyDescent="0.3">
      <c r="A2315">
        <v>811</v>
      </c>
      <c r="B2315">
        <v>4</v>
      </c>
      <c r="C2315">
        <v>66</v>
      </c>
      <c r="D2315" t="str">
        <f>VLOOKUP($C2315,products!$A$1:$F$322,MATCH(order_items!$D$1,products!$A$1:$F$1,0),FALSE)</f>
        <v>Sun Bicycles Revolutions 24 - 2017</v>
      </c>
      <c r="E2315">
        <f>VLOOKUP($C2315,products!$A$1:$F$322,MATCH(order_items!$E$1,products!$A$1:$F$1,0),FALSE)</f>
        <v>3</v>
      </c>
      <c r="F2315" t="str">
        <f>VLOOKUP($E2315,categories!$A$1:$B$8,MATCH(order_items!$F$1,categories!$A$1:$B$1,0),FALSE)</f>
        <v>Cruisers Bicycles</v>
      </c>
      <c r="G2315">
        <v>1</v>
      </c>
      <c r="H2315">
        <v>250.99</v>
      </c>
      <c r="I2315" s="5">
        <v>0.1</v>
      </c>
      <c r="J2315">
        <f t="shared" si="72"/>
        <v>225.89100000000002</v>
      </c>
      <c r="K2315" s="9">
        <f t="shared" si="73"/>
        <v>-0.71098533458853863</v>
      </c>
    </row>
    <row r="2316" spans="1:11" x14ac:dyDescent="0.3">
      <c r="A2316">
        <v>812</v>
      </c>
      <c r="B2316">
        <v>1</v>
      </c>
      <c r="C2316">
        <v>76</v>
      </c>
      <c r="D2316" t="str">
        <f>VLOOKUP($C2316,products!$A$1:$F$322,MATCH(order_items!$D$1,products!$A$1:$F$1,0),FALSE)</f>
        <v>Electra Girl's Hawaii 1 16" - 2017</v>
      </c>
      <c r="E2316">
        <f>VLOOKUP($C2316,products!$A$1:$F$322,MATCH(order_items!$E$1,products!$A$1:$F$1,0),FALSE)</f>
        <v>3</v>
      </c>
      <c r="F2316" t="str">
        <f>VLOOKUP($E2316,categories!$A$1:$B$8,MATCH(order_items!$F$1,categories!$A$1:$B$1,0),FALSE)</f>
        <v>Cruisers Bicycles</v>
      </c>
      <c r="G2316">
        <v>2</v>
      </c>
      <c r="H2316">
        <v>299.99</v>
      </c>
      <c r="I2316" s="5">
        <v>0.1</v>
      </c>
      <c r="J2316">
        <f t="shared" si="72"/>
        <v>539.98200000000008</v>
      </c>
      <c r="K2316" s="9">
        <f t="shared" si="73"/>
        <v>-0.67476028104499197</v>
      </c>
    </row>
    <row r="2317" spans="1:11" x14ac:dyDescent="0.3">
      <c r="A2317">
        <v>812</v>
      </c>
      <c r="B2317">
        <v>2</v>
      </c>
      <c r="C2317">
        <v>40</v>
      </c>
      <c r="D2317" t="str">
        <f>VLOOKUP($C2317,products!$A$1:$F$322,MATCH(order_items!$D$1,products!$A$1:$F$1,0),FALSE)</f>
        <v>Trek Fuel EX 9.8 29 - 2017</v>
      </c>
      <c r="E2317">
        <f>VLOOKUP($C2317,products!$A$1:$F$322,MATCH(order_items!$E$1,products!$A$1:$F$1,0),FALSE)</f>
        <v>6</v>
      </c>
      <c r="F2317" t="str">
        <f>VLOOKUP($E2317,categories!$A$1:$B$8,MATCH(order_items!$F$1,categories!$A$1:$B$1,0),FALSE)</f>
        <v>Mountain Bikes</v>
      </c>
      <c r="G2317">
        <v>1</v>
      </c>
      <c r="H2317">
        <v>4999.99</v>
      </c>
      <c r="I2317" s="5">
        <v>0.2</v>
      </c>
      <c r="J2317">
        <f t="shared" si="72"/>
        <v>3999.9920000000002</v>
      </c>
      <c r="K2317" s="9">
        <f t="shared" si="73"/>
        <v>2.7998877119074401</v>
      </c>
    </row>
    <row r="2318" spans="1:11" x14ac:dyDescent="0.3">
      <c r="A2318">
        <v>813</v>
      </c>
      <c r="B2318">
        <v>1</v>
      </c>
      <c r="C2318">
        <v>96</v>
      </c>
      <c r="D2318" t="str">
        <f>VLOOKUP($C2318,products!$A$1:$F$322,MATCH(order_items!$D$1,products!$A$1:$F$1,0),FALSE)</f>
        <v>Electra Moto 3i (20-inch) - Boy's - 2017</v>
      </c>
      <c r="E2318">
        <f>VLOOKUP($C2318,products!$A$1:$F$322,MATCH(order_items!$E$1,products!$A$1:$F$1,0),FALSE)</f>
        <v>1</v>
      </c>
      <c r="F2318" t="str">
        <f>VLOOKUP($E2318,categories!$A$1:$B$8,MATCH(order_items!$F$1,categories!$A$1:$B$1,0),FALSE)</f>
        <v>Children Bicycles</v>
      </c>
      <c r="G2318">
        <v>2</v>
      </c>
      <c r="H2318">
        <v>349.99</v>
      </c>
      <c r="I2318" s="5">
        <v>0.1</v>
      </c>
      <c r="J2318">
        <f t="shared" si="72"/>
        <v>629.98200000000008</v>
      </c>
      <c r="K2318" s="9">
        <f t="shared" si="73"/>
        <v>-0.63779594069443424</v>
      </c>
    </row>
    <row r="2319" spans="1:11" x14ac:dyDescent="0.3">
      <c r="A2319">
        <v>813</v>
      </c>
      <c r="B2319">
        <v>2</v>
      </c>
      <c r="C2319">
        <v>85</v>
      </c>
      <c r="D2319" t="str">
        <f>VLOOKUP($C2319,products!$A$1:$F$322,MATCH(order_items!$D$1,products!$A$1:$F$1,0),FALSE)</f>
        <v>Haro Downtown 16 - 2017</v>
      </c>
      <c r="E2319">
        <f>VLOOKUP($C2319,products!$A$1:$F$322,MATCH(order_items!$E$1,products!$A$1:$F$1,0),FALSE)</f>
        <v>1</v>
      </c>
      <c r="F2319" t="str">
        <f>VLOOKUP($E2319,categories!$A$1:$B$8,MATCH(order_items!$F$1,categories!$A$1:$B$1,0),FALSE)</f>
        <v>Children Bicycles</v>
      </c>
      <c r="G2319">
        <v>2</v>
      </c>
      <c r="H2319">
        <v>329.99</v>
      </c>
      <c r="I2319" s="5">
        <v>0.2</v>
      </c>
      <c r="J2319">
        <f t="shared" si="72"/>
        <v>527.98400000000004</v>
      </c>
      <c r="K2319" s="9">
        <f t="shared" si="73"/>
        <v>-0.6525816768346574</v>
      </c>
    </row>
    <row r="2320" spans="1:11" x14ac:dyDescent="0.3">
      <c r="A2320">
        <v>813</v>
      </c>
      <c r="B2320">
        <v>3</v>
      </c>
      <c r="C2320">
        <v>33</v>
      </c>
      <c r="D2320" t="str">
        <f>VLOOKUP($C2320,products!$A$1:$F$322,MATCH(order_items!$D$1,products!$A$1:$F$1,0),FALSE)</f>
        <v>Surly Wednesday Frameset - 2017</v>
      </c>
      <c r="E2320">
        <f>VLOOKUP($C2320,products!$A$1:$F$322,MATCH(order_items!$E$1,products!$A$1:$F$1,0),FALSE)</f>
        <v>6</v>
      </c>
      <c r="F2320" t="str">
        <f>VLOOKUP($E2320,categories!$A$1:$B$8,MATCH(order_items!$F$1,categories!$A$1:$B$1,0),FALSE)</f>
        <v>Mountain Bikes</v>
      </c>
      <c r="G2320">
        <v>2</v>
      </c>
      <c r="H2320">
        <v>469.99</v>
      </c>
      <c r="I2320" s="5">
        <v>0.2</v>
      </c>
      <c r="J2320">
        <f t="shared" si="72"/>
        <v>751.98400000000004</v>
      </c>
      <c r="K2320" s="9">
        <f t="shared" si="73"/>
        <v>-0.5490815238530955</v>
      </c>
    </row>
    <row r="2321" spans="1:11" x14ac:dyDescent="0.3">
      <c r="A2321">
        <v>813</v>
      </c>
      <c r="B2321">
        <v>4</v>
      </c>
      <c r="C2321">
        <v>26</v>
      </c>
      <c r="D2321" t="str">
        <f>VLOOKUP($C2321,products!$A$1:$F$322,MATCH(order_items!$D$1,products!$A$1:$F$1,0),FALSE)</f>
        <v>Electra Townie Original 7D EQ - 2016</v>
      </c>
      <c r="E2321">
        <f>VLOOKUP($C2321,products!$A$1:$F$322,MATCH(order_items!$E$1,products!$A$1:$F$1,0),FALSE)</f>
        <v>2</v>
      </c>
      <c r="F2321" t="str">
        <f>VLOOKUP($E2321,categories!$A$1:$B$8,MATCH(order_items!$F$1,categories!$A$1:$B$1,0),FALSE)</f>
        <v>Comfort Bicycles</v>
      </c>
      <c r="G2321">
        <v>2</v>
      </c>
      <c r="H2321">
        <v>599.99</v>
      </c>
      <c r="I2321" s="5">
        <v>7.0000000000000007E-2</v>
      </c>
      <c r="J2321">
        <f t="shared" si="72"/>
        <v>1115.9813999999999</v>
      </c>
      <c r="K2321" s="9">
        <f t="shared" si="73"/>
        <v>-0.45297423894164529</v>
      </c>
    </row>
    <row r="2322" spans="1:11" x14ac:dyDescent="0.3">
      <c r="A2322">
        <v>813</v>
      </c>
      <c r="B2322">
        <v>5</v>
      </c>
      <c r="C2322">
        <v>71</v>
      </c>
      <c r="D2322" t="str">
        <f>VLOOKUP($C2322,products!$A$1:$F$322,MATCH(order_items!$D$1,products!$A$1:$F$1,0),FALSE)</f>
        <v>Sun Bicycles Atlas X-Type - 2017</v>
      </c>
      <c r="E2322">
        <f>VLOOKUP($C2322,products!$A$1:$F$322,MATCH(order_items!$E$1,products!$A$1:$F$1,0),FALSE)</f>
        <v>3</v>
      </c>
      <c r="F2322" t="str">
        <f>VLOOKUP($E2322,categories!$A$1:$B$8,MATCH(order_items!$F$1,categories!$A$1:$B$1,0),FALSE)</f>
        <v>Cruisers Bicycles</v>
      </c>
      <c r="G2322">
        <v>2</v>
      </c>
      <c r="H2322">
        <v>416.99</v>
      </c>
      <c r="I2322" s="5">
        <v>0.05</v>
      </c>
      <c r="J2322">
        <f t="shared" si="72"/>
        <v>792.28099999999995</v>
      </c>
      <c r="K2322" s="9">
        <f t="shared" si="73"/>
        <v>-0.58826372462468679</v>
      </c>
    </row>
    <row r="2323" spans="1:11" x14ac:dyDescent="0.3">
      <c r="A2323">
        <v>814</v>
      </c>
      <c r="B2323">
        <v>1</v>
      </c>
      <c r="C2323">
        <v>69</v>
      </c>
      <c r="D2323" t="str">
        <f>VLOOKUP($C2323,products!$A$1:$F$322,MATCH(order_items!$D$1,products!$A$1:$F$1,0),FALSE)</f>
        <v>Sun Bicycles Cruz 7 - 2017</v>
      </c>
      <c r="E2323">
        <f>VLOOKUP($C2323,products!$A$1:$F$322,MATCH(order_items!$E$1,products!$A$1:$F$1,0),FALSE)</f>
        <v>3</v>
      </c>
      <c r="F2323" t="str">
        <f>VLOOKUP($E2323,categories!$A$1:$B$8,MATCH(order_items!$F$1,categories!$A$1:$B$1,0),FALSE)</f>
        <v>Cruisers Bicycles</v>
      </c>
      <c r="G2323">
        <v>2</v>
      </c>
      <c r="H2323">
        <v>416.99</v>
      </c>
      <c r="I2323" s="5">
        <v>0.1</v>
      </c>
      <c r="J2323">
        <f t="shared" si="72"/>
        <v>750.58199999999999</v>
      </c>
      <c r="K2323" s="9">
        <f t="shared" si="73"/>
        <v>-0.58826372462468679</v>
      </c>
    </row>
    <row r="2324" spans="1:11" x14ac:dyDescent="0.3">
      <c r="A2324">
        <v>814</v>
      </c>
      <c r="B2324">
        <v>2</v>
      </c>
      <c r="C2324">
        <v>100</v>
      </c>
      <c r="D2324" t="str">
        <f>VLOOKUP($C2324,products!$A$1:$F$322,MATCH(order_items!$D$1,products!$A$1:$F$1,0),FALSE)</f>
        <v>Electra Townie 3i EQ (20-inch) - Boys' - 2017</v>
      </c>
      <c r="E2324">
        <f>VLOOKUP($C2324,products!$A$1:$F$322,MATCH(order_items!$E$1,products!$A$1:$F$1,0),FALSE)</f>
        <v>1</v>
      </c>
      <c r="F2324" t="str">
        <f>VLOOKUP($E2324,categories!$A$1:$B$8,MATCH(order_items!$F$1,categories!$A$1:$B$1,0),FALSE)</f>
        <v>Children Bicycles</v>
      </c>
      <c r="G2324">
        <v>1</v>
      </c>
      <c r="H2324">
        <v>489.99</v>
      </c>
      <c r="I2324" s="5">
        <v>0.1</v>
      </c>
      <c r="J2324">
        <f t="shared" si="72"/>
        <v>440.99100000000004</v>
      </c>
      <c r="K2324" s="9">
        <f t="shared" si="73"/>
        <v>-0.53429578771287245</v>
      </c>
    </row>
    <row r="2325" spans="1:11" x14ac:dyDescent="0.3">
      <c r="A2325">
        <v>814</v>
      </c>
      <c r="B2325">
        <v>3</v>
      </c>
      <c r="C2325">
        <v>65</v>
      </c>
      <c r="D2325" t="str">
        <f>VLOOKUP($C2325,products!$A$1:$F$322,MATCH(order_items!$D$1,products!$A$1:$F$1,0),FALSE)</f>
        <v>Sun Bicycles Lil Bolt Type-R - 2017</v>
      </c>
      <c r="E2325">
        <f>VLOOKUP($C2325,products!$A$1:$F$322,MATCH(order_items!$E$1,products!$A$1:$F$1,0),FALSE)</f>
        <v>3</v>
      </c>
      <c r="F2325" t="str">
        <f>VLOOKUP($E2325,categories!$A$1:$B$8,MATCH(order_items!$F$1,categories!$A$1:$B$1,0),FALSE)</f>
        <v>Cruisers Bicycles</v>
      </c>
      <c r="G2325">
        <v>1</v>
      </c>
      <c r="H2325">
        <v>346.99</v>
      </c>
      <c r="I2325" s="5">
        <v>0.2</v>
      </c>
      <c r="J2325">
        <f t="shared" si="72"/>
        <v>277.59200000000004</v>
      </c>
      <c r="K2325" s="9">
        <f t="shared" si="73"/>
        <v>-0.64001380111546768</v>
      </c>
    </row>
    <row r="2326" spans="1:11" x14ac:dyDescent="0.3">
      <c r="A2326">
        <v>814</v>
      </c>
      <c r="B2326">
        <v>4</v>
      </c>
      <c r="C2326">
        <v>83</v>
      </c>
      <c r="D2326" t="str">
        <f>VLOOKUP($C2326,products!$A$1:$F$322,MATCH(order_items!$D$1,products!$A$1:$F$1,0),FALSE)</f>
        <v>Trek Boy's Kickster - 2015/2017</v>
      </c>
      <c r="E2326">
        <f>VLOOKUP($C2326,products!$A$1:$F$322,MATCH(order_items!$E$1,products!$A$1:$F$1,0),FALSE)</f>
        <v>1</v>
      </c>
      <c r="F2326" t="str">
        <f>VLOOKUP($E2326,categories!$A$1:$B$8,MATCH(order_items!$F$1,categories!$A$1:$B$1,0),FALSE)</f>
        <v>Children Bicycles</v>
      </c>
      <c r="G2326">
        <v>2</v>
      </c>
      <c r="H2326">
        <v>149.99</v>
      </c>
      <c r="I2326" s="5">
        <v>0.05</v>
      </c>
      <c r="J2326">
        <f t="shared" si="72"/>
        <v>284.98099999999999</v>
      </c>
      <c r="K2326" s="9">
        <f t="shared" si="73"/>
        <v>-0.7856533020966654</v>
      </c>
    </row>
    <row r="2327" spans="1:11" x14ac:dyDescent="0.3">
      <c r="A2327">
        <v>815</v>
      </c>
      <c r="B2327">
        <v>1</v>
      </c>
      <c r="C2327">
        <v>105</v>
      </c>
      <c r="D2327" t="str">
        <f>VLOOKUP($C2327,products!$A$1:$F$322,MATCH(order_items!$D$1,products!$A$1:$F$1,0),FALSE)</f>
        <v>Sun Bicycles Streamway 7 - 2017</v>
      </c>
      <c r="E2327">
        <f>VLOOKUP($C2327,products!$A$1:$F$322,MATCH(order_items!$E$1,products!$A$1:$F$1,0),FALSE)</f>
        <v>2</v>
      </c>
      <c r="F2327" t="str">
        <f>VLOOKUP($E2327,categories!$A$1:$B$8,MATCH(order_items!$F$1,categories!$A$1:$B$1,0),FALSE)</f>
        <v>Comfort Bicycles</v>
      </c>
      <c r="G2327">
        <v>2</v>
      </c>
      <c r="H2327">
        <v>533.99</v>
      </c>
      <c r="I2327" s="5">
        <v>0.2</v>
      </c>
      <c r="J2327">
        <f t="shared" si="72"/>
        <v>854.38400000000001</v>
      </c>
      <c r="K2327" s="9">
        <f t="shared" si="73"/>
        <v>-0.50176716820438161</v>
      </c>
    </row>
    <row r="2328" spans="1:11" x14ac:dyDescent="0.3">
      <c r="A2328">
        <v>815</v>
      </c>
      <c r="B2328">
        <v>2</v>
      </c>
      <c r="C2328">
        <v>102</v>
      </c>
      <c r="D2328" t="str">
        <f>VLOOKUP($C2328,products!$A$1:$F$322,MATCH(order_items!$D$1,products!$A$1:$F$1,0),FALSE)</f>
        <v>Electra Townie Original 7D - 2017</v>
      </c>
      <c r="E2328">
        <f>VLOOKUP($C2328,products!$A$1:$F$322,MATCH(order_items!$E$1,products!$A$1:$F$1,0),FALSE)</f>
        <v>2</v>
      </c>
      <c r="F2328" t="str">
        <f>VLOOKUP($E2328,categories!$A$1:$B$8,MATCH(order_items!$F$1,categories!$A$1:$B$1,0),FALSE)</f>
        <v>Comfort Bicycles</v>
      </c>
      <c r="G2328">
        <v>2</v>
      </c>
      <c r="H2328">
        <v>489.99</v>
      </c>
      <c r="I2328" s="5">
        <v>0.2</v>
      </c>
      <c r="J2328">
        <f t="shared" si="72"/>
        <v>783.98400000000004</v>
      </c>
      <c r="K2328" s="9">
        <f t="shared" si="73"/>
        <v>-0.53429578771287245</v>
      </c>
    </row>
    <row r="2329" spans="1:11" x14ac:dyDescent="0.3">
      <c r="A2329">
        <v>815</v>
      </c>
      <c r="B2329">
        <v>3</v>
      </c>
      <c r="C2329">
        <v>87</v>
      </c>
      <c r="D2329" t="str">
        <f>VLOOKUP($C2329,products!$A$1:$F$322,MATCH(order_items!$D$1,products!$A$1:$F$1,0),FALSE)</f>
        <v>Trek Precaliber 12 Boys - 2017</v>
      </c>
      <c r="E2329">
        <f>VLOOKUP($C2329,products!$A$1:$F$322,MATCH(order_items!$E$1,products!$A$1:$F$1,0),FALSE)</f>
        <v>1</v>
      </c>
      <c r="F2329" t="str">
        <f>VLOOKUP($E2329,categories!$A$1:$B$8,MATCH(order_items!$F$1,categories!$A$1:$B$1,0),FALSE)</f>
        <v>Children Bicycles</v>
      </c>
      <c r="G2329">
        <v>2</v>
      </c>
      <c r="H2329">
        <v>189.99</v>
      </c>
      <c r="I2329" s="5">
        <v>0.1</v>
      </c>
      <c r="J2329">
        <f t="shared" si="72"/>
        <v>341.98200000000003</v>
      </c>
      <c r="K2329" s="9">
        <f t="shared" si="73"/>
        <v>-0.75608182981621919</v>
      </c>
    </row>
    <row r="2330" spans="1:11" x14ac:dyDescent="0.3">
      <c r="A2330">
        <v>815</v>
      </c>
      <c r="B2330">
        <v>4</v>
      </c>
      <c r="C2330">
        <v>23</v>
      </c>
      <c r="D2330" t="str">
        <f>VLOOKUP($C2330,products!$A$1:$F$322,MATCH(order_items!$D$1,products!$A$1:$F$1,0),FALSE)</f>
        <v>Electra Girl's Hawaii 1 (20-inch) - 2015/2016</v>
      </c>
      <c r="E2330">
        <f>VLOOKUP($C2330,products!$A$1:$F$322,MATCH(order_items!$E$1,products!$A$1:$F$1,0),FALSE)</f>
        <v>1</v>
      </c>
      <c r="F2330" t="str">
        <f>VLOOKUP($E2330,categories!$A$1:$B$8,MATCH(order_items!$F$1,categories!$A$1:$B$1,0),FALSE)</f>
        <v>Children Bicycles</v>
      </c>
      <c r="G2330">
        <v>1</v>
      </c>
      <c r="H2330">
        <v>299.99</v>
      </c>
      <c r="I2330" s="5">
        <v>7.0000000000000007E-2</v>
      </c>
      <c r="J2330">
        <f t="shared" si="72"/>
        <v>278.9907</v>
      </c>
      <c r="K2330" s="9">
        <f t="shared" si="73"/>
        <v>-0.67476028104499197</v>
      </c>
    </row>
    <row r="2331" spans="1:11" x14ac:dyDescent="0.3">
      <c r="A2331">
        <v>816</v>
      </c>
      <c r="B2331">
        <v>1</v>
      </c>
      <c r="C2331">
        <v>75</v>
      </c>
      <c r="D2331" t="str">
        <f>VLOOKUP($C2331,products!$A$1:$F$322,MATCH(order_items!$D$1,products!$A$1:$F$1,0),FALSE)</f>
        <v>Electra Cruiser Lux Fat Tire 1 Ladies - 2017</v>
      </c>
      <c r="E2331">
        <f>VLOOKUP($C2331,products!$A$1:$F$322,MATCH(order_items!$E$1,products!$A$1:$F$1,0),FALSE)</f>
        <v>3</v>
      </c>
      <c r="F2331" t="str">
        <f>VLOOKUP($E2331,categories!$A$1:$B$8,MATCH(order_items!$F$1,categories!$A$1:$B$1,0),FALSE)</f>
        <v>Cruisers Bicycles</v>
      </c>
      <c r="G2331">
        <v>2</v>
      </c>
      <c r="H2331">
        <v>599.99</v>
      </c>
      <c r="I2331" s="5">
        <v>0.1</v>
      </c>
      <c r="J2331">
        <f t="shared" si="72"/>
        <v>1079.982</v>
      </c>
      <c r="K2331" s="9">
        <f t="shared" si="73"/>
        <v>-0.45297423894164529</v>
      </c>
    </row>
    <row r="2332" spans="1:11" x14ac:dyDescent="0.3">
      <c r="A2332">
        <v>816</v>
      </c>
      <c r="B2332">
        <v>2</v>
      </c>
      <c r="C2332">
        <v>64</v>
      </c>
      <c r="D2332" t="str">
        <f>VLOOKUP($C2332,products!$A$1:$F$322,MATCH(order_items!$D$1,products!$A$1:$F$1,0),FALSE)</f>
        <v>Electra Townie Original 7D - 2017</v>
      </c>
      <c r="E2332">
        <f>VLOOKUP($C2332,products!$A$1:$F$322,MATCH(order_items!$E$1,products!$A$1:$F$1,0),FALSE)</f>
        <v>3</v>
      </c>
      <c r="F2332" t="str">
        <f>VLOOKUP($E2332,categories!$A$1:$B$8,MATCH(order_items!$F$1,categories!$A$1:$B$1,0),FALSE)</f>
        <v>Cruisers Bicycles</v>
      </c>
      <c r="G2332">
        <v>2</v>
      </c>
      <c r="H2332">
        <v>489.99</v>
      </c>
      <c r="I2332" s="5">
        <v>0.2</v>
      </c>
      <c r="J2332">
        <f t="shared" si="72"/>
        <v>783.98400000000004</v>
      </c>
      <c r="K2332" s="9">
        <f t="shared" si="73"/>
        <v>-0.53429578771287245</v>
      </c>
    </row>
    <row r="2333" spans="1:11" x14ac:dyDescent="0.3">
      <c r="A2333">
        <v>817</v>
      </c>
      <c r="B2333">
        <v>1</v>
      </c>
      <c r="C2333">
        <v>85</v>
      </c>
      <c r="D2333" t="str">
        <f>VLOOKUP($C2333,products!$A$1:$F$322,MATCH(order_items!$D$1,products!$A$1:$F$1,0),FALSE)</f>
        <v>Haro Downtown 16 - 2017</v>
      </c>
      <c r="E2333">
        <f>VLOOKUP($C2333,products!$A$1:$F$322,MATCH(order_items!$E$1,products!$A$1:$F$1,0),FALSE)</f>
        <v>1</v>
      </c>
      <c r="F2333" t="str">
        <f>VLOOKUP($E2333,categories!$A$1:$B$8,MATCH(order_items!$F$1,categories!$A$1:$B$1,0),FALSE)</f>
        <v>Children Bicycles</v>
      </c>
      <c r="G2333">
        <v>1</v>
      </c>
      <c r="H2333">
        <v>329.99</v>
      </c>
      <c r="I2333" s="5">
        <v>0.05</v>
      </c>
      <c r="J2333">
        <f t="shared" si="72"/>
        <v>313.4905</v>
      </c>
      <c r="K2333" s="9">
        <f t="shared" si="73"/>
        <v>-0.6525816768346574</v>
      </c>
    </row>
    <row r="2334" spans="1:11" x14ac:dyDescent="0.3">
      <c r="A2334">
        <v>817</v>
      </c>
      <c r="B2334">
        <v>2</v>
      </c>
      <c r="C2334">
        <v>105</v>
      </c>
      <c r="D2334" t="str">
        <f>VLOOKUP($C2334,products!$A$1:$F$322,MATCH(order_items!$D$1,products!$A$1:$F$1,0),FALSE)</f>
        <v>Sun Bicycles Streamway 7 - 2017</v>
      </c>
      <c r="E2334">
        <f>VLOOKUP($C2334,products!$A$1:$F$322,MATCH(order_items!$E$1,products!$A$1:$F$1,0),FALSE)</f>
        <v>2</v>
      </c>
      <c r="F2334" t="str">
        <f>VLOOKUP($E2334,categories!$A$1:$B$8,MATCH(order_items!$F$1,categories!$A$1:$B$1,0),FALSE)</f>
        <v>Comfort Bicycles</v>
      </c>
      <c r="G2334">
        <v>2</v>
      </c>
      <c r="H2334">
        <v>533.99</v>
      </c>
      <c r="I2334" s="5">
        <v>7.0000000000000007E-2</v>
      </c>
      <c r="J2334">
        <f t="shared" si="72"/>
        <v>993.2213999999999</v>
      </c>
      <c r="K2334" s="9">
        <f t="shared" si="73"/>
        <v>-0.50176716820438161</v>
      </c>
    </row>
    <row r="2335" spans="1:11" x14ac:dyDescent="0.3">
      <c r="A2335">
        <v>817</v>
      </c>
      <c r="B2335">
        <v>3</v>
      </c>
      <c r="C2335">
        <v>48</v>
      </c>
      <c r="D2335" t="str">
        <f>VLOOKUP($C2335,products!$A$1:$F$322,MATCH(order_items!$D$1,products!$A$1:$F$1,0),FALSE)</f>
        <v>Trek Emonda S 4 - 2017</v>
      </c>
      <c r="E2335">
        <f>VLOOKUP($C2335,products!$A$1:$F$322,MATCH(order_items!$E$1,products!$A$1:$F$1,0),FALSE)</f>
        <v>7</v>
      </c>
      <c r="F2335" t="str">
        <f>VLOOKUP($E2335,categories!$A$1:$B$8,MATCH(order_items!$F$1,categories!$A$1:$B$1,0),FALSE)</f>
        <v>Road Bikes</v>
      </c>
      <c r="G2335">
        <v>2</v>
      </c>
      <c r="H2335">
        <v>1499.99</v>
      </c>
      <c r="I2335" s="5">
        <v>0.05</v>
      </c>
      <c r="J2335">
        <f t="shared" si="72"/>
        <v>2849.9809999999998</v>
      </c>
      <c r="K2335" s="9">
        <f t="shared" si="73"/>
        <v>0.21238388736839492</v>
      </c>
    </row>
    <row r="2336" spans="1:11" x14ac:dyDescent="0.3">
      <c r="A2336">
        <v>818</v>
      </c>
      <c r="B2336">
        <v>1</v>
      </c>
      <c r="C2336">
        <v>103</v>
      </c>
      <c r="D2336" t="str">
        <f>VLOOKUP($C2336,products!$A$1:$F$322,MATCH(order_items!$D$1,products!$A$1:$F$1,0),FALSE)</f>
        <v>Sun Bicycles Streamway 3 - 2017</v>
      </c>
      <c r="E2336">
        <f>VLOOKUP($C2336,products!$A$1:$F$322,MATCH(order_items!$E$1,products!$A$1:$F$1,0),FALSE)</f>
        <v>2</v>
      </c>
      <c r="F2336" t="str">
        <f>VLOOKUP($E2336,categories!$A$1:$B$8,MATCH(order_items!$F$1,categories!$A$1:$B$1,0),FALSE)</f>
        <v>Comfort Bicycles</v>
      </c>
      <c r="G2336">
        <v>1</v>
      </c>
      <c r="H2336">
        <v>551.99</v>
      </c>
      <c r="I2336" s="5">
        <v>0.05</v>
      </c>
      <c r="J2336">
        <f t="shared" si="72"/>
        <v>524.39049999999997</v>
      </c>
      <c r="K2336" s="9">
        <f t="shared" si="73"/>
        <v>-0.48846000567818076</v>
      </c>
    </row>
    <row r="2337" spans="1:11" x14ac:dyDescent="0.3">
      <c r="A2337">
        <v>818</v>
      </c>
      <c r="B2337">
        <v>2</v>
      </c>
      <c r="C2337">
        <v>44</v>
      </c>
      <c r="D2337" t="str">
        <f>VLOOKUP($C2337,products!$A$1:$F$322,MATCH(order_items!$D$1,products!$A$1:$F$1,0),FALSE)</f>
        <v>Haro SR 1.1 - 2017</v>
      </c>
      <c r="E2337">
        <f>VLOOKUP($C2337,products!$A$1:$F$322,MATCH(order_items!$E$1,products!$A$1:$F$1,0),FALSE)</f>
        <v>6</v>
      </c>
      <c r="F2337" t="str">
        <f>VLOOKUP($E2337,categories!$A$1:$B$8,MATCH(order_items!$F$1,categories!$A$1:$B$1,0),FALSE)</f>
        <v>Mountain Bikes</v>
      </c>
      <c r="G2337">
        <v>2</v>
      </c>
      <c r="H2337">
        <v>539.99</v>
      </c>
      <c r="I2337" s="5">
        <v>7.0000000000000007E-2</v>
      </c>
      <c r="J2337">
        <f t="shared" si="72"/>
        <v>1004.3814</v>
      </c>
      <c r="K2337" s="9">
        <f t="shared" si="73"/>
        <v>-0.49733144736231466</v>
      </c>
    </row>
    <row r="2338" spans="1:11" x14ac:dyDescent="0.3">
      <c r="A2338">
        <v>818</v>
      </c>
      <c r="B2338">
        <v>3</v>
      </c>
      <c r="C2338">
        <v>19</v>
      </c>
      <c r="D2338" t="str">
        <f>VLOOKUP($C2338,products!$A$1:$F$322,MATCH(order_items!$D$1,products!$A$1:$F$1,0),FALSE)</f>
        <v>Pure Cycles William 3-Speed - 2016</v>
      </c>
      <c r="E2338">
        <f>VLOOKUP($C2338,products!$A$1:$F$322,MATCH(order_items!$E$1,products!$A$1:$F$1,0),FALSE)</f>
        <v>3</v>
      </c>
      <c r="F2338" t="str">
        <f>VLOOKUP($E2338,categories!$A$1:$B$8,MATCH(order_items!$F$1,categories!$A$1:$B$1,0),FALSE)</f>
        <v>Cruisers Bicycles</v>
      </c>
      <c r="G2338">
        <v>2</v>
      </c>
      <c r="H2338">
        <v>449</v>
      </c>
      <c r="I2338" s="5">
        <v>0.05</v>
      </c>
      <c r="J2338">
        <f t="shared" si="72"/>
        <v>853.09999999999991</v>
      </c>
      <c r="K2338" s="9">
        <f t="shared" si="73"/>
        <v>-0.56459915393225968</v>
      </c>
    </row>
    <row r="2339" spans="1:11" x14ac:dyDescent="0.3">
      <c r="A2339">
        <v>818</v>
      </c>
      <c r="B2339">
        <v>4</v>
      </c>
      <c r="C2339">
        <v>48</v>
      </c>
      <c r="D2339" t="str">
        <f>VLOOKUP($C2339,products!$A$1:$F$322,MATCH(order_items!$D$1,products!$A$1:$F$1,0),FALSE)</f>
        <v>Trek Emonda S 4 - 2017</v>
      </c>
      <c r="E2339">
        <f>VLOOKUP($C2339,products!$A$1:$F$322,MATCH(order_items!$E$1,products!$A$1:$F$1,0),FALSE)</f>
        <v>7</v>
      </c>
      <c r="F2339" t="str">
        <f>VLOOKUP($E2339,categories!$A$1:$B$8,MATCH(order_items!$F$1,categories!$A$1:$B$1,0),FALSE)</f>
        <v>Road Bikes</v>
      </c>
      <c r="G2339">
        <v>2</v>
      </c>
      <c r="H2339">
        <v>1499.99</v>
      </c>
      <c r="I2339" s="5">
        <v>0.05</v>
      </c>
      <c r="J2339">
        <f t="shared" si="72"/>
        <v>2849.9809999999998</v>
      </c>
      <c r="K2339" s="9">
        <f t="shared" si="73"/>
        <v>0.21238388736839492</v>
      </c>
    </row>
    <row r="2340" spans="1:11" x14ac:dyDescent="0.3">
      <c r="A2340">
        <v>819</v>
      </c>
      <c r="B2340">
        <v>1</v>
      </c>
      <c r="C2340">
        <v>94</v>
      </c>
      <c r="D2340" t="str">
        <f>VLOOKUP($C2340,products!$A$1:$F$322,MATCH(order_items!$D$1,products!$A$1:$F$1,0),FALSE)</f>
        <v>Haro Shredder Pro 20 - 2017</v>
      </c>
      <c r="E2340">
        <f>VLOOKUP($C2340,products!$A$1:$F$322,MATCH(order_items!$E$1,products!$A$1:$F$1,0),FALSE)</f>
        <v>1</v>
      </c>
      <c r="F2340" t="str">
        <f>VLOOKUP($E2340,categories!$A$1:$B$8,MATCH(order_items!$F$1,categories!$A$1:$B$1,0),FALSE)</f>
        <v>Children Bicycles</v>
      </c>
      <c r="G2340">
        <v>1</v>
      </c>
      <c r="H2340">
        <v>249.99</v>
      </c>
      <c r="I2340" s="5">
        <v>0.2</v>
      </c>
      <c r="J2340">
        <f t="shared" si="72"/>
        <v>199.99200000000002</v>
      </c>
      <c r="K2340" s="9">
        <f t="shared" si="73"/>
        <v>-0.71172462139554982</v>
      </c>
    </row>
    <row r="2341" spans="1:11" x14ac:dyDescent="0.3">
      <c r="A2341">
        <v>820</v>
      </c>
      <c r="B2341">
        <v>1</v>
      </c>
      <c r="C2341">
        <v>107</v>
      </c>
      <c r="D2341" t="str">
        <f>VLOOKUP($C2341,products!$A$1:$F$322,MATCH(order_items!$D$1,products!$A$1:$F$1,0),FALSE)</f>
        <v>Sun Bicycles Cruz 7 - 2017</v>
      </c>
      <c r="E2341">
        <f>VLOOKUP($C2341,products!$A$1:$F$322,MATCH(order_items!$E$1,products!$A$1:$F$1,0),FALSE)</f>
        <v>2</v>
      </c>
      <c r="F2341" t="str">
        <f>VLOOKUP($E2341,categories!$A$1:$B$8,MATCH(order_items!$F$1,categories!$A$1:$B$1,0),FALSE)</f>
        <v>Comfort Bicycles</v>
      </c>
      <c r="G2341">
        <v>1</v>
      </c>
      <c r="H2341">
        <v>416.99</v>
      </c>
      <c r="I2341" s="5">
        <v>0.05</v>
      </c>
      <c r="J2341">
        <f t="shared" si="72"/>
        <v>396.14049999999997</v>
      </c>
      <c r="K2341" s="9">
        <f t="shared" si="73"/>
        <v>-0.58826372462468679</v>
      </c>
    </row>
    <row r="2342" spans="1:11" x14ac:dyDescent="0.3">
      <c r="A2342">
        <v>821</v>
      </c>
      <c r="B2342">
        <v>1</v>
      </c>
      <c r="C2342">
        <v>102</v>
      </c>
      <c r="D2342" t="str">
        <f>VLOOKUP($C2342,products!$A$1:$F$322,MATCH(order_items!$D$1,products!$A$1:$F$1,0),FALSE)</f>
        <v>Electra Townie Original 7D - 2017</v>
      </c>
      <c r="E2342">
        <f>VLOOKUP($C2342,products!$A$1:$F$322,MATCH(order_items!$E$1,products!$A$1:$F$1,0),FALSE)</f>
        <v>2</v>
      </c>
      <c r="F2342" t="str">
        <f>VLOOKUP($E2342,categories!$A$1:$B$8,MATCH(order_items!$F$1,categories!$A$1:$B$1,0),FALSE)</f>
        <v>Comfort Bicycles</v>
      </c>
      <c r="G2342">
        <v>1</v>
      </c>
      <c r="H2342">
        <v>489.99</v>
      </c>
      <c r="I2342" s="5">
        <v>7.0000000000000007E-2</v>
      </c>
      <c r="J2342">
        <f t="shared" si="72"/>
        <v>455.69069999999999</v>
      </c>
      <c r="K2342" s="9">
        <f t="shared" si="73"/>
        <v>-0.53429578771287245</v>
      </c>
    </row>
    <row r="2343" spans="1:11" x14ac:dyDescent="0.3">
      <c r="A2343">
        <v>821</v>
      </c>
      <c r="B2343">
        <v>2</v>
      </c>
      <c r="C2343">
        <v>70</v>
      </c>
      <c r="D2343" t="str">
        <f>VLOOKUP($C2343,products!$A$1:$F$322,MATCH(order_items!$D$1,products!$A$1:$F$1,0),FALSE)</f>
        <v>Electra Amsterdam Original 3i - 2015/2017</v>
      </c>
      <c r="E2343">
        <f>VLOOKUP($C2343,products!$A$1:$F$322,MATCH(order_items!$E$1,products!$A$1:$F$1,0),FALSE)</f>
        <v>3</v>
      </c>
      <c r="F2343" t="str">
        <f>VLOOKUP($E2343,categories!$A$1:$B$8,MATCH(order_items!$F$1,categories!$A$1:$B$1,0),FALSE)</f>
        <v>Cruisers Bicycles</v>
      </c>
      <c r="G2343">
        <v>2</v>
      </c>
      <c r="H2343">
        <v>659.99</v>
      </c>
      <c r="I2343" s="5">
        <v>0.2</v>
      </c>
      <c r="J2343">
        <f t="shared" si="72"/>
        <v>1055.9840000000002</v>
      </c>
      <c r="K2343" s="9">
        <f t="shared" si="73"/>
        <v>-0.40861703052097592</v>
      </c>
    </row>
    <row r="2344" spans="1:11" x14ac:dyDescent="0.3">
      <c r="A2344">
        <v>821</v>
      </c>
      <c r="B2344">
        <v>3</v>
      </c>
      <c r="C2344">
        <v>6</v>
      </c>
      <c r="D2344" t="str">
        <f>VLOOKUP($C2344,products!$A$1:$F$322,MATCH(order_items!$D$1,products!$A$1:$F$1,0),FALSE)</f>
        <v>Surly Ice Cream Truck Frameset - 2016</v>
      </c>
      <c r="E2344">
        <f>VLOOKUP($C2344,products!$A$1:$F$322,MATCH(order_items!$E$1,products!$A$1:$F$1,0),FALSE)</f>
        <v>6</v>
      </c>
      <c r="F2344" t="str">
        <f>VLOOKUP($E2344,categories!$A$1:$B$8,MATCH(order_items!$F$1,categories!$A$1:$B$1,0),FALSE)</f>
        <v>Mountain Bikes</v>
      </c>
      <c r="G2344">
        <v>1</v>
      </c>
      <c r="H2344">
        <v>469.99</v>
      </c>
      <c r="I2344" s="5">
        <v>0.2</v>
      </c>
      <c r="J2344">
        <f t="shared" si="72"/>
        <v>375.99200000000002</v>
      </c>
      <c r="K2344" s="9">
        <f t="shared" si="73"/>
        <v>-0.5490815238530955</v>
      </c>
    </row>
    <row r="2345" spans="1:11" x14ac:dyDescent="0.3">
      <c r="A2345">
        <v>821</v>
      </c>
      <c r="B2345">
        <v>4</v>
      </c>
      <c r="C2345">
        <v>107</v>
      </c>
      <c r="D2345" t="str">
        <f>VLOOKUP($C2345,products!$A$1:$F$322,MATCH(order_items!$D$1,products!$A$1:$F$1,0),FALSE)</f>
        <v>Sun Bicycles Cruz 7 - 2017</v>
      </c>
      <c r="E2345">
        <f>VLOOKUP($C2345,products!$A$1:$F$322,MATCH(order_items!$E$1,products!$A$1:$F$1,0),FALSE)</f>
        <v>2</v>
      </c>
      <c r="F2345" t="str">
        <f>VLOOKUP($E2345,categories!$A$1:$B$8,MATCH(order_items!$F$1,categories!$A$1:$B$1,0),FALSE)</f>
        <v>Comfort Bicycles</v>
      </c>
      <c r="G2345">
        <v>1</v>
      </c>
      <c r="H2345">
        <v>416.99</v>
      </c>
      <c r="I2345" s="5">
        <v>0.05</v>
      </c>
      <c r="J2345">
        <f t="shared" si="72"/>
        <v>396.14049999999997</v>
      </c>
      <c r="K2345" s="9">
        <f t="shared" si="73"/>
        <v>-0.58826372462468679</v>
      </c>
    </row>
    <row r="2346" spans="1:11" x14ac:dyDescent="0.3">
      <c r="A2346">
        <v>822</v>
      </c>
      <c r="B2346">
        <v>1</v>
      </c>
      <c r="C2346">
        <v>53</v>
      </c>
      <c r="D2346" t="str">
        <f>VLOOKUP($C2346,products!$A$1:$F$322,MATCH(order_items!$D$1,products!$A$1:$F$1,0),FALSE)</f>
        <v>Surly Ogre Frameset - 2017</v>
      </c>
      <c r="E2346">
        <f>VLOOKUP($C2346,products!$A$1:$F$322,MATCH(order_items!$E$1,products!$A$1:$F$1,0),FALSE)</f>
        <v>7</v>
      </c>
      <c r="F2346" t="str">
        <f>VLOOKUP($E2346,categories!$A$1:$B$8,MATCH(order_items!$F$1,categories!$A$1:$B$1,0),FALSE)</f>
        <v>Road Bikes</v>
      </c>
      <c r="G2346">
        <v>1</v>
      </c>
      <c r="H2346">
        <v>749.99</v>
      </c>
      <c r="I2346" s="5">
        <v>0.05</v>
      </c>
      <c r="J2346">
        <f t="shared" si="72"/>
        <v>712.4905</v>
      </c>
      <c r="K2346" s="9">
        <f t="shared" si="73"/>
        <v>-0.34208121788997192</v>
      </c>
    </row>
    <row r="2347" spans="1:11" x14ac:dyDescent="0.3">
      <c r="A2347">
        <v>822</v>
      </c>
      <c r="B2347">
        <v>2</v>
      </c>
      <c r="C2347">
        <v>72</v>
      </c>
      <c r="D2347" t="str">
        <f>VLOOKUP($C2347,products!$A$1:$F$322,MATCH(order_items!$D$1,products!$A$1:$F$1,0),FALSE)</f>
        <v>Sun Bicycles Biscayne Tandem 7 - 2017</v>
      </c>
      <c r="E2347">
        <f>VLOOKUP($C2347,products!$A$1:$F$322,MATCH(order_items!$E$1,products!$A$1:$F$1,0),FALSE)</f>
        <v>3</v>
      </c>
      <c r="F2347" t="str">
        <f>VLOOKUP($E2347,categories!$A$1:$B$8,MATCH(order_items!$F$1,categories!$A$1:$B$1,0),FALSE)</f>
        <v>Cruisers Bicycles</v>
      </c>
      <c r="G2347">
        <v>1</v>
      </c>
      <c r="H2347">
        <v>619.99</v>
      </c>
      <c r="I2347" s="5">
        <v>0.2</v>
      </c>
      <c r="J2347">
        <f t="shared" si="72"/>
        <v>495.99200000000002</v>
      </c>
      <c r="K2347" s="9">
        <f t="shared" si="73"/>
        <v>-0.43818850280142219</v>
      </c>
    </row>
    <row r="2348" spans="1:11" x14ac:dyDescent="0.3">
      <c r="A2348">
        <v>823</v>
      </c>
      <c r="B2348">
        <v>1</v>
      </c>
      <c r="C2348">
        <v>56</v>
      </c>
      <c r="D2348" t="str">
        <f>VLOOKUP($C2348,products!$A$1:$F$322,MATCH(order_items!$D$1,products!$A$1:$F$1,0),FALSE)</f>
        <v>Trek Domane SLR 6 Disc - 2017</v>
      </c>
      <c r="E2348">
        <f>VLOOKUP($C2348,products!$A$1:$F$322,MATCH(order_items!$E$1,products!$A$1:$F$1,0),FALSE)</f>
        <v>7</v>
      </c>
      <c r="F2348" t="str">
        <f>VLOOKUP($E2348,categories!$A$1:$B$8,MATCH(order_items!$F$1,categories!$A$1:$B$1,0),FALSE)</f>
        <v>Road Bikes</v>
      </c>
      <c r="G2348">
        <v>2</v>
      </c>
      <c r="H2348">
        <v>5499.99</v>
      </c>
      <c r="I2348" s="5">
        <v>7.0000000000000007E-2</v>
      </c>
      <c r="J2348">
        <f t="shared" si="72"/>
        <v>10229.981399999999</v>
      </c>
      <c r="K2348" s="9">
        <f t="shared" si="73"/>
        <v>3.1695311154130179</v>
      </c>
    </row>
    <row r="2349" spans="1:11" x14ac:dyDescent="0.3">
      <c r="A2349">
        <v>823</v>
      </c>
      <c r="B2349">
        <v>2</v>
      </c>
      <c r="C2349">
        <v>86</v>
      </c>
      <c r="D2349" t="str">
        <f>VLOOKUP($C2349,products!$A$1:$F$322,MATCH(order_items!$D$1,products!$A$1:$F$1,0),FALSE)</f>
        <v>Trek Girl's Kickster - 2017</v>
      </c>
      <c r="E2349">
        <f>VLOOKUP($C2349,products!$A$1:$F$322,MATCH(order_items!$E$1,products!$A$1:$F$1,0),FALSE)</f>
        <v>1</v>
      </c>
      <c r="F2349" t="str">
        <f>VLOOKUP($E2349,categories!$A$1:$B$8,MATCH(order_items!$F$1,categories!$A$1:$B$1,0),FALSE)</f>
        <v>Children Bicycles</v>
      </c>
      <c r="G2349">
        <v>2</v>
      </c>
      <c r="H2349">
        <v>149.99</v>
      </c>
      <c r="I2349" s="5">
        <v>0.2</v>
      </c>
      <c r="J2349">
        <f t="shared" si="72"/>
        <v>239.98400000000004</v>
      </c>
      <c r="K2349" s="9">
        <f t="shared" si="73"/>
        <v>-0.7856533020966654</v>
      </c>
    </row>
    <row r="2350" spans="1:11" x14ac:dyDescent="0.3">
      <c r="A2350">
        <v>823</v>
      </c>
      <c r="B2350">
        <v>3</v>
      </c>
      <c r="C2350">
        <v>81</v>
      </c>
      <c r="D2350" t="str">
        <f>VLOOKUP($C2350,products!$A$1:$F$322,MATCH(order_items!$D$1,products!$A$1:$F$1,0),FALSE)</f>
        <v>Electra Amsterdam Fashion 7i Ladies' - 2017</v>
      </c>
      <c r="E2350">
        <f>VLOOKUP($C2350,products!$A$1:$F$322,MATCH(order_items!$E$1,products!$A$1:$F$1,0),FALSE)</f>
        <v>3</v>
      </c>
      <c r="F2350" t="str">
        <f>VLOOKUP($E2350,categories!$A$1:$B$8,MATCH(order_items!$F$1,categories!$A$1:$B$1,0),FALSE)</f>
        <v>Cruisers Bicycles</v>
      </c>
      <c r="G2350">
        <v>1</v>
      </c>
      <c r="H2350">
        <v>1099.99</v>
      </c>
      <c r="I2350" s="5">
        <v>0.2</v>
      </c>
      <c r="J2350">
        <f t="shared" si="72"/>
        <v>879.99200000000008</v>
      </c>
      <c r="K2350" s="9">
        <f t="shared" si="73"/>
        <v>-8.3330835436067396E-2</v>
      </c>
    </row>
    <row r="2351" spans="1:11" x14ac:dyDescent="0.3">
      <c r="A2351">
        <v>824</v>
      </c>
      <c r="B2351">
        <v>1</v>
      </c>
      <c r="C2351">
        <v>92</v>
      </c>
      <c r="D2351" t="str">
        <f>VLOOKUP($C2351,products!$A$1:$F$322,MATCH(order_items!$D$1,products!$A$1:$F$1,0),FALSE)</f>
        <v>Haro Shredder 20 - 2017</v>
      </c>
      <c r="E2351">
        <f>VLOOKUP($C2351,products!$A$1:$F$322,MATCH(order_items!$E$1,products!$A$1:$F$1,0),FALSE)</f>
        <v>1</v>
      </c>
      <c r="F2351" t="str">
        <f>VLOOKUP($E2351,categories!$A$1:$B$8,MATCH(order_items!$F$1,categories!$A$1:$B$1,0),FALSE)</f>
        <v>Children Bicycles</v>
      </c>
      <c r="G2351">
        <v>2</v>
      </c>
      <c r="H2351">
        <v>209.99</v>
      </c>
      <c r="I2351" s="5">
        <v>0.1</v>
      </c>
      <c r="J2351">
        <f t="shared" si="72"/>
        <v>377.98200000000003</v>
      </c>
      <c r="K2351" s="9">
        <f t="shared" si="73"/>
        <v>-0.74129609367599603</v>
      </c>
    </row>
    <row r="2352" spans="1:11" x14ac:dyDescent="0.3">
      <c r="A2352">
        <v>825</v>
      </c>
      <c r="B2352">
        <v>1</v>
      </c>
      <c r="C2352">
        <v>19</v>
      </c>
      <c r="D2352" t="str">
        <f>VLOOKUP($C2352,products!$A$1:$F$322,MATCH(order_items!$D$1,products!$A$1:$F$1,0),FALSE)</f>
        <v>Pure Cycles William 3-Speed - 2016</v>
      </c>
      <c r="E2352">
        <f>VLOOKUP($C2352,products!$A$1:$F$322,MATCH(order_items!$E$1,products!$A$1:$F$1,0),FALSE)</f>
        <v>3</v>
      </c>
      <c r="F2352" t="str">
        <f>VLOOKUP($E2352,categories!$A$1:$B$8,MATCH(order_items!$F$1,categories!$A$1:$B$1,0),FALSE)</f>
        <v>Cruisers Bicycles</v>
      </c>
      <c r="G2352">
        <v>1</v>
      </c>
      <c r="H2352">
        <v>449</v>
      </c>
      <c r="I2352" s="5">
        <v>0.1</v>
      </c>
      <c r="J2352">
        <f t="shared" si="72"/>
        <v>404.1</v>
      </c>
      <c r="K2352" s="9">
        <f t="shared" si="73"/>
        <v>-0.56459915393225968</v>
      </c>
    </row>
    <row r="2353" spans="1:11" x14ac:dyDescent="0.3">
      <c r="A2353">
        <v>825</v>
      </c>
      <c r="B2353">
        <v>2</v>
      </c>
      <c r="C2353">
        <v>30</v>
      </c>
      <c r="D2353" t="str">
        <f>VLOOKUP($C2353,products!$A$1:$F$322,MATCH(order_items!$D$1,products!$A$1:$F$1,0),FALSE)</f>
        <v>Surly Ice Cream Truck Frameset - 2017</v>
      </c>
      <c r="E2353">
        <f>VLOOKUP($C2353,products!$A$1:$F$322,MATCH(order_items!$E$1,products!$A$1:$F$1,0),FALSE)</f>
        <v>6</v>
      </c>
      <c r="F2353" t="str">
        <f>VLOOKUP($E2353,categories!$A$1:$B$8,MATCH(order_items!$F$1,categories!$A$1:$B$1,0),FALSE)</f>
        <v>Mountain Bikes</v>
      </c>
      <c r="G2353">
        <v>2</v>
      </c>
      <c r="H2353">
        <v>999.99</v>
      </c>
      <c r="I2353" s="5">
        <v>0.2</v>
      </c>
      <c r="J2353">
        <f t="shared" si="72"/>
        <v>1599.9840000000002</v>
      </c>
      <c r="K2353" s="9">
        <f t="shared" si="73"/>
        <v>-0.15725951613718298</v>
      </c>
    </row>
    <row r="2354" spans="1:11" x14ac:dyDescent="0.3">
      <c r="A2354">
        <v>826</v>
      </c>
      <c r="B2354">
        <v>1</v>
      </c>
      <c r="C2354">
        <v>45</v>
      </c>
      <c r="D2354" t="str">
        <f>VLOOKUP($C2354,products!$A$1:$F$322,MATCH(order_items!$D$1,products!$A$1:$F$1,0),FALSE)</f>
        <v>Haro SR 1.2 - 2017</v>
      </c>
      <c r="E2354">
        <f>VLOOKUP($C2354,products!$A$1:$F$322,MATCH(order_items!$E$1,products!$A$1:$F$1,0),FALSE)</f>
        <v>6</v>
      </c>
      <c r="F2354" t="str">
        <f>VLOOKUP($E2354,categories!$A$1:$B$8,MATCH(order_items!$F$1,categories!$A$1:$B$1,0),FALSE)</f>
        <v>Mountain Bikes</v>
      </c>
      <c r="G2354">
        <v>2</v>
      </c>
      <c r="H2354">
        <v>869.99</v>
      </c>
      <c r="I2354" s="5">
        <v>0.2</v>
      </c>
      <c r="J2354">
        <f t="shared" si="72"/>
        <v>1391.9840000000002</v>
      </c>
      <c r="K2354" s="9">
        <f t="shared" si="73"/>
        <v>-0.25336680104863324</v>
      </c>
    </row>
    <row r="2355" spans="1:11" x14ac:dyDescent="0.3">
      <c r="A2355">
        <v>826</v>
      </c>
      <c r="B2355">
        <v>2</v>
      </c>
      <c r="C2355">
        <v>36</v>
      </c>
      <c r="D2355" t="str">
        <f>VLOOKUP($C2355,products!$A$1:$F$322,MATCH(order_items!$D$1,products!$A$1:$F$1,0),FALSE)</f>
        <v>Surly Troll Frameset - 2017</v>
      </c>
      <c r="E2355">
        <f>VLOOKUP($C2355,products!$A$1:$F$322,MATCH(order_items!$E$1,products!$A$1:$F$1,0),FALSE)</f>
        <v>6</v>
      </c>
      <c r="F2355" t="str">
        <f>VLOOKUP($E2355,categories!$A$1:$B$8,MATCH(order_items!$F$1,categories!$A$1:$B$1,0),FALSE)</f>
        <v>Mountain Bikes</v>
      </c>
      <c r="G2355">
        <v>1</v>
      </c>
      <c r="H2355">
        <v>832.99</v>
      </c>
      <c r="I2355" s="5">
        <v>0.1</v>
      </c>
      <c r="J2355">
        <f t="shared" si="72"/>
        <v>749.69100000000003</v>
      </c>
      <c r="K2355" s="9">
        <f t="shared" si="73"/>
        <v>-0.280720412908046</v>
      </c>
    </row>
    <row r="2356" spans="1:11" x14ac:dyDescent="0.3">
      <c r="A2356">
        <v>827</v>
      </c>
      <c r="B2356">
        <v>1</v>
      </c>
      <c r="C2356">
        <v>43</v>
      </c>
      <c r="D2356" t="str">
        <f>VLOOKUP($C2356,products!$A$1:$F$322,MATCH(order_items!$D$1,products!$A$1:$F$1,0),FALSE)</f>
        <v>Trek Fuel EX 9.8 27.5 Plus - 2017</v>
      </c>
      <c r="E2356">
        <f>VLOOKUP($C2356,products!$A$1:$F$322,MATCH(order_items!$E$1,products!$A$1:$F$1,0),FALSE)</f>
        <v>6</v>
      </c>
      <c r="F2356" t="str">
        <f>VLOOKUP($E2356,categories!$A$1:$B$8,MATCH(order_items!$F$1,categories!$A$1:$B$1,0),FALSE)</f>
        <v>Mountain Bikes</v>
      </c>
      <c r="G2356">
        <v>1</v>
      </c>
      <c r="H2356">
        <v>5299.99</v>
      </c>
      <c r="I2356" s="5">
        <v>0.05</v>
      </c>
      <c r="J2356">
        <f t="shared" si="72"/>
        <v>5034.9904999999999</v>
      </c>
      <c r="K2356" s="9">
        <f t="shared" si="73"/>
        <v>3.021673754010787</v>
      </c>
    </row>
    <row r="2357" spans="1:11" x14ac:dyDescent="0.3">
      <c r="A2357">
        <v>827</v>
      </c>
      <c r="B2357">
        <v>2</v>
      </c>
      <c r="C2357">
        <v>41</v>
      </c>
      <c r="D2357" t="str">
        <f>VLOOKUP($C2357,products!$A$1:$F$322,MATCH(order_items!$D$1,products!$A$1:$F$1,0),FALSE)</f>
        <v>Haro Shift R3 - 2017</v>
      </c>
      <c r="E2357">
        <f>VLOOKUP($C2357,products!$A$1:$F$322,MATCH(order_items!$E$1,products!$A$1:$F$1,0),FALSE)</f>
        <v>6</v>
      </c>
      <c r="F2357" t="str">
        <f>VLOOKUP($E2357,categories!$A$1:$B$8,MATCH(order_items!$F$1,categories!$A$1:$B$1,0),FALSE)</f>
        <v>Mountain Bikes</v>
      </c>
      <c r="G2357">
        <v>1</v>
      </c>
      <c r="H2357">
        <v>1469.99</v>
      </c>
      <c r="I2357" s="5">
        <v>0.2</v>
      </c>
      <c r="J2357">
        <f t="shared" si="72"/>
        <v>1175.992</v>
      </c>
      <c r="K2357" s="9">
        <f t="shared" si="73"/>
        <v>0.19020528315806023</v>
      </c>
    </row>
    <row r="2358" spans="1:11" x14ac:dyDescent="0.3">
      <c r="A2358">
        <v>827</v>
      </c>
      <c r="B2358">
        <v>3</v>
      </c>
      <c r="C2358">
        <v>28</v>
      </c>
      <c r="D2358" t="str">
        <f>VLOOKUP($C2358,products!$A$1:$F$322,MATCH(order_items!$D$1,products!$A$1:$F$1,0),FALSE)</f>
        <v>Surly Karate Monkey 27.5+ Frameset - 2017</v>
      </c>
      <c r="E2358">
        <f>VLOOKUP($C2358,products!$A$1:$F$322,MATCH(order_items!$E$1,products!$A$1:$F$1,0),FALSE)</f>
        <v>6</v>
      </c>
      <c r="F2358" t="str">
        <f>VLOOKUP($E2358,categories!$A$1:$B$8,MATCH(order_items!$F$1,categories!$A$1:$B$1,0),FALSE)</f>
        <v>Mountain Bikes</v>
      </c>
      <c r="G2358">
        <v>1</v>
      </c>
      <c r="H2358">
        <v>2499.9899999999998</v>
      </c>
      <c r="I2358" s="5">
        <v>0.2</v>
      </c>
      <c r="J2358">
        <f t="shared" si="72"/>
        <v>1999.992</v>
      </c>
      <c r="K2358" s="9">
        <f t="shared" si="73"/>
        <v>0.95167069437955054</v>
      </c>
    </row>
    <row r="2359" spans="1:11" x14ac:dyDescent="0.3">
      <c r="A2359">
        <v>827</v>
      </c>
      <c r="B2359">
        <v>4</v>
      </c>
      <c r="C2359">
        <v>108</v>
      </c>
      <c r="D2359" t="str">
        <f>VLOOKUP($C2359,products!$A$1:$F$322,MATCH(order_items!$D$1,products!$A$1:$F$1,0),FALSE)</f>
        <v>Sun Bicycles Cruz 3 - Women's - 2017</v>
      </c>
      <c r="E2359">
        <f>VLOOKUP($C2359,products!$A$1:$F$322,MATCH(order_items!$E$1,products!$A$1:$F$1,0),FALSE)</f>
        <v>2</v>
      </c>
      <c r="F2359" t="str">
        <f>VLOOKUP($E2359,categories!$A$1:$B$8,MATCH(order_items!$F$1,categories!$A$1:$B$1,0),FALSE)</f>
        <v>Comfort Bicycles</v>
      </c>
      <c r="G2359">
        <v>1</v>
      </c>
      <c r="H2359">
        <v>449.99</v>
      </c>
      <c r="I2359" s="5">
        <v>0.2</v>
      </c>
      <c r="J2359">
        <f t="shared" si="72"/>
        <v>359.99200000000002</v>
      </c>
      <c r="K2359" s="9">
        <f t="shared" si="73"/>
        <v>-0.56386725999331866</v>
      </c>
    </row>
    <row r="2360" spans="1:11" x14ac:dyDescent="0.3">
      <c r="A2360">
        <v>828</v>
      </c>
      <c r="B2360">
        <v>1</v>
      </c>
      <c r="C2360">
        <v>25</v>
      </c>
      <c r="D2360" t="str">
        <f>VLOOKUP($C2360,products!$A$1:$F$322,MATCH(order_items!$D$1,products!$A$1:$F$1,0),FALSE)</f>
        <v>Electra Townie Original 7D - 2015/2016</v>
      </c>
      <c r="E2360">
        <f>VLOOKUP($C2360,products!$A$1:$F$322,MATCH(order_items!$E$1,products!$A$1:$F$1,0),FALSE)</f>
        <v>2</v>
      </c>
      <c r="F2360" t="str">
        <f>VLOOKUP($E2360,categories!$A$1:$B$8,MATCH(order_items!$F$1,categories!$A$1:$B$1,0),FALSE)</f>
        <v>Comfort Bicycles</v>
      </c>
      <c r="G2360">
        <v>2</v>
      </c>
      <c r="H2360">
        <v>499.99</v>
      </c>
      <c r="I2360" s="5">
        <v>0.2</v>
      </c>
      <c r="J2360">
        <f t="shared" si="72"/>
        <v>799.98400000000004</v>
      </c>
      <c r="K2360" s="9">
        <f t="shared" si="73"/>
        <v>-0.52690291964276081</v>
      </c>
    </row>
    <row r="2361" spans="1:11" x14ac:dyDescent="0.3">
      <c r="A2361">
        <v>828</v>
      </c>
      <c r="B2361">
        <v>2</v>
      </c>
      <c r="C2361">
        <v>24</v>
      </c>
      <c r="D2361" t="str">
        <f>VLOOKUP($C2361,products!$A$1:$F$322,MATCH(order_items!$D$1,products!$A$1:$F$1,0),FALSE)</f>
        <v>Electra Townie Original 21D - 2016</v>
      </c>
      <c r="E2361">
        <f>VLOOKUP($C2361,products!$A$1:$F$322,MATCH(order_items!$E$1,products!$A$1:$F$1,0),FALSE)</f>
        <v>2</v>
      </c>
      <c r="F2361" t="str">
        <f>VLOOKUP($E2361,categories!$A$1:$B$8,MATCH(order_items!$F$1,categories!$A$1:$B$1,0),FALSE)</f>
        <v>Comfort Bicycles</v>
      </c>
      <c r="G2361">
        <v>1</v>
      </c>
      <c r="H2361">
        <v>549.99</v>
      </c>
      <c r="I2361" s="5">
        <v>0.2</v>
      </c>
      <c r="J2361">
        <f t="shared" si="72"/>
        <v>439.99200000000002</v>
      </c>
      <c r="K2361" s="9">
        <f t="shared" si="73"/>
        <v>-0.48993857929220308</v>
      </c>
    </row>
    <row r="2362" spans="1:11" x14ac:dyDescent="0.3">
      <c r="A2362">
        <v>828</v>
      </c>
      <c r="B2362">
        <v>3</v>
      </c>
      <c r="C2362">
        <v>55</v>
      </c>
      <c r="D2362" t="str">
        <f>VLOOKUP($C2362,products!$A$1:$F$322,MATCH(order_items!$D$1,products!$A$1:$F$1,0),FALSE)</f>
        <v>Trek Domane S 6 - 2017</v>
      </c>
      <c r="E2362">
        <f>VLOOKUP($C2362,products!$A$1:$F$322,MATCH(order_items!$E$1,products!$A$1:$F$1,0),FALSE)</f>
        <v>7</v>
      </c>
      <c r="F2362" t="str">
        <f>VLOOKUP($E2362,categories!$A$1:$B$8,MATCH(order_items!$F$1,categories!$A$1:$B$1,0),FALSE)</f>
        <v>Road Bikes</v>
      </c>
      <c r="G2362">
        <v>2</v>
      </c>
      <c r="H2362">
        <v>2699.99</v>
      </c>
      <c r="I2362" s="5">
        <v>7.0000000000000007E-2</v>
      </c>
      <c r="J2362">
        <f t="shared" si="72"/>
        <v>5021.9813999999997</v>
      </c>
      <c r="K2362" s="9">
        <f t="shared" si="73"/>
        <v>1.0995280557817817</v>
      </c>
    </row>
    <row r="2363" spans="1:11" x14ac:dyDescent="0.3">
      <c r="A2363">
        <v>829</v>
      </c>
      <c r="B2363">
        <v>1</v>
      </c>
      <c r="C2363">
        <v>103</v>
      </c>
      <c r="D2363" t="str">
        <f>VLOOKUP($C2363,products!$A$1:$F$322,MATCH(order_items!$D$1,products!$A$1:$F$1,0),FALSE)</f>
        <v>Sun Bicycles Streamway 3 - 2017</v>
      </c>
      <c r="E2363">
        <f>VLOOKUP($C2363,products!$A$1:$F$322,MATCH(order_items!$E$1,products!$A$1:$F$1,0),FALSE)</f>
        <v>2</v>
      </c>
      <c r="F2363" t="str">
        <f>VLOOKUP($E2363,categories!$A$1:$B$8,MATCH(order_items!$F$1,categories!$A$1:$B$1,0),FALSE)</f>
        <v>Comfort Bicycles</v>
      </c>
      <c r="G2363">
        <v>1</v>
      </c>
      <c r="H2363">
        <v>551.99</v>
      </c>
      <c r="I2363" s="5">
        <v>0.2</v>
      </c>
      <c r="J2363">
        <f t="shared" si="72"/>
        <v>441.59200000000004</v>
      </c>
      <c r="K2363" s="9">
        <f t="shared" si="73"/>
        <v>-0.48846000567818076</v>
      </c>
    </row>
    <row r="2364" spans="1:11" x14ac:dyDescent="0.3">
      <c r="A2364">
        <v>829</v>
      </c>
      <c r="B2364">
        <v>2</v>
      </c>
      <c r="C2364">
        <v>105</v>
      </c>
      <c r="D2364" t="str">
        <f>VLOOKUP($C2364,products!$A$1:$F$322,MATCH(order_items!$D$1,products!$A$1:$F$1,0),FALSE)</f>
        <v>Sun Bicycles Streamway 7 - 2017</v>
      </c>
      <c r="E2364">
        <f>VLOOKUP($C2364,products!$A$1:$F$322,MATCH(order_items!$E$1,products!$A$1:$F$1,0),FALSE)</f>
        <v>2</v>
      </c>
      <c r="F2364" t="str">
        <f>VLOOKUP($E2364,categories!$A$1:$B$8,MATCH(order_items!$F$1,categories!$A$1:$B$1,0),FALSE)</f>
        <v>Comfort Bicycles</v>
      </c>
      <c r="G2364">
        <v>2</v>
      </c>
      <c r="H2364">
        <v>533.99</v>
      </c>
      <c r="I2364" s="5">
        <v>0.1</v>
      </c>
      <c r="J2364">
        <f t="shared" si="72"/>
        <v>961.18200000000002</v>
      </c>
      <c r="K2364" s="9">
        <f t="shared" si="73"/>
        <v>-0.50176716820438161</v>
      </c>
    </row>
    <row r="2365" spans="1:11" x14ac:dyDescent="0.3">
      <c r="A2365">
        <v>830</v>
      </c>
      <c r="B2365">
        <v>1</v>
      </c>
      <c r="C2365">
        <v>85</v>
      </c>
      <c r="D2365" t="str">
        <f>VLOOKUP($C2365,products!$A$1:$F$322,MATCH(order_items!$D$1,products!$A$1:$F$1,0),FALSE)</f>
        <v>Haro Downtown 16 - 2017</v>
      </c>
      <c r="E2365">
        <f>VLOOKUP($C2365,products!$A$1:$F$322,MATCH(order_items!$E$1,products!$A$1:$F$1,0),FALSE)</f>
        <v>1</v>
      </c>
      <c r="F2365" t="str">
        <f>VLOOKUP($E2365,categories!$A$1:$B$8,MATCH(order_items!$F$1,categories!$A$1:$B$1,0),FALSE)</f>
        <v>Children Bicycles</v>
      </c>
      <c r="G2365">
        <v>2</v>
      </c>
      <c r="H2365">
        <v>329.99</v>
      </c>
      <c r="I2365" s="5">
        <v>0.2</v>
      </c>
      <c r="J2365">
        <f t="shared" si="72"/>
        <v>527.98400000000004</v>
      </c>
      <c r="K2365" s="9">
        <f t="shared" si="73"/>
        <v>-0.6525816768346574</v>
      </c>
    </row>
    <row r="2366" spans="1:11" x14ac:dyDescent="0.3">
      <c r="A2366">
        <v>830</v>
      </c>
      <c r="B2366">
        <v>2</v>
      </c>
      <c r="C2366">
        <v>100</v>
      </c>
      <c r="D2366" t="str">
        <f>VLOOKUP($C2366,products!$A$1:$F$322,MATCH(order_items!$D$1,products!$A$1:$F$1,0),FALSE)</f>
        <v>Electra Townie 3i EQ (20-inch) - Boys' - 2017</v>
      </c>
      <c r="E2366">
        <f>VLOOKUP($C2366,products!$A$1:$F$322,MATCH(order_items!$E$1,products!$A$1:$F$1,0),FALSE)</f>
        <v>1</v>
      </c>
      <c r="F2366" t="str">
        <f>VLOOKUP($E2366,categories!$A$1:$B$8,MATCH(order_items!$F$1,categories!$A$1:$B$1,0),FALSE)</f>
        <v>Children Bicycles</v>
      </c>
      <c r="G2366">
        <v>2</v>
      </c>
      <c r="H2366">
        <v>489.99</v>
      </c>
      <c r="I2366" s="5">
        <v>7.0000000000000007E-2</v>
      </c>
      <c r="J2366">
        <f t="shared" si="72"/>
        <v>911.38139999999999</v>
      </c>
      <c r="K2366" s="9">
        <f t="shared" si="73"/>
        <v>-0.53429578771287245</v>
      </c>
    </row>
    <row r="2367" spans="1:11" x14ac:dyDescent="0.3">
      <c r="A2367">
        <v>830</v>
      </c>
      <c r="B2367">
        <v>3</v>
      </c>
      <c r="C2367">
        <v>96</v>
      </c>
      <c r="D2367" t="str">
        <f>VLOOKUP($C2367,products!$A$1:$F$322,MATCH(order_items!$D$1,products!$A$1:$F$1,0),FALSE)</f>
        <v>Electra Moto 3i (20-inch) - Boy's - 2017</v>
      </c>
      <c r="E2367">
        <f>VLOOKUP($C2367,products!$A$1:$F$322,MATCH(order_items!$E$1,products!$A$1:$F$1,0),FALSE)</f>
        <v>1</v>
      </c>
      <c r="F2367" t="str">
        <f>VLOOKUP($E2367,categories!$A$1:$B$8,MATCH(order_items!$F$1,categories!$A$1:$B$1,0),FALSE)</f>
        <v>Children Bicycles</v>
      </c>
      <c r="G2367">
        <v>2</v>
      </c>
      <c r="H2367">
        <v>349.99</v>
      </c>
      <c r="I2367" s="5">
        <v>0.2</v>
      </c>
      <c r="J2367">
        <f t="shared" si="72"/>
        <v>559.98400000000004</v>
      </c>
      <c r="K2367" s="9">
        <f t="shared" si="73"/>
        <v>-0.63779594069443424</v>
      </c>
    </row>
    <row r="2368" spans="1:11" x14ac:dyDescent="0.3">
      <c r="A2368">
        <v>831</v>
      </c>
      <c r="B2368">
        <v>1</v>
      </c>
      <c r="C2368">
        <v>67</v>
      </c>
      <c r="D2368" t="str">
        <f>VLOOKUP($C2368,products!$A$1:$F$322,MATCH(order_items!$D$1,products!$A$1:$F$1,0),FALSE)</f>
        <v>Sun Bicycles Revolutions 24 - Girl's - 2017</v>
      </c>
      <c r="E2368">
        <f>VLOOKUP($C2368,products!$A$1:$F$322,MATCH(order_items!$E$1,products!$A$1:$F$1,0),FALSE)</f>
        <v>3</v>
      </c>
      <c r="F2368" t="str">
        <f>VLOOKUP($E2368,categories!$A$1:$B$8,MATCH(order_items!$F$1,categories!$A$1:$B$1,0),FALSE)</f>
        <v>Cruisers Bicycles</v>
      </c>
      <c r="G2368">
        <v>1</v>
      </c>
      <c r="H2368">
        <v>250.99</v>
      </c>
      <c r="I2368" s="5">
        <v>0.2</v>
      </c>
      <c r="J2368">
        <f t="shared" si="72"/>
        <v>200.79200000000003</v>
      </c>
      <c r="K2368" s="9">
        <f t="shared" si="73"/>
        <v>-0.71098533458853863</v>
      </c>
    </row>
    <row r="2369" spans="1:11" x14ac:dyDescent="0.3">
      <c r="A2369">
        <v>831</v>
      </c>
      <c r="B2369">
        <v>2</v>
      </c>
      <c r="C2369">
        <v>11</v>
      </c>
      <c r="D2369" t="str">
        <f>VLOOKUP($C2369,products!$A$1:$F$322,MATCH(order_items!$D$1,products!$A$1:$F$1,0),FALSE)</f>
        <v>Surly Straggler 650b - 2016</v>
      </c>
      <c r="E2369">
        <f>VLOOKUP($C2369,products!$A$1:$F$322,MATCH(order_items!$E$1,products!$A$1:$F$1,0),FALSE)</f>
        <v>4</v>
      </c>
      <c r="F2369" t="str">
        <f>VLOOKUP($E2369,categories!$A$1:$B$8,MATCH(order_items!$F$1,categories!$A$1:$B$1,0),FALSE)</f>
        <v>Cyclocross Bicycles</v>
      </c>
      <c r="G2369">
        <v>1</v>
      </c>
      <c r="H2369">
        <v>1680.99</v>
      </c>
      <c r="I2369" s="5">
        <v>0.2</v>
      </c>
      <c r="J2369">
        <f t="shared" si="72"/>
        <v>1344.7920000000001</v>
      </c>
      <c r="K2369" s="9">
        <f t="shared" si="73"/>
        <v>0.3461947994374141</v>
      </c>
    </row>
    <row r="2370" spans="1:11" x14ac:dyDescent="0.3">
      <c r="A2370">
        <v>831</v>
      </c>
      <c r="B2370">
        <v>3</v>
      </c>
      <c r="C2370">
        <v>68</v>
      </c>
      <c r="D2370" t="str">
        <f>VLOOKUP($C2370,products!$A$1:$F$322,MATCH(order_items!$D$1,products!$A$1:$F$1,0),FALSE)</f>
        <v>Sun Bicycles Cruz 3 - 2017</v>
      </c>
      <c r="E2370">
        <f>VLOOKUP($C2370,products!$A$1:$F$322,MATCH(order_items!$E$1,products!$A$1:$F$1,0),FALSE)</f>
        <v>3</v>
      </c>
      <c r="F2370" t="str">
        <f>VLOOKUP($E2370,categories!$A$1:$B$8,MATCH(order_items!$F$1,categories!$A$1:$B$1,0),FALSE)</f>
        <v>Cruisers Bicycles</v>
      </c>
      <c r="G2370">
        <v>1</v>
      </c>
      <c r="H2370">
        <v>449.99</v>
      </c>
      <c r="I2370" s="5">
        <v>0.1</v>
      </c>
      <c r="J2370">
        <f t="shared" ref="J2370:J2433" si="74">G2370*H2370*(1-I2370)</f>
        <v>404.99100000000004</v>
      </c>
      <c r="K2370" s="9">
        <f t="shared" ref="K2370:K2433" si="75">($H2370-$M$7)/$M$9</f>
        <v>-0.56386725999331866</v>
      </c>
    </row>
    <row r="2371" spans="1:11" x14ac:dyDescent="0.3">
      <c r="A2371">
        <v>832</v>
      </c>
      <c r="B2371">
        <v>1</v>
      </c>
      <c r="C2371">
        <v>54</v>
      </c>
      <c r="D2371" t="str">
        <f>VLOOKUP($C2371,products!$A$1:$F$322,MATCH(order_items!$D$1,products!$A$1:$F$1,0),FALSE)</f>
        <v>Trek Domane SL Disc Frameset - 2017</v>
      </c>
      <c r="E2371">
        <f>VLOOKUP($C2371,products!$A$1:$F$322,MATCH(order_items!$E$1,products!$A$1:$F$1,0),FALSE)</f>
        <v>7</v>
      </c>
      <c r="F2371" t="str">
        <f>VLOOKUP($E2371,categories!$A$1:$B$8,MATCH(order_items!$F$1,categories!$A$1:$B$1,0),FALSE)</f>
        <v>Road Bikes</v>
      </c>
      <c r="G2371">
        <v>1</v>
      </c>
      <c r="H2371">
        <v>3199.99</v>
      </c>
      <c r="I2371" s="5">
        <v>0.05</v>
      </c>
      <c r="J2371">
        <f t="shared" si="74"/>
        <v>3039.9904999999994</v>
      </c>
      <c r="K2371" s="9">
        <f t="shared" si="75"/>
        <v>1.4691714592873595</v>
      </c>
    </row>
    <row r="2372" spans="1:11" x14ac:dyDescent="0.3">
      <c r="A2372">
        <v>832</v>
      </c>
      <c r="B2372">
        <v>2</v>
      </c>
      <c r="C2372">
        <v>45</v>
      </c>
      <c r="D2372" t="str">
        <f>VLOOKUP($C2372,products!$A$1:$F$322,MATCH(order_items!$D$1,products!$A$1:$F$1,0),FALSE)</f>
        <v>Haro SR 1.2 - 2017</v>
      </c>
      <c r="E2372">
        <f>VLOOKUP($C2372,products!$A$1:$F$322,MATCH(order_items!$E$1,products!$A$1:$F$1,0),FALSE)</f>
        <v>6</v>
      </c>
      <c r="F2372" t="str">
        <f>VLOOKUP($E2372,categories!$A$1:$B$8,MATCH(order_items!$F$1,categories!$A$1:$B$1,0),FALSE)</f>
        <v>Mountain Bikes</v>
      </c>
      <c r="G2372">
        <v>1</v>
      </c>
      <c r="H2372">
        <v>869.99</v>
      </c>
      <c r="I2372" s="5">
        <v>0.2</v>
      </c>
      <c r="J2372">
        <f t="shared" si="74"/>
        <v>695.99200000000008</v>
      </c>
      <c r="K2372" s="9">
        <f t="shared" si="75"/>
        <v>-0.25336680104863324</v>
      </c>
    </row>
    <row r="2373" spans="1:11" x14ac:dyDescent="0.3">
      <c r="A2373">
        <v>832</v>
      </c>
      <c r="B2373">
        <v>3</v>
      </c>
      <c r="C2373">
        <v>27</v>
      </c>
      <c r="D2373" t="str">
        <f>VLOOKUP($C2373,products!$A$1:$F$322,MATCH(order_items!$D$1,products!$A$1:$F$1,0),FALSE)</f>
        <v>Surly Big Dummy Frameset - 2017</v>
      </c>
      <c r="E2373">
        <f>VLOOKUP($C2373,products!$A$1:$F$322,MATCH(order_items!$E$1,products!$A$1:$F$1,0),FALSE)</f>
        <v>6</v>
      </c>
      <c r="F2373" t="str">
        <f>VLOOKUP($E2373,categories!$A$1:$B$8,MATCH(order_items!$F$1,categories!$A$1:$B$1,0),FALSE)</f>
        <v>Mountain Bikes</v>
      </c>
      <c r="G2373">
        <v>1</v>
      </c>
      <c r="H2373">
        <v>999.99</v>
      </c>
      <c r="I2373" s="5">
        <v>7.0000000000000007E-2</v>
      </c>
      <c r="J2373">
        <f t="shared" si="74"/>
        <v>929.99069999999995</v>
      </c>
      <c r="K2373" s="9">
        <f t="shared" si="75"/>
        <v>-0.15725951613718298</v>
      </c>
    </row>
    <row r="2374" spans="1:11" x14ac:dyDescent="0.3">
      <c r="A2374">
        <v>832</v>
      </c>
      <c r="B2374">
        <v>4</v>
      </c>
      <c r="C2374">
        <v>16</v>
      </c>
      <c r="D2374" t="str">
        <f>VLOOKUP($C2374,products!$A$1:$F$322,MATCH(order_items!$D$1,products!$A$1:$F$1,0),FALSE)</f>
        <v>Electra Townie Original 7D EQ - 2016</v>
      </c>
      <c r="E2374">
        <f>VLOOKUP($C2374,products!$A$1:$F$322,MATCH(order_items!$E$1,products!$A$1:$F$1,0),FALSE)</f>
        <v>3</v>
      </c>
      <c r="F2374" t="str">
        <f>VLOOKUP($E2374,categories!$A$1:$B$8,MATCH(order_items!$F$1,categories!$A$1:$B$1,0),FALSE)</f>
        <v>Cruisers Bicycles</v>
      </c>
      <c r="G2374">
        <v>2</v>
      </c>
      <c r="H2374">
        <v>599.99</v>
      </c>
      <c r="I2374" s="5">
        <v>0.1</v>
      </c>
      <c r="J2374">
        <f t="shared" si="74"/>
        <v>1079.982</v>
      </c>
      <c r="K2374" s="9">
        <f t="shared" si="75"/>
        <v>-0.45297423894164529</v>
      </c>
    </row>
    <row r="2375" spans="1:11" x14ac:dyDescent="0.3">
      <c r="A2375">
        <v>833</v>
      </c>
      <c r="B2375">
        <v>1</v>
      </c>
      <c r="C2375">
        <v>20</v>
      </c>
      <c r="D2375" t="str">
        <f>VLOOKUP($C2375,products!$A$1:$F$322,MATCH(order_items!$D$1,products!$A$1:$F$1,0),FALSE)</f>
        <v>Electra Townie Original 7D EQ - Women's - 2016</v>
      </c>
      <c r="E2375">
        <f>VLOOKUP($C2375,products!$A$1:$F$322,MATCH(order_items!$E$1,products!$A$1:$F$1,0),FALSE)</f>
        <v>3</v>
      </c>
      <c r="F2375" t="str">
        <f>VLOOKUP($E2375,categories!$A$1:$B$8,MATCH(order_items!$F$1,categories!$A$1:$B$1,0),FALSE)</f>
        <v>Cruisers Bicycles</v>
      </c>
      <c r="G2375">
        <v>2</v>
      </c>
      <c r="H2375">
        <v>599.99</v>
      </c>
      <c r="I2375" s="5">
        <v>0.05</v>
      </c>
      <c r="J2375">
        <f t="shared" si="74"/>
        <v>1139.981</v>
      </c>
      <c r="K2375" s="9">
        <f t="shared" si="75"/>
        <v>-0.45297423894164529</v>
      </c>
    </row>
    <row r="2376" spans="1:11" x14ac:dyDescent="0.3">
      <c r="A2376">
        <v>834</v>
      </c>
      <c r="B2376">
        <v>1</v>
      </c>
      <c r="C2376">
        <v>54</v>
      </c>
      <c r="D2376" t="str">
        <f>VLOOKUP($C2376,products!$A$1:$F$322,MATCH(order_items!$D$1,products!$A$1:$F$1,0),FALSE)</f>
        <v>Trek Domane SL Disc Frameset - 2017</v>
      </c>
      <c r="E2376">
        <f>VLOOKUP($C2376,products!$A$1:$F$322,MATCH(order_items!$E$1,products!$A$1:$F$1,0),FALSE)</f>
        <v>7</v>
      </c>
      <c r="F2376" t="str">
        <f>VLOOKUP($E2376,categories!$A$1:$B$8,MATCH(order_items!$F$1,categories!$A$1:$B$1,0),FALSE)</f>
        <v>Road Bikes</v>
      </c>
      <c r="G2376">
        <v>1</v>
      </c>
      <c r="H2376">
        <v>3199.99</v>
      </c>
      <c r="I2376" s="5">
        <v>7.0000000000000007E-2</v>
      </c>
      <c r="J2376">
        <f t="shared" si="74"/>
        <v>2975.9906999999994</v>
      </c>
      <c r="K2376" s="9">
        <f t="shared" si="75"/>
        <v>1.4691714592873595</v>
      </c>
    </row>
    <row r="2377" spans="1:11" x14ac:dyDescent="0.3">
      <c r="A2377">
        <v>834</v>
      </c>
      <c r="B2377">
        <v>2</v>
      </c>
      <c r="C2377">
        <v>21</v>
      </c>
      <c r="D2377" t="str">
        <f>VLOOKUP($C2377,products!$A$1:$F$322,MATCH(order_items!$D$1,products!$A$1:$F$1,0),FALSE)</f>
        <v>Electra Cruiser 1 (24-Inch) - 2016</v>
      </c>
      <c r="E2377">
        <f>VLOOKUP($C2377,products!$A$1:$F$322,MATCH(order_items!$E$1,products!$A$1:$F$1,0),FALSE)</f>
        <v>1</v>
      </c>
      <c r="F2377" t="str">
        <f>VLOOKUP($E2377,categories!$A$1:$B$8,MATCH(order_items!$F$1,categories!$A$1:$B$1,0),FALSE)</f>
        <v>Children Bicycles</v>
      </c>
      <c r="G2377">
        <v>1</v>
      </c>
      <c r="H2377">
        <v>269.99</v>
      </c>
      <c r="I2377" s="5">
        <v>0.05</v>
      </c>
      <c r="J2377">
        <f t="shared" si="74"/>
        <v>256.4905</v>
      </c>
      <c r="K2377" s="9">
        <f t="shared" si="75"/>
        <v>-0.69693888525532666</v>
      </c>
    </row>
    <row r="2378" spans="1:11" x14ac:dyDescent="0.3">
      <c r="A2378">
        <v>834</v>
      </c>
      <c r="B2378">
        <v>3</v>
      </c>
      <c r="C2378">
        <v>78</v>
      </c>
      <c r="D2378" t="str">
        <f>VLOOKUP($C2378,products!$A$1:$F$322,MATCH(order_items!$D$1,products!$A$1:$F$1,0),FALSE)</f>
        <v>Sun Bicycles Biscayne Tandem CB - 2017</v>
      </c>
      <c r="E2378">
        <f>VLOOKUP($C2378,products!$A$1:$F$322,MATCH(order_items!$E$1,products!$A$1:$F$1,0),FALSE)</f>
        <v>3</v>
      </c>
      <c r="F2378" t="str">
        <f>VLOOKUP($E2378,categories!$A$1:$B$8,MATCH(order_items!$F$1,categories!$A$1:$B$1,0),FALSE)</f>
        <v>Cruisers Bicycles</v>
      </c>
      <c r="G2378">
        <v>1</v>
      </c>
      <c r="H2378">
        <v>647.99</v>
      </c>
      <c r="I2378" s="5">
        <v>0.2</v>
      </c>
      <c r="J2378">
        <f t="shared" si="74"/>
        <v>518.39200000000005</v>
      </c>
      <c r="K2378" s="9">
        <f t="shared" si="75"/>
        <v>-0.41748847220510982</v>
      </c>
    </row>
    <row r="2379" spans="1:11" x14ac:dyDescent="0.3">
      <c r="A2379">
        <v>835</v>
      </c>
      <c r="B2379">
        <v>1</v>
      </c>
      <c r="C2379">
        <v>65</v>
      </c>
      <c r="D2379" t="str">
        <f>VLOOKUP($C2379,products!$A$1:$F$322,MATCH(order_items!$D$1,products!$A$1:$F$1,0),FALSE)</f>
        <v>Sun Bicycles Lil Bolt Type-R - 2017</v>
      </c>
      <c r="E2379">
        <f>VLOOKUP($C2379,products!$A$1:$F$322,MATCH(order_items!$E$1,products!$A$1:$F$1,0),FALSE)</f>
        <v>3</v>
      </c>
      <c r="F2379" t="str">
        <f>VLOOKUP($E2379,categories!$A$1:$B$8,MATCH(order_items!$F$1,categories!$A$1:$B$1,0),FALSE)</f>
        <v>Cruisers Bicycles</v>
      </c>
      <c r="G2379">
        <v>2</v>
      </c>
      <c r="H2379">
        <v>346.99</v>
      </c>
      <c r="I2379" s="5">
        <v>7.0000000000000007E-2</v>
      </c>
      <c r="J2379">
        <f t="shared" si="74"/>
        <v>645.40139999999997</v>
      </c>
      <c r="K2379" s="9">
        <f t="shared" si="75"/>
        <v>-0.64001380111546768</v>
      </c>
    </row>
    <row r="2380" spans="1:11" x14ac:dyDescent="0.3">
      <c r="A2380">
        <v>835</v>
      </c>
      <c r="B2380">
        <v>2</v>
      </c>
      <c r="C2380">
        <v>82</v>
      </c>
      <c r="D2380" t="str">
        <f>VLOOKUP($C2380,products!$A$1:$F$322,MATCH(order_items!$D$1,products!$A$1:$F$1,0),FALSE)</f>
        <v>Electra Amsterdam Original 3i Ladies' - 2017</v>
      </c>
      <c r="E2380">
        <f>VLOOKUP($C2380,products!$A$1:$F$322,MATCH(order_items!$E$1,products!$A$1:$F$1,0),FALSE)</f>
        <v>3</v>
      </c>
      <c r="F2380" t="str">
        <f>VLOOKUP($E2380,categories!$A$1:$B$8,MATCH(order_items!$F$1,categories!$A$1:$B$1,0),FALSE)</f>
        <v>Cruisers Bicycles</v>
      </c>
      <c r="G2380">
        <v>1</v>
      </c>
      <c r="H2380">
        <v>659.99</v>
      </c>
      <c r="I2380" s="5">
        <v>0.2</v>
      </c>
      <c r="J2380">
        <f t="shared" si="74"/>
        <v>527.99200000000008</v>
      </c>
      <c r="K2380" s="9">
        <f t="shared" si="75"/>
        <v>-0.40861703052097592</v>
      </c>
    </row>
    <row r="2381" spans="1:11" x14ac:dyDescent="0.3">
      <c r="A2381">
        <v>835</v>
      </c>
      <c r="B2381">
        <v>3</v>
      </c>
      <c r="C2381">
        <v>2</v>
      </c>
      <c r="D2381" t="str">
        <f>VLOOKUP($C2381,products!$A$1:$F$322,MATCH(order_items!$D$1,products!$A$1:$F$1,0),FALSE)</f>
        <v>Ritchey Timberwolf Frameset - 2016</v>
      </c>
      <c r="E2381">
        <f>VLOOKUP($C2381,products!$A$1:$F$322,MATCH(order_items!$E$1,products!$A$1:$F$1,0),FALSE)</f>
        <v>6</v>
      </c>
      <c r="F2381" t="str">
        <f>VLOOKUP($E2381,categories!$A$1:$B$8,MATCH(order_items!$F$1,categories!$A$1:$B$1,0),FALSE)</f>
        <v>Mountain Bikes</v>
      </c>
      <c r="G2381">
        <v>1</v>
      </c>
      <c r="H2381">
        <v>749.99</v>
      </c>
      <c r="I2381" s="5">
        <v>0.05</v>
      </c>
      <c r="J2381">
        <f t="shared" si="74"/>
        <v>712.4905</v>
      </c>
      <c r="K2381" s="9">
        <f t="shared" si="75"/>
        <v>-0.34208121788997192</v>
      </c>
    </row>
    <row r="2382" spans="1:11" x14ac:dyDescent="0.3">
      <c r="A2382">
        <v>836</v>
      </c>
      <c r="B2382">
        <v>1</v>
      </c>
      <c r="C2382">
        <v>108</v>
      </c>
      <c r="D2382" t="str">
        <f>VLOOKUP($C2382,products!$A$1:$F$322,MATCH(order_items!$D$1,products!$A$1:$F$1,0),FALSE)</f>
        <v>Sun Bicycles Cruz 3 - Women's - 2017</v>
      </c>
      <c r="E2382">
        <f>VLOOKUP($C2382,products!$A$1:$F$322,MATCH(order_items!$E$1,products!$A$1:$F$1,0),FALSE)</f>
        <v>2</v>
      </c>
      <c r="F2382" t="str">
        <f>VLOOKUP($E2382,categories!$A$1:$B$8,MATCH(order_items!$F$1,categories!$A$1:$B$1,0),FALSE)</f>
        <v>Comfort Bicycles</v>
      </c>
      <c r="G2382">
        <v>2</v>
      </c>
      <c r="H2382">
        <v>449.99</v>
      </c>
      <c r="I2382" s="5">
        <v>0.2</v>
      </c>
      <c r="J2382">
        <f t="shared" si="74"/>
        <v>719.98400000000004</v>
      </c>
      <c r="K2382" s="9">
        <f t="shared" si="75"/>
        <v>-0.56386725999331866</v>
      </c>
    </row>
    <row r="2383" spans="1:11" x14ac:dyDescent="0.3">
      <c r="A2383">
        <v>837</v>
      </c>
      <c r="B2383">
        <v>1</v>
      </c>
      <c r="C2383">
        <v>51</v>
      </c>
      <c r="D2383" t="str">
        <f>VLOOKUP($C2383,products!$A$1:$F$322,MATCH(order_items!$D$1,products!$A$1:$F$1,0),FALSE)</f>
        <v>Trek Silque SLR 8 Women's - 2017</v>
      </c>
      <c r="E2383">
        <f>VLOOKUP($C2383,products!$A$1:$F$322,MATCH(order_items!$E$1,products!$A$1:$F$1,0),FALSE)</f>
        <v>7</v>
      </c>
      <c r="F2383" t="str">
        <f>VLOOKUP($E2383,categories!$A$1:$B$8,MATCH(order_items!$F$1,categories!$A$1:$B$1,0),FALSE)</f>
        <v>Road Bikes</v>
      </c>
      <c r="G2383">
        <v>1</v>
      </c>
      <c r="H2383">
        <v>6499.99</v>
      </c>
      <c r="I2383" s="5">
        <v>0.05</v>
      </c>
      <c r="J2383">
        <f t="shared" si="74"/>
        <v>6174.9904999999999</v>
      </c>
      <c r="K2383" s="9">
        <f t="shared" si="75"/>
        <v>3.9088179224241739</v>
      </c>
    </row>
    <row r="2384" spans="1:11" x14ac:dyDescent="0.3">
      <c r="A2384">
        <v>837</v>
      </c>
      <c r="B2384">
        <v>2</v>
      </c>
      <c r="C2384">
        <v>97</v>
      </c>
      <c r="D2384" t="str">
        <f>VLOOKUP($C2384,products!$A$1:$F$322,MATCH(order_items!$D$1,products!$A$1:$F$1,0),FALSE)</f>
        <v>Electra Savannah 3i (20-inch) - Girl's - 2017</v>
      </c>
      <c r="E2384">
        <f>VLOOKUP($C2384,products!$A$1:$F$322,MATCH(order_items!$E$1,products!$A$1:$F$1,0),FALSE)</f>
        <v>1</v>
      </c>
      <c r="F2384" t="str">
        <f>VLOOKUP($E2384,categories!$A$1:$B$8,MATCH(order_items!$F$1,categories!$A$1:$B$1,0),FALSE)</f>
        <v>Children Bicycles</v>
      </c>
      <c r="G2384">
        <v>1</v>
      </c>
      <c r="H2384">
        <v>349.99</v>
      </c>
      <c r="I2384" s="5">
        <v>0.1</v>
      </c>
      <c r="J2384">
        <f t="shared" si="74"/>
        <v>314.99100000000004</v>
      </c>
      <c r="K2384" s="9">
        <f t="shared" si="75"/>
        <v>-0.63779594069443424</v>
      </c>
    </row>
    <row r="2385" spans="1:11" x14ac:dyDescent="0.3">
      <c r="A2385">
        <v>837</v>
      </c>
      <c r="B2385">
        <v>3</v>
      </c>
      <c r="C2385">
        <v>87</v>
      </c>
      <c r="D2385" t="str">
        <f>VLOOKUP($C2385,products!$A$1:$F$322,MATCH(order_items!$D$1,products!$A$1:$F$1,0),FALSE)</f>
        <v>Trek Precaliber 12 Boys - 2017</v>
      </c>
      <c r="E2385">
        <f>VLOOKUP($C2385,products!$A$1:$F$322,MATCH(order_items!$E$1,products!$A$1:$F$1,0),FALSE)</f>
        <v>1</v>
      </c>
      <c r="F2385" t="str">
        <f>VLOOKUP($E2385,categories!$A$1:$B$8,MATCH(order_items!$F$1,categories!$A$1:$B$1,0),FALSE)</f>
        <v>Children Bicycles</v>
      </c>
      <c r="G2385">
        <v>2</v>
      </c>
      <c r="H2385">
        <v>189.99</v>
      </c>
      <c r="I2385" s="5">
        <v>0.2</v>
      </c>
      <c r="J2385">
        <f t="shared" si="74"/>
        <v>303.98400000000004</v>
      </c>
      <c r="K2385" s="9">
        <f t="shared" si="75"/>
        <v>-0.75608182981621919</v>
      </c>
    </row>
    <row r="2386" spans="1:11" x14ac:dyDescent="0.3">
      <c r="A2386">
        <v>838</v>
      </c>
      <c r="B2386">
        <v>1</v>
      </c>
      <c r="C2386">
        <v>28</v>
      </c>
      <c r="D2386" t="str">
        <f>VLOOKUP($C2386,products!$A$1:$F$322,MATCH(order_items!$D$1,products!$A$1:$F$1,0),FALSE)</f>
        <v>Surly Karate Monkey 27.5+ Frameset - 2017</v>
      </c>
      <c r="E2386">
        <f>VLOOKUP($C2386,products!$A$1:$F$322,MATCH(order_items!$E$1,products!$A$1:$F$1,0),FALSE)</f>
        <v>6</v>
      </c>
      <c r="F2386" t="str">
        <f>VLOOKUP($E2386,categories!$A$1:$B$8,MATCH(order_items!$F$1,categories!$A$1:$B$1,0),FALSE)</f>
        <v>Mountain Bikes</v>
      </c>
      <c r="G2386">
        <v>1</v>
      </c>
      <c r="H2386">
        <v>2499.9899999999998</v>
      </c>
      <c r="I2386" s="5">
        <v>0.1</v>
      </c>
      <c r="J2386">
        <f t="shared" si="74"/>
        <v>2249.991</v>
      </c>
      <c r="K2386" s="9">
        <f t="shared" si="75"/>
        <v>0.95167069437955054</v>
      </c>
    </row>
    <row r="2387" spans="1:11" x14ac:dyDescent="0.3">
      <c r="A2387">
        <v>838</v>
      </c>
      <c r="B2387">
        <v>2</v>
      </c>
      <c r="C2387">
        <v>10</v>
      </c>
      <c r="D2387" t="str">
        <f>VLOOKUP($C2387,products!$A$1:$F$322,MATCH(order_items!$D$1,products!$A$1:$F$1,0),FALSE)</f>
        <v>Surly Straggler - 2016</v>
      </c>
      <c r="E2387">
        <f>VLOOKUP($C2387,products!$A$1:$F$322,MATCH(order_items!$E$1,products!$A$1:$F$1,0),FALSE)</f>
        <v>4</v>
      </c>
      <c r="F2387" t="str">
        <f>VLOOKUP($E2387,categories!$A$1:$B$8,MATCH(order_items!$F$1,categories!$A$1:$B$1,0),FALSE)</f>
        <v>Cyclocross Bicycles</v>
      </c>
      <c r="G2387">
        <v>1</v>
      </c>
      <c r="H2387">
        <v>1549</v>
      </c>
      <c r="I2387" s="5">
        <v>0.1</v>
      </c>
      <c r="J2387">
        <f t="shared" si="74"/>
        <v>1394.1000000000001</v>
      </c>
      <c r="K2387" s="9">
        <f t="shared" si="75"/>
        <v>0.24861633378001166</v>
      </c>
    </row>
    <row r="2388" spans="1:11" x14ac:dyDescent="0.3">
      <c r="A2388">
        <v>838</v>
      </c>
      <c r="B2388">
        <v>3</v>
      </c>
      <c r="C2388">
        <v>100</v>
      </c>
      <c r="D2388" t="str">
        <f>VLOOKUP($C2388,products!$A$1:$F$322,MATCH(order_items!$D$1,products!$A$1:$F$1,0),FALSE)</f>
        <v>Electra Townie 3i EQ (20-inch) - Boys' - 2017</v>
      </c>
      <c r="E2388">
        <f>VLOOKUP($C2388,products!$A$1:$F$322,MATCH(order_items!$E$1,products!$A$1:$F$1,0),FALSE)</f>
        <v>1</v>
      </c>
      <c r="F2388" t="str">
        <f>VLOOKUP($E2388,categories!$A$1:$B$8,MATCH(order_items!$F$1,categories!$A$1:$B$1,0),FALSE)</f>
        <v>Children Bicycles</v>
      </c>
      <c r="G2388">
        <v>2</v>
      </c>
      <c r="H2388">
        <v>489.99</v>
      </c>
      <c r="I2388" s="5">
        <v>0.05</v>
      </c>
      <c r="J2388">
        <f t="shared" si="74"/>
        <v>930.98099999999999</v>
      </c>
      <c r="K2388" s="9">
        <f t="shared" si="75"/>
        <v>-0.53429578771287245</v>
      </c>
    </row>
    <row r="2389" spans="1:11" x14ac:dyDescent="0.3">
      <c r="A2389">
        <v>838</v>
      </c>
      <c r="B2389">
        <v>4</v>
      </c>
      <c r="C2389">
        <v>65</v>
      </c>
      <c r="D2389" t="str">
        <f>VLOOKUP($C2389,products!$A$1:$F$322,MATCH(order_items!$D$1,products!$A$1:$F$1,0),FALSE)</f>
        <v>Sun Bicycles Lil Bolt Type-R - 2017</v>
      </c>
      <c r="E2389">
        <f>VLOOKUP($C2389,products!$A$1:$F$322,MATCH(order_items!$E$1,products!$A$1:$F$1,0),FALSE)</f>
        <v>3</v>
      </c>
      <c r="F2389" t="str">
        <f>VLOOKUP($E2389,categories!$A$1:$B$8,MATCH(order_items!$F$1,categories!$A$1:$B$1,0),FALSE)</f>
        <v>Cruisers Bicycles</v>
      </c>
      <c r="G2389">
        <v>2</v>
      </c>
      <c r="H2389">
        <v>346.99</v>
      </c>
      <c r="I2389" s="5">
        <v>7.0000000000000007E-2</v>
      </c>
      <c r="J2389">
        <f t="shared" si="74"/>
        <v>645.40139999999997</v>
      </c>
      <c r="K2389" s="9">
        <f t="shared" si="75"/>
        <v>-0.64001380111546768</v>
      </c>
    </row>
    <row r="2390" spans="1:11" x14ac:dyDescent="0.3">
      <c r="A2390">
        <v>839</v>
      </c>
      <c r="B2390">
        <v>1</v>
      </c>
      <c r="C2390">
        <v>55</v>
      </c>
      <c r="D2390" t="str">
        <f>VLOOKUP($C2390,products!$A$1:$F$322,MATCH(order_items!$D$1,products!$A$1:$F$1,0),FALSE)</f>
        <v>Trek Domane S 6 - 2017</v>
      </c>
      <c r="E2390">
        <f>VLOOKUP($C2390,products!$A$1:$F$322,MATCH(order_items!$E$1,products!$A$1:$F$1,0),FALSE)</f>
        <v>7</v>
      </c>
      <c r="F2390" t="str">
        <f>VLOOKUP($E2390,categories!$A$1:$B$8,MATCH(order_items!$F$1,categories!$A$1:$B$1,0),FALSE)</f>
        <v>Road Bikes</v>
      </c>
      <c r="G2390">
        <v>1</v>
      </c>
      <c r="H2390">
        <v>2699.99</v>
      </c>
      <c r="I2390" s="5">
        <v>7.0000000000000007E-2</v>
      </c>
      <c r="J2390">
        <f t="shared" si="74"/>
        <v>2510.9906999999998</v>
      </c>
      <c r="K2390" s="9">
        <f t="shared" si="75"/>
        <v>1.0995280557817817</v>
      </c>
    </row>
    <row r="2391" spans="1:11" x14ac:dyDescent="0.3">
      <c r="A2391">
        <v>839</v>
      </c>
      <c r="B2391">
        <v>2</v>
      </c>
      <c r="C2391">
        <v>85</v>
      </c>
      <c r="D2391" t="str">
        <f>VLOOKUP($C2391,products!$A$1:$F$322,MATCH(order_items!$D$1,products!$A$1:$F$1,0),FALSE)</f>
        <v>Haro Downtown 16 - 2017</v>
      </c>
      <c r="E2391">
        <f>VLOOKUP($C2391,products!$A$1:$F$322,MATCH(order_items!$E$1,products!$A$1:$F$1,0),FALSE)</f>
        <v>1</v>
      </c>
      <c r="F2391" t="str">
        <f>VLOOKUP($E2391,categories!$A$1:$B$8,MATCH(order_items!$F$1,categories!$A$1:$B$1,0),FALSE)</f>
        <v>Children Bicycles</v>
      </c>
      <c r="G2391">
        <v>1</v>
      </c>
      <c r="H2391">
        <v>329.99</v>
      </c>
      <c r="I2391" s="5">
        <v>0.1</v>
      </c>
      <c r="J2391">
        <f t="shared" si="74"/>
        <v>296.99100000000004</v>
      </c>
      <c r="K2391" s="9">
        <f t="shared" si="75"/>
        <v>-0.6525816768346574</v>
      </c>
    </row>
    <row r="2392" spans="1:11" x14ac:dyDescent="0.3">
      <c r="A2392">
        <v>839</v>
      </c>
      <c r="B2392">
        <v>3</v>
      </c>
      <c r="C2392">
        <v>58</v>
      </c>
      <c r="D2392" t="str">
        <f>VLOOKUP($C2392,products!$A$1:$F$322,MATCH(order_items!$D$1,products!$A$1:$F$1,0),FALSE)</f>
        <v>Trek Madone 9.2 - 2017</v>
      </c>
      <c r="E2392">
        <f>VLOOKUP($C2392,products!$A$1:$F$322,MATCH(order_items!$E$1,products!$A$1:$F$1,0),FALSE)</f>
        <v>7</v>
      </c>
      <c r="F2392" t="str">
        <f>VLOOKUP($E2392,categories!$A$1:$B$8,MATCH(order_items!$F$1,categories!$A$1:$B$1,0),FALSE)</f>
        <v>Road Bikes</v>
      </c>
      <c r="G2392">
        <v>2</v>
      </c>
      <c r="H2392">
        <v>4999.99</v>
      </c>
      <c r="I2392" s="5">
        <v>0.05</v>
      </c>
      <c r="J2392">
        <f t="shared" si="74"/>
        <v>9499.9809999999998</v>
      </c>
      <c r="K2392" s="9">
        <f t="shared" si="75"/>
        <v>2.7998877119074401</v>
      </c>
    </row>
    <row r="2393" spans="1:11" x14ac:dyDescent="0.3">
      <c r="A2393">
        <v>840</v>
      </c>
      <c r="B2393">
        <v>1</v>
      </c>
      <c r="C2393">
        <v>27</v>
      </c>
      <c r="D2393" t="str">
        <f>VLOOKUP($C2393,products!$A$1:$F$322,MATCH(order_items!$D$1,products!$A$1:$F$1,0),FALSE)</f>
        <v>Surly Big Dummy Frameset - 2017</v>
      </c>
      <c r="E2393">
        <f>VLOOKUP($C2393,products!$A$1:$F$322,MATCH(order_items!$E$1,products!$A$1:$F$1,0),FALSE)</f>
        <v>6</v>
      </c>
      <c r="F2393" t="str">
        <f>VLOOKUP($E2393,categories!$A$1:$B$8,MATCH(order_items!$F$1,categories!$A$1:$B$1,0),FALSE)</f>
        <v>Mountain Bikes</v>
      </c>
      <c r="G2393">
        <v>1</v>
      </c>
      <c r="H2393">
        <v>999.99</v>
      </c>
      <c r="I2393" s="5">
        <v>7.0000000000000007E-2</v>
      </c>
      <c r="J2393">
        <f t="shared" si="74"/>
        <v>929.99069999999995</v>
      </c>
      <c r="K2393" s="9">
        <f t="shared" si="75"/>
        <v>-0.15725951613718298</v>
      </c>
    </row>
    <row r="2394" spans="1:11" x14ac:dyDescent="0.3">
      <c r="A2394">
        <v>840</v>
      </c>
      <c r="B2394">
        <v>2</v>
      </c>
      <c r="C2394">
        <v>43</v>
      </c>
      <c r="D2394" t="str">
        <f>VLOOKUP($C2394,products!$A$1:$F$322,MATCH(order_items!$D$1,products!$A$1:$F$1,0),FALSE)</f>
        <v>Trek Fuel EX 9.8 27.5 Plus - 2017</v>
      </c>
      <c r="E2394">
        <f>VLOOKUP($C2394,products!$A$1:$F$322,MATCH(order_items!$E$1,products!$A$1:$F$1,0),FALSE)</f>
        <v>6</v>
      </c>
      <c r="F2394" t="str">
        <f>VLOOKUP($E2394,categories!$A$1:$B$8,MATCH(order_items!$F$1,categories!$A$1:$B$1,0),FALSE)</f>
        <v>Mountain Bikes</v>
      </c>
      <c r="G2394">
        <v>1</v>
      </c>
      <c r="H2394">
        <v>5299.99</v>
      </c>
      <c r="I2394" s="5">
        <v>7.0000000000000007E-2</v>
      </c>
      <c r="J2394">
        <f t="shared" si="74"/>
        <v>4928.9906999999994</v>
      </c>
      <c r="K2394" s="9">
        <f t="shared" si="75"/>
        <v>3.021673754010787</v>
      </c>
    </row>
    <row r="2395" spans="1:11" x14ac:dyDescent="0.3">
      <c r="A2395">
        <v>840</v>
      </c>
      <c r="B2395">
        <v>3</v>
      </c>
      <c r="C2395">
        <v>106</v>
      </c>
      <c r="D2395" t="str">
        <f>VLOOKUP($C2395,products!$A$1:$F$322,MATCH(order_items!$D$1,products!$A$1:$F$1,0),FALSE)</f>
        <v>Sun Bicycles Cruz 3 - 2017</v>
      </c>
      <c r="E2395">
        <f>VLOOKUP($C2395,products!$A$1:$F$322,MATCH(order_items!$E$1,products!$A$1:$F$1,0),FALSE)</f>
        <v>2</v>
      </c>
      <c r="F2395" t="str">
        <f>VLOOKUP($E2395,categories!$A$1:$B$8,MATCH(order_items!$F$1,categories!$A$1:$B$1,0),FALSE)</f>
        <v>Comfort Bicycles</v>
      </c>
      <c r="G2395">
        <v>2</v>
      </c>
      <c r="H2395">
        <v>449.99</v>
      </c>
      <c r="I2395" s="5">
        <v>0.2</v>
      </c>
      <c r="J2395">
        <f t="shared" si="74"/>
        <v>719.98400000000004</v>
      </c>
      <c r="K2395" s="9">
        <f t="shared" si="75"/>
        <v>-0.56386725999331866</v>
      </c>
    </row>
    <row r="2396" spans="1:11" x14ac:dyDescent="0.3">
      <c r="A2396">
        <v>841</v>
      </c>
      <c r="B2396">
        <v>1</v>
      </c>
      <c r="C2396">
        <v>22</v>
      </c>
      <c r="D2396" t="str">
        <f>VLOOKUP($C2396,products!$A$1:$F$322,MATCH(order_items!$D$1,products!$A$1:$F$1,0),FALSE)</f>
        <v>Electra Girl's Hawaii 1 (16-inch) - 2015/2016</v>
      </c>
      <c r="E2396">
        <f>VLOOKUP($C2396,products!$A$1:$F$322,MATCH(order_items!$E$1,products!$A$1:$F$1,0),FALSE)</f>
        <v>1</v>
      </c>
      <c r="F2396" t="str">
        <f>VLOOKUP($E2396,categories!$A$1:$B$8,MATCH(order_items!$F$1,categories!$A$1:$B$1,0),FALSE)</f>
        <v>Children Bicycles</v>
      </c>
      <c r="G2396">
        <v>2</v>
      </c>
      <c r="H2396">
        <v>269.99</v>
      </c>
      <c r="I2396" s="5">
        <v>0.1</v>
      </c>
      <c r="J2396">
        <f t="shared" si="74"/>
        <v>485.98200000000003</v>
      </c>
      <c r="K2396" s="9">
        <f t="shared" si="75"/>
        <v>-0.69693888525532666</v>
      </c>
    </row>
    <row r="2397" spans="1:11" x14ac:dyDescent="0.3">
      <c r="A2397">
        <v>841</v>
      </c>
      <c r="B2397">
        <v>2</v>
      </c>
      <c r="C2397">
        <v>9</v>
      </c>
      <c r="D2397" t="str">
        <f>VLOOKUP($C2397,products!$A$1:$F$322,MATCH(order_items!$D$1,products!$A$1:$F$1,0),FALSE)</f>
        <v>Trek Conduit+ - 2016</v>
      </c>
      <c r="E2397">
        <f>VLOOKUP($C2397,products!$A$1:$F$322,MATCH(order_items!$E$1,products!$A$1:$F$1,0),FALSE)</f>
        <v>5</v>
      </c>
      <c r="F2397" t="str">
        <f>VLOOKUP($E2397,categories!$A$1:$B$8,MATCH(order_items!$F$1,categories!$A$1:$B$1,0),FALSE)</f>
        <v>Electric Bikes</v>
      </c>
      <c r="G2397">
        <v>1</v>
      </c>
      <c r="H2397">
        <v>2999.99</v>
      </c>
      <c r="I2397" s="5">
        <v>0.2</v>
      </c>
      <c r="J2397">
        <f t="shared" si="74"/>
        <v>2399.9919999999997</v>
      </c>
      <c r="K2397" s="9">
        <f t="shared" si="75"/>
        <v>1.3213140978851283</v>
      </c>
    </row>
    <row r="2398" spans="1:11" x14ac:dyDescent="0.3">
      <c r="A2398">
        <v>841</v>
      </c>
      <c r="B2398">
        <v>3</v>
      </c>
      <c r="C2398">
        <v>11</v>
      </c>
      <c r="D2398" t="str">
        <f>VLOOKUP($C2398,products!$A$1:$F$322,MATCH(order_items!$D$1,products!$A$1:$F$1,0),FALSE)</f>
        <v>Surly Straggler 650b - 2016</v>
      </c>
      <c r="E2398">
        <f>VLOOKUP($C2398,products!$A$1:$F$322,MATCH(order_items!$E$1,products!$A$1:$F$1,0),FALSE)</f>
        <v>4</v>
      </c>
      <c r="F2398" t="str">
        <f>VLOOKUP($E2398,categories!$A$1:$B$8,MATCH(order_items!$F$1,categories!$A$1:$B$1,0),FALSE)</f>
        <v>Cyclocross Bicycles</v>
      </c>
      <c r="G2398">
        <v>1</v>
      </c>
      <c r="H2398">
        <v>1680.99</v>
      </c>
      <c r="I2398" s="5">
        <v>0.2</v>
      </c>
      <c r="J2398">
        <f t="shared" si="74"/>
        <v>1344.7920000000001</v>
      </c>
      <c r="K2398" s="9">
        <f t="shared" si="75"/>
        <v>0.3461947994374141</v>
      </c>
    </row>
    <row r="2399" spans="1:11" x14ac:dyDescent="0.3">
      <c r="A2399">
        <v>841</v>
      </c>
      <c r="B2399">
        <v>4</v>
      </c>
      <c r="C2399">
        <v>90</v>
      </c>
      <c r="D2399" t="str">
        <f>VLOOKUP($C2399,products!$A$1:$F$322,MATCH(order_items!$D$1,products!$A$1:$F$1,0),FALSE)</f>
        <v>Trek Precaliber 16 Girls - 2017</v>
      </c>
      <c r="E2399">
        <f>VLOOKUP($C2399,products!$A$1:$F$322,MATCH(order_items!$E$1,products!$A$1:$F$1,0),FALSE)</f>
        <v>1</v>
      </c>
      <c r="F2399" t="str">
        <f>VLOOKUP($E2399,categories!$A$1:$B$8,MATCH(order_items!$F$1,categories!$A$1:$B$1,0),FALSE)</f>
        <v>Children Bicycles</v>
      </c>
      <c r="G2399">
        <v>2</v>
      </c>
      <c r="H2399">
        <v>209.99</v>
      </c>
      <c r="I2399" s="5">
        <v>7.0000000000000007E-2</v>
      </c>
      <c r="J2399">
        <f t="shared" si="74"/>
        <v>390.58139999999997</v>
      </c>
      <c r="K2399" s="9">
        <f t="shared" si="75"/>
        <v>-0.74129609367599603</v>
      </c>
    </row>
    <row r="2400" spans="1:11" x14ac:dyDescent="0.3">
      <c r="A2400">
        <v>841</v>
      </c>
      <c r="B2400">
        <v>5</v>
      </c>
      <c r="C2400">
        <v>100</v>
      </c>
      <c r="D2400" t="str">
        <f>VLOOKUP($C2400,products!$A$1:$F$322,MATCH(order_items!$D$1,products!$A$1:$F$1,0),FALSE)</f>
        <v>Electra Townie 3i EQ (20-inch) - Boys' - 2017</v>
      </c>
      <c r="E2400">
        <f>VLOOKUP($C2400,products!$A$1:$F$322,MATCH(order_items!$E$1,products!$A$1:$F$1,0),FALSE)</f>
        <v>1</v>
      </c>
      <c r="F2400" t="str">
        <f>VLOOKUP($E2400,categories!$A$1:$B$8,MATCH(order_items!$F$1,categories!$A$1:$B$1,0),FALSE)</f>
        <v>Children Bicycles</v>
      </c>
      <c r="G2400">
        <v>1</v>
      </c>
      <c r="H2400">
        <v>489.99</v>
      </c>
      <c r="I2400" s="5">
        <v>0.1</v>
      </c>
      <c r="J2400">
        <f t="shared" si="74"/>
        <v>440.99100000000004</v>
      </c>
      <c r="K2400" s="9">
        <f t="shared" si="75"/>
        <v>-0.53429578771287245</v>
      </c>
    </row>
    <row r="2401" spans="1:11" x14ac:dyDescent="0.3">
      <c r="A2401">
        <v>842</v>
      </c>
      <c r="B2401">
        <v>1</v>
      </c>
      <c r="C2401">
        <v>81</v>
      </c>
      <c r="D2401" t="str">
        <f>VLOOKUP($C2401,products!$A$1:$F$322,MATCH(order_items!$D$1,products!$A$1:$F$1,0),FALSE)</f>
        <v>Electra Amsterdam Fashion 7i Ladies' - 2017</v>
      </c>
      <c r="E2401">
        <f>VLOOKUP($C2401,products!$A$1:$F$322,MATCH(order_items!$E$1,products!$A$1:$F$1,0),FALSE)</f>
        <v>3</v>
      </c>
      <c r="F2401" t="str">
        <f>VLOOKUP($E2401,categories!$A$1:$B$8,MATCH(order_items!$F$1,categories!$A$1:$B$1,0),FALSE)</f>
        <v>Cruisers Bicycles</v>
      </c>
      <c r="G2401">
        <v>2</v>
      </c>
      <c r="H2401">
        <v>1099.99</v>
      </c>
      <c r="I2401" s="5">
        <v>7.0000000000000007E-2</v>
      </c>
      <c r="J2401">
        <f t="shared" si="74"/>
        <v>2045.9813999999999</v>
      </c>
      <c r="K2401" s="9">
        <f t="shared" si="75"/>
        <v>-8.3330835436067396E-2</v>
      </c>
    </row>
    <row r="2402" spans="1:11" x14ac:dyDescent="0.3">
      <c r="A2402">
        <v>842</v>
      </c>
      <c r="B2402">
        <v>2</v>
      </c>
      <c r="C2402">
        <v>42</v>
      </c>
      <c r="D2402" t="str">
        <f>VLOOKUP($C2402,products!$A$1:$F$322,MATCH(order_items!$D$1,products!$A$1:$F$1,0),FALSE)</f>
        <v>Trek Fuel EX 5 27.5 Plus - 2017</v>
      </c>
      <c r="E2402">
        <f>VLOOKUP($C2402,products!$A$1:$F$322,MATCH(order_items!$E$1,products!$A$1:$F$1,0),FALSE)</f>
        <v>6</v>
      </c>
      <c r="F2402" t="str">
        <f>VLOOKUP($E2402,categories!$A$1:$B$8,MATCH(order_items!$F$1,categories!$A$1:$B$1,0),FALSE)</f>
        <v>Mountain Bikes</v>
      </c>
      <c r="G2402">
        <v>1</v>
      </c>
      <c r="H2402">
        <v>2299.9899999999998</v>
      </c>
      <c r="I2402" s="5">
        <v>0.1</v>
      </c>
      <c r="J2402">
        <f t="shared" si="74"/>
        <v>2069.991</v>
      </c>
      <c r="K2402" s="9">
        <f t="shared" si="75"/>
        <v>0.80381333297731938</v>
      </c>
    </row>
    <row r="2403" spans="1:11" x14ac:dyDescent="0.3">
      <c r="A2403">
        <v>843</v>
      </c>
      <c r="B2403">
        <v>1</v>
      </c>
      <c r="C2403">
        <v>72</v>
      </c>
      <c r="D2403" t="str">
        <f>VLOOKUP($C2403,products!$A$1:$F$322,MATCH(order_items!$D$1,products!$A$1:$F$1,0),FALSE)</f>
        <v>Sun Bicycles Biscayne Tandem 7 - 2017</v>
      </c>
      <c r="E2403">
        <f>VLOOKUP($C2403,products!$A$1:$F$322,MATCH(order_items!$E$1,products!$A$1:$F$1,0),FALSE)</f>
        <v>3</v>
      </c>
      <c r="F2403" t="str">
        <f>VLOOKUP($E2403,categories!$A$1:$B$8,MATCH(order_items!$F$1,categories!$A$1:$B$1,0),FALSE)</f>
        <v>Cruisers Bicycles</v>
      </c>
      <c r="G2403">
        <v>1</v>
      </c>
      <c r="H2403">
        <v>619.99</v>
      </c>
      <c r="I2403" s="5">
        <v>0.1</v>
      </c>
      <c r="J2403">
        <f t="shared" si="74"/>
        <v>557.99099999999999</v>
      </c>
      <c r="K2403" s="9">
        <f t="shared" si="75"/>
        <v>-0.43818850280142219</v>
      </c>
    </row>
    <row r="2404" spans="1:11" x14ac:dyDescent="0.3">
      <c r="A2404">
        <v>843</v>
      </c>
      <c r="B2404">
        <v>2</v>
      </c>
      <c r="C2404">
        <v>75</v>
      </c>
      <c r="D2404" t="str">
        <f>VLOOKUP($C2404,products!$A$1:$F$322,MATCH(order_items!$D$1,products!$A$1:$F$1,0),FALSE)</f>
        <v>Electra Cruiser Lux Fat Tire 1 Ladies - 2017</v>
      </c>
      <c r="E2404">
        <f>VLOOKUP($C2404,products!$A$1:$F$322,MATCH(order_items!$E$1,products!$A$1:$F$1,0),FALSE)</f>
        <v>3</v>
      </c>
      <c r="F2404" t="str">
        <f>VLOOKUP($E2404,categories!$A$1:$B$8,MATCH(order_items!$F$1,categories!$A$1:$B$1,0),FALSE)</f>
        <v>Cruisers Bicycles</v>
      </c>
      <c r="G2404">
        <v>2</v>
      </c>
      <c r="H2404">
        <v>599.99</v>
      </c>
      <c r="I2404" s="5">
        <v>0.1</v>
      </c>
      <c r="J2404">
        <f t="shared" si="74"/>
        <v>1079.982</v>
      </c>
      <c r="K2404" s="9">
        <f t="shared" si="75"/>
        <v>-0.45297423894164529</v>
      </c>
    </row>
    <row r="2405" spans="1:11" x14ac:dyDescent="0.3">
      <c r="A2405">
        <v>843</v>
      </c>
      <c r="B2405">
        <v>3</v>
      </c>
      <c r="C2405">
        <v>81</v>
      </c>
      <c r="D2405" t="str">
        <f>VLOOKUP($C2405,products!$A$1:$F$322,MATCH(order_items!$D$1,products!$A$1:$F$1,0),FALSE)</f>
        <v>Electra Amsterdam Fashion 7i Ladies' - 2017</v>
      </c>
      <c r="E2405">
        <f>VLOOKUP($C2405,products!$A$1:$F$322,MATCH(order_items!$E$1,products!$A$1:$F$1,0),FALSE)</f>
        <v>3</v>
      </c>
      <c r="F2405" t="str">
        <f>VLOOKUP($E2405,categories!$A$1:$B$8,MATCH(order_items!$F$1,categories!$A$1:$B$1,0),FALSE)</f>
        <v>Cruisers Bicycles</v>
      </c>
      <c r="G2405">
        <v>1</v>
      </c>
      <c r="H2405">
        <v>1099.99</v>
      </c>
      <c r="I2405" s="5">
        <v>0.1</v>
      </c>
      <c r="J2405">
        <f t="shared" si="74"/>
        <v>989.99099999999999</v>
      </c>
      <c r="K2405" s="9">
        <f t="shared" si="75"/>
        <v>-8.3330835436067396E-2</v>
      </c>
    </row>
    <row r="2406" spans="1:11" x14ac:dyDescent="0.3">
      <c r="A2406">
        <v>843</v>
      </c>
      <c r="B2406">
        <v>4</v>
      </c>
      <c r="C2406">
        <v>23</v>
      </c>
      <c r="D2406" t="str">
        <f>VLOOKUP($C2406,products!$A$1:$F$322,MATCH(order_items!$D$1,products!$A$1:$F$1,0),FALSE)</f>
        <v>Electra Girl's Hawaii 1 (20-inch) - 2015/2016</v>
      </c>
      <c r="E2406">
        <f>VLOOKUP($C2406,products!$A$1:$F$322,MATCH(order_items!$E$1,products!$A$1:$F$1,0),FALSE)</f>
        <v>1</v>
      </c>
      <c r="F2406" t="str">
        <f>VLOOKUP($E2406,categories!$A$1:$B$8,MATCH(order_items!$F$1,categories!$A$1:$B$1,0),FALSE)</f>
        <v>Children Bicycles</v>
      </c>
      <c r="G2406">
        <v>2</v>
      </c>
      <c r="H2406">
        <v>299.99</v>
      </c>
      <c r="I2406" s="5">
        <v>7.0000000000000007E-2</v>
      </c>
      <c r="J2406">
        <f t="shared" si="74"/>
        <v>557.98140000000001</v>
      </c>
      <c r="K2406" s="9">
        <f t="shared" si="75"/>
        <v>-0.67476028104499197</v>
      </c>
    </row>
    <row r="2407" spans="1:11" x14ac:dyDescent="0.3">
      <c r="A2407">
        <v>844</v>
      </c>
      <c r="B2407">
        <v>1</v>
      </c>
      <c r="C2407">
        <v>79</v>
      </c>
      <c r="D2407" t="str">
        <f>VLOOKUP($C2407,products!$A$1:$F$322,MATCH(order_items!$D$1,products!$A$1:$F$1,0),FALSE)</f>
        <v>Sun Bicycles Boardwalk (24-inch Wheels) - 2017</v>
      </c>
      <c r="E2407">
        <f>VLOOKUP($C2407,products!$A$1:$F$322,MATCH(order_items!$E$1,products!$A$1:$F$1,0),FALSE)</f>
        <v>3</v>
      </c>
      <c r="F2407" t="str">
        <f>VLOOKUP($E2407,categories!$A$1:$B$8,MATCH(order_items!$F$1,categories!$A$1:$B$1,0),FALSE)</f>
        <v>Cruisers Bicycles</v>
      </c>
      <c r="G2407">
        <v>2</v>
      </c>
      <c r="H2407">
        <v>402.99</v>
      </c>
      <c r="I2407" s="5">
        <v>7.0000000000000007E-2</v>
      </c>
      <c r="J2407">
        <f t="shared" si="74"/>
        <v>749.56139999999994</v>
      </c>
      <c r="K2407" s="9">
        <f t="shared" si="75"/>
        <v>-0.59861373992284295</v>
      </c>
    </row>
    <row r="2408" spans="1:11" x14ac:dyDescent="0.3">
      <c r="A2408">
        <v>844</v>
      </c>
      <c r="B2408">
        <v>2</v>
      </c>
      <c r="C2408">
        <v>12</v>
      </c>
      <c r="D2408" t="str">
        <f>VLOOKUP($C2408,products!$A$1:$F$322,MATCH(order_items!$D$1,products!$A$1:$F$1,0),FALSE)</f>
        <v>Electra Townie Original 21D - 2016</v>
      </c>
      <c r="E2408">
        <f>VLOOKUP($C2408,products!$A$1:$F$322,MATCH(order_items!$E$1,products!$A$1:$F$1,0),FALSE)</f>
        <v>3</v>
      </c>
      <c r="F2408" t="str">
        <f>VLOOKUP($E2408,categories!$A$1:$B$8,MATCH(order_items!$F$1,categories!$A$1:$B$1,0),FALSE)</f>
        <v>Cruisers Bicycles</v>
      </c>
      <c r="G2408">
        <v>1</v>
      </c>
      <c r="H2408">
        <v>549.99</v>
      </c>
      <c r="I2408" s="5">
        <v>0.1</v>
      </c>
      <c r="J2408">
        <f t="shared" si="74"/>
        <v>494.99100000000004</v>
      </c>
      <c r="K2408" s="9">
        <f t="shared" si="75"/>
        <v>-0.48993857929220308</v>
      </c>
    </row>
    <row r="2409" spans="1:11" x14ac:dyDescent="0.3">
      <c r="A2409">
        <v>844</v>
      </c>
      <c r="B2409">
        <v>3</v>
      </c>
      <c r="C2409">
        <v>83</v>
      </c>
      <c r="D2409" t="str">
        <f>VLOOKUP($C2409,products!$A$1:$F$322,MATCH(order_items!$D$1,products!$A$1:$F$1,0),FALSE)</f>
        <v>Trek Boy's Kickster - 2015/2017</v>
      </c>
      <c r="E2409">
        <f>VLOOKUP($C2409,products!$A$1:$F$322,MATCH(order_items!$E$1,products!$A$1:$F$1,0),FALSE)</f>
        <v>1</v>
      </c>
      <c r="F2409" t="str">
        <f>VLOOKUP($E2409,categories!$A$1:$B$8,MATCH(order_items!$F$1,categories!$A$1:$B$1,0),FALSE)</f>
        <v>Children Bicycles</v>
      </c>
      <c r="G2409">
        <v>2</v>
      </c>
      <c r="H2409">
        <v>149.99</v>
      </c>
      <c r="I2409" s="5">
        <v>0.2</v>
      </c>
      <c r="J2409">
        <f t="shared" si="74"/>
        <v>239.98400000000004</v>
      </c>
      <c r="K2409" s="9">
        <f t="shared" si="75"/>
        <v>-0.7856533020966654</v>
      </c>
    </row>
    <row r="2410" spans="1:11" x14ac:dyDescent="0.3">
      <c r="A2410">
        <v>844</v>
      </c>
      <c r="B2410">
        <v>4</v>
      </c>
      <c r="C2410">
        <v>48</v>
      </c>
      <c r="D2410" t="str">
        <f>VLOOKUP($C2410,products!$A$1:$F$322,MATCH(order_items!$D$1,products!$A$1:$F$1,0),FALSE)</f>
        <v>Trek Emonda S 4 - 2017</v>
      </c>
      <c r="E2410">
        <f>VLOOKUP($C2410,products!$A$1:$F$322,MATCH(order_items!$E$1,products!$A$1:$F$1,0),FALSE)</f>
        <v>7</v>
      </c>
      <c r="F2410" t="str">
        <f>VLOOKUP($E2410,categories!$A$1:$B$8,MATCH(order_items!$F$1,categories!$A$1:$B$1,0),FALSE)</f>
        <v>Road Bikes</v>
      </c>
      <c r="G2410">
        <v>1</v>
      </c>
      <c r="H2410">
        <v>1499.99</v>
      </c>
      <c r="I2410" s="5">
        <v>0.2</v>
      </c>
      <c r="J2410">
        <f t="shared" si="74"/>
        <v>1199.992</v>
      </c>
      <c r="K2410" s="9">
        <f t="shared" si="75"/>
        <v>0.21238388736839492</v>
      </c>
    </row>
    <row r="2411" spans="1:11" x14ac:dyDescent="0.3">
      <c r="A2411">
        <v>844</v>
      </c>
      <c r="B2411">
        <v>5</v>
      </c>
      <c r="C2411">
        <v>63</v>
      </c>
      <c r="D2411" t="str">
        <f>VLOOKUP($C2411,products!$A$1:$F$322,MATCH(order_items!$D$1,products!$A$1:$F$1,0),FALSE)</f>
        <v>Trek Boone Race Shop Limited - 2017</v>
      </c>
      <c r="E2411">
        <f>VLOOKUP($C2411,products!$A$1:$F$322,MATCH(order_items!$E$1,products!$A$1:$F$1,0),FALSE)</f>
        <v>4</v>
      </c>
      <c r="F2411" t="str">
        <f>VLOOKUP($E2411,categories!$A$1:$B$8,MATCH(order_items!$F$1,categories!$A$1:$B$1,0),FALSE)</f>
        <v>Cyclocross Bicycles</v>
      </c>
      <c r="G2411">
        <v>2</v>
      </c>
      <c r="H2411">
        <v>3499.99</v>
      </c>
      <c r="I2411" s="5">
        <v>0.05</v>
      </c>
      <c r="J2411">
        <f t="shared" si="74"/>
        <v>6649.9809999999989</v>
      </c>
      <c r="K2411" s="9">
        <f t="shared" si="75"/>
        <v>1.6909575013907066</v>
      </c>
    </row>
    <row r="2412" spans="1:11" x14ac:dyDescent="0.3">
      <c r="A2412">
        <v>845</v>
      </c>
      <c r="B2412">
        <v>1</v>
      </c>
      <c r="C2412">
        <v>16</v>
      </c>
      <c r="D2412" t="str">
        <f>VLOOKUP($C2412,products!$A$1:$F$322,MATCH(order_items!$D$1,products!$A$1:$F$1,0),FALSE)</f>
        <v>Electra Townie Original 7D EQ - 2016</v>
      </c>
      <c r="E2412">
        <f>VLOOKUP($C2412,products!$A$1:$F$322,MATCH(order_items!$E$1,products!$A$1:$F$1,0),FALSE)</f>
        <v>3</v>
      </c>
      <c r="F2412" t="str">
        <f>VLOOKUP($E2412,categories!$A$1:$B$8,MATCH(order_items!$F$1,categories!$A$1:$B$1,0),FALSE)</f>
        <v>Cruisers Bicycles</v>
      </c>
      <c r="G2412">
        <v>2</v>
      </c>
      <c r="H2412">
        <v>599.99</v>
      </c>
      <c r="I2412" s="5">
        <v>0.2</v>
      </c>
      <c r="J2412">
        <f t="shared" si="74"/>
        <v>959.98400000000004</v>
      </c>
      <c r="K2412" s="9">
        <f t="shared" si="75"/>
        <v>-0.45297423894164529</v>
      </c>
    </row>
    <row r="2413" spans="1:11" x14ac:dyDescent="0.3">
      <c r="A2413">
        <v>845</v>
      </c>
      <c r="B2413">
        <v>2</v>
      </c>
      <c r="C2413">
        <v>75</v>
      </c>
      <c r="D2413" t="str">
        <f>VLOOKUP($C2413,products!$A$1:$F$322,MATCH(order_items!$D$1,products!$A$1:$F$1,0),FALSE)</f>
        <v>Electra Cruiser Lux Fat Tire 1 Ladies - 2017</v>
      </c>
      <c r="E2413">
        <f>VLOOKUP($C2413,products!$A$1:$F$322,MATCH(order_items!$E$1,products!$A$1:$F$1,0),FALSE)</f>
        <v>3</v>
      </c>
      <c r="F2413" t="str">
        <f>VLOOKUP($E2413,categories!$A$1:$B$8,MATCH(order_items!$F$1,categories!$A$1:$B$1,0),FALSE)</f>
        <v>Cruisers Bicycles</v>
      </c>
      <c r="G2413">
        <v>1</v>
      </c>
      <c r="H2413">
        <v>599.99</v>
      </c>
      <c r="I2413" s="5">
        <v>0.2</v>
      </c>
      <c r="J2413">
        <f t="shared" si="74"/>
        <v>479.99200000000002</v>
      </c>
      <c r="K2413" s="9">
        <f t="shared" si="75"/>
        <v>-0.45297423894164529</v>
      </c>
    </row>
    <row r="2414" spans="1:11" x14ac:dyDescent="0.3">
      <c r="A2414">
        <v>845</v>
      </c>
      <c r="B2414">
        <v>3</v>
      </c>
      <c r="C2414">
        <v>26</v>
      </c>
      <c r="D2414" t="str">
        <f>VLOOKUP($C2414,products!$A$1:$F$322,MATCH(order_items!$D$1,products!$A$1:$F$1,0),FALSE)</f>
        <v>Electra Townie Original 7D EQ - 2016</v>
      </c>
      <c r="E2414">
        <f>VLOOKUP($C2414,products!$A$1:$F$322,MATCH(order_items!$E$1,products!$A$1:$F$1,0),FALSE)</f>
        <v>2</v>
      </c>
      <c r="F2414" t="str">
        <f>VLOOKUP($E2414,categories!$A$1:$B$8,MATCH(order_items!$F$1,categories!$A$1:$B$1,0),FALSE)</f>
        <v>Comfort Bicycles</v>
      </c>
      <c r="G2414">
        <v>2</v>
      </c>
      <c r="H2414">
        <v>599.99</v>
      </c>
      <c r="I2414" s="5">
        <v>0.05</v>
      </c>
      <c r="J2414">
        <f t="shared" si="74"/>
        <v>1139.981</v>
      </c>
      <c r="K2414" s="9">
        <f t="shared" si="75"/>
        <v>-0.45297423894164529</v>
      </c>
    </row>
    <row r="2415" spans="1:11" x14ac:dyDescent="0.3">
      <c r="A2415">
        <v>845</v>
      </c>
      <c r="B2415">
        <v>4</v>
      </c>
      <c r="C2415">
        <v>73</v>
      </c>
      <c r="D2415" t="str">
        <f>VLOOKUP($C2415,products!$A$1:$F$322,MATCH(order_items!$D$1,products!$A$1:$F$1,0),FALSE)</f>
        <v>Sun Bicycles Brickell Tandem 7 - 2017</v>
      </c>
      <c r="E2415">
        <f>VLOOKUP($C2415,products!$A$1:$F$322,MATCH(order_items!$E$1,products!$A$1:$F$1,0),FALSE)</f>
        <v>3</v>
      </c>
      <c r="F2415" t="str">
        <f>VLOOKUP($E2415,categories!$A$1:$B$8,MATCH(order_items!$F$1,categories!$A$1:$B$1,0),FALSE)</f>
        <v>Cruisers Bicycles</v>
      </c>
      <c r="G2415">
        <v>2</v>
      </c>
      <c r="H2415">
        <v>749.99</v>
      </c>
      <c r="I2415" s="5">
        <v>0.2</v>
      </c>
      <c r="J2415">
        <f t="shared" si="74"/>
        <v>1199.9840000000002</v>
      </c>
      <c r="K2415" s="9">
        <f t="shared" si="75"/>
        <v>-0.34208121788997192</v>
      </c>
    </row>
    <row r="2416" spans="1:11" x14ac:dyDescent="0.3">
      <c r="A2416">
        <v>845</v>
      </c>
      <c r="B2416">
        <v>5</v>
      </c>
      <c r="C2416">
        <v>88</v>
      </c>
      <c r="D2416" t="str">
        <f>VLOOKUP($C2416,products!$A$1:$F$322,MATCH(order_items!$D$1,products!$A$1:$F$1,0),FALSE)</f>
        <v>Trek Precaliber 12 Girls - 2017</v>
      </c>
      <c r="E2416">
        <f>VLOOKUP($C2416,products!$A$1:$F$322,MATCH(order_items!$E$1,products!$A$1:$F$1,0),FALSE)</f>
        <v>1</v>
      </c>
      <c r="F2416" t="str">
        <f>VLOOKUP($E2416,categories!$A$1:$B$8,MATCH(order_items!$F$1,categories!$A$1:$B$1,0),FALSE)</f>
        <v>Children Bicycles</v>
      </c>
      <c r="G2416">
        <v>1</v>
      </c>
      <c r="H2416">
        <v>189.99</v>
      </c>
      <c r="I2416" s="5">
        <v>0.05</v>
      </c>
      <c r="J2416">
        <f t="shared" si="74"/>
        <v>180.4905</v>
      </c>
      <c r="K2416" s="9">
        <f t="shared" si="75"/>
        <v>-0.75608182981621919</v>
      </c>
    </row>
    <row r="2417" spans="1:11" x14ac:dyDescent="0.3">
      <c r="A2417">
        <v>846</v>
      </c>
      <c r="B2417">
        <v>1</v>
      </c>
      <c r="C2417">
        <v>46</v>
      </c>
      <c r="D2417" t="str">
        <f>VLOOKUP($C2417,products!$A$1:$F$322,MATCH(order_items!$D$1,products!$A$1:$F$1,0),FALSE)</f>
        <v>Haro SR 1.3 - 2017</v>
      </c>
      <c r="E2417">
        <f>VLOOKUP($C2417,products!$A$1:$F$322,MATCH(order_items!$E$1,products!$A$1:$F$1,0),FALSE)</f>
        <v>6</v>
      </c>
      <c r="F2417" t="str">
        <f>VLOOKUP($E2417,categories!$A$1:$B$8,MATCH(order_items!$F$1,categories!$A$1:$B$1,0),FALSE)</f>
        <v>Mountain Bikes</v>
      </c>
      <c r="G2417">
        <v>2</v>
      </c>
      <c r="H2417">
        <v>1409.99</v>
      </c>
      <c r="I2417" s="5">
        <v>0.05</v>
      </c>
      <c r="J2417">
        <f t="shared" si="74"/>
        <v>2678.9809999999998</v>
      </c>
      <c r="K2417" s="9">
        <f t="shared" si="75"/>
        <v>0.14584807473739089</v>
      </c>
    </row>
    <row r="2418" spans="1:11" x14ac:dyDescent="0.3">
      <c r="A2418">
        <v>846</v>
      </c>
      <c r="B2418">
        <v>2</v>
      </c>
      <c r="C2418">
        <v>47</v>
      </c>
      <c r="D2418" t="str">
        <f>VLOOKUP($C2418,products!$A$1:$F$322,MATCH(order_items!$D$1,products!$A$1:$F$1,0),FALSE)</f>
        <v>Trek Remedy 9.8 - 2017</v>
      </c>
      <c r="E2418">
        <f>VLOOKUP($C2418,products!$A$1:$F$322,MATCH(order_items!$E$1,products!$A$1:$F$1,0),FALSE)</f>
        <v>6</v>
      </c>
      <c r="F2418" t="str">
        <f>VLOOKUP($E2418,categories!$A$1:$B$8,MATCH(order_items!$F$1,categories!$A$1:$B$1,0),FALSE)</f>
        <v>Mountain Bikes</v>
      </c>
      <c r="G2418">
        <v>1</v>
      </c>
      <c r="H2418">
        <v>5299.99</v>
      </c>
      <c r="I2418" s="5">
        <v>7.0000000000000007E-2</v>
      </c>
      <c r="J2418">
        <f t="shared" si="74"/>
        <v>4928.9906999999994</v>
      </c>
      <c r="K2418" s="9">
        <f t="shared" si="75"/>
        <v>3.021673754010787</v>
      </c>
    </row>
    <row r="2419" spans="1:11" x14ac:dyDescent="0.3">
      <c r="A2419">
        <v>846</v>
      </c>
      <c r="B2419">
        <v>3</v>
      </c>
      <c r="C2419">
        <v>71</v>
      </c>
      <c r="D2419" t="str">
        <f>VLOOKUP($C2419,products!$A$1:$F$322,MATCH(order_items!$D$1,products!$A$1:$F$1,0),FALSE)</f>
        <v>Sun Bicycles Atlas X-Type - 2017</v>
      </c>
      <c r="E2419">
        <f>VLOOKUP($C2419,products!$A$1:$F$322,MATCH(order_items!$E$1,products!$A$1:$F$1,0),FALSE)</f>
        <v>3</v>
      </c>
      <c r="F2419" t="str">
        <f>VLOOKUP($E2419,categories!$A$1:$B$8,MATCH(order_items!$F$1,categories!$A$1:$B$1,0),FALSE)</f>
        <v>Cruisers Bicycles</v>
      </c>
      <c r="G2419">
        <v>1</v>
      </c>
      <c r="H2419">
        <v>416.99</v>
      </c>
      <c r="I2419" s="5">
        <v>0.1</v>
      </c>
      <c r="J2419">
        <f t="shared" si="74"/>
        <v>375.291</v>
      </c>
      <c r="K2419" s="9">
        <f t="shared" si="75"/>
        <v>-0.58826372462468679</v>
      </c>
    </row>
    <row r="2420" spans="1:11" x14ac:dyDescent="0.3">
      <c r="A2420">
        <v>846</v>
      </c>
      <c r="B2420">
        <v>4</v>
      </c>
      <c r="C2420">
        <v>72</v>
      </c>
      <c r="D2420" t="str">
        <f>VLOOKUP($C2420,products!$A$1:$F$322,MATCH(order_items!$D$1,products!$A$1:$F$1,0),FALSE)</f>
        <v>Sun Bicycles Biscayne Tandem 7 - 2017</v>
      </c>
      <c r="E2420">
        <f>VLOOKUP($C2420,products!$A$1:$F$322,MATCH(order_items!$E$1,products!$A$1:$F$1,0),FALSE)</f>
        <v>3</v>
      </c>
      <c r="F2420" t="str">
        <f>VLOOKUP($E2420,categories!$A$1:$B$8,MATCH(order_items!$F$1,categories!$A$1:$B$1,0),FALSE)</f>
        <v>Cruisers Bicycles</v>
      </c>
      <c r="G2420">
        <v>2</v>
      </c>
      <c r="H2420">
        <v>619.99</v>
      </c>
      <c r="I2420" s="5">
        <v>0.05</v>
      </c>
      <c r="J2420">
        <f t="shared" si="74"/>
        <v>1177.981</v>
      </c>
      <c r="K2420" s="9">
        <f t="shared" si="75"/>
        <v>-0.43818850280142219</v>
      </c>
    </row>
    <row r="2421" spans="1:11" x14ac:dyDescent="0.3">
      <c r="A2421">
        <v>846</v>
      </c>
      <c r="B2421">
        <v>5</v>
      </c>
      <c r="C2421">
        <v>103</v>
      </c>
      <c r="D2421" t="str">
        <f>VLOOKUP($C2421,products!$A$1:$F$322,MATCH(order_items!$D$1,products!$A$1:$F$1,0),FALSE)</f>
        <v>Sun Bicycles Streamway 3 - 2017</v>
      </c>
      <c r="E2421">
        <f>VLOOKUP($C2421,products!$A$1:$F$322,MATCH(order_items!$E$1,products!$A$1:$F$1,0),FALSE)</f>
        <v>2</v>
      </c>
      <c r="F2421" t="str">
        <f>VLOOKUP($E2421,categories!$A$1:$B$8,MATCH(order_items!$F$1,categories!$A$1:$B$1,0),FALSE)</f>
        <v>Comfort Bicycles</v>
      </c>
      <c r="G2421">
        <v>2</v>
      </c>
      <c r="H2421">
        <v>551.99</v>
      </c>
      <c r="I2421" s="5">
        <v>7.0000000000000007E-2</v>
      </c>
      <c r="J2421">
        <f t="shared" si="74"/>
        <v>1026.7013999999999</v>
      </c>
      <c r="K2421" s="9">
        <f t="shared" si="75"/>
        <v>-0.48846000567818076</v>
      </c>
    </row>
    <row r="2422" spans="1:11" x14ac:dyDescent="0.3">
      <c r="A2422">
        <v>847</v>
      </c>
      <c r="B2422">
        <v>1</v>
      </c>
      <c r="C2422">
        <v>61</v>
      </c>
      <c r="D2422" t="str">
        <f>VLOOKUP($C2422,products!$A$1:$F$322,MATCH(order_items!$D$1,products!$A$1:$F$1,0),FALSE)</f>
        <v>Trek Powerfly 8 FS Plus - 2017</v>
      </c>
      <c r="E2422">
        <f>VLOOKUP($C2422,products!$A$1:$F$322,MATCH(order_items!$E$1,products!$A$1:$F$1,0),FALSE)</f>
        <v>5</v>
      </c>
      <c r="F2422" t="str">
        <f>VLOOKUP($E2422,categories!$A$1:$B$8,MATCH(order_items!$F$1,categories!$A$1:$B$1,0),FALSE)</f>
        <v>Electric Bikes</v>
      </c>
      <c r="G2422">
        <v>2</v>
      </c>
      <c r="H2422">
        <v>4999.99</v>
      </c>
      <c r="I2422" s="5">
        <v>0.05</v>
      </c>
      <c r="J2422">
        <f t="shared" si="74"/>
        <v>9499.9809999999998</v>
      </c>
      <c r="K2422" s="9">
        <f t="shared" si="75"/>
        <v>2.7998877119074401</v>
      </c>
    </row>
    <row r="2423" spans="1:11" x14ac:dyDescent="0.3">
      <c r="A2423">
        <v>848</v>
      </c>
      <c r="B2423">
        <v>1</v>
      </c>
      <c r="C2423">
        <v>93</v>
      </c>
      <c r="D2423" t="str">
        <f>VLOOKUP($C2423,products!$A$1:$F$322,MATCH(order_items!$D$1,products!$A$1:$F$1,0),FALSE)</f>
        <v>Haro Shredder 20 Girls - 2017</v>
      </c>
      <c r="E2423">
        <f>VLOOKUP($C2423,products!$A$1:$F$322,MATCH(order_items!$E$1,products!$A$1:$F$1,0),FALSE)</f>
        <v>1</v>
      </c>
      <c r="F2423" t="str">
        <f>VLOOKUP($E2423,categories!$A$1:$B$8,MATCH(order_items!$F$1,categories!$A$1:$B$1,0),FALSE)</f>
        <v>Children Bicycles</v>
      </c>
      <c r="G2423">
        <v>1</v>
      </c>
      <c r="H2423">
        <v>209.99</v>
      </c>
      <c r="I2423" s="5">
        <v>7.0000000000000007E-2</v>
      </c>
      <c r="J2423">
        <f t="shared" si="74"/>
        <v>195.29069999999999</v>
      </c>
      <c r="K2423" s="9">
        <f t="shared" si="75"/>
        <v>-0.74129609367599603</v>
      </c>
    </row>
    <row r="2424" spans="1:11" x14ac:dyDescent="0.3">
      <c r="A2424">
        <v>848</v>
      </c>
      <c r="B2424">
        <v>2</v>
      </c>
      <c r="C2424">
        <v>100</v>
      </c>
      <c r="D2424" t="str">
        <f>VLOOKUP($C2424,products!$A$1:$F$322,MATCH(order_items!$D$1,products!$A$1:$F$1,0),FALSE)</f>
        <v>Electra Townie 3i EQ (20-inch) - Boys' - 2017</v>
      </c>
      <c r="E2424">
        <f>VLOOKUP($C2424,products!$A$1:$F$322,MATCH(order_items!$E$1,products!$A$1:$F$1,0),FALSE)</f>
        <v>1</v>
      </c>
      <c r="F2424" t="str">
        <f>VLOOKUP($E2424,categories!$A$1:$B$8,MATCH(order_items!$F$1,categories!$A$1:$B$1,0),FALSE)</f>
        <v>Children Bicycles</v>
      </c>
      <c r="G2424">
        <v>2</v>
      </c>
      <c r="H2424">
        <v>489.99</v>
      </c>
      <c r="I2424" s="5">
        <v>0.2</v>
      </c>
      <c r="J2424">
        <f t="shared" si="74"/>
        <v>783.98400000000004</v>
      </c>
      <c r="K2424" s="9">
        <f t="shared" si="75"/>
        <v>-0.53429578771287245</v>
      </c>
    </row>
    <row r="2425" spans="1:11" x14ac:dyDescent="0.3">
      <c r="A2425">
        <v>848</v>
      </c>
      <c r="B2425">
        <v>3</v>
      </c>
      <c r="C2425">
        <v>88</v>
      </c>
      <c r="D2425" t="str">
        <f>VLOOKUP($C2425,products!$A$1:$F$322,MATCH(order_items!$D$1,products!$A$1:$F$1,0),FALSE)</f>
        <v>Trek Precaliber 12 Girls - 2017</v>
      </c>
      <c r="E2425">
        <f>VLOOKUP($C2425,products!$A$1:$F$322,MATCH(order_items!$E$1,products!$A$1:$F$1,0),FALSE)</f>
        <v>1</v>
      </c>
      <c r="F2425" t="str">
        <f>VLOOKUP($E2425,categories!$A$1:$B$8,MATCH(order_items!$F$1,categories!$A$1:$B$1,0),FALSE)</f>
        <v>Children Bicycles</v>
      </c>
      <c r="G2425">
        <v>2</v>
      </c>
      <c r="H2425">
        <v>189.99</v>
      </c>
      <c r="I2425" s="5">
        <v>0.2</v>
      </c>
      <c r="J2425">
        <f t="shared" si="74"/>
        <v>303.98400000000004</v>
      </c>
      <c r="K2425" s="9">
        <f t="shared" si="75"/>
        <v>-0.75608182981621919</v>
      </c>
    </row>
    <row r="2426" spans="1:11" x14ac:dyDescent="0.3">
      <c r="A2426">
        <v>848</v>
      </c>
      <c r="B2426">
        <v>4</v>
      </c>
      <c r="C2426">
        <v>41</v>
      </c>
      <c r="D2426" t="str">
        <f>VLOOKUP($C2426,products!$A$1:$F$322,MATCH(order_items!$D$1,products!$A$1:$F$1,0),FALSE)</f>
        <v>Haro Shift R3 - 2017</v>
      </c>
      <c r="E2426">
        <f>VLOOKUP($C2426,products!$A$1:$F$322,MATCH(order_items!$E$1,products!$A$1:$F$1,0),FALSE)</f>
        <v>6</v>
      </c>
      <c r="F2426" t="str">
        <f>VLOOKUP($E2426,categories!$A$1:$B$8,MATCH(order_items!$F$1,categories!$A$1:$B$1,0),FALSE)</f>
        <v>Mountain Bikes</v>
      </c>
      <c r="G2426">
        <v>2</v>
      </c>
      <c r="H2426">
        <v>1469.99</v>
      </c>
      <c r="I2426" s="5">
        <v>7.0000000000000007E-2</v>
      </c>
      <c r="J2426">
        <f t="shared" si="74"/>
        <v>2734.1813999999999</v>
      </c>
      <c r="K2426" s="9">
        <f t="shared" si="75"/>
        <v>0.19020528315806023</v>
      </c>
    </row>
    <row r="2427" spans="1:11" x14ac:dyDescent="0.3">
      <c r="A2427">
        <v>849</v>
      </c>
      <c r="B2427">
        <v>1</v>
      </c>
      <c r="C2427">
        <v>109</v>
      </c>
      <c r="D2427" t="str">
        <f>VLOOKUP($C2427,products!$A$1:$F$322,MATCH(order_items!$D$1,products!$A$1:$F$1,0),FALSE)</f>
        <v>Sun Bicycles Cruz 7 - Women's - 2017</v>
      </c>
      <c r="E2427">
        <f>VLOOKUP($C2427,products!$A$1:$F$322,MATCH(order_items!$E$1,products!$A$1:$F$1,0),FALSE)</f>
        <v>2</v>
      </c>
      <c r="F2427" t="str">
        <f>VLOOKUP($E2427,categories!$A$1:$B$8,MATCH(order_items!$F$1,categories!$A$1:$B$1,0),FALSE)</f>
        <v>Comfort Bicycles</v>
      </c>
      <c r="G2427">
        <v>1</v>
      </c>
      <c r="H2427">
        <v>416.99</v>
      </c>
      <c r="I2427" s="5">
        <v>0.2</v>
      </c>
      <c r="J2427">
        <f t="shared" si="74"/>
        <v>333.59200000000004</v>
      </c>
      <c r="K2427" s="9">
        <f t="shared" si="75"/>
        <v>-0.58826372462468679</v>
      </c>
    </row>
    <row r="2428" spans="1:11" x14ac:dyDescent="0.3">
      <c r="A2428">
        <v>850</v>
      </c>
      <c r="B2428">
        <v>1</v>
      </c>
      <c r="C2428">
        <v>101</v>
      </c>
      <c r="D2428" t="str">
        <f>VLOOKUP($C2428,products!$A$1:$F$322,MATCH(order_items!$D$1,products!$A$1:$F$1,0),FALSE)</f>
        <v>Electra Townie 7D (20-inch) - Boys' - 2017</v>
      </c>
      <c r="E2428">
        <f>VLOOKUP($C2428,products!$A$1:$F$322,MATCH(order_items!$E$1,products!$A$1:$F$1,0),FALSE)</f>
        <v>1</v>
      </c>
      <c r="F2428" t="str">
        <f>VLOOKUP($E2428,categories!$A$1:$B$8,MATCH(order_items!$F$1,categories!$A$1:$B$1,0),FALSE)</f>
        <v>Children Bicycles</v>
      </c>
      <c r="G2428">
        <v>2</v>
      </c>
      <c r="H2428">
        <v>339.99</v>
      </c>
      <c r="I2428" s="5">
        <v>7.0000000000000007E-2</v>
      </c>
      <c r="J2428">
        <f t="shared" si="74"/>
        <v>632.38139999999999</v>
      </c>
      <c r="K2428" s="9">
        <f t="shared" si="75"/>
        <v>-0.64518880876454576</v>
      </c>
    </row>
    <row r="2429" spans="1:11" x14ac:dyDescent="0.3">
      <c r="A2429">
        <v>850</v>
      </c>
      <c r="B2429">
        <v>2</v>
      </c>
      <c r="C2429">
        <v>5</v>
      </c>
      <c r="D2429" t="str">
        <f>VLOOKUP($C2429,products!$A$1:$F$322,MATCH(order_items!$D$1,products!$A$1:$F$1,0),FALSE)</f>
        <v>Heller Shagamaw Frame - 2016</v>
      </c>
      <c r="E2429">
        <f>VLOOKUP($C2429,products!$A$1:$F$322,MATCH(order_items!$E$1,products!$A$1:$F$1,0),FALSE)</f>
        <v>6</v>
      </c>
      <c r="F2429" t="str">
        <f>VLOOKUP($E2429,categories!$A$1:$B$8,MATCH(order_items!$F$1,categories!$A$1:$B$1,0),FALSE)</f>
        <v>Mountain Bikes</v>
      </c>
      <c r="G2429">
        <v>2</v>
      </c>
      <c r="H2429">
        <v>1320.99</v>
      </c>
      <c r="I2429" s="5">
        <v>7.0000000000000007E-2</v>
      </c>
      <c r="J2429">
        <f t="shared" si="74"/>
        <v>2457.0414000000001</v>
      </c>
      <c r="K2429" s="9">
        <f t="shared" si="75"/>
        <v>8.0051548913398024E-2</v>
      </c>
    </row>
    <row r="2430" spans="1:11" x14ac:dyDescent="0.3">
      <c r="A2430">
        <v>850</v>
      </c>
      <c r="B2430">
        <v>3</v>
      </c>
      <c r="C2430">
        <v>37</v>
      </c>
      <c r="D2430" t="str">
        <f>VLOOKUP($C2430,products!$A$1:$F$322,MATCH(order_items!$D$1,products!$A$1:$F$1,0),FALSE)</f>
        <v>Haro Flightline One ST - 2017</v>
      </c>
      <c r="E2430">
        <f>VLOOKUP($C2430,products!$A$1:$F$322,MATCH(order_items!$E$1,products!$A$1:$F$1,0),FALSE)</f>
        <v>6</v>
      </c>
      <c r="F2430" t="str">
        <f>VLOOKUP($E2430,categories!$A$1:$B$8,MATCH(order_items!$F$1,categories!$A$1:$B$1,0),FALSE)</f>
        <v>Mountain Bikes</v>
      </c>
      <c r="G2430">
        <v>1</v>
      </c>
      <c r="H2430">
        <v>379.99</v>
      </c>
      <c r="I2430" s="5">
        <v>7.0000000000000007E-2</v>
      </c>
      <c r="J2430">
        <f t="shared" si="74"/>
        <v>353.39069999999998</v>
      </c>
      <c r="K2430" s="9">
        <f t="shared" si="75"/>
        <v>-0.61561733648409955</v>
      </c>
    </row>
    <row r="2431" spans="1:11" x14ac:dyDescent="0.3">
      <c r="A2431">
        <v>851</v>
      </c>
      <c r="B2431">
        <v>1</v>
      </c>
      <c r="C2431">
        <v>30</v>
      </c>
      <c r="D2431" t="str">
        <f>VLOOKUP($C2431,products!$A$1:$F$322,MATCH(order_items!$D$1,products!$A$1:$F$1,0),FALSE)</f>
        <v>Surly Ice Cream Truck Frameset - 2017</v>
      </c>
      <c r="E2431">
        <f>VLOOKUP($C2431,products!$A$1:$F$322,MATCH(order_items!$E$1,products!$A$1:$F$1,0),FALSE)</f>
        <v>6</v>
      </c>
      <c r="F2431" t="str">
        <f>VLOOKUP($E2431,categories!$A$1:$B$8,MATCH(order_items!$F$1,categories!$A$1:$B$1,0),FALSE)</f>
        <v>Mountain Bikes</v>
      </c>
      <c r="G2431">
        <v>1</v>
      </c>
      <c r="H2431">
        <v>999.99</v>
      </c>
      <c r="I2431" s="5">
        <v>0.2</v>
      </c>
      <c r="J2431">
        <f t="shared" si="74"/>
        <v>799.99200000000008</v>
      </c>
      <c r="K2431" s="9">
        <f t="shared" si="75"/>
        <v>-0.15725951613718298</v>
      </c>
    </row>
    <row r="2432" spans="1:11" x14ac:dyDescent="0.3">
      <c r="A2432">
        <v>851</v>
      </c>
      <c r="B2432">
        <v>2</v>
      </c>
      <c r="C2432">
        <v>93</v>
      </c>
      <c r="D2432" t="str">
        <f>VLOOKUP($C2432,products!$A$1:$F$322,MATCH(order_items!$D$1,products!$A$1:$F$1,0),FALSE)</f>
        <v>Haro Shredder 20 Girls - 2017</v>
      </c>
      <c r="E2432">
        <f>VLOOKUP($C2432,products!$A$1:$F$322,MATCH(order_items!$E$1,products!$A$1:$F$1,0),FALSE)</f>
        <v>1</v>
      </c>
      <c r="F2432" t="str">
        <f>VLOOKUP($E2432,categories!$A$1:$B$8,MATCH(order_items!$F$1,categories!$A$1:$B$1,0),FALSE)</f>
        <v>Children Bicycles</v>
      </c>
      <c r="G2432">
        <v>1</v>
      </c>
      <c r="H2432">
        <v>209.99</v>
      </c>
      <c r="I2432" s="5">
        <v>0.05</v>
      </c>
      <c r="J2432">
        <f t="shared" si="74"/>
        <v>199.4905</v>
      </c>
      <c r="K2432" s="9">
        <f t="shared" si="75"/>
        <v>-0.74129609367599603</v>
      </c>
    </row>
    <row r="2433" spans="1:11" x14ac:dyDescent="0.3">
      <c r="A2433">
        <v>852</v>
      </c>
      <c r="B2433">
        <v>1</v>
      </c>
      <c r="C2433">
        <v>46</v>
      </c>
      <c r="D2433" t="str">
        <f>VLOOKUP($C2433,products!$A$1:$F$322,MATCH(order_items!$D$1,products!$A$1:$F$1,0),FALSE)</f>
        <v>Haro SR 1.3 - 2017</v>
      </c>
      <c r="E2433">
        <f>VLOOKUP($C2433,products!$A$1:$F$322,MATCH(order_items!$E$1,products!$A$1:$F$1,0),FALSE)</f>
        <v>6</v>
      </c>
      <c r="F2433" t="str">
        <f>VLOOKUP($E2433,categories!$A$1:$B$8,MATCH(order_items!$F$1,categories!$A$1:$B$1,0),FALSE)</f>
        <v>Mountain Bikes</v>
      </c>
      <c r="G2433">
        <v>2</v>
      </c>
      <c r="H2433">
        <v>1409.99</v>
      </c>
      <c r="I2433" s="5">
        <v>7.0000000000000007E-2</v>
      </c>
      <c r="J2433">
        <f t="shared" si="74"/>
        <v>2622.5814</v>
      </c>
      <c r="K2433" s="9">
        <f t="shared" si="75"/>
        <v>0.14584807473739089</v>
      </c>
    </row>
    <row r="2434" spans="1:11" x14ac:dyDescent="0.3">
      <c r="A2434">
        <v>853</v>
      </c>
      <c r="B2434">
        <v>1</v>
      </c>
      <c r="C2434">
        <v>99</v>
      </c>
      <c r="D2434" t="str">
        <f>VLOOKUP($C2434,products!$A$1:$F$322,MATCH(order_items!$D$1,products!$A$1:$F$1,0),FALSE)</f>
        <v>Electra Sugar Skulls 1 (20-inch) - Girl's - 2017</v>
      </c>
      <c r="E2434">
        <f>VLOOKUP($C2434,products!$A$1:$F$322,MATCH(order_items!$E$1,products!$A$1:$F$1,0),FALSE)</f>
        <v>1</v>
      </c>
      <c r="F2434" t="str">
        <f>VLOOKUP($E2434,categories!$A$1:$B$8,MATCH(order_items!$F$1,categories!$A$1:$B$1,0),FALSE)</f>
        <v>Children Bicycles</v>
      </c>
      <c r="G2434">
        <v>1</v>
      </c>
      <c r="H2434">
        <v>299.99</v>
      </c>
      <c r="I2434" s="5">
        <v>0.05</v>
      </c>
      <c r="J2434">
        <f t="shared" ref="J2434:J2497" si="76">G2434*H2434*(1-I2434)</f>
        <v>284.9905</v>
      </c>
      <c r="K2434" s="9">
        <f t="shared" ref="K2434:K2497" si="77">($H2434-$M$7)/$M$9</f>
        <v>-0.67476028104499197</v>
      </c>
    </row>
    <row r="2435" spans="1:11" x14ac:dyDescent="0.3">
      <c r="A2435">
        <v>853</v>
      </c>
      <c r="B2435">
        <v>2</v>
      </c>
      <c r="C2435">
        <v>58</v>
      </c>
      <c r="D2435" t="str">
        <f>VLOOKUP($C2435,products!$A$1:$F$322,MATCH(order_items!$D$1,products!$A$1:$F$1,0),FALSE)</f>
        <v>Trek Madone 9.2 - 2017</v>
      </c>
      <c r="E2435">
        <f>VLOOKUP($C2435,products!$A$1:$F$322,MATCH(order_items!$E$1,products!$A$1:$F$1,0),FALSE)</f>
        <v>7</v>
      </c>
      <c r="F2435" t="str">
        <f>VLOOKUP($E2435,categories!$A$1:$B$8,MATCH(order_items!$F$1,categories!$A$1:$B$1,0),FALSE)</f>
        <v>Road Bikes</v>
      </c>
      <c r="G2435">
        <v>2</v>
      </c>
      <c r="H2435">
        <v>4999.99</v>
      </c>
      <c r="I2435" s="5">
        <v>0.2</v>
      </c>
      <c r="J2435">
        <f t="shared" si="76"/>
        <v>7999.9840000000004</v>
      </c>
      <c r="K2435" s="9">
        <f t="shared" si="77"/>
        <v>2.7998877119074401</v>
      </c>
    </row>
    <row r="2436" spans="1:11" x14ac:dyDescent="0.3">
      <c r="A2436">
        <v>853</v>
      </c>
      <c r="B2436">
        <v>3</v>
      </c>
      <c r="C2436">
        <v>42</v>
      </c>
      <c r="D2436" t="str">
        <f>VLOOKUP($C2436,products!$A$1:$F$322,MATCH(order_items!$D$1,products!$A$1:$F$1,0),FALSE)</f>
        <v>Trek Fuel EX 5 27.5 Plus - 2017</v>
      </c>
      <c r="E2436">
        <f>VLOOKUP($C2436,products!$A$1:$F$322,MATCH(order_items!$E$1,products!$A$1:$F$1,0),FALSE)</f>
        <v>6</v>
      </c>
      <c r="F2436" t="str">
        <f>VLOOKUP($E2436,categories!$A$1:$B$8,MATCH(order_items!$F$1,categories!$A$1:$B$1,0),FALSE)</f>
        <v>Mountain Bikes</v>
      </c>
      <c r="G2436">
        <v>2</v>
      </c>
      <c r="H2436">
        <v>2299.9899999999998</v>
      </c>
      <c r="I2436" s="5">
        <v>0.2</v>
      </c>
      <c r="J2436">
        <f t="shared" si="76"/>
        <v>3679.9839999999999</v>
      </c>
      <c r="K2436" s="9">
        <f t="shared" si="77"/>
        <v>0.80381333297731938</v>
      </c>
    </row>
    <row r="2437" spans="1:11" x14ac:dyDescent="0.3">
      <c r="A2437">
        <v>853</v>
      </c>
      <c r="B2437">
        <v>4</v>
      </c>
      <c r="C2437">
        <v>45</v>
      </c>
      <c r="D2437" t="str">
        <f>VLOOKUP($C2437,products!$A$1:$F$322,MATCH(order_items!$D$1,products!$A$1:$F$1,0),FALSE)</f>
        <v>Haro SR 1.2 - 2017</v>
      </c>
      <c r="E2437">
        <f>VLOOKUP($C2437,products!$A$1:$F$322,MATCH(order_items!$E$1,products!$A$1:$F$1,0),FALSE)</f>
        <v>6</v>
      </c>
      <c r="F2437" t="str">
        <f>VLOOKUP($E2437,categories!$A$1:$B$8,MATCH(order_items!$F$1,categories!$A$1:$B$1,0),FALSE)</f>
        <v>Mountain Bikes</v>
      </c>
      <c r="G2437">
        <v>1</v>
      </c>
      <c r="H2437">
        <v>869.99</v>
      </c>
      <c r="I2437" s="5">
        <v>0.2</v>
      </c>
      <c r="J2437">
        <f t="shared" si="76"/>
        <v>695.99200000000008</v>
      </c>
      <c r="K2437" s="9">
        <f t="shared" si="77"/>
        <v>-0.25336680104863324</v>
      </c>
    </row>
    <row r="2438" spans="1:11" x14ac:dyDescent="0.3">
      <c r="A2438">
        <v>853</v>
      </c>
      <c r="B2438">
        <v>5</v>
      </c>
      <c r="C2438">
        <v>6</v>
      </c>
      <c r="D2438" t="str">
        <f>VLOOKUP($C2438,products!$A$1:$F$322,MATCH(order_items!$D$1,products!$A$1:$F$1,0),FALSE)</f>
        <v>Surly Ice Cream Truck Frameset - 2016</v>
      </c>
      <c r="E2438">
        <f>VLOOKUP($C2438,products!$A$1:$F$322,MATCH(order_items!$E$1,products!$A$1:$F$1,0),FALSE)</f>
        <v>6</v>
      </c>
      <c r="F2438" t="str">
        <f>VLOOKUP($E2438,categories!$A$1:$B$8,MATCH(order_items!$F$1,categories!$A$1:$B$1,0),FALSE)</f>
        <v>Mountain Bikes</v>
      </c>
      <c r="G2438">
        <v>1</v>
      </c>
      <c r="H2438">
        <v>469.99</v>
      </c>
      <c r="I2438" s="5">
        <v>0.05</v>
      </c>
      <c r="J2438">
        <f t="shared" si="76"/>
        <v>446.4905</v>
      </c>
      <c r="K2438" s="9">
        <f t="shared" si="77"/>
        <v>-0.5490815238530955</v>
      </c>
    </row>
    <row r="2439" spans="1:11" x14ac:dyDescent="0.3">
      <c r="A2439">
        <v>854</v>
      </c>
      <c r="B2439">
        <v>1</v>
      </c>
      <c r="C2439">
        <v>87</v>
      </c>
      <c r="D2439" t="str">
        <f>VLOOKUP($C2439,products!$A$1:$F$322,MATCH(order_items!$D$1,products!$A$1:$F$1,0),FALSE)</f>
        <v>Trek Precaliber 12 Boys - 2017</v>
      </c>
      <c r="E2439">
        <f>VLOOKUP($C2439,products!$A$1:$F$322,MATCH(order_items!$E$1,products!$A$1:$F$1,0),FALSE)</f>
        <v>1</v>
      </c>
      <c r="F2439" t="str">
        <f>VLOOKUP($E2439,categories!$A$1:$B$8,MATCH(order_items!$F$1,categories!$A$1:$B$1,0),FALSE)</f>
        <v>Children Bicycles</v>
      </c>
      <c r="G2439">
        <v>1</v>
      </c>
      <c r="H2439">
        <v>189.99</v>
      </c>
      <c r="I2439" s="5">
        <v>0.1</v>
      </c>
      <c r="J2439">
        <f t="shared" si="76"/>
        <v>170.99100000000001</v>
      </c>
      <c r="K2439" s="9">
        <f t="shared" si="77"/>
        <v>-0.75608182981621919</v>
      </c>
    </row>
    <row r="2440" spans="1:11" x14ac:dyDescent="0.3">
      <c r="A2440">
        <v>855</v>
      </c>
      <c r="B2440">
        <v>1</v>
      </c>
      <c r="C2440">
        <v>18</v>
      </c>
      <c r="D2440" t="str">
        <f>VLOOKUP($C2440,products!$A$1:$F$322,MATCH(order_items!$D$1,products!$A$1:$F$1,0),FALSE)</f>
        <v>Pure Cycles Western 3-Speed - Women's - 2015/2016</v>
      </c>
      <c r="E2440">
        <f>VLOOKUP($C2440,products!$A$1:$F$322,MATCH(order_items!$E$1,products!$A$1:$F$1,0),FALSE)</f>
        <v>3</v>
      </c>
      <c r="F2440" t="str">
        <f>VLOOKUP($E2440,categories!$A$1:$B$8,MATCH(order_items!$F$1,categories!$A$1:$B$1,0),FALSE)</f>
        <v>Cruisers Bicycles</v>
      </c>
      <c r="G2440">
        <v>1</v>
      </c>
      <c r="H2440">
        <v>449</v>
      </c>
      <c r="I2440" s="5">
        <v>0.1</v>
      </c>
      <c r="J2440">
        <f t="shared" si="76"/>
        <v>404.1</v>
      </c>
      <c r="K2440" s="9">
        <f t="shared" si="77"/>
        <v>-0.56459915393225968</v>
      </c>
    </row>
    <row r="2441" spans="1:11" x14ac:dyDescent="0.3">
      <c r="A2441">
        <v>855</v>
      </c>
      <c r="B2441">
        <v>2</v>
      </c>
      <c r="C2441">
        <v>93</v>
      </c>
      <c r="D2441" t="str">
        <f>VLOOKUP($C2441,products!$A$1:$F$322,MATCH(order_items!$D$1,products!$A$1:$F$1,0),FALSE)</f>
        <v>Haro Shredder 20 Girls - 2017</v>
      </c>
      <c r="E2441">
        <f>VLOOKUP($C2441,products!$A$1:$F$322,MATCH(order_items!$E$1,products!$A$1:$F$1,0),FALSE)</f>
        <v>1</v>
      </c>
      <c r="F2441" t="str">
        <f>VLOOKUP($E2441,categories!$A$1:$B$8,MATCH(order_items!$F$1,categories!$A$1:$B$1,0),FALSE)</f>
        <v>Children Bicycles</v>
      </c>
      <c r="G2441">
        <v>2</v>
      </c>
      <c r="H2441">
        <v>209.99</v>
      </c>
      <c r="I2441" s="5">
        <v>0.2</v>
      </c>
      <c r="J2441">
        <f t="shared" si="76"/>
        <v>335.98400000000004</v>
      </c>
      <c r="K2441" s="9">
        <f t="shared" si="77"/>
        <v>-0.74129609367599603</v>
      </c>
    </row>
    <row r="2442" spans="1:11" x14ac:dyDescent="0.3">
      <c r="A2442">
        <v>855</v>
      </c>
      <c r="B2442">
        <v>3</v>
      </c>
      <c r="C2442">
        <v>89</v>
      </c>
      <c r="D2442" t="str">
        <f>VLOOKUP($C2442,products!$A$1:$F$322,MATCH(order_items!$D$1,products!$A$1:$F$1,0),FALSE)</f>
        <v>Trek Precaliber 16 Boys - 2017</v>
      </c>
      <c r="E2442">
        <f>VLOOKUP($C2442,products!$A$1:$F$322,MATCH(order_items!$E$1,products!$A$1:$F$1,0),FALSE)</f>
        <v>1</v>
      </c>
      <c r="F2442" t="str">
        <f>VLOOKUP($E2442,categories!$A$1:$B$8,MATCH(order_items!$F$1,categories!$A$1:$B$1,0),FALSE)</f>
        <v>Children Bicycles</v>
      </c>
      <c r="G2442">
        <v>1</v>
      </c>
      <c r="H2442">
        <v>209.99</v>
      </c>
      <c r="I2442" s="5">
        <v>0.2</v>
      </c>
      <c r="J2442">
        <f t="shared" si="76"/>
        <v>167.99200000000002</v>
      </c>
      <c r="K2442" s="9">
        <f t="shared" si="77"/>
        <v>-0.74129609367599603</v>
      </c>
    </row>
    <row r="2443" spans="1:11" x14ac:dyDescent="0.3">
      <c r="A2443">
        <v>856</v>
      </c>
      <c r="B2443">
        <v>1</v>
      </c>
      <c r="C2443">
        <v>38</v>
      </c>
      <c r="D2443" t="str">
        <f>VLOOKUP($C2443,products!$A$1:$F$322,MATCH(order_items!$D$1,products!$A$1:$F$1,0),FALSE)</f>
        <v>Haro Flightline Two 26 Plus - 2017</v>
      </c>
      <c r="E2443">
        <f>VLOOKUP($C2443,products!$A$1:$F$322,MATCH(order_items!$E$1,products!$A$1:$F$1,0),FALSE)</f>
        <v>6</v>
      </c>
      <c r="F2443" t="str">
        <f>VLOOKUP($E2443,categories!$A$1:$B$8,MATCH(order_items!$F$1,categories!$A$1:$B$1,0),FALSE)</f>
        <v>Mountain Bikes</v>
      </c>
      <c r="G2443">
        <v>2</v>
      </c>
      <c r="H2443">
        <v>549.99</v>
      </c>
      <c r="I2443" s="5">
        <v>0.05</v>
      </c>
      <c r="J2443">
        <f t="shared" si="76"/>
        <v>1044.981</v>
      </c>
      <c r="K2443" s="9">
        <f t="shared" si="77"/>
        <v>-0.48993857929220308</v>
      </c>
    </row>
    <row r="2444" spans="1:11" x14ac:dyDescent="0.3">
      <c r="A2444">
        <v>857</v>
      </c>
      <c r="B2444">
        <v>1</v>
      </c>
      <c r="C2444">
        <v>29</v>
      </c>
      <c r="D2444" t="str">
        <f>VLOOKUP($C2444,products!$A$1:$F$322,MATCH(order_items!$D$1,products!$A$1:$F$1,0),FALSE)</f>
        <v>Trek X-Caliber 8 - 2017</v>
      </c>
      <c r="E2444">
        <f>VLOOKUP($C2444,products!$A$1:$F$322,MATCH(order_items!$E$1,products!$A$1:$F$1,0),FALSE)</f>
        <v>6</v>
      </c>
      <c r="F2444" t="str">
        <f>VLOOKUP($E2444,categories!$A$1:$B$8,MATCH(order_items!$F$1,categories!$A$1:$B$1,0),FALSE)</f>
        <v>Mountain Bikes</v>
      </c>
      <c r="G2444">
        <v>1</v>
      </c>
      <c r="H2444">
        <v>999.99</v>
      </c>
      <c r="I2444" s="5">
        <v>0.2</v>
      </c>
      <c r="J2444">
        <f t="shared" si="76"/>
        <v>799.99200000000008</v>
      </c>
      <c r="K2444" s="9">
        <f t="shared" si="77"/>
        <v>-0.15725951613718298</v>
      </c>
    </row>
    <row r="2445" spans="1:11" x14ac:dyDescent="0.3">
      <c r="A2445">
        <v>858</v>
      </c>
      <c r="B2445">
        <v>1</v>
      </c>
      <c r="C2445">
        <v>45</v>
      </c>
      <c r="D2445" t="str">
        <f>VLOOKUP($C2445,products!$A$1:$F$322,MATCH(order_items!$D$1,products!$A$1:$F$1,0),FALSE)</f>
        <v>Haro SR 1.2 - 2017</v>
      </c>
      <c r="E2445">
        <f>VLOOKUP($C2445,products!$A$1:$F$322,MATCH(order_items!$E$1,products!$A$1:$F$1,0),FALSE)</f>
        <v>6</v>
      </c>
      <c r="F2445" t="str">
        <f>VLOOKUP($E2445,categories!$A$1:$B$8,MATCH(order_items!$F$1,categories!$A$1:$B$1,0),FALSE)</f>
        <v>Mountain Bikes</v>
      </c>
      <c r="G2445">
        <v>2</v>
      </c>
      <c r="H2445">
        <v>869.99</v>
      </c>
      <c r="I2445" s="5">
        <v>0.2</v>
      </c>
      <c r="J2445">
        <f t="shared" si="76"/>
        <v>1391.9840000000002</v>
      </c>
      <c r="K2445" s="9">
        <f t="shared" si="77"/>
        <v>-0.25336680104863324</v>
      </c>
    </row>
    <row r="2446" spans="1:11" x14ac:dyDescent="0.3">
      <c r="A2446">
        <v>858</v>
      </c>
      <c r="B2446">
        <v>2</v>
      </c>
      <c r="C2446">
        <v>5</v>
      </c>
      <c r="D2446" t="str">
        <f>VLOOKUP($C2446,products!$A$1:$F$322,MATCH(order_items!$D$1,products!$A$1:$F$1,0),FALSE)</f>
        <v>Heller Shagamaw Frame - 2016</v>
      </c>
      <c r="E2446">
        <f>VLOOKUP($C2446,products!$A$1:$F$322,MATCH(order_items!$E$1,products!$A$1:$F$1,0),FALSE)</f>
        <v>6</v>
      </c>
      <c r="F2446" t="str">
        <f>VLOOKUP($E2446,categories!$A$1:$B$8,MATCH(order_items!$F$1,categories!$A$1:$B$1,0),FALSE)</f>
        <v>Mountain Bikes</v>
      </c>
      <c r="G2446">
        <v>1</v>
      </c>
      <c r="H2446">
        <v>1320.99</v>
      </c>
      <c r="I2446" s="5">
        <v>0.2</v>
      </c>
      <c r="J2446">
        <f t="shared" si="76"/>
        <v>1056.7920000000001</v>
      </c>
      <c r="K2446" s="9">
        <f t="shared" si="77"/>
        <v>8.0051548913398024E-2</v>
      </c>
    </row>
    <row r="2447" spans="1:11" x14ac:dyDescent="0.3">
      <c r="A2447">
        <v>858</v>
      </c>
      <c r="B2447">
        <v>3</v>
      </c>
      <c r="C2447">
        <v>14</v>
      </c>
      <c r="D2447" t="str">
        <f>VLOOKUP($C2447,products!$A$1:$F$322,MATCH(order_items!$D$1,products!$A$1:$F$1,0),FALSE)</f>
        <v>Electra Girl's Hawaii 1 (16-inch) - 2015/2016</v>
      </c>
      <c r="E2447">
        <f>VLOOKUP($C2447,products!$A$1:$F$322,MATCH(order_items!$E$1,products!$A$1:$F$1,0),FALSE)</f>
        <v>3</v>
      </c>
      <c r="F2447" t="str">
        <f>VLOOKUP($E2447,categories!$A$1:$B$8,MATCH(order_items!$F$1,categories!$A$1:$B$1,0),FALSE)</f>
        <v>Cruisers Bicycles</v>
      </c>
      <c r="G2447">
        <v>1</v>
      </c>
      <c r="H2447">
        <v>269.99</v>
      </c>
      <c r="I2447" s="5">
        <v>7.0000000000000007E-2</v>
      </c>
      <c r="J2447">
        <f t="shared" si="76"/>
        <v>251.0907</v>
      </c>
      <c r="K2447" s="9">
        <f t="shared" si="77"/>
        <v>-0.69693888525532666</v>
      </c>
    </row>
    <row r="2448" spans="1:11" x14ac:dyDescent="0.3">
      <c r="A2448">
        <v>858</v>
      </c>
      <c r="B2448">
        <v>4</v>
      </c>
      <c r="C2448">
        <v>73</v>
      </c>
      <c r="D2448" t="str">
        <f>VLOOKUP($C2448,products!$A$1:$F$322,MATCH(order_items!$D$1,products!$A$1:$F$1,0),FALSE)</f>
        <v>Sun Bicycles Brickell Tandem 7 - 2017</v>
      </c>
      <c r="E2448">
        <f>VLOOKUP($C2448,products!$A$1:$F$322,MATCH(order_items!$E$1,products!$A$1:$F$1,0),FALSE)</f>
        <v>3</v>
      </c>
      <c r="F2448" t="str">
        <f>VLOOKUP($E2448,categories!$A$1:$B$8,MATCH(order_items!$F$1,categories!$A$1:$B$1,0),FALSE)</f>
        <v>Cruisers Bicycles</v>
      </c>
      <c r="G2448">
        <v>2</v>
      </c>
      <c r="H2448">
        <v>749.99</v>
      </c>
      <c r="I2448" s="5">
        <v>7.0000000000000007E-2</v>
      </c>
      <c r="J2448">
        <f t="shared" si="76"/>
        <v>1394.9813999999999</v>
      </c>
      <c r="K2448" s="9">
        <f t="shared" si="77"/>
        <v>-0.34208121788997192</v>
      </c>
    </row>
    <row r="2449" spans="1:11" x14ac:dyDescent="0.3">
      <c r="A2449">
        <v>859</v>
      </c>
      <c r="B2449">
        <v>1</v>
      </c>
      <c r="C2449">
        <v>38</v>
      </c>
      <c r="D2449" t="str">
        <f>VLOOKUP($C2449,products!$A$1:$F$322,MATCH(order_items!$D$1,products!$A$1:$F$1,0),FALSE)</f>
        <v>Haro Flightline Two 26 Plus - 2017</v>
      </c>
      <c r="E2449">
        <f>VLOOKUP($C2449,products!$A$1:$F$322,MATCH(order_items!$E$1,products!$A$1:$F$1,0),FALSE)</f>
        <v>6</v>
      </c>
      <c r="F2449" t="str">
        <f>VLOOKUP($E2449,categories!$A$1:$B$8,MATCH(order_items!$F$1,categories!$A$1:$B$1,0),FALSE)</f>
        <v>Mountain Bikes</v>
      </c>
      <c r="G2449">
        <v>2</v>
      </c>
      <c r="H2449">
        <v>549.99</v>
      </c>
      <c r="I2449" s="5">
        <v>7.0000000000000007E-2</v>
      </c>
      <c r="J2449">
        <f t="shared" si="76"/>
        <v>1022.9813999999999</v>
      </c>
      <c r="K2449" s="9">
        <f t="shared" si="77"/>
        <v>-0.48993857929220308</v>
      </c>
    </row>
    <row r="2450" spans="1:11" x14ac:dyDescent="0.3">
      <c r="A2450">
        <v>859</v>
      </c>
      <c r="B2450">
        <v>2</v>
      </c>
      <c r="C2450">
        <v>13</v>
      </c>
      <c r="D2450" t="str">
        <f>VLOOKUP($C2450,products!$A$1:$F$322,MATCH(order_items!$D$1,products!$A$1:$F$1,0),FALSE)</f>
        <v>Electra Cruiser 1 (24-Inch) - 2016</v>
      </c>
      <c r="E2450">
        <f>VLOOKUP($C2450,products!$A$1:$F$322,MATCH(order_items!$E$1,products!$A$1:$F$1,0),FALSE)</f>
        <v>3</v>
      </c>
      <c r="F2450" t="str">
        <f>VLOOKUP($E2450,categories!$A$1:$B$8,MATCH(order_items!$F$1,categories!$A$1:$B$1,0),FALSE)</f>
        <v>Cruisers Bicycles</v>
      </c>
      <c r="G2450">
        <v>1</v>
      </c>
      <c r="H2450">
        <v>269.99</v>
      </c>
      <c r="I2450" s="5">
        <v>0.1</v>
      </c>
      <c r="J2450">
        <f t="shared" si="76"/>
        <v>242.99100000000001</v>
      </c>
      <c r="K2450" s="9">
        <f t="shared" si="77"/>
        <v>-0.69693888525532666</v>
      </c>
    </row>
    <row r="2451" spans="1:11" x14ac:dyDescent="0.3">
      <c r="A2451">
        <v>859</v>
      </c>
      <c r="B2451">
        <v>3</v>
      </c>
      <c r="C2451">
        <v>14</v>
      </c>
      <c r="D2451" t="str">
        <f>VLOOKUP($C2451,products!$A$1:$F$322,MATCH(order_items!$D$1,products!$A$1:$F$1,0),FALSE)</f>
        <v>Electra Girl's Hawaii 1 (16-inch) - 2015/2016</v>
      </c>
      <c r="E2451">
        <f>VLOOKUP($C2451,products!$A$1:$F$322,MATCH(order_items!$E$1,products!$A$1:$F$1,0),FALSE)</f>
        <v>3</v>
      </c>
      <c r="F2451" t="str">
        <f>VLOOKUP($E2451,categories!$A$1:$B$8,MATCH(order_items!$F$1,categories!$A$1:$B$1,0),FALSE)</f>
        <v>Cruisers Bicycles</v>
      </c>
      <c r="G2451">
        <v>2</v>
      </c>
      <c r="H2451">
        <v>269.99</v>
      </c>
      <c r="I2451" s="5">
        <v>0.1</v>
      </c>
      <c r="J2451">
        <f t="shared" si="76"/>
        <v>485.98200000000003</v>
      </c>
      <c r="K2451" s="9">
        <f t="shared" si="77"/>
        <v>-0.69693888525532666</v>
      </c>
    </row>
    <row r="2452" spans="1:11" x14ac:dyDescent="0.3">
      <c r="A2452">
        <v>859</v>
      </c>
      <c r="B2452">
        <v>4</v>
      </c>
      <c r="C2452">
        <v>71</v>
      </c>
      <c r="D2452" t="str">
        <f>VLOOKUP($C2452,products!$A$1:$F$322,MATCH(order_items!$D$1,products!$A$1:$F$1,0),FALSE)</f>
        <v>Sun Bicycles Atlas X-Type - 2017</v>
      </c>
      <c r="E2452">
        <f>VLOOKUP($C2452,products!$A$1:$F$322,MATCH(order_items!$E$1,products!$A$1:$F$1,0),FALSE)</f>
        <v>3</v>
      </c>
      <c r="F2452" t="str">
        <f>VLOOKUP($E2452,categories!$A$1:$B$8,MATCH(order_items!$F$1,categories!$A$1:$B$1,0),FALSE)</f>
        <v>Cruisers Bicycles</v>
      </c>
      <c r="G2452">
        <v>2</v>
      </c>
      <c r="H2452">
        <v>416.99</v>
      </c>
      <c r="I2452" s="5">
        <v>0.1</v>
      </c>
      <c r="J2452">
        <f t="shared" si="76"/>
        <v>750.58199999999999</v>
      </c>
      <c r="K2452" s="9">
        <f t="shared" si="77"/>
        <v>-0.58826372462468679</v>
      </c>
    </row>
    <row r="2453" spans="1:11" x14ac:dyDescent="0.3">
      <c r="A2453">
        <v>859</v>
      </c>
      <c r="B2453">
        <v>5</v>
      </c>
      <c r="C2453">
        <v>36</v>
      </c>
      <c r="D2453" t="str">
        <f>VLOOKUP($C2453,products!$A$1:$F$322,MATCH(order_items!$D$1,products!$A$1:$F$1,0),FALSE)</f>
        <v>Surly Troll Frameset - 2017</v>
      </c>
      <c r="E2453">
        <f>VLOOKUP($C2453,products!$A$1:$F$322,MATCH(order_items!$E$1,products!$A$1:$F$1,0),FALSE)</f>
        <v>6</v>
      </c>
      <c r="F2453" t="str">
        <f>VLOOKUP($E2453,categories!$A$1:$B$8,MATCH(order_items!$F$1,categories!$A$1:$B$1,0),FALSE)</f>
        <v>Mountain Bikes</v>
      </c>
      <c r="G2453">
        <v>2</v>
      </c>
      <c r="H2453">
        <v>832.99</v>
      </c>
      <c r="I2453" s="5">
        <v>0.1</v>
      </c>
      <c r="J2453">
        <f t="shared" si="76"/>
        <v>1499.3820000000001</v>
      </c>
      <c r="K2453" s="9">
        <f t="shared" si="77"/>
        <v>-0.280720412908046</v>
      </c>
    </row>
    <row r="2454" spans="1:11" x14ac:dyDescent="0.3">
      <c r="A2454">
        <v>860</v>
      </c>
      <c r="B2454">
        <v>1</v>
      </c>
      <c r="C2454">
        <v>6</v>
      </c>
      <c r="D2454" t="str">
        <f>VLOOKUP($C2454,products!$A$1:$F$322,MATCH(order_items!$D$1,products!$A$1:$F$1,0),FALSE)</f>
        <v>Surly Ice Cream Truck Frameset - 2016</v>
      </c>
      <c r="E2454">
        <f>VLOOKUP($C2454,products!$A$1:$F$322,MATCH(order_items!$E$1,products!$A$1:$F$1,0),FALSE)</f>
        <v>6</v>
      </c>
      <c r="F2454" t="str">
        <f>VLOOKUP($E2454,categories!$A$1:$B$8,MATCH(order_items!$F$1,categories!$A$1:$B$1,0),FALSE)</f>
        <v>Mountain Bikes</v>
      </c>
      <c r="G2454">
        <v>1</v>
      </c>
      <c r="H2454">
        <v>469.99</v>
      </c>
      <c r="I2454" s="5">
        <v>0.05</v>
      </c>
      <c r="J2454">
        <f t="shared" si="76"/>
        <v>446.4905</v>
      </c>
      <c r="K2454" s="9">
        <f t="shared" si="77"/>
        <v>-0.5490815238530955</v>
      </c>
    </row>
    <row r="2455" spans="1:11" x14ac:dyDescent="0.3">
      <c r="A2455">
        <v>860</v>
      </c>
      <c r="B2455">
        <v>2</v>
      </c>
      <c r="C2455">
        <v>24</v>
      </c>
      <c r="D2455" t="str">
        <f>VLOOKUP($C2455,products!$A$1:$F$322,MATCH(order_items!$D$1,products!$A$1:$F$1,0),FALSE)</f>
        <v>Electra Townie Original 21D - 2016</v>
      </c>
      <c r="E2455">
        <f>VLOOKUP($C2455,products!$A$1:$F$322,MATCH(order_items!$E$1,products!$A$1:$F$1,0),FALSE)</f>
        <v>2</v>
      </c>
      <c r="F2455" t="str">
        <f>VLOOKUP($E2455,categories!$A$1:$B$8,MATCH(order_items!$F$1,categories!$A$1:$B$1,0),FALSE)</f>
        <v>Comfort Bicycles</v>
      </c>
      <c r="G2455">
        <v>2</v>
      </c>
      <c r="H2455">
        <v>549.99</v>
      </c>
      <c r="I2455" s="5">
        <v>0.2</v>
      </c>
      <c r="J2455">
        <f t="shared" si="76"/>
        <v>879.98400000000004</v>
      </c>
      <c r="K2455" s="9">
        <f t="shared" si="77"/>
        <v>-0.48993857929220308</v>
      </c>
    </row>
    <row r="2456" spans="1:11" x14ac:dyDescent="0.3">
      <c r="A2456">
        <v>860</v>
      </c>
      <c r="B2456">
        <v>3</v>
      </c>
      <c r="C2456">
        <v>25</v>
      </c>
      <c r="D2456" t="str">
        <f>VLOOKUP($C2456,products!$A$1:$F$322,MATCH(order_items!$D$1,products!$A$1:$F$1,0),FALSE)</f>
        <v>Electra Townie Original 7D - 2015/2016</v>
      </c>
      <c r="E2456">
        <f>VLOOKUP($C2456,products!$A$1:$F$322,MATCH(order_items!$E$1,products!$A$1:$F$1,0),FALSE)</f>
        <v>2</v>
      </c>
      <c r="F2456" t="str">
        <f>VLOOKUP($E2456,categories!$A$1:$B$8,MATCH(order_items!$F$1,categories!$A$1:$B$1,0),FALSE)</f>
        <v>Comfort Bicycles</v>
      </c>
      <c r="G2456">
        <v>1</v>
      </c>
      <c r="H2456">
        <v>499.99</v>
      </c>
      <c r="I2456" s="5">
        <v>0.2</v>
      </c>
      <c r="J2456">
        <f t="shared" si="76"/>
        <v>399.99200000000002</v>
      </c>
      <c r="K2456" s="9">
        <f t="shared" si="77"/>
        <v>-0.52690291964276081</v>
      </c>
    </row>
    <row r="2457" spans="1:11" x14ac:dyDescent="0.3">
      <c r="A2457">
        <v>860</v>
      </c>
      <c r="B2457">
        <v>4</v>
      </c>
      <c r="C2457">
        <v>58</v>
      </c>
      <c r="D2457" t="str">
        <f>VLOOKUP($C2457,products!$A$1:$F$322,MATCH(order_items!$D$1,products!$A$1:$F$1,0),FALSE)</f>
        <v>Trek Madone 9.2 - 2017</v>
      </c>
      <c r="E2457">
        <f>VLOOKUP($C2457,products!$A$1:$F$322,MATCH(order_items!$E$1,products!$A$1:$F$1,0),FALSE)</f>
        <v>7</v>
      </c>
      <c r="F2457" t="str">
        <f>VLOOKUP($E2457,categories!$A$1:$B$8,MATCH(order_items!$F$1,categories!$A$1:$B$1,0),FALSE)</f>
        <v>Road Bikes</v>
      </c>
      <c r="G2457">
        <v>2</v>
      </c>
      <c r="H2457">
        <v>4999.99</v>
      </c>
      <c r="I2457" s="5">
        <v>7.0000000000000007E-2</v>
      </c>
      <c r="J2457">
        <f t="shared" si="76"/>
        <v>9299.9813999999988</v>
      </c>
      <c r="K2457" s="9">
        <f t="shared" si="77"/>
        <v>2.7998877119074401</v>
      </c>
    </row>
    <row r="2458" spans="1:11" x14ac:dyDescent="0.3">
      <c r="A2458">
        <v>860</v>
      </c>
      <c r="B2458">
        <v>5</v>
      </c>
      <c r="C2458">
        <v>95</v>
      </c>
      <c r="D2458" t="str">
        <f>VLOOKUP($C2458,products!$A$1:$F$322,MATCH(order_items!$D$1,products!$A$1:$F$1,0),FALSE)</f>
        <v>Electra Girl's Hawaii 1 16" - 2017</v>
      </c>
      <c r="E2458">
        <f>VLOOKUP($C2458,products!$A$1:$F$322,MATCH(order_items!$E$1,products!$A$1:$F$1,0),FALSE)</f>
        <v>1</v>
      </c>
      <c r="F2458" t="str">
        <f>VLOOKUP($E2458,categories!$A$1:$B$8,MATCH(order_items!$F$1,categories!$A$1:$B$1,0),FALSE)</f>
        <v>Children Bicycles</v>
      </c>
      <c r="G2458">
        <v>2</v>
      </c>
      <c r="H2458">
        <v>299.99</v>
      </c>
      <c r="I2458" s="5">
        <v>0.05</v>
      </c>
      <c r="J2458">
        <f t="shared" si="76"/>
        <v>569.98099999999999</v>
      </c>
      <c r="K2458" s="9">
        <f t="shared" si="77"/>
        <v>-0.67476028104499197</v>
      </c>
    </row>
    <row r="2459" spans="1:11" x14ac:dyDescent="0.3">
      <c r="A2459">
        <v>861</v>
      </c>
      <c r="B2459">
        <v>1</v>
      </c>
      <c r="C2459">
        <v>14</v>
      </c>
      <c r="D2459" t="str">
        <f>VLOOKUP($C2459,products!$A$1:$F$322,MATCH(order_items!$D$1,products!$A$1:$F$1,0),FALSE)</f>
        <v>Electra Girl's Hawaii 1 (16-inch) - 2015/2016</v>
      </c>
      <c r="E2459">
        <f>VLOOKUP($C2459,products!$A$1:$F$322,MATCH(order_items!$E$1,products!$A$1:$F$1,0),FALSE)</f>
        <v>3</v>
      </c>
      <c r="F2459" t="str">
        <f>VLOOKUP($E2459,categories!$A$1:$B$8,MATCH(order_items!$F$1,categories!$A$1:$B$1,0),FALSE)</f>
        <v>Cruisers Bicycles</v>
      </c>
      <c r="G2459">
        <v>2</v>
      </c>
      <c r="H2459">
        <v>269.99</v>
      </c>
      <c r="I2459" s="5">
        <v>7.0000000000000007E-2</v>
      </c>
      <c r="J2459">
        <f t="shared" si="76"/>
        <v>502.1814</v>
      </c>
      <c r="K2459" s="9">
        <f t="shared" si="77"/>
        <v>-0.69693888525532666</v>
      </c>
    </row>
    <row r="2460" spans="1:11" x14ac:dyDescent="0.3">
      <c r="A2460">
        <v>861</v>
      </c>
      <c r="B2460">
        <v>2</v>
      </c>
      <c r="C2460">
        <v>62</v>
      </c>
      <c r="D2460" t="str">
        <f>VLOOKUP($C2460,products!$A$1:$F$322,MATCH(order_items!$D$1,products!$A$1:$F$1,0),FALSE)</f>
        <v>Trek Boone 7 - 2017</v>
      </c>
      <c r="E2460">
        <f>VLOOKUP($C2460,products!$A$1:$F$322,MATCH(order_items!$E$1,products!$A$1:$F$1,0),FALSE)</f>
        <v>4</v>
      </c>
      <c r="F2460" t="str">
        <f>VLOOKUP($E2460,categories!$A$1:$B$8,MATCH(order_items!$F$1,categories!$A$1:$B$1,0),FALSE)</f>
        <v>Cyclocross Bicycles</v>
      </c>
      <c r="G2460">
        <v>1</v>
      </c>
      <c r="H2460">
        <v>3499.99</v>
      </c>
      <c r="I2460" s="5">
        <v>0.2</v>
      </c>
      <c r="J2460">
        <f t="shared" si="76"/>
        <v>2799.9920000000002</v>
      </c>
      <c r="K2460" s="9">
        <f t="shared" si="77"/>
        <v>1.6909575013907066</v>
      </c>
    </row>
    <row r="2461" spans="1:11" x14ac:dyDescent="0.3">
      <c r="A2461">
        <v>862</v>
      </c>
      <c r="B2461">
        <v>1</v>
      </c>
      <c r="C2461">
        <v>85</v>
      </c>
      <c r="D2461" t="str">
        <f>VLOOKUP($C2461,products!$A$1:$F$322,MATCH(order_items!$D$1,products!$A$1:$F$1,0),FALSE)</f>
        <v>Haro Downtown 16 - 2017</v>
      </c>
      <c r="E2461">
        <f>VLOOKUP($C2461,products!$A$1:$F$322,MATCH(order_items!$E$1,products!$A$1:$F$1,0),FALSE)</f>
        <v>1</v>
      </c>
      <c r="F2461" t="str">
        <f>VLOOKUP($E2461,categories!$A$1:$B$8,MATCH(order_items!$F$1,categories!$A$1:$B$1,0),FALSE)</f>
        <v>Children Bicycles</v>
      </c>
      <c r="G2461">
        <v>1</v>
      </c>
      <c r="H2461">
        <v>329.99</v>
      </c>
      <c r="I2461" s="5">
        <v>0.05</v>
      </c>
      <c r="J2461">
        <f t="shared" si="76"/>
        <v>313.4905</v>
      </c>
      <c r="K2461" s="9">
        <f t="shared" si="77"/>
        <v>-0.6525816768346574</v>
      </c>
    </row>
    <row r="2462" spans="1:11" x14ac:dyDescent="0.3">
      <c r="A2462">
        <v>862</v>
      </c>
      <c r="B2462">
        <v>2</v>
      </c>
      <c r="C2462">
        <v>99</v>
      </c>
      <c r="D2462" t="str">
        <f>VLOOKUP($C2462,products!$A$1:$F$322,MATCH(order_items!$D$1,products!$A$1:$F$1,0),FALSE)</f>
        <v>Electra Sugar Skulls 1 (20-inch) - Girl's - 2017</v>
      </c>
      <c r="E2462">
        <f>VLOOKUP($C2462,products!$A$1:$F$322,MATCH(order_items!$E$1,products!$A$1:$F$1,0),FALSE)</f>
        <v>1</v>
      </c>
      <c r="F2462" t="str">
        <f>VLOOKUP($E2462,categories!$A$1:$B$8,MATCH(order_items!$F$1,categories!$A$1:$B$1,0),FALSE)</f>
        <v>Children Bicycles</v>
      </c>
      <c r="G2462">
        <v>1</v>
      </c>
      <c r="H2462">
        <v>299.99</v>
      </c>
      <c r="I2462" s="5">
        <v>0.2</v>
      </c>
      <c r="J2462">
        <f t="shared" si="76"/>
        <v>239.99200000000002</v>
      </c>
      <c r="K2462" s="9">
        <f t="shared" si="77"/>
        <v>-0.67476028104499197</v>
      </c>
    </row>
    <row r="2463" spans="1:11" x14ac:dyDescent="0.3">
      <c r="A2463">
        <v>862</v>
      </c>
      <c r="B2463">
        <v>3</v>
      </c>
      <c r="C2463">
        <v>49</v>
      </c>
      <c r="D2463" t="str">
        <f>VLOOKUP($C2463,products!$A$1:$F$322,MATCH(order_items!$D$1,products!$A$1:$F$1,0),FALSE)</f>
        <v>Trek Domane SL 6 - 2017</v>
      </c>
      <c r="E2463">
        <f>VLOOKUP($C2463,products!$A$1:$F$322,MATCH(order_items!$E$1,products!$A$1:$F$1,0),FALSE)</f>
        <v>7</v>
      </c>
      <c r="F2463" t="str">
        <f>VLOOKUP($E2463,categories!$A$1:$B$8,MATCH(order_items!$F$1,categories!$A$1:$B$1,0),FALSE)</f>
        <v>Road Bikes</v>
      </c>
      <c r="G2463">
        <v>2</v>
      </c>
      <c r="H2463">
        <v>3499.99</v>
      </c>
      <c r="I2463" s="5">
        <v>7.0000000000000007E-2</v>
      </c>
      <c r="J2463">
        <f t="shared" si="76"/>
        <v>6509.9813999999988</v>
      </c>
      <c r="K2463" s="9">
        <f t="shared" si="77"/>
        <v>1.6909575013907066</v>
      </c>
    </row>
    <row r="2464" spans="1:11" x14ac:dyDescent="0.3">
      <c r="A2464">
        <v>863</v>
      </c>
      <c r="B2464">
        <v>1</v>
      </c>
      <c r="C2464">
        <v>93</v>
      </c>
      <c r="D2464" t="str">
        <f>VLOOKUP($C2464,products!$A$1:$F$322,MATCH(order_items!$D$1,products!$A$1:$F$1,0),FALSE)</f>
        <v>Haro Shredder 20 Girls - 2017</v>
      </c>
      <c r="E2464">
        <f>VLOOKUP($C2464,products!$A$1:$F$322,MATCH(order_items!$E$1,products!$A$1:$F$1,0),FALSE)</f>
        <v>1</v>
      </c>
      <c r="F2464" t="str">
        <f>VLOOKUP($E2464,categories!$A$1:$B$8,MATCH(order_items!$F$1,categories!$A$1:$B$1,0),FALSE)</f>
        <v>Children Bicycles</v>
      </c>
      <c r="G2464">
        <v>2</v>
      </c>
      <c r="H2464">
        <v>209.99</v>
      </c>
      <c r="I2464" s="5">
        <v>0.1</v>
      </c>
      <c r="J2464">
        <f t="shared" si="76"/>
        <v>377.98200000000003</v>
      </c>
      <c r="K2464" s="9">
        <f t="shared" si="77"/>
        <v>-0.74129609367599603</v>
      </c>
    </row>
    <row r="2465" spans="1:11" x14ac:dyDescent="0.3">
      <c r="A2465">
        <v>864</v>
      </c>
      <c r="B2465">
        <v>1</v>
      </c>
      <c r="C2465">
        <v>37</v>
      </c>
      <c r="D2465" t="str">
        <f>VLOOKUP($C2465,products!$A$1:$F$322,MATCH(order_items!$D$1,products!$A$1:$F$1,0),FALSE)</f>
        <v>Haro Flightline One ST - 2017</v>
      </c>
      <c r="E2465">
        <f>VLOOKUP($C2465,products!$A$1:$F$322,MATCH(order_items!$E$1,products!$A$1:$F$1,0),FALSE)</f>
        <v>6</v>
      </c>
      <c r="F2465" t="str">
        <f>VLOOKUP($E2465,categories!$A$1:$B$8,MATCH(order_items!$F$1,categories!$A$1:$B$1,0),FALSE)</f>
        <v>Mountain Bikes</v>
      </c>
      <c r="G2465">
        <v>1</v>
      </c>
      <c r="H2465">
        <v>379.99</v>
      </c>
      <c r="I2465" s="5">
        <v>0.1</v>
      </c>
      <c r="J2465">
        <f t="shared" si="76"/>
        <v>341.99100000000004</v>
      </c>
      <c r="K2465" s="9">
        <f t="shared" si="77"/>
        <v>-0.61561733648409955</v>
      </c>
    </row>
    <row r="2466" spans="1:11" x14ac:dyDescent="0.3">
      <c r="A2466">
        <v>864</v>
      </c>
      <c r="B2466">
        <v>2</v>
      </c>
      <c r="C2466">
        <v>65</v>
      </c>
      <c r="D2466" t="str">
        <f>VLOOKUP($C2466,products!$A$1:$F$322,MATCH(order_items!$D$1,products!$A$1:$F$1,0),FALSE)</f>
        <v>Sun Bicycles Lil Bolt Type-R - 2017</v>
      </c>
      <c r="E2466">
        <f>VLOOKUP($C2466,products!$A$1:$F$322,MATCH(order_items!$E$1,products!$A$1:$F$1,0),FALSE)</f>
        <v>3</v>
      </c>
      <c r="F2466" t="str">
        <f>VLOOKUP($E2466,categories!$A$1:$B$8,MATCH(order_items!$F$1,categories!$A$1:$B$1,0),FALSE)</f>
        <v>Cruisers Bicycles</v>
      </c>
      <c r="G2466">
        <v>2</v>
      </c>
      <c r="H2466">
        <v>346.99</v>
      </c>
      <c r="I2466" s="5">
        <v>0.05</v>
      </c>
      <c r="J2466">
        <f t="shared" si="76"/>
        <v>659.28099999999995</v>
      </c>
      <c r="K2466" s="9">
        <f t="shared" si="77"/>
        <v>-0.64001380111546768</v>
      </c>
    </row>
    <row r="2467" spans="1:11" x14ac:dyDescent="0.3">
      <c r="A2467">
        <v>864</v>
      </c>
      <c r="B2467">
        <v>3</v>
      </c>
      <c r="C2467">
        <v>13</v>
      </c>
      <c r="D2467" t="str">
        <f>VLOOKUP($C2467,products!$A$1:$F$322,MATCH(order_items!$D$1,products!$A$1:$F$1,0),FALSE)</f>
        <v>Electra Cruiser 1 (24-Inch) - 2016</v>
      </c>
      <c r="E2467">
        <f>VLOOKUP($C2467,products!$A$1:$F$322,MATCH(order_items!$E$1,products!$A$1:$F$1,0),FALSE)</f>
        <v>3</v>
      </c>
      <c r="F2467" t="str">
        <f>VLOOKUP($E2467,categories!$A$1:$B$8,MATCH(order_items!$F$1,categories!$A$1:$B$1,0),FALSE)</f>
        <v>Cruisers Bicycles</v>
      </c>
      <c r="G2467">
        <v>1</v>
      </c>
      <c r="H2467">
        <v>269.99</v>
      </c>
      <c r="I2467" s="5">
        <v>0.2</v>
      </c>
      <c r="J2467">
        <f t="shared" si="76"/>
        <v>215.99200000000002</v>
      </c>
      <c r="K2467" s="9">
        <f t="shared" si="77"/>
        <v>-0.69693888525532666</v>
      </c>
    </row>
    <row r="2468" spans="1:11" x14ac:dyDescent="0.3">
      <c r="A2468">
        <v>865</v>
      </c>
      <c r="B2468">
        <v>1</v>
      </c>
      <c r="C2468">
        <v>109</v>
      </c>
      <c r="D2468" t="str">
        <f>VLOOKUP($C2468,products!$A$1:$F$322,MATCH(order_items!$D$1,products!$A$1:$F$1,0),FALSE)</f>
        <v>Sun Bicycles Cruz 7 - Women's - 2017</v>
      </c>
      <c r="E2468">
        <f>VLOOKUP($C2468,products!$A$1:$F$322,MATCH(order_items!$E$1,products!$A$1:$F$1,0),FALSE)</f>
        <v>2</v>
      </c>
      <c r="F2468" t="str">
        <f>VLOOKUP($E2468,categories!$A$1:$B$8,MATCH(order_items!$F$1,categories!$A$1:$B$1,0),FALSE)</f>
        <v>Comfort Bicycles</v>
      </c>
      <c r="G2468">
        <v>2</v>
      </c>
      <c r="H2468">
        <v>416.99</v>
      </c>
      <c r="I2468" s="5">
        <v>0.1</v>
      </c>
      <c r="J2468">
        <f t="shared" si="76"/>
        <v>750.58199999999999</v>
      </c>
      <c r="K2468" s="9">
        <f t="shared" si="77"/>
        <v>-0.58826372462468679</v>
      </c>
    </row>
    <row r="2469" spans="1:11" x14ac:dyDescent="0.3">
      <c r="A2469">
        <v>865</v>
      </c>
      <c r="B2469">
        <v>2</v>
      </c>
      <c r="C2469">
        <v>34</v>
      </c>
      <c r="D2469" t="str">
        <f>VLOOKUP($C2469,products!$A$1:$F$322,MATCH(order_items!$D$1,products!$A$1:$F$1,0),FALSE)</f>
        <v>Trek Session DH 27.5 Carbon Frameset - 2017</v>
      </c>
      <c r="E2469">
        <f>VLOOKUP($C2469,products!$A$1:$F$322,MATCH(order_items!$E$1,products!$A$1:$F$1,0),FALSE)</f>
        <v>6</v>
      </c>
      <c r="F2469" t="str">
        <f>VLOOKUP($E2469,categories!$A$1:$B$8,MATCH(order_items!$F$1,categories!$A$1:$B$1,0),FALSE)</f>
        <v>Mountain Bikes</v>
      </c>
      <c r="G2469">
        <v>1</v>
      </c>
      <c r="H2469">
        <v>469.99</v>
      </c>
      <c r="I2469" s="5">
        <v>0.05</v>
      </c>
      <c r="J2469">
        <f t="shared" si="76"/>
        <v>446.4905</v>
      </c>
      <c r="K2469" s="9">
        <f t="shared" si="77"/>
        <v>-0.5490815238530955</v>
      </c>
    </row>
    <row r="2470" spans="1:11" x14ac:dyDescent="0.3">
      <c r="A2470">
        <v>866</v>
      </c>
      <c r="B2470">
        <v>1</v>
      </c>
      <c r="C2470">
        <v>88</v>
      </c>
      <c r="D2470" t="str">
        <f>VLOOKUP($C2470,products!$A$1:$F$322,MATCH(order_items!$D$1,products!$A$1:$F$1,0),FALSE)</f>
        <v>Trek Precaliber 12 Girls - 2017</v>
      </c>
      <c r="E2470">
        <f>VLOOKUP($C2470,products!$A$1:$F$322,MATCH(order_items!$E$1,products!$A$1:$F$1,0),FALSE)</f>
        <v>1</v>
      </c>
      <c r="F2470" t="str">
        <f>VLOOKUP($E2470,categories!$A$1:$B$8,MATCH(order_items!$F$1,categories!$A$1:$B$1,0),FALSE)</f>
        <v>Children Bicycles</v>
      </c>
      <c r="G2470">
        <v>1</v>
      </c>
      <c r="H2470">
        <v>189.99</v>
      </c>
      <c r="I2470" s="5">
        <v>0.2</v>
      </c>
      <c r="J2470">
        <f t="shared" si="76"/>
        <v>151.99200000000002</v>
      </c>
      <c r="K2470" s="9">
        <f t="shared" si="77"/>
        <v>-0.75608182981621919</v>
      </c>
    </row>
    <row r="2471" spans="1:11" x14ac:dyDescent="0.3">
      <c r="A2471">
        <v>866</v>
      </c>
      <c r="B2471">
        <v>2</v>
      </c>
      <c r="C2471">
        <v>67</v>
      </c>
      <c r="D2471" t="str">
        <f>VLOOKUP($C2471,products!$A$1:$F$322,MATCH(order_items!$D$1,products!$A$1:$F$1,0),FALSE)</f>
        <v>Sun Bicycles Revolutions 24 - Girl's - 2017</v>
      </c>
      <c r="E2471">
        <f>VLOOKUP($C2471,products!$A$1:$F$322,MATCH(order_items!$E$1,products!$A$1:$F$1,0),FALSE)</f>
        <v>3</v>
      </c>
      <c r="F2471" t="str">
        <f>VLOOKUP($E2471,categories!$A$1:$B$8,MATCH(order_items!$F$1,categories!$A$1:$B$1,0),FALSE)</f>
        <v>Cruisers Bicycles</v>
      </c>
      <c r="G2471">
        <v>2</v>
      </c>
      <c r="H2471">
        <v>250.99</v>
      </c>
      <c r="I2471" s="5">
        <v>7.0000000000000007E-2</v>
      </c>
      <c r="J2471">
        <f t="shared" si="76"/>
        <v>466.84139999999996</v>
      </c>
      <c r="K2471" s="9">
        <f t="shared" si="77"/>
        <v>-0.71098533458853863</v>
      </c>
    </row>
    <row r="2472" spans="1:11" x14ac:dyDescent="0.3">
      <c r="A2472">
        <v>866</v>
      </c>
      <c r="B2472">
        <v>3</v>
      </c>
      <c r="C2472">
        <v>80</v>
      </c>
      <c r="D2472" t="str">
        <f>VLOOKUP($C2472,products!$A$1:$F$322,MATCH(order_items!$D$1,products!$A$1:$F$1,0),FALSE)</f>
        <v>Sun Bicycles Brickell Tandem CB - 2017</v>
      </c>
      <c r="E2472">
        <f>VLOOKUP($C2472,products!$A$1:$F$322,MATCH(order_items!$E$1,products!$A$1:$F$1,0),FALSE)</f>
        <v>3</v>
      </c>
      <c r="F2472" t="str">
        <f>VLOOKUP($E2472,categories!$A$1:$B$8,MATCH(order_items!$F$1,categories!$A$1:$B$1,0),FALSE)</f>
        <v>Cruisers Bicycles</v>
      </c>
      <c r="G2472">
        <v>1</v>
      </c>
      <c r="H2472">
        <v>761.99</v>
      </c>
      <c r="I2472" s="5">
        <v>7.0000000000000007E-2</v>
      </c>
      <c r="J2472">
        <f t="shared" si="76"/>
        <v>708.65069999999992</v>
      </c>
      <c r="K2472" s="9">
        <f t="shared" si="77"/>
        <v>-0.33320977620583803</v>
      </c>
    </row>
    <row r="2473" spans="1:11" x14ac:dyDescent="0.3">
      <c r="A2473">
        <v>866</v>
      </c>
      <c r="B2473">
        <v>4</v>
      </c>
      <c r="C2473">
        <v>13</v>
      </c>
      <c r="D2473" t="str">
        <f>VLOOKUP($C2473,products!$A$1:$F$322,MATCH(order_items!$D$1,products!$A$1:$F$1,0),FALSE)</f>
        <v>Electra Cruiser 1 (24-Inch) - 2016</v>
      </c>
      <c r="E2473">
        <f>VLOOKUP($C2473,products!$A$1:$F$322,MATCH(order_items!$E$1,products!$A$1:$F$1,0),FALSE)</f>
        <v>3</v>
      </c>
      <c r="F2473" t="str">
        <f>VLOOKUP($E2473,categories!$A$1:$B$8,MATCH(order_items!$F$1,categories!$A$1:$B$1,0),FALSE)</f>
        <v>Cruisers Bicycles</v>
      </c>
      <c r="G2473">
        <v>2</v>
      </c>
      <c r="H2473">
        <v>269.99</v>
      </c>
      <c r="I2473" s="5">
        <v>7.0000000000000007E-2</v>
      </c>
      <c r="J2473">
        <f t="shared" si="76"/>
        <v>502.1814</v>
      </c>
      <c r="K2473" s="9">
        <f t="shared" si="77"/>
        <v>-0.69693888525532666</v>
      </c>
    </row>
    <row r="2474" spans="1:11" x14ac:dyDescent="0.3">
      <c r="A2474">
        <v>867</v>
      </c>
      <c r="B2474">
        <v>1</v>
      </c>
      <c r="C2474">
        <v>101</v>
      </c>
      <c r="D2474" t="str">
        <f>VLOOKUP($C2474,products!$A$1:$F$322,MATCH(order_items!$D$1,products!$A$1:$F$1,0),FALSE)</f>
        <v>Electra Townie 7D (20-inch) - Boys' - 2017</v>
      </c>
      <c r="E2474">
        <f>VLOOKUP($C2474,products!$A$1:$F$322,MATCH(order_items!$E$1,products!$A$1:$F$1,0),FALSE)</f>
        <v>1</v>
      </c>
      <c r="F2474" t="str">
        <f>VLOOKUP($E2474,categories!$A$1:$B$8,MATCH(order_items!$F$1,categories!$A$1:$B$1,0),FALSE)</f>
        <v>Children Bicycles</v>
      </c>
      <c r="G2474">
        <v>1</v>
      </c>
      <c r="H2474">
        <v>339.99</v>
      </c>
      <c r="I2474" s="5">
        <v>0.05</v>
      </c>
      <c r="J2474">
        <f t="shared" si="76"/>
        <v>322.9905</v>
      </c>
      <c r="K2474" s="9">
        <f t="shared" si="77"/>
        <v>-0.64518880876454576</v>
      </c>
    </row>
    <row r="2475" spans="1:11" x14ac:dyDescent="0.3">
      <c r="A2475">
        <v>868</v>
      </c>
      <c r="B2475">
        <v>1</v>
      </c>
      <c r="C2475">
        <v>46</v>
      </c>
      <c r="D2475" t="str">
        <f>VLOOKUP($C2475,products!$A$1:$F$322,MATCH(order_items!$D$1,products!$A$1:$F$1,0),FALSE)</f>
        <v>Haro SR 1.3 - 2017</v>
      </c>
      <c r="E2475">
        <f>VLOOKUP($C2475,products!$A$1:$F$322,MATCH(order_items!$E$1,products!$A$1:$F$1,0),FALSE)</f>
        <v>6</v>
      </c>
      <c r="F2475" t="str">
        <f>VLOOKUP($E2475,categories!$A$1:$B$8,MATCH(order_items!$F$1,categories!$A$1:$B$1,0),FALSE)</f>
        <v>Mountain Bikes</v>
      </c>
      <c r="G2475">
        <v>1</v>
      </c>
      <c r="H2475">
        <v>1409.99</v>
      </c>
      <c r="I2475" s="5">
        <v>7.0000000000000007E-2</v>
      </c>
      <c r="J2475">
        <f t="shared" si="76"/>
        <v>1311.2907</v>
      </c>
      <c r="K2475" s="9">
        <f t="shared" si="77"/>
        <v>0.14584807473739089</v>
      </c>
    </row>
    <row r="2476" spans="1:11" x14ac:dyDescent="0.3">
      <c r="A2476">
        <v>869</v>
      </c>
      <c r="B2476">
        <v>1</v>
      </c>
      <c r="C2476">
        <v>7</v>
      </c>
      <c r="D2476" t="str">
        <f>VLOOKUP($C2476,products!$A$1:$F$322,MATCH(order_items!$D$1,products!$A$1:$F$1,0),FALSE)</f>
        <v>Trek Slash 8 27.5 - 2016</v>
      </c>
      <c r="E2476">
        <f>VLOOKUP($C2476,products!$A$1:$F$322,MATCH(order_items!$E$1,products!$A$1:$F$1,0),FALSE)</f>
        <v>6</v>
      </c>
      <c r="F2476" t="str">
        <f>VLOOKUP($E2476,categories!$A$1:$B$8,MATCH(order_items!$F$1,categories!$A$1:$B$1,0),FALSE)</f>
        <v>Mountain Bikes</v>
      </c>
      <c r="G2476">
        <v>1</v>
      </c>
      <c r="H2476">
        <v>3999.99</v>
      </c>
      <c r="I2476" s="5">
        <v>0.2</v>
      </c>
      <c r="J2476">
        <f t="shared" si="76"/>
        <v>3199.9920000000002</v>
      </c>
      <c r="K2476" s="9">
        <f t="shared" si="77"/>
        <v>2.0606009048962846</v>
      </c>
    </row>
    <row r="2477" spans="1:11" x14ac:dyDescent="0.3">
      <c r="A2477">
        <v>869</v>
      </c>
      <c r="B2477">
        <v>2</v>
      </c>
      <c r="C2477">
        <v>106</v>
      </c>
      <c r="D2477" t="str">
        <f>VLOOKUP($C2477,products!$A$1:$F$322,MATCH(order_items!$D$1,products!$A$1:$F$1,0),FALSE)</f>
        <v>Sun Bicycles Cruz 3 - 2017</v>
      </c>
      <c r="E2477">
        <f>VLOOKUP($C2477,products!$A$1:$F$322,MATCH(order_items!$E$1,products!$A$1:$F$1,0),FALSE)</f>
        <v>2</v>
      </c>
      <c r="F2477" t="str">
        <f>VLOOKUP($E2477,categories!$A$1:$B$8,MATCH(order_items!$F$1,categories!$A$1:$B$1,0),FALSE)</f>
        <v>Comfort Bicycles</v>
      </c>
      <c r="G2477">
        <v>2</v>
      </c>
      <c r="H2477">
        <v>449.99</v>
      </c>
      <c r="I2477" s="5">
        <v>0.05</v>
      </c>
      <c r="J2477">
        <f t="shared" si="76"/>
        <v>854.98099999999999</v>
      </c>
      <c r="K2477" s="9">
        <f t="shared" si="77"/>
        <v>-0.56386725999331866</v>
      </c>
    </row>
    <row r="2478" spans="1:11" x14ac:dyDescent="0.3">
      <c r="A2478">
        <v>869</v>
      </c>
      <c r="B2478">
        <v>3</v>
      </c>
      <c r="C2478">
        <v>33</v>
      </c>
      <c r="D2478" t="str">
        <f>VLOOKUP($C2478,products!$A$1:$F$322,MATCH(order_items!$D$1,products!$A$1:$F$1,0),FALSE)</f>
        <v>Surly Wednesday Frameset - 2017</v>
      </c>
      <c r="E2478">
        <f>VLOOKUP($C2478,products!$A$1:$F$322,MATCH(order_items!$E$1,products!$A$1:$F$1,0),FALSE)</f>
        <v>6</v>
      </c>
      <c r="F2478" t="str">
        <f>VLOOKUP($E2478,categories!$A$1:$B$8,MATCH(order_items!$F$1,categories!$A$1:$B$1,0),FALSE)</f>
        <v>Mountain Bikes</v>
      </c>
      <c r="G2478">
        <v>1</v>
      </c>
      <c r="H2478">
        <v>469.99</v>
      </c>
      <c r="I2478" s="5">
        <v>0.05</v>
      </c>
      <c r="J2478">
        <f t="shared" si="76"/>
        <v>446.4905</v>
      </c>
      <c r="K2478" s="9">
        <f t="shared" si="77"/>
        <v>-0.5490815238530955</v>
      </c>
    </row>
    <row r="2479" spans="1:11" x14ac:dyDescent="0.3">
      <c r="A2479">
        <v>869</v>
      </c>
      <c r="B2479">
        <v>4</v>
      </c>
      <c r="C2479">
        <v>55</v>
      </c>
      <c r="D2479" t="str">
        <f>VLOOKUP($C2479,products!$A$1:$F$322,MATCH(order_items!$D$1,products!$A$1:$F$1,0),FALSE)</f>
        <v>Trek Domane S 6 - 2017</v>
      </c>
      <c r="E2479">
        <f>VLOOKUP($C2479,products!$A$1:$F$322,MATCH(order_items!$E$1,products!$A$1:$F$1,0),FALSE)</f>
        <v>7</v>
      </c>
      <c r="F2479" t="str">
        <f>VLOOKUP($E2479,categories!$A$1:$B$8,MATCH(order_items!$F$1,categories!$A$1:$B$1,0),FALSE)</f>
        <v>Road Bikes</v>
      </c>
      <c r="G2479">
        <v>2</v>
      </c>
      <c r="H2479">
        <v>2699.99</v>
      </c>
      <c r="I2479" s="5">
        <v>0.05</v>
      </c>
      <c r="J2479">
        <f t="shared" si="76"/>
        <v>5129.9809999999998</v>
      </c>
      <c r="K2479" s="9">
        <f t="shared" si="77"/>
        <v>1.0995280557817817</v>
      </c>
    </row>
    <row r="2480" spans="1:11" x14ac:dyDescent="0.3">
      <c r="A2480">
        <v>869</v>
      </c>
      <c r="B2480">
        <v>5</v>
      </c>
      <c r="C2480">
        <v>65</v>
      </c>
      <c r="D2480" t="str">
        <f>VLOOKUP($C2480,products!$A$1:$F$322,MATCH(order_items!$D$1,products!$A$1:$F$1,0),FALSE)</f>
        <v>Sun Bicycles Lil Bolt Type-R - 2017</v>
      </c>
      <c r="E2480">
        <f>VLOOKUP($C2480,products!$A$1:$F$322,MATCH(order_items!$E$1,products!$A$1:$F$1,0),FALSE)</f>
        <v>3</v>
      </c>
      <c r="F2480" t="str">
        <f>VLOOKUP($E2480,categories!$A$1:$B$8,MATCH(order_items!$F$1,categories!$A$1:$B$1,0),FALSE)</f>
        <v>Cruisers Bicycles</v>
      </c>
      <c r="G2480">
        <v>2</v>
      </c>
      <c r="H2480">
        <v>346.99</v>
      </c>
      <c r="I2480" s="5">
        <v>0.2</v>
      </c>
      <c r="J2480">
        <f t="shared" si="76"/>
        <v>555.18400000000008</v>
      </c>
      <c r="K2480" s="9">
        <f t="shared" si="77"/>
        <v>-0.64001380111546768</v>
      </c>
    </row>
    <row r="2481" spans="1:11" x14ac:dyDescent="0.3">
      <c r="A2481">
        <v>870</v>
      </c>
      <c r="B2481">
        <v>1</v>
      </c>
      <c r="C2481">
        <v>63</v>
      </c>
      <c r="D2481" t="str">
        <f>VLOOKUP($C2481,products!$A$1:$F$322,MATCH(order_items!$D$1,products!$A$1:$F$1,0),FALSE)</f>
        <v>Trek Boone Race Shop Limited - 2017</v>
      </c>
      <c r="E2481">
        <f>VLOOKUP($C2481,products!$A$1:$F$322,MATCH(order_items!$E$1,products!$A$1:$F$1,0),FALSE)</f>
        <v>4</v>
      </c>
      <c r="F2481" t="str">
        <f>VLOOKUP($E2481,categories!$A$1:$B$8,MATCH(order_items!$F$1,categories!$A$1:$B$1,0),FALSE)</f>
        <v>Cyclocross Bicycles</v>
      </c>
      <c r="G2481">
        <v>1</v>
      </c>
      <c r="H2481">
        <v>3499.99</v>
      </c>
      <c r="I2481" s="5">
        <v>7.0000000000000007E-2</v>
      </c>
      <c r="J2481">
        <f t="shared" si="76"/>
        <v>3254.9906999999994</v>
      </c>
      <c r="K2481" s="9">
        <f t="shared" si="77"/>
        <v>1.6909575013907066</v>
      </c>
    </row>
    <row r="2482" spans="1:11" x14ac:dyDescent="0.3">
      <c r="A2482">
        <v>871</v>
      </c>
      <c r="B2482">
        <v>1</v>
      </c>
      <c r="C2482">
        <v>106</v>
      </c>
      <c r="D2482" t="str">
        <f>VLOOKUP($C2482,products!$A$1:$F$322,MATCH(order_items!$D$1,products!$A$1:$F$1,0),FALSE)</f>
        <v>Sun Bicycles Cruz 3 - 2017</v>
      </c>
      <c r="E2482">
        <f>VLOOKUP($C2482,products!$A$1:$F$322,MATCH(order_items!$E$1,products!$A$1:$F$1,0),FALSE)</f>
        <v>2</v>
      </c>
      <c r="F2482" t="str">
        <f>VLOOKUP($E2482,categories!$A$1:$B$8,MATCH(order_items!$F$1,categories!$A$1:$B$1,0),FALSE)</f>
        <v>Comfort Bicycles</v>
      </c>
      <c r="G2482">
        <v>1</v>
      </c>
      <c r="H2482">
        <v>449.99</v>
      </c>
      <c r="I2482" s="5">
        <v>0.2</v>
      </c>
      <c r="J2482">
        <f t="shared" si="76"/>
        <v>359.99200000000002</v>
      </c>
      <c r="K2482" s="9">
        <f t="shared" si="77"/>
        <v>-0.56386725999331866</v>
      </c>
    </row>
    <row r="2483" spans="1:11" x14ac:dyDescent="0.3">
      <c r="A2483">
        <v>871</v>
      </c>
      <c r="B2483">
        <v>2</v>
      </c>
      <c r="C2483">
        <v>38</v>
      </c>
      <c r="D2483" t="str">
        <f>VLOOKUP($C2483,products!$A$1:$F$322,MATCH(order_items!$D$1,products!$A$1:$F$1,0),FALSE)</f>
        <v>Haro Flightline Two 26 Plus - 2017</v>
      </c>
      <c r="E2483">
        <f>VLOOKUP($C2483,products!$A$1:$F$322,MATCH(order_items!$E$1,products!$A$1:$F$1,0),FALSE)</f>
        <v>6</v>
      </c>
      <c r="F2483" t="str">
        <f>VLOOKUP($E2483,categories!$A$1:$B$8,MATCH(order_items!$F$1,categories!$A$1:$B$1,0),FALSE)</f>
        <v>Mountain Bikes</v>
      </c>
      <c r="G2483">
        <v>1</v>
      </c>
      <c r="H2483">
        <v>549.99</v>
      </c>
      <c r="I2483" s="5">
        <v>0.1</v>
      </c>
      <c r="J2483">
        <f t="shared" si="76"/>
        <v>494.99100000000004</v>
      </c>
      <c r="K2483" s="9">
        <f t="shared" si="77"/>
        <v>-0.48993857929220308</v>
      </c>
    </row>
    <row r="2484" spans="1:11" x14ac:dyDescent="0.3">
      <c r="A2484">
        <v>871</v>
      </c>
      <c r="B2484">
        <v>3</v>
      </c>
      <c r="C2484">
        <v>30</v>
      </c>
      <c r="D2484" t="str">
        <f>VLOOKUP($C2484,products!$A$1:$F$322,MATCH(order_items!$D$1,products!$A$1:$F$1,0),FALSE)</f>
        <v>Surly Ice Cream Truck Frameset - 2017</v>
      </c>
      <c r="E2484">
        <f>VLOOKUP($C2484,products!$A$1:$F$322,MATCH(order_items!$E$1,products!$A$1:$F$1,0),FALSE)</f>
        <v>6</v>
      </c>
      <c r="F2484" t="str">
        <f>VLOOKUP($E2484,categories!$A$1:$B$8,MATCH(order_items!$F$1,categories!$A$1:$B$1,0),FALSE)</f>
        <v>Mountain Bikes</v>
      </c>
      <c r="G2484">
        <v>2</v>
      </c>
      <c r="H2484">
        <v>999.99</v>
      </c>
      <c r="I2484" s="5">
        <v>0.2</v>
      </c>
      <c r="J2484">
        <f t="shared" si="76"/>
        <v>1599.9840000000002</v>
      </c>
      <c r="K2484" s="9">
        <f t="shared" si="77"/>
        <v>-0.15725951613718298</v>
      </c>
    </row>
    <row r="2485" spans="1:11" x14ac:dyDescent="0.3">
      <c r="A2485">
        <v>871</v>
      </c>
      <c r="B2485">
        <v>4</v>
      </c>
      <c r="C2485">
        <v>107</v>
      </c>
      <c r="D2485" t="str">
        <f>VLOOKUP($C2485,products!$A$1:$F$322,MATCH(order_items!$D$1,products!$A$1:$F$1,0),FALSE)</f>
        <v>Sun Bicycles Cruz 7 - 2017</v>
      </c>
      <c r="E2485">
        <f>VLOOKUP($C2485,products!$A$1:$F$322,MATCH(order_items!$E$1,products!$A$1:$F$1,0),FALSE)</f>
        <v>2</v>
      </c>
      <c r="F2485" t="str">
        <f>VLOOKUP($E2485,categories!$A$1:$B$8,MATCH(order_items!$F$1,categories!$A$1:$B$1,0),FALSE)</f>
        <v>Comfort Bicycles</v>
      </c>
      <c r="G2485">
        <v>2</v>
      </c>
      <c r="H2485">
        <v>416.99</v>
      </c>
      <c r="I2485" s="5">
        <v>0.05</v>
      </c>
      <c r="J2485">
        <f t="shared" si="76"/>
        <v>792.28099999999995</v>
      </c>
      <c r="K2485" s="9">
        <f t="shared" si="77"/>
        <v>-0.58826372462468679</v>
      </c>
    </row>
    <row r="2486" spans="1:11" x14ac:dyDescent="0.3">
      <c r="A2486">
        <v>872</v>
      </c>
      <c r="B2486">
        <v>1</v>
      </c>
      <c r="C2486">
        <v>62</v>
      </c>
      <c r="D2486" t="str">
        <f>VLOOKUP($C2486,products!$A$1:$F$322,MATCH(order_items!$D$1,products!$A$1:$F$1,0),FALSE)</f>
        <v>Trek Boone 7 - 2017</v>
      </c>
      <c r="E2486">
        <f>VLOOKUP($C2486,products!$A$1:$F$322,MATCH(order_items!$E$1,products!$A$1:$F$1,0),FALSE)</f>
        <v>4</v>
      </c>
      <c r="F2486" t="str">
        <f>VLOOKUP($E2486,categories!$A$1:$B$8,MATCH(order_items!$F$1,categories!$A$1:$B$1,0),FALSE)</f>
        <v>Cyclocross Bicycles</v>
      </c>
      <c r="G2486">
        <v>2</v>
      </c>
      <c r="H2486">
        <v>3499.99</v>
      </c>
      <c r="I2486" s="5">
        <v>7.0000000000000007E-2</v>
      </c>
      <c r="J2486">
        <f t="shared" si="76"/>
        <v>6509.9813999999988</v>
      </c>
      <c r="K2486" s="9">
        <f t="shared" si="77"/>
        <v>1.6909575013907066</v>
      </c>
    </row>
    <row r="2487" spans="1:11" x14ac:dyDescent="0.3">
      <c r="A2487">
        <v>872</v>
      </c>
      <c r="B2487">
        <v>2</v>
      </c>
      <c r="C2487">
        <v>53</v>
      </c>
      <c r="D2487" t="str">
        <f>VLOOKUP($C2487,products!$A$1:$F$322,MATCH(order_items!$D$1,products!$A$1:$F$1,0),FALSE)</f>
        <v>Surly Ogre Frameset - 2017</v>
      </c>
      <c r="E2487">
        <f>VLOOKUP($C2487,products!$A$1:$F$322,MATCH(order_items!$E$1,products!$A$1:$F$1,0),FALSE)</f>
        <v>7</v>
      </c>
      <c r="F2487" t="str">
        <f>VLOOKUP($E2487,categories!$A$1:$B$8,MATCH(order_items!$F$1,categories!$A$1:$B$1,0),FALSE)</f>
        <v>Road Bikes</v>
      </c>
      <c r="G2487">
        <v>1</v>
      </c>
      <c r="H2487">
        <v>749.99</v>
      </c>
      <c r="I2487" s="5">
        <v>0.1</v>
      </c>
      <c r="J2487">
        <f t="shared" si="76"/>
        <v>674.99099999999999</v>
      </c>
      <c r="K2487" s="9">
        <f t="shared" si="77"/>
        <v>-0.34208121788997192</v>
      </c>
    </row>
    <row r="2488" spans="1:11" x14ac:dyDescent="0.3">
      <c r="A2488">
        <v>873</v>
      </c>
      <c r="B2488">
        <v>1</v>
      </c>
      <c r="C2488">
        <v>32</v>
      </c>
      <c r="D2488" t="str">
        <f>VLOOKUP($C2488,products!$A$1:$F$322,MATCH(order_items!$D$1,products!$A$1:$F$1,0),FALSE)</f>
        <v>Trek Farley Alloy Frameset - 2017</v>
      </c>
      <c r="E2488">
        <f>VLOOKUP($C2488,products!$A$1:$F$322,MATCH(order_items!$E$1,products!$A$1:$F$1,0),FALSE)</f>
        <v>6</v>
      </c>
      <c r="F2488" t="str">
        <f>VLOOKUP($E2488,categories!$A$1:$B$8,MATCH(order_items!$F$1,categories!$A$1:$B$1,0),FALSE)</f>
        <v>Mountain Bikes</v>
      </c>
      <c r="G2488">
        <v>2</v>
      </c>
      <c r="H2488">
        <v>469.99</v>
      </c>
      <c r="I2488" s="5">
        <v>0.1</v>
      </c>
      <c r="J2488">
        <f t="shared" si="76"/>
        <v>845.98200000000008</v>
      </c>
      <c r="K2488" s="9">
        <f t="shared" si="77"/>
        <v>-0.5490815238530955</v>
      </c>
    </row>
    <row r="2489" spans="1:11" x14ac:dyDescent="0.3">
      <c r="A2489">
        <v>874</v>
      </c>
      <c r="B2489">
        <v>1</v>
      </c>
      <c r="C2489">
        <v>56</v>
      </c>
      <c r="D2489" t="str">
        <f>VLOOKUP($C2489,products!$A$1:$F$322,MATCH(order_items!$D$1,products!$A$1:$F$1,0),FALSE)</f>
        <v>Trek Domane SLR 6 Disc - 2017</v>
      </c>
      <c r="E2489">
        <f>VLOOKUP($C2489,products!$A$1:$F$322,MATCH(order_items!$E$1,products!$A$1:$F$1,0),FALSE)</f>
        <v>7</v>
      </c>
      <c r="F2489" t="str">
        <f>VLOOKUP($E2489,categories!$A$1:$B$8,MATCH(order_items!$F$1,categories!$A$1:$B$1,0),FALSE)</f>
        <v>Road Bikes</v>
      </c>
      <c r="G2489">
        <v>1</v>
      </c>
      <c r="H2489">
        <v>5499.99</v>
      </c>
      <c r="I2489" s="5">
        <v>0.05</v>
      </c>
      <c r="J2489">
        <f t="shared" si="76"/>
        <v>5224.9904999999999</v>
      </c>
      <c r="K2489" s="9">
        <f t="shared" si="77"/>
        <v>3.1695311154130179</v>
      </c>
    </row>
    <row r="2490" spans="1:11" x14ac:dyDescent="0.3">
      <c r="A2490">
        <v>874</v>
      </c>
      <c r="B2490">
        <v>2</v>
      </c>
      <c r="C2490">
        <v>27</v>
      </c>
      <c r="D2490" t="str">
        <f>VLOOKUP($C2490,products!$A$1:$F$322,MATCH(order_items!$D$1,products!$A$1:$F$1,0),FALSE)</f>
        <v>Surly Big Dummy Frameset - 2017</v>
      </c>
      <c r="E2490">
        <f>VLOOKUP($C2490,products!$A$1:$F$322,MATCH(order_items!$E$1,products!$A$1:$F$1,0),FALSE)</f>
        <v>6</v>
      </c>
      <c r="F2490" t="str">
        <f>VLOOKUP($E2490,categories!$A$1:$B$8,MATCH(order_items!$F$1,categories!$A$1:$B$1,0),FALSE)</f>
        <v>Mountain Bikes</v>
      </c>
      <c r="G2490">
        <v>2</v>
      </c>
      <c r="H2490">
        <v>999.99</v>
      </c>
      <c r="I2490" s="5">
        <v>0.05</v>
      </c>
      <c r="J2490">
        <f t="shared" si="76"/>
        <v>1899.981</v>
      </c>
      <c r="K2490" s="9">
        <f t="shared" si="77"/>
        <v>-0.15725951613718298</v>
      </c>
    </row>
    <row r="2491" spans="1:11" x14ac:dyDescent="0.3">
      <c r="A2491">
        <v>874</v>
      </c>
      <c r="B2491">
        <v>3</v>
      </c>
      <c r="C2491">
        <v>73</v>
      </c>
      <c r="D2491" t="str">
        <f>VLOOKUP($C2491,products!$A$1:$F$322,MATCH(order_items!$D$1,products!$A$1:$F$1,0),FALSE)</f>
        <v>Sun Bicycles Brickell Tandem 7 - 2017</v>
      </c>
      <c r="E2491">
        <f>VLOOKUP($C2491,products!$A$1:$F$322,MATCH(order_items!$E$1,products!$A$1:$F$1,0),FALSE)</f>
        <v>3</v>
      </c>
      <c r="F2491" t="str">
        <f>VLOOKUP($E2491,categories!$A$1:$B$8,MATCH(order_items!$F$1,categories!$A$1:$B$1,0),FALSE)</f>
        <v>Cruisers Bicycles</v>
      </c>
      <c r="G2491">
        <v>1</v>
      </c>
      <c r="H2491">
        <v>749.99</v>
      </c>
      <c r="I2491" s="5">
        <v>0.1</v>
      </c>
      <c r="J2491">
        <f t="shared" si="76"/>
        <v>674.99099999999999</v>
      </c>
      <c r="K2491" s="9">
        <f t="shared" si="77"/>
        <v>-0.34208121788997192</v>
      </c>
    </row>
    <row r="2492" spans="1:11" x14ac:dyDescent="0.3">
      <c r="A2492">
        <v>874</v>
      </c>
      <c r="B2492">
        <v>4</v>
      </c>
      <c r="C2492">
        <v>77</v>
      </c>
      <c r="D2492" t="str">
        <f>VLOOKUP($C2492,products!$A$1:$F$322,MATCH(order_items!$D$1,products!$A$1:$F$1,0),FALSE)</f>
        <v>Electra Glam Punk 3i Ladies' - 2017</v>
      </c>
      <c r="E2492">
        <f>VLOOKUP($C2492,products!$A$1:$F$322,MATCH(order_items!$E$1,products!$A$1:$F$1,0),FALSE)</f>
        <v>3</v>
      </c>
      <c r="F2492" t="str">
        <f>VLOOKUP($E2492,categories!$A$1:$B$8,MATCH(order_items!$F$1,categories!$A$1:$B$1,0),FALSE)</f>
        <v>Cruisers Bicycles</v>
      </c>
      <c r="G2492">
        <v>2</v>
      </c>
      <c r="H2492">
        <v>799.99</v>
      </c>
      <c r="I2492" s="5">
        <v>7.0000000000000007E-2</v>
      </c>
      <c r="J2492">
        <f t="shared" si="76"/>
        <v>1487.9813999999999</v>
      </c>
      <c r="K2492" s="9">
        <f t="shared" si="77"/>
        <v>-0.30511687753941413</v>
      </c>
    </row>
    <row r="2493" spans="1:11" x14ac:dyDescent="0.3">
      <c r="A2493">
        <v>875</v>
      </c>
      <c r="B2493">
        <v>1</v>
      </c>
      <c r="C2493">
        <v>5</v>
      </c>
      <c r="D2493" t="str">
        <f>VLOOKUP($C2493,products!$A$1:$F$322,MATCH(order_items!$D$1,products!$A$1:$F$1,0),FALSE)</f>
        <v>Heller Shagamaw Frame - 2016</v>
      </c>
      <c r="E2493">
        <f>VLOOKUP($C2493,products!$A$1:$F$322,MATCH(order_items!$E$1,products!$A$1:$F$1,0),FALSE)</f>
        <v>6</v>
      </c>
      <c r="F2493" t="str">
        <f>VLOOKUP($E2493,categories!$A$1:$B$8,MATCH(order_items!$F$1,categories!$A$1:$B$1,0),FALSE)</f>
        <v>Mountain Bikes</v>
      </c>
      <c r="G2493">
        <v>2</v>
      </c>
      <c r="H2493">
        <v>1320.99</v>
      </c>
      <c r="I2493" s="5">
        <v>0.1</v>
      </c>
      <c r="J2493">
        <f t="shared" si="76"/>
        <v>2377.7820000000002</v>
      </c>
      <c r="K2493" s="9">
        <f t="shared" si="77"/>
        <v>8.0051548913398024E-2</v>
      </c>
    </row>
    <row r="2494" spans="1:11" x14ac:dyDescent="0.3">
      <c r="A2494">
        <v>875</v>
      </c>
      <c r="B2494">
        <v>2</v>
      </c>
      <c r="C2494">
        <v>15</v>
      </c>
      <c r="D2494" t="str">
        <f>VLOOKUP($C2494,products!$A$1:$F$322,MATCH(order_items!$D$1,products!$A$1:$F$1,0),FALSE)</f>
        <v>Electra Moto 1 - 2016</v>
      </c>
      <c r="E2494">
        <f>VLOOKUP($C2494,products!$A$1:$F$322,MATCH(order_items!$E$1,products!$A$1:$F$1,0),FALSE)</f>
        <v>3</v>
      </c>
      <c r="F2494" t="str">
        <f>VLOOKUP($E2494,categories!$A$1:$B$8,MATCH(order_items!$F$1,categories!$A$1:$B$1,0),FALSE)</f>
        <v>Cruisers Bicycles</v>
      </c>
      <c r="G2494">
        <v>2</v>
      </c>
      <c r="H2494">
        <v>529.99</v>
      </c>
      <c r="I2494" s="5">
        <v>0.05</v>
      </c>
      <c r="J2494">
        <f t="shared" si="76"/>
        <v>1006.981</v>
      </c>
      <c r="K2494" s="9">
        <f t="shared" si="77"/>
        <v>-0.50472431543242624</v>
      </c>
    </row>
    <row r="2495" spans="1:11" x14ac:dyDescent="0.3">
      <c r="A2495">
        <v>875</v>
      </c>
      <c r="B2495">
        <v>3</v>
      </c>
      <c r="C2495">
        <v>14</v>
      </c>
      <c r="D2495" t="str">
        <f>VLOOKUP($C2495,products!$A$1:$F$322,MATCH(order_items!$D$1,products!$A$1:$F$1,0),FALSE)</f>
        <v>Electra Girl's Hawaii 1 (16-inch) - 2015/2016</v>
      </c>
      <c r="E2495">
        <f>VLOOKUP($C2495,products!$A$1:$F$322,MATCH(order_items!$E$1,products!$A$1:$F$1,0),FALSE)</f>
        <v>3</v>
      </c>
      <c r="F2495" t="str">
        <f>VLOOKUP($E2495,categories!$A$1:$B$8,MATCH(order_items!$F$1,categories!$A$1:$B$1,0),FALSE)</f>
        <v>Cruisers Bicycles</v>
      </c>
      <c r="G2495">
        <v>1</v>
      </c>
      <c r="H2495">
        <v>269.99</v>
      </c>
      <c r="I2495" s="5">
        <v>7.0000000000000007E-2</v>
      </c>
      <c r="J2495">
        <f t="shared" si="76"/>
        <v>251.0907</v>
      </c>
      <c r="K2495" s="9">
        <f t="shared" si="77"/>
        <v>-0.69693888525532666</v>
      </c>
    </row>
    <row r="2496" spans="1:11" x14ac:dyDescent="0.3">
      <c r="A2496">
        <v>875</v>
      </c>
      <c r="B2496">
        <v>4</v>
      </c>
      <c r="C2496">
        <v>111</v>
      </c>
      <c r="D2496" t="str">
        <f>VLOOKUP($C2496,products!$A$1:$F$322,MATCH(order_items!$D$1,products!$A$1:$F$1,0),FALSE)</f>
        <v>Sun Bicycles Drifter 7 - Women's - 2017</v>
      </c>
      <c r="E2496">
        <f>VLOOKUP($C2496,products!$A$1:$F$322,MATCH(order_items!$E$1,products!$A$1:$F$1,0),FALSE)</f>
        <v>2</v>
      </c>
      <c r="F2496" t="str">
        <f>VLOOKUP($E2496,categories!$A$1:$B$8,MATCH(order_items!$F$1,categories!$A$1:$B$1,0),FALSE)</f>
        <v>Comfort Bicycles</v>
      </c>
      <c r="G2496">
        <v>1</v>
      </c>
      <c r="H2496">
        <v>470.99</v>
      </c>
      <c r="I2496" s="5">
        <v>0.2</v>
      </c>
      <c r="J2496">
        <f t="shared" si="76"/>
        <v>376.79200000000003</v>
      </c>
      <c r="K2496" s="9">
        <f t="shared" si="77"/>
        <v>-0.54834223704608442</v>
      </c>
    </row>
    <row r="2497" spans="1:11" x14ac:dyDescent="0.3">
      <c r="A2497">
        <v>876</v>
      </c>
      <c r="B2497">
        <v>1</v>
      </c>
      <c r="C2497">
        <v>17</v>
      </c>
      <c r="D2497" t="str">
        <f>VLOOKUP($C2497,products!$A$1:$F$322,MATCH(order_items!$D$1,products!$A$1:$F$1,0),FALSE)</f>
        <v>Pure Cycles Vine 8-Speed - 2016</v>
      </c>
      <c r="E2497">
        <f>VLOOKUP($C2497,products!$A$1:$F$322,MATCH(order_items!$E$1,products!$A$1:$F$1,0),FALSE)</f>
        <v>3</v>
      </c>
      <c r="F2497" t="str">
        <f>VLOOKUP($E2497,categories!$A$1:$B$8,MATCH(order_items!$F$1,categories!$A$1:$B$1,0),FALSE)</f>
        <v>Cruisers Bicycles</v>
      </c>
      <c r="G2497">
        <v>2</v>
      </c>
      <c r="H2497">
        <v>429</v>
      </c>
      <c r="I2497" s="5">
        <v>0.2</v>
      </c>
      <c r="J2497">
        <f t="shared" si="76"/>
        <v>686.40000000000009</v>
      </c>
      <c r="K2497" s="9">
        <f t="shared" si="77"/>
        <v>-0.57938489007248284</v>
      </c>
    </row>
    <row r="2498" spans="1:11" x14ac:dyDescent="0.3">
      <c r="A2498">
        <v>876</v>
      </c>
      <c r="B2498">
        <v>2</v>
      </c>
      <c r="C2498">
        <v>66</v>
      </c>
      <c r="D2498" t="str">
        <f>VLOOKUP($C2498,products!$A$1:$F$322,MATCH(order_items!$D$1,products!$A$1:$F$1,0),FALSE)</f>
        <v>Sun Bicycles Revolutions 24 - 2017</v>
      </c>
      <c r="E2498">
        <f>VLOOKUP($C2498,products!$A$1:$F$322,MATCH(order_items!$E$1,products!$A$1:$F$1,0),FALSE)</f>
        <v>3</v>
      </c>
      <c r="F2498" t="str">
        <f>VLOOKUP($E2498,categories!$A$1:$B$8,MATCH(order_items!$F$1,categories!$A$1:$B$1,0),FALSE)</f>
        <v>Cruisers Bicycles</v>
      </c>
      <c r="G2498">
        <v>2</v>
      </c>
      <c r="H2498">
        <v>250.99</v>
      </c>
      <c r="I2498" s="5">
        <v>0.2</v>
      </c>
      <c r="J2498">
        <f t="shared" ref="J2498:J2561" si="78">G2498*H2498*(1-I2498)</f>
        <v>401.58400000000006</v>
      </c>
      <c r="K2498" s="9">
        <f t="shared" ref="K2498:K2561" si="79">($H2498-$M$7)/$M$9</f>
        <v>-0.71098533458853863</v>
      </c>
    </row>
    <row r="2499" spans="1:11" x14ac:dyDescent="0.3">
      <c r="A2499">
        <v>876</v>
      </c>
      <c r="B2499">
        <v>3</v>
      </c>
      <c r="C2499">
        <v>96</v>
      </c>
      <c r="D2499" t="str">
        <f>VLOOKUP($C2499,products!$A$1:$F$322,MATCH(order_items!$D$1,products!$A$1:$F$1,0),FALSE)</f>
        <v>Electra Moto 3i (20-inch) - Boy's - 2017</v>
      </c>
      <c r="E2499">
        <f>VLOOKUP($C2499,products!$A$1:$F$322,MATCH(order_items!$E$1,products!$A$1:$F$1,0),FALSE)</f>
        <v>1</v>
      </c>
      <c r="F2499" t="str">
        <f>VLOOKUP($E2499,categories!$A$1:$B$8,MATCH(order_items!$F$1,categories!$A$1:$B$1,0),FALSE)</f>
        <v>Children Bicycles</v>
      </c>
      <c r="G2499">
        <v>1</v>
      </c>
      <c r="H2499">
        <v>349.99</v>
      </c>
      <c r="I2499" s="5">
        <v>7.0000000000000007E-2</v>
      </c>
      <c r="J2499">
        <f t="shared" si="78"/>
        <v>325.4907</v>
      </c>
      <c r="K2499" s="9">
        <f t="shared" si="79"/>
        <v>-0.63779594069443424</v>
      </c>
    </row>
    <row r="2500" spans="1:11" x14ac:dyDescent="0.3">
      <c r="A2500">
        <v>876</v>
      </c>
      <c r="B2500">
        <v>4</v>
      </c>
      <c r="C2500">
        <v>107</v>
      </c>
      <c r="D2500" t="str">
        <f>VLOOKUP($C2500,products!$A$1:$F$322,MATCH(order_items!$D$1,products!$A$1:$F$1,0),FALSE)</f>
        <v>Sun Bicycles Cruz 7 - 2017</v>
      </c>
      <c r="E2500">
        <f>VLOOKUP($C2500,products!$A$1:$F$322,MATCH(order_items!$E$1,products!$A$1:$F$1,0),FALSE)</f>
        <v>2</v>
      </c>
      <c r="F2500" t="str">
        <f>VLOOKUP($E2500,categories!$A$1:$B$8,MATCH(order_items!$F$1,categories!$A$1:$B$1,0),FALSE)</f>
        <v>Comfort Bicycles</v>
      </c>
      <c r="G2500">
        <v>2</v>
      </c>
      <c r="H2500">
        <v>416.99</v>
      </c>
      <c r="I2500" s="5">
        <v>0.05</v>
      </c>
      <c r="J2500">
        <f t="shared" si="78"/>
        <v>792.28099999999995</v>
      </c>
      <c r="K2500" s="9">
        <f t="shared" si="79"/>
        <v>-0.58826372462468679</v>
      </c>
    </row>
    <row r="2501" spans="1:11" x14ac:dyDescent="0.3">
      <c r="A2501">
        <v>877</v>
      </c>
      <c r="B2501">
        <v>1</v>
      </c>
      <c r="C2501">
        <v>73</v>
      </c>
      <c r="D2501" t="str">
        <f>VLOOKUP($C2501,products!$A$1:$F$322,MATCH(order_items!$D$1,products!$A$1:$F$1,0),FALSE)</f>
        <v>Sun Bicycles Brickell Tandem 7 - 2017</v>
      </c>
      <c r="E2501">
        <f>VLOOKUP($C2501,products!$A$1:$F$322,MATCH(order_items!$E$1,products!$A$1:$F$1,0),FALSE)</f>
        <v>3</v>
      </c>
      <c r="F2501" t="str">
        <f>VLOOKUP($E2501,categories!$A$1:$B$8,MATCH(order_items!$F$1,categories!$A$1:$B$1,0),FALSE)</f>
        <v>Cruisers Bicycles</v>
      </c>
      <c r="G2501">
        <v>1</v>
      </c>
      <c r="H2501">
        <v>749.99</v>
      </c>
      <c r="I2501" s="5">
        <v>7.0000000000000007E-2</v>
      </c>
      <c r="J2501">
        <f t="shared" si="78"/>
        <v>697.49069999999995</v>
      </c>
      <c r="K2501" s="9">
        <f t="shared" si="79"/>
        <v>-0.34208121788997192</v>
      </c>
    </row>
    <row r="2502" spans="1:11" x14ac:dyDescent="0.3">
      <c r="A2502">
        <v>877</v>
      </c>
      <c r="B2502">
        <v>2</v>
      </c>
      <c r="C2502">
        <v>103</v>
      </c>
      <c r="D2502" t="str">
        <f>VLOOKUP($C2502,products!$A$1:$F$322,MATCH(order_items!$D$1,products!$A$1:$F$1,0),FALSE)</f>
        <v>Sun Bicycles Streamway 3 - 2017</v>
      </c>
      <c r="E2502">
        <f>VLOOKUP($C2502,products!$A$1:$F$322,MATCH(order_items!$E$1,products!$A$1:$F$1,0),FALSE)</f>
        <v>2</v>
      </c>
      <c r="F2502" t="str">
        <f>VLOOKUP($E2502,categories!$A$1:$B$8,MATCH(order_items!$F$1,categories!$A$1:$B$1,0),FALSE)</f>
        <v>Comfort Bicycles</v>
      </c>
      <c r="G2502">
        <v>1</v>
      </c>
      <c r="H2502">
        <v>551.99</v>
      </c>
      <c r="I2502" s="5">
        <v>0.1</v>
      </c>
      <c r="J2502">
        <f t="shared" si="78"/>
        <v>496.791</v>
      </c>
      <c r="K2502" s="9">
        <f t="shared" si="79"/>
        <v>-0.48846000567818076</v>
      </c>
    </row>
    <row r="2503" spans="1:11" x14ac:dyDescent="0.3">
      <c r="A2503">
        <v>878</v>
      </c>
      <c r="B2503">
        <v>1</v>
      </c>
      <c r="C2503">
        <v>103</v>
      </c>
      <c r="D2503" t="str">
        <f>VLOOKUP($C2503,products!$A$1:$F$322,MATCH(order_items!$D$1,products!$A$1:$F$1,0),FALSE)</f>
        <v>Sun Bicycles Streamway 3 - 2017</v>
      </c>
      <c r="E2503">
        <f>VLOOKUP($C2503,products!$A$1:$F$322,MATCH(order_items!$E$1,products!$A$1:$F$1,0),FALSE)</f>
        <v>2</v>
      </c>
      <c r="F2503" t="str">
        <f>VLOOKUP($E2503,categories!$A$1:$B$8,MATCH(order_items!$F$1,categories!$A$1:$B$1,0),FALSE)</f>
        <v>Comfort Bicycles</v>
      </c>
      <c r="G2503">
        <v>1</v>
      </c>
      <c r="H2503">
        <v>551.99</v>
      </c>
      <c r="I2503" s="5">
        <v>0.2</v>
      </c>
      <c r="J2503">
        <f t="shared" si="78"/>
        <v>441.59200000000004</v>
      </c>
      <c r="K2503" s="9">
        <f t="shared" si="79"/>
        <v>-0.48846000567818076</v>
      </c>
    </row>
    <row r="2504" spans="1:11" x14ac:dyDescent="0.3">
      <c r="A2504">
        <v>878</v>
      </c>
      <c r="B2504">
        <v>2</v>
      </c>
      <c r="C2504">
        <v>13</v>
      </c>
      <c r="D2504" t="str">
        <f>VLOOKUP($C2504,products!$A$1:$F$322,MATCH(order_items!$D$1,products!$A$1:$F$1,0),FALSE)</f>
        <v>Electra Cruiser 1 (24-Inch) - 2016</v>
      </c>
      <c r="E2504">
        <f>VLOOKUP($C2504,products!$A$1:$F$322,MATCH(order_items!$E$1,products!$A$1:$F$1,0),FALSE)</f>
        <v>3</v>
      </c>
      <c r="F2504" t="str">
        <f>VLOOKUP($E2504,categories!$A$1:$B$8,MATCH(order_items!$F$1,categories!$A$1:$B$1,0),FALSE)</f>
        <v>Cruisers Bicycles</v>
      </c>
      <c r="G2504">
        <v>1</v>
      </c>
      <c r="H2504">
        <v>269.99</v>
      </c>
      <c r="I2504" s="5">
        <v>0.1</v>
      </c>
      <c r="J2504">
        <f t="shared" si="78"/>
        <v>242.99100000000001</v>
      </c>
      <c r="K2504" s="9">
        <f t="shared" si="79"/>
        <v>-0.69693888525532666</v>
      </c>
    </row>
    <row r="2505" spans="1:11" x14ac:dyDescent="0.3">
      <c r="A2505">
        <v>878</v>
      </c>
      <c r="B2505">
        <v>3</v>
      </c>
      <c r="C2505">
        <v>6</v>
      </c>
      <c r="D2505" t="str">
        <f>VLOOKUP($C2505,products!$A$1:$F$322,MATCH(order_items!$D$1,products!$A$1:$F$1,0),FALSE)</f>
        <v>Surly Ice Cream Truck Frameset - 2016</v>
      </c>
      <c r="E2505">
        <f>VLOOKUP($C2505,products!$A$1:$F$322,MATCH(order_items!$E$1,products!$A$1:$F$1,0),FALSE)</f>
        <v>6</v>
      </c>
      <c r="F2505" t="str">
        <f>VLOOKUP($E2505,categories!$A$1:$B$8,MATCH(order_items!$F$1,categories!$A$1:$B$1,0),FALSE)</f>
        <v>Mountain Bikes</v>
      </c>
      <c r="G2505">
        <v>2</v>
      </c>
      <c r="H2505">
        <v>469.99</v>
      </c>
      <c r="I2505" s="5">
        <v>0.2</v>
      </c>
      <c r="J2505">
        <f t="shared" si="78"/>
        <v>751.98400000000004</v>
      </c>
      <c r="K2505" s="9">
        <f t="shared" si="79"/>
        <v>-0.5490815238530955</v>
      </c>
    </row>
    <row r="2506" spans="1:11" x14ac:dyDescent="0.3">
      <c r="A2506">
        <v>878</v>
      </c>
      <c r="B2506">
        <v>4</v>
      </c>
      <c r="C2506">
        <v>18</v>
      </c>
      <c r="D2506" t="str">
        <f>VLOOKUP($C2506,products!$A$1:$F$322,MATCH(order_items!$D$1,products!$A$1:$F$1,0),FALSE)</f>
        <v>Pure Cycles Western 3-Speed - Women's - 2015/2016</v>
      </c>
      <c r="E2506">
        <f>VLOOKUP($C2506,products!$A$1:$F$322,MATCH(order_items!$E$1,products!$A$1:$F$1,0),FALSE)</f>
        <v>3</v>
      </c>
      <c r="F2506" t="str">
        <f>VLOOKUP($E2506,categories!$A$1:$B$8,MATCH(order_items!$F$1,categories!$A$1:$B$1,0),FALSE)</f>
        <v>Cruisers Bicycles</v>
      </c>
      <c r="G2506">
        <v>2</v>
      </c>
      <c r="H2506">
        <v>449</v>
      </c>
      <c r="I2506" s="5">
        <v>0.05</v>
      </c>
      <c r="J2506">
        <f t="shared" si="78"/>
        <v>853.09999999999991</v>
      </c>
      <c r="K2506" s="9">
        <f t="shared" si="79"/>
        <v>-0.56459915393225968</v>
      </c>
    </row>
    <row r="2507" spans="1:11" x14ac:dyDescent="0.3">
      <c r="A2507">
        <v>879</v>
      </c>
      <c r="B2507">
        <v>1</v>
      </c>
      <c r="C2507">
        <v>100</v>
      </c>
      <c r="D2507" t="str">
        <f>VLOOKUP($C2507,products!$A$1:$F$322,MATCH(order_items!$D$1,products!$A$1:$F$1,0),FALSE)</f>
        <v>Electra Townie 3i EQ (20-inch) - Boys' - 2017</v>
      </c>
      <c r="E2507">
        <f>VLOOKUP($C2507,products!$A$1:$F$322,MATCH(order_items!$E$1,products!$A$1:$F$1,0),FALSE)</f>
        <v>1</v>
      </c>
      <c r="F2507" t="str">
        <f>VLOOKUP($E2507,categories!$A$1:$B$8,MATCH(order_items!$F$1,categories!$A$1:$B$1,0),FALSE)</f>
        <v>Children Bicycles</v>
      </c>
      <c r="G2507">
        <v>2</v>
      </c>
      <c r="H2507">
        <v>489.99</v>
      </c>
      <c r="I2507" s="5">
        <v>0.2</v>
      </c>
      <c r="J2507">
        <f t="shared" si="78"/>
        <v>783.98400000000004</v>
      </c>
      <c r="K2507" s="9">
        <f t="shared" si="79"/>
        <v>-0.53429578771287245</v>
      </c>
    </row>
    <row r="2508" spans="1:11" x14ac:dyDescent="0.3">
      <c r="A2508">
        <v>879</v>
      </c>
      <c r="B2508">
        <v>2</v>
      </c>
      <c r="C2508">
        <v>2</v>
      </c>
      <c r="D2508" t="str">
        <f>VLOOKUP($C2508,products!$A$1:$F$322,MATCH(order_items!$D$1,products!$A$1:$F$1,0),FALSE)</f>
        <v>Ritchey Timberwolf Frameset - 2016</v>
      </c>
      <c r="E2508">
        <f>VLOOKUP($C2508,products!$A$1:$F$322,MATCH(order_items!$E$1,products!$A$1:$F$1,0),FALSE)</f>
        <v>6</v>
      </c>
      <c r="F2508" t="str">
        <f>VLOOKUP($E2508,categories!$A$1:$B$8,MATCH(order_items!$F$1,categories!$A$1:$B$1,0),FALSE)</f>
        <v>Mountain Bikes</v>
      </c>
      <c r="G2508">
        <v>2</v>
      </c>
      <c r="H2508">
        <v>749.99</v>
      </c>
      <c r="I2508" s="5">
        <v>7.0000000000000007E-2</v>
      </c>
      <c r="J2508">
        <f t="shared" si="78"/>
        <v>1394.9813999999999</v>
      </c>
      <c r="K2508" s="9">
        <f t="shared" si="79"/>
        <v>-0.34208121788997192</v>
      </c>
    </row>
    <row r="2509" spans="1:11" x14ac:dyDescent="0.3">
      <c r="A2509">
        <v>879</v>
      </c>
      <c r="B2509">
        <v>3</v>
      </c>
      <c r="C2509">
        <v>83</v>
      </c>
      <c r="D2509" t="str">
        <f>VLOOKUP($C2509,products!$A$1:$F$322,MATCH(order_items!$D$1,products!$A$1:$F$1,0),FALSE)</f>
        <v>Trek Boy's Kickster - 2015/2017</v>
      </c>
      <c r="E2509">
        <f>VLOOKUP($C2509,products!$A$1:$F$322,MATCH(order_items!$E$1,products!$A$1:$F$1,0),FALSE)</f>
        <v>1</v>
      </c>
      <c r="F2509" t="str">
        <f>VLOOKUP($E2509,categories!$A$1:$B$8,MATCH(order_items!$F$1,categories!$A$1:$B$1,0),FALSE)</f>
        <v>Children Bicycles</v>
      </c>
      <c r="G2509">
        <v>2</v>
      </c>
      <c r="H2509">
        <v>149.99</v>
      </c>
      <c r="I2509" s="5">
        <v>0.2</v>
      </c>
      <c r="J2509">
        <f t="shared" si="78"/>
        <v>239.98400000000004</v>
      </c>
      <c r="K2509" s="9">
        <f t="shared" si="79"/>
        <v>-0.7856533020966654</v>
      </c>
    </row>
    <row r="2510" spans="1:11" x14ac:dyDescent="0.3">
      <c r="A2510">
        <v>879</v>
      </c>
      <c r="B2510">
        <v>4</v>
      </c>
      <c r="C2510">
        <v>82</v>
      </c>
      <c r="D2510" t="str">
        <f>VLOOKUP($C2510,products!$A$1:$F$322,MATCH(order_items!$D$1,products!$A$1:$F$1,0),FALSE)</f>
        <v>Electra Amsterdam Original 3i Ladies' - 2017</v>
      </c>
      <c r="E2510">
        <f>VLOOKUP($C2510,products!$A$1:$F$322,MATCH(order_items!$E$1,products!$A$1:$F$1,0),FALSE)</f>
        <v>3</v>
      </c>
      <c r="F2510" t="str">
        <f>VLOOKUP($E2510,categories!$A$1:$B$8,MATCH(order_items!$F$1,categories!$A$1:$B$1,0),FALSE)</f>
        <v>Cruisers Bicycles</v>
      </c>
      <c r="G2510">
        <v>1</v>
      </c>
      <c r="H2510">
        <v>659.99</v>
      </c>
      <c r="I2510" s="5">
        <v>7.0000000000000007E-2</v>
      </c>
      <c r="J2510">
        <f t="shared" si="78"/>
        <v>613.79070000000002</v>
      </c>
      <c r="K2510" s="9">
        <f t="shared" si="79"/>
        <v>-0.40861703052097592</v>
      </c>
    </row>
    <row r="2511" spans="1:11" x14ac:dyDescent="0.3">
      <c r="A2511">
        <v>880</v>
      </c>
      <c r="B2511">
        <v>1</v>
      </c>
      <c r="C2511">
        <v>28</v>
      </c>
      <c r="D2511" t="str">
        <f>VLOOKUP($C2511,products!$A$1:$F$322,MATCH(order_items!$D$1,products!$A$1:$F$1,0),FALSE)</f>
        <v>Surly Karate Monkey 27.5+ Frameset - 2017</v>
      </c>
      <c r="E2511">
        <f>VLOOKUP($C2511,products!$A$1:$F$322,MATCH(order_items!$E$1,products!$A$1:$F$1,0),FALSE)</f>
        <v>6</v>
      </c>
      <c r="F2511" t="str">
        <f>VLOOKUP($E2511,categories!$A$1:$B$8,MATCH(order_items!$F$1,categories!$A$1:$B$1,0),FALSE)</f>
        <v>Mountain Bikes</v>
      </c>
      <c r="G2511">
        <v>2</v>
      </c>
      <c r="H2511">
        <v>2499.9899999999998</v>
      </c>
      <c r="I2511" s="5">
        <v>0.2</v>
      </c>
      <c r="J2511">
        <f t="shared" si="78"/>
        <v>3999.9839999999999</v>
      </c>
      <c r="K2511" s="9">
        <f t="shared" si="79"/>
        <v>0.95167069437955054</v>
      </c>
    </row>
    <row r="2512" spans="1:11" x14ac:dyDescent="0.3">
      <c r="A2512">
        <v>880</v>
      </c>
      <c r="B2512">
        <v>2</v>
      </c>
      <c r="C2512">
        <v>95</v>
      </c>
      <c r="D2512" t="str">
        <f>VLOOKUP($C2512,products!$A$1:$F$322,MATCH(order_items!$D$1,products!$A$1:$F$1,0),FALSE)</f>
        <v>Electra Girl's Hawaii 1 16" - 2017</v>
      </c>
      <c r="E2512">
        <f>VLOOKUP($C2512,products!$A$1:$F$322,MATCH(order_items!$E$1,products!$A$1:$F$1,0),FALSE)</f>
        <v>1</v>
      </c>
      <c r="F2512" t="str">
        <f>VLOOKUP($E2512,categories!$A$1:$B$8,MATCH(order_items!$F$1,categories!$A$1:$B$1,0),FALSE)</f>
        <v>Children Bicycles</v>
      </c>
      <c r="G2512">
        <v>1</v>
      </c>
      <c r="H2512">
        <v>299.99</v>
      </c>
      <c r="I2512" s="5">
        <v>0.1</v>
      </c>
      <c r="J2512">
        <f t="shared" si="78"/>
        <v>269.99100000000004</v>
      </c>
      <c r="K2512" s="9">
        <f t="shared" si="79"/>
        <v>-0.67476028104499197</v>
      </c>
    </row>
    <row r="2513" spans="1:11" x14ac:dyDescent="0.3">
      <c r="A2513">
        <v>880</v>
      </c>
      <c r="B2513">
        <v>3</v>
      </c>
      <c r="C2513">
        <v>5</v>
      </c>
      <c r="D2513" t="str">
        <f>VLOOKUP($C2513,products!$A$1:$F$322,MATCH(order_items!$D$1,products!$A$1:$F$1,0),FALSE)</f>
        <v>Heller Shagamaw Frame - 2016</v>
      </c>
      <c r="E2513">
        <f>VLOOKUP($C2513,products!$A$1:$F$322,MATCH(order_items!$E$1,products!$A$1:$F$1,0),FALSE)</f>
        <v>6</v>
      </c>
      <c r="F2513" t="str">
        <f>VLOOKUP($E2513,categories!$A$1:$B$8,MATCH(order_items!$F$1,categories!$A$1:$B$1,0),FALSE)</f>
        <v>Mountain Bikes</v>
      </c>
      <c r="G2513">
        <v>1</v>
      </c>
      <c r="H2513">
        <v>1320.99</v>
      </c>
      <c r="I2513" s="5">
        <v>7.0000000000000007E-2</v>
      </c>
      <c r="J2513">
        <f t="shared" si="78"/>
        <v>1228.5207</v>
      </c>
      <c r="K2513" s="9">
        <f t="shared" si="79"/>
        <v>8.0051548913398024E-2</v>
      </c>
    </row>
    <row r="2514" spans="1:11" x14ac:dyDescent="0.3">
      <c r="A2514">
        <v>880</v>
      </c>
      <c r="B2514">
        <v>4</v>
      </c>
      <c r="C2514">
        <v>26</v>
      </c>
      <c r="D2514" t="str">
        <f>VLOOKUP($C2514,products!$A$1:$F$322,MATCH(order_items!$D$1,products!$A$1:$F$1,0),FALSE)</f>
        <v>Electra Townie Original 7D EQ - 2016</v>
      </c>
      <c r="E2514">
        <f>VLOOKUP($C2514,products!$A$1:$F$322,MATCH(order_items!$E$1,products!$A$1:$F$1,0),FALSE)</f>
        <v>2</v>
      </c>
      <c r="F2514" t="str">
        <f>VLOOKUP($E2514,categories!$A$1:$B$8,MATCH(order_items!$F$1,categories!$A$1:$B$1,0),FALSE)</f>
        <v>Comfort Bicycles</v>
      </c>
      <c r="G2514">
        <v>1</v>
      </c>
      <c r="H2514">
        <v>599.99</v>
      </c>
      <c r="I2514" s="5">
        <v>0.1</v>
      </c>
      <c r="J2514">
        <f t="shared" si="78"/>
        <v>539.99099999999999</v>
      </c>
      <c r="K2514" s="9">
        <f t="shared" si="79"/>
        <v>-0.45297423894164529</v>
      </c>
    </row>
    <row r="2515" spans="1:11" x14ac:dyDescent="0.3">
      <c r="A2515">
        <v>880</v>
      </c>
      <c r="B2515">
        <v>5</v>
      </c>
      <c r="C2515">
        <v>66</v>
      </c>
      <c r="D2515" t="str">
        <f>VLOOKUP($C2515,products!$A$1:$F$322,MATCH(order_items!$D$1,products!$A$1:$F$1,0),FALSE)</f>
        <v>Sun Bicycles Revolutions 24 - 2017</v>
      </c>
      <c r="E2515">
        <f>VLOOKUP($C2515,products!$A$1:$F$322,MATCH(order_items!$E$1,products!$A$1:$F$1,0),FALSE)</f>
        <v>3</v>
      </c>
      <c r="F2515" t="str">
        <f>VLOOKUP($E2515,categories!$A$1:$B$8,MATCH(order_items!$F$1,categories!$A$1:$B$1,0),FALSE)</f>
        <v>Cruisers Bicycles</v>
      </c>
      <c r="G2515">
        <v>1</v>
      </c>
      <c r="H2515">
        <v>250.99</v>
      </c>
      <c r="I2515" s="5">
        <v>0.2</v>
      </c>
      <c r="J2515">
        <f t="shared" si="78"/>
        <v>200.79200000000003</v>
      </c>
      <c r="K2515" s="9">
        <f t="shared" si="79"/>
        <v>-0.71098533458853863</v>
      </c>
    </row>
    <row r="2516" spans="1:11" x14ac:dyDescent="0.3">
      <c r="A2516">
        <v>881</v>
      </c>
      <c r="B2516">
        <v>1</v>
      </c>
      <c r="C2516">
        <v>98</v>
      </c>
      <c r="D2516" t="str">
        <f>VLOOKUP($C2516,products!$A$1:$F$322,MATCH(order_items!$D$1,products!$A$1:$F$1,0),FALSE)</f>
        <v>Electra Straight 8 3i (20-inch) - Boy's - 2017</v>
      </c>
      <c r="E2516">
        <f>VLOOKUP($C2516,products!$A$1:$F$322,MATCH(order_items!$E$1,products!$A$1:$F$1,0),FALSE)</f>
        <v>1</v>
      </c>
      <c r="F2516" t="str">
        <f>VLOOKUP($E2516,categories!$A$1:$B$8,MATCH(order_items!$F$1,categories!$A$1:$B$1,0),FALSE)</f>
        <v>Children Bicycles</v>
      </c>
      <c r="G2516">
        <v>1</v>
      </c>
      <c r="H2516">
        <v>489.99</v>
      </c>
      <c r="I2516" s="5">
        <v>7.0000000000000007E-2</v>
      </c>
      <c r="J2516">
        <f t="shared" si="78"/>
        <v>455.69069999999999</v>
      </c>
      <c r="K2516" s="9">
        <f t="shared" si="79"/>
        <v>-0.53429578771287245</v>
      </c>
    </row>
    <row r="2517" spans="1:11" x14ac:dyDescent="0.3">
      <c r="A2517">
        <v>881</v>
      </c>
      <c r="B2517">
        <v>2</v>
      </c>
      <c r="C2517">
        <v>50</v>
      </c>
      <c r="D2517" t="str">
        <f>VLOOKUP($C2517,products!$A$1:$F$322,MATCH(order_items!$D$1,products!$A$1:$F$1,0),FALSE)</f>
        <v>Trek Silque SLR 7 Women's - 2017</v>
      </c>
      <c r="E2517">
        <f>VLOOKUP($C2517,products!$A$1:$F$322,MATCH(order_items!$E$1,products!$A$1:$F$1,0),FALSE)</f>
        <v>7</v>
      </c>
      <c r="F2517" t="str">
        <f>VLOOKUP($E2517,categories!$A$1:$B$8,MATCH(order_items!$F$1,categories!$A$1:$B$1,0),FALSE)</f>
        <v>Road Bikes</v>
      </c>
      <c r="G2517">
        <v>1</v>
      </c>
      <c r="H2517">
        <v>5999.99</v>
      </c>
      <c r="I2517" s="5">
        <v>0.2</v>
      </c>
      <c r="J2517">
        <f t="shared" si="78"/>
        <v>4799.9920000000002</v>
      </c>
      <c r="K2517" s="9">
        <f t="shared" si="79"/>
        <v>3.5391745189185961</v>
      </c>
    </row>
    <row r="2518" spans="1:11" x14ac:dyDescent="0.3">
      <c r="A2518">
        <v>881</v>
      </c>
      <c r="B2518">
        <v>3</v>
      </c>
      <c r="C2518">
        <v>64</v>
      </c>
      <c r="D2518" t="str">
        <f>VLOOKUP($C2518,products!$A$1:$F$322,MATCH(order_items!$D$1,products!$A$1:$F$1,0),FALSE)</f>
        <v>Electra Townie Original 7D - 2017</v>
      </c>
      <c r="E2518">
        <f>VLOOKUP($C2518,products!$A$1:$F$322,MATCH(order_items!$E$1,products!$A$1:$F$1,0),FALSE)</f>
        <v>3</v>
      </c>
      <c r="F2518" t="str">
        <f>VLOOKUP($E2518,categories!$A$1:$B$8,MATCH(order_items!$F$1,categories!$A$1:$B$1,0),FALSE)</f>
        <v>Cruisers Bicycles</v>
      </c>
      <c r="G2518">
        <v>2</v>
      </c>
      <c r="H2518">
        <v>489.99</v>
      </c>
      <c r="I2518" s="5">
        <v>0.05</v>
      </c>
      <c r="J2518">
        <f t="shared" si="78"/>
        <v>930.98099999999999</v>
      </c>
      <c r="K2518" s="9">
        <f t="shared" si="79"/>
        <v>-0.53429578771287245</v>
      </c>
    </row>
    <row r="2519" spans="1:11" x14ac:dyDescent="0.3">
      <c r="A2519">
        <v>881</v>
      </c>
      <c r="B2519">
        <v>4</v>
      </c>
      <c r="C2519">
        <v>67</v>
      </c>
      <c r="D2519" t="str">
        <f>VLOOKUP($C2519,products!$A$1:$F$322,MATCH(order_items!$D$1,products!$A$1:$F$1,0),FALSE)</f>
        <v>Sun Bicycles Revolutions 24 - Girl's - 2017</v>
      </c>
      <c r="E2519">
        <f>VLOOKUP($C2519,products!$A$1:$F$322,MATCH(order_items!$E$1,products!$A$1:$F$1,0),FALSE)</f>
        <v>3</v>
      </c>
      <c r="F2519" t="str">
        <f>VLOOKUP($E2519,categories!$A$1:$B$8,MATCH(order_items!$F$1,categories!$A$1:$B$1,0),FALSE)</f>
        <v>Cruisers Bicycles</v>
      </c>
      <c r="G2519">
        <v>1</v>
      </c>
      <c r="H2519">
        <v>250.99</v>
      </c>
      <c r="I2519" s="5">
        <v>0.1</v>
      </c>
      <c r="J2519">
        <f t="shared" si="78"/>
        <v>225.89100000000002</v>
      </c>
      <c r="K2519" s="9">
        <f t="shared" si="79"/>
        <v>-0.71098533458853863</v>
      </c>
    </row>
    <row r="2520" spans="1:11" x14ac:dyDescent="0.3">
      <c r="A2520">
        <v>882</v>
      </c>
      <c r="B2520">
        <v>1</v>
      </c>
      <c r="C2520">
        <v>63</v>
      </c>
      <c r="D2520" t="str">
        <f>VLOOKUP($C2520,products!$A$1:$F$322,MATCH(order_items!$D$1,products!$A$1:$F$1,0),FALSE)</f>
        <v>Trek Boone Race Shop Limited - 2017</v>
      </c>
      <c r="E2520">
        <f>VLOOKUP($C2520,products!$A$1:$F$322,MATCH(order_items!$E$1,products!$A$1:$F$1,0),FALSE)</f>
        <v>4</v>
      </c>
      <c r="F2520" t="str">
        <f>VLOOKUP($E2520,categories!$A$1:$B$8,MATCH(order_items!$F$1,categories!$A$1:$B$1,0),FALSE)</f>
        <v>Cyclocross Bicycles</v>
      </c>
      <c r="G2520">
        <v>2</v>
      </c>
      <c r="H2520">
        <v>3499.99</v>
      </c>
      <c r="I2520" s="5">
        <v>7.0000000000000007E-2</v>
      </c>
      <c r="J2520">
        <f t="shared" si="78"/>
        <v>6509.9813999999988</v>
      </c>
      <c r="K2520" s="9">
        <f t="shared" si="79"/>
        <v>1.6909575013907066</v>
      </c>
    </row>
    <row r="2521" spans="1:11" x14ac:dyDescent="0.3">
      <c r="A2521">
        <v>882</v>
      </c>
      <c r="B2521">
        <v>2</v>
      </c>
      <c r="C2521">
        <v>108</v>
      </c>
      <c r="D2521" t="str">
        <f>VLOOKUP($C2521,products!$A$1:$F$322,MATCH(order_items!$D$1,products!$A$1:$F$1,0),FALSE)</f>
        <v>Sun Bicycles Cruz 3 - Women's - 2017</v>
      </c>
      <c r="E2521">
        <f>VLOOKUP($C2521,products!$A$1:$F$322,MATCH(order_items!$E$1,products!$A$1:$F$1,0),FALSE)</f>
        <v>2</v>
      </c>
      <c r="F2521" t="str">
        <f>VLOOKUP($E2521,categories!$A$1:$B$8,MATCH(order_items!$F$1,categories!$A$1:$B$1,0),FALSE)</f>
        <v>Comfort Bicycles</v>
      </c>
      <c r="G2521">
        <v>2</v>
      </c>
      <c r="H2521">
        <v>449.99</v>
      </c>
      <c r="I2521" s="5">
        <v>0.2</v>
      </c>
      <c r="J2521">
        <f t="shared" si="78"/>
        <v>719.98400000000004</v>
      </c>
      <c r="K2521" s="9">
        <f t="shared" si="79"/>
        <v>-0.56386725999331866</v>
      </c>
    </row>
    <row r="2522" spans="1:11" x14ac:dyDescent="0.3">
      <c r="A2522">
        <v>882</v>
      </c>
      <c r="B2522">
        <v>3</v>
      </c>
      <c r="C2522">
        <v>57</v>
      </c>
      <c r="D2522" t="str">
        <f>VLOOKUP($C2522,products!$A$1:$F$322,MATCH(order_items!$D$1,products!$A$1:$F$1,0),FALSE)</f>
        <v>Trek Emonda S 5 - 2017</v>
      </c>
      <c r="E2522">
        <f>VLOOKUP($C2522,products!$A$1:$F$322,MATCH(order_items!$E$1,products!$A$1:$F$1,0),FALSE)</f>
        <v>7</v>
      </c>
      <c r="F2522" t="str">
        <f>VLOOKUP($E2522,categories!$A$1:$B$8,MATCH(order_items!$F$1,categories!$A$1:$B$1,0),FALSE)</f>
        <v>Road Bikes</v>
      </c>
      <c r="G2522">
        <v>2</v>
      </c>
      <c r="H2522">
        <v>1999.99</v>
      </c>
      <c r="I2522" s="5">
        <v>7.0000000000000007E-2</v>
      </c>
      <c r="J2522">
        <f t="shared" si="78"/>
        <v>3719.9813999999997</v>
      </c>
      <c r="K2522" s="9">
        <f t="shared" si="79"/>
        <v>0.58202729087397276</v>
      </c>
    </row>
    <row r="2523" spans="1:11" x14ac:dyDescent="0.3">
      <c r="A2523">
        <v>883</v>
      </c>
      <c r="B2523">
        <v>1</v>
      </c>
      <c r="C2523">
        <v>44</v>
      </c>
      <c r="D2523" t="str">
        <f>VLOOKUP($C2523,products!$A$1:$F$322,MATCH(order_items!$D$1,products!$A$1:$F$1,0),FALSE)</f>
        <v>Haro SR 1.1 - 2017</v>
      </c>
      <c r="E2523">
        <f>VLOOKUP($C2523,products!$A$1:$F$322,MATCH(order_items!$E$1,products!$A$1:$F$1,0),FALSE)</f>
        <v>6</v>
      </c>
      <c r="F2523" t="str">
        <f>VLOOKUP($E2523,categories!$A$1:$B$8,MATCH(order_items!$F$1,categories!$A$1:$B$1,0),FALSE)</f>
        <v>Mountain Bikes</v>
      </c>
      <c r="G2523">
        <v>1</v>
      </c>
      <c r="H2523">
        <v>539.99</v>
      </c>
      <c r="I2523" s="5">
        <v>0.05</v>
      </c>
      <c r="J2523">
        <f t="shared" si="78"/>
        <v>512.9905</v>
      </c>
      <c r="K2523" s="9">
        <f t="shared" si="79"/>
        <v>-0.49733144736231466</v>
      </c>
    </row>
    <row r="2524" spans="1:11" x14ac:dyDescent="0.3">
      <c r="A2524">
        <v>883</v>
      </c>
      <c r="B2524">
        <v>2</v>
      </c>
      <c r="C2524">
        <v>5</v>
      </c>
      <c r="D2524" t="str">
        <f>VLOOKUP($C2524,products!$A$1:$F$322,MATCH(order_items!$D$1,products!$A$1:$F$1,0),FALSE)</f>
        <v>Heller Shagamaw Frame - 2016</v>
      </c>
      <c r="E2524">
        <f>VLOOKUP($C2524,products!$A$1:$F$322,MATCH(order_items!$E$1,products!$A$1:$F$1,0),FALSE)</f>
        <v>6</v>
      </c>
      <c r="F2524" t="str">
        <f>VLOOKUP($E2524,categories!$A$1:$B$8,MATCH(order_items!$F$1,categories!$A$1:$B$1,0),FALSE)</f>
        <v>Mountain Bikes</v>
      </c>
      <c r="G2524">
        <v>2</v>
      </c>
      <c r="H2524">
        <v>1320.99</v>
      </c>
      <c r="I2524" s="5">
        <v>0.05</v>
      </c>
      <c r="J2524">
        <f t="shared" si="78"/>
        <v>2509.8809999999999</v>
      </c>
      <c r="K2524" s="9">
        <f t="shared" si="79"/>
        <v>8.0051548913398024E-2</v>
      </c>
    </row>
    <row r="2525" spans="1:11" x14ac:dyDescent="0.3">
      <c r="A2525">
        <v>884</v>
      </c>
      <c r="B2525">
        <v>1</v>
      </c>
      <c r="C2525">
        <v>49</v>
      </c>
      <c r="D2525" t="str">
        <f>VLOOKUP($C2525,products!$A$1:$F$322,MATCH(order_items!$D$1,products!$A$1:$F$1,0),FALSE)</f>
        <v>Trek Domane SL 6 - 2017</v>
      </c>
      <c r="E2525">
        <f>VLOOKUP($C2525,products!$A$1:$F$322,MATCH(order_items!$E$1,products!$A$1:$F$1,0),FALSE)</f>
        <v>7</v>
      </c>
      <c r="F2525" t="str">
        <f>VLOOKUP($E2525,categories!$A$1:$B$8,MATCH(order_items!$F$1,categories!$A$1:$B$1,0),FALSE)</f>
        <v>Road Bikes</v>
      </c>
      <c r="G2525">
        <v>2</v>
      </c>
      <c r="H2525">
        <v>3499.99</v>
      </c>
      <c r="I2525" s="5">
        <v>0.05</v>
      </c>
      <c r="J2525">
        <f t="shared" si="78"/>
        <v>6649.9809999999989</v>
      </c>
      <c r="K2525" s="9">
        <f t="shared" si="79"/>
        <v>1.6909575013907066</v>
      </c>
    </row>
    <row r="2526" spans="1:11" x14ac:dyDescent="0.3">
      <c r="A2526">
        <v>884</v>
      </c>
      <c r="B2526">
        <v>2</v>
      </c>
      <c r="C2526">
        <v>69</v>
      </c>
      <c r="D2526" t="str">
        <f>VLOOKUP($C2526,products!$A$1:$F$322,MATCH(order_items!$D$1,products!$A$1:$F$1,0),FALSE)</f>
        <v>Sun Bicycles Cruz 7 - 2017</v>
      </c>
      <c r="E2526">
        <f>VLOOKUP($C2526,products!$A$1:$F$322,MATCH(order_items!$E$1,products!$A$1:$F$1,0),FALSE)</f>
        <v>3</v>
      </c>
      <c r="F2526" t="str">
        <f>VLOOKUP($E2526,categories!$A$1:$B$8,MATCH(order_items!$F$1,categories!$A$1:$B$1,0),FALSE)</f>
        <v>Cruisers Bicycles</v>
      </c>
      <c r="G2526">
        <v>2</v>
      </c>
      <c r="H2526">
        <v>416.99</v>
      </c>
      <c r="I2526" s="5">
        <v>7.0000000000000007E-2</v>
      </c>
      <c r="J2526">
        <f t="shared" si="78"/>
        <v>775.60140000000001</v>
      </c>
      <c r="K2526" s="9">
        <f t="shared" si="79"/>
        <v>-0.58826372462468679</v>
      </c>
    </row>
    <row r="2527" spans="1:11" x14ac:dyDescent="0.3">
      <c r="A2527">
        <v>884</v>
      </c>
      <c r="B2527">
        <v>3</v>
      </c>
      <c r="C2527">
        <v>46</v>
      </c>
      <c r="D2527" t="str">
        <f>VLOOKUP($C2527,products!$A$1:$F$322,MATCH(order_items!$D$1,products!$A$1:$F$1,0),FALSE)</f>
        <v>Haro SR 1.3 - 2017</v>
      </c>
      <c r="E2527">
        <f>VLOOKUP($C2527,products!$A$1:$F$322,MATCH(order_items!$E$1,products!$A$1:$F$1,0),FALSE)</f>
        <v>6</v>
      </c>
      <c r="F2527" t="str">
        <f>VLOOKUP($E2527,categories!$A$1:$B$8,MATCH(order_items!$F$1,categories!$A$1:$B$1,0),FALSE)</f>
        <v>Mountain Bikes</v>
      </c>
      <c r="G2527">
        <v>2</v>
      </c>
      <c r="H2527">
        <v>1409.99</v>
      </c>
      <c r="I2527" s="5">
        <v>0.2</v>
      </c>
      <c r="J2527">
        <f t="shared" si="78"/>
        <v>2255.9839999999999</v>
      </c>
      <c r="K2527" s="9">
        <f t="shared" si="79"/>
        <v>0.14584807473739089</v>
      </c>
    </row>
    <row r="2528" spans="1:11" x14ac:dyDescent="0.3">
      <c r="A2528">
        <v>884</v>
      </c>
      <c r="B2528">
        <v>4</v>
      </c>
      <c r="C2528">
        <v>10</v>
      </c>
      <c r="D2528" t="str">
        <f>VLOOKUP($C2528,products!$A$1:$F$322,MATCH(order_items!$D$1,products!$A$1:$F$1,0),FALSE)</f>
        <v>Surly Straggler - 2016</v>
      </c>
      <c r="E2528">
        <f>VLOOKUP($C2528,products!$A$1:$F$322,MATCH(order_items!$E$1,products!$A$1:$F$1,0),FALSE)</f>
        <v>4</v>
      </c>
      <c r="F2528" t="str">
        <f>VLOOKUP($E2528,categories!$A$1:$B$8,MATCH(order_items!$F$1,categories!$A$1:$B$1,0),FALSE)</f>
        <v>Cyclocross Bicycles</v>
      </c>
      <c r="G2528">
        <v>1</v>
      </c>
      <c r="H2528">
        <v>1549</v>
      </c>
      <c r="I2528" s="5">
        <v>0.1</v>
      </c>
      <c r="J2528">
        <f t="shared" si="78"/>
        <v>1394.1000000000001</v>
      </c>
      <c r="K2528" s="9">
        <f t="shared" si="79"/>
        <v>0.24861633378001166</v>
      </c>
    </row>
    <row r="2529" spans="1:11" x14ac:dyDescent="0.3">
      <c r="A2529">
        <v>884</v>
      </c>
      <c r="B2529">
        <v>5</v>
      </c>
      <c r="C2529">
        <v>21</v>
      </c>
      <c r="D2529" t="str">
        <f>VLOOKUP($C2529,products!$A$1:$F$322,MATCH(order_items!$D$1,products!$A$1:$F$1,0),FALSE)</f>
        <v>Electra Cruiser 1 (24-Inch) - 2016</v>
      </c>
      <c r="E2529">
        <f>VLOOKUP($C2529,products!$A$1:$F$322,MATCH(order_items!$E$1,products!$A$1:$F$1,0),FALSE)</f>
        <v>1</v>
      </c>
      <c r="F2529" t="str">
        <f>VLOOKUP($E2529,categories!$A$1:$B$8,MATCH(order_items!$F$1,categories!$A$1:$B$1,0),FALSE)</f>
        <v>Children Bicycles</v>
      </c>
      <c r="G2529">
        <v>2</v>
      </c>
      <c r="H2529">
        <v>269.99</v>
      </c>
      <c r="I2529" s="5">
        <v>0.05</v>
      </c>
      <c r="J2529">
        <f t="shared" si="78"/>
        <v>512.98099999999999</v>
      </c>
      <c r="K2529" s="9">
        <f t="shared" si="79"/>
        <v>-0.69693888525532666</v>
      </c>
    </row>
    <row r="2530" spans="1:11" x14ac:dyDescent="0.3">
      <c r="A2530">
        <v>885</v>
      </c>
      <c r="B2530">
        <v>1</v>
      </c>
      <c r="C2530">
        <v>106</v>
      </c>
      <c r="D2530" t="str">
        <f>VLOOKUP($C2530,products!$A$1:$F$322,MATCH(order_items!$D$1,products!$A$1:$F$1,0),FALSE)</f>
        <v>Sun Bicycles Cruz 3 - 2017</v>
      </c>
      <c r="E2530">
        <f>VLOOKUP($C2530,products!$A$1:$F$322,MATCH(order_items!$E$1,products!$A$1:$F$1,0),FALSE)</f>
        <v>2</v>
      </c>
      <c r="F2530" t="str">
        <f>VLOOKUP($E2530,categories!$A$1:$B$8,MATCH(order_items!$F$1,categories!$A$1:$B$1,0),FALSE)</f>
        <v>Comfort Bicycles</v>
      </c>
      <c r="G2530">
        <v>1</v>
      </c>
      <c r="H2530">
        <v>449.99</v>
      </c>
      <c r="I2530" s="5">
        <v>7.0000000000000007E-2</v>
      </c>
      <c r="J2530">
        <f t="shared" si="78"/>
        <v>418.4907</v>
      </c>
      <c r="K2530" s="9">
        <f t="shared" si="79"/>
        <v>-0.56386725999331866</v>
      </c>
    </row>
    <row r="2531" spans="1:11" x14ac:dyDescent="0.3">
      <c r="A2531">
        <v>885</v>
      </c>
      <c r="B2531">
        <v>2</v>
      </c>
      <c r="C2531">
        <v>43</v>
      </c>
      <c r="D2531" t="str">
        <f>VLOOKUP($C2531,products!$A$1:$F$322,MATCH(order_items!$D$1,products!$A$1:$F$1,0),FALSE)</f>
        <v>Trek Fuel EX 9.8 27.5 Plus - 2017</v>
      </c>
      <c r="E2531">
        <f>VLOOKUP($C2531,products!$A$1:$F$322,MATCH(order_items!$E$1,products!$A$1:$F$1,0),FALSE)</f>
        <v>6</v>
      </c>
      <c r="F2531" t="str">
        <f>VLOOKUP($E2531,categories!$A$1:$B$8,MATCH(order_items!$F$1,categories!$A$1:$B$1,0),FALSE)</f>
        <v>Mountain Bikes</v>
      </c>
      <c r="G2531">
        <v>1</v>
      </c>
      <c r="H2531">
        <v>5299.99</v>
      </c>
      <c r="I2531" s="5">
        <v>0.1</v>
      </c>
      <c r="J2531">
        <f t="shared" si="78"/>
        <v>4769.991</v>
      </c>
      <c r="K2531" s="9">
        <f t="shared" si="79"/>
        <v>3.021673754010787</v>
      </c>
    </row>
    <row r="2532" spans="1:11" x14ac:dyDescent="0.3">
      <c r="A2532">
        <v>886</v>
      </c>
      <c r="B2532">
        <v>1</v>
      </c>
      <c r="C2532">
        <v>47</v>
      </c>
      <c r="D2532" t="str">
        <f>VLOOKUP($C2532,products!$A$1:$F$322,MATCH(order_items!$D$1,products!$A$1:$F$1,0),FALSE)</f>
        <v>Trek Remedy 9.8 - 2017</v>
      </c>
      <c r="E2532">
        <f>VLOOKUP($C2532,products!$A$1:$F$322,MATCH(order_items!$E$1,products!$A$1:$F$1,0),FALSE)</f>
        <v>6</v>
      </c>
      <c r="F2532" t="str">
        <f>VLOOKUP($E2532,categories!$A$1:$B$8,MATCH(order_items!$F$1,categories!$A$1:$B$1,0),FALSE)</f>
        <v>Mountain Bikes</v>
      </c>
      <c r="G2532">
        <v>1</v>
      </c>
      <c r="H2532">
        <v>5299.99</v>
      </c>
      <c r="I2532" s="5">
        <v>0.05</v>
      </c>
      <c r="J2532">
        <f t="shared" si="78"/>
        <v>5034.9904999999999</v>
      </c>
      <c r="K2532" s="9">
        <f t="shared" si="79"/>
        <v>3.021673754010787</v>
      </c>
    </row>
    <row r="2533" spans="1:11" x14ac:dyDescent="0.3">
      <c r="A2533">
        <v>886</v>
      </c>
      <c r="B2533">
        <v>2</v>
      </c>
      <c r="C2533">
        <v>30</v>
      </c>
      <c r="D2533" t="str">
        <f>VLOOKUP($C2533,products!$A$1:$F$322,MATCH(order_items!$D$1,products!$A$1:$F$1,0),FALSE)</f>
        <v>Surly Ice Cream Truck Frameset - 2017</v>
      </c>
      <c r="E2533">
        <f>VLOOKUP($C2533,products!$A$1:$F$322,MATCH(order_items!$E$1,products!$A$1:$F$1,0),FALSE)</f>
        <v>6</v>
      </c>
      <c r="F2533" t="str">
        <f>VLOOKUP($E2533,categories!$A$1:$B$8,MATCH(order_items!$F$1,categories!$A$1:$B$1,0),FALSE)</f>
        <v>Mountain Bikes</v>
      </c>
      <c r="G2533">
        <v>1</v>
      </c>
      <c r="H2533">
        <v>999.99</v>
      </c>
      <c r="I2533" s="5">
        <v>0.05</v>
      </c>
      <c r="J2533">
        <f t="shared" si="78"/>
        <v>949.9905</v>
      </c>
      <c r="K2533" s="9">
        <f t="shared" si="79"/>
        <v>-0.15725951613718298</v>
      </c>
    </row>
    <row r="2534" spans="1:11" x14ac:dyDescent="0.3">
      <c r="A2534">
        <v>887</v>
      </c>
      <c r="B2534">
        <v>1</v>
      </c>
      <c r="C2534">
        <v>50</v>
      </c>
      <c r="D2534" t="str">
        <f>VLOOKUP($C2534,products!$A$1:$F$322,MATCH(order_items!$D$1,products!$A$1:$F$1,0),FALSE)</f>
        <v>Trek Silque SLR 7 Women's - 2017</v>
      </c>
      <c r="E2534">
        <f>VLOOKUP($C2534,products!$A$1:$F$322,MATCH(order_items!$E$1,products!$A$1:$F$1,0),FALSE)</f>
        <v>7</v>
      </c>
      <c r="F2534" t="str">
        <f>VLOOKUP($E2534,categories!$A$1:$B$8,MATCH(order_items!$F$1,categories!$A$1:$B$1,0),FALSE)</f>
        <v>Road Bikes</v>
      </c>
      <c r="G2534">
        <v>2</v>
      </c>
      <c r="H2534">
        <v>5999.99</v>
      </c>
      <c r="I2534" s="5">
        <v>0.05</v>
      </c>
      <c r="J2534">
        <f t="shared" si="78"/>
        <v>11399.981</v>
      </c>
      <c r="K2534" s="9">
        <f t="shared" si="79"/>
        <v>3.5391745189185961</v>
      </c>
    </row>
    <row r="2535" spans="1:11" x14ac:dyDescent="0.3">
      <c r="A2535">
        <v>887</v>
      </c>
      <c r="B2535">
        <v>2</v>
      </c>
      <c r="C2535">
        <v>70</v>
      </c>
      <c r="D2535" t="str">
        <f>VLOOKUP($C2535,products!$A$1:$F$322,MATCH(order_items!$D$1,products!$A$1:$F$1,0),FALSE)</f>
        <v>Electra Amsterdam Original 3i - 2015/2017</v>
      </c>
      <c r="E2535">
        <f>VLOOKUP($C2535,products!$A$1:$F$322,MATCH(order_items!$E$1,products!$A$1:$F$1,0),FALSE)</f>
        <v>3</v>
      </c>
      <c r="F2535" t="str">
        <f>VLOOKUP($E2535,categories!$A$1:$B$8,MATCH(order_items!$F$1,categories!$A$1:$B$1,0),FALSE)</f>
        <v>Cruisers Bicycles</v>
      </c>
      <c r="G2535">
        <v>1</v>
      </c>
      <c r="H2535">
        <v>659.99</v>
      </c>
      <c r="I2535" s="5">
        <v>0.1</v>
      </c>
      <c r="J2535">
        <f t="shared" si="78"/>
        <v>593.99099999999999</v>
      </c>
      <c r="K2535" s="9">
        <f t="shared" si="79"/>
        <v>-0.40861703052097592</v>
      </c>
    </row>
    <row r="2536" spans="1:11" x14ac:dyDescent="0.3">
      <c r="A2536">
        <v>888</v>
      </c>
      <c r="B2536">
        <v>1</v>
      </c>
      <c r="C2536">
        <v>33</v>
      </c>
      <c r="D2536" t="str">
        <f>VLOOKUP($C2536,products!$A$1:$F$322,MATCH(order_items!$D$1,products!$A$1:$F$1,0),FALSE)</f>
        <v>Surly Wednesday Frameset - 2017</v>
      </c>
      <c r="E2536">
        <f>VLOOKUP($C2536,products!$A$1:$F$322,MATCH(order_items!$E$1,products!$A$1:$F$1,0),FALSE)</f>
        <v>6</v>
      </c>
      <c r="F2536" t="str">
        <f>VLOOKUP($E2536,categories!$A$1:$B$8,MATCH(order_items!$F$1,categories!$A$1:$B$1,0),FALSE)</f>
        <v>Mountain Bikes</v>
      </c>
      <c r="G2536">
        <v>2</v>
      </c>
      <c r="H2536">
        <v>469.99</v>
      </c>
      <c r="I2536" s="5">
        <v>0.1</v>
      </c>
      <c r="J2536">
        <f t="shared" si="78"/>
        <v>845.98200000000008</v>
      </c>
      <c r="K2536" s="9">
        <f t="shared" si="79"/>
        <v>-0.5490815238530955</v>
      </c>
    </row>
    <row r="2537" spans="1:11" x14ac:dyDescent="0.3">
      <c r="A2537">
        <v>888</v>
      </c>
      <c r="B2537">
        <v>2</v>
      </c>
      <c r="C2537">
        <v>26</v>
      </c>
      <c r="D2537" t="str">
        <f>VLOOKUP($C2537,products!$A$1:$F$322,MATCH(order_items!$D$1,products!$A$1:$F$1,0),FALSE)</f>
        <v>Electra Townie Original 7D EQ - 2016</v>
      </c>
      <c r="E2537">
        <f>VLOOKUP($C2537,products!$A$1:$F$322,MATCH(order_items!$E$1,products!$A$1:$F$1,0),FALSE)</f>
        <v>2</v>
      </c>
      <c r="F2537" t="str">
        <f>VLOOKUP($E2537,categories!$A$1:$B$8,MATCH(order_items!$F$1,categories!$A$1:$B$1,0),FALSE)</f>
        <v>Comfort Bicycles</v>
      </c>
      <c r="G2537">
        <v>2</v>
      </c>
      <c r="H2537">
        <v>599.99</v>
      </c>
      <c r="I2537" s="5">
        <v>0.2</v>
      </c>
      <c r="J2537">
        <f t="shared" si="78"/>
        <v>959.98400000000004</v>
      </c>
      <c r="K2537" s="9">
        <f t="shared" si="79"/>
        <v>-0.45297423894164529</v>
      </c>
    </row>
    <row r="2538" spans="1:11" x14ac:dyDescent="0.3">
      <c r="A2538">
        <v>889</v>
      </c>
      <c r="B2538">
        <v>1</v>
      </c>
      <c r="C2538">
        <v>12</v>
      </c>
      <c r="D2538" t="str">
        <f>VLOOKUP($C2538,products!$A$1:$F$322,MATCH(order_items!$D$1,products!$A$1:$F$1,0),FALSE)</f>
        <v>Electra Townie Original 21D - 2016</v>
      </c>
      <c r="E2538">
        <f>VLOOKUP($C2538,products!$A$1:$F$322,MATCH(order_items!$E$1,products!$A$1:$F$1,0),FALSE)</f>
        <v>3</v>
      </c>
      <c r="F2538" t="str">
        <f>VLOOKUP($E2538,categories!$A$1:$B$8,MATCH(order_items!$F$1,categories!$A$1:$B$1,0),FALSE)</f>
        <v>Cruisers Bicycles</v>
      </c>
      <c r="G2538">
        <v>2</v>
      </c>
      <c r="H2538">
        <v>549.99</v>
      </c>
      <c r="I2538" s="5">
        <v>0.1</v>
      </c>
      <c r="J2538">
        <f t="shared" si="78"/>
        <v>989.98200000000008</v>
      </c>
      <c r="K2538" s="9">
        <f t="shared" si="79"/>
        <v>-0.48993857929220308</v>
      </c>
    </row>
    <row r="2539" spans="1:11" x14ac:dyDescent="0.3">
      <c r="A2539">
        <v>890</v>
      </c>
      <c r="B2539">
        <v>1</v>
      </c>
      <c r="C2539">
        <v>16</v>
      </c>
      <c r="D2539" t="str">
        <f>VLOOKUP($C2539,products!$A$1:$F$322,MATCH(order_items!$D$1,products!$A$1:$F$1,0),FALSE)</f>
        <v>Electra Townie Original 7D EQ - 2016</v>
      </c>
      <c r="E2539">
        <f>VLOOKUP($C2539,products!$A$1:$F$322,MATCH(order_items!$E$1,products!$A$1:$F$1,0),FALSE)</f>
        <v>3</v>
      </c>
      <c r="F2539" t="str">
        <f>VLOOKUP($E2539,categories!$A$1:$B$8,MATCH(order_items!$F$1,categories!$A$1:$B$1,0),FALSE)</f>
        <v>Cruisers Bicycles</v>
      </c>
      <c r="G2539">
        <v>2</v>
      </c>
      <c r="H2539">
        <v>599.99</v>
      </c>
      <c r="I2539" s="5">
        <v>0.1</v>
      </c>
      <c r="J2539">
        <f t="shared" si="78"/>
        <v>1079.982</v>
      </c>
      <c r="K2539" s="9">
        <f t="shared" si="79"/>
        <v>-0.45297423894164529</v>
      </c>
    </row>
    <row r="2540" spans="1:11" x14ac:dyDescent="0.3">
      <c r="A2540">
        <v>890</v>
      </c>
      <c r="B2540">
        <v>2</v>
      </c>
      <c r="C2540">
        <v>105</v>
      </c>
      <c r="D2540" t="str">
        <f>VLOOKUP($C2540,products!$A$1:$F$322,MATCH(order_items!$D$1,products!$A$1:$F$1,0),FALSE)</f>
        <v>Sun Bicycles Streamway 7 - 2017</v>
      </c>
      <c r="E2540">
        <f>VLOOKUP($C2540,products!$A$1:$F$322,MATCH(order_items!$E$1,products!$A$1:$F$1,0),FALSE)</f>
        <v>2</v>
      </c>
      <c r="F2540" t="str">
        <f>VLOOKUP($E2540,categories!$A$1:$B$8,MATCH(order_items!$F$1,categories!$A$1:$B$1,0),FALSE)</f>
        <v>Comfort Bicycles</v>
      </c>
      <c r="G2540">
        <v>2</v>
      </c>
      <c r="H2540">
        <v>533.99</v>
      </c>
      <c r="I2540" s="5">
        <v>0.1</v>
      </c>
      <c r="J2540">
        <f t="shared" si="78"/>
        <v>961.18200000000002</v>
      </c>
      <c r="K2540" s="9">
        <f t="shared" si="79"/>
        <v>-0.50176716820438161</v>
      </c>
    </row>
    <row r="2541" spans="1:11" x14ac:dyDescent="0.3">
      <c r="A2541">
        <v>890</v>
      </c>
      <c r="B2541">
        <v>3</v>
      </c>
      <c r="C2541">
        <v>52</v>
      </c>
      <c r="D2541" t="str">
        <f>VLOOKUP($C2541,products!$A$1:$F$322,MATCH(order_items!$D$1,products!$A$1:$F$1,0),FALSE)</f>
        <v>Surly Steamroller - 2017</v>
      </c>
      <c r="E2541">
        <f>VLOOKUP($C2541,products!$A$1:$F$322,MATCH(order_items!$E$1,products!$A$1:$F$1,0),FALSE)</f>
        <v>7</v>
      </c>
      <c r="F2541" t="str">
        <f>VLOOKUP($E2541,categories!$A$1:$B$8,MATCH(order_items!$F$1,categories!$A$1:$B$1,0),FALSE)</f>
        <v>Road Bikes</v>
      </c>
      <c r="G2541">
        <v>1</v>
      </c>
      <c r="H2541">
        <v>875.99</v>
      </c>
      <c r="I2541" s="5">
        <v>0.05</v>
      </c>
      <c r="J2541">
        <f t="shared" si="78"/>
        <v>832.19049999999993</v>
      </c>
      <c r="K2541" s="9">
        <f t="shared" si="79"/>
        <v>-0.24893108020656629</v>
      </c>
    </row>
    <row r="2542" spans="1:11" x14ac:dyDescent="0.3">
      <c r="A2542">
        <v>890</v>
      </c>
      <c r="B2542">
        <v>4</v>
      </c>
      <c r="C2542">
        <v>67</v>
      </c>
      <c r="D2542" t="str">
        <f>VLOOKUP($C2542,products!$A$1:$F$322,MATCH(order_items!$D$1,products!$A$1:$F$1,0),FALSE)</f>
        <v>Sun Bicycles Revolutions 24 - Girl's - 2017</v>
      </c>
      <c r="E2542">
        <f>VLOOKUP($C2542,products!$A$1:$F$322,MATCH(order_items!$E$1,products!$A$1:$F$1,0),FALSE)</f>
        <v>3</v>
      </c>
      <c r="F2542" t="str">
        <f>VLOOKUP($E2542,categories!$A$1:$B$8,MATCH(order_items!$F$1,categories!$A$1:$B$1,0),FALSE)</f>
        <v>Cruisers Bicycles</v>
      </c>
      <c r="G2542">
        <v>1</v>
      </c>
      <c r="H2542">
        <v>250.99</v>
      </c>
      <c r="I2542" s="5">
        <v>0.1</v>
      </c>
      <c r="J2542">
        <f t="shared" si="78"/>
        <v>225.89100000000002</v>
      </c>
      <c r="K2542" s="9">
        <f t="shared" si="79"/>
        <v>-0.71098533458853863</v>
      </c>
    </row>
    <row r="2543" spans="1:11" x14ac:dyDescent="0.3">
      <c r="A2543">
        <v>890</v>
      </c>
      <c r="B2543">
        <v>5</v>
      </c>
      <c r="C2543">
        <v>65</v>
      </c>
      <c r="D2543" t="str">
        <f>VLOOKUP($C2543,products!$A$1:$F$322,MATCH(order_items!$D$1,products!$A$1:$F$1,0),FALSE)</f>
        <v>Sun Bicycles Lil Bolt Type-R - 2017</v>
      </c>
      <c r="E2543">
        <f>VLOOKUP($C2543,products!$A$1:$F$322,MATCH(order_items!$E$1,products!$A$1:$F$1,0),FALSE)</f>
        <v>3</v>
      </c>
      <c r="F2543" t="str">
        <f>VLOOKUP($E2543,categories!$A$1:$B$8,MATCH(order_items!$F$1,categories!$A$1:$B$1,0),FALSE)</f>
        <v>Cruisers Bicycles</v>
      </c>
      <c r="G2543">
        <v>2</v>
      </c>
      <c r="H2543">
        <v>346.99</v>
      </c>
      <c r="I2543" s="5">
        <v>0.1</v>
      </c>
      <c r="J2543">
        <f t="shared" si="78"/>
        <v>624.58199999999999</v>
      </c>
      <c r="K2543" s="9">
        <f t="shared" si="79"/>
        <v>-0.64001380111546768</v>
      </c>
    </row>
    <row r="2544" spans="1:11" x14ac:dyDescent="0.3">
      <c r="A2544">
        <v>891</v>
      </c>
      <c r="B2544">
        <v>1</v>
      </c>
      <c r="C2544">
        <v>107</v>
      </c>
      <c r="D2544" t="str">
        <f>VLOOKUP($C2544,products!$A$1:$F$322,MATCH(order_items!$D$1,products!$A$1:$F$1,0),FALSE)</f>
        <v>Sun Bicycles Cruz 7 - 2017</v>
      </c>
      <c r="E2544">
        <f>VLOOKUP($C2544,products!$A$1:$F$322,MATCH(order_items!$E$1,products!$A$1:$F$1,0),FALSE)</f>
        <v>2</v>
      </c>
      <c r="F2544" t="str">
        <f>VLOOKUP($E2544,categories!$A$1:$B$8,MATCH(order_items!$F$1,categories!$A$1:$B$1,0),FALSE)</f>
        <v>Comfort Bicycles</v>
      </c>
      <c r="G2544">
        <v>2</v>
      </c>
      <c r="H2544">
        <v>416.99</v>
      </c>
      <c r="I2544" s="5">
        <v>0.1</v>
      </c>
      <c r="J2544">
        <f t="shared" si="78"/>
        <v>750.58199999999999</v>
      </c>
      <c r="K2544" s="9">
        <f t="shared" si="79"/>
        <v>-0.58826372462468679</v>
      </c>
    </row>
    <row r="2545" spans="1:11" x14ac:dyDescent="0.3">
      <c r="A2545">
        <v>891</v>
      </c>
      <c r="B2545">
        <v>2</v>
      </c>
      <c r="C2545">
        <v>32</v>
      </c>
      <c r="D2545" t="str">
        <f>VLOOKUP($C2545,products!$A$1:$F$322,MATCH(order_items!$D$1,products!$A$1:$F$1,0),FALSE)</f>
        <v>Trek Farley Alloy Frameset - 2017</v>
      </c>
      <c r="E2545">
        <f>VLOOKUP($C2545,products!$A$1:$F$322,MATCH(order_items!$E$1,products!$A$1:$F$1,0),FALSE)</f>
        <v>6</v>
      </c>
      <c r="F2545" t="str">
        <f>VLOOKUP($E2545,categories!$A$1:$B$8,MATCH(order_items!$F$1,categories!$A$1:$B$1,0),FALSE)</f>
        <v>Mountain Bikes</v>
      </c>
      <c r="G2545">
        <v>1</v>
      </c>
      <c r="H2545">
        <v>469.99</v>
      </c>
      <c r="I2545" s="5">
        <v>0.05</v>
      </c>
      <c r="J2545">
        <f t="shared" si="78"/>
        <v>446.4905</v>
      </c>
      <c r="K2545" s="9">
        <f t="shared" si="79"/>
        <v>-0.5490815238530955</v>
      </c>
    </row>
    <row r="2546" spans="1:11" x14ac:dyDescent="0.3">
      <c r="A2546">
        <v>891</v>
      </c>
      <c r="B2546">
        <v>3</v>
      </c>
      <c r="C2546">
        <v>35</v>
      </c>
      <c r="D2546" t="str">
        <f>VLOOKUP($C2546,products!$A$1:$F$322,MATCH(order_items!$D$1,products!$A$1:$F$1,0),FALSE)</f>
        <v>Sun Bicycles Spider 3i - 2017</v>
      </c>
      <c r="E2546">
        <f>VLOOKUP($C2546,products!$A$1:$F$322,MATCH(order_items!$E$1,products!$A$1:$F$1,0),FALSE)</f>
        <v>6</v>
      </c>
      <c r="F2546" t="str">
        <f>VLOOKUP($E2546,categories!$A$1:$B$8,MATCH(order_items!$F$1,categories!$A$1:$B$1,0),FALSE)</f>
        <v>Mountain Bikes</v>
      </c>
      <c r="G2546">
        <v>2</v>
      </c>
      <c r="H2546">
        <v>832.99</v>
      </c>
      <c r="I2546" s="5">
        <v>0.1</v>
      </c>
      <c r="J2546">
        <f t="shared" si="78"/>
        <v>1499.3820000000001</v>
      </c>
      <c r="K2546" s="9">
        <f t="shared" si="79"/>
        <v>-0.280720412908046</v>
      </c>
    </row>
    <row r="2547" spans="1:11" x14ac:dyDescent="0.3">
      <c r="A2547">
        <v>891</v>
      </c>
      <c r="B2547">
        <v>4</v>
      </c>
      <c r="C2547">
        <v>50</v>
      </c>
      <c r="D2547" t="str">
        <f>VLOOKUP($C2547,products!$A$1:$F$322,MATCH(order_items!$D$1,products!$A$1:$F$1,0),FALSE)</f>
        <v>Trek Silque SLR 7 Women's - 2017</v>
      </c>
      <c r="E2547">
        <f>VLOOKUP($C2547,products!$A$1:$F$322,MATCH(order_items!$E$1,products!$A$1:$F$1,0),FALSE)</f>
        <v>7</v>
      </c>
      <c r="F2547" t="str">
        <f>VLOOKUP($E2547,categories!$A$1:$B$8,MATCH(order_items!$F$1,categories!$A$1:$B$1,0),FALSE)</f>
        <v>Road Bikes</v>
      </c>
      <c r="G2547">
        <v>1</v>
      </c>
      <c r="H2547">
        <v>5999.99</v>
      </c>
      <c r="I2547" s="5">
        <v>0.1</v>
      </c>
      <c r="J2547">
        <f t="shared" si="78"/>
        <v>5399.991</v>
      </c>
      <c r="K2547" s="9">
        <f t="shared" si="79"/>
        <v>3.5391745189185961</v>
      </c>
    </row>
    <row r="2548" spans="1:11" x14ac:dyDescent="0.3">
      <c r="A2548">
        <v>892</v>
      </c>
      <c r="B2548">
        <v>1</v>
      </c>
      <c r="C2548">
        <v>36</v>
      </c>
      <c r="D2548" t="str">
        <f>VLOOKUP($C2548,products!$A$1:$F$322,MATCH(order_items!$D$1,products!$A$1:$F$1,0),FALSE)</f>
        <v>Surly Troll Frameset - 2017</v>
      </c>
      <c r="E2548">
        <f>VLOOKUP($C2548,products!$A$1:$F$322,MATCH(order_items!$E$1,products!$A$1:$F$1,0),FALSE)</f>
        <v>6</v>
      </c>
      <c r="F2548" t="str">
        <f>VLOOKUP($E2548,categories!$A$1:$B$8,MATCH(order_items!$F$1,categories!$A$1:$B$1,0),FALSE)</f>
        <v>Mountain Bikes</v>
      </c>
      <c r="G2548">
        <v>1</v>
      </c>
      <c r="H2548">
        <v>832.99</v>
      </c>
      <c r="I2548" s="5">
        <v>0.1</v>
      </c>
      <c r="J2548">
        <f t="shared" si="78"/>
        <v>749.69100000000003</v>
      </c>
      <c r="K2548" s="9">
        <f t="shared" si="79"/>
        <v>-0.280720412908046</v>
      </c>
    </row>
    <row r="2549" spans="1:11" x14ac:dyDescent="0.3">
      <c r="A2549">
        <v>892</v>
      </c>
      <c r="B2549">
        <v>2</v>
      </c>
      <c r="C2549">
        <v>9</v>
      </c>
      <c r="D2549" t="str">
        <f>VLOOKUP($C2549,products!$A$1:$F$322,MATCH(order_items!$D$1,products!$A$1:$F$1,0),FALSE)</f>
        <v>Trek Conduit+ - 2016</v>
      </c>
      <c r="E2549">
        <f>VLOOKUP($C2549,products!$A$1:$F$322,MATCH(order_items!$E$1,products!$A$1:$F$1,0),FALSE)</f>
        <v>5</v>
      </c>
      <c r="F2549" t="str">
        <f>VLOOKUP($E2549,categories!$A$1:$B$8,MATCH(order_items!$F$1,categories!$A$1:$B$1,0),FALSE)</f>
        <v>Electric Bikes</v>
      </c>
      <c r="G2549">
        <v>2</v>
      </c>
      <c r="H2549">
        <v>2999.99</v>
      </c>
      <c r="I2549" s="5">
        <v>0.2</v>
      </c>
      <c r="J2549">
        <f t="shared" si="78"/>
        <v>4799.9839999999995</v>
      </c>
      <c r="K2549" s="9">
        <f t="shared" si="79"/>
        <v>1.3213140978851283</v>
      </c>
    </row>
    <row r="2550" spans="1:11" x14ac:dyDescent="0.3">
      <c r="A2550">
        <v>892</v>
      </c>
      <c r="B2550">
        <v>3</v>
      </c>
      <c r="C2550">
        <v>50</v>
      </c>
      <c r="D2550" t="str">
        <f>VLOOKUP($C2550,products!$A$1:$F$322,MATCH(order_items!$D$1,products!$A$1:$F$1,0),FALSE)</f>
        <v>Trek Silque SLR 7 Women's - 2017</v>
      </c>
      <c r="E2550">
        <f>VLOOKUP($C2550,products!$A$1:$F$322,MATCH(order_items!$E$1,products!$A$1:$F$1,0),FALSE)</f>
        <v>7</v>
      </c>
      <c r="F2550" t="str">
        <f>VLOOKUP($E2550,categories!$A$1:$B$8,MATCH(order_items!$F$1,categories!$A$1:$B$1,0),FALSE)</f>
        <v>Road Bikes</v>
      </c>
      <c r="G2550">
        <v>2</v>
      </c>
      <c r="H2550">
        <v>5999.99</v>
      </c>
      <c r="I2550" s="5">
        <v>7.0000000000000007E-2</v>
      </c>
      <c r="J2550">
        <f t="shared" si="78"/>
        <v>11159.981399999999</v>
      </c>
      <c r="K2550" s="9">
        <f t="shared" si="79"/>
        <v>3.5391745189185961</v>
      </c>
    </row>
    <row r="2551" spans="1:11" x14ac:dyDescent="0.3">
      <c r="A2551">
        <v>892</v>
      </c>
      <c r="B2551">
        <v>4</v>
      </c>
      <c r="C2551">
        <v>88</v>
      </c>
      <c r="D2551" t="str">
        <f>VLOOKUP($C2551,products!$A$1:$F$322,MATCH(order_items!$D$1,products!$A$1:$F$1,0),FALSE)</f>
        <v>Trek Precaliber 12 Girls - 2017</v>
      </c>
      <c r="E2551">
        <f>VLOOKUP($C2551,products!$A$1:$F$322,MATCH(order_items!$E$1,products!$A$1:$F$1,0),FALSE)</f>
        <v>1</v>
      </c>
      <c r="F2551" t="str">
        <f>VLOOKUP($E2551,categories!$A$1:$B$8,MATCH(order_items!$F$1,categories!$A$1:$B$1,0),FALSE)</f>
        <v>Children Bicycles</v>
      </c>
      <c r="G2551">
        <v>1</v>
      </c>
      <c r="H2551">
        <v>189.99</v>
      </c>
      <c r="I2551" s="5">
        <v>0.05</v>
      </c>
      <c r="J2551">
        <f t="shared" si="78"/>
        <v>180.4905</v>
      </c>
      <c r="K2551" s="9">
        <f t="shared" si="79"/>
        <v>-0.75608182981621919</v>
      </c>
    </row>
    <row r="2552" spans="1:11" x14ac:dyDescent="0.3">
      <c r="A2552">
        <v>893</v>
      </c>
      <c r="B2552">
        <v>1</v>
      </c>
      <c r="C2552">
        <v>67</v>
      </c>
      <c r="D2552" t="str">
        <f>VLOOKUP($C2552,products!$A$1:$F$322,MATCH(order_items!$D$1,products!$A$1:$F$1,0),FALSE)</f>
        <v>Sun Bicycles Revolutions 24 - Girl's - 2017</v>
      </c>
      <c r="E2552">
        <f>VLOOKUP($C2552,products!$A$1:$F$322,MATCH(order_items!$E$1,products!$A$1:$F$1,0),FALSE)</f>
        <v>3</v>
      </c>
      <c r="F2552" t="str">
        <f>VLOOKUP($E2552,categories!$A$1:$B$8,MATCH(order_items!$F$1,categories!$A$1:$B$1,0),FALSE)</f>
        <v>Cruisers Bicycles</v>
      </c>
      <c r="G2552">
        <v>2</v>
      </c>
      <c r="H2552">
        <v>250.99</v>
      </c>
      <c r="I2552" s="5">
        <v>0.05</v>
      </c>
      <c r="J2552">
        <f t="shared" si="78"/>
        <v>476.88099999999997</v>
      </c>
      <c r="K2552" s="9">
        <f t="shared" si="79"/>
        <v>-0.71098533458853863</v>
      </c>
    </row>
    <row r="2553" spans="1:11" x14ac:dyDescent="0.3">
      <c r="A2553">
        <v>893</v>
      </c>
      <c r="B2553">
        <v>2</v>
      </c>
      <c r="C2553">
        <v>45</v>
      </c>
      <c r="D2553" t="str">
        <f>VLOOKUP($C2553,products!$A$1:$F$322,MATCH(order_items!$D$1,products!$A$1:$F$1,0),FALSE)</f>
        <v>Haro SR 1.2 - 2017</v>
      </c>
      <c r="E2553">
        <f>VLOOKUP($C2553,products!$A$1:$F$322,MATCH(order_items!$E$1,products!$A$1:$F$1,0),FALSE)</f>
        <v>6</v>
      </c>
      <c r="F2553" t="str">
        <f>VLOOKUP($E2553,categories!$A$1:$B$8,MATCH(order_items!$F$1,categories!$A$1:$B$1,0),FALSE)</f>
        <v>Mountain Bikes</v>
      </c>
      <c r="G2553">
        <v>1</v>
      </c>
      <c r="H2553">
        <v>869.99</v>
      </c>
      <c r="I2553" s="5">
        <v>7.0000000000000007E-2</v>
      </c>
      <c r="J2553">
        <f t="shared" si="78"/>
        <v>809.09069999999997</v>
      </c>
      <c r="K2553" s="9">
        <f t="shared" si="79"/>
        <v>-0.25336680104863324</v>
      </c>
    </row>
    <row r="2554" spans="1:11" x14ac:dyDescent="0.3">
      <c r="A2554">
        <v>894</v>
      </c>
      <c r="B2554">
        <v>1</v>
      </c>
      <c r="C2554">
        <v>101</v>
      </c>
      <c r="D2554" t="str">
        <f>VLOOKUP($C2554,products!$A$1:$F$322,MATCH(order_items!$D$1,products!$A$1:$F$1,0),FALSE)</f>
        <v>Electra Townie 7D (20-inch) - Boys' - 2017</v>
      </c>
      <c r="E2554">
        <f>VLOOKUP($C2554,products!$A$1:$F$322,MATCH(order_items!$E$1,products!$A$1:$F$1,0),FALSE)</f>
        <v>1</v>
      </c>
      <c r="F2554" t="str">
        <f>VLOOKUP($E2554,categories!$A$1:$B$8,MATCH(order_items!$F$1,categories!$A$1:$B$1,0),FALSE)</f>
        <v>Children Bicycles</v>
      </c>
      <c r="G2554">
        <v>2</v>
      </c>
      <c r="H2554">
        <v>339.99</v>
      </c>
      <c r="I2554" s="5">
        <v>0.2</v>
      </c>
      <c r="J2554">
        <f t="shared" si="78"/>
        <v>543.98400000000004</v>
      </c>
      <c r="K2554" s="9">
        <f t="shared" si="79"/>
        <v>-0.64518880876454576</v>
      </c>
    </row>
    <row r="2555" spans="1:11" x14ac:dyDescent="0.3">
      <c r="A2555">
        <v>895</v>
      </c>
      <c r="B2555">
        <v>1</v>
      </c>
      <c r="C2555">
        <v>106</v>
      </c>
      <c r="D2555" t="str">
        <f>VLOOKUP($C2555,products!$A$1:$F$322,MATCH(order_items!$D$1,products!$A$1:$F$1,0),FALSE)</f>
        <v>Sun Bicycles Cruz 3 - 2017</v>
      </c>
      <c r="E2555">
        <f>VLOOKUP($C2555,products!$A$1:$F$322,MATCH(order_items!$E$1,products!$A$1:$F$1,0),FALSE)</f>
        <v>2</v>
      </c>
      <c r="F2555" t="str">
        <f>VLOOKUP($E2555,categories!$A$1:$B$8,MATCH(order_items!$F$1,categories!$A$1:$B$1,0),FALSE)</f>
        <v>Comfort Bicycles</v>
      </c>
      <c r="G2555">
        <v>1</v>
      </c>
      <c r="H2555">
        <v>449.99</v>
      </c>
      <c r="I2555" s="5">
        <v>7.0000000000000007E-2</v>
      </c>
      <c r="J2555">
        <f t="shared" si="78"/>
        <v>418.4907</v>
      </c>
      <c r="K2555" s="9">
        <f t="shared" si="79"/>
        <v>-0.56386725999331866</v>
      </c>
    </row>
    <row r="2556" spans="1:11" x14ac:dyDescent="0.3">
      <c r="A2556">
        <v>896</v>
      </c>
      <c r="B2556">
        <v>1</v>
      </c>
      <c r="C2556">
        <v>91</v>
      </c>
      <c r="D2556" t="str">
        <f>VLOOKUP($C2556,products!$A$1:$F$322,MATCH(order_items!$D$1,products!$A$1:$F$1,0),FALSE)</f>
        <v>Trek Precaliber 24 (21-Speed) - Girls - 2017</v>
      </c>
      <c r="E2556">
        <f>VLOOKUP($C2556,products!$A$1:$F$322,MATCH(order_items!$E$1,products!$A$1:$F$1,0),FALSE)</f>
        <v>1</v>
      </c>
      <c r="F2556" t="str">
        <f>VLOOKUP($E2556,categories!$A$1:$B$8,MATCH(order_items!$F$1,categories!$A$1:$B$1,0),FALSE)</f>
        <v>Children Bicycles</v>
      </c>
      <c r="G2556">
        <v>2</v>
      </c>
      <c r="H2556">
        <v>349.99</v>
      </c>
      <c r="I2556" s="5">
        <v>0.05</v>
      </c>
      <c r="J2556">
        <f t="shared" si="78"/>
        <v>664.98099999999999</v>
      </c>
      <c r="K2556" s="9">
        <f t="shared" si="79"/>
        <v>-0.63779594069443424</v>
      </c>
    </row>
    <row r="2557" spans="1:11" x14ac:dyDescent="0.3">
      <c r="A2557">
        <v>896</v>
      </c>
      <c r="B2557">
        <v>2</v>
      </c>
      <c r="C2557">
        <v>10</v>
      </c>
      <c r="D2557" t="str">
        <f>VLOOKUP($C2557,products!$A$1:$F$322,MATCH(order_items!$D$1,products!$A$1:$F$1,0),FALSE)</f>
        <v>Surly Straggler - 2016</v>
      </c>
      <c r="E2557">
        <f>VLOOKUP($C2557,products!$A$1:$F$322,MATCH(order_items!$E$1,products!$A$1:$F$1,0),FALSE)</f>
        <v>4</v>
      </c>
      <c r="F2557" t="str">
        <f>VLOOKUP($E2557,categories!$A$1:$B$8,MATCH(order_items!$F$1,categories!$A$1:$B$1,0),FALSE)</f>
        <v>Cyclocross Bicycles</v>
      </c>
      <c r="G2557">
        <v>1</v>
      </c>
      <c r="H2557">
        <v>1549</v>
      </c>
      <c r="I2557" s="5">
        <v>0.05</v>
      </c>
      <c r="J2557">
        <f t="shared" si="78"/>
        <v>1471.55</v>
      </c>
      <c r="K2557" s="9">
        <f t="shared" si="79"/>
        <v>0.24861633378001166</v>
      </c>
    </row>
    <row r="2558" spans="1:11" x14ac:dyDescent="0.3">
      <c r="A2558">
        <v>897</v>
      </c>
      <c r="B2558">
        <v>1</v>
      </c>
      <c r="C2558">
        <v>105</v>
      </c>
      <c r="D2558" t="str">
        <f>VLOOKUP($C2558,products!$A$1:$F$322,MATCH(order_items!$D$1,products!$A$1:$F$1,0),FALSE)</f>
        <v>Sun Bicycles Streamway 7 - 2017</v>
      </c>
      <c r="E2558">
        <f>VLOOKUP($C2558,products!$A$1:$F$322,MATCH(order_items!$E$1,products!$A$1:$F$1,0),FALSE)</f>
        <v>2</v>
      </c>
      <c r="F2558" t="str">
        <f>VLOOKUP($E2558,categories!$A$1:$B$8,MATCH(order_items!$F$1,categories!$A$1:$B$1,0),FALSE)</f>
        <v>Comfort Bicycles</v>
      </c>
      <c r="G2558">
        <v>1</v>
      </c>
      <c r="H2558">
        <v>533.99</v>
      </c>
      <c r="I2558" s="5">
        <v>0.05</v>
      </c>
      <c r="J2558">
        <f t="shared" si="78"/>
        <v>507.29050000000001</v>
      </c>
      <c r="K2558" s="9">
        <f t="shared" si="79"/>
        <v>-0.50176716820438161</v>
      </c>
    </row>
    <row r="2559" spans="1:11" x14ac:dyDescent="0.3">
      <c r="A2559">
        <v>897</v>
      </c>
      <c r="B2559">
        <v>2</v>
      </c>
      <c r="C2559">
        <v>96</v>
      </c>
      <c r="D2559" t="str">
        <f>VLOOKUP($C2559,products!$A$1:$F$322,MATCH(order_items!$D$1,products!$A$1:$F$1,0),FALSE)</f>
        <v>Electra Moto 3i (20-inch) - Boy's - 2017</v>
      </c>
      <c r="E2559">
        <f>VLOOKUP($C2559,products!$A$1:$F$322,MATCH(order_items!$E$1,products!$A$1:$F$1,0),FALSE)</f>
        <v>1</v>
      </c>
      <c r="F2559" t="str">
        <f>VLOOKUP($E2559,categories!$A$1:$B$8,MATCH(order_items!$F$1,categories!$A$1:$B$1,0),FALSE)</f>
        <v>Children Bicycles</v>
      </c>
      <c r="G2559">
        <v>1</v>
      </c>
      <c r="H2559">
        <v>349.99</v>
      </c>
      <c r="I2559" s="5">
        <v>0.05</v>
      </c>
      <c r="J2559">
        <f t="shared" si="78"/>
        <v>332.4905</v>
      </c>
      <c r="K2559" s="9">
        <f t="shared" si="79"/>
        <v>-0.63779594069443424</v>
      </c>
    </row>
    <row r="2560" spans="1:11" x14ac:dyDescent="0.3">
      <c r="A2560">
        <v>898</v>
      </c>
      <c r="B2560">
        <v>1</v>
      </c>
      <c r="C2560">
        <v>45</v>
      </c>
      <c r="D2560" t="str">
        <f>VLOOKUP($C2560,products!$A$1:$F$322,MATCH(order_items!$D$1,products!$A$1:$F$1,0),FALSE)</f>
        <v>Haro SR 1.2 - 2017</v>
      </c>
      <c r="E2560">
        <f>VLOOKUP($C2560,products!$A$1:$F$322,MATCH(order_items!$E$1,products!$A$1:$F$1,0),FALSE)</f>
        <v>6</v>
      </c>
      <c r="F2560" t="str">
        <f>VLOOKUP($E2560,categories!$A$1:$B$8,MATCH(order_items!$F$1,categories!$A$1:$B$1,0),FALSE)</f>
        <v>Mountain Bikes</v>
      </c>
      <c r="G2560">
        <v>2</v>
      </c>
      <c r="H2560">
        <v>869.99</v>
      </c>
      <c r="I2560" s="5">
        <v>0.2</v>
      </c>
      <c r="J2560">
        <f t="shared" si="78"/>
        <v>1391.9840000000002</v>
      </c>
      <c r="K2560" s="9">
        <f t="shared" si="79"/>
        <v>-0.25336680104863324</v>
      </c>
    </row>
    <row r="2561" spans="1:11" x14ac:dyDescent="0.3">
      <c r="A2561">
        <v>898</v>
      </c>
      <c r="B2561">
        <v>2</v>
      </c>
      <c r="C2561">
        <v>16</v>
      </c>
      <c r="D2561" t="str">
        <f>VLOOKUP($C2561,products!$A$1:$F$322,MATCH(order_items!$D$1,products!$A$1:$F$1,0),FALSE)</f>
        <v>Electra Townie Original 7D EQ - 2016</v>
      </c>
      <c r="E2561">
        <f>VLOOKUP($C2561,products!$A$1:$F$322,MATCH(order_items!$E$1,products!$A$1:$F$1,0),FALSE)</f>
        <v>3</v>
      </c>
      <c r="F2561" t="str">
        <f>VLOOKUP($E2561,categories!$A$1:$B$8,MATCH(order_items!$F$1,categories!$A$1:$B$1,0),FALSE)</f>
        <v>Cruisers Bicycles</v>
      </c>
      <c r="G2561">
        <v>1</v>
      </c>
      <c r="H2561">
        <v>599.99</v>
      </c>
      <c r="I2561" s="5">
        <v>7.0000000000000007E-2</v>
      </c>
      <c r="J2561">
        <f t="shared" si="78"/>
        <v>557.99069999999995</v>
      </c>
      <c r="K2561" s="9">
        <f t="shared" si="79"/>
        <v>-0.45297423894164529</v>
      </c>
    </row>
    <row r="2562" spans="1:11" x14ac:dyDescent="0.3">
      <c r="A2562">
        <v>898</v>
      </c>
      <c r="B2562">
        <v>3</v>
      </c>
      <c r="C2562">
        <v>57</v>
      </c>
      <c r="D2562" t="str">
        <f>VLOOKUP($C2562,products!$A$1:$F$322,MATCH(order_items!$D$1,products!$A$1:$F$1,0),FALSE)</f>
        <v>Trek Emonda S 5 - 2017</v>
      </c>
      <c r="E2562">
        <f>VLOOKUP($C2562,products!$A$1:$F$322,MATCH(order_items!$E$1,products!$A$1:$F$1,0),FALSE)</f>
        <v>7</v>
      </c>
      <c r="F2562" t="str">
        <f>VLOOKUP($E2562,categories!$A$1:$B$8,MATCH(order_items!$F$1,categories!$A$1:$B$1,0),FALSE)</f>
        <v>Road Bikes</v>
      </c>
      <c r="G2562">
        <v>2</v>
      </c>
      <c r="H2562">
        <v>1999.99</v>
      </c>
      <c r="I2562" s="5">
        <v>0.2</v>
      </c>
      <c r="J2562">
        <f t="shared" ref="J2562:J2625" si="80">G2562*H2562*(1-I2562)</f>
        <v>3199.9840000000004</v>
      </c>
      <c r="K2562" s="9">
        <f t="shared" ref="K2562:K2625" si="81">($H2562-$M$7)/$M$9</f>
        <v>0.58202729087397276</v>
      </c>
    </row>
    <row r="2563" spans="1:11" x14ac:dyDescent="0.3">
      <c r="A2563">
        <v>898</v>
      </c>
      <c r="B2563">
        <v>4</v>
      </c>
      <c r="C2563">
        <v>69</v>
      </c>
      <c r="D2563" t="str">
        <f>VLOOKUP($C2563,products!$A$1:$F$322,MATCH(order_items!$D$1,products!$A$1:$F$1,0),FALSE)</f>
        <v>Sun Bicycles Cruz 7 - 2017</v>
      </c>
      <c r="E2563">
        <f>VLOOKUP($C2563,products!$A$1:$F$322,MATCH(order_items!$E$1,products!$A$1:$F$1,0),FALSE)</f>
        <v>3</v>
      </c>
      <c r="F2563" t="str">
        <f>VLOOKUP($E2563,categories!$A$1:$B$8,MATCH(order_items!$F$1,categories!$A$1:$B$1,0),FALSE)</f>
        <v>Cruisers Bicycles</v>
      </c>
      <c r="G2563">
        <v>2</v>
      </c>
      <c r="H2563">
        <v>416.99</v>
      </c>
      <c r="I2563" s="5">
        <v>7.0000000000000007E-2</v>
      </c>
      <c r="J2563">
        <f t="shared" si="80"/>
        <v>775.60140000000001</v>
      </c>
      <c r="K2563" s="9">
        <f t="shared" si="81"/>
        <v>-0.58826372462468679</v>
      </c>
    </row>
    <row r="2564" spans="1:11" x14ac:dyDescent="0.3">
      <c r="A2564">
        <v>899</v>
      </c>
      <c r="B2564">
        <v>1</v>
      </c>
      <c r="C2564">
        <v>59</v>
      </c>
      <c r="D2564" t="str">
        <f>VLOOKUP($C2564,products!$A$1:$F$322,MATCH(order_items!$D$1,products!$A$1:$F$1,0),FALSE)</f>
        <v>Trek Domane S 5 Disc - 2017</v>
      </c>
      <c r="E2564">
        <f>VLOOKUP($C2564,products!$A$1:$F$322,MATCH(order_items!$E$1,products!$A$1:$F$1,0),FALSE)</f>
        <v>7</v>
      </c>
      <c r="F2564" t="str">
        <f>VLOOKUP($E2564,categories!$A$1:$B$8,MATCH(order_items!$F$1,categories!$A$1:$B$1,0),FALSE)</f>
        <v>Road Bikes</v>
      </c>
      <c r="G2564">
        <v>2</v>
      </c>
      <c r="H2564">
        <v>2599.9899999999998</v>
      </c>
      <c r="I2564" s="5">
        <v>0.1</v>
      </c>
      <c r="J2564">
        <f t="shared" si="80"/>
        <v>4679.982</v>
      </c>
      <c r="K2564" s="9">
        <f t="shared" si="81"/>
        <v>1.025599375080666</v>
      </c>
    </row>
    <row r="2565" spans="1:11" x14ac:dyDescent="0.3">
      <c r="A2565">
        <v>899</v>
      </c>
      <c r="B2565">
        <v>2</v>
      </c>
      <c r="C2565">
        <v>17</v>
      </c>
      <c r="D2565" t="str">
        <f>VLOOKUP($C2565,products!$A$1:$F$322,MATCH(order_items!$D$1,products!$A$1:$F$1,0),FALSE)</f>
        <v>Pure Cycles Vine 8-Speed - 2016</v>
      </c>
      <c r="E2565">
        <f>VLOOKUP($C2565,products!$A$1:$F$322,MATCH(order_items!$E$1,products!$A$1:$F$1,0),FALSE)</f>
        <v>3</v>
      </c>
      <c r="F2565" t="str">
        <f>VLOOKUP($E2565,categories!$A$1:$B$8,MATCH(order_items!$F$1,categories!$A$1:$B$1,0),FALSE)</f>
        <v>Cruisers Bicycles</v>
      </c>
      <c r="G2565">
        <v>1</v>
      </c>
      <c r="H2565">
        <v>429</v>
      </c>
      <c r="I2565" s="5">
        <v>0.1</v>
      </c>
      <c r="J2565">
        <f t="shared" si="80"/>
        <v>386.1</v>
      </c>
      <c r="K2565" s="9">
        <f t="shared" si="81"/>
        <v>-0.57938489007248284</v>
      </c>
    </row>
    <row r="2566" spans="1:11" x14ac:dyDescent="0.3">
      <c r="A2566">
        <v>899</v>
      </c>
      <c r="B2566">
        <v>3</v>
      </c>
      <c r="C2566">
        <v>6</v>
      </c>
      <c r="D2566" t="str">
        <f>VLOOKUP($C2566,products!$A$1:$F$322,MATCH(order_items!$D$1,products!$A$1:$F$1,0),FALSE)</f>
        <v>Surly Ice Cream Truck Frameset - 2016</v>
      </c>
      <c r="E2566">
        <f>VLOOKUP($C2566,products!$A$1:$F$322,MATCH(order_items!$E$1,products!$A$1:$F$1,0),FALSE)</f>
        <v>6</v>
      </c>
      <c r="F2566" t="str">
        <f>VLOOKUP($E2566,categories!$A$1:$B$8,MATCH(order_items!$F$1,categories!$A$1:$B$1,0),FALSE)</f>
        <v>Mountain Bikes</v>
      </c>
      <c r="G2566">
        <v>1</v>
      </c>
      <c r="H2566">
        <v>469.99</v>
      </c>
      <c r="I2566" s="5">
        <v>0.2</v>
      </c>
      <c r="J2566">
        <f t="shared" si="80"/>
        <v>375.99200000000002</v>
      </c>
      <c r="K2566" s="9">
        <f t="shared" si="81"/>
        <v>-0.5490815238530955</v>
      </c>
    </row>
    <row r="2567" spans="1:11" x14ac:dyDescent="0.3">
      <c r="A2567">
        <v>900</v>
      </c>
      <c r="B2567">
        <v>1</v>
      </c>
      <c r="C2567">
        <v>26</v>
      </c>
      <c r="D2567" t="str">
        <f>VLOOKUP($C2567,products!$A$1:$F$322,MATCH(order_items!$D$1,products!$A$1:$F$1,0),FALSE)</f>
        <v>Electra Townie Original 7D EQ - 2016</v>
      </c>
      <c r="E2567">
        <f>VLOOKUP($C2567,products!$A$1:$F$322,MATCH(order_items!$E$1,products!$A$1:$F$1,0),FALSE)</f>
        <v>2</v>
      </c>
      <c r="F2567" t="str">
        <f>VLOOKUP($E2567,categories!$A$1:$B$8,MATCH(order_items!$F$1,categories!$A$1:$B$1,0),FALSE)</f>
        <v>Comfort Bicycles</v>
      </c>
      <c r="G2567">
        <v>2</v>
      </c>
      <c r="H2567">
        <v>599.99</v>
      </c>
      <c r="I2567" s="5">
        <v>0.05</v>
      </c>
      <c r="J2567">
        <f t="shared" si="80"/>
        <v>1139.981</v>
      </c>
      <c r="K2567" s="9">
        <f t="shared" si="81"/>
        <v>-0.45297423894164529</v>
      </c>
    </row>
    <row r="2568" spans="1:11" x14ac:dyDescent="0.3">
      <c r="A2568">
        <v>900</v>
      </c>
      <c r="B2568">
        <v>2</v>
      </c>
      <c r="C2568">
        <v>108</v>
      </c>
      <c r="D2568" t="str">
        <f>VLOOKUP($C2568,products!$A$1:$F$322,MATCH(order_items!$D$1,products!$A$1:$F$1,0),FALSE)</f>
        <v>Sun Bicycles Cruz 3 - Women's - 2017</v>
      </c>
      <c r="E2568">
        <f>VLOOKUP($C2568,products!$A$1:$F$322,MATCH(order_items!$E$1,products!$A$1:$F$1,0),FALSE)</f>
        <v>2</v>
      </c>
      <c r="F2568" t="str">
        <f>VLOOKUP($E2568,categories!$A$1:$B$8,MATCH(order_items!$F$1,categories!$A$1:$B$1,0),FALSE)</f>
        <v>Comfort Bicycles</v>
      </c>
      <c r="G2568">
        <v>1</v>
      </c>
      <c r="H2568">
        <v>449.99</v>
      </c>
      <c r="I2568" s="5">
        <v>7.0000000000000007E-2</v>
      </c>
      <c r="J2568">
        <f t="shared" si="80"/>
        <v>418.4907</v>
      </c>
      <c r="K2568" s="9">
        <f t="shared" si="81"/>
        <v>-0.56386725999331866</v>
      </c>
    </row>
    <row r="2569" spans="1:11" x14ac:dyDescent="0.3">
      <c r="A2569">
        <v>900</v>
      </c>
      <c r="B2569">
        <v>3</v>
      </c>
      <c r="C2569">
        <v>89</v>
      </c>
      <c r="D2569" t="str">
        <f>VLOOKUP($C2569,products!$A$1:$F$322,MATCH(order_items!$D$1,products!$A$1:$F$1,0),FALSE)</f>
        <v>Trek Precaliber 16 Boys - 2017</v>
      </c>
      <c r="E2569">
        <f>VLOOKUP($C2569,products!$A$1:$F$322,MATCH(order_items!$E$1,products!$A$1:$F$1,0),FALSE)</f>
        <v>1</v>
      </c>
      <c r="F2569" t="str">
        <f>VLOOKUP($E2569,categories!$A$1:$B$8,MATCH(order_items!$F$1,categories!$A$1:$B$1,0),FALSE)</f>
        <v>Children Bicycles</v>
      </c>
      <c r="G2569">
        <v>1</v>
      </c>
      <c r="H2569">
        <v>209.99</v>
      </c>
      <c r="I2569" s="5">
        <v>0.2</v>
      </c>
      <c r="J2569">
        <f t="shared" si="80"/>
        <v>167.99200000000002</v>
      </c>
      <c r="K2569" s="9">
        <f t="shared" si="81"/>
        <v>-0.74129609367599603</v>
      </c>
    </row>
    <row r="2570" spans="1:11" x14ac:dyDescent="0.3">
      <c r="A2570">
        <v>900</v>
      </c>
      <c r="B2570">
        <v>4</v>
      </c>
      <c r="C2570">
        <v>61</v>
      </c>
      <c r="D2570" t="str">
        <f>VLOOKUP($C2570,products!$A$1:$F$322,MATCH(order_items!$D$1,products!$A$1:$F$1,0),FALSE)</f>
        <v>Trek Powerfly 8 FS Plus - 2017</v>
      </c>
      <c r="E2570">
        <f>VLOOKUP($C2570,products!$A$1:$F$322,MATCH(order_items!$E$1,products!$A$1:$F$1,0),FALSE)</f>
        <v>5</v>
      </c>
      <c r="F2570" t="str">
        <f>VLOOKUP($E2570,categories!$A$1:$B$8,MATCH(order_items!$F$1,categories!$A$1:$B$1,0),FALSE)</f>
        <v>Electric Bikes</v>
      </c>
      <c r="G2570">
        <v>2</v>
      </c>
      <c r="H2570">
        <v>4999.99</v>
      </c>
      <c r="I2570" s="5">
        <v>0.05</v>
      </c>
      <c r="J2570">
        <f t="shared" si="80"/>
        <v>9499.9809999999998</v>
      </c>
      <c r="K2570" s="9">
        <f t="shared" si="81"/>
        <v>2.7998877119074401</v>
      </c>
    </row>
    <row r="2571" spans="1:11" x14ac:dyDescent="0.3">
      <c r="A2571">
        <v>900</v>
      </c>
      <c r="B2571">
        <v>5</v>
      </c>
      <c r="C2571">
        <v>28</v>
      </c>
      <c r="D2571" t="str">
        <f>VLOOKUP($C2571,products!$A$1:$F$322,MATCH(order_items!$D$1,products!$A$1:$F$1,0),FALSE)</f>
        <v>Surly Karate Monkey 27.5+ Frameset - 2017</v>
      </c>
      <c r="E2571">
        <f>VLOOKUP($C2571,products!$A$1:$F$322,MATCH(order_items!$E$1,products!$A$1:$F$1,0),FALSE)</f>
        <v>6</v>
      </c>
      <c r="F2571" t="str">
        <f>VLOOKUP($E2571,categories!$A$1:$B$8,MATCH(order_items!$F$1,categories!$A$1:$B$1,0),FALSE)</f>
        <v>Mountain Bikes</v>
      </c>
      <c r="G2571">
        <v>2</v>
      </c>
      <c r="H2571">
        <v>2499.9899999999998</v>
      </c>
      <c r="I2571" s="5">
        <v>7.0000000000000007E-2</v>
      </c>
      <c r="J2571">
        <f t="shared" si="80"/>
        <v>4649.9813999999997</v>
      </c>
      <c r="K2571" s="9">
        <f t="shared" si="81"/>
        <v>0.95167069437955054</v>
      </c>
    </row>
    <row r="2572" spans="1:11" x14ac:dyDescent="0.3">
      <c r="A2572">
        <v>901</v>
      </c>
      <c r="B2572">
        <v>1</v>
      </c>
      <c r="C2572">
        <v>50</v>
      </c>
      <c r="D2572" t="str">
        <f>VLOOKUP($C2572,products!$A$1:$F$322,MATCH(order_items!$D$1,products!$A$1:$F$1,0),FALSE)</f>
        <v>Trek Silque SLR 7 Women's - 2017</v>
      </c>
      <c r="E2572">
        <f>VLOOKUP($C2572,products!$A$1:$F$322,MATCH(order_items!$E$1,products!$A$1:$F$1,0),FALSE)</f>
        <v>7</v>
      </c>
      <c r="F2572" t="str">
        <f>VLOOKUP($E2572,categories!$A$1:$B$8,MATCH(order_items!$F$1,categories!$A$1:$B$1,0),FALSE)</f>
        <v>Road Bikes</v>
      </c>
      <c r="G2572">
        <v>1</v>
      </c>
      <c r="H2572">
        <v>5999.99</v>
      </c>
      <c r="I2572" s="5">
        <v>0.2</v>
      </c>
      <c r="J2572">
        <f t="shared" si="80"/>
        <v>4799.9920000000002</v>
      </c>
      <c r="K2572" s="9">
        <f t="shared" si="81"/>
        <v>3.5391745189185961</v>
      </c>
    </row>
    <row r="2573" spans="1:11" x14ac:dyDescent="0.3">
      <c r="A2573">
        <v>901</v>
      </c>
      <c r="B2573">
        <v>2</v>
      </c>
      <c r="C2573">
        <v>43</v>
      </c>
      <c r="D2573" t="str">
        <f>VLOOKUP($C2573,products!$A$1:$F$322,MATCH(order_items!$D$1,products!$A$1:$F$1,0),FALSE)</f>
        <v>Trek Fuel EX 9.8 27.5 Plus - 2017</v>
      </c>
      <c r="E2573">
        <f>VLOOKUP($C2573,products!$A$1:$F$322,MATCH(order_items!$E$1,products!$A$1:$F$1,0),FALSE)</f>
        <v>6</v>
      </c>
      <c r="F2573" t="str">
        <f>VLOOKUP($E2573,categories!$A$1:$B$8,MATCH(order_items!$F$1,categories!$A$1:$B$1,0),FALSE)</f>
        <v>Mountain Bikes</v>
      </c>
      <c r="G2573">
        <v>1</v>
      </c>
      <c r="H2573">
        <v>5299.99</v>
      </c>
      <c r="I2573" s="5">
        <v>7.0000000000000007E-2</v>
      </c>
      <c r="J2573">
        <f t="shared" si="80"/>
        <v>4928.9906999999994</v>
      </c>
      <c r="K2573" s="9">
        <f t="shared" si="81"/>
        <v>3.021673754010787</v>
      </c>
    </row>
    <row r="2574" spans="1:11" x14ac:dyDescent="0.3">
      <c r="A2574">
        <v>902</v>
      </c>
      <c r="B2574">
        <v>1</v>
      </c>
      <c r="C2574">
        <v>38</v>
      </c>
      <c r="D2574" t="str">
        <f>VLOOKUP($C2574,products!$A$1:$F$322,MATCH(order_items!$D$1,products!$A$1:$F$1,0),FALSE)</f>
        <v>Haro Flightline Two 26 Plus - 2017</v>
      </c>
      <c r="E2574">
        <f>VLOOKUP($C2574,products!$A$1:$F$322,MATCH(order_items!$E$1,products!$A$1:$F$1,0),FALSE)</f>
        <v>6</v>
      </c>
      <c r="F2574" t="str">
        <f>VLOOKUP($E2574,categories!$A$1:$B$8,MATCH(order_items!$F$1,categories!$A$1:$B$1,0),FALSE)</f>
        <v>Mountain Bikes</v>
      </c>
      <c r="G2574">
        <v>2</v>
      </c>
      <c r="H2574">
        <v>549.99</v>
      </c>
      <c r="I2574" s="5">
        <v>7.0000000000000007E-2</v>
      </c>
      <c r="J2574">
        <f t="shared" si="80"/>
        <v>1022.9813999999999</v>
      </c>
      <c r="K2574" s="9">
        <f t="shared" si="81"/>
        <v>-0.48993857929220308</v>
      </c>
    </row>
    <row r="2575" spans="1:11" x14ac:dyDescent="0.3">
      <c r="A2575">
        <v>902</v>
      </c>
      <c r="B2575">
        <v>2</v>
      </c>
      <c r="C2575">
        <v>92</v>
      </c>
      <c r="D2575" t="str">
        <f>VLOOKUP($C2575,products!$A$1:$F$322,MATCH(order_items!$D$1,products!$A$1:$F$1,0),FALSE)</f>
        <v>Haro Shredder 20 - 2017</v>
      </c>
      <c r="E2575">
        <f>VLOOKUP($C2575,products!$A$1:$F$322,MATCH(order_items!$E$1,products!$A$1:$F$1,0),FALSE)</f>
        <v>1</v>
      </c>
      <c r="F2575" t="str">
        <f>VLOOKUP($E2575,categories!$A$1:$B$8,MATCH(order_items!$F$1,categories!$A$1:$B$1,0),FALSE)</f>
        <v>Children Bicycles</v>
      </c>
      <c r="G2575">
        <v>1</v>
      </c>
      <c r="H2575">
        <v>209.99</v>
      </c>
      <c r="I2575" s="5">
        <v>7.0000000000000007E-2</v>
      </c>
      <c r="J2575">
        <f t="shared" si="80"/>
        <v>195.29069999999999</v>
      </c>
      <c r="K2575" s="9">
        <f t="shared" si="81"/>
        <v>-0.74129609367599603</v>
      </c>
    </row>
    <row r="2576" spans="1:11" x14ac:dyDescent="0.3">
      <c r="A2576">
        <v>902</v>
      </c>
      <c r="B2576">
        <v>3</v>
      </c>
      <c r="C2576">
        <v>12</v>
      </c>
      <c r="D2576" t="str">
        <f>VLOOKUP($C2576,products!$A$1:$F$322,MATCH(order_items!$D$1,products!$A$1:$F$1,0),FALSE)</f>
        <v>Electra Townie Original 21D - 2016</v>
      </c>
      <c r="E2576">
        <f>VLOOKUP($C2576,products!$A$1:$F$322,MATCH(order_items!$E$1,products!$A$1:$F$1,0),FALSE)</f>
        <v>3</v>
      </c>
      <c r="F2576" t="str">
        <f>VLOOKUP($E2576,categories!$A$1:$B$8,MATCH(order_items!$F$1,categories!$A$1:$B$1,0),FALSE)</f>
        <v>Cruisers Bicycles</v>
      </c>
      <c r="G2576">
        <v>1</v>
      </c>
      <c r="H2576">
        <v>549.99</v>
      </c>
      <c r="I2576" s="5">
        <v>0.2</v>
      </c>
      <c r="J2576">
        <f t="shared" si="80"/>
        <v>439.99200000000002</v>
      </c>
      <c r="K2576" s="9">
        <f t="shared" si="81"/>
        <v>-0.48993857929220308</v>
      </c>
    </row>
    <row r="2577" spans="1:11" x14ac:dyDescent="0.3">
      <c r="A2577">
        <v>902</v>
      </c>
      <c r="B2577">
        <v>4</v>
      </c>
      <c r="C2577">
        <v>76</v>
      </c>
      <c r="D2577" t="str">
        <f>VLOOKUP($C2577,products!$A$1:$F$322,MATCH(order_items!$D$1,products!$A$1:$F$1,0),FALSE)</f>
        <v>Electra Girl's Hawaii 1 16" - 2017</v>
      </c>
      <c r="E2577">
        <f>VLOOKUP($C2577,products!$A$1:$F$322,MATCH(order_items!$E$1,products!$A$1:$F$1,0),FALSE)</f>
        <v>3</v>
      </c>
      <c r="F2577" t="str">
        <f>VLOOKUP($E2577,categories!$A$1:$B$8,MATCH(order_items!$F$1,categories!$A$1:$B$1,0),FALSE)</f>
        <v>Cruisers Bicycles</v>
      </c>
      <c r="G2577">
        <v>2</v>
      </c>
      <c r="H2577">
        <v>299.99</v>
      </c>
      <c r="I2577" s="5">
        <v>0.05</v>
      </c>
      <c r="J2577">
        <f t="shared" si="80"/>
        <v>569.98099999999999</v>
      </c>
      <c r="K2577" s="9">
        <f t="shared" si="81"/>
        <v>-0.67476028104499197</v>
      </c>
    </row>
    <row r="2578" spans="1:11" x14ac:dyDescent="0.3">
      <c r="A2578">
        <v>903</v>
      </c>
      <c r="B2578">
        <v>1</v>
      </c>
      <c r="C2578">
        <v>31</v>
      </c>
      <c r="D2578" t="str">
        <f>VLOOKUP($C2578,products!$A$1:$F$322,MATCH(order_items!$D$1,products!$A$1:$F$1,0),FALSE)</f>
        <v>Surly Wednesday - 2017</v>
      </c>
      <c r="E2578">
        <f>VLOOKUP($C2578,products!$A$1:$F$322,MATCH(order_items!$E$1,products!$A$1:$F$1,0),FALSE)</f>
        <v>6</v>
      </c>
      <c r="F2578" t="str">
        <f>VLOOKUP($E2578,categories!$A$1:$B$8,MATCH(order_items!$F$1,categories!$A$1:$B$1,0),FALSE)</f>
        <v>Mountain Bikes</v>
      </c>
      <c r="G2578">
        <v>2</v>
      </c>
      <c r="H2578">
        <v>1632.99</v>
      </c>
      <c r="I2578" s="5">
        <v>7.0000000000000007E-2</v>
      </c>
      <c r="J2578">
        <f t="shared" si="80"/>
        <v>3037.3613999999998</v>
      </c>
      <c r="K2578" s="9">
        <f t="shared" si="81"/>
        <v>0.31070903270087863</v>
      </c>
    </row>
    <row r="2579" spans="1:11" x14ac:dyDescent="0.3">
      <c r="A2579">
        <v>903</v>
      </c>
      <c r="B2579">
        <v>2</v>
      </c>
      <c r="C2579">
        <v>48</v>
      </c>
      <c r="D2579" t="str">
        <f>VLOOKUP($C2579,products!$A$1:$F$322,MATCH(order_items!$D$1,products!$A$1:$F$1,0),FALSE)</f>
        <v>Trek Emonda S 4 - 2017</v>
      </c>
      <c r="E2579">
        <f>VLOOKUP($C2579,products!$A$1:$F$322,MATCH(order_items!$E$1,products!$A$1:$F$1,0),FALSE)</f>
        <v>7</v>
      </c>
      <c r="F2579" t="str">
        <f>VLOOKUP($E2579,categories!$A$1:$B$8,MATCH(order_items!$F$1,categories!$A$1:$B$1,0),FALSE)</f>
        <v>Road Bikes</v>
      </c>
      <c r="G2579">
        <v>2</v>
      </c>
      <c r="H2579">
        <v>1499.99</v>
      </c>
      <c r="I2579" s="5">
        <v>0.05</v>
      </c>
      <c r="J2579">
        <f t="shared" si="80"/>
        <v>2849.9809999999998</v>
      </c>
      <c r="K2579" s="9">
        <f t="shared" si="81"/>
        <v>0.21238388736839492</v>
      </c>
    </row>
    <row r="2580" spans="1:11" x14ac:dyDescent="0.3">
      <c r="A2580">
        <v>904</v>
      </c>
      <c r="B2580">
        <v>1</v>
      </c>
      <c r="C2580">
        <v>36</v>
      </c>
      <c r="D2580" t="str">
        <f>VLOOKUP($C2580,products!$A$1:$F$322,MATCH(order_items!$D$1,products!$A$1:$F$1,0),FALSE)</f>
        <v>Surly Troll Frameset - 2017</v>
      </c>
      <c r="E2580">
        <f>VLOOKUP($C2580,products!$A$1:$F$322,MATCH(order_items!$E$1,products!$A$1:$F$1,0),FALSE)</f>
        <v>6</v>
      </c>
      <c r="F2580" t="str">
        <f>VLOOKUP($E2580,categories!$A$1:$B$8,MATCH(order_items!$F$1,categories!$A$1:$B$1,0),FALSE)</f>
        <v>Mountain Bikes</v>
      </c>
      <c r="G2580">
        <v>2</v>
      </c>
      <c r="H2580">
        <v>832.99</v>
      </c>
      <c r="I2580" s="5">
        <v>0.1</v>
      </c>
      <c r="J2580">
        <f t="shared" si="80"/>
        <v>1499.3820000000001</v>
      </c>
      <c r="K2580" s="9">
        <f t="shared" si="81"/>
        <v>-0.280720412908046</v>
      </c>
    </row>
    <row r="2581" spans="1:11" x14ac:dyDescent="0.3">
      <c r="A2581">
        <v>904</v>
      </c>
      <c r="B2581">
        <v>2</v>
      </c>
      <c r="C2581">
        <v>51</v>
      </c>
      <c r="D2581" t="str">
        <f>VLOOKUP($C2581,products!$A$1:$F$322,MATCH(order_items!$D$1,products!$A$1:$F$1,0),FALSE)</f>
        <v>Trek Silque SLR 8 Women's - 2017</v>
      </c>
      <c r="E2581">
        <f>VLOOKUP($C2581,products!$A$1:$F$322,MATCH(order_items!$E$1,products!$A$1:$F$1,0),FALSE)</f>
        <v>7</v>
      </c>
      <c r="F2581" t="str">
        <f>VLOOKUP($E2581,categories!$A$1:$B$8,MATCH(order_items!$F$1,categories!$A$1:$B$1,0),FALSE)</f>
        <v>Road Bikes</v>
      </c>
      <c r="G2581">
        <v>2</v>
      </c>
      <c r="H2581">
        <v>6499.99</v>
      </c>
      <c r="I2581" s="5">
        <v>7.0000000000000007E-2</v>
      </c>
      <c r="J2581">
        <f t="shared" si="80"/>
        <v>12089.981399999999</v>
      </c>
      <c r="K2581" s="9">
        <f t="shared" si="81"/>
        <v>3.9088179224241739</v>
      </c>
    </row>
    <row r="2582" spans="1:11" x14ac:dyDescent="0.3">
      <c r="A2582">
        <v>904</v>
      </c>
      <c r="B2582">
        <v>3</v>
      </c>
      <c r="C2582">
        <v>92</v>
      </c>
      <c r="D2582" t="str">
        <f>VLOOKUP($C2582,products!$A$1:$F$322,MATCH(order_items!$D$1,products!$A$1:$F$1,0),FALSE)</f>
        <v>Haro Shredder 20 - 2017</v>
      </c>
      <c r="E2582">
        <f>VLOOKUP($C2582,products!$A$1:$F$322,MATCH(order_items!$E$1,products!$A$1:$F$1,0),FALSE)</f>
        <v>1</v>
      </c>
      <c r="F2582" t="str">
        <f>VLOOKUP($E2582,categories!$A$1:$B$8,MATCH(order_items!$F$1,categories!$A$1:$B$1,0),FALSE)</f>
        <v>Children Bicycles</v>
      </c>
      <c r="G2582">
        <v>2</v>
      </c>
      <c r="H2582">
        <v>209.99</v>
      </c>
      <c r="I2582" s="5">
        <v>0.2</v>
      </c>
      <c r="J2582">
        <f t="shared" si="80"/>
        <v>335.98400000000004</v>
      </c>
      <c r="K2582" s="9">
        <f t="shared" si="81"/>
        <v>-0.74129609367599603</v>
      </c>
    </row>
    <row r="2583" spans="1:11" x14ac:dyDescent="0.3">
      <c r="A2583">
        <v>904</v>
      </c>
      <c r="B2583">
        <v>4</v>
      </c>
      <c r="C2583">
        <v>13</v>
      </c>
      <c r="D2583" t="str">
        <f>VLOOKUP($C2583,products!$A$1:$F$322,MATCH(order_items!$D$1,products!$A$1:$F$1,0),FALSE)</f>
        <v>Electra Cruiser 1 (24-Inch) - 2016</v>
      </c>
      <c r="E2583">
        <f>VLOOKUP($C2583,products!$A$1:$F$322,MATCH(order_items!$E$1,products!$A$1:$F$1,0),FALSE)</f>
        <v>3</v>
      </c>
      <c r="F2583" t="str">
        <f>VLOOKUP($E2583,categories!$A$1:$B$8,MATCH(order_items!$F$1,categories!$A$1:$B$1,0),FALSE)</f>
        <v>Cruisers Bicycles</v>
      </c>
      <c r="G2583">
        <v>1</v>
      </c>
      <c r="H2583">
        <v>269.99</v>
      </c>
      <c r="I2583" s="5">
        <v>0.2</v>
      </c>
      <c r="J2583">
        <f t="shared" si="80"/>
        <v>215.99200000000002</v>
      </c>
      <c r="K2583" s="9">
        <f t="shared" si="81"/>
        <v>-0.69693888525532666</v>
      </c>
    </row>
    <row r="2584" spans="1:11" x14ac:dyDescent="0.3">
      <c r="A2584">
        <v>905</v>
      </c>
      <c r="B2584">
        <v>1</v>
      </c>
      <c r="C2584">
        <v>67</v>
      </c>
      <c r="D2584" t="str">
        <f>VLOOKUP($C2584,products!$A$1:$F$322,MATCH(order_items!$D$1,products!$A$1:$F$1,0),FALSE)</f>
        <v>Sun Bicycles Revolutions 24 - Girl's - 2017</v>
      </c>
      <c r="E2584">
        <f>VLOOKUP($C2584,products!$A$1:$F$322,MATCH(order_items!$E$1,products!$A$1:$F$1,0),FALSE)</f>
        <v>3</v>
      </c>
      <c r="F2584" t="str">
        <f>VLOOKUP($E2584,categories!$A$1:$B$8,MATCH(order_items!$F$1,categories!$A$1:$B$1,0),FALSE)</f>
        <v>Cruisers Bicycles</v>
      </c>
      <c r="G2584">
        <v>1</v>
      </c>
      <c r="H2584">
        <v>250.99</v>
      </c>
      <c r="I2584" s="5">
        <v>0.1</v>
      </c>
      <c r="J2584">
        <f t="shared" si="80"/>
        <v>225.89100000000002</v>
      </c>
      <c r="K2584" s="9">
        <f t="shared" si="81"/>
        <v>-0.71098533458853863</v>
      </c>
    </row>
    <row r="2585" spans="1:11" x14ac:dyDescent="0.3">
      <c r="A2585">
        <v>905</v>
      </c>
      <c r="B2585">
        <v>2</v>
      </c>
      <c r="C2585">
        <v>62</v>
      </c>
      <c r="D2585" t="str">
        <f>VLOOKUP($C2585,products!$A$1:$F$322,MATCH(order_items!$D$1,products!$A$1:$F$1,0),FALSE)</f>
        <v>Trek Boone 7 - 2017</v>
      </c>
      <c r="E2585">
        <f>VLOOKUP($C2585,products!$A$1:$F$322,MATCH(order_items!$E$1,products!$A$1:$F$1,0),FALSE)</f>
        <v>4</v>
      </c>
      <c r="F2585" t="str">
        <f>VLOOKUP($E2585,categories!$A$1:$B$8,MATCH(order_items!$F$1,categories!$A$1:$B$1,0),FALSE)</f>
        <v>Cyclocross Bicycles</v>
      </c>
      <c r="G2585">
        <v>2</v>
      </c>
      <c r="H2585">
        <v>3499.99</v>
      </c>
      <c r="I2585" s="5">
        <v>0.05</v>
      </c>
      <c r="J2585">
        <f t="shared" si="80"/>
        <v>6649.9809999999989</v>
      </c>
      <c r="K2585" s="9">
        <f t="shared" si="81"/>
        <v>1.6909575013907066</v>
      </c>
    </row>
    <row r="2586" spans="1:11" x14ac:dyDescent="0.3">
      <c r="A2586">
        <v>905</v>
      </c>
      <c r="B2586">
        <v>3</v>
      </c>
      <c r="C2586">
        <v>42</v>
      </c>
      <c r="D2586" t="str">
        <f>VLOOKUP($C2586,products!$A$1:$F$322,MATCH(order_items!$D$1,products!$A$1:$F$1,0),FALSE)</f>
        <v>Trek Fuel EX 5 27.5 Plus - 2017</v>
      </c>
      <c r="E2586">
        <f>VLOOKUP($C2586,products!$A$1:$F$322,MATCH(order_items!$E$1,products!$A$1:$F$1,0),FALSE)</f>
        <v>6</v>
      </c>
      <c r="F2586" t="str">
        <f>VLOOKUP($E2586,categories!$A$1:$B$8,MATCH(order_items!$F$1,categories!$A$1:$B$1,0),FALSE)</f>
        <v>Mountain Bikes</v>
      </c>
      <c r="G2586">
        <v>2</v>
      </c>
      <c r="H2586">
        <v>2299.9899999999998</v>
      </c>
      <c r="I2586" s="5">
        <v>0.2</v>
      </c>
      <c r="J2586">
        <f t="shared" si="80"/>
        <v>3679.9839999999999</v>
      </c>
      <c r="K2586" s="9">
        <f t="shared" si="81"/>
        <v>0.80381333297731938</v>
      </c>
    </row>
    <row r="2587" spans="1:11" x14ac:dyDescent="0.3">
      <c r="A2587">
        <v>905</v>
      </c>
      <c r="B2587">
        <v>4</v>
      </c>
      <c r="C2587">
        <v>20</v>
      </c>
      <c r="D2587" t="str">
        <f>VLOOKUP($C2587,products!$A$1:$F$322,MATCH(order_items!$D$1,products!$A$1:$F$1,0),FALSE)</f>
        <v>Electra Townie Original 7D EQ - Women's - 2016</v>
      </c>
      <c r="E2587">
        <f>VLOOKUP($C2587,products!$A$1:$F$322,MATCH(order_items!$E$1,products!$A$1:$F$1,0),FALSE)</f>
        <v>3</v>
      </c>
      <c r="F2587" t="str">
        <f>VLOOKUP($E2587,categories!$A$1:$B$8,MATCH(order_items!$F$1,categories!$A$1:$B$1,0),FALSE)</f>
        <v>Cruisers Bicycles</v>
      </c>
      <c r="G2587">
        <v>1</v>
      </c>
      <c r="H2587">
        <v>599.99</v>
      </c>
      <c r="I2587" s="5">
        <v>0.2</v>
      </c>
      <c r="J2587">
        <f t="shared" si="80"/>
        <v>479.99200000000002</v>
      </c>
      <c r="K2587" s="9">
        <f t="shared" si="81"/>
        <v>-0.45297423894164529</v>
      </c>
    </row>
    <row r="2588" spans="1:11" x14ac:dyDescent="0.3">
      <c r="A2588">
        <v>906</v>
      </c>
      <c r="B2588">
        <v>1</v>
      </c>
      <c r="C2588">
        <v>23</v>
      </c>
      <c r="D2588" t="str">
        <f>VLOOKUP($C2588,products!$A$1:$F$322,MATCH(order_items!$D$1,products!$A$1:$F$1,0),FALSE)</f>
        <v>Electra Girl's Hawaii 1 (20-inch) - 2015/2016</v>
      </c>
      <c r="E2588">
        <f>VLOOKUP($C2588,products!$A$1:$F$322,MATCH(order_items!$E$1,products!$A$1:$F$1,0),FALSE)</f>
        <v>1</v>
      </c>
      <c r="F2588" t="str">
        <f>VLOOKUP($E2588,categories!$A$1:$B$8,MATCH(order_items!$F$1,categories!$A$1:$B$1,0),FALSE)</f>
        <v>Children Bicycles</v>
      </c>
      <c r="G2588">
        <v>2</v>
      </c>
      <c r="H2588">
        <v>299.99</v>
      </c>
      <c r="I2588" s="5">
        <v>0.2</v>
      </c>
      <c r="J2588">
        <f t="shared" si="80"/>
        <v>479.98400000000004</v>
      </c>
      <c r="K2588" s="9">
        <f t="shared" si="81"/>
        <v>-0.67476028104499197</v>
      </c>
    </row>
    <row r="2589" spans="1:11" x14ac:dyDescent="0.3">
      <c r="A2589">
        <v>906</v>
      </c>
      <c r="B2589">
        <v>2</v>
      </c>
      <c r="C2589">
        <v>28</v>
      </c>
      <c r="D2589" t="str">
        <f>VLOOKUP($C2589,products!$A$1:$F$322,MATCH(order_items!$D$1,products!$A$1:$F$1,0),FALSE)</f>
        <v>Surly Karate Monkey 27.5+ Frameset - 2017</v>
      </c>
      <c r="E2589">
        <f>VLOOKUP($C2589,products!$A$1:$F$322,MATCH(order_items!$E$1,products!$A$1:$F$1,0),FALSE)</f>
        <v>6</v>
      </c>
      <c r="F2589" t="str">
        <f>VLOOKUP($E2589,categories!$A$1:$B$8,MATCH(order_items!$F$1,categories!$A$1:$B$1,0),FALSE)</f>
        <v>Mountain Bikes</v>
      </c>
      <c r="G2589">
        <v>2</v>
      </c>
      <c r="H2589">
        <v>2499.9899999999998</v>
      </c>
      <c r="I2589" s="5">
        <v>7.0000000000000007E-2</v>
      </c>
      <c r="J2589">
        <f t="shared" si="80"/>
        <v>4649.9813999999997</v>
      </c>
      <c r="K2589" s="9">
        <f t="shared" si="81"/>
        <v>0.95167069437955054</v>
      </c>
    </row>
    <row r="2590" spans="1:11" x14ac:dyDescent="0.3">
      <c r="A2590">
        <v>906</v>
      </c>
      <c r="B2590">
        <v>3</v>
      </c>
      <c r="C2590">
        <v>46</v>
      </c>
      <c r="D2590" t="str">
        <f>VLOOKUP($C2590,products!$A$1:$F$322,MATCH(order_items!$D$1,products!$A$1:$F$1,0),FALSE)</f>
        <v>Haro SR 1.3 - 2017</v>
      </c>
      <c r="E2590">
        <f>VLOOKUP($C2590,products!$A$1:$F$322,MATCH(order_items!$E$1,products!$A$1:$F$1,0),FALSE)</f>
        <v>6</v>
      </c>
      <c r="F2590" t="str">
        <f>VLOOKUP($E2590,categories!$A$1:$B$8,MATCH(order_items!$F$1,categories!$A$1:$B$1,0),FALSE)</f>
        <v>Mountain Bikes</v>
      </c>
      <c r="G2590">
        <v>1</v>
      </c>
      <c r="H2590">
        <v>1409.99</v>
      </c>
      <c r="I2590" s="5">
        <v>0.05</v>
      </c>
      <c r="J2590">
        <f t="shared" si="80"/>
        <v>1339.4904999999999</v>
      </c>
      <c r="K2590" s="9">
        <f t="shared" si="81"/>
        <v>0.14584807473739089</v>
      </c>
    </row>
    <row r="2591" spans="1:11" x14ac:dyDescent="0.3">
      <c r="A2591">
        <v>906</v>
      </c>
      <c r="B2591">
        <v>4</v>
      </c>
      <c r="C2591">
        <v>102</v>
      </c>
      <c r="D2591" t="str">
        <f>VLOOKUP($C2591,products!$A$1:$F$322,MATCH(order_items!$D$1,products!$A$1:$F$1,0),FALSE)</f>
        <v>Electra Townie Original 7D - 2017</v>
      </c>
      <c r="E2591">
        <f>VLOOKUP($C2591,products!$A$1:$F$322,MATCH(order_items!$E$1,products!$A$1:$F$1,0),FALSE)</f>
        <v>2</v>
      </c>
      <c r="F2591" t="str">
        <f>VLOOKUP($E2591,categories!$A$1:$B$8,MATCH(order_items!$F$1,categories!$A$1:$B$1,0),FALSE)</f>
        <v>Comfort Bicycles</v>
      </c>
      <c r="G2591">
        <v>2</v>
      </c>
      <c r="H2591">
        <v>489.99</v>
      </c>
      <c r="I2591" s="5">
        <v>0.1</v>
      </c>
      <c r="J2591">
        <f t="shared" si="80"/>
        <v>881.98200000000008</v>
      </c>
      <c r="K2591" s="9">
        <f t="shared" si="81"/>
        <v>-0.53429578771287245</v>
      </c>
    </row>
    <row r="2592" spans="1:11" x14ac:dyDescent="0.3">
      <c r="A2592">
        <v>906</v>
      </c>
      <c r="B2592">
        <v>5</v>
      </c>
      <c r="C2592">
        <v>22</v>
      </c>
      <c r="D2592" t="str">
        <f>VLOOKUP($C2592,products!$A$1:$F$322,MATCH(order_items!$D$1,products!$A$1:$F$1,0),FALSE)</f>
        <v>Electra Girl's Hawaii 1 (16-inch) - 2015/2016</v>
      </c>
      <c r="E2592">
        <f>VLOOKUP($C2592,products!$A$1:$F$322,MATCH(order_items!$E$1,products!$A$1:$F$1,0),FALSE)</f>
        <v>1</v>
      </c>
      <c r="F2592" t="str">
        <f>VLOOKUP($E2592,categories!$A$1:$B$8,MATCH(order_items!$F$1,categories!$A$1:$B$1,0),FALSE)</f>
        <v>Children Bicycles</v>
      </c>
      <c r="G2592">
        <v>2</v>
      </c>
      <c r="H2592">
        <v>269.99</v>
      </c>
      <c r="I2592" s="5">
        <v>0.2</v>
      </c>
      <c r="J2592">
        <f t="shared" si="80"/>
        <v>431.98400000000004</v>
      </c>
      <c r="K2592" s="9">
        <f t="shared" si="81"/>
        <v>-0.69693888525532666</v>
      </c>
    </row>
    <row r="2593" spans="1:11" x14ac:dyDescent="0.3">
      <c r="A2593">
        <v>907</v>
      </c>
      <c r="B2593">
        <v>1</v>
      </c>
      <c r="C2593">
        <v>84</v>
      </c>
      <c r="D2593" t="str">
        <f>VLOOKUP($C2593,products!$A$1:$F$322,MATCH(order_items!$D$1,products!$A$1:$F$1,0),FALSE)</f>
        <v>Sun Bicycles Lil Kitt'n - 2017</v>
      </c>
      <c r="E2593">
        <f>VLOOKUP($C2593,products!$A$1:$F$322,MATCH(order_items!$E$1,products!$A$1:$F$1,0),FALSE)</f>
        <v>1</v>
      </c>
      <c r="F2593" t="str">
        <f>VLOOKUP($E2593,categories!$A$1:$B$8,MATCH(order_items!$F$1,categories!$A$1:$B$1,0),FALSE)</f>
        <v>Children Bicycles</v>
      </c>
      <c r="G2593">
        <v>2</v>
      </c>
      <c r="H2593">
        <v>109.99</v>
      </c>
      <c r="I2593" s="5">
        <v>7.0000000000000007E-2</v>
      </c>
      <c r="J2593">
        <f t="shared" si="80"/>
        <v>204.58139999999997</v>
      </c>
      <c r="K2593" s="9">
        <f t="shared" si="81"/>
        <v>-0.81522477437711161</v>
      </c>
    </row>
    <row r="2594" spans="1:11" x14ac:dyDescent="0.3">
      <c r="A2594">
        <v>907</v>
      </c>
      <c r="B2594">
        <v>2</v>
      </c>
      <c r="C2594">
        <v>65</v>
      </c>
      <c r="D2594" t="str">
        <f>VLOOKUP($C2594,products!$A$1:$F$322,MATCH(order_items!$D$1,products!$A$1:$F$1,0),FALSE)</f>
        <v>Sun Bicycles Lil Bolt Type-R - 2017</v>
      </c>
      <c r="E2594">
        <f>VLOOKUP($C2594,products!$A$1:$F$322,MATCH(order_items!$E$1,products!$A$1:$F$1,0),FALSE)</f>
        <v>3</v>
      </c>
      <c r="F2594" t="str">
        <f>VLOOKUP($E2594,categories!$A$1:$B$8,MATCH(order_items!$F$1,categories!$A$1:$B$1,0),FALSE)</f>
        <v>Cruisers Bicycles</v>
      </c>
      <c r="G2594">
        <v>1</v>
      </c>
      <c r="H2594">
        <v>346.99</v>
      </c>
      <c r="I2594" s="5">
        <v>7.0000000000000007E-2</v>
      </c>
      <c r="J2594">
        <f t="shared" si="80"/>
        <v>322.70069999999998</v>
      </c>
      <c r="K2594" s="9">
        <f t="shared" si="81"/>
        <v>-0.64001380111546768</v>
      </c>
    </row>
    <row r="2595" spans="1:11" x14ac:dyDescent="0.3">
      <c r="A2595">
        <v>908</v>
      </c>
      <c r="B2595">
        <v>1</v>
      </c>
      <c r="C2595">
        <v>41</v>
      </c>
      <c r="D2595" t="str">
        <f>VLOOKUP($C2595,products!$A$1:$F$322,MATCH(order_items!$D$1,products!$A$1:$F$1,0),FALSE)</f>
        <v>Haro Shift R3 - 2017</v>
      </c>
      <c r="E2595">
        <f>VLOOKUP($C2595,products!$A$1:$F$322,MATCH(order_items!$E$1,products!$A$1:$F$1,0),FALSE)</f>
        <v>6</v>
      </c>
      <c r="F2595" t="str">
        <f>VLOOKUP($E2595,categories!$A$1:$B$8,MATCH(order_items!$F$1,categories!$A$1:$B$1,0),FALSE)</f>
        <v>Mountain Bikes</v>
      </c>
      <c r="G2595">
        <v>1</v>
      </c>
      <c r="H2595">
        <v>1469.99</v>
      </c>
      <c r="I2595" s="5">
        <v>0.2</v>
      </c>
      <c r="J2595">
        <f t="shared" si="80"/>
        <v>1175.992</v>
      </c>
      <c r="K2595" s="9">
        <f t="shared" si="81"/>
        <v>0.19020528315806023</v>
      </c>
    </row>
    <row r="2596" spans="1:11" x14ac:dyDescent="0.3">
      <c r="A2596">
        <v>908</v>
      </c>
      <c r="B2596">
        <v>2</v>
      </c>
      <c r="C2596">
        <v>94</v>
      </c>
      <c r="D2596" t="str">
        <f>VLOOKUP($C2596,products!$A$1:$F$322,MATCH(order_items!$D$1,products!$A$1:$F$1,0),FALSE)</f>
        <v>Haro Shredder Pro 20 - 2017</v>
      </c>
      <c r="E2596">
        <f>VLOOKUP($C2596,products!$A$1:$F$322,MATCH(order_items!$E$1,products!$A$1:$F$1,0),FALSE)</f>
        <v>1</v>
      </c>
      <c r="F2596" t="str">
        <f>VLOOKUP($E2596,categories!$A$1:$B$8,MATCH(order_items!$F$1,categories!$A$1:$B$1,0),FALSE)</f>
        <v>Children Bicycles</v>
      </c>
      <c r="G2596">
        <v>1</v>
      </c>
      <c r="H2596">
        <v>249.99</v>
      </c>
      <c r="I2596" s="5">
        <v>0.1</v>
      </c>
      <c r="J2596">
        <f t="shared" si="80"/>
        <v>224.99100000000001</v>
      </c>
      <c r="K2596" s="9">
        <f t="shared" si="81"/>
        <v>-0.71172462139554982</v>
      </c>
    </row>
    <row r="2597" spans="1:11" x14ac:dyDescent="0.3">
      <c r="A2597">
        <v>908</v>
      </c>
      <c r="B2597">
        <v>3</v>
      </c>
      <c r="C2597">
        <v>102</v>
      </c>
      <c r="D2597" t="str">
        <f>VLOOKUP($C2597,products!$A$1:$F$322,MATCH(order_items!$D$1,products!$A$1:$F$1,0),FALSE)</f>
        <v>Electra Townie Original 7D - 2017</v>
      </c>
      <c r="E2597">
        <f>VLOOKUP($C2597,products!$A$1:$F$322,MATCH(order_items!$E$1,products!$A$1:$F$1,0),FALSE)</f>
        <v>2</v>
      </c>
      <c r="F2597" t="str">
        <f>VLOOKUP($E2597,categories!$A$1:$B$8,MATCH(order_items!$F$1,categories!$A$1:$B$1,0),FALSE)</f>
        <v>Comfort Bicycles</v>
      </c>
      <c r="G2597">
        <v>2</v>
      </c>
      <c r="H2597">
        <v>489.99</v>
      </c>
      <c r="I2597" s="5">
        <v>0.1</v>
      </c>
      <c r="J2597">
        <f t="shared" si="80"/>
        <v>881.98200000000008</v>
      </c>
      <c r="K2597" s="9">
        <f t="shared" si="81"/>
        <v>-0.53429578771287245</v>
      </c>
    </row>
    <row r="2598" spans="1:11" x14ac:dyDescent="0.3">
      <c r="A2598">
        <v>909</v>
      </c>
      <c r="B2598">
        <v>1</v>
      </c>
      <c r="C2598">
        <v>5</v>
      </c>
      <c r="D2598" t="str">
        <f>VLOOKUP($C2598,products!$A$1:$F$322,MATCH(order_items!$D$1,products!$A$1:$F$1,0),FALSE)</f>
        <v>Heller Shagamaw Frame - 2016</v>
      </c>
      <c r="E2598">
        <f>VLOOKUP($C2598,products!$A$1:$F$322,MATCH(order_items!$E$1,products!$A$1:$F$1,0),FALSE)</f>
        <v>6</v>
      </c>
      <c r="F2598" t="str">
        <f>VLOOKUP($E2598,categories!$A$1:$B$8,MATCH(order_items!$F$1,categories!$A$1:$B$1,0),FALSE)</f>
        <v>Mountain Bikes</v>
      </c>
      <c r="G2598">
        <v>1</v>
      </c>
      <c r="H2598">
        <v>1320.99</v>
      </c>
      <c r="I2598" s="5">
        <v>0.2</v>
      </c>
      <c r="J2598">
        <f t="shared" si="80"/>
        <v>1056.7920000000001</v>
      </c>
      <c r="K2598" s="9">
        <f t="shared" si="81"/>
        <v>8.0051548913398024E-2</v>
      </c>
    </row>
    <row r="2599" spans="1:11" x14ac:dyDescent="0.3">
      <c r="A2599">
        <v>910</v>
      </c>
      <c r="B2599">
        <v>1</v>
      </c>
      <c r="C2599">
        <v>23</v>
      </c>
      <c r="D2599" t="str">
        <f>VLOOKUP($C2599,products!$A$1:$F$322,MATCH(order_items!$D$1,products!$A$1:$F$1,0),FALSE)</f>
        <v>Electra Girl's Hawaii 1 (20-inch) - 2015/2016</v>
      </c>
      <c r="E2599">
        <f>VLOOKUP($C2599,products!$A$1:$F$322,MATCH(order_items!$E$1,products!$A$1:$F$1,0),FALSE)</f>
        <v>1</v>
      </c>
      <c r="F2599" t="str">
        <f>VLOOKUP($E2599,categories!$A$1:$B$8,MATCH(order_items!$F$1,categories!$A$1:$B$1,0),FALSE)</f>
        <v>Children Bicycles</v>
      </c>
      <c r="G2599">
        <v>1</v>
      </c>
      <c r="H2599">
        <v>299.99</v>
      </c>
      <c r="I2599" s="5">
        <v>0.1</v>
      </c>
      <c r="J2599">
        <f t="shared" si="80"/>
        <v>269.99100000000004</v>
      </c>
      <c r="K2599" s="9">
        <f t="shared" si="81"/>
        <v>-0.67476028104499197</v>
      </c>
    </row>
    <row r="2600" spans="1:11" x14ac:dyDescent="0.3">
      <c r="A2600">
        <v>911</v>
      </c>
      <c r="B2600">
        <v>1</v>
      </c>
      <c r="C2600">
        <v>66</v>
      </c>
      <c r="D2600" t="str">
        <f>VLOOKUP($C2600,products!$A$1:$F$322,MATCH(order_items!$D$1,products!$A$1:$F$1,0),FALSE)</f>
        <v>Sun Bicycles Revolutions 24 - 2017</v>
      </c>
      <c r="E2600">
        <f>VLOOKUP($C2600,products!$A$1:$F$322,MATCH(order_items!$E$1,products!$A$1:$F$1,0),FALSE)</f>
        <v>3</v>
      </c>
      <c r="F2600" t="str">
        <f>VLOOKUP($E2600,categories!$A$1:$B$8,MATCH(order_items!$F$1,categories!$A$1:$B$1,0),FALSE)</f>
        <v>Cruisers Bicycles</v>
      </c>
      <c r="G2600">
        <v>2</v>
      </c>
      <c r="H2600">
        <v>250.99</v>
      </c>
      <c r="I2600" s="5">
        <v>0.05</v>
      </c>
      <c r="J2600">
        <f t="shared" si="80"/>
        <v>476.88099999999997</v>
      </c>
      <c r="K2600" s="9">
        <f t="shared" si="81"/>
        <v>-0.71098533458853863</v>
      </c>
    </row>
    <row r="2601" spans="1:11" x14ac:dyDescent="0.3">
      <c r="A2601">
        <v>911</v>
      </c>
      <c r="B2601">
        <v>2</v>
      </c>
      <c r="C2601">
        <v>106</v>
      </c>
      <c r="D2601" t="str">
        <f>VLOOKUP($C2601,products!$A$1:$F$322,MATCH(order_items!$D$1,products!$A$1:$F$1,0),FALSE)</f>
        <v>Sun Bicycles Cruz 3 - 2017</v>
      </c>
      <c r="E2601">
        <f>VLOOKUP($C2601,products!$A$1:$F$322,MATCH(order_items!$E$1,products!$A$1:$F$1,0),FALSE)</f>
        <v>2</v>
      </c>
      <c r="F2601" t="str">
        <f>VLOOKUP($E2601,categories!$A$1:$B$8,MATCH(order_items!$F$1,categories!$A$1:$B$1,0),FALSE)</f>
        <v>Comfort Bicycles</v>
      </c>
      <c r="G2601">
        <v>1</v>
      </c>
      <c r="H2601">
        <v>449.99</v>
      </c>
      <c r="I2601" s="5">
        <v>0.05</v>
      </c>
      <c r="J2601">
        <f t="shared" si="80"/>
        <v>427.4905</v>
      </c>
      <c r="K2601" s="9">
        <f t="shared" si="81"/>
        <v>-0.56386725999331866</v>
      </c>
    </row>
    <row r="2602" spans="1:11" x14ac:dyDescent="0.3">
      <c r="A2602">
        <v>911</v>
      </c>
      <c r="B2602">
        <v>3</v>
      </c>
      <c r="C2602">
        <v>91</v>
      </c>
      <c r="D2602" t="str">
        <f>VLOOKUP($C2602,products!$A$1:$F$322,MATCH(order_items!$D$1,products!$A$1:$F$1,0),FALSE)</f>
        <v>Trek Precaliber 24 (21-Speed) - Girls - 2017</v>
      </c>
      <c r="E2602">
        <f>VLOOKUP($C2602,products!$A$1:$F$322,MATCH(order_items!$E$1,products!$A$1:$F$1,0),FALSE)</f>
        <v>1</v>
      </c>
      <c r="F2602" t="str">
        <f>VLOOKUP($E2602,categories!$A$1:$B$8,MATCH(order_items!$F$1,categories!$A$1:$B$1,0),FALSE)</f>
        <v>Children Bicycles</v>
      </c>
      <c r="G2602">
        <v>2</v>
      </c>
      <c r="H2602">
        <v>349.99</v>
      </c>
      <c r="I2602" s="5">
        <v>0.05</v>
      </c>
      <c r="J2602">
        <f t="shared" si="80"/>
        <v>664.98099999999999</v>
      </c>
      <c r="K2602" s="9">
        <f t="shared" si="81"/>
        <v>-0.63779594069443424</v>
      </c>
    </row>
    <row r="2603" spans="1:11" x14ac:dyDescent="0.3">
      <c r="A2603">
        <v>911</v>
      </c>
      <c r="B2603">
        <v>4</v>
      </c>
      <c r="C2603">
        <v>49</v>
      </c>
      <c r="D2603" t="str">
        <f>VLOOKUP($C2603,products!$A$1:$F$322,MATCH(order_items!$D$1,products!$A$1:$F$1,0),FALSE)</f>
        <v>Trek Domane SL 6 - 2017</v>
      </c>
      <c r="E2603">
        <f>VLOOKUP($C2603,products!$A$1:$F$322,MATCH(order_items!$E$1,products!$A$1:$F$1,0),FALSE)</f>
        <v>7</v>
      </c>
      <c r="F2603" t="str">
        <f>VLOOKUP($E2603,categories!$A$1:$B$8,MATCH(order_items!$F$1,categories!$A$1:$B$1,0),FALSE)</f>
        <v>Road Bikes</v>
      </c>
      <c r="G2603">
        <v>1</v>
      </c>
      <c r="H2603">
        <v>3499.99</v>
      </c>
      <c r="I2603" s="5">
        <v>0.2</v>
      </c>
      <c r="J2603">
        <f t="shared" si="80"/>
        <v>2799.9920000000002</v>
      </c>
      <c r="K2603" s="9">
        <f t="shared" si="81"/>
        <v>1.6909575013907066</v>
      </c>
    </row>
    <row r="2604" spans="1:11" x14ac:dyDescent="0.3">
      <c r="A2604">
        <v>912</v>
      </c>
      <c r="B2604">
        <v>1</v>
      </c>
      <c r="C2604">
        <v>22</v>
      </c>
      <c r="D2604" t="str">
        <f>VLOOKUP($C2604,products!$A$1:$F$322,MATCH(order_items!$D$1,products!$A$1:$F$1,0),FALSE)</f>
        <v>Electra Girl's Hawaii 1 (16-inch) - 2015/2016</v>
      </c>
      <c r="E2604">
        <f>VLOOKUP($C2604,products!$A$1:$F$322,MATCH(order_items!$E$1,products!$A$1:$F$1,0),FALSE)</f>
        <v>1</v>
      </c>
      <c r="F2604" t="str">
        <f>VLOOKUP($E2604,categories!$A$1:$B$8,MATCH(order_items!$F$1,categories!$A$1:$B$1,0),FALSE)</f>
        <v>Children Bicycles</v>
      </c>
      <c r="G2604">
        <v>2</v>
      </c>
      <c r="H2604">
        <v>269.99</v>
      </c>
      <c r="I2604" s="5">
        <v>0.2</v>
      </c>
      <c r="J2604">
        <f t="shared" si="80"/>
        <v>431.98400000000004</v>
      </c>
      <c r="K2604" s="9">
        <f t="shared" si="81"/>
        <v>-0.69693888525532666</v>
      </c>
    </row>
    <row r="2605" spans="1:11" x14ac:dyDescent="0.3">
      <c r="A2605">
        <v>912</v>
      </c>
      <c r="B2605">
        <v>2</v>
      </c>
      <c r="C2605">
        <v>71</v>
      </c>
      <c r="D2605" t="str">
        <f>VLOOKUP($C2605,products!$A$1:$F$322,MATCH(order_items!$D$1,products!$A$1:$F$1,0),FALSE)</f>
        <v>Sun Bicycles Atlas X-Type - 2017</v>
      </c>
      <c r="E2605">
        <f>VLOOKUP($C2605,products!$A$1:$F$322,MATCH(order_items!$E$1,products!$A$1:$F$1,0),FALSE)</f>
        <v>3</v>
      </c>
      <c r="F2605" t="str">
        <f>VLOOKUP($E2605,categories!$A$1:$B$8,MATCH(order_items!$F$1,categories!$A$1:$B$1,0),FALSE)</f>
        <v>Cruisers Bicycles</v>
      </c>
      <c r="G2605">
        <v>2</v>
      </c>
      <c r="H2605">
        <v>416.99</v>
      </c>
      <c r="I2605" s="5">
        <v>0.05</v>
      </c>
      <c r="J2605">
        <f t="shared" si="80"/>
        <v>792.28099999999995</v>
      </c>
      <c r="K2605" s="9">
        <f t="shared" si="81"/>
        <v>-0.58826372462468679</v>
      </c>
    </row>
    <row r="2606" spans="1:11" x14ac:dyDescent="0.3">
      <c r="A2606">
        <v>912</v>
      </c>
      <c r="B2606">
        <v>3</v>
      </c>
      <c r="C2606">
        <v>101</v>
      </c>
      <c r="D2606" t="str">
        <f>VLOOKUP($C2606,products!$A$1:$F$322,MATCH(order_items!$D$1,products!$A$1:$F$1,0),FALSE)</f>
        <v>Electra Townie 7D (20-inch) - Boys' - 2017</v>
      </c>
      <c r="E2606">
        <f>VLOOKUP($C2606,products!$A$1:$F$322,MATCH(order_items!$E$1,products!$A$1:$F$1,0),FALSE)</f>
        <v>1</v>
      </c>
      <c r="F2606" t="str">
        <f>VLOOKUP($E2606,categories!$A$1:$B$8,MATCH(order_items!$F$1,categories!$A$1:$B$1,0),FALSE)</f>
        <v>Children Bicycles</v>
      </c>
      <c r="G2606">
        <v>1</v>
      </c>
      <c r="H2606">
        <v>339.99</v>
      </c>
      <c r="I2606" s="5">
        <v>0.05</v>
      </c>
      <c r="J2606">
        <f t="shared" si="80"/>
        <v>322.9905</v>
      </c>
      <c r="K2606" s="9">
        <f t="shared" si="81"/>
        <v>-0.64518880876454576</v>
      </c>
    </row>
    <row r="2607" spans="1:11" x14ac:dyDescent="0.3">
      <c r="A2607">
        <v>912</v>
      </c>
      <c r="B2607">
        <v>4</v>
      </c>
      <c r="C2607">
        <v>2</v>
      </c>
      <c r="D2607" t="str">
        <f>VLOOKUP($C2607,products!$A$1:$F$322,MATCH(order_items!$D$1,products!$A$1:$F$1,0),FALSE)</f>
        <v>Ritchey Timberwolf Frameset - 2016</v>
      </c>
      <c r="E2607">
        <f>VLOOKUP($C2607,products!$A$1:$F$322,MATCH(order_items!$E$1,products!$A$1:$F$1,0),FALSE)</f>
        <v>6</v>
      </c>
      <c r="F2607" t="str">
        <f>VLOOKUP($E2607,categories!$A$1:$B$8,MATCH(order_items!$F$1,categories!$A$1:$B$1,0),FALSE)</f>
        <v>Mountain Bikes</v>
      </c>
      <c r="G2607">
        <v>2</v>
      </c>
      <c r="H2607">
        <v>749.99</v>
      </c>
      <c r="I2607" s="5">
        <v>0.2</v>
      </c>
      <c r="J2607">
        <f t="shared" si="80"/>
        <v>1199.9840000000002</v>
      </c>
      <c r="K2607" s="9">
        <f t="shared" si="81"/>
        <v>-0.34208121788997192</v>
      </c>
    </row>
    <row r="2608" spans="1:11" x14ac:dyDescent="0.3">
      <c r="A2608">
        <v>913</v>
      </c>
      <c r="B2608">
        <v>1</v>
      </c>
      <c r="C2608">
        <v>90</v>
      </c>
      <c r="D2608" t="str">
        <f>VLOOKUP($C2608,products!$A$1:$F$322,MATCH(order_items!$D$1,products!$A$1:$F$1,0),FALSE)</f>
        <v>Trek Precaliber 16 Girls - 2017</v>
      </c>
      <c r="E2608">
        <f>VLOOKUP($C2608,products!$A$1:$F$322,MATCH(order_items!$E$1,products!$A$1:$F$1,0),FALSE)</f>
        <v>1</v>
      </c>
      <c r="F2608" t="str">
        <f>VLOOKUP($E2608,categories!$A$1:$B$8,MATCH(order_items!$F$1,categories!$A$1:$B$1,0),FALSE)</f>
        <v>Children Bicycles</v>
      </c>
      <c r="G2608">
        <v>2</v>
      </c>
      <c r="H2608">
        <v>209.99</v>
      </c>
      <c r="I2608" s="5">
        <v>0.1</v>
      </c>
      <c r="J2608">
        <f t="shared" si="80"/>
        <v>377.98200000000003</v>
      </c>
      <c r="K2608" s="9">
        <f t="shared" si="81"/>
        <v>-0.74129609367599603</v>
      </c>
    </row>
    <row r="2609" spans="1:11" x14ac:dyDescent="0.3">
      <c r="A2609">
        <v>913</v>
      </c>
      <c r="B2609">
        <v>2</v>
      </c>
      <c r="C2609">
        <v>24</v>
      </c>
      <c r="D2609" t="str">
        <f>VLOOKUP($C2609,products!$A$1:$F$322,MATCH(order_items!$D$1,products!$A$1:$F$1,0),FALSE)</f>
        <v>Electra Townie Original 21D - 2016</v>
      </c>
      <c r="E2609">
        <f>VLOOKUP($C2609,products!$A$1:$F$322,MATCH(order_items!$E$1,products!$A$1:$F$1,0),FALSE)</f>
        <v>2</v>
      </c>
      <c r="F2609" t="str">
        <f>VLOOKUP($E2609,categories!$A$1:$B$8,MATCH(order_items!$F$1,categories!$A$1:$B$1,0),FALSE)</f>
        <v>Comfort Bicycles</v>
      </c>
      <c r="G2609">
        <v>2</v>
      </c>
      <c r="H2609">
        <v>549.99</v>
      </c>
      <c r="I2609" s="5">
        <v>0.05</v>
      </c>
      <c r="J2609">
        <f t="shared" si="80"/>
        <v>1044.981</v>
      </c>
      <c r="K2609" s="9">
        <f t="shared" si="81"/>
        <v>-0.48993857929220308</v>
      </c>
    </row>
    <row r="2610" spans="1:11" x14ac:dyDescent="0.3">
      <c r="A2610">
        <v>914</v>
      </c>
      <c r="B2610">
        <v>1</v>
      </c>
      <c r="C2610">
        <v>38</v>
      </c>
      <c r="D2610" t="str">
        <f>VLOOKUP($C2610,products!$A$1:$F$322,MATCH(order_items!$D$1,products!$A$1:$F$1,0),FALSE)</f>
        <v>Haro Flightline Two 26 Plus - 2017</v>
      </c>
      <c r="E2610">
        <f>VLOOKUP($C2610,products!$A$1:$F$322,MATCH(order_items!$E$1,products!$A$1:$F$1,0),FALSE)</f>
        <v>6</v>
      </c>
      <c r="F2610" t="str">
        <f>VLOOKUP($E2610,categories!$A$1:$B$8,MATCH(order_items!$F$1,categories!$A$1:$B$1,0),FALSE)</f>
        <v>Mountain Bikes</v>
      </c>
      <c r="G2610">
        <v>1</v>
      </c>
      <c r="H2610">
        <v>549.99</v>
      </c>
      <c r="I2610" s="5">
        <v>7.0000000000000007E-2</v>
      </c>
      <c r="J2610">
        <f t="shared" si="80"/>
        <v>511.49069999999995</v>
      </c>
      <c r="K2610" s="9">
        <f t="shared" si="81"/>
        <v>-0.48993857929220308</v>
      </c>
    </row>
    <row r="2611" spans="1:11" x14ac:dyDescent="0.3">
      <c r="A2611">
        <v>914</v>
      </c>
      <c r="B2611">
        <v>2</v>
      </c>
      <c r="C2611">
        <v>20</v>
      </c>
      <c r="D2611" t="str">
        <f>VLOOKUP($C2611,products!$A$1:$F$322,MATCH(order_items!$D$1,products!$A$1:$F$1,0),FALSE)</f>
        <v>Electra Townie Original 7D EQ - Women's - 2016</v>
      </c>
      <c r="E2611">
        <f>VLOOKUP($C2611,products!$A$1:$F$322,MATCH(order_items!$E$1,products!$A$1:$F$1,0),FALSE)</f>
        <v>3</v>
      </c>
      <c r="F2611" t="str">
        <f>VLOOKUP($E2611,categories!$A$1:$B$8,MATCH(order_items!$F$1,categories!$A$1:$B$1,0),FALSE)</f>
        <v>Cruisers Bicycles</v>
      </c>
      <c r="G2611">
        <v>2</v>
      </c>
      <c r="H2611">
        <v>599.99</v>
      </c>
      <c r="I2611" s="5">
        <v>0.2</v>
      </c>
      <c r="J2611">
        <f t="shared" si="80"/>
        <v>959.98400000000004</v>
      </c>
      <c r="K2611" s="9">
        <f t="shared" si="81"/>
        <v>-0.45297423894164529</v>
      </c>
    </row>
    <row r="2612" spans="1:11" x14ac:dyDescent="0.3">
      <c r="A2612">
        <v>914</v>
      </c>
      <c r="B2612">
        <v>3</v>
      </c>
      <c r="C2612">
        <v>106</v>
      </c>
      <c r="D2612" t="str">
        <f>VLOOKUP($C2612,products!$A$1:$F$322,MATCH(order_items!$D$1,products!$A$1:$F$1,0),FALSE)</f>
        <v>Sun Bicycles Cruz 3 - 2017</v>
      </c>
      <c r="E2612">
        <f>VLOOKUP($C2612,products!$A$1:$F$322,MATCH(order_items!$E$1,products!$A$1:$F$1,0),FALSE)</f>
        <v>2</v>
      </c>
      <c r="F2612" t="str">
        <f>VLOOKUP($E2612,categories!$A$1:$B$8,MATCH(order_items!$F$1,categories!$A$1:$B$1,0),FALSE)</f>
        <v>Comfort Bicycles</v>
      </c>
      <c r="G2612">
        <v>1</v>
      </c>
      <c r="H2612">
        <v>449.99</v>
      </c>
      <c r="I2612" s="5">
        <v>0.05</v>
      </c>
      <c r="J2612">
        <f t="shared" si="80"/>
        <v>427.4905</v>
      </c>
      <c r="K2612" s="9">
        <f t="shared" si="81"/>
        <v>-0.56386725999331866</v>
      </c>
    </row>
    <row r="2613" spans="1:11" x14ac:dyDescent="0.3">
      <c r="A2613">
        <v>914</v>
      </c>
      <c r="B2613">
        <v>4</v>
      </c>
      <c r="C2613">
        <v>46</v>
      </c>
      <c r="D2613" t="str">
        <f>VLOOKUP($C2613,products!$A$1:$F$322,MATCH(order_items!$D$1,products!$A$1:$F$1,0),FALSE)</f>
        <v>Haro SR 1.3 - 2017</v>
      </c>
      <c r="E2613">
        <f>VLOOKUP($C2613,products!$A$1:$F$322,MATCH(order_items!$E$1,products!$A$1:$F$1,0),FALSE)</f>
        <v>6</v>
      </c>
      <c r="F2613" t="str">
        <f>VLOOKUP($E2613,categories!$A$1:$B$8,MATCH(order_items!$F$1,categories!$A$1:$B$1,0),FALSE)</f>
        <v>Mountain Bikes</v>
      </c>
      <c r="G2613">
        <v>1</v>
      </c>
      <c r="H2613">
        <v>1409.99</v>
      </c>
      <c r="I2613" s="5">
        <v>0.1</v>
      </c>
      <c r="J2613">
        <f t="shared" si="80"/>
        <v>1268.991</v>
      </c>
      <c r="K2613" s="9">
        <f t="shared" si="81"/>
        <v>0.14584807473739089</v>
      </c>
    </row>
    <row r="2614" spans="1:11" x14ac:dyDescent="0.3">
      <c r="A2614">
        <v>915</v>
      </c>
      <c r="B2614">
        <v>1</v>
      </c>
      <c r="C2614">
        <v>64</v>
      </c>
      <c r="D2614" t="str">
        <f>VLOOKUP($C2614,products!$A$1:$F$322,MATCH(order_items!$D$1,products!$A$1:$F$1,0),FALSE)</f>
        <v>Electra Townie Original 7D - 2017</v>
      </c>
      <c r="E2614">
        <f>VLOOKUP($C2614,products!$A$1:$F$322,MATCH(order_items!$E$1,products!$A$1:$F$1,0),FALSE)</f>
        <v>3</v>
      </c>
      <c r="F2614" t="str">
        <f>VLOOKUP($E2614,categories!$A$1:$B$8,MATCH(order_items!$F$1,categories!$A$1:$B$1,0),FALSE)</f>
        <v>Cruisers Bicycles</v>
      </c>
      <c r="G2614">
        <v>1</v>
      </c>
      <c r="H2614">
        <v>489.99</v>
      </c>
      <c r="I2614" s="5">
        <v>0.05</v>
      </c>
      <c r="J2614">
        <f t="shared" si="80"/>
        <v>465.4905</v>
      </c>
      <c r="K2614" s="9">
        <f t="shared" si="81"/>
        <v>-0.53429578771287245</v>
      </c>
    </row>
    <row r="2615" spans="1:11" x14ac:dyDescent="0.3">
      <c r="A2615">
        <v>915</v>
      </c>
      <c r="B2615">
        <v>2</v>
      </c>
      <c r="C2615">
        <v>48</v>
      </c>
      <c r="D2615" t="str">
        <f>VLOOKUP($C2615,products!$A$1:$F$322,MATCH(order_items!$D$1,products!$A$1:$F$1,0),FALSE)</f>
        <v>Trek Emonda S 4 - 2017</v>
      </c>
      <c r="E2615">
        <f>VLOOKUP($C2615,products!$A$1:$F$322,MATCH(order_items!$E$1,products!$A$1:$F$1,0),FALSE)</f>
        <v>7</v>
      </c>
      <c r="F2615" t="str">
        <f>VLOOKUP($E2615,categories!$A$1:$B$8,MATCH(order_items!$F$1,categories!$A$1:$B$1,0),FALSE)</f>
        <v>Road Bikes</v>
      </c>
      <c r="G2615">
        <v>1</v>
      </c>
      <c r="H2615">
        <v>1499.99</v>
      </c>
      <c r="I2615" s="5">
        <v>7.0000000000000007E-2</v>
      </c>
      <c r="J2615">
        <f t="shared" si="80"/>
        <v>1394.9906999999998</v>
      </c>
      <c r="K2615" s="9">
        <f t="shared" si="81"/>
        <v>0.21238388736839492</v>
      </c>
    </row>
    <row r="2616" spans="1:11" x14ac:dyDescent="0.3">
      <c r="A2616">
        <v>915</v>
      </c>
      <c r="B2616">
        <v>3</v>
      </c>
      <c r="C2616">
        <v>42</v>
      </c>
      <c r="D2616" t="str">
        <f>VLOOKUP($C2616,products!$A$1:$F$322,MATCH(order_items!$D$1,products!$A$1:$F$1,0),FALSE)</f>
        <v>Trek Fuel EX 5 27.5 Plus - 2017</v>
      </c>
      <c r="E2616">
        <f>VLOOKUP($C2616,products!$A$1:$F$322,MATCH(order_items!$E$1,products!$A$1:$F$1,0),FALSE)</f>
        <v>6</v>
      </c>
      <c r="F2616" t="str">
        <f>VLOOKUP($E2616,categories!$A$1:$B$8,MATCH(order_items!$F$1,categories!$A$1:$B$1,0),FALSE)</f>
        <v>Mountain Bikes</v>
      </c>
      <c r="G2616">
        <v>1</v>
      </c>
      <c r="H2616">
        <v>2299.9899999999998</v>
      </c>
      <c r="I2616" s="5">
        <v>0.2</v>
      </c>
      <c r="J2616">
        <f t="shared" si="80"/>
        <v>1839.992</v>
      </c>
      <c r="K2616" s="9">
        <f t="shared" si="81"/>
        <v>0.80381333297731938</v>
      </c>
    </row>
    <row r="2617" spans="1:11" x14ac:dyDescent="0.3">
      <c r="A2617">
        <v>915</v>
      </c>
      <c r="B2617">
        <v>4</v>
      </c>
      <c r="C2617">
        <v>2</v>
      </c>
      <c r="D2617" t="str">
        <f>VLOOKUP($C2617,products!$A$1:$F$322,MATCH(order_items!$D$1,products!$A$1:$F$1,0),FALSE)</f>
        <v>Ritchey Timberwolf Frameset - 2016</v>
      </c>
      <c r="E2617">
        <f>VLOOKUP($C2617,products!$A$1:$F$322,MATCH(order_items!$E$1,products!$A$1:$F$1,0),FALSE)</f>
        <v>6</v>
      </c>
      <c r="F2617" t="str">
        <f>VLOOKUP($E2617,categories!$A$1:$B$8,MATCH(order_items!$F$1,categories!$A$1:$B$1,0),FALSE)</f>
        <v>Mountain Bikes</v>
      </c>
      <c r="G2617">
        <v>1</v>
      </c>
      <c r="H2617">
        <v>749.99</v>
      </c>
      <c r="I2617" s="5">
        <v>7.0000000000000007E-2</v>
      </c>
      <c r="J2617">
        <f t="shared" si="80"/>
        <v>697.49069999999995</v>
      </c>
      <c r="K2617" s="9">
        <f t="shared" si="81"/>
        <v>-0.34208121788997192</v>
      </c>
    </row>
    <row r="2618" spans="1:11" x14ac:dyDescent="0.3">
      <c r="A2618">
        <v>916</v>
      </c>
      <c r="B2618">
        <v>1</v>
      </c>
      <c r="C2618">
        <v>92</v>
      </c>
      <c r="D2618" t="str">
        <f>VLOOKUP($C2618,products!$A$1:$F$322,MATCH(order_items!$D$1,products!$A$1:$F$1,0),FALSE)</f>
        <v>Haro Shredder 20 - 2017</v>
      </c>
      <c r="E2618">
        <f>VLOOKUP($C2618,products!$A$1:$F$322,MATCH(order_items!$E$1,products!$A$1:$F$1,0),FALSE)</f>
        <v>1</v>
      </c>
      <c r="F2618" t="str">
        <f>VLOOKUP($E2618,categories!$A$1:$B$8,MATCH(order_items!$F$1,categories!$A$1:$B$1,0),FALSE)</f>
        <v>Children Bicycles</v>
      </c>
      <c r="G2618">
        <v>1</v>
      </c>
      <c r="H2618">
        <v>209.99</v>
      </c>
      <c r="I2618" s="5">
        <v>0.2</v>
      </c>
      <c r="J2618">
        <f t="shared" si="80"/>
        <v>167.99200000000002</v>
      </c>
      <c r="K2618" s="9">
        <f t="shared" si="81"/>
        <v>-0.74129609367599603</v>
      </c>
    </row>
    <row r="2619" spans="1:11" x14ac:dyDescent="0.3">
      <c r="A2619">
        <v>917</v>
      </c>
      <c r="B2619">
        <v>1</v>
      </c>
      <c r="C2619">
        <v>41</v>
      </c>
      <c r="D2619" t="str">
        <f>VLOOKUP($C2619,products!$A$1:$F$322,MATCH(order_items!$D$1,products!$A$1:$F$1,0),FALSE)</f>
        <v>Haro Shift R3 - 2017</v>
      </c>
      <c r="E2619">
        <f>VLOOKUP($C2619,products!$A$1:$F$322,MATCH(order_items!$E$1,products!$A$1:$F$1,0),FALSE)</f>
        <v>6</v>
      </c>
      <c r="F2619" t="str">
        <f>VLOOKUP($E2619,categories!$A$1:$B$8,MATCH(order_items!$F$1,categories!$A$1:$B$1,0),FALSE)</f>
        <v>Mountain Bikes</v>
      </c>
      <c r="G2619">
        <v>1</v>
      </c>
      <c r="H2619">
        <v>1469.99</v>
      </c>
      <c r="I2619" s="5">
        <v>7.0000000000000007E-2</v>
      </c>
      <c r="J2619">
        <f t="shared" si="80"/>
        <v>1367.0907</v>
      </c>
      <c r="K2619" s="9">
        <f t="shared" si="81"/>
        <v>0.19020528315806023</v>
      </c>
    </row>
    <row r="2620" spans="1:11" x14ac:dyDescent="0.3">
      <c r="A2620">
        <v>918</v>
      </c>
      <c r="B2620">
        <v>1</v>
      </c>
      <c r="C2620">
        <v>91</v>
      </c>
      <c r="D2620" t="str">
        <f>VLOOKUP($C2620,products!$A$1:$F$322,MATCH(order_items!$D$1,products!$A$1:$F$1,0),FALSE)</f>
        <v>Trek Precaliber 24 (21-Speed) - Girls - 2017</v>
      </c>
      <c r="E2620">
        <f>VLOOKUP($C2620,products!$A$1:$F$322,MATCH(order_items!$E$1,products!$A$1:$F$1,0),FALSE)</f>
        <v>1</v>
      </c>
      <c r="F2620" t="str">
        <f>VLOOKUP($E2620,categories!$A$1:$B$8,MATCH(order_items!$F$1,categories!$A$1:$B$1,0),FALSE)</f>
        <v>Children Bicycles</v>
      </c>
      <c r="G2620">
        <v>1</v>
      </c>
      <c r="H2620">
        <v>349.99</v>
      </c>
      <c r="I2620" s="5">
        <v>0.2</v>
      </c>
      <c r="J2620">
        <f t="shared" si="80"/>
        <v>279.99200000000002</v>
      </c>
      <c r="K2620" s="9">
        <f t="shared" si="81"/>
        <v>-0.63779594069443424</v>
      </c>
    </row>
    <row r="2621" spans="1:11" x14ac:dyDescent="0.3">
      <c r="A2621">
        <v>918</v>
      </c>
      <c r="B2621">
        <v>2</v>
      </c>
      <c r="C2621">
        <v>31</v>
      </c>
      <c r="D2621" t="str">
        <f>VLOOKUP($C2621,products!$A$1:$F$322,MATCH(order_items!$D$1,products!$A$1:$F$1,0),FALSE)</f>
        <v>Surly Wednesday - 2017</v>
      </c>
      <c r="E2621">
        <f>VLOOKUP($C2621,products!$A$1:$F$322,MATCH(order_items!$E$1,products!$A$1:$F$1,0),FALSE)</f>
        <v>6</v>
      </c>
      <c r="F2621" t="str">
        <f>VLOOKUP($E2621,categories!$A$1:$B$8,MATCH(order_items!$F$1,categories!$A$1:$B$1,0),FALSE)</f>
        <v>Mountain Bikes</v>
      </c>
      <c r="G2621">
        <v>1</v>
      </c>
      <c r="H2621">
        <v>1632.99</v>
      </c>
      <c r="I2621" s="5">
        <v>0.1</v>
      </c>
      <c r="J2621">
        <f t="shared" si="80"/>
        <v>1469.691</v>
      </c>
      <c r="K2621" s="9">
        <f t="shared" si="81"/>
        <v>0.31070903270087863</v>
      </c>
    </row>
    <row r="2622" spans="1:11" x14ac:dyDescent="0.3">
      <c r="A2622">
        <v>918</v>
      </c>
      <c r="B2622">
        <v>3</v>
      </c>
      <c r="C2622">
        <v>4</v>
      </c>
      <c r="D2622" t="str">
        <f>VLOOKUP($C2622,products!$A$1:$F$322,MATCH(order_items!$D$1,products!$A$1:$F$1,0),FALSE)</f>
        <v>Trek Fuel EX 8 29 - 2016</v>
      </c>
      <c r="E2622">
        <f>VLOOKUP($C2622,products!$A$1:$F$322,MATCH(order_items!$E$1,products!$A$1:$F$1,0),FALSE)</f>
        <v>6</v>
      </c>
      <c r="F2622" t="str">
        <f>VLOOKUP($E2622,categories!$A$1:$B$8,MATCH(order_items!$F$1,categories!$A$1:$B$1,0),FALSE)</f>
        <v>Mountain Bikes</v>
      </c>
      <c r="G2622">
        <v>2</v>
      </c>
      <c r="H2622">
        <v>2899.99</v>
      </c>
      <c r="I2622" s="5">
        <v>7.0000000000000007E-2</v>
      </c>
      <c r="J2622">
        <f t="shared" si="80"/>
        <v>5393.9813999999997</v>
      </c>
      <c r="K2622" s="9">
        <f t="shared" si="81"/>
        <v>1.2473854171840129</v>
      </c>
    </row>
    <row r="2623" spans="1:11" x14ac:dyDescent="0.3">
      <c r="A2623">
        <v>919</v>
      </c>
      <c r="B2623">
        <v>1</v>
      </c>
      <c r="C2623">
        <v>7</v>
      </c>
      <c r="D2623" t="str">
        <f>VLOOKUP($C2623,products!$A$1:$F$322,MATCH(order_items!$D$1,products!$A$1:$F$1,0),FALSE)</f>
        <v>Trek Slash 8 27.5 - 2016</v>
      </c>
      <c r="E2623">
        <f>VLOOKUP($C2623,products!$A$1:$F$322,MATCH(order_items!$E$1,products!$A$1:$F$1,0),FALSE)</f>
        <v>6</v>
      </c>
      <c r="F2623" t="str">
        <f>VLOOKUP($E2623,categories!$A$1:$B$8,MATCH(order_items!$F$1,categories!$A$1:$B$1,0),FALSE)</f>
        <v>Mountain Bikes</v>
      </c>
      <c r="G2623">
        <v>1</v>
      </c>
      <c r="H2623">
        <v>3999.99</v>
      </c>
      <c r="I2623" s="5">
        <v>7.0000000000000007E-2</v>
      </c>
      <c r="J2623">
        <f t="shared" si="80"/>
        <v>3719.9906999999994</v>
      </c>
      <c r="K2623" s="9">
        <f t="shared" si="81"/>
        <v>2.0606009048962846</v>
      </c>
    </row>
    <row r="2624" spans="1:11" x14ac:dyDescent="0.3">
      <c r="A2624">
        <v>919</v>
      </c>
      <c r="B2624">
        <v>2</v>
      </c>
      <c r="C2624">
        <v>44</v>
      </c>
      <c r="D2624" t="str">
        <f>VLOOKUP($C2624,products!$A$1:$F$322,MATCH(order_items!$D$1,products!$A$1:$F$1,0),FALSE)</f>
        <v>Haro SR 1.1 - 2017</v>
      </c>
      <c r="E2624">
        <f>VLOOKUP($C2624,products!$A$1:$F$322,MATCH(order_items!$E$1,products!$A$1:$F$1,0),FALSE)</f>
        <v>6</v>
      </c>
      <c r="F2624" t="str">
        <f>VLOOKUP($E2624,categories!$A$1:$B$8,MATCH(order_items!$F$1,categories!$A$1:$B$1,0),FALSE)</f>
        <v>Mountain Bikes</v>
      </c>
      <c r="G2624">
        <v>1</v>
      </c>
      <c r="H2624">
        <v>539.99</v>
      </c>
      <c r="I2624" s="5">
        <v>0.1</v>
      </c>
      <c r="J2624">
        <f t="shared" si="80"/>
        <v>485.99100000000004</v>
      </c>
      <c r="K2624" s="9">
        <f t="shared" si="81"/>
        <v>-0.49733144736231466</v>
      </c>
    </row>
    <row r="2625" spans="1:11" x14ac:dyDescent="0.3">
      <c r="A2625">
        <v>920</v>
      </c>
      <c r="B2625">
        <v>1</v>
      </c>
      <c r="C2625">
        <v>76</v>
      </c>
      <c r="D2625" t="str">
        <f>VLOOKUP($C2625,products!$A$1:$F$322,MATCH(order_items!$D$1,products!$A$1:$F$1,0),FALSE)</f>
        <v>Electra Girl's Hawaii 1 16" - 2017</v>
      </c>
      <c r="E2625">
        <f>VLOOKUP($C2625,products!$A$1:$F$322,MATCH(order_items!$E$1,products!$A$1:$F$1,0),FALSE)</f>
        <v>3</v>
      </c>
      <c r="F2625" t="str">
        <f>VLOOKUP($E2625,categories!$A$1:$B$8,MATCH(order_items!$F$1,categories!$A$1:$B$1,0),FALSE)</f>
        <v>Cruisers Bicycles</v>
      </c>
      <c r="G2625">
        <v>1</v>
      </c>
      <c r="H2625">
        <v>299.99</v>
      </c>
      <c r="I2625" s="5">
        <v>0.05</v>
      </c>
      <c r="J2625">
        <f t="shared" si="80"/>
        <v>284.9905</v>
      </c>
      <c r="K2625" s="9">
        <f t="shared" si="81"/>
        <v>-0.67476028104499197</v>
      </c>
    </row>
    <row r="2626" spans="1:11" x14ac:dyDescent="0.3">
      <c r="A2626">
        <v>920</v>
      </c>
      <c r="B2626">
        <v>2</v>
      </c>
      <c r="C2626">
        <v>39</v>
      </c>
      <c r="D2626" t="str">
        <f>VLOOKUP($C2626,products!$A$1:$F$322,MATCH(order_items!$D$1,products!$A$1:$F$1,0),FALSE)</f>
        <v>Trek Stache 5 - 2017</v>
      </c>
      <c r="E2626">
        <f>VLOOKUP($C2626,products!$A$1:$F$322,MATCH(order_items!$E$1,products!$A$1:$F$1,0),FALSE)</f>
        <v>6</v>
      </c>
      <c r="F2626" t="str">
        <f>VLOOKUP($E2626,categories!$A$1:$B$8,MATCH(order_items!$F$1,categories!$A$1:$B$1,0),FALSE)</f>
        <v>Mountain Bikes</v>
      </c>
      <c r="G2626">
        <v>2</v>
      </c>
      <c r="H2626">
        <v>1499.99</v>
      </c>
      <c r="I2626" s="5">
        <v>7.0000000000000007E-2</v>
      </c>
      <c r="J2626">
        <f t="shared" ref="J2626:J2689" si="82">G2626*H2626*(1-I2626)</f>
        <v>2789.9813999999997</v>
      </c>
      <c r="K2626" s="9">
        <f t="shared" ref="K2626:K2689" si="83">($H2626-$M$7)/$M$9</f>
        <v>0.21238388736839492</v>
      </c>
    </row>
    <row r="2627" spans="1:11" x14ac:dyDescent="0.3">
      <c r="A2627">
        <v>920</v>
      </c>
      <c r="B2627">
        <v>3</v>
      </c>
      <c r="C2627">
        <v>78</v>
      </c>
      <c r="D2627" t="str">
        <f>VLOOKUP($C2627,products!$A$1:$F$322,MATCH(order_items!$D$1,products!$A$1:$F$1,0),FALSE)</f>
        <v>Sun Bicycles Biscayne Tandem CB - 2017</v>
      </c>
      <c r="E2627">
        <f>VLOOKUP($C2627,products!$A$1:$F$322,MATCH(order_items!$E$1,products!$A$1:$F$1,0),FALSE)</f>
        <v>3</v>
      </c>
      <c r="F2627" t="str">
        <f>VLOOKUP($E2627,categories!$A$1:$B$8,MATCH(order_items!$F$1,categories!$A$1:$B$1,0),FALSE)</f>
        <v>Cruisers Bicycles</v>
      </c>
      <c r="G2627">
        <v>1</v>
      </c>
      <c r="H2627">
        <v>647.99</v>
      </c>
      <c r="I2627" s="5">
        <v>0.05</v>
      </c>
      <c r="J2627">
        <f t="shared" si="82"/>
        <v>615.59050000000002</v>
      </c>
      <c r="K2627" s="9">
        <f t="shared" si="83"/>
        <v>-0.41748847220510982</v>
      </c>
    </row>
    <row r="2628" spans="1:11" x14ac:dyDescent="0.3">
      <c r="A2628">
        <v>920</v>
      </c>
      <c r="B2628">
        <v>4</v>
      </c>
      <c r="C2628">
        <v>80</v>
      </c>
      <c r="D2628" t="str">
        <f>VLOOKUP($C2628,products!$A$1:$F$322,MATCH(order_items!$D$1,products!$A$1:$F$1,0),FALSE)</f>
        <v>Sun Bicycles Brickell Tandem CB - 2017</v>
      </c>
      <c r="E2628">
        <f>VLOOKUP($C2628,products!$A$1:$F$322,MATCH(order_items!$E$1,products!$A$1:$F$1,0),FALSE)</f>
        <v>3</v>
      </c>
      <c r="F2628" t="str">
        <f>VLOOKUP($E2628,categories!$A$1:$B$8,MATCH(order_items!$F$1,categories!$A$1:$B$1,0),FALSE)</f>
        <v>Cruisers Bicycles</v>
      </c>
      <c r="G2628">
        <v>2</v>
      </c>
      <c r="H2628">
        <v>761.99</v>
      </c>
      <c r="I2628" s="5">
        <v>7.0000000000000007E-2</v>
      </c>
      <c r="J2628">
        <f t="shared" si="82"/>
        <v>1417.3013999999998</v>
      </c>
      <c r="K2628" s="9">
        <f t="shared" si="83"/>
        <v>-0.33320977620583803</v>
      </c>
    </row>
    <row r="2629" spans="1:11" x14ac:dyDescent="0.3">
      <c r="A2629">
        <v>921</v>
      </c>
      <c r="B2629">
        <v>1</v>
      </c>
      <c r="C2629">
        <v>77</v>
      </c>
      <c r="D2629" t="str">
        <f>VLOOKUP($C2629,products!$A$1:$F$322,MATCH(order_items!$D$1,products!$A$1:$F$1,0),FALSE)</f>
        <v>Electra Glam Punk 3i Ladies' - 2017</v>
      </c>
      <c r="E2629">
        <f>VLOOKUP($C2629,products!$A$1:$F$322,MATCH(order_items!$E$1,products!$A$1:$F$1,0),FALSE)</f>
        <v>3</v>
      </c>
      <c r="F2629" t="str">
        <f>VLOOKUP($E2629,categories!$A$1:$B$8,MATCH(order_items!$F$1,categories!$A$1:$B$1,0),FALSE)</f>
        <v>Cruisers Bicycles</v>
      </c>
      <c r="G2629">
        <v>1</v>
      </c>
      <c r="H2629">
        <v>799.99</v>
      </c>
      <c r="I2629" s="5">
        <v>0.2</v>
      </c>
      <c r="J2629">
        <f t="shared" si="82"/>
        <v>639.99200000000008</v>
      </c>
      <c r="K2629" s="9">
        <f t="shared" si="83"/>
        <v>-0.30511687753941413</v>
      </c>
    </row>
    <row r="2630" spans="1:11" x14ac:dyDescent="0.3">
      <c r="A2630">
        <v>921</v>
      </c>
      <c r="B2630">
        <v>2</v>
      </c>
      <c r="C2630">
        <v>75</v>
      </c>
      <c r="D2630" t="str">
        <f>VLOOKUP($C2630,products!$A$1:$F$322,MATCH(order_items!$D$1,products!$A$1:$F$1,0),FALSE)</f>
        <v>Electra Cruiser Lux Fat Tire 1 Ladies - 2017</v>
      </c>
      <c r="E2630">
        <f>VLOOKUP($C2630,products!$A$1:$F$322,MATCH(order_items!$E$1,products!$A$1:$F$1,0),FALSE)</f>
        <v>3</v>
      </c>
      <c r="F2630" t="str">
        <f>VLOOKUP($E2630,categories!$A$1:$B$8,MATCH(order_items!$F$1,categories!$A$1:$B$1,0),FALSE)</f>
        <v>Cruisers Bicycles</v>
      </c>
      <c r="G2630">
        <v>2</v>
      </c>
      <c r="H2630">
        <v>599.99</v>
      </c>
      <c r="I2630" s="5">
        <v>7.0000000000000007E-2</v>
      </c>
      <c r="J2630">
        <f t="shared" si="82"/>
        <v>1115.9813999999999</v>
      </c>
      <c r="K2630" s="9">
        <f t="shared" si="83"/>
        <v>-0.45297423894164529</v>
      </c>
    </row>
    <row r="2631" spans="1:11" x14ac:dyDescent="0.3">
      <c r="A2631">
        <v>921</v>
      </c>
      <c r="B2631">
        <v>3</v>
      </c>
      <c r="C2631">
        <v>48</v>
      </c>
      <c r="D2631" t="str">
        <f>VLOOKUP($C2631,products!$A$1:$F$322,MATCH(order_items!$D$1,products!$A$1:$F$1,0),FALSE)</f>
        <v>Trek Emonda S 4 - 2017</v>
      </c>
      <c r="E2631">
        <f>VLOOKUP($C2631,products!$A$1:$F$322,MATCH(order_items!$E$1,products!$A$1:$F$1,0),FALSE)</f>
        <v>7</v>
      </c>
      <c r="F2631" t="str">
        <f>VLOOKUP($E2631,categories!$A$1:$B$8,MATCH(order_items!$F$1,categories!$A$1:$B$1,0),FALSE)</f>
        <v>Road Bikes</v>
      </c>
      <c r="G2631">
        <v>1</v>
      </c>
      <c r="H2631">
        <v>1499.99</v>
      </c>
      <c r="I2631" s="5">
        <v>0.1</v>
      </c>
      <c r="J2631">
        <f t="shared" si="82"/>
        <v>1349.991</v>
      </c>
      <c r="K2631" s="9">
        <f t="shared" si="83"/>
        <v>0.21238388736839492</v>
      </c>
    </row>
    <row r="2632" spans="1:11" x14ac:dyDescent="0.3">
      <c r="A2632">
        <v>922</v>
      </c>
      <c r="B2632">
        <v>1</v>
      </c>
      <c r="C2632">
        <v>68</v>
      </c>
      <c r="D2632" t="str">
        <f>VLOOKUP($C2632,products!$A$1:$F$322,MATCH(order_items!$D$1,products!$A$1:$F$1,0),FALSE)</f>
        <v>Sun Bicycles Cruz 3 - 2017</v>
      </c>
      <c r="E2632">
        <f>VLOOKUP($C2632,products!$A$1:$F$322,MATCH(order_items!$E$1,products!$A$1:$F$1,0),FALSE)</f>
        <v>3</v>
      </c>
      <c r="F2632" t="str">
        <f>VLOOKUP($E2632,categories!$A$1:$B$8,MATCH(order_items!$F$1,categories!$A$1:$B$1,0),FALSE)</f>
        <v>Cruisers Bicycles</v>
      </c>
      <c r="G2632">
        <v>1</v>
      </c>
      <c r="H2632">
        <v>449.99</v>
      </c>
      <c r="I2632" s="5">
        <v>0.2</v>
      </c>
      <c r="J2632">
        <f t="shared" si="82"/>
        <v>359.99200000000002</v>
      </c>
      <c r="K2632" s="9">
        <f t="shared" si="83"/>
        <v>-0.56386725999331866</v>
      </c>
    </row>
    <row r="2633" spans="1:11" x14ac:dyDescent="0.3">
      <c r="A2633">
        <v>922</v>
      </c>
      <c r="B2633">
        <v>2</v>
      </c>
      <c r="C2633">
        <v>73</v>
      </c>
      <c r="D2633" t="str">
        <f>VLOOKUP($C2633,products!$A$1:$F$322,MATCH(order_items!$D$1,products!$A$1:$F$1,0),FALSE)</f>
        <v>Sun Bicycles Brickell Tandem 7 - 2017</v>
      </c>
      <c r="E2633">
        <f>VLOOKUP($C2633,products!$A$1:$F$322,MATCH(order_items!$E$1,products!$A$1:$F$1,0),FALSE)</f>
        <v>3</v>
      </c>
      <c r="F2633" t="str">
        <f>VLOOKUP($E2633,categories!$A$1:$B$8,MATCH(order_items!$F$1,categories!$A$1:$B$1,0),FALSE)</f>
        <v>Cruisers Bicycles</v>
      </c>
      <c r="G2633">
        <v>1</v>
      </c>
      <c r="H2633">
        <v>749.99</v>
      </c>
      <c r="I2633" s="5">
        <v>0.2</v>
      </c>
      <c r="J2633">
        <f t="shared" si="82"/>
        <v>599.99200000000008</v>
      </c>
      <c r="K2633" s="9">
        <f t="shared" si="83"/>
        <v>-0.34208121788997192</v>
      </c>
    </row>
    <row r="2634" spans="1:11" x14ac:dyDescent="0.3">
      <c r="A2634">
        <v>922</v>
      </c>
      <c r="B2634">
        <v>3</v>
      </c>
      <c r="C2634">
        <v>86</v>
      </c>
      <c r="D2634" t="str">
        <f>VLOOKUP($C2634,products!$A$1:$F$322,MATCH(order_items!$D$1,products!$A$1:$F$1,0),FALSE)</f>
        <v>Trek Girl's Kickster - 2017</v>
      </c>
      <c r="E2634">
        <f>VLOOKUP($C2634,products!$A$1:$F$322,MATCH(order_items!$E$1,products!$A$1:$F$1,0),FALSE)</f>
        <v>1</v>
      </c>
      <c r="F2634" t="str">
        <f>VLOOKUP($E2634,categories!$A$1:$B$8,MATCH(order_items!$F$1,categories!$A$1:$B$1,0),FALSE)</f>
        <v>Children Bicycles</v>
      </c>
      <c r="G2634">
        <v>1</v>
      </c>
      <c r="H2634">
        <v>149.99</v>
      </c>
      <c r="I2634" s="5">
        <v>0.1</v>
      </c>
      <c r="J2634">
        <f t="shared" si="82"/>
        <v>134.99100000000001</v>
      </c>
      <c r="K2634" s="9">
        <f t="shared" si="83"/>
        <v>-0.7856533020966654</v>
      </c>
    </row>
    <row r="2635" spans="1:11" x14ac:dyDescent="0.3">
      <c r="A2635">
        <v>923</v>
      </c>
      <c r="B2635">
        <v>1</v>
      </c>
      <c r="C2635">
        <v>74</v>
      </c>
      <c r="D2635" t="str">
        <f>VLOOKUP($C2635,products!$A$1:$F$322,MATCH(order_items!$D$1,products!$A$1:$F$1,0),FALSE)</f>
        <v>Electra Cruiser Lux 1 - 2017</v>
      </c>
      <c r="E2635">
        <f>VLOOKUP($C2635,products!$A$1:$F$322,MATCH(order_items!$E$1,products!$A$1:$F$1,0),FALSE)</f>
        <v>3</v>
      </c>
      <c r="F2635" t="str">
        <f>VLOOKUP($E2635,categories!$A$1:$B$8,MATCH(order_items!$F$1,categories!$A$1:$B$1,0),FALSE)</f>
        <v>Cruisers Bicycles</v>
      </c>
      <c r="G2635">
        <v>2</v>
      </c>
      <c r="H2635">
        <v>439.99</v>
      </c>
      <c r="I2635" s="5">
        <v>0.05</v>
      </c>
      <c r="J2635">
        <f t="shared" si="82"/>
        <v>835.98099999999999</v>
      </c>
      <c r="K2635" s="9">
        <f t="shared" si="83"/>
        <v>-0.57126012806343018</v>
      </c>
    </row>
    <row r="2636" spans="1:11" x14ac:dyDescent="0.3">
      <c r="A2636">
        <v>923</v>
      </c>
      <c r="B2636">
        <v>2</v>
      </c>
      <c r="C2636">
        <v>6</v>
      </c>
      <c r="D2636" t="str">
        <f>VLOOKUP($C2636,products!$A$1:$F$322,MATCH(order_items!$D$1,products!$A$1:$F$1,0),FALSE)</f>
        <v>Surly Ice Cream Truck Frameset - 2016</v>
      </c>
      <c r="E2636">
        <f>VLOOKUP($C2636,products!$A$1:$F$322,MATCH(order_items!$E$1,products!$A$1:$F$1,0),FALSE)</f>
        <v>6</v>
      </c>
      <c r="F2636" t="str">
        <f>VLOOKUP($E2636,categories!$A$1:$B$8,MATCH(order_items!$F$1,categories!$A$1:$B$1,0),FALSE)</f>
        <v>Mountain Bikes</v>
      </c>
      <c r="G2636">
        <v>1</v>
      </c>
      <c r="H2636">
        <v>469.99</v>
      </c>
      <c r="I2636" s="5">
        <v>0.1</v>
      </c>
      <c r="J2636">
        <f t="shared" si="82"/>
        <v>422.99100000000004</v>
      </c>
      <c r="K2636" s="9">
        <f t="shared" si="83"/>
        <v>-0.5490815238530955</v>
      </c>
    </row>
    <row r="2637" spans="1:11" x14ac:dyDescent="0.3">
      <c r="A2637">
        <v>924</v>
      </c>
      <c r="B2637">
        <v>1</v>
      </c>
      <c r="C2637">
        <v>97</v>
      </c>
      <c r="D2637" t="str">
        <f>VLOOKUP($C2637,products!$A$1:$F$322,MATCH(order_items!$D$1,products!$A$1:$F$1,0),FALSE)</f>
        <v>Electra Savannah 3i (20-inch) - Girl's - 2017</v>
      </c>
      <c r="E2637">
        <f>VLOOKUP($C2637,products!$A$1:$F$322,MATCH(order_items!$E$1,products!$A$1:$F$1,0),FALSE)</f>
        <v>1</v>
      </c>
      <c r="F2637" t="str">
        <f>VLOOKUP($E2637,categories!$A$1:$B$8,MATCH(order_items!$F$1,categories!$A$1:$B$1,0),FALSE)</f>
        <v>Children Bicycles</v>
      </c>
      <c r="G2637">
        <v>2</v>
      </c>
      <c r="H2637">
        <v>349.99</v>
      </c>
      <c r="I2637" s="5">
        <v>0.2</v>
      </c>
      <c r="J2637">
        <f t="shared" si="82"/>
        <v>559.98400000000004</v>
      </c>
      <c r="K2637" s="9">
        <f t="shared" si="83"/>
        <v>-0.63779594069443424</v>
      </c>
    </row>
    <row r="2638" spans="1:11" x14ac:dyDescent="0.3">
      <c r="A2638">
        <v>924</v>
      </c>
      <c r="B2638">
        <v>2</v>
      </c>
      <c r="C2638">
        <v>36</v>
      </c>
      <c r="D2638" t="str">
        <f>VLOOKUP($C2638,products!$A$1:$F$322,MATCH(order_items!$D$1,products!$A$1:$F$1,0),FALSE)</f>
        <v>Surly Troll Frameset - 2017</v>
      </c>
      <c r="E2638">
        <f>VLOOKUP($C2638,products!$A$1:$F$322,MATCH(order_items!$E$1,products!$A$1:$F$1,0),FALSE)</f>
        <v>6</v>
      </c>
      <c r="F2638" t="str">
        <f>VLOOKUP($E2638,categories!$A$1:$B$8,MATCH(order_items!$F$1,categories!$A$1:$B$1,0),FALSE)</f>
        <v>Mountain Bikes</v>
      </c>
      <c r="G2638">
        <v>1</v>
      </c>
      <c r="H2638">
        <v>832.99</v>
      </c>
      <c r="I2638" s="5">
        <v>0.2</v>
      </c>
      <c r="J2638">
        <f t="shared" si="82"/>
        <v>666.39200000000005</v>
      </c>
      <c r="K2638" s="9">
        <f t="shared" si="83"/>
        <v>-0.280720412908046</v>
      </c>
    </row>
    <row r="2639" spans="1:11" x14ac:dyDescent="0.3">
      <c r="A2639">
        <v>925</v>
      </c>
      <c r="B2639">
        <v>1</v>
      </c>
      <c r="C2639">
        <v>97</v>
      </c>
      <c r="D2639" t="str">
        <f>VLOOKUP($C2639,products!$A$1:$F$322,MATCH(order_items!$D$1,products!$A$1:$F$1,0),FALSE)</f>
        <v>Electra Savannah 3i (20-inch) - Girl's - 2017</v>
      </c>
      <c r="E2639">
        <f>VLOOKUP($C2639,products!$A$1:$F$322,MATCH(order_items!$E$1,products!$A$1:$F$1,0),FALSE)</f>
        <v>1</v>
      </c>
      <c r="F2639" t="str">
        <f>VLOOKUP($E2639,categories!$A$1:$B$8,MATCH(order_items!$F$1,categories!$A$1:$B$1,0),FALSE)</f>
        <v>Children Bicycles</v>
      </c>
      <c r="G2639">
        <v>1</v>
      </c>
      <c r="H2639">
        <v>349.99</v>
      </c>
      <c r="I2639" s="5">
        <v>7.0000000000000007E-2</v>
      </c>
      <c r="J2639">
        <f t="shared" si="82"/>
        <v>325.4907</v>
      </c>
      <c r="K2639" s="9">
        <f t="shared" si="83"/>
        <v>-0.63779594069443424</v>
      </c>
    </row>
    <row r="2640" spans="1:11" x14ac:dyDescent="0.3">
      <c r="A2640">
        <v>925</v>
      </c>
      <c r="B2640">
        <v>2</v>
      </c>
      <c r="C2640">
        <v>62</v>
      </c>
      <c r="D2640" t="str">
        <f>VLOOKUP($C2640,products!$A$1:$F$322,MATCH(order_items!$D$1,products!$A$1:$F$1,0),FALSE)</f>
        <v>Trek Boone 7 - 2017</v>
      </c>
      <c r="E2640">
        <f>VLOOKUP($C2640,products!$A$1:$F$322,MATCH(order_items!$E$1,products!$A$1:$F$1,0),FALSE)</f>
        <v>4</v>
      </c>
      <c r="F2640" t="str">
        <f>VLOOKUP($E2640,categories!$A$1:$B$8,MATCH(order_items!$F$1,categories!$A$1:$B$1,0),FALSE)</f>
        <v>Cyclocross Bicycles</v>
      </c>
      <c r="G2640">
        <v>2</v>
      </c>
      <c r="H2640">
        <v>3499.99</v>
      </c>
      <c r="I2640" s="5">
        <v>0.2</v>
      </c>
      <c r="J2640">
        <f t="shared" si="82"/>
        <v>5599.9840000000004</v>
      </c>
      <c r="K2640" s="9">
        <f t="shared" si="83"/>
        <v>1.6909575013907066</v>
      </c>
    </row>
    <row r="2641" spans="1:11" x14ac:dyDescent="0.3">
      <c r="A2641">
        <v>926</v>
      </c>
      <c r="B2641">
        <v>1</v>
      </c>
      <c r="C2641">
        <v>37</v>
      </c>
      <c r="D2641" t="str">
        <f>VLOOKUP($C2641,products!$A$1:$F$322,MATCH(order_items!$D$1,products!$A$1:$F$1,0),FALSE)</f>
        <v>Haro Flightline One ST - 2017</v>
      </c>
      <c r="E2641">
        <f>VLOOKUP($C2641,products!$A$1:$F$322,MATCH(order_items!$E$1,products!$A$1:$F$1,0),FALSE)</f>
        <v>6</v>
      </c>
      <c r="F2641" t="str">
        <f>VLOOKUP($E2641,categories!$A$1:$B$8,MATCH(order_items!$F$1,categories!$A$1:$B$1,0),FALSE)</f>
        <v>Mountain Bikes</v>
      </c>
      <c r="G2641">
        <v>2</v>
      </c>
      <c r="H2641">
        <v>379.99</v>
      </c>
      <c r="I2641" s="5">
        <v>0.2</v>
      </c>
      <c r="J2641">
        <f t="shared" si="82"/>
        <v>607.98400000000004</v>
      </c>
      <c r="K2641" s="9">
        <f t="shared" si="83"/>
        <v>-0.61561733648409955</v>
      </c>
    </row>
    <row r="2642" spans="1:11" x14ac:dyDescent="0.3">
      <c r="A2642">
        <v>927</v>
      </c>
      <c r="B2642">
        <v>1</v>
      </c>
      <c r="C2642">
        <v>74</v>
      </c>
      <c r="D2642" t="str">
        <f>VLOOKUP($C2642,products!$A$1:$F$322,MATCH(order_items!$D$1,products!$A$1:$F$1,0),FALSE)</f>
        <v>Electra Cruiser Lux 1 - 2017</v>
      </c>
      <c r="E2642">
        <f>VLOOKUP($C2642,products!$A$1:$F$322,MATCH(order_items!$E$1,products!$A$1:$F$1,0),FALSE)</f>
        <v>3</v>
      </c>
      <c r="F2642" t="str">
        <f>VLOOKUP($E2642,categories!$A$1:$B$8,MATCH(order_items!$F$1,categories!$A$1:$B$1,0),FALSE)</f>
        <v>Cruisers Bicycles</v>
      </c>
      <c r="G2642">
        <v>2</v>
      </c>
      <c r="H2642">
        <v>439.99</v>
      </c>
      <c r="I2642" s="5">
        <v>0.1</v>
      </c>
      <c r="J2642">
        <f t="shared" si="82"/>
        <v>791.98200000000008</v>
      </c>
      <c r="K2642" s="9">
        <f t="shared" si="83"/>
        <v>-0.57126012806343018</v>
      </c>
    </row>
    <row r="2643" spans="1:11" x14ac:dyDescent="0.3">
      <c r="A2643">
        <v>927</v>
      </c>
      <c r="B2643">
        <v>2</v>
      </c>
      <c r="C2643">
        <v>16</v>
      </c>
      <c r="D2643" t="str">
        <f>VLOOKUP($C2643,products!$A$1:$F$322,MATCH(order_items!$D$1,products!$A$1:$F$1,0),FALSE)</f>
        <v>Electra Townie Original 7D EQ - 2016</v>
      </c>
      <c r="E2643">
        <f>VLOOKUP($C2643,products!$A$1:$F$322,MATCH(order_items!$E$1,products!$A$1:$F$1,0),FALSE)</f>
        <v>3</v>
      </c>
      <c r="F2643" t="str">
        <f>VLOOKUP($E2643,categories!$A$1:$B$8,MATCH(order_items!$F$1,categories!$A$1:$B$1,0),FALSE)</f>
        <v>Cruisers Bicycles</v>
      </c>
      <c r="G2643">
        <v>2</v>
      </c>
      <c r="H2643">
        <v>599.99</v>
      </c>
      <c r="I2643" s="5">
        <v>0.2</v>
      </c>
      <c r="J2643">
        <f t="shared" si="82"/>
        <v>959.98400000000004</v>
      </c>
      <c r="K2643" s="9">
        <f t="shared" si="83"/>
        <v>-0.45297423894164529</v>
      </c>
    </row>
    <row r="2644" spans="1:11" x14ac:dyDescent="0.3">
      <c r="A2644">
        <v>927</v>
      </c>
      <c r="B2644">
        <v>3</v>
      </c>
      <c r="C2644">
        <v>50</v>
      </c>
      <c r="D2644" t="str">
        <f>VLOOKUP($C2644,products!$A$1:$F$322,MATCH(order_items!$D$1,products!$A$1:$F$1,0),FALSE)</f>
        <v>Trek Silque SLR 7 Women's - 2017</v>
      </c>
      <c r="E2644">
        <f>VLOOKUP($C2644,products!$A$1:$F$322,MATCH(order_items!$E$1,products!$A$1:$F$1,0),FALSE)</f>
        <v>7</v>
      </c>
      <c r="F2644" t="str">
        <f>VLOOKUP($E2644,categories!$A$1:$B$8,MATCH(order_items!$F$1,categories!$A$1:$B$1,0),FALSE)</f>
        <v>Road Bikes</v>
      </c>
      <c r="G2644">
        <v>1</v>
      </c>
      <c r="H2644">
        <v>5999.99</v>
      </c>
      <c r="I2644" s="5">
        <v>0.1</v>
      </c>
      <c r="J2644">
        <f t="shared" si="82"/>
        <v>5399.991</v>
      </c>
      <c r="K2644" s="9">
        <f t="shared" si="83"/>
        <v>3.5391745189185961</v>
      </c>
    </row>
    <row r="2645" spans="1:11" x14ac:dyDescent="0.3">
      <c r="A2645">
        <v>927</v>
      </c>
      <c r="B2645">
        <v>4</v>
      </c>
      <c r="C2645">
        <v>3</v>
      </c>
      <c r="D2645" t="str">
        <f>VLOOKUP($C2645,products!$A$1:$F$322,MATCH(order_items!$D$1,products!$A$1:$F$1,0),FALSE)</f>
        <v>Surly Wednesday Frameset - 2016</v>
      </c>
      <c r="E2645">
        <f>VLOOKUP($C2645,products!$A$1:$F$322,MATCH(order_items!$E$1,products!$A$1:$F$1,0),FALSE)</f>
        <v>6</v>
      </c>
      <c r="F2645" t="str">
        <f>VLOOKUP($E2645,categories!$A$1:$B$8,MATCH(order_items!$F$1,categories!$A$1:$B$1,0),FALSE)</f>
        <v>Mountain Bikes</v>
      </c>
      <c r="G2645">
        <v>1</v>
      </c>
      <c r="H2645">
        <v>999.99</v>
      </c>
      <c r="I2645" s="5">
        <v>0.1</v>
      </c>
      <c r="J2645">
        <f t="shared" si="82"/>
        <v>899.99099999999999</v>
      </c>
      <c r="K2645" s="9">
        <f t="shared" si="83"/>
        <v>-0.15725951613718298</v>
      </c>
    </row>
    <row r="2646" spans="1:11" x14ac:dyDescent="0.3">
      <c r="A2646">
        <v>927</v>
      </c>
      <c r="B2646">
        <v>5</v>
      </c>
      <c r="C2646">
        <v>43</v>
      </c>
      <c r="D2646" t="str">
        <f>VLOOKUP($C2646,products!$A$1:$F$322,MATCH(order_items!$D$1,products!$A$1:$F$1,0),FALSE)</f>
        <v>Trek Fuel EX 9.8 27.5 Plus - 2017</v>
      </c>
      <c r="E2646">
        <f>VLOOKUP($C2646,products!$A$1:$F$322,MATCH(order_items!$E$1,products!$A$1:$F$1,0),FALSE)</f>
        <v>6</v>
      </c>
      <c r="F2646" t="str">
        <f>VLOOKUP($E2646,categories!$A$1:$B$8,MATCH(order_items!$F$1,categories!$A$1:$B$1,0),FALSE)</f>
        <v>Mountain Bikes</v>
      </c>
      <c r="G2646">
        <v>1</v>
      </c>
      <c r="H2646">
        <v>5299.99</v>
      </c>
      <c r="I2646" s="5">
        <v>7.0000000000000007E-2</v>
      </c>
      <c r="J2646">
        <f t="shared" si="82"/>
        <v>4928.9906999999994</v>
      </c>
      <c r="K2646" s="9">
        <f t="shared" si="83"/>
        <v>3.021673754010787</v>
      </c>
    </row>
    <row r="2647" spans="1:11" x14ac:dyDescent="0.3">
      <c r="A2647">
        <v>928</v>
      </c>
      <c r="B2647">
        <v>1</v>
      </c>
      <c r="C2647">
        <v>71</v>
      </c>
      <c r="D2647" t="str">
        <f>VLOOKUP($C2647,products!$A$1:$F$322,MATCH(order_items!$D$1,products!$A$1:$F$1,0),FALSE)</f>
        <v>Sun Bicycles Atlas X-Type - 2017</v>
      </c>
      <c r="E2647">
        <f>VLOOKUP($C2647,products!$A$1:$F$322,MATCH(order_items!$E$1,products!$A$1:$F$1,0),FALSE)</f>
        <v>3</v>
      </c>
      <c r="F2647" t="str">
        <f>VLOOKUP($E2647,categories!$A$1:$B$8,MATCH(order_items!$F$1,categories!$A$1:$B$1,0),FALSE)</f>
        <v>Cruisers Bicycles</v>
      </c>
      <c r="G2647">
        <v>2</v>
      </c>
      <c r="H2647">
        <v>416.99</v>
      </c>
      <c r="I2647" s="5">
        <v>0.05</v>
      </c>
      <c r="J2647">
        <f t="shared" si="82"/>
        <v>792.28099999999995</v>
      </c>
      <c r="K2647" s="9">
        <f t="shared" si="83"/>
        <v>-0.58826372462468679</v>
      </c>
    </row>
    <row r="2648" spans="1:11" x14ac:dyDescent="0.3">
      <c r="A2648">
        <v>928</v>
      </c>
      <c r="B2648">
        <v>2</v>
      </c>
      <c r="C2648">
        <v>83</v>
      </c>
      <c r="D2648" t="str">
        <f>VLOOKUP($C2648,products!$A$1:$F$322,MATCH(order_items!$D$1,products!$A$1:$F$1,0),FALSE)</f>
        <v>Trek Boy's Kickster - 2015/2017</v>
      </c>
      <c r="E2648">
        <f>VLOOKUP($C2648,products!$A$1:$F$322,MATCH(order_items!$E$1,products!$A$1:$F$1,0),FALSE)</f>
        <v>1</v>
      </c>
      <c r="F2648" t="str">
        <f>VLOOKUP($E2648,categories!$A$1:$B$8,MATCH(order_items!$F$1,categories!$A$1:$B$1,0),FALSE)</f>
        <v>Children Bicycles</v>
      </c>
      <c r="G2648">
        <v>1</v>
      </c>
      <c r="H2648">
        <v>149.99</v>
      </c>
      <c r="I2648" s="5">
        <v>0.2</v>
      </c>
      <c r="J2648">
        <f t="shared" si="82"/>
        <v>119.99200000000002</v>
      </c>
      <c r="K2648" s="9">
        <f t="shared" si="83"/>
        <v>-0.7856533020966654</v>
      </c>
    </row>
    <row r="2649" spans="1:11" x14ac:dyDescent="0.3">
      <c r="A2649">
        <v>929</v>
      </c>
      <c r="B2649">
        <v>1</v>
      </c>
      <c r="C2649">
        <v>82</v>
      </c>
      <c r="D2649" t="str">
        <f>VLOOKUP($C2649,products!$A$1:$F$322,MATCH(order_items!$D$1,products!$A$1:$F$1,0),FALSE)</f>
        <v>Electra Amsterdam Original 3i Ladies' - 2017</v>
      </c>
      <c r="E2649">
        <f>VLOOKUP($C2649,products!$A$1:$F$322,MATCH(order_items!$E$1,products!$A$1:$F$1,0),FALSE)</f>
        <v>3</v>
      </c>
      <c r="F2649" t="str">
        <f>VLOOKUP($E2649,categories!$A$1:$B$8,MATCH(order_items!$F$1,categories!$A$1:$B$1,0),FALSE)</f>
        <v>Cruisers Bicycles</v>
      </c>
      <c r="G2649">
        <v>1</v>
      </c>
      <c r="H2649">
        <v>659.99</v>
      </c>
      <c r="I2649" s="5">
        <v>0.2</v>
      </c>
      <c r="J2649">
        <f t="shared" si="82"/>
        <v>527.99200000000008</v>
      </c>
      <c r="K2649" s="9">
        <f t="shared" si="83"/>
        <v>-0.40861703052097592</v>
      </c>
    </row>
    <row r="2650" spans="1:11" x14ac:dyDescent="0.3">
      <c r="A2650">
        <v>929</v>
      </c>
      <c r="B2650">
        <v>2</v>
      </c>
      <c r="C2650">
        <v>63</v>
      </c>
      <c r="D2650" t="str">
        <f>VLOOKUP($C2650,products!$A$1:$F$322,MATCH(order_items!$D$1,products!$A$1:$F$1,0),FALSE)</f>
        <v>Trek Boone Race Shop Limited - 2017</v>
      </c>
      <c r="E2650">
        <f>VLOOKUP($C2650,products!$A$1:$F$322,MATCH(order_items!$E$1,products!$A$1:$F$1,0),FALSE)</f>
        <v>4</v>
      </c>
      <c r="F2650" t="str">
        <f>VLOOKUP($E2650,categories!$A$1:$B$8,MATCH(order_items!$F$1,categories!$A$1:$B$1,0),FALSE)</f>
        <v>Cyclocross Bicycles</v>
      </c>
      <c r="G2650">
        <v>2</v>
      </c>
      <c r="H2650">
        <v>3499.99</v>
      </c>
      <c r="I2650" s="5">
        <v>0.1</v>
      </c>
      <c r="J2650">
        <f t="shared" si="82"/>
        <v>6299.982</v>
      </c>
      <c r="K2650" s="9">
        <f t="shared" si="83"/>
        <v>1.6909575013907066</v>
      </c>
    </row>
    <row r="2651" spans="1:11" x14ac:dyDescent="0.3">
      <c r="A2651">
        <v>929</v>
      </c>
      <c r="B2651">
        <v>3</v>
      </c>
      <c r="C2651">
        <v>24</v>
      </c>
      <c r="D2651" t="str">
        <f>VLOOKUP($C2651,products!$A$1:$F$322,MATCH(order_items!$D$1,products!$A$1:$F$1,0),FALSE)</f>
        <v>Electra Townie Original 21D - 2016</v>
      </c>
      <c r="E2651">
        <f>VLOOKUP($C2651,products!$A$1:$F$322,MATCH(order_items!$E$1,products!$A$1:$F$1,0),FALSE)</f>
        <v>2</v>
      </c>
      <c r="F2651" t="str">
        <f>VLOOKUP($E2651,categories!$A$1:$B$8,MATCH(order_items!$F$1,categories!$A$1:$B$1,0),FALSE)</f>
        <v>Comfort Bicycles</v>
      </c>
      <c r="G2651">
        <v>1</v>
      </c>
      <c r="H2651">
        <v>549.99</v>
      </c>
      <c r="I2651" s="5">
        <v>0.05</v>
      </c>
      <c r="J2651">
        <f t="shared" si="82"/>
        <v>522.4905</v>
      </c>
      <c r="K2651" s="9">
        <f t="shared" si="83"/>
        <v>-0.48993857929220308</v>
      </c>
    </row>
    <row r="2652" spans="1:11" x14ac:dyDescent="0.3">
      <c r="A2652">
        <v>930</v>
      </c>
      <c r="B2652">
        <v>1</v>
      </c>
      <c r="C2652">
        <v>56</v>
      </c>
      <c r="D2652" t="str">
        <f>VLOOKUP($C2652,products!$A$1:$F$322,MATCH(order_items!$D$1,products!$A$1:$F$1,0),FALSE)</f>
        <v>Trek Domane SLR 6 Disc - 2017</v>
      </c>
      <c r="E2652">
        <f>VLOOKUP($C2652,products!$A$1:$F$322,MATCH(order_items!$E$1,products!$A$1:$F$1,0),FALSE)</f>
        <v>7</v>
      </c>
      <c r="F2652" t="str">
        <f>VLOOKUP($E2652,categories!$A$1:$B$8,MATCH(order_items!$F$1,categories!$A$1:$B$1,0),FALSE)</f>
        <v>Road Bikes</v>
      </c>
      <c r="G2652">
        <v>2</v>
      </c>
      <c r="H2652">
        <v>5499.99</v>
      </c>
      <c r="I2652" s="5">
        <v>7.0000000000000007E-2</v>
      </c>
      <c r="J2652">
        <f t="shared" si="82"/>
        <v>10229.981399999999</v>
      </c>
      <c r="K2652" s="9">
        <f t="shared" si="83"/>
        <v>3.1695311154130179</v>
      </c>
    </row>
    <row r="2653" spans="1:11" x14ac:dyDescent="0.3">
      <c r="A2653">
        <v>930</v>
      </c>
      <c r="B2653">
        <v>2</v>
      </c>
      <c r="C2653">
        <v>82</v>
      </c>
      <c r="D2653" t="str">
        <f>VLOOKUP($C2653,products!$A$1:$F$322,MATCH(order_items!$D$1,products!$A$1:$F$1,0),FALSE)</f>
        <v>Electra Amsterdam Original 3i Ladies' - 2017</v>
      </c>
      <c r="E2653">
        <f>VLOOKUP($C2653,products!$A$1:$F$322,MATCH(order_items!$E$1,products!$A$1:$F$1,0),FALSE)</f>
        <v>3</v>
      </c>
      <c r="F2653" t="str">
        <f>VLOOKUP($E2653,categories!$A$1:$B$8,MATCH(order_items!$F$1,categories!$A$1:$B$1,0),FALSE)</f>
        <v>Cruisers Bicycles</v>
      </c>
      <c r="G2653">
        <v>1</v>
      </c>
      <c r="H2653">
        <v>659.99</v>
      </c>
      <c r="I2653" s="5">
        <v>7.0000000000000007E-2</v>
      </c>
      <c r="J2653">
        <f t="shared" si="82"/>
        <v>613.79070000000002</v>
      </c>
      <c r="K2653" s="9">
        <f t="shared" si="83"/>
        <v>-0.40861703052097592</v>
      </c>
    </row>
    <row r="2654" spans="1:11" x14ac:dyDescent="0.3">
      <c r="A2654">
        <v>930</v>
      </c>
      <c r="B2654">
        <v>3</v>
      </c>
      <c r="C2654">
        <v>60</v>
      </c>
      <c r="D2654" t="str">
        <f>VLOOKUP($C2654,products!$A$1:$F$322,MATCH(order_items!$D$1,products!$A$1:$F$1,0),FALSE)</f>
        <v>Sun Bicycles ElectroLite - 2017</v>
      </c>
      <c r="E2654">
        <f>VLOOKUP($C2654,products!$A$1:$F$322,MATCH(order_items!$E$1,products!$A$1:$F$1,0),FALSE)</f>
        <v>5</v>
      </c>
      <c r="F2654" t="str">
        <f>VLOOKUP($E2654,categories!$A$1:$B$8,MATCH(order_items!$F$1,categories!$A$1:$B$1,0),FALSE)</f>
        <v>Electric Bikes</v>
      </c>
      <c r="G2654">
        <v>1</v>
      </c>
      <c r="H2654">
        <v>1559.99</v>
      </c>
      <c r="I2654" s="5">
        <v>0.1</v>
      </c>
      <c r="J2654">
        <f t="shared" si="82"/>
        <v>1403.991</v>
      </c>
      <c r="K2654" s="9">
        <f t="shared" si="83"/>
        <v>0.25674109578906423</v>
      </c>
    </row>
    <row r="2655" spans="1:11" x14ac:dyDescent="0.3">
      <c r="A2655">
        <v>930</v>
      </c>
      <c r="B2655">
        <v>4</v>
      </c>
      <c r="C2655">
        <v>65</v>
      </c>
      <c r="D2655" t="str">
        <f>VLOOKUP($C2655,products!$A$1:$F$322,MATCH(order_items!$D$1,products!$A$1:$F$1,0),FALSE)</f>
        <v>Sun Bicycles Lil Bolt Type-R - 2017</v>
      </c>
      <c r="E2655">
        <f>VLOOKUP($C2655,products!$A$1:$F$322,MATCH(order_items!$E$1,products!$A$1:$F$1,0),FALSE)</f>
        <v>3</v>
      </c>
      <c r="F2655" t="str">
        <f>VLOOKUP($E2655,categories!$A$1:$B$8,MATCH(order_items!$F$1,categories!$A$1:$B$1,0),FALSE)</f>
        <v>Cruisers Bicycles</v>
      </c>
      <c r="G2655">
        <v>2</v>
      </c>
      <c r="H2655">
        <v>346.99</v>
      </c>
      <c r="I2655" s="5">
        <v>0.05</v>
      </c>
      <c r="J2655">
        <f t="shared" si="82"/>
        <v>659.28099999999995</v>
      </c>
      <c r="K2655" s="9">
        <f t="shared" si="83"/>
        <v>-0.64001380111546768</v>
      </c>
    </row>
    <row r="2656" spans="1:11" x14ac:dyDescent="0.3">
      <c r="A2656">
        <v>930</v>
      </c>
      <c r="B2656">
        <v>5</v>
      </c>
      <c r="C2656">
        <v>51</v>
      </c>
      <c r="D2656" t="str">
        <f>VLOOKUP($C2656,products!$A$1:$F$322,MATCH(order_items!$D$1,products!$A$1:$F$1,0),FALSE)</f>
        <v>Trek Silque SLR 8 Women's - 2017</v>
      </c>
      <c r="E2656">
        <f>VLOOKUP($C2656,products!$A$1:$F$322,MATCH(order_items!$E$1,products!$A$1:$F$1,0),FALSE)</f>
        <v>7</v>
      </c>
      <c r="F2656" t="str">
        <f>VLOOKUP($E2656,categories!$A$1:$B$8,MATCH(order_items!$F$1,categories!$A$1:$B$1,0),FALSE)</f>
        <v>Road Bikes</v>
      </c>
      <c r="G2656">
        <v>2</v>
      </c>
      <c r="H2656">
        <v>6499.99</v>
      </c>
      <c r="I2656" s="5">
        <v>0.1</v>
      </c>
      <c r="J2656">
        <f t="shared" si="82"/>
        <v>11699.982</v>
      </c>
      <c r="K2656" s="9">
        <f t="shared" si="83"/>
        <v>3.9088179224241739</v>
      </c>
    </row>
    <row r="2657" spans="1:11" x14ac:dyDescent="0.3">
      <c r="A2657">
        <v>931</v>
      </c>
      <c r="B2657">
        <v>1</v>
      </c>
      <c r="C2657">
        <v>49</v>
      </c>
      <c r="D2657" t="str">
        <f>VLOOKUP($C2657,products!$A$1:$F$322,MATCH(order_items!$D$1,products!$A$1:$F$1,0),FALSE)</f>
        <v>Trek Domane SL 6 - 2017</v>
      </c>
      <c r="E2657">
        <f>VLOOKUP($C2657,products!$A$1:$F$322,MATCH(order_items!$E$1,products!$A$1:$F$1,0),FALSE)</f>
        <v>7</v>
      </c>
      <c r="F2657" t="str">
        <f>VLOOKUP($E2657,categories!$A$1:$B$8,MATCH(order_items!$F$1,categories!$A$1:$B$1,0),FALSE)</f>
        <v>Road Bikes</v>
      </c>
      <c r="G2657">
        <v>2</v>
      </c>
      <c r="H2657">
        <v>3499.99</v>
      </c>
      <c r="I2657" s="5">
        <v>7.0000000000000007E-2</v>
      </c>
      <c r="J2657">
        <f t="shared" si="82"/>
        <v>6509.9813999999988</v>
      </c>
      <c r="K2657" s="9">
        <f t="shared" si="83"/>
        <v>1.6909575013907066</v>
      </c>
    </row>
    <row r="2658" spans="1:11" x14ac:dyDescent="0.3">
      <c r="A2658">
        <v>931</v>
      </c>
      <c r="B2658">
        <v>2</v>
      </c>
      <c r="C2658">
        <v>76</v>
      </c>
      <c r="D2658" t="str">
        <f>VLOOKUP($C2658,products!$A$1:$F$322,MATCH(order_items!$D$1,products!$A$1:$F$1,0),FALSE)</f>
        <v>Electra Girl's Hawaii 1 16" - 2017</v>
      </c>
      <c r="E2658">
        <f>VLOOKUP($C2658,products!$A$1:$F$322,MATCH(order_items!$E$1,products!$A$1:$F$1,0),FALSE)</f>
        <v>3</v>
      </c>
      <c r="F2658" t="str">
        <f>VLOOKUP($E2658,categories!$A$1:$B$8,MATCH(order_items!$F$1,categories!$A$1:$B$1,0),FALSE)</f>
        <v>Cruisers Bicycles</v>
      </c>
      <c r="G2658">
        <v>1</v>
      </c>
      <c r="H2658">
        <v>299.99</v>
      </c>
      <c r="I2658" s="5">
        <v>0.2</v>
      </c>
      <c r="J2658">
        <f t="shared" si="82"/>
        <v>239.99200000000002</v>
      </c>
      <c r="K2658" s="9">
        <f t="shared" si="83"/>
        <v>-0.67476028104499197</v>
      </c>
    </row>
    <row r="2659" spans="1:11" x14ac:dyDescent="0.3">
      <c r="A2659">
        <v>932</v>
      </c>
      <c r="B2659">
        <v>1</v>
      </c>
      <c r="C2659">
        <v>74</v>
      </c>
      <c r="D2659" t="str">
        <f>VLOOKUP($C2659,products!$A$1:$F$322,MATCH(order_items!$D$1,products!$A$1:$F$1,0),FALSE)</f>
        <v>Electra Cruiser Lux 1 - 2017</v>
      </c>
      <c r="E2659">
        <f>VLOOKUP($C2659,products!$A$1:$F$322,MATCH(order_items!$E$1,products!$A$1:$F$1,0),FALSE)</f>
        <v>3</v>
      </c>
      <c r="F2659" t="str">
        <f>VLOOKUP($E2659,categories!$A$1:$B$8,MATCH(order_items!$F$1,categories!$A$1:$B$1,0),FALSE)</f>
        <v>Cruisers Bicycles</v>
      </c>
      <c r="G2659">
        <v>1</v>
      </c>
      <c r="H2659">
        <v>439.99</v>
      </c>
      <c r="I2659" s="5">
        <v>0.05</v>
      </c>
      <c r="J2659">
        <f t="shared" si="82"/>
        <v>417.9905</v>
      </c>
      <c r="K2659" s="9">
        <f t="shared" si="83"/>
        <v>-0.57126012806343018</v>
      </c>
    </row>
    <row r="2660" spans="1:11" x14ac:dyDescent="0.3">
      <c r="A2660">
        <v>933</v>
      </c>
      <c r="B2660">
        <v>1</v>
      </c>
      <c r="C2660">
        <v>77</v>
      </c>
      <c r="D2660" t="str">
        <f>VLOOKUP($C2660,products!$A$1:$F$322,MATCH(order_items!$D$1,products!$A$1:$F$1,0),FALSE)</f>
        <v>Electra Glam Punk 3i Ladies' - 2017</v>
      </c>
      <c r="E2660">
        <f>VLOOKUP($C2660,products!$A$1:$F$322,MATCH(order_items!$E$1,products!$A$1:$F$1,0),FALSE)</f>
        <v>3</v>
      </c>
      <c r="F2660" t="str">
        <f>VLOOKUP($E2660,categories!$A$1:$B$8,MATCH(order_items!$F$1,categories!$A$1:$B$1,0),FALSE)</f>
        <v>Cruisers Bicycles</v>
      </c>
      <c r="G2660">
        <v>1</v>
      </c>
      <c r="H2660">
        <v>799.99</v>
      </c>
      <c r="I2660" s="5">
        <v>7.0000000000000007E-2</v>
      </c>
      <c r="J2660">
        <f t="shared" si="82"/>
        <v>743.99069999999995</v>
      </c>
      <c r="K2660" s="9">
        <f t="shared" si="83"/>
        <v>-0.30511687753941413</v>
      </c>
    </row>
    <row r="2661" spans="1:11" x14ac:dyDescent="0.3">
      <c r="A2661">
        <v>933</v>
      </c>
      <c r="B2661">
        <v>2</v>
      </c>
      <c r="C2661">
        <v>21</v>
      </c>
      <c r="D2661" t="str">
        <f>VLOOKUP($C2661,products!$A$1:$F$322,MATCH(order_items!$D$1,products!$A$1:$F$1,0),FALSE)</f>
        <v>Electra Cruiser 1 (24-Inch) - 2016</v>
      </c>
      <c r="E2661">
        <f>VLOOKUP($C2661,products!$A$1:$F$322,MATCH(order_items!$E$1,products!$A$1:$F$1,0),FALSE)</f>
        <v>1</v>
      </c>
      <c r="F2661" t="str">
        <f>VLOOKUP($E2661,categories!$A$1:$B$8,MATCH(order_items!$F$1,categories!$A$1:$B$1,0),FALSE)</f>
        <v>Children Bicycles</v>
      </c>
      <c r="G2661">
        <v>1</v>
      </c>
      <c r="H2661">
        <v>269.99</v>
      </c>
      <c r="I2661" s="5">
        <v>0.2</v>
      </c>
      <c r="J2661">
        <f t="shared" si="82"/>
        <v>215.99200000000002</v>
      </c>
      <c r="K2661" s="9">
        <f t="shared" si="83"/>
        <v>-0.69693888525532666</v>
      </c>
    </row>
    <row r="2662" spans="1:11" x14ac:dyDescent="0.3">
      <c r="A2662">
        <v>933</v>
      </c>
      <c r="B2662">
        <v>3</v>
      </c>
      <c r="C2662">
        <v>75</v>
      </c>
      <c r="D2662" t="str">
        <f>VLOOKUP($C2662,products!$A$1:$F$322,MATCH(order_items!$D$1,products!$A$1:$F$1,0),FALSE)</f>
        <v>Electra Cruiser Lux Fat Tire 1 Ladies - 2017</v>
      </c>
      <c r="E2662">
        <f>VLOOKUP($C2662,products!$A$1:$F$322,MATCH(order_items!$E$1,products!$A$1:$F$1,0),FALSE)</f>
        <v>3</v>
      </c>
      <c r="F2662" t="str">
        <f>VLOOKUP($E2662,categories!$A$1:$B$8,MATCH(order_items!$F$1,categories!$A$1:$B$1,0),FALSE)</f>
        <v>Cruisers Bicycles</v>
      </c>
      <c r="G2662">
        <v>2</v>
      </c>
      <c r="H2662">
        <v>599.99</v>
      </c>
      <c r="I2662" s="5">
        <v>0.05</v>
      </c>
      <c r="J2662">
        <f t="shared" si="82"/>
        <v>1139.981</v>
      </c>
      <c r="K2662" s="9">
        <f t="shared" si="83"/>
        <v>-0.45297423894164529</v>
      </c>
    </row>
    <row r="2663" spans="1:11" x14ac:dyDescent="0.3">
      <c r="A2663">
        <v>934</v>
      </c>
      <c r="B2663">
        <v>1</v>
      </c>
      <c r="C2663">
        <v>35</v>
      </c>
      <c r="D2663" t="str">
        <f>VLOOKUP($C2663,products!$A$1:$F$322,MATCH(order_items!$D$1,products!$A$1:$F$1,0),FALSE)</f>
        <v>Sun Bicycles Spider 3i - 2017</v>
      </c>
      <c r="E2663">
        <f>VLOOKUP($C2663,products!$A$1:$F$322,MATCH(order_items!$E$1,products!$A$1:$F$1,0),FALSE)</f>
        <v>6</v>
      </c>
      <c r="F2663" t="str">
        <f>VLOOKUP($E2663,categories!$A$1:$B$8,MATCH(order_items!$F$1,categories!$A$1:$B$1,0),FALSE)</f>
        <v>Mountain Bikes</v>
      </c>
      <c r="G2663">
        <v>2</v>
      </c>
      <c r="H2663">
        <v>832.99</v>
      </c>
      <c r="I2663" s="5">
        <v>0.05</v>
      </c>
      <c r="J2663">
        <f t="shared" si="82"/>
        <v>1582.681</v>
      </c>
      <c r="K2663" s="9">
        <f t="shared" si="83"/>
        <v>-0.280720412908046</v>
      </c>
    </row>
    <row r="2664" spans="1:11" x14ac:dyDescent="0.3">
      <c r="A2664">
        <v>934</v>
      </c>
      <c r="B2664">
        <v>2</v>
      </c>
      <c r="C2664">
        <v>48</v>
      </c>
      <c r="D2664" t="str">
        <f>VLOOKUP($C2664,products!$A$1:$F$322,MATCH(order_items!$D$1,products!$A$1:$F$1,0),FALSE)</f>
        <v>Trek Emonda S 4 - 2017</v>
      </c>
      <c r="E2664">
        <f>VLOOKUP($C2664,products!$A$1:$F$322,MATCH(order_items!$E$1,products!$A$1:$F$1,0),FALSE)</f>
        <v>7</v>
      </c>
      <c r="F2664" t="str">
        <f>VLOOKUP($E2664,categories!$A$1:$B$8,MATCH(order_items!$F$1,categories!$A$1:$B$1,0),FALSE)</f>
        <v>Road Bikes</v>
      </c>
      <c r="G2664">
        <v>1</v>
      </c>
      <c r="H2664">
        <v>1499.99</v>
      </c>
      <c r="I2664" s="5">
        <v>0.05</v>
      </c>
      <c r="J2664">
        <f t="shared" si="82"/>
        <v>1424.9904999999999</v>
      </c>
      <c r="K2664" s="9">
        <f t="shared" si="83"/>
        <v>0.21238388736839492</v>
      </c>
    </row>
    <row r="2665" spans="1:11" x14ac:dyDescent="0.3">
      <c r="A2665">
        <v>934</v>
      </c>
      <c r="B2665">
        <v>3</v>
      </c>
      <c r="C2665">
        <v>18</v>
      </c>
      <c r="D2665" t="str">
        <f>VLOOKUP($C2665,products!$A$1:$F$322,MATCH(order_items!$D$1,products!$A$1:$F$1,0),FALSE)</f>
        <v>Pure Cycles Western 3-Speed - Women's - 2015/2016</v>
      </c>
      <c r="E2665">
        <f>VLOOKUP($C2665,products!$A$1:$F$322,MATCH(order_items!$E$1,products!$A$1:$F$1,0),FALSE)</f>
        <v>3</v>
      </c>
      <c r="F2665" t="str">
        <f>VLOOKUP($E2665,categories!$A$1:$B$8,MATCH(order_items!$F$1,categories!$A$1:$B$1,0),FALSE)</f>
        <v>Cruisers Bicycles</v>
      </c>
      <c r="G2665">
        <v>1</v>
      </c>
      <c r="H2665">
        <v>449</v>
      </c>
      <c r="I2665" s="5">
        <v>0.1</v>
      </c>
      <c r="J2665">
        <f t="shared" si="82"/>
        <v>404.1</v>
      </c>
      <c r="K2665" s="9">
        <f t="shared" si="83"/>
        <v>-0.56459915393225968</v>
      </c>
    </row>
    <row r="2666" spans="1:11" x14ac:dyDescent="0.3">
      <c r="A2666">
        <v>934</v>
      </c>
      <c r="B2666">
        <v>4</v>
      </c>
      <c r="C2666">
        <v>61</v>
      </c>
      <c r="D2666" t="str">
        <f>VLOOKUP($C2666,products!$A$1:$F$322,MATCH(order_items!$D$1,products!$A$1:$F$1,0),FALSE)</f>
        <v>Trek Powerfly 8 FS Plus - 2017</v>
      </c>
      <c r="E2666">
        <f>VLOOKUP($C2666,products!$A$1:$F$322,MATCH(order_items!$E$1,products!$A$1:$F$1,0),FALSE)</f>
        <v>5</v>
      </c>
      <c r="F2666" t="str">
        <f>VLOOKUP($E2666,categories!$A$1:$B$8,MATCH(order_items!$F$1,categories!$A$1:$B$1,0),FALSE)</f>
        <v>Electric Bikes</v>
      </c>
      <c r="G2666">
        <v>1</v>
      </c>
      <c r="H2666">
        <v>4999.99</v>
      </c>
      <c r="I2666" s="5">
        <v>7.0000000000000007E-2</v>
      </c>
      <c r="J2666">
        <f t="shared" si="82"/>
        <v>4649.9906999999994</v>
      </c>
      <c r="K2666" s="9">
        <f t="shared" si="83"/>
        <v>2.7998877119074401</v>
      </c>
    </row>
    <row r="2667" spans="1:11" x14ac:dyDescent="0.3">
      <c r="A2667">
        <v>934</v>
      </c>
      <c r="B2667">
        <v>5</v>
      </c>
      <c r="C2667">
        <v>56</v>
      </c>
      <c r="D2667" t="str">
        <f>VLOOKUP($C2667,products!$A$1:$F$322,MATCH(order_items!$D$1,products!$A$1:$F$1,0),FALSE)</f>
        <v>Trek Domane SLR 6 Disc - 2017</v>
      </c>
      <c r="E2667">
        <f>VLOOKUP($C2667,products!$A$1:$F$322,MATCH(order_items!$E$1,products!$A$1:$F$1,0),FALSE)</f>
        <v>7</v>
      </c>
      <c r="F2667" t="str">
        <f>VLOOKUP($E2667,categories!$A$1:$B$8,MATCH(order_items!$F$1,categories!$A$1:$B$1,0),FALSE)</f>
        <v>Road Bikes</v>
      </c>
      <c r="G2667">
        <v>2</v>
      </c>
      <c r="H2667">
        <v>5499.99</v>
      </c>
      <c r="I2667" s="5">
        <v>0.2</v>
      </c>
      <c r="J2667">
        <f t="shared" si="82"/>
        <v>8799.9840000000004</v>
      </c>
      <c r="K2667" s="9">
        <f t="shared" si="83"/>
        <v>3.1695311154130179</v>
      </c>
    </row>
    <row r="2668" spans="1:11" x14ac:dyDescent="0.3">
      <c r="A2668">
        <v>935</v>
      </c>
      <c r="B2668">
        <v>1</v>
      </c>
      <c r="C2668">
        <v>65</v>
      </c>
      <c r="D2668" t="str">
        <f>VLOOKUP($C2668,products!$A$1:$F$322,MATCH(order_items!$D$1,products!$A$1:$F$1,0),FALSE)</f>
        <v>Sun Bicycles Lil Bolt Type-R - 2017</v>
      </c>
      <c r="E2668">
        <f>VLOOKUP($C2668,products!$A$1:$F$322,MATCH(order_items!$E$1,products!$A$1:$F$1,0),FALSE)</f>
        <v>3</v>
      </c>
      <c r="F2668" t="str">
        <f>VLOOKUP($E2668,categories!$A$1:$B$8,MATCH(order_items!$F$1,categories!$A$1:$B$1,0),FALSE)</f>
        <v>Cruisers Bicycles</v>
      </c>
      <c r="G2668">
        <v>2</v>
      </c>
      <c r="H2668">
        <v>346.99</v>
      </c>
      <c r="I2668" s="5">
        <v>0.2</v>
      </c>
      <c r="J2668">
        <f t="shared" si="82"/>
        <v>555.18400000000008</v>
      </c>
      <c r="K2668" s="9">
        <f t="shared" si="83"/>
        <v>-0.64001380111546768</v>
      </c>
    </row>
    <row r="2669" spans="1:11" x14ac:dyDescent="0.3">
      <c r="A2669">
        <v>935</v>
      </c>
      <c r="B2669">
        <v>2</v>
      </c>
      <c r="C2669">
        <v>76</v>
      </c>
      <c r="D2669" t="str">
        <f>VLOOKUP($C2669,products!$A$1:$F$322,MATCH(order_items!$D$1,products!$A$1:$F$1,0),FALSE)</f>
        <v>Electra Girl's Hawaii 1 16" - 2017</v>
      </c>
      <c r="E2669">
        <f>VLOOKUP($C2669,products!$A$1:$F$322,MATCH(order_items!$E$1,products!$A$1:$F$1,0),FALSE)</f>
        <v>3</v>
      </c>
      <c r="F2669" t="str">
        <f>VLOOKUP($E2669,categories!$A$1:$B$8,MATCH(order_items!$F$1,categories!$A$1:$B$1,0),FALSE)</f>
        <v>Cruisers Bicycles</v>
      </c>
      <c r="G2669">
        <v>2</v>
      </c>
      <c r="H2669">
        <v>299.99</v>
      </c>
      <c r="I2669" s="5">
        <v>7.0000000000000007E-2</v>
      </c>
      <c r="J2669">
        <f t="shared" si="82"/>
        <v>557.98140000000001</v>
      </c>
      <c r="K2669" s="9">
        <f t="shared" si="83"/>
        <v>-0.67476028104499197</v>
      </c>
    </row>
    <row r="2670" spans="1:11" x14ac:dyDescent="0.3">
      <c r="A2670">
        <v>935</v>
      </c>
      <c r="B2670">
        <v>3</v>
      </c>
      <c r="C2670">
        <v>6</v>
      </c>
      <c r="D2670" t="str">
        <f>VLOOKUP($C2670,products!$A$1:$F$322,MATCH(order_items!$D$1,products!$A$1:$F$1,0),FALSE)</f>
        <v>Surly Ice Cream Truck Frameset - 2016</v>
      </c>
      <c r="E2670">
        <f>VLOOKUP($C2670,products!$A$1:$F$322,MATCH(order_items!$E$1,products!$A$1:$F$1,0),FALSE)</f>
        <v>6</v>
      </c>
      <c r="F2670" t="str">
        <f>VLOOKUP($E2670,categories!$A$1:$B$8,MATCH(order_items!$F$1,categories!$A$1:$B$1,0),FALSE)</f>
        <v>Mountain Bikes</v>
      </c>
      <c r="G2670">
        <v>1</v>
      </c>
      <c r="H2670">
        <v>469.99</v>
      </c>
      <c r="I2670" s="5">
        <v>7.0000000000000007E-2</v>
      </c>
      <c r="J2670">
        <f t="shared" si="82"/>
        <v>437.09069999999997</v>
      </c>
      <c r="K2670" s="9">
        <f t="shared" si="83"/>
        <v>-0.5490815238530955</v>
      </c>
    </row>
    <row r="2671" spans="1:11" x14ac:dyDescent="0.3">
      <c r="A2671">
        <v>935</v>
      </c>
      <c r="B2671">
        <v>4</v>
      </c>
      <c r="C2671">
        <v>38</v>
      </c>
      <c r="D2671" t="str">
        <f>VLOOKUP($C2671,products!$A$1:$F$322,MATCH(order_items!$D$1,products!$A$1:$F$1,0),FALSE)</f>
        <v>Haro Flightline Two 26 Plus - 2017</v>
      </c>
      <c r="E2671">
        <f>VLOOKUP($C2671,products!$A$1:$F$322,MATCH(order_items!$E$1,products!$A$1:$F$1,0),FALSE)</f>
        <v>6</v>
      </c>
      <c r="F2671" t="str">
        <f>VLOOKUP($E2671,categories!$A$1:$B$8,MATCH(order_items!$F$1,categories!$A$1:$B$1,0),FALSE)</f>
        <v>Mountain Bikes</v>
      </c>
      <c r="G2671">
        <v>1</v>
      </c>
      <c r="H2671">
        <v>549.99</v>
      </c>
      <c r="I2671" s="5">
        <v>7.0000000000000007E-2</v>
      </c>
      <c r="J2671">
        <f t="shared" si="82"/>
        <v>511.49069999999995</v>
      </c>
      <c r="K2671" s="9">
        <f t="shared" si="83"/>
        <v>-0.48993857929220308</v>
      </c>
    </row>
    <row r="2672" spans="1:11" x14ac:dyDescent="0.3">
      <c r="A2672">
        <v>936</v>
      </c>
      <c r="B2672">
        <v>1</v>
      </c>
      <c r="C2672">
        <v>70</v>
      </c>
      <c r="D2672" t="str">
        <f>VLOOKUP($C2672,products!$A$1:$F$322,MATCH(order_items!$D$1,products!$A$1:$F$1,0),FALSE)</f>
        <v>Electra Amsterdam Original 3i - 2015/2017</v>
      </c>
      <c r="E2672">
        <f>VLOOKUP($C2672,products!$A$1:$F$322,MATCH(order_items!$E$1,products!$A$1:$F$1,0),FALSE)</f>
        <v>3</v>
      </c>
      <c r="F2672" t="str">
        <f>VLOOKUP($E2672,categories!$A$1:$B$8,MATCH(order_items!$F$1,categories!$A$1:$B$1,0),FALSE)</f>
        <v>Cruisers Bicycles</v>
      </c>
      <c r="G2672">
        <v>1</v>
      </c>
      <c r="H2672">
        <v>659.99</v>
      </c>
      <c r="I2672" s="5">
        <v>0.1</v>
      </c>
      <c r="J2672">
        <f t="shared" si="82"/>
        <v>593.99099999999999</v>
      </c>
      <c r="K2672" s="9">
        <f t="shared" si="83"/>
        <v>-0.40861703052097592</v>
      </c>
    </row>
    <row r="2673" spans="1:11" x14ac:dyDescent="0.3">
      <c r="A2673">
        <v>936</v>
      </c>
      <c r="B2673">
        <v>2</v>
      </c>
      <c r="C2673">
        <v>44</v>
      </c>
      <c r="D2673" t="str">
        <f>VLOOKUP($C2673,products!$A$1:$F$322,MATCH(order_items!$D$1,products!$A$1:$F$1,0),FALSE)</f>
        <v>Haro SR 1.1 - 2017</v>
      </c>
      <c r="E2673">
        <f>VLOOKUP($C2673,products!$A$1:$F$322,MATCH(order_items!$E$1,products!$A$1:$F$1,0),FALSE)</f>
        <v>6</v>
      </c>
      <c r="F2673" t="str">
        <f>VLOOKUP($E2673,categories!$A$1:$B$8,MATCH(order_items!$F$1,categories!$A$1:$B$1,0),FALSE)</f>
        <v>Mountain Bikes</v>
      </c>
      <c r="G2673">
        <v>1</v>
      </c>
      <c r="H2673">
        <v>539.99</v>
      </c>
      <c r="I2673" s="5">
        <v>7.0000000000000007E-2</v>
      </c>
      <c r="J2673">
        <f t="shared" si="82"/>
        <v>502.19069999999999</v>
      </c>
      <c r="K2673" s="9">
        <f t="shared" si="83"/>
        <v>-0.49733144736231466</v>
      </c>
    </row>
    <row r="2674" spans="1:11" x14ac:dyDescent="0.3">
      <c r="A2674">
        <v>937</v>
      </c>
      <c r="B2674">
        <v>1</v>
      </c>
      <c r="C2674">
        <v>108</v>
      </c>
      <c r="D2674" t="str">
        <f>VLOOKUP($C2674,products!$A$1:$F$322,MATCH(order_items!$D$1,products!$A$1:$F$1,0),FALSE)</f>
        <v>Sun Bicycles Cruz 3 - Women's - 2017</v>
      </c>
      <c r="E2674">
        <f>VLOOKUP($C2674,products!$A$1:$F$322,MATCH(order_items!$E$1,products!$A$1:$F$1,0),FALSE)</f>
        <v>2</v>
      </c>
      <c r="F2674" t="str">
        <f>VLOOKUP($E2674,categories!$A$1:$B$8,MATCH(order_items!$F$1,categories!$A$1:$B$1,0),FALSE)</f>
        <v>Comfort Bicycles</v>
      </c>
      <c r="G2674">
        <v>2</v>
      </c>
      <c r="H2674">
        <v>449.99</v>
      </c>
      <c r="I2674" s="5">
        <v>0.1</v>
      </c>
      <c r="J2674">
        <f t="shared" si="82"/>
        <v>809.98200000000008</v>
      </c>
      <c r="K2674" s="9">
        <f t="shared" si="83"/>
        <v>-0.56386725999331866</v>
      </c>
    </row>
    <row r="2675" spans="1:11" x14ac:dyDescent="0.3">
      <c r="A2675">
        <v>937</v>
      </c>
      <c r="B2675">
        <v>2</v>
      </c>
      <c r="C2675">
        <v>51</v>
      </c>
      <c r="D2675" t="str">
        <f>VLOOKUP($C2675,products!$A$1:$F$322,MATCH(order_items!$D$1,products!$A$1:$F$1,0),FALSE)</f>
        <v>Trek Silque SLR 8 Women's - 2017</v>
      </c>
      <c r="E2675">
        <f>VLOOKUP($C2675,products!$A$1:$F$322,MATCH(order_items!$E$1,products!$A$1:$F$1,0),FALSE)</f>
        <v>7</v>
      </c>
      <c r="F2675" t="str">
        <f>VLOOKUP($E2675,categories!$A$1:$B$8,MATCH(order_items!$F$1,categories!$A$1:$B$1,0),FALSE)</f>
        <v>Road Bikes</v>
      </c>
      <c r="G2675">
        <v>2</v>
      </c>
      <c r="H2675">
        <v>6499.99</v>
      </c>
      <c r="I2675" s="5">
        <v>7.0000000000000007E-2</v>
      </c>
      <c r="J2675">
        <f t="shared" si="82"/>
        <v>12089.981399999999</v>
      </c>
      <c r="K2675" s="9">
        <f t="shared" si="83"/>
        <v>3.9088179224241739</v>
      </c>
    </row>
    <row r="2676" spans="1:11" x14ac:dyDescent="0.3">
      <c r="A2676">
        <v>937</v>
      </c>
      <c r="B2676">
        <v>3</v>
      </c>
      <c r="C2676">
        <v>58</v>
      </c>
      <c r="D2676" t="str">
        <f>VLOOKUP($C2676,products!$A$1:$F$322,MATCH(order_items!$D$1,products!$A$1:$F$1,0),FALSE)</f>
        <v>Trek Madone 9.2 - 2017</v>
      </c>
      <c r="E2676">
        <f>VLOOKUP($C2676,products!$A$1:$F$322,MATCH(order_items!$E$1,products!$A$1:$F$1,0),FALSE)</f>
        <v>7</v>
      </c>
      <c r="F2676" t="str">
        <f>VLOOKUP($E2676,categories!$A$1:$B$8,MATCH(order_items!$F$1,categories!$A$1:$B$1,0),FALSE)</f>
        <v>Road Bikes</v>
      </c>
      <c r="G2676">
        <v>2</v>
      </c>
      <c r="H2676">
        <v>4999.99</v>
      </c>
      <c r="I2676" s="5">
        <v>7.0000000000000007E-2</v>
      </c>
      <c r="J2676">
        <f t="shared" si="82"/>
        <v>9299.9813999999988</v>
      </c>
      <c r="K2676" s="9">
        <f t="shared" si="83"/>
        <v>2.7998877119074401</v>
      </c>
    </row>
    <row r="2677" spans="1:11" x14ac:dyDescent="0.3">
      <c r="A2677">
        <v>937</v>
      </c>
      <c r="B2677">
        <v>4</v>
      </c>
      <c r="C2677">
        <v>28</v>
      </c>
      <c r="D2677" t="str">
        <f>VLOOKUP($C2677,products!$A$1:$F$322,MATCH(order_items!$D$1,products!$A$1:$F$1,0),FALSE)</f>
        <v>Surly Karate Monkey 27.5+ Frameset - 2017</v>
      </c>
      <c r="E2677">
        <f>VLOOKUP($C2677,products!$A$1:$F$322,MATCH(order_items!$E$1,products!$A$1:$F$1,0),FALSE)</f>
        <v>6</v>
      </c>
      <c r="F2677" t="str">
        <f>VLOOKUP($E2677,categories!$A$1:$B$8,MATCH(order_items!$F$1,categories!$A$1:$B$1,0),FALSE)</f>
        <v>Mountain Bikes</v>
      </c>
      <c r="G2677">
        <v>2</v>
      </c>
      <c r="H2677">
        <v>2499.9899999999998</v>
      </c>
      <c r="I2677" s="5">
        <v>7.0000000000000007E-2</v>
      </c>
      <c r="J2677">
        <f t="shared" si="82"/>
        <v>4649.9813999999997</v>
      </c>
      <c r="K2677" s="9">
        <f t="shared" si="83"/>
        <v>0.95167069437955054</v>
      </c>
    </row>
    <row r="2678" spans="1:11" x14ac:dyDescent="0.3">
      <c r="A2678">
        <v>937</v>
      </c>
      <c r="B2678">
        <v>5</v>
      </c>
      <c r="C2678">
        <v>66</v>
      </c>
      <c r="D2678" t="str">
        <f>VLOOKUP($C2678,products!$A$1:$F$322,MATCH(order_items!$D$1,products!$A$1:$F$1,0),FALSE)</f>
        <v>Sun Bicycles Revolutions 24 - 2017</v>
      </c>
      <c r="E2678">
        <f>VLOOKUP($C2678,products!$A$1:$F$322,MATCH(order_items!$E$1,products!$A$1:$F$1,0),FALSE)</f>
        <v>3</v>
      </c>
      <c r="F2678" t="str">
        <f>VLOOKUP($E2678,categories!$A$1:$B$8,MATCH(order_items!$F$1,categories!$A$1:$B$1,0),FALSE)</f>
        <v>Cruisers Bicycles</v>
      </c>
      <c r="G2678">
        <v>1</v>
      </c>
      <c r="H2678">
        <v>250.99</v>
      </c>
      <c r="I2678" s="5">
        <v>0.2</v>
      </c>
      <c r="J2678">
        <f t="shared" si="82"/>
        <v>200.79200000000003</v>
      </c>
      <c r="K2678" s="9">
        <f t="shared" si="83"/>
        <v>-0.71098533458853863</v>
      </c>
    </row>
    <row r="2679" spans="1:11" x14ac:dyDescent="0.3">
      <c r="A2679">
        <v>938</v>
      </c>
      <c r="B2679">
        <v>1</v>
      </c>
      <c r="C2679">
        <v>4</v>
      </c>
      <c r="D2679" t="str">
        <f>VLOOKUP($C2679,products!$A$1:$F$322,MATCH(order_items!$D$1,products!$A$1:$F$1,0),FALSE)</f>
        <v>Trek Fuel EX 8 29 - 2016</v>
      </c>
      <c r="E2679">
        <f>VLOOKUP($C2679,products!$A$1:$F$322,MATCH(order_items!$E$1,products!$A$1:$F$1,0),FALSE)</f>
        <v>6</v>
      </c>
      <c r="F2679" t="str">
        <f>VLOOKUP($E2679,categories!$A$1:$B$8,MATCH(order_items!$F$1,categories!$A$1:$B$1,0),FALSE)</f>
        <v>Mountain Bikes</v>
      </c>
      <c r="G2679">
        <v>1</v>
      </c>
      <c r="H2679">
        <v>2899.99</v>
      </c>
      <c r="I2679" s="5">
        <v>0.05</v>
      </c>
      <c r="J2679">
        <f t="shared" si="82"/>
        <v>2754.9904999999999</v>
      </c>
      <c r="K2679" s="9">
        <f t="shared" si="83"/>
        <v>1.2473854171840129</v>
      </c>
    </row>
    <row r="2680" spans="1:11" x14ac:dyDescent="0.3">
      <c r="A2680">
        <v>938</v>
      </c>
      <c r="B2680">
        <v>2</v>
      </c>
      <c r="C2680">
        <v>13</v>
      </c>
      <c r="D2680" t="str">
        <f>VLOOKUP($C2680,products!$A$1:$F$322,MATCH(order_items!$D$1,products!$A$1:$F$1,0),FALSE)</f>
        <v>Electra Cruiser 1 (24-Inch) - 2016</v>
      </c>
      <c r="E2680">
        <f>VLOOKUP($C2680,products!$A$1:$F$322,MATCH(order_items!$E$1,products!$A$1:$F$1,0),FALSE)</f>
        <v>3</v>
      </c>
      <c r="F2680" t="str">
        <f>VLOOKUP($E2680,categories!$A$1:$B$8,MATCH(order_items!$F$1,categories!$A$1:$B$1,0),FALSE)</f>
        <v>Cruisers Bicycles</v>
      </c>
      <c r="G2680">
        <v>1</v>
      </c>
      <c r="H2680">
        <v>269.99</v>
      </c>
      <c r="I2680" s="5">
        <v>0.05</v>
      </c>
      <c r="J2680">
        <f t="shared" si="82"/>
        <v>256.4905</v>
      </c>
      <c r="K2680" s="9">
        <f t="shared" si="83"/>
        <v>-0.69693888525532666</v>
      </c>
    </row>
    <row r="2681" spans="1:11" x14ac:dyDescent="0.3">
      <c r="A2681">
        <v>939</v>
      </c>
      <c r="B2681">
        <v>1</v>
      </c>
      <c r="C2681">
        <v>5</v>
      </c>
      <c r="D2681" t="str">
        <f>VLOOKUP($C2681,products!$A$1:$F$322,MATCH(order_items!$D$1,products!$A$1:$F$1,0),FALSE)</f>
        <v>Heller Shagamaw Frame - 2016</v>
      </c>
      <c r="E2681">
        <f>VLOOKUP($C2681,products!$A$1:$F$322,MATCH(order_items!$E$1,products!$A$1:$F$1,0),FALSE)</f>
        <v>6</v>
      </c>
      <c r="F2681" t="str">
        <f>VLOOKUP($E2681,categories!$A$1:$B$8,MATCH(order_items!$F$1,categories!$A$1:$B$1,0),FALSE)</f>
        <v>Mountain Bikes</v>
      </c>
      <c r="G2681">
        <v>1</v>
      </c>
      <c r="H2681">
        <v>1320.99</v>
      </c>
      <c r="I2681" s="5">
        <v>0.1</v>
      </c>
      <c r="J2681">
        <f t="shared" si="82"/>
        <v>1188.8910000000001</v>
      </c>
      <c r="K2681" s="9">
        <f t="shared" si="83"/>
        <v>8.0051548913398024E-2</v>
      </c>
    </row>
    <row r="2682" spans="1:11" x14ac:dyDescent="0.3">
      <c r="A2682">
        <v>939</v>
      </c>
      <c r="B2682">
        <v>2</v>
      </c>
      <c r="C2682">
        <v>107</v>
      </c>
      <c r="D2682" t="str">
        <f>VLOOKUP($C2682,products!$A$1:$F$322,MATCH(order_items!$D$1,products!$A$1:$F$1,0),FALSE)</f>
        <v>Sun Bicycles Cruz 7 - 2017</v>
      </c>
      <c r="E2682">
        <f>VLOOKUP($C2682,products!$A$1:$F$322,MATCH(order_items!$E$1,products!$A$1:$F$1,0),FALSE)</f>
        <v>2</v>
      </c>
      <c r="F2682" t="str">
        <f>VLOOKUP($E2682,categories!$A$1:$B$8,MATCH(order_items!$F$1,categories!$A$1:$B$1,0),FALSE)</f>
        <v>Comfort Bicycles</v>
      </c>
      <c r="G2682">
        <v>2</v>
      </c>
      <c r="H2682">
        <v>416.99</v>
      </c>
      <c r="I2682" s="5">
        <v>0.2</v>
      </c>
      <c r="J2682">
        <f t="shared" si="82"/>
        <v>667.18400000000008</v>
      </c>
      <c r="K2682" s="9">
        <f t="shared" si="83"/>
        <v>-0.58826372462468679</v>
      </c>
    </row>
    <row r="2683" spans="1:11" x14ac:dyDescent="0.3">
      <c r="A2683">
        <v>940</v>
      </c>
      <c r="B2683">
        <v>1</v>
      </c>
      <c r="C2683">
        <v>75</v>
      </c>
      <c r="D2683" t="str">
        <f>VLOOKUP($C2683,products!$A$1:$F$322,MATCH(order_items!$D$1,products!$A$1:$F$1,0),FALSE)</f>
        <v>Electra Cruiser Lux Fat Tire 1 Ladies - 2017</v>
      </c>
      <c r="E2683">
        <f>VLOOKUP($C2683,products!$A$1:$F$322,MATCH(order_items!$E$1,products!$A$1:$F$1,0),FALSE)</f>
        <v>3</v>
      </c>
      <c r="F2683" t="str">
        <f>VLOOKUP($E2683,categories!$A$1:$B$8,MATCH(order_items!$F$1,categories!$A$1:$B$1,0),FALSE)</f>
        <v>Cruisers Bicycles</v>
      </c>
      <c r="G2683">
        <v>2</v>
      </c>
      <c r="H2683">
        <v>599.99</v>
      </c>
      <c r="I2683" s="5">
        <v>0.2</v>
      </c>
      <c r="J2683">
        <f t="shared" si="82"/>
        <v>959.98400000000004</v>
      </c>
      <c r="K2683" s="9">
        <f t="shared" si="83"/>
        <v>-0.45297423894164529</v>
      </c>
    </row>
    <row r="2684" spans="1:11" x14ac:dyDescent="0.3">
      <c r="A2684">
        <v>941</v>
      </c>
      <c r="B2684">
        <v>1</v>
      </c>
      <c r="C2684">
        <v>25</v>
      </c>
      <c r="D2684" t="str">
        <f>VLOOKUP($C2684,products!$A$1:$F$322,MATCH(order_items!$D$1,products!$A$1:$F$1,0),FALSE)</f>
        <v>Electra Townie Original 7D - 2015/2016</v>
      </c>
      <c r="E2684">
        <f>VLOOKUP($C2684,products!$A$1:$F$322,MATCH(order_items!$E$1,products!$A$1:$F$1,0),FALSE)</f>
        <v>2</v>
      </c>
      <c r="F2684" t="str">
        <f>VLOOKUP($E2684,categories!$A$1:$B$8,MATCH(order_items!$F$1,categories!$A$1:$B$1,0),FALSE)</f>
        <v>Comfort Bicycles</v>
      </c>
      <c r="G2684">
        <v>1</v>
      </c>
      <c r="H2684">
        <v>499.99</v>
      </c>
      <c r="I2684" s="5">
        <v>0.1</v>
      </c>
      <c r="J2684">
        <f t="shared" si="82"/>
        <v>449.99100000000004</v>
      </c>
      <c r="K2684" s="9">
        <f t="shared" si="83"/>
        <v>-0.52690291964276081</v>
      </c>
    </row>
    <row r="2685" spans="1:11" x14ac:dyDescent="0.3">
      <c r="A2685">
        <v>941</v>
      </c>
      <c r="B2685">
        <v>2</v>
      </c>
      <c r="C2685">
        <v>102</v>
      </c>
      <c r="D2685" t="str">
        <f>VLOOKUP($C2685,products!$A$1:$F$322,MATCH(order_items!$D$1,products!$A$1:$F$1,0),FALSE)</f>
        <v>Electra Townie Original 7D - 2017</v>
      </c>
      <c r="E2685">
        <f>VLOOKUP($C2685,products!$A$1:$F$322,MATCH(order_items!$E$1,products!$A$1:$F$1,0),FALSE)</f>
        <v>2</v>
      </c>
      <c r="F2685" t="str">
        <f>VLOOKUP($E2685,categories!$A$1:$B$8,MATCH(order_items!$F$1,categories!$A$1:$B$1,0),FALSE)</f>
        <v>Comfort Bicycles</v>
      </c>
      <c r="G2685">
        <v>2</v>
      </c>
      <c r="H2685">
        <v>489.99</v>
      </c>
      <c r="I2685" s="5">
        <v>0.05</v>
      </c>
      <c r="J2685">
        <f t="shared" si="82"/>
        <v>930.98099999999999</v>
      </c>
      <c r="K2685" s="9">
        <f t="shared" si="83"/>
        <v>-0.53429578771287245</v>
      </c>
    </row>
    <row r="2686" spans="1:11" x14ac:dyDescent="0.3">
      <c r="A2686">
        <v>941</v>
      </c>
      <c r="B2686">
        <v>3</v>
      </c>
      <c r="C2686">
        <v>11</v>
      </c>
      <c r="D2686" t="str">
        <f>VLOOKUP($C2686,products!$A$1:$F$322,MATCH(order_items!$D$1,products!$A$1:$F$1,0),FALSE)</f>
        <v>Surly Straggler 650b - 2016</v>
      </c>
      <c r="E2686">
        <f>VLOOKUP($C2686,products!$A$1:$F$322,MATCH(order_items!$E$1,products!$A$1:$F$1,0),FALSE)</f>
        <v>4</v>
      </c>
      <c r="F2686" t="str">
        <f>VLOOKUP($E2686,categories!$A$1:$B$8,MATCH(order_items!$F$1,categories!$A$1:$B$1,0),FALSE)</f>
        <v>Cyclocross Bicycles</v>
      </c>
      <c r="G2686">
        <v>2</v>
      </c>
      <c r="H2686">
        <v>1680.99</v>
      </c>
      <c r="I2686" s="5">
        <v>7.0000000000000007E-2</v>
      </c>
      <c r="J2686">
        <f t="shared" si="82"/>
        <v>3126.6414</v>
      </c>
      <c r="K2686" s="9">
        <f t="shared" si="83"/>
        <v>0.3461947994374141</v>
      </c>
    </row>
    <row r="2687" spans="1:11" x14ac:dyDescent="0.3">
      <c r="A2687">
        <v>942</v>
      </c>
      <c r="B2687">
        <v>1</v>
      </c>
      <c r="C2687">
        <v>98</v>
      </c>
      <c r="D2687" t="str">
        <f>VLOOKUP($C2687,products!$A$1:$F$322,MATCH(order_items!$D$1,products!$A$1:$F$1,0),FALSE)</f>
        <v>Electra Straight 8 3i (20-inch) - Boy's - 2017</v>
      </c>
      <c r="E2687">
        <f>VLOOKUP($C2687,products!$A$1:$F$322,MATCH(order_items!$E$1,products!$A$1:$F$1,0),FALSE)</f>
        <v>1</v>
      </c>
      <c r="F2687" t="str">
        <f>VLOOKUP($E2687,categories!$A$1:$B$8,MATCH(order_items!$F$1,categories!$A$1:$B$1,0),FALSE)</f>
        <v>Children Bicycles</v>
      </c>
      <c r="G2687">
        <v>2</v>
      </c>
      <c r="H2687">
        <v>489.99</v>
      </c>
      <c r="I2687" s="5">
        <v>0.05</v>
      </c>
      <c r="J2687">
        <f t="shared" si="82"/>
        <v>930.98099999999999</v>
      </c>
      <c r="K2687" s="9">
        <f t="shared" si="83"/>
        <v>-0.53429578771287245</v>
      </c>
    </row>
    <row r="2688" spans="1:11" x14ac:dyDescent="0.3">
      <c r="A2688">
        <v>942</v>
      </c>
      <c r="B2688">
        <v>2</v>
      </c>
      <c r="C2688">
        <v>110</v>
      </c>
      <c r="D2688" t="str">
        <f>VLOOKUP($C2688,products!$A$1:$F$322,MATCH(order_items!$D$1,products!$A$1:$F$1,0),FALSE)</f>
        <v>Sun Bicycles Drifter 7 - 2017</v>
      </c>
      <c r="E2688">
        <f>VLOOKUP($C2688,products!$A$1:$F$322,MATCH(order_items!$E$1,products!$A$1:$F$1,0),FALSE)</f>
        <v>2</v>
      </c>
      <c r="F2688" t="str">
        <f>VLOOKUP($E2688,categories!$A$1:$B$8,MATCH(order_items!$F$1,categories!$A$1:$B$1,0),FALSE)</f>
        <v>Comfort Bicycles</v>
      </c>
      <c r="G2688">
        <v>2</v>
      </c>
      <c r="H2688">
        <v>470.99</v>
      </c>
      <c r="I2688" s="5">
        <v>0.1</v>
      </c>
      <c r="J2688">
        <f t="shared" si="82"/>
        <v>847.78200000000004</v>
      </c>
      <c r="K2688" s="9">
        <f t="shared" si="83"/>
        <v>-0.54834223704608442</v>
      </c>
    </row>
    <row r="2689" spans="1:11" x14ac:dyDescent="0.3">
      <c r="A2689">
        <v>942</v>
      </c>
      <c r="B2689">
        <v>3</v>
      </c>
      <c r="C2689">
        <v>35</v>
      </c>
      <c r="D2689" t="str">
        <f>VLOOKUP($C2689,products!$A$1:$F$322,MATCH(order_items!$D$1,products!$A$1:$F$1,0),FALSE)</f>
        <v>Sun Bicycles Spider 3i - 2017</v>
      </c>
      <c r="E2689">
        <f>VLOOKUP($C2689,products!$A$1:$F$322,MATCH(order_items!$E$1,products!$A$1:$F$1,0),FALSE)</f>
        <v>6</v>
      </c>
      <c r="F2689" t="str">
        <f>VLOOKUP($E2689,categories!$A$1:$B$8,MATCH(order_items!$F$1,categories!$A$1:$B$1,0),FALSE)</f>
        <v>Mountain Bikes</v>
      </c>
      <c r="G2689">
        <v>2</v>
      </c>
      <c r="H2689">
        <v>832.99</v>
      </c>
      <c r="I2689" s="5">
        <v>7.0000000000000007E-2</v>
      </c>
      <c r="J2689">
        <f t="shared" si="82"/>
        <v>1549.3614</v>
      </c>
      <c r="K2689" s="9">
        <f t="shared" si="83"/>
        <v>-0.280720412908046</v>
      </c>
    </row>
    <row r="2690" spans="1:11" x14ac:dyDescent="0.3">
      <c r="A2690">
        <v>942</v>
      </c>
      <c r="B2690">
        <v>4</v>
      </c>
      <c r="C2690">
        <v>103</v>
      </c>
      <c r="D2690" t="str">
        <f>VLOOKUP($C2690,products!$A$1:$F$322,MATCH(order_items!$D$1,products!$A$1:$F$1,0),FALSE)</f>
        <v>Sun Bicycles Streamway 3 - 2017</v>
      </c>
      <c r="E2690">
        <f>VLOOKUP($C2690,products!$A$1:$F$322,MATCH(order_items!$E$1,products!$A$1:$F$1,0),FALSE)</f>
        <v>2</v>
      </c>
      <c r="F2690" t="str">
        <f>VLOOKUP($E2690,categories!$A$1:$B$8,MATCH(order_items!$F$1,categories!$A$1:$B$1,0),FALSE)</f>
        <v>Comfort Bicycles</v>
      </c>
      <c r="G2690">
        <v>1</v>
      </c>
      <c r="H2690">
        <v>551.99</v>
      </c>
      <c r="I2690" s="5">
        <v>0.05</v>
      </c>
      <c r="J2690">
        <f t="shared" ref="J2690:J2753" si="84">G2690*H2690*(1-I2690)</f>
        <v>524.39049999999997</v>
      </c>
      <c r="K2690" s="9">
        <f t="shared" ref="K2690:K2753" si="85">($H2690-$M$7)/$M$9</f>
        <v>-0.48846000567818076</v>
      </c>
    </row>
    <row r="2691" spans="1:11" x14ac:dyDescent="0.3">
      <c r="A2691">
        <v>942</v>
      </c>
      <c r="B2691">
        <v>5</v>
      </c>
      <c r="C2691">
        <v>100</v>
      </c>
      <c r="D2691" t="str">
        <f>VLOOKUP($C2691,products!$A$1:$F$322,MATCH(order_items!$D$1,products!$A$1:$F$1,0),FALSE)</f>
        <v>Electra Townie 3i EQ (20-inch) - Boys' - 2017</v>
      </c>
      <c r="E2691">
        <f>VLOOKUP($C2691,products!$A$1:$F$322,MATCH(order_items!$E$1,products!$A$1:$F$1,0),FALSE)</f>
        <v>1</v>
      </c>
      <c r="F2691" t="str">
        <f>VLOOKUP($E2691,categories!$A$1:$B$8,MATCH(order_items!$F$1,categories!$A$1:$B$1,0),FALSE)</f>
        <v>Children Bicycles</v>
      </c>
      <c r="G2691">
        <v>1</v>
      </c>
      <c r="H2691">
        <v>489.99</v>
      </c>
      <c r="I2691" s="5">
        <v>0.05</v>
      </c>
      <c r="J2691">
        <f t="shared" si="84"/>
        <v>465.4905</v>
      </c>
      <c r="K2691" s="9">
        <f t="shared" si="85"/>
        <v>-0.53429578771287245</v>
      </c>
    </row>
    <row r="2692" spans="1:11" x14ac:dyDescent="0.3">
      <c r="A2692">
        <v>943</v>
      </c>
      <c r="B2692">
        <v>1</v>
      </c>
      <c r="C2692">
        <v>25</v>
      </c>
      <c r="D2692" t="str">
        <f>VLOOKUP($C2692,products!$A$1:$F$322,MATCH(order_items!$D$1,products!$A$1:$F$1,0),FALSE)</f>
        <v>Electra Townie Original 7D - 2015/2016</v>
      </c>
      <c r="E2692">
        <f>VLOOKUP($C2692,products!$A$1:$F$322,MATCH(order_items!$E$1,products!$A$1:$F$1,0),FALSE)</f>
        <v>2</v>
      </c>
      <c r="F2692" t="str">
        <f>VLOOKUP($E2692,categories!$A$1:$B$8,MATCH(order_items!$F$1,categories!$A$1:$B$1,0),FALSE)</f>
        <v>Comfort Bicycles</v>
      </c>
      <c r="G2692">
        <v>1</v>
      </c>
      <c r="H2692">
        <v>499.99</v>
      </c>
      <c r="I2692" s="5">
        <v>0.2</v>
      </c>
      <c r="J2692">
        <f t="shared" si="84"/>
        <v>399.99200000000002</v>
      </c>
      <c r="K2692" s="9">
        <f t="shared" si="85"/>
        <v>-0.52690291964276081</v>
      </c>
    </row>
    <row r="2693" spans="1:11" x14ac:dyDescent="0.3">
      <c r="A2693">
        <v>943</v>
      </c>
      <c r="B2693">
        <v>2</v>
      </c>
      <c r="C2693">
        <v>82</v>
      </c>
      <c r="D2693" t="str">
        <f>VLOOKUP($C2693,products!$A$1:$F$322,MATCH(order_items!$D$1,products!$A$1:$F$1,0),FALSE)</f>
        <v>Electra Amsterdam Original 3i Ladies' - 2017</v>
      </c>
      <c r="E2693">
        <f>VLOOKUP($C2693,products!$A$1:$F$322,MATCH(order_items!$E$1,products!$A$1:$F$1,0),FALSE)</f>
        <v>3</v>
      </c>
      <c r="F2693" t="str">
        <f>VLOOKUP($E2693,categories!$A$1:$B$8,MATCH(order_items!$F$1,categories!$A$1:$B$1,0),FALSE)</f>
        <v>Cruisers Bicycles</v>
      </c>
      <c r="G2693">
        <v>1</v>
      </c>
      <c r="H2693">
        <v>659.99</v>
      </c>
      <c r="I2693" s="5">
        <v>0.2</v>
      </c>
      <c r="J2693">
        <f t="shared" si="84"/>
        <v>527.99200000000008</v>
      </c>
      <c r="K2693" s="9">
        <f t="shared" si="85"/>
        <v>-0.40861703052097592</v>
      </c>
    </row>
    <row r="2694" spans="1:11" x14ac:dyDescent="0.3">
      <c r="A2694">
        <v>944</v>
      </c>
      <c r="B2694">
        <v>1</v>
      </c>
      <c r="C2694">
        <v>29</v>
      </c>
      <c r="D2694" t="str">
        <f>VLOOKUP($C2694,products!$A$1:$F$322,MATCH(order_items!$D$1,products!$A$1:$F$1,0),FALSE)</f>
        <v>Trek X-Caliber 8 - 2017</v>
      </c>
      <c r="E2694">
        <f>VLOOKUP($C2694,products!$A$1:$F$322,MATCH(order_items!$E$1,products!$A$1:$F$1,0),FALSE)</f>
        <v>6</v>
      </c>
      <c r="F2694" t="str">
        <f>VLOOKUP($E2694,categories!$A$1:$B$8,MATCH(order_items!$F$1,categories!$A$1:$B$1,0),FALSE)</f>
        <v>Mountain Bikes</v>
      </c>
      <c r="G2694">
        <v>2</v>
      </c>
      <c r="H2694">
        <v>999.99</v>
      </c>
      <c r="I2694" s="5">
        <v>7.0000000000000007E-2</v>
      </c>
      <c r="J2694">
        <f t="shared" si="84"/>
        <v>1859.9813999999999</v>
      </c>
      <c r="K2694" s="9">
        <f t="shared" si="85"/>
        <v>-0.15725951613718298</v>
      </c>
    </row>
    <row r="2695" spans="1:11" x14ac:dyDescent="0.3">
      <c r="A2695">
        <v>944</v>
      </c>
      <c r="B2695">
        <v>2</v>
      </c>
      <c r="C2695">
        <v>16</v>
      </c>
      <c r="D2695" t="str">
        <f>VLOOKUP($C2695,products!$A$1:$F$322,MATCH(order_items!$D$1,products!$A$1:$F$1,0),FALSE)</f>
        <v>Electra Townie Original 7D EQ - 2016</v>
      </c>
      <c r="E2695">
        <f>VLOOKUP($C2695,products!$A$1:$F$322,MATCH(order_items!$E$1,products!$A$1:$F$1,0),FALSE)</f>
        <v>3</v>
      </c>
      <c r="F2695" t="str">
        <f>VLOOKUP($E2695,categories!$A$1:$B$8,MATCH(order_items!$F$1,categories!$A$1:$B$1,0),FALSE)</f>
        <v>Cruisers Bicycles</v>
      </c>
      <c r="G2695">
        <v>2</v>
      </c>
      <c r="H2695">
        <v>599.99</v>
      </c>
      <c r="I2695" s="5">
        <v>0.1</v>
      </c>
      <c r="J2695">
        <f t="shared" si="84"/>
        <v>1079.982</v>
      </c>
      <c r="K2695" s="9">
        <f t="shared" si="85"/>
        <v>-0.45297423894164529</v>
      </c>
    </row>
    <row r="2696" spans="1:11" x14ac:dyDescent="0.3">
      <c r="A2696">
        <v>944</v>
      </c>
      <c r="B2696">
        <v>3</v>
      </c>
      <c r="C2696">
        <v>70</v>
      </c>
      <c r="D2696" t="str">
        <f>VLOOKUP($C2696,products!$A$1:$F$322,MATCH(order_items!$D$1,products!$A$1:$F$1,0),FALSE)</f>
        <v>Electra Amsterdam Original 3i - 2015/2017</v>
      </c>
      <c r="E2696">
        <f>VLOOKUP($C2696,products!$A$1:$F$322,MATCH(order_items!$E$1,products!$A$1:$F$1,0),FALSE)</f>
        <v>3</v>
      </c>
      <c r="F2696" t="str">
        <f>VLOOKUP($E2696,categories!$A$1:$B$8,MATCH(order_items!$F$1,categories!$A$1:$B$1,0),FALSE)</f>
        <v>Cruisers Bicycles</v>
      </c>
      <c r="G2696">
        <v>2</v>
      </c>
      <c r="H2696">
        <v>659.99</v>
      </c>
      <c r="I2696" s="5">
        <v>0.2</v>
      </c>
      <c r="J2696">
        <f t="shared" si="84"/>
        <v>1055.9840000000002</v>
      </c>
      <c r="K2696" s="9">
        <f t="shared" si="85"/>
        <v>-0.40861703052097592</v>
      </c>
    </row>
    <row r="2697" spans="1:11" x14ac:dyDescent="0.3">
      <c r="A2697">
        <v>944</v>
      </c>
      <c r="B2697">
        <v>4</v>
      </c>
      <c r="C2697">
        <v>85</v>
      </c>
      <c r="D2697" t="str">
        <f>VLOOKUP($C2697,products!$A$1:$F$322,MATCH(order_items!$D$1,products!$A$1:$F$1,0),FALSE)</f>
        <v>Haro Downtown 16 - 2017</v>
      </c>
      <c r="E2697">
        <f>VLOOKUP($C2697,products!$A$1:$F$322,MATCH(order_items!$E$1,products!$A$1:$F$1,0),FALSE)</f>
        <v>1</v>
      </c>
      <c r="F2697" t="str">
        <f>VLOOKUP($E2697,categories!$A$1:$B$8,MATCH(order_items!$F$1,categories!$A$1:$B$1,0),FALSE)</f>
        <v>Children Bicycles</v>
      </c>
      <c r="G2697">
        <v>2</v>
      </c>
      <c r="H2697">
        <v>329.99</v>
      </c>
      <c r="I2697" s="5">
        <v>0.2</v>
      </c>
      <c r="J2697">
        <f t="shared" si="84"/>
        <v>527.98400000000004</v>
      </c>
      <c r="K2697" s="9">
        <f t="shared" si="85"/>
        <v>-0.6525816768346574</v>
      </c>
    </row>
    <row r="2698" spans="1:11" x14ac:dyDescent="0.3">
      <c r="A2698">
        <v>944</v>
      </c>
      <c r="B2698">
        <v>5</v>
      </c>
      <c r="C2698">
        <v>69</v>
      </c>
      <c r="D2698" t="str">
        <f>VLOOKUP($C2698,products!$A$1:$F$322,MATCH(order_items!$D$1,products!$A$1:$F$1,0),FALSE)</f>
        <v>Sun Bicycles Cruz 7 - 2017</v>
      </c>
      <c r="E2698">
        <f>VLOOKUP($C2698,products!$A$1:$F$322,MATCH(order_items!$E$1,products!$A$1:$F$1,0),FALSE)</f>
        <v>3</v>
      </c>
      <c r="F2698" t="str">
        <f>VLOOKUP($E2698,categories!$A$1:$B$8,MATCH(order_items!$F$1,categories!$A$1:$B$1,0),FALSE)</f>
        <v>Cruisers Bicycles</v>
      </c>
      <c r="G2698">
        <v>2</v>
      </c>
      <c r="H2698">
        <v>416.99</v>
      </c>
      <c r="I2698" s="5">
        <v>7.0000000000000007E-2</v>
      </c>
      <c r="J2698">
        <f t="shared" si="84"/>
        <v>775.60140000000001</v>
      </c>
      <c r="K2698" s="9">
        <f t="shared" si="85"/>
        <v>-0.58826372462468679</v>
      </c>
    </row>
    <row r="2699" spans="1:11" x14ac:dyDescent="0.3">
      <c r="A2699">
        <v>945</v>
      </c>
      <c r="B2699">
        <v>1</v>
      </c>
      <c r="C2699">
        <v>105</v>
      </c>
      <c r="D2699" t="str">
        <f>VLOOKUP($C2699,products!$A$1:$F$322,MATCH(order_items!$D$1,products!$A$1:$F$1,0),FALSE)</f>
        <v>Sun Bicycles Streamway 7 - 2017</v>
      </c>
      <c r="E2699">
        <f>VLOOKUP($C2699,products!$A$1:$F$322,MATCH(order_items!$E$1,products!$A$1:$F$1,0),FALSE)</f>
        <v>2</v>
      </c>
      <c r="F2699" t="str">
        <f>VLOOKUP($E2699,categories!$A$1:$B$8,MATCH(order_items!$F$1,categories!$A$1:$B$1,0),FALSE)</f>
        <v>Comfort Bicycles</v>
      </c>
      <c r="G2699">
        <v>1</v>
      </c>
      <c r="H2699">
        <v>533.99</v>
      </c>
      <c r="I2699" s="5">
        <v>0.05</v>
      </c>
      <c r="J2699">
        <f t="shared" si="84"/>
        <v>507.29050000000001</v>
      </c>
      <c r="K2699" s="9">
        <f t="shared" si="85"/>
        <v>-0.50176716820438161</v>
      </c>
    </row>
    <row r="2700" spans="1:11" x14ac:dyDescent="0.3">
      <c r="A2700">
        <v>945</v>
      </c>
      <c r="B2700">
        <v>2</v>
      </c>
      <c r="C2700">
        <v>94</v>
      </c>
      <c r="D2700" t="str">
        <f>VLOOKUP($C2700,products!$A$1:$F$322,MATCH(order_items!$D$1,products!$A$1:$F$1,0),FALSE)</f>
        <v>Haro Shredder Pro 20 - 2017</v>
      </c>
      <c r="E2700">
        <f>VLOOKUP($C2700,products!$A$1:$F$322,MATCH(order_items!$E$1,products!$A$1:$F$1,0),FALSE)</f>
        <v>1</v>
      </c>
      <c r="F2700" t="str">
        <f>VLOOKUP($E2700,categories!$A$1:$B$8,MATCH(order_items!$F$1,categories!$A$1:$B$1,0),FALSE)</f>
        <v>Children Bicycles</v>
      </c>
      <c r="G2700">
        <v>2</v>
      </c>
      <c r="H2700">
        <v>249.99</v>
      </c>
      <c r="I2700" s="5">
        <v>0.2</v>
      </c>
      <c r="J2700">
        <f t="shared" si="84"/>
        <v>399.98400000000004</v>
      </c>
      <c r="K2700" s="9">
        <f t="shared" si="85"/>
        <v>-0.71172462139554982</v>
      </c>
    </row>
    <row r="2701" spans="1:11" x14ac:dyDescent="0.3">
      <c r="A2701">
        <v>945</v>
      </c>
      <c r="B2701">
        <v>3</v>
      </c>
      <c r="C2701">
        <v>34</v>
      </c>
      <c r="D2701" t="str">
        <f>VLOOKUP($C2701,products!$A$1:$F$322,MATCH(order_items!$D$1,products!$A$1:$F$1,0),FALSE)</f>
        <v>Trek Session DH 27.5 Carbon Frameset - 2017</v>
      </c>
      <c r="E2701">
        <f>VLOOKUP($C2701,products!$A$1:$F$322,MATCH(order_items!$E$1,products!$A$1:$F$1,0),FALSE)</f>
        <v>6</v>
      </c>
      <c r="F2701" t="str">
        <f>VLOOKUP($E2701,categories!$A$1:$B$8,MATCH(order_items!$F$1,categories!$A$1:$B$1,0),FALSE)</f>
        <v>Mountain Bikes</v>
      </c>
      <c r="G2701">
        <v>2</v>
      </c>
      <c r="H2701">
        <v>469.99</v>
      </c>
      <c r="I2701" s="5">
        <v>0.05</v>
      </c>
      <c r="J2701">
        <f t="shared" si="84"/>
        <v>892.98099999999999</v>
      </c>
      <c r="K2701" s="9">
        <f t="shared" si="85"/>
        <v>-0.5490815238530955</v>
      </c>
    </row>
    <row r="2702" spans="1:11" x14ac:dyDescent="0.3">
      <c r="A2702">
        <v>945</v>
      </c>
      <c r="B2702">
        <v>4</v>
      </c>
      <c r="C2702">
        <v>44</v>
      </c>
      <c r="D2702" t="str">
        <f>VLOOKUP($C2702,products!$A$1:$F$322,MATCH(order_items!$D$1,products!$A$1:$F$1,0),FALSE)</f>
        <v>Haro SR 1.1 - 2017</v>
      </c>
      <c r="E2702">
        <f>VLOOKUP($C2702,products!$A$1:$F$322,MATCH(order_items!$E$1,products!$A$1:$F$1,0),FALSE)</f>
        <v>6</v>
      </c>
      <c r="F2702" t="str">
        <f>VLOOKUP($E2702,categories!$A$1:$B$8,MATCH(order_items!$F$1,categories!$A$1:$B$1,0),FALSE)</f>
        <v>Mountain Bikes</v>
      </c>
      <c r="G2702">
        <v>2</v>
      </c>
      <c r="H2702">
        <v>539.99</v>
      </c>
      <c r="I2702" s="5">
        <v>0.1</v>
      </c>
      <c r="J2702">
        <f t="shared" si="84"/>
        <v>971.98200000000008</v>
      </c>
      <c r="K2702" s="9">
        <f t="shared" si="85"/>
        <v>-0.49733144736231466</v>
      </c>
    </row>
    <row r="2703" spans="1:11" x14ac:dyDescent="0.3">
      <c r="A2703">
        <v>945</v>
      </c>
      <c r="B2703">
        <v>5</v>
      </c>
      <c r="C2703">
        <v>50</v>
      </c>
      <c r="D2703" t="str">
        <f>VLOOKUP($C2703,products!$A$1:$F$322,MATCH(order_items!$D$1,products!$A$1:$F$1,0),FALSE)</f>
        <v>Trek Silque SLR 7 Women's - 2017</v>
      </c>
      <c r="E2703">
        <f>VLOOKUP($C2703,products!$A$1:$F$322,MATCH(order_items!$E$1,products!$A$1:$F$1,0),FALSE)</f>
        <v>7</v>
      </c>
      <c r="F2703" t="str">
        <f>VLOOKUP($E2703,categories!$A$1:$B$8,MATCH(order_items!$F$1,categories!$A$1:$B$1,0),FALSE)</f>
        <v>Road Bikes</v>
      </c>
      <c r="G2703">
        <v>2</v>
      </c>
      <c r="H2703">
        <v>5999.99</v>
      </c>
      <c r="I2703" s="5">
        <v>0.05</v>
      </c>
      <c r="J2703">
        <f t="shared" si="84"/>
        <v>11399.981</v>
      </c>
      <c r="K2703" s="9">
        <f t="shared" si="85"/>
        <v>3.5391745189185961</v>
      </c>
    </row>
    <row r="2704" spans="1:11" x14ac:dyDescent="0.3">
      <c r="A2704">
        <v>946</v>
      </c>
      <c r="B2704">
        <v>1</v>
      </c>
      <c r="C2704">
        <v>7</v>
      </c>
      <c r="D2704" t="str">
        <f>VLOOKUP($C2704,products!$A$1:$F$322,MATCH(order_items!$D$1,products!$A$1:$F$1,0),FALSE)</f>
        <v>Trek Slash 8 27.5 - 2016</v>
      </c>
      <c r="E2704">
        <f>VLOOKUP($C2704,products!$A$1:$F$322,MATCH(order_items!$E$1,products!$A$1:$F$1,0),FALSE)</f>
        <v>6</v>
      </c>
      <c r="F2704" t="str">
        <f>VLOOKUP($E2704,categories!$A$1:$B$8,MATCH(order_items!$F$1,categories!$A$1:$B$1,0),FALSE)</f>
        <v>Mountain Bikes</v>
      </c>
      <c r="G2704">
        <v>1</v>
      </c>
      <c r="H2704">
        <v>3999.99</v>
      </c>
      <c r="I2704" s="5">
        <v>0.1</v>
      </c>
      <c r="J2704">
        <f t="shared" si="84"/>
        <v>3599.991</v>
      </c>
      <c r="K2704" s="9">
        <f t="shared" si="85"/>
        <v>2.0606009048962846</v>
      </c>
    </row>
    <row r="2705" spans="1:11" x14ac:dyDescent="0.3">
      <c r="A2705">
        <v>946</v>
      </c>
      <c r="B2705">
        <v>2</v>
      </c>
      <c r="C2705">
        <v>85</v>
      </c>
      <c r="D2705" t="str">
        <f>VLOOKUP($C2705,products!$A$1:$F$322,MATCH(order_items!$D$1,products!$A$1:$F$1,0),FALSE)</f>
        <v>Haro Downtown 16 - 2017</v>
      </c>
      <c r="E2705">
        <f>VLOOKUP($C2705,products!$A$1:$F$322,MATCH(order_items!$E$1,products!$A$1:$F$1,0),FALSE)</f>
        <v>1</v>
      </c>
      <c r="F2705" t="str">
        <f>VLOOKUP($E2705,categories!$A$1:$B$8,MATCH(order_items!$F$1,categories!$A$1:$B$1,0),FALSE)</f>
        <v>Children Bicycles</v>
      </c>
      <c r="G2705">
        <v>2</v>
      </c>
      <c r="H2705">
        <v>329.99</v>
      </c>
      <c r="I2705" s="5">
        <v>0.2</v>
      </c>
      <c r="J2705">
        <f t="shared" si="84"/>
        <v>527.98400000000004</v>
      </c>
      <c r="K2705" s="9">
        <f t="shared" si="85"/>
        <v>-0.6525816768346574</v>
      </c>
    </row>
    <row r="2706" spans="1:11" x14ac:dyDescent="0.3">
      <c r="A2706">
        <v>946</v>
      </c>
      <c r="B2706">
        <v>3</v>
      </c>
      <c r="C2706">
        <v>62</v>
      </c>
      <c r="D2706" t="str">
        <f>VLOOKUP($C2706,products!$A$1:$F$322,MATCH(order_items!$D$1,products!$A$1:$F$1,0),FALSE)</f>
        <v>Trek Boone 7 - 2017</v>
      </c>
      <c r="E2706">
        <f>VLOOKUP($C2706,products!$A$1:$F$322,MATCH(order_items!$E$1,products!$A$1:$F$1,0),FALSE)</f>
        <v>4</v>
      </c>
      <c r="F2706" t="str">
        <f>VLOOKUP($E2706,categories!$A$1:$B$8,MATCH(order_items!$F$1,categories!$A$1:$B$1,0),FALSE)</f>
        <v>Cyclocross Bicycles</v>
      </c>
      <c r="G2706">
        <v>1</v>
      </c>
      <c r="H2706">
        <v>3499.99</v>
      </c>
      <c r="I2706" s="5">
        <v>0.05</v>
      </c>
      <c r="J2706">
        <f t="shared" si="84"/>
        <v>3324.9904999999994</v>
      </c>
      <c r="K2706" s="9">
        <f t="shared" si="85"/>
        <v>1.6909575013907066</v>
      </c>
    </row>
    <row r="2707" spans="1:11" x14ac:dyDescent="0.3">
      <c r="A2707">
        <v>946</v>
      </c>
      <c r="B2707">
        <v>4</v>
      </c>
      <c r="C2707">
        <v>22</v>
      </c>
      <c r="D2707" t="str">
        <f>VLOOKUP($C2707,products!$A$1:$F$322,MATCH(order_items!$D$1,products!$A$1:$F$1,0),FALSE)</f>
        <v>Electra Girl's Hawaii 1 (16-inch) - 2015/2016</v>
      </c>
      <c r="E2707">
        <f>VLOOKUP($C2707,products!$A$1:$F$322,MATCH(order_items!$E$1,products!$A$1:$F$1,0),FALSE)</f>
        <v>1</v>
      </c>
      <c r="F2707" t="str">
        <f>VLOOKUP($E2707,categories!$A$1:$B$8,MATCH(order_items!$F$1,categories!$A$1:$B$1,0),FALSE)</f>
        <v>Children Bicycles</v>
      </c>
      <c r="G2707">
        <v>2</v>
      </c>
      <c r="H2707">
        <v>269.99</v>
      </c>
      <c r="I2707" s="5">
        <v>0.2</v>
      </c>
      <c r="J2707">
        <f t="shared" si="84"/>
        <v>431.98400000000004</v>
      </c>
      <c r="K2707" s="9">
        <f t="shared" si="85"/>
        <v>-0.69693888525532666</v>
      </c>
    </row>
    <row r="2708" spans="1:11" x14ac:dyDescent="0.3">
      <c r="A2708">
        <v>946</v>
      </c>
      <c r="B2708">
        <v>5</v>
      </c>
      <c r="C2708">
        <v>56</v>
      </c>
      <c r="D2708" t="str">
        <f>VLOOKUP($C2708,products!$A$1:$F$322,MATCH(order_items!$D$1,products!$A$1:$F$1,0),FALSE)</f>
        <v>Trek Domane SLR 6 Disc - 2017</v>
      </c>
      <c r="E2708">
        <f>VLOOKUP($C2708,products!$A$1:$F$322,MATCH(order_items!$E$1,products!$A$1:$F$1,0),FALSE)</f>
        <v>7</v>
      </c>
      <c r="F2708" t="str">
        <f>VLOOKUP($E2708,categories!$A$1:$B$8,MATCH(order_items!$F$1,categories!$A$1:$B$1,0),FALSE)</f>
        <v>Road Bikes</v>
      </c>
      <c r="G2708">
        <v>2</v>
      </c>
      <c r="H2708">
        <v>5499.99</v>
      </c>
      <c r="I2708" s="5">
        <v>7.0000000000000007E-2</v>
      </c>
      <c r="J2708">
        <f t="shared" si="84"/>
        <v>10229.981399999999</v>
      </c>
      <c r="K2708" s="9">
        <f t="shared" si="85"/>
        <v>3.1695311154130179</v>
      </c>
    </row>
    <row r="2709" spans="1:11" x14ac:dyDescent="0.3">
      <c r="A2709">
        <v>947</v>
      </c>
      <c r="B2709">
        <v>1</v>
      </c>
      <c r="C2709">
        <v>32</v>
      </c>
      <c r="D2709" t="str">
        <f>VLOOKUP($C2709,products!$A$1:$F$322,MATCH(order_items!$D$1,products!$A$1:$F$1,0),FALSE)</f>
        <v>Trek Farley Alloy Frameset - 2017</v>
      </c>
      <c r="E2709">
        <f>VLOOKUP($C2709,products!$A$1:$F$322,MATCH(order_items!$E$1,products!$A$1:$F$1,0),FALSE)</f>
        <v>6</v>
      </c>
      <c r="F2709" t="str">
        <f>VLOOKUP($E2709,categories!$A$1:$B$8,MATCH(order_items!$F$1,categories!$A$1:$B$1,0),FALSE)</f>
        <v>Mountain Bikes</v>
      </c>
      <c r="G2709">
        <v>1</v>
      </c>
      <c r="H2709">
        <v>469.99</v>
      </c>
      <c r="I2709" s="5">
        <v>0.05</v>
      </c>
      <c r="J2709">
        <f t="shared" si="84"/>
        <v>446.4905</v>
      </c>
      <c r="K2709" s="9">
        <f t="shared" si="85"/>
        <v>-0.5490815238530955</v>
      </c>
    </row>
    <row r="2710" spans="1:11" x14ac:dyDescent="0.3">
      <c r="A2710">
        <v>947</v>
      </c>
      <c r="B2710">
        <v>2</v>
      </c>
      <c r="C2710">
        <v>42</v>
      </c>
      <c r="D2710" t="str">
        <f>VLOOKUP($C2710,products!$A$1:$F$322,MATCH(order_items!$D$1,products!$A$1:$F$1,0),FALSE)</f>
        <v>Trek Fuel EX 5 27.5 Plus - 2017</v>
      </c>
      <c r="E2710">
        <f>VLOOKUP($C2710,products!$A$1:$F$322,MATCH(order_items!$E$1,products!$A$1:$F$1,0),FALSE)</f>
        <v>6</v>
      </c>
      <c r="F2710" t="str">
        <f>VLOOKUP($E2710,categories!$A$1:$B$8,MATCH(order_items!$F$1,categories!$A$1:$B$1,0),FALSE)</f>
        <v>Mountain Bikes</v>
      </c>
      <c r="G2710">
        <v>2</v>
      </c>
      <c r="H2710">
        <v>2299.9899999999998</v>
      </c>
      <c r="I2710" s="5">
        <v>7.0000000000000007E-2</v>
      </c>
      <c r="J2710">
        <f t="shared" si="84"/>
        <v>4277.9813999999997</v>
      </c>
      <c r="K2710" s="9">
        <f t="shared" si="85"/>
        <v>0.80381333297731938</v>
      </c>
    </row>
    <row r="2711" spans="1:11" x14ac:dyDescent="0.3">
      <c r="A2711">
        <v>947</v>
      </c>
      <c r="B2711">
        <v>3</v>
      </c>
      <c r="C2711">
        <v>44</v>
      </c>
      <c r="D2711" t="str">
        <f>VLOOKUP($C2711,products!$A$1:$F$322,MATCH(order_items!$D$1,products!$A$1:$F$1,0),FALSE)</f>
        <v>Haro SR 1.1 - 2017</v>
      </c>
      <c r="E2711">
        <f>VLOOKUP($C2711,products!$A$1:$F$322,MATCH(order_items!$E$1,products!$A$1:$F$1,0),FALSE)</f>
        <v>6</v>
      </c>
      <c r="F2711" t="str">
        <f>VLOOKUP($E2711,categories!$A$1:$B$8,MATCH(order_items!$F$1,categories!$A$1:$B$1,0),FALSE)</f>
        <v>Mountain Bikes</v>
      </c>
      <c r="G2711">
        <v>1</v>
      </c>
      <c r="H2711">
        <v>539.99</v>
      </c>
      <c r="I2711" s="5">
        <v>7.0000000000000007E-2</v>
      </c>
      <c r="J2711">
        <f t="shared" si="84"/>
        <v>502.19069999999999</v>
      </c>
      <c r="K2711" s="9">
        <f t="shared" si="85"/>
        <v>-0.49733144736231466</v>
      </c>
    </row>
    <row r="2712" spans="1:11" x14ac:dyDescent="0.3">
      <c r="A2712">
        <v>948</v>
      </c>
      <c r="B2712">
        <v>1</v>
      </c>
      <c r="C2712">
        <v>23</v>
      </c>
      <c r="D2712" t="str">
        <f>VLOOKUP($C2712,products!$A$1:$F$322,MATCH(order_items!$D$1,products!$A$1:$F$1,0),FALSE)</f>
        <v>Electra Girl's Hawaii 1 (20-inch) - 2015/2016</v>
      </c>
      <c r="E2712">
        <f>VLOOKUP($C2712,products!$A$1:$F$322,MATCH(order_items!$E$1,products!$A$1:$F$1,0),FALSE)</f>
        <v>1</v>
      </c>
      <c r="F2712" t="str">
        <f>VLOOKUP($E2712,categories!$A$1:$B$8,MATCH(order_items!$F$1,categories!$A$1:$B$1,0),FALSE)</f>
        <v>Children Bicycles</v>
      </c>
      <c r="G2712">
        <v>2</v>
      </c>
      <c r="H2712">
        <v>299.99</v>
      </c>
      <c r="I2712" s="5">
        <v>0.2</v>
      </c>
      <c r="J2712">
        <f t="shared" si="84"/>
        <v>479.98400000000004</v>
      </c>
      <c r="K2712" s="9">
        <f t="shared" si="85"/>
        <v>-0.67476028104499197</v>
      </c>
    </row>
    <row r="2713" spans="1:11" x14ac:dyDescent="0.3">
      <c r="A2713">
        <v>948</v>
      </c>
      <c r="B2713">
        <v>2</v>
      </c>
      <c r="C2713">
        <v>20</v>
      </c>
      <c r="D2713" t="str">
        <f>VLOOKUP($C2713,products!$A$1:$F$322,MATCH(order_items!$D$1,products!$A$1:$F$1,0),FALSE)</f>
        <v>Electra Townie Original 7D EQ - Women's - 2016</v>
      </c>
      <c r="E2713">
        <f>VLOOKUP($C2713,products!$A$1:$F$322,MATCH(order_items!$E$1,products!$A$1:$F$1,0),FALSE)</f>
        <v>3</v>
      </c>
      <c r="F2713" t="str">
        <f>VLOOKUP($E2713,categories!$A$1:$B$8,MATCH(order_items!$F$1,categories!$A$1:$B$1,0),FALSE)</f>
        <v>Cruisers Bicycles</v>
      </c>
      <c r="G2713">
        <v>2</v>
      </c>
      <c r="H2713">
        <v>599.99</v>
      </c>
      <c r="I2713" s="5">
        <v>0.1</v>
      </c>
      <c r="J2713">
        <f t="shared" si="84"/>
        <v>1079.982</v>
      </c>
      <c r="K2713" s="9">
        <f t="shared" si="85"/>
        <v>-0.45297423894164529</v>
      </c>
    </row>
    <row r="2714" spans="1:11" x14ac:dyDescent="0.3">
      <c r="A2714">
        <v>948</v>
      </c>
      <c r="B2714">
        <v>3</v>
      </c>
      <c r="C2714">
        <v>101</v>
      </c>
      <c r="D2714" t="str">
        <f>VLOOKUP($C2714,products!$A$1:$F$322,MATCH(order_items!$D$1,products!$A$1:$F$1,0),FALSE)</f>
        <v>Electra Townie 7D (20-inch) - Boys' - 2017</v>
      </c>
      <c r="E2714">
        <f>VLOOKUP($C2714,products!$A$1:$F$322,MATCH(order_items!$E$1,products!$A$1:$F$1,0),FALSE)</f>
        <v>1</v>
      </c>
      <c r="F2714" t="str">
        <f>VLOOKUP($E2714,categories!$A$1:$B$8,MATCH(order_items!$F$1,categories!$A$1:$B$1,0),FALSE)</f>
        <v>Children Bicycles</v>
      </c>
      <c r="G2714">
        <v>1</v>
      </c>
      <c r="H2714">
        <v>339.99</v>
      </c>
      <c r="I2714" s="5">
        <v>0.2</v>
      </c>
      <c r="J2714">
        <f t="shared" si="84"/>
        <v>271.99200000000002</v>
      </c>
      <c r="K2714" s="9">
        <f t="shared" si="85"/>
        <v>-0.64518880876454576</v>
      </c>
    </row>
    <row r="2715" spans="1:11" x14ac:dyDescent="0.3">
      <c r="A2715">
        <v>948</v>
      </c>
      <c r="B2715">
        <v>4</v>
      </c>
      <c r="C2715">
        <v>92</v>
      </c>
      <c r="D2715" t="str">
        <f>VLOOKUP($C2715,products!$A$1:$F$322,MATCH(order_items!$D$1,products!$A$1:$F$1,0),FALSE)</f>
        <v>Haro Shredder 20 - 2017</v>
      </c>
      <c r="E2715">
        <f>VLOOKUP($C2715,products!$A$1:$F$322,MATCH(order_items!$E$1,products!$A$1:$F$1,0),FALSE)</f>
        <v>1</v>
      </c>
      <c r="F2715" t="str">
        <f>VLOOKUP($E2715,categories!$A$1:$B$8,MATCH(order_items!$F$1,categories!$A$1:$B$1,0),FALSE)</f>
        <v>Children Bicycles</v>
      </c>
      <c r="G2715">
        <v>2</v>
      </c>
      <c r="H2715">
        <v>209.99</v>
      </c>
      <c r="I2715" s="5">
        <v>0.2</v>
      </c>
      <c r="J2715">
        <f t="shared" si="84"/>
        <v>335.98400000000004</v>
      </c>
      <c r="K2715" s="9">
        <f t="shared" si="85"/>
        <v>-0.74129609367599603</v>
      </c>
    </row>
    <row r="2716" spans="1:11" x14ac:dyDescent="0.3">
      <c r="A2716">
        <v>948</v>
      </c>
      <c r="B2716">
        <v>5</v>
      </c>
      <c r="C2716">
        <v>72</v>
      </c>
      <c r="D2716" t="str">
        <f>VLOOKUP($C2716,products!$A$1:$F$322,MATCH(order_items!$D$1,products!$A$1:$F$1,0),FALSE)</f>
        <v>Sun Bicycles Biscayne Tandem 7 - 2017</v>
      </c>
      <c r="E2716">
        <f>VLOOKUP($C2716,products!$A$1:$F$322,MATCH(order_items!$E$1,products!$A$1:$F$1,0),FALSE)</f>
        <v>3</v>
      </c>
      <c r="F2716" t="str">
        <f>VLOOKUP($E2716,categories!$A$1:$B$8,MATCH(order_items!$F$1,categories!$A$1:$B$1,0),FALSE)</f>
        <v>Cruisers Bicycles</v>
      </c>
      <c r="G2716">
        <v>2</v>
      </c>
      <c r="H2716">
        <v>619.99</v>
      </c>
      <c r="I2716" s="5">
        <v>0.2</v>
      </c>
      <c r="J2716">
        <f t="shared" si="84"/>
        <v>991.98400000000004</v>
      </c>
      <c r="K2716" s="9">
        <f t="shared" si="85"/>
        <v>-0.43818850280142219</v>
      </c>
    </row>
    <row r="2717" spans="1:11" x14ac:dyDescent="0.3">
      <c r="A2717">
        <v>949</v>
      </c>
      <c r="B2717">
        <v>1</v>
      </c>
      <c r="C2717">
        <v>9</v>
      </c>
      <c r="D2717" t="str">
        <f>VLOOKUP($C2717,products!$A$1:$F$322,MATCH(order_items!$D$1,products!$A$1:$F$1,0),FALSE)</f>
        <v>Trek Conduit+ - 2016</v>
      </c>
      <c r="E2717">
        <f>VLOOKUP($C2717,products!$A$1:$F$322,MATCH(order_items!$E$1,products!$A$1:$F$1,0),FALSE)</f>
        <v>5</v>
      </c>
      <c r="F2717" t="str">
        <f>VLOOKUP($E2717,categories!$A$1:$B$8,MATCH(order_items!$F$1,categories!$A$1:$B$1,0),FALSE)</f>
        <v>Electric Bikes</v>
      </c>
      <c r="G2717">
        <v>2</v>
      </c>
      <c r="H2717">
        <v>2999.99</v>
      </c>
      <c r="I2717" s="5">
        <v>0.1</v>
      </c>
      <c r="J2717">
        <f t="shared" si="84"/>
        <v>5399.982</v>
      </c>
      <c r="K2717" s="9">
        <f t="shared" si="85"/>
        <v>1.3213140978851283</v>
      </c>
    </row>
    <row r="2718" spans="1:11" x14ac:dyDescent="0.3">
      <c r="A2718">
        <v>949</v>
      </c>
      <c r="B2718">
        <v>2</v>
      </c>
      <c r="C2718">
        <v>55</v>
      </c>
      <c r="D2718" t="str">
        <f>VLOOKUP($C2718,products!$A$1:$F$322,MATCH(order_items!$D$1,products!$A$1:$F$1,0),FALSE)</f>
        <v>Trek Domane S 6 - 2017</v>
      </c>
      <c r="E2718">
        <f>VLOOKUP($C2718,products!$A$1:$F$322,MATCH(order_items!$E$1,products!$A$1:$F$1,0),FALSE)</f>
        <v>7</v>
      </c>
      <c r="F2718" t="str">
        <f>VLOOKUP($E2718,categories!$A$1:$B$8,MATCH(order_items!$F$1,categories!$A$1:$B$1,0),FALSE)</f>
        <v>Road Bikes</v>
      </c>
      <c r="G2718">
        <v>2</v>
      </c>
      <c r="H2718">
        <v>2699.99</v>
      </c>
      <c r="I2718" s="5">
        <v>0.05</v>
      </c>
      <c r="J2718">
        <f t="shared" si="84"/>
        <v>5129.9809999999998</v>
      </c>
      <c r="K2718" s="9">
        <f t="shared" si="85"/>
        <v>1.0995280557817817</v>
      </c>
    </row>
    <row r="2719" spans="1:11" x14ac:dyDescent="0.3">
      <c r="A2719">
        <v>950</v>
      </c>
      <c r="B2719">
        <v>1</v>
      </c>
      <c r="C2719">
        <v>56</v>
      </c>
      <c r="D2719" t="str">
        <f>VLOOKUP($C2719,products!$A$1:$F$322,MATCH(order_items!$D$1,products!$A$1:$F$1,0),FALSE)</f>
        <v>Trek Domane SLR 6 Disc - 2017</v>
      </c>
      <c r="E2719">
        <f>VLOOKUP($C2719,products!$A$1:$F$322,MATCH(order_items!$E$1,products!$A$1:$F$1,0),FALSE)</f>
        <v>7</v>
      </c>
      <c r="F2719" t="str">
        <f>VLOOKUP($E2719,categories!$A$1:$B$8,MATCH(order_items!$F$1,categories!$A$1:$B$1,0),FALSE)</f>
        <v>Road Bikes</v>
      </c>
      <c r="G2719">
        <v>1</v>
      </c>
      <c r="H2719">
        <v>5499.99</v>
      </c>
      <c r="I2719" s="5">
        <v>0.05</v>
      </c>
      <c r="J2719">
        <f t="shared" si="84"/>
        <v>5224.9904999999999</v>
      </c>
      <c r="K2719" s="9">
        <f t="shared" si="85"/>
        <v>3.1695311154130179</v>
      </c>
    </row>
    <row r="2720" spans="1:11" x14ac:dyDescent="0.3">
      <c r="A2720">
        <v>951</v>
      </c>
      <c r="B2720">
        <v>1</v>
      </c>
      <c r="C2720">
        <v>59</v>
      </c>
      <c r="D2720" t="str">
        <f>VLOOKUP($C2720,products!$A$1:$F$322,MATCH(order_items!$D$1,products!$A$1:$F$1,0),FALSE)</f>
        <v>Trek Domane S 5 Disc - 2017</v>
      </c>
      <c r="E2720">
        <f>VLOOKUP($C2720,products!$A$1:$F$322,MATCH(order_items!$E$1,products!$A$1:$F$1,0),FALSE)</f>
        <v>7</v>
      </c>
      <c r="F2720" t="str">
        <f>VLOOKUP($E2720,categories!$A$1:$B$8,MATCH(order_items!$F$1,categories!$A$1:$B$1,0),FALSE)</f>
        <v>Road Bikes</v>
      </c>
      <c r="G2720">
        <v>1</v>
      </c>
      <c r="H2720">
        <v>2599.9899999999998</v>
      </c>
      <c r="I2720" s="5">
        <v>0.1</v>
      </c>
      <c r="J2720">
        <f t="shared" si="84"/>
        <v>2339.991</v>
      </c>
      <c r="K2720" s="9">
        <f t="shared" si="85"/>
        <v>1.025599375080666</v>
      </c>
    </row>
    <row r="2721" spans="1:11" x14ac:dyDescent="0.3">
      <c r="A2721">
        <v>951</v>
      </c>
      <c r="B2721">
        <v>2</v>
      </c>
      <c r="C2721">
        <v>43</v>
      </c>
      <c r="D2721" t="str">
        <f>VLOOKUP($C2721,products!$A$1:$F$322,MATCH(order_items!$D$1,products!$A$1:$F$1,0),FALSE)</f>
        <v>Trek Fuel EX 9.8 27.5 Plus - 2017</v>
      </c>
      <c r="E2721">
        <f>VLOOKUP($C2721,products!$A$1:$F$322,MATCH(order_items!$E$1,products!$A$1:$F$1,0),FALSE)</f>
        <v>6</v>
      </c>
      <c r="F2721" t="str">
        <f>VLOOKUP($E2721,categories!$A$1:$B$8,MATCH(order_items!$F$1,categories!$A$1:$B$1,0),FALSE)</f>
        <v>Mountain Bikes</v>
      </c>
      <c r="G2721">
        <v>2</v>
      </c>
      <c r="H2721">
        <v>5299.99</v>
      </c>
      <c r="I2721" s="5">
        <v>0.1</v>
      </c>
      <c r="J2721">
        <f t="shared" si="84"/>
        <v>9539.982</v>
      </c>
      <c r="K2721" s="9">
        <f t="shared" si="85"/>
        <v>3.021673754010787</v>
      </c>
    </row>
    <row r="2722" spans="1:11" x14ac:dyDescent="0.3">
      <c r="A2722">
        <v>951</v>
      </c>
      <c r="B2722">
        <v>3</v>
      </c>
      <c r="C2722">
        <v>62</v>
      </c>
      <c r="D2722" t="str">
        <f>VLOOKUP($C2722,products!$A$1:$F$322,MATCH(order_items!$D$1,products!$A$1:$F$1,0),FALSE)</f>
        <v>Trek Boone 7 - 2017</v>
      </c>
      <c r="E2722">
        <f>VLOOKUP($C2722,products!$A$1:$F$322,MATCH(order_items!$E$1,products!$A$1:$F$1,0),FALSE)</f>
        <v>4</v>
      </c>
      <c r="F2722" t="str">
        <f>VLOOKUP($E2722,categories!$A$1:$B$8,MATCH(order_items!$F$1,categories!$A$1:$B$1,0),FALSE)</f>
        <v>Cyclocross Bicycles</v>
      </c>
      <c r="G2722">
        <v>2</v>
      </c>
      <c r="H2722">
        <v>3499.99</v>
      </c>
      <c r="I2722" s="5">
        <v>0.2</v>
      </c>
      <c r="J2722">
        <f t="shared" si="84"/>
        <v>5599.9840000000004</v>
      </c>
      <c r="K2722" s="9">
        <f t="shared" si="85"/>
        <v>1.6909575013907066</v>
      </c>
    </row>
    <row r="2723" spans="1:11" x14ac:dyDescent="0.3">
      <c r="A2723">
        <v>952</v>
      </c>
      <c r="B2723">
        <v>1</v>
      </c>
      <c r="C2723">
        <v>20</v>
      </c>
      <c r="D2723" t="str">
        <f>VLOOKUP($C2723,products!$A$1:$F$322,MATCH(order_items!$D$1,products!$A$1:$F$1,0),FALSE)</f>
        <v>Electra Townie Original 7D EQ - Women's - 2016</v>
      </c>
      <c r="E2723">
        <f>VLOOKUP($C2723,products!$A$1:$F$322,MATCH(order_items!$E$1,products!$A$1:$F$1,0),FALSE)</f>
        <v>3</v>
      </c>
      <c r="F2723" t="str">
        <f>VLOOKUP($E2723,categories!$A$1:$B$8,MATCH(order_items!$F$1,categories!$A$1:$B$1,0),FALSE)</f>
        <v>Cruisers Bicycles</v>
      </c>
      <c r="G2723">
        <v>2</v>
      </c>
      <c r="H2723">
        <v>599.99</v>
      </c>
      <c r="I2723" s="5">
        <v>7.0000000000000007E-2</v>
      </c>
      <c r="J2723">
        <f t="shared" si="84"/>
        <v>1115.9813999999999</v>
      </c>
      <c r="K2723" s="9">
        <f t="shared" si="85"/>
        <v>-0.45297423894164529</v>
      </c>
    </row>
    <row r="2724" spans="1:11" x14ac:dyDescent="0.3">
      <c r="A2724">
        <v>952</v>
      </c>
      <c r="B2724">
        <v>2</v>
      </c>
      <c r="C2724">
        <v>57</v>
      </c>
      <c r="D2724" t="str">
        <f>VLOOKUP($C2724,products!$A$1:$F$322,MATCH(order_items!$D$1,products!$A$1:$F$1,0),FALSE)</f>
        <v>Trek Emonda S 5 - 2017</v>
      </c>
      <c r="E2724">
        <f>VLOOKUP($C2724,products!$A$1:$F$322,MATCH(order_items!$E$1,products!$A$1:$F$1,0),FALSE)</f>
        <v>7</v>
      </c>
      <c r="F2724" t="str">
        <f>VLOOKUP($E2724,categories!$A$1:$B$8,MATCH(order_items!$F$1,categories!$A$1:$B$1,0),FALSE)</f>
        <v>Road Bikes</v>
      </c>
      <c r="G2724">
        <v>1</v>
      </c>
      <c r="H2724">
        <v>1999.99</v>
      </c>
      <c r="I2724" s="5">
        <v>0.05</v>
      </c>
      <c r="J2724">
        <f t="shared" si="84"/>
        <v>1899.9904999999999</v>
      </c>
      <c r="K2724" s="9">
        <f t="shared" si="85"/>
        <v>0.58202729087397276</v>
      </c>
    </row>
    <row r="2725" spans="1:11" x14ac:dyDescent="0.3">
      <c r="A2725">
        <v>953</v>
      </c>
      <c r="B2725">
        <v>1</v>
      </c>
      <c r="C2725">
        <v>23</v>
      </c>
      <c r="D2725" t="str">
        <f>VLOOKUP($C2725,products!$A$1:$F$322,MATCH(order_items!$D$1,products!$A$1:$F$1,0),FALSE)</f>
        <v>Electra Girl's Hawaii 1 (20-inch) - 2015/2016</v>
      </c>
      <c r="E2725">
        <f>VLOOKUP($C2725,products!$A$1:$F$322,MATCH(order_items!$E$1,products!$A$1:$F$1,0),FALSE)</f>
        <v>1</v>
      </c>
      <c r="F2725" t="str">
        <f>VLOOKUP($E2725,categories!$A$1:$B$8,MATCH(order_items!$F$1,categories!$A$1:$B$1,0),FALSE)</f>
        <v>Children Bicycles</v>
      </c>
      <c r="G2725">
        <v>2</v>
      </c>
      <c r="H2725">
        <v>299.99</v>
      </c>
      <c r="I2725" s="5">
        <v>7.0000000000000007E-2</v>
      </c>
      <c r="J2725">
        <f t="shared" si="84"/>
        <v>557.98140000000001</v>
      </c>
      <c r="K2725" s="9">
        <f t="shared" si="85"/>
        <v>-0.67476028104499197</v>
      </c>
    </row>
    <row r="2726" spans="1:11" x14ac:dyDescent="0.3">
      <c r="A2726">
        <v>954</v>
      </c>
      <c r="B2726">
        <v>1</v>
      </c>
      <c r="C2726">
        <v>4</v>
      </c>
      <c r="D2726" t="str">
        <f>VLOOKUP($C2726,products!$A$1:$F$322,MATCH(order_items!$D$1,products!$A$1:$F$1,0),FALSE)</f>
        <v>Trek Fuel EX 8 29 - 2016</v>
      </c>
      <c r="E2726">
        <f>VLOOKUP($C2726,products!$A$1:$F$322,MATCH(order_items!$E$1,products!$A$1:$F$1,0),FALSE)</f>
        <v>6</v>
      </c>
      <c r="F2726" t="str">
        <f>VLOOKUP($E2726,categories!$A$1:$B$8,MATCH(order_items!$F$1,categories!$A$1:$B$1,0),FALSE)</f>
        <v>Mountain Bikes</v>
      </c>
      <c r="G2726">
        <v>2</v>
      </c>
      <c r="H2726">
        <v>2899.99</v>
      </c>
      <c r="I2726" s="5">
        <v>0.1</v>
      </c>
      <c r="J2726">
        <f t="shared" si="84"/>
        <v>5219.982</v>
      </c>
      <c r="K2726" s="9">
        <f t="shared" si="85"/>
        <v>1.2473854171840129</v>
      </c>
    </row>
    <row r="2727" spans="1:11" x14ac:dyDescent="0.3">
      <c r="A2727">
        <v>955</v>
      </c>
      <c r="B2727">
        <v>1</v>
      </c>
      <c r="C2727">
        <v>43</v>
      </c>
      <c r="D2727" t="str">
        <f>VLOOKUP($C2727,products!$A$1:$F$322,MATCH(order_items!$D$1,products!$A$1:$F$1,0),FALSE)</f>
        <v>Trek Fuel EX 9.8 27.5 Plus - 2017</v>
      </c>
      <c r="E2727">
        <f>VLOOKUP($C2727,products!$A$1:$F$322,MATCH(order_items!$E$1,products!$A$1:$F$1,0),FALSE)</f>
        <v>6</v>
      </c>
      <c r="F2727" t="str">
        <f>VLOOKUP($E2727,categories!$A$1:$B$8,MATCH(order_items!$F$1,categories!$A$1:$B$1,0),FALSE)</f>
        <v>Mountain Bikes</v>
      </c>
      <c r="G2727">
        <v>1</v>
      </c>
      <c r="H2727">
        <v>5299.99</v>
      </c>
      <c r="I2727" s="5">
        <v>0.1</v>
      </c>
      <c r="J2727">
        <f t="shared" si="84"/>
        <v>4769.991</v>
      </c>
      <c r="K2727" s="9">
        <f t="shared" si="85"/>
        <v>3.021673754010787</v>
      </c>
    </row>
    <row r="2728" spans="1:11" x14ac:dyDescent="0.3">
      <c r="A2728">
        <v>955</v>
      </c>
      <c r="B2728">
        <v>2</v>
      </c>
      <c r="C2728">
        <v>31</v>
      </c>
      <c r="D2728" t="str">
        <f>VLOOKUP($C2728,products!$A$1:$F$322,MATCH(order_items!$D$1,products!$A$1:$F$1,0),FALSE)</f>
        <v>Surly Wednesday - 2017</v>
      </c>
      <c r="E2728">
        <f>VLOOKUP($C2728,products!$A$1:$F$322,MATCH(order_items!$E$1,products!$A$1:$F$1,0),FALSE)</f>
        <v>6</v>
      </c>
      <c r="F2728" t="str">
        <f>VLOOKUP($E2728,categories!$A$1:$B$8,MATCH(order_items!$F$1,categories!$A$1:$B$1,0),FALSE)</f>
        <v>Mountain Bikes</v>
      </c>
      <c r="G2728">
        <v>2</v>
      </c>
      <c r="H2728">
        <v>1632.99</v>
      </c>
      <c r="I2728" s="5">
        <v>7.0000000000000007E-2</v>
      </c>
      <c r="J2728">
        <f t="shared" si="84"/>
        <v>3037.3613999999998</v>
      </c>
      <c r="K2728" s="9">
        <f t="shared" si="85"/>
        <v>0.31070903270087863</v>
      </c>
    </row>
    <row r="2729" spans="1:11" x14ac:dyDescent="0.3">
      <c r="A2729">
        <v>955</v>
      </c>
      <c r="B2729">
        <v>3</v>
      </c>
      <c r="C2729">
        <v>96</v>
      </c>
      <c r="D2729" t="str">
        <f>VLOOKUP($C2729,products!$A$1:$F$322,MATCH(order_items!$D$1,products!$A$1:$F$1,0),FALSE)</f>
        <v>Electra Moto 3i (20-inch) - Boy's - 2017</v>
      </c>
      <c r="E2729">
        <f>VLOOKUP($C2729,products!$A$1:$F$322,MATCH(order_items!$E$1,products!$A$1:$F$1,0),FALSE)</f>
        <v>1</v>
      </c>
      <c r="F2729" t="str">
        <f>VLOOKUP($E2729,categories!$A$1:$B$8,MATCH(order_items!$F$1,categories!$A$1:$B$1,0),FALSE)</f>
        <v>Children Bicycles</v>
      </c>
      <c r="G2729">
        <v>1</v>
      </c>
      <c r="H2729">
        <v>349.99</v>
      </c>
      <c r="I2729" s="5">
        <v>0.05</v>
      </c>
      <c r="J2729">
        <f t="shared" si="84"/>
        <v>332.4905</v>
      </c>
      <c r="K2729" s="9">
        <f t="shared" si="85"/>
        <v>-0.63779594069443424</v>
      </c>
    </row>
    <row r="2730" spans="1:11" x14ac:dyDescent="0.3">
      <c r="A2730">
        <v>955</v>
      </c>
      <c r="B2730">
        <v>4</v>
      </c>
      <c r="C2730">
        <v>63</v>
      </c>
      <c r="D2730" t="str">
        <f>VLOOKUP($C2730,products!$A$1:$F$322,MATCH(order_items!$D$1,products!$A$1:$F$1,0),FALSE)</f>
        <v>Trek Boone Race Shop Limited - 2017</v>
      </c>
      <c r="E2730">
        <f>VLOOKUP($C2730,products!$A$1:$F$322,MATCH(order_items!$E$1,products!$A$1:$F$1,0),FALSE)</f>
        <v>4</v>
      </c>
      <c r="F2730" t="str">
        <f>VLOOKUP($E2730,categories!$A$1:$B$8,MATCH(order_items!$F$1,categories!$A$1:$B$1,0),FALSE)</f>
        <v>Cyclocross Bicycles</v>
      </c>
      <c r="G2730">
        <v>1</v>
      </c>
      <c r="H2730">
        <v>3499.99</v>
      </c>
      <c r="I2730" s="5">
        <v>0.2</v>
      </c>
      <c r="J2730">
        <f t="shared" si="84"/>
        <v>2799.9920000000002</v>
      </c>
      <c r="K2730" s="9">
        <f t="shared" si="85"/>
        <v>1.6909575013907066</v>
      </c>
    </row>
    <row r="2731" spans="1:11" x14ac:dyDescent="0.3">
      <c r="A2731">
        <v>955</v>
      </c>
      <c r="B2731">
        <v>5</v>
      </c>
      <c r="C2731">
        <v>88</v>
      </c>
      <c r="D2731" t="str">
        <f>VLOOKUP($C2731,products!$A$1:$F$322,MATCH(order_items!$D$1,products!$A$1:$F$1,0),FALSE)</f>
        <v>Trek Precaliber 12 Girls - 2017</v>
      </c>
      <c r="E2731">
        <f>VLOOKUP($C2731,products!$A$1:$F$322,MATCH(order_items!$E$1,products!$A$1:$F$1,0),FALSE)</f>
        <v>1</v>
      </c>
      <c r="F2731" t="str">
        <f>VLOOKUP($E2731,categories!$A$1:$B$8,MATCH(order_items!$F$1,categories!$A$1:$B$1,0),FALSE)</f>
        <v>Children Bicycles</v>
      </c>
      <c r="G2731">
        <v>1</v>
      </c>
      <c r="H2731">
        <v>189.99</v>
      </c>
      <c r="I2731" s="5">
        <v>0.05</v>
      </c>
      <c r="J2731">
        <f t="shared" si="84"/>
        <v>180.4905</v>
      </c>
      <c r="K2731" s="9">
        <f t="shared" si="85"/>
        <v>-0.75608182981621919</v>
      </c>
    </row>
    <row r="2732" spans="1:11" x14ac:dyDescent="0.3">
      <c r="A2732">
        <v>956</v>
      </c>
      <c r="B2732">
        <v>1</v>
      </c>
      <c r="C2732">
        <v>76</v>
      </c>
      <c r="D2732" t="str">
        <f>VLOOKUP($C2732,products!$A$1:$F$322,MATCH(order_items!$D$1,products!$A$1:$F$1,0),FALSE)</f>
        <v>Electra Girl's Hawaii 1 16" - 2017</v>
      </c>
      <c r="E2732">
        <f>VLOOKUP($C2732,products!$A$1:$F$322,MATCH(order_items!$E$1,products!$A$1:$F$1,0),FALSE)</f>
        <v>3</v>
      </c>
      <c r="F2732" t="str">
        <f>VLOOKUP($E2732,categories!$A$1:$B$8,MATCH(order_items!$F$1,categories!$A$1:$B$1,0),FALSE)</f>
        <v>Cruisers Bicycles</v>
      </c>
      <c r="G2732">
        <v>2</v>
      </c>
      <c r="H2732">
        <v>299.99</v>
      </c>
      <c r="I2732" s="5">
        <v>0.1</v>
      </c>
      <c r="J2732">
        <f t="shared" si="84"/>
        <v>539.98200000000008</v>
      </c>
      <c r="K2732" s="9">
        <f t="shared" si="85"/>
        <v>-0.67476028104499197</v>
      </c>
    </row>
    <row r="2733" spans="1:11" x14ac:dyDescent="0.3">
      <c r="A2733">
        <v>956</v>
      </c>
      <c r="B2733">
        <v>2</v>
      </c>
      <c r="C2733">
        <v>23</v>
      </c>
      <c r="D2733" t="str">
        <f>VLOOKUP($C2733,products!$A$1:$F$322,MATCH(order_items!$D$1,products!$A$1:$F$1,0),FALSE)</f>
        <v>Electra Girl's Hawaii 1 (20-inch) - 2015/2016</v>
      </c>
      <c r="E2733">
        <f>VLOOKUP($C2733,products!$A$1:$F$322,MATCH(order_items!$E$1,products!$A$1:$F$1,0),FALSE)</f>
        <v>1</v>
      </c>
      <c r="F2733" t="str">
        <f>VLOOKUP($E2733,categories!$A$1:$B$8,MATCH(order_items!$F$1,categories!$A$1:$B$1,0),FALSE)</f>
        <v>Children Bicycles</v>
      </c>
      <c r="G2733">
        <v>1</v>
      </c>
      <c r="H2733">
        <v>299.99</v>
      </c>
      <c r="I2733" s="5">
        <v>0.2</v>
      </c>
      <c r="J2733">
        <f t="shared" si="84"/>
        <v>239.99200000000002</v>
      </c>
      <c r="K2733" s="9">
        <f t="shared" si="85"/>
        <v>-0.67476028104499197</v>
      </c>
    </row>
    <row r="2734" spans="1:11" x14ac:dyDescent="0.3">
      <c r="A2734">
        <v>956</v>
      </c>
      <c r="B2734">
        <v>3</v>
      </c>
      <c r="C2734">
        <v>73</v>
      </c>
      <c r="D2734" t="str">
        <f>VLOOKUP($C2734,products!$A$1:$F$322,MATCH(order_items!$D$1,products!$A$1:$F$1,0),FALSE)</f>
        <v>Sun Bicycles Brickell Tandem 7 - 2017</v>
      </c>
      <c r="E2734">
        <f>VLOOKUP($C2734,products!$A$1:$F$322,MATCH(order_items!$E$1,products!$A$1:$F$1,0),FALSE)</f>
        <v>3</v>
      </c>
      <c r="F2734" t="str">
        <f>VLOOKUP($E2734,categories!$A$1:$B$8,MATCH(order_items!$F$1,categories!$A$1:$B$1,0),FALSE)</f>
        <v>Cruisers Bicycles</v>
      </c>
      <c r="G2734">
        <v>2</v>
      </c>
      <c r="H2734">
        <v>749.99</v>
      </c>
      <c r="I2734" s="5">
        <v>0.1</v>
      </c>
      <c r="J2734">
        <f t="shared" si="84"/>
        <v>1349.982</v>
      </c>
      <c r="K2734" s="9">
        <f t="shared" si="85"/>
        <v>-0.34208121788997192</v>
      </c>
    </row>
    <row r="2735" spans="1:11" x14ac:dyDescent="0.3">
      <c r="A2735">
        <v>956</v>
      </c>
      <c r="B2735">
        <v>4</v>
      </c>
      <c r="C2735">
        <v>13</v>
      </c>
      <c r="D2735" t="str">
        <f>VLOOKUP($C2735,products!$A$1:$F$322,MATCH(order_items!$D$1,products!$A$1:$F$1,0),FALSE)</f>
        <v>Electra Cruiser 1 (24-Inch) - 2016</v>
      </c>
      <c r="E2735">
        <f>VLOOKUP($C2735,products!$A$1:$F$322,MATCH(order_items!$E$1,products!$A$1:$F$1,0),FALSE)</f>
        <v>3</v>
      </c>
      <c r="F2735" t="str">
        <f>VLOOKUP($E2735,categories!$A$1:$B$8,MATCH(order_items!$F$1,categories!$A$1:$B$1,0),FALSE)</f>
        <v>Cruisers Bicycles</v>
      </c>
      <c r="G2735">
        <v>2</v>
      </c>
      <c r="H2735">
        <v>269.99</v>
      </c>
      <c r="I2735" s="5">
        <v>0.2</v>
      </c>
      <c r="J2735">
        <f t="shared" si="84"/>
        <v>431.98400000000004</v>
      </c>
      <c r="K2735" s="9">
        <f t="shared" si="85"/>
        <v>-0.69693888525532666</v>
      </c>
    </row>
    <row r="2736" spans="1:11" x14ac:dyDescent="0.3">
      <c r="A2736">
        <v>956</v>
      </c>
      <c r="B2736">
        <v>5</v>
      </c>
      <c r="C2736">
        <v>79</v>
      </c>
      <c r="D2736" t="str">
        <f>VLOOKUP($C2736,products!$A$1:$F$322,MATCH(order_items!$D$1,products!$A$1:$F$1,0),FALSE)</f>
        <v>Sun Bicycles Boardwalk (24-inch Wheels) - 2017</v>
      </c>
      <c r="E2736">
        <f>VLOOKUP($C2736,products!$A$1:$F$322,MATCH(order_items!$E$1,products!$A$1:$F$1,0),FALSE)</f>
        <v>3</v>
      </c>
      <c r="F2736" t="str">
        <f>VLOOKUP($E2736,categories!$A$1:$B$8,MATCH(order_items!$F$1,categories!$A$1:$B$1,0),FALSE)</f>
        <v>Cruisers Bicycles</v>
      </c>
      <c r="G2736">
        <v>2</v>
      </c>
      <c r="H2736">
        <v>402.99</v>
      </c>
      <c r="I2736" s="5">
        <v>0.1</v>
      </c>
      <c r="J2736">
        <f t="shared" si="84"/>
        <v>725.38200000000006</v>
      </c>
      <c r="K2736" s="9">
        <f t="shared" si="85"/>
        <v>-0.59861373992284295</v>
      </c>
    </row>
    <row r="2737" spans="1:11" x14ac:dyDescent="0.3">
      <c r="A2737">
        <v>957</v>
      </c>
      <c r="B2737">
        <v>1</v>
      </c>
      <c r="C2737">
        <v>108</v>
      </c>
      <c r="D2737" t="str">
        <f>VLOOKUP($C2737,products!$A$1:$F$322,MATCH(order_items!$D$1,products!$A$1:$F$1,0),FALSE)</f>
        <v>Sun Bicycles Cruz 3 - Women's - 2017</v>
      </c>
      <c r="E2737">
        <f>VLOOKUP($C2737,products!$A$1:$F$322,MATCH(order_items!$E$1,products!$A$1:$F$1,0),FALSE)</f>
        <v>2</v>
      </c>
      <c r="F2737" t="str">
        <f>VLOOKUP($E2737,categories!$A$1:$B$8,MATCH(order_items!$F$1,categories!$A$1:$B$1,0),FALSE)</f>
        <v>Comfort Bicycles</v>
      </c>
      <c r="G2737">
        <v>2</v>
      </c>
      <c r="H2737">
        <v>449.99</v>
      </c>
      <c r="I2737" s="5">
        <v>0.05</v>
      </c>
      <c r="J2737">
        <f t="shared" si="84"/>
        <v>854.98099999999999</v>
      </c>
      <c r="K2737" s="9">
        <f t="shared" si="85"/>
        <v>-0.56386725999331866</v>
      </c>
    </row>
    <row r="2738" spans="1:11" x14ac:dyDescent="0.3">
      <c r="A2738">
        <v>957</v>
      </c>
      <c r="B2738">
        <v>2</v>
      </c>
      <c r="C2738">
        <v>14</v>
      </c>
      <c r="D2738" t="str">
        <f>VLOOKUP($C2738,products!$A$1:$F$322,MATCH(order_items!$D$1,products!$A$1:$F$1,0),FALSE)</f>
        <v>Electra Girl's Hawaii 1 (16-inch) - 2015/2016</v>
      </c>
      <c r="E2738">
        <f>VLOOKUP($C2738,products!$A$1:$F$322,MATCH(order_items!$E$1,products!$A$1:$F$1,0),FALSE)</f>
        <v>3</v>
      </c>
      <c r="F2738" t="str">
        <f>VLOOKUP($E2738,categories!$A$1:$B$8,MATCH(order_items!$F$1,categories!$A$1:$B$1,0),FALSE)</f>
        <v>Cruisers Bicycles</v>
      </c>
      <c r="G2738">
        <v>2</v>
      </c>
      <c r="H2738">
        <v>269.99</v>
      </c>
      <c r="I2738" s="5">
        <v>7.0000000000000007E-2</v>
      </c>
      <c r="J2738">
        <f t="shared" si="84"/>
        <v>502.1814</v>
      </c>
      <c r="K2738" s="9">
        <f t="shared" si="85"/>
        <v>-0.69693888525532666</v>
      </c>
    </row>
    <row r="2739" spans="1:11" x14ac:dyDescent="0.3">
      <c r="A2739">
        <v>957</v>
      </c>
      <c r="B2739">
        <v>3</v>
      </c>
      <c r="C2739">
        <v>70</v>
      </c>
      <c r="D2739" t="str">
        <f>VLOOKUP($C2739,products!$A$1:$F$322,MATCH(order_items!$D$1,products!$A$1:$F$1,0),FALSE)</f>
        <v>Electra Amsterdam Original 3i - 2015/2017</v>
      </c>
      <c r="E2739">
        <f>VLOOKUP($C2739,products!$A$1:$F$322,MATCH(order_items!$E$1,products!$A$1:$F$1,0),FALSE)</f>
        <v>3</v>
      </c>
      <c r="F2739" t="str">
        <f>VLOOKUP($E2739,categories!$A$1:$B$8,MATCH(order_items!$F$1,categories!$A$1:$B$1,0),FALSE)</f>
        <v>Cruisers Bicycles</v>
      </c>
      <c r="G2739">
        <v>2</v>
      </c>
      <c r="H2739">
        <v>659.99</v>
      </c>
      <c r="I2739" s="5">
        <v>0.05</v>
      </c>
      <c r="J2739">
        <f t="shared" si="84"/>
        <v>1253.981</v>
      </c>
      <c r="K2739" s="9">
        <f t="shared" si="85"/>
        <v>-0.40861703052097592</v>
      </c>
    </row>
    <row r="2740" spans="1:11" x14ac:dyDescent="0.3">
      <c r="A2740">
        <v>957</v>
      </c>
      <c r="B2740">
        <v>4</v>
      </c>
      <c r="C2740">
        <v>66</v>
      </c>
      <c r="D2740" t="str">
        <f>VLOOKUP($C2740,products!$A$1:$F$322,MATCH(order_items!$D$1,products!$A$1:$F$1,0),FALSE)</f>
        <v>Sun Bicycles Revolutions 24 - 2017</v>
      </c>
      <c r="E2740">
        <f>VLOOKUP($C2740,products!$A$1:$F$322,MATCH(order_items!$E$1,products!$A$1:$F$1,0),FALSE)</f>
        <v>3</v>
      </c>
      <c r="F2740" t="str">
        <f>VLOOKUP($E2740,categories!$A$1:$B$8,MATCH(order_items!$F$1,categories!$A$1:$B$1,0),FALSE)</f>
        <v>Cruisers Bicycles</v>
      </c>
      <c r="G2740">
        <v>1</v>
      </c>
      <c r="H2740">
        <v>250.99</v>
      </c>
      <c r="I2740" s="5">
        <v>7.0000000000000007E-2</v>
      </c>
      <c r="J2740">
        <f t="shared" si="84"/>
        <v>233.42069999999998</v>
      </c>
      <c r="K2740" s="9">
        <f t="shared" si="85"/>
        <v>-0.71098533458853863</v>
      </c>
    </row>
    <row r="2741" spans="1:11" x14ac:dyDescent="0.3">
      <c r="A2741">
        <v>957</v>
      </c>
      <c r="B2741">
        <v>5</v>
      </c>
      <c r="C2741">
        <v>111</v>
      </c>
      <c r="D2741" t="str">
        <f>VLOOKUP($C2741,products!$A$1:$F$322,MATCH(order_items!$D$1,products!$A$1:$F$1,0),FALSE)</f>
        <v>Sun Bicycles Drifter 7 - Women's - 2017</v>
      </c>
      <c r="E2741">
        <f>VLOOKUP($C2741,products!$A$1:$F$322,MATCH(order_items!$E$1,products!$A$1:$F$1,0),FALSE)</f>
        <v>2</v>
      </c>
      <c r="F2741" t="str">
        <f>VLOOKUP($E2741,categories!$A$1:$B$8,MATCH(order_items!$F$1,categories!$A$1:$B$1,0),FALSE)</f>
        <v>Comfort Bicycles</v>
      </c>
      <c r="G2741">
        <v>1</v>
      </c>
      <c r="H2741">
        <v>470.99</v>
      </c>
      <c r="I2741" s="5">
        <v>0.05</v>
      </c>
      <c r="J2741">
        <f t="shared" si="84"/>
        <v>447.44049999999999</v>
      </c>
      <c r="K2741" s="9">
        <f t="shared" si="85"/>
        <v>-0.54834223704608442</v>
      </c>
    </row>
    <row r="2742" spans="1:11" x14ac:dyDescent="0.3">
      <c r="A2742">
        <v>958</v>
      </c>
      <c r="B2742">
        <v>1</v>
      </c>
      <c r="C2742">
        <v>51</v>
      </c>
      <c r="D2742" t="str">
        <f>VLOOKUP($C2742,products!$A$1:$F$322,MATCH(order_items!$D$1,products!$A$1:$F$1,0),FALSE)</f>
        <v>Trek Silque SLR 8 Women's - 2017</v>
      </c>
      <c r="E2742">
        <f>VLOOKUP($C2742,products!$A$1:$F$322,MATCH(order_items!$E$1,products!$A$1:$F$1,0),FALSE)</f>
        <v>7</v>
      </c>
      <c r="F2742" t="str">
        <f>VLOOKUP($E2742,categories!$A$1:$B$8,MATCH(order_items!$F$1,categories!$A$1:$B$1,0),FALSE)</f>
        <v>Road Bikes</v>
      </c>
      <c r="G2742">
        <v>1</v>
      </c>
      <c r="H2742">
        <v>6499.99</v>
      </c>
      <c r="I2742" s="5">
        <v>0.1</v>
      </c>
      <c r="J2742">
        <f t="shared" si="84"/>
        <v>5849.991</v>
      </c>
      <c r="K2742" s="9">
        <f t="shared" si="85"/>
        <v>3.9088179224241739</v>
      </c>
    </row>
    <row r="2743" spans="1:11" x14ac:dyDescent="0.3">
      <c r="A2743">
        <v>958</v>
      </c>
      <c r="B2743">
        <v>2</v>
      </c>
      <c r="C2743">
        <v>76</v>
      </c>
      <c r="D2743" t="str">
        <f>VLOOKUP($C2743,products!$A$1:$F$322,MATCH(order_items!$D$1,products!$A$1:$F$1,0),FALSE)</f>
        <v>Electra Girl's Hawaii 1 16" - 2017</v>
      </c>
      <c r="E2743">
        <f>VLOOKUP($C2743,products!$A$1:$F$322,MATCH(order_items!$E$1,products!$A$1:$F$1,0),FALSE)</f>
        <v>3</v>
      </c>
      <c r="F2743" t="str">
        <f>VLOOKUP($E2743,categories!$A$1:$B$8,MATCH(order_items!$F$1,categories!$A$1:$B$1,0),FALSE)</f>
        <v>Cruisers Bicycles</v>
      </c>
      <c r="G2743">
        <v>1</v>
      </c>
      <c r="H2743">
        <v>299.99</v>
      </c>
      <c r="I2743" s="5">
        <v>0.2</v>
      </c>
      <c r="J2743">
        <f t="shared" si="84"/>
        <v>239.99200000000002</v>
      </c>
      <c r="K2743" s="9">
        <f t="shared" si="85"/>
        <v>-0.67476028104499197</v>
      </c>
    </row>
    <row r="2744" spans="1:11" x14ac:dyDescent="0.3">
      <c r="A2744">
        <v>959</v>
      </c>
      <c r="B2744">
        <v>1</v>
      </c>
      <c r="C2744">
        <v>15</v>
      </c>
      <c r="D2744" t="str">
        <f>VLOOKUP($C2744,products!$A$1:$F$322,MATCH(order_items!$D$1,products!$A$1:$F$1,0),FALSE)</f>
        <v>Electra Moto 1 - 2016</v>
      </c>
      <c r="E2744">
        <f>VLOOKUP($C2744,products!$A$1:$F$322,MATCH(order_items!$E$1,products!$A$1:$F$1,0),FALSE)</f>
        <v>3</v>
      </c>
      <c r="F2744" t="str">
        <f>VLOOKUP($E2744,categories!$A$1:$B$8,MATCH(order_items!$F$1,categories!$A$1:$B$1,0),FALSE)</f>
        <v>Cruisers Bicycles</v>
      </c>
      <c r="G2744">
        <v>1</v>
      </c>
      <c r="H2744">
        <v>529.99</v>
      </c>
      <c r="I2744" s="5">
        <v>0.2</v>
      </c>
      <c r="J2744">
        <f t="shared" si="84"/>
        <v>423.99200000000002</v>
      </c>
      <c r="K2744" s="9">
        <f t="shared" si="85"/>
        <v>-0.50472431543242624</v>
      </c>
    </row>
    <row r="2745" spans="1:11" x14ac:dyDescent="0.3">
      <c r="A2745">
        <v>959</v>
      </c>
      <c r="B2745">
        <v>2</v>
      </c>
      <c r="C2745">
        <v>72</v>
      </c>
      <c r="D2745" t="str">
        <f>VLOOKUP($C2745,products!$A$1:$F$322,MATCH(order_items!$D$1,products!$A$1:$F$1,0),FALSE)</f>
        <v>Sun Bicycles Biscayne Tandem 7 - 2017</v>
      </c>
      <c r="E2745">
        <f>VLOOKUP($C2745,products!$A$1:$F$322,MATCH(order_items!$E$1,products!$A$1:$F$1,0),FALSE)</f>
        <v>3</v>
      </c>
      <c r="F2745" t="str">
        <f>VLOOKUP($E2745,categories!$A$1:$B$8,MATCH(order_items!$F$1,categories!$A$1:$B$1,0),FALSE)</f>
        <v>Cruisers Bicycles</v>
      </c>
      <c r="G2745">
        <v>1</v>
      </c>
      <c r="H2745">
        <v>619.99</v>
      </c>
      <c r="I2745" s="5">
        <v>0.1</v>
      </c>
      <c r="J2745">
        <f t="shared" si="84"/>
        <v>557.99099999999999</v>
      </c>
      <c r="K2745" s="9">
        <f t="shared" si="85"/>
        <v>-0.43818850280142219</v>
      </c>
    </row>
    <row r="2746" spans="1:11" x14ac:dyDescent="0.3">
      <c r="A2746">
        <v>959</v>
      </c>
      <c r="B2746">
        <v>3</v>
      </c>
      <c r="C2746">
        <v>41</v>
      </c>
      <c r="D2746" t="str">
        <f>VLOOKUP($C2746,products!$A$1:$F$322,MATCH(order_items!$D$1,products!$A$1:$F$1,0),FALSE)</f>
        <v>Haro Shift R3 - 2017</v>
      </c>
      <c r="E2746">
        <f>VLOOKUP($C2746,products!$A$1:$F$322,MATCH(order_items!$E$1,products!$A$1:$F$1,0),FALSE)</f>
        <v>6</v>
      </c>
      <c r="F2746" t="str">
        <f>VLOOKUP($E2746,categories!$A$1:$B$8,MATCH(order_items!$F$1,categories!$A$1:$B$1,0),FALSE)</f>
        <v>Mountain Bikes</v>
      </c>
      <c r="G2746">
        <v>1</v>
      </c>
      <c r="H2746">
        <v>1469.99</v>
      </c>
      <c r="I2746" s="5">
        <v>0.05</v>
      </c>
      <c r="J2746">
        <f t="shared" si="84"/>
        <v>1396.4904999999999</v>
      </c>
      <c r="K2746" s="9">
        <f t="shared" si="85"/>
        <v>0.19020528315806023</v>
      </c>
    </row>
    <row r="2747" spans="1:11" x14ac:dyDescent="0.3">
      <c r="A2747">
        <v>959</v>
      </c>
      <c r="B2747">
        <v>4</v>
      </c>
      <c r="C2747">
        <v>65</v>
      </c>
      <c r="D2747" t="str">
        <f>VLOOKUP($C2747,products!$A$1:$F$322,MATCH(order_items!$D$1,products!$A$1:$F$1,0),FALSE)</f>
        <v>Sun Bicycles Lil Bolt Type-R - 2017</v>
      </c>
      <c r="E2747">
        <f>VLOOKUP($C2747,products!$A$1:$F$322,MATCH(order_items!$E$1,products!$A$1:$F$1,0),FALSE)</f>
        <v>3</v>
      </c>
      <c r="F2747" t="str">
        <f>VLOOKUP($E2747,categories!$A$1:$B$8,MATCH(order_items!$F$1,categories!$A$1:$B$1,0),FALSE)</f>
        <v>Cruisers Bicycles</v>
      </c>
      <c r="G2747">
        <v>1</v>
      </c>
      <c r="H2747">
        <v>346.99</v>
      </c>
      <c r="I2747" s="5">
        <v>7.0000000000000007E-2</v>
      </c>
      <c r="J2747">
        <f t="shared" si="84"/>
        <v>322.70069999999998</v>
      </c>
      <c r="K2747" s="9">
        <f t="shared" si="85"/>
        <v>-0.64001380111546768</v>
      </c>
    </row>
    <row r="2748" spans="1:11" x14ac:dyDescent="0.3">
      <c r="A2748">
        <v>960</v>
      </c>
      <c r="B2748">
        <v>1</v>
      </c>
      <c r="C2748">
        <v>73</v>
      </c>
      <c r="D2748" t="str">
        <f>VLOOKUP($C2748,products!$A$1:$F$322,MATCH(order_items!$D$1,products!$A$1:$F$1,0),FALSE)</f>
        <v>Sun Bicycles Brickell Tandem 7 - 2017</v>
      </c>
      <c r="E2748">
        <f>VLOOKUP($C2748,products!$A$1:$F$322,MATCH(order_items!$E$1,products!$A$1:$F$1,0),FALSE)</f>
        <v>3</v>
      </c>
      <c r="F2748" t="str">
        <f>VLOOKUP($E2748,categories!$A$1:$B$8,MATCH(order_items!$F$1,categories!$A$1:$B$1,0),FALSE)</f>
        <v>Cruisers Bicycles</v>
      </c>
      <c r="G2748">
        <v>2</v>
      </c>
      <c r="H2748">
        <v>749.99</v>
      </c>
      <c r="I2748" s="5">
        <v>0.05</v>
      </c>
      <c r="J2748">
        <f t="shared" si="84"/>
        <v>1424.981</v>
      </c>
      <c r="K2748" s="9">
        <f t="shared" si="85"/>
        <v>-0.34208121788997192</v>
      </c>
    </row>
    <row r="2749" spans="1:11" x14ac:dyDescent="0.3">
      <c r="A2749">
        <v>960</v>
      </c>
      <c r="B2749">
        <v>2</v>
      </c>
      <c r="C2749">
        <v>52</v>
      </c>
      <c r="D2749" t="str">
        <f>VLOOKUP($C2749,products!$A$1:$F$322,MATCH(order_items!$D$1,products!$A$1:$F$1,0),FALSE)</f>
        <v>Surly Steamroller - 2017</v>
      </c>
      <c r="E2749">
        <f>VLOOKUP($C2749,products!$A$1:$F$322,MATCH(order_items!$E$1,products!$A$1:$F$1,0),FALSE)</f>
        <v>7</v>
      </c>
      <c r="F2749" t="str">
        <f>VLOOKUP($E2749,categories!$A$1:$B$8,MATCH(order_items!$F$1,categories!$A$1:$B$1,0),FALSE)</f>
        <v>Road Bikes</v>
      </c>
      <c r="G2749">
        <v>1</v>
      </c>
      <c r="H2749">
        <v>875.99</v>
      </c>
      <c r="I2749" s="5">
        <v>0.1</v>
      </c>
      <c r="J2749">
        <f t="shared" si="84"/>
        <v>788.39100000000008</v>
      </c>
      <c r="K2749" s="9">
        <f t="shared" si="85"/>
        <v>-0.24893108020656629</v>
      </c>
    </row>
    <row r="2750" spans="1:11" x14ac:dyDescent="0.3">
      <c r="A2750">
        <v>960</v>
      </c>
      <c r="B2750">
        <v>3</v>
      </c>
      <c r="C2750">
        <v>48</v>
      </c>
      <c r="D2750" t="str">
        <f>VLOOKUP($C2750,products!$A$1:$F$322,MATCH(order_items!$D$1,products!$A$1:$F$1,0),FALSE)</f>
        <v>Trek Emonda S 4 - 2017</v>
      </c>
      <c r="E2750">
        <f>VLOOKUP($C2750,products!$A$1:$F$322,MATCH(order_items!$E$1,products!$A$1:$F$1,0),FALSE)</f>
        <v>7</v>
      </c>
      <c r="F2750" t="str">
        <f>VLOOKUP($E2750,categories!$A$1:$B$8,MATCH(order_items!$F$1,categories!$A$1:$B$1,0),FALSE)</f>
        <v>Road Bikes</v>
      </c>
      <c r="G2750">
        <v>2</v>
      </c>
      <c r="H2750">
        <v>1499.99</v>
      </c>
      <c r="I2750" s="5">
        <v>0.05</v>
      </c>
      <c r="J2750">
        <f t="shared" si="84"/>
        <v>2849.9809999999998</v>
      </c>
      <c r="K2750" s="9">
        <f t="shared" si="85"/>
        <v>0.21238388736839492</v>
      </c>
    </row>
    <row r="2751" spans="1:11" x14ac:dyDescent="0.3">
      <c r="A2751">
        <v>960</v>
      </c>
      <c r="B2751">
        <v>4</v>
      </c>
      <c r="C2751">
        <v>83</v>
      </c>
      <c r="D2751" t="str">
        <f>VLOOKUP($C2751,products!$A$1:$F$322,MATCH(order_items!$D$1,products!$A$1:$F$1,0),FALSE)</f>
        <v>Trek Boy's Kickster - 2015/2017</v>
      </c>
      <c r="E2751">
        <f>VLOOKUP($C2751,products!$A$1:$F$322,MATCH(order_items!$E$1,products!$A$1:$F$1,0),FALSE)</f>
        <v>1</v>
      </c>
      <c r="F2751" t="str">
        <f>VLOOKUP($E2751,categories!$A$1:$B$8,MATCH(order_items!$F$1,categories!$A$1:$B$1,0),FALSE)</f>
        <v>Children Bicycles</v>
      </c>
      <c r="G2751">
        <v>2</v>
      </c>
      <c r="H2751">
        <v>149.99</v>
      </c>
      <c r="I2751" s="5">
        <v>0.1</v>
      </c>
      <c r="J2751">
        <f t="shared" si="84"/>
        <v>269.98200000000003</v>
      </c>
      <c r="K2751" s="9">
        <f t="shared" si="85"/>
        <v>-0.7856533020966654</v>
      </c>
    </row>
    <row r="2752" spans="1:11" x14ac:dyDescent="0.3">
      <c r="A2752">
        <v>961</v>
      </c>
      <c r="B2752">
        <v>1</v>
      </c>
      <c r="C2752">
        <v>105</v>
      </c>
      <c r="D2752" t="str">
        <f>VLOOKUP($C2752,products!$A$1:$F$322,MATCH(order_items!$D$1,products!$A$1:$F$1,0),FALSE)</f>
        <v>Sun Bicycles Streamway 7 - 2017</v>
      </c>
      <c r="E2752">
        <f>VLOOKUP($C2752,products!$A$1:$F$322,MATCH(order_items!$E$1,products!$A$1:$F$1,0),FALSE)</f>
        <v>2</v>
      </c>
      <c r="F2752" t="str">
        <f>VLOOKUP($E2752,categories!$A$1:$B$8,MATCH(order_items!$F$1,categories!$A$1:$B$1,0),FALSE)</f>
        <v>Comfort Bicycles</v>
      </c>
      <c r="G2752">
        <v>1</v>
      </c>
      <c r="H2752">
        <v>533.99</v>
      </c>
      <c r="I2752" s="5">
        <v>0.1</v>
      </c>
      <c r="J2752">
        <f t="shared" si="84"/>
        <v>480.59100000000001</v>
      </c>
      <c r="K2752" s="9">
        <f t="shared" si="85"/>
        <v>-0.50176716820438161</v>
      </c>
    </row>
    <row r="2753" spans="1:11" x14ac:dyDescent="0.3">
      <c r="A2753">
        <v>961</v>
      </c>
      <c r="B2753">
        <v>2</v>
      </c>
      <c r="C2753">
        <v>47</v>
      </c>
      <c r="D2753" t="str">
        <f>VLOOKUP($C2753,products!$A$1:$F$322,MATCH(order_items!$D$1,products!$A$1:$F$1,0),FALSE)</f>
        <v>Trek Remedy 9.8 - 2017</v>
      </c>
      <c r="E2753">
        <f>VLOOKUP($C2753,products!$A$1:$F$322,MATCH(order_items!$E$1,products!$A$1:$F$1,0),FALSE)</f>
        <v>6</v>
      </c>
      <c r="F2753" t="str">
        <f>VLOOKUP($E2753,categories!$A$1:$B$8,MATCH(order_items!$F$1,categories!$A$1:$B$1,0),FALSE)</f>
        <v>Mountain Bikes</v>
      </c>
      <c r="G2753">
        <v>2</v>
      </c>
      <c r="H2753">
        <v>5299.99</v>
      </c>
      <c r="I2753" s="5">
        <v>0.2</v>
      </c>
      <c r="J2753">
        <f t="shared" si="84"/>
        <v>8479.9840000000004</v>
      </c>
      <c r="K2753" s="9">
        <f t="shared" si="85"/>
        <v>3.021673754010787</v>
      </c>
    </row>
    <row r="2754" spans="1:11" x14ac:dyDescent="0.3">
      <c r="A2754">
        <v>961</v>
      </c>
      <c r="B2754">
        <v>3</v>
      </c>
      <c r="C2754">
        <v>65</v>
      </c>
      <c r="D2754" t="str">
        <f>VLOOKUP($C2754,products!$A$1:$F$322,MATCH(order_items!$D$1,products!$A$1:$F$1,0),FALSE)</f>
        <v>Sun Bicycles Lil Bolt Type-R - 2017</v>
      </c>
      <c r="E2754">
        <f>VLOOKUP($C2754,products!$A$1:$F$322,MATCH(order_items!$E$1,products!$A$1:$F$1,0),FALSE)</f>
        <v>3</v>
      </c>
      <c r="F2754" t="str">
        <f>VLOOKUP($E2754,categories!$A$1:$B$8,MATCH(order_items!$F$1,categories!$A$1:$B$1,0),FALSE)</f>
        <v>Cruisers Bicycles</v>
      </c>
      <c r="G2754">
        <v>2</v>
      </c>
      <c r="H2754">
        <v>346.99</v>
      </c>
      <c r="I2754" s="5">
        <v>7.0000000000000007E-2</v>
      </c>
      <c r="J2754">
        <f t="shared" ref="J2754:J2817" si="86">G2754*H2754*(1-I2754)</f>
        <v>645.40139999999997</v>
      </c>
      <c r="K2754" s="9">
        <f t="shared" ref="K2754:K2817" si="87">($H2754-$M$7)/$M$9</f>
        <v>-0.64001380111546768</v>
      </c>
    </row>
    <row r="2755" spans="1:11" x14ac:dyDescent="0.3">
      <c r="A2755">
        <v>962</v>
      </c>
      <c r="B2755">
        <v>1</v>
      </c>
      <c r="C2755">
        <v>65</v>
      </c>
      <c r="D2755" t="str">
        <f>VLOOKUP($C2755,products!$A$1:$F$322,MATCH(order_items!$D$1,products!$A$1:$F$1,0),FALSE)</f>
        <v>Sun Bicycles Lil Bolt Type-R - 2017</v>
      </c>
      <c r="E2755">
        <f>VLOOKUP($C2755,products!$A$1:$F$322,MATCH(order_items!$E$1,products!$A$1:$F$1,0),FALSE)</f>
        <v>3</v>
      </c>
      <c r="F2755" t="str">
        <f>VLOOKUP($E2755,categories!$A$1:$B$8,MATCH(order_items!$F$1,categories!$A$1:$B$1,0),FALSE)</f>
        <v>Cruisers Bicycles</v>
      </c>
      <c r="G2755">
        <v>2</v>
      </c>
      <c r="H2755">
        <v>346.99</v>
      </c>
      <c r="I2755" s="5">
        <v>7.0000000000000007E-2</v>
      </c>
      <c r="J2755">
        <f t="shared" si="86"/>
        <v>645.40139999999997</v>
      </c>
      <c r="K2755" s="9">
        <f t="shared" si="87"/>
        <v>-0.64001380111546768</v>
      </c>
    </row>
    <row r="2756" spans="1:11" x14ac:dyDescent="0.3">
      <c r="A2756">
        <v>962</v>
      </c>
      <c r="B2756">
        <v>2</v>
      </c>
      <c r="C2756">
        <v>64</v>
      </c>
      <c r="D2756" t="str">
        <f>VLOOKUP($C2756,products!$A$1:$F$322,MATCH(order_items!$D$1,products!$A$1:$F$1,0),FALSE)</f>
        <v>Electra Townie Original 7D - 2017</v>
      </c>
      <c r="E2756">
        <f>VLOOKUP($C2756,products!$A$1:$F$322,MATCH(order_items!$E$1,products!$A$1:$F$1,0),FALSE)</f>
        <v>3</v>
      </c>
      <c r="F2756" t="str">
        <f>VLOOKUP($E2756,categories!$A$1:$B$8,MATCH(order_items!$F$1,categories!$A$1:$B$1,0),FALSE)</f>
        <v>Cruisers Bicycles</v>
      </c>
      <c r="G2756">
        <v>2</v>
      </c>
      <c r="H2756">
        <v>489.99</v>
      </c>
      <c r="I2756" s="5">
        <v>7.0000000000000007E-2</v>
      </c>
      <c r="J2756">
        <f t="shared" si="86"/>
        <v>911.38139999999999</v>
      </c>
      <c r="K2756" s="9">
        <f t="shared" si="87"/>
        <v>-0.53429578771287245</v>
      </c>
    </row>
    <row r="2757" spans="1:11" x14ac:dyDescent="0.3">
      <c r="A2757">
        <v>963</v>
      </c>
      <c r="B2757">
        <v>1</v>
      </c>
      <c r="C2757">
        <v>4</v>
      </c>
      <c r="D2757" t="str">
        <f>VLOOKUP($C2757,products!$A$1:$F$322,MATCH(order_items!$D$1,products!$A$1:$F$1,0),FALSE)</f>
        <v>Trek Fuel EX 8 29 - 2016</v>
      </c>
      <c r="E2757">
        <f>VLOOKUP($C2757,products!$A$1:$F$322,MATCH(order_items!$E$1,products!$A$1:$F$1,0),FALSE)</f>
        <v>6</v>
      </c>
      <c r="F2757" t="str">
        <f>VLOOKUP($E2757,categories!$A$1:$B$8,MATCH(order_items!$F$1,categories!$A$1:$B$1,0),FALSE)</f>
        <v>Mountain Bikes</v>
      </c>
      <c r="G2757">
        <v>1</v>
      </c>
      <c r="H2757">
        <v>2899.99</v>
      </c>
      <c r="I2757" s="5">
        <v>7.0000000000000007E-2</v>
      </c>
      <c r="J2757">
        <f t="shared" si="86"/>
        <v>2696.9906999999998</v>
      </c>
      <c r="K2757" s="9">
        <f t="shared" si="87"/>
        <v>1.2473854171840129</v>
      </c>
    </row>
    <row r="2758" spans="1:11" x14ac:dyDescent="0.3">
      <c r="A2758">
        <v>964</v>
      </c>
      <c r="B2758">
        <v>1</v>
      </c>
      <c r="C2758">
        <v>90</v>
      </c>
      <c r="D2758" t="str">
        <f>VLOOKUP($C2758,products!$A$1:$F$322,MATCH(order_items!$D$1,products!$A$1:$F$1,0),FALSE)</f>
        <v>Trek Precaliber 16 Girls - 2017</v>
      </c>
      <c r="E2758">
        <f>VLOOKUP($C2758,products!$A$1:$F$322,MATCH(order_items!$E$1,products!$A$1:$F$1,0),FALSE)</f>
        <v>1</v>
      </c>
      <c r="F2758" t="str">
        <f>VLOOKUP($E2758,categories!$A$1:$B$8,MATCH(order_items!$F$1,categories!$A$1:$B$1,0),FALSE)</f>
        <v>Children Bicycles</v>
      </c>
      <c r="G2758">
        <v>1</v>
      </c>
      <c r="H2758">
        <v>209.99</v>
      </c>
      <c r="I2758" s="5">
        <v>0.2</v>
      </c>
      <c r="J2758">
        <f t="shared" si="86"/>
        <v>167.99200000000002</v>
      </c>
      <c r="K2758" s="9">
        <f t="shared" si="87"/>
        <v>-0.74129609367599603</v>
      </c>
    </row>
    <row r="2759" spans="1:11" x14ac:dyDescent="0.3">
      <c r="A2759">
        <v>964</v>
      </c>
      <c r="B2759">
        <v>2</v>
      </c>
      <c r="C2759">
        <v>74</v>
      </c>
      <c r="D2759" t="str">
        <f>VLOOKUP($C2759,products!$A$1:$F$322,MATCH(order_items!$D$1,products!$A$1:$F$1,0),FALSE)</f>
        <v>Electra Cruiser Lux 1 - 2017</v>
      </c>
      <c r="E2759">
        <f>VLOOKUP($C2759,products!$A$1:$F$322,MATCH(order_items!$E$1,products!$A$1:$F$1,0),FALSE)</f>
        <v>3</v>
      </c>
      <c r="F2759" t="str">
        <f>VLOOKUP($E2759,categories!$A$1:$B$8,MATCH(order_items!$F$1,categories!$A$1:$B$1,0),FALSE)</f>
        <v>Cruisers Bicycles</v>
      </c>
      <c r="G2759">
        <v>1</v>
      </c>
      <c r="H2759">
        <v>439.99</v>
      </c>
      <c r="I2759" s="5">
        <v>0.2</v>
      </c>
      <c r="J2759">
        <f t="shared" si="86"/>
        <v>351.99200000000002</v>
      </c>
      <c r="K2759" s="9">
        <f t="shared" si="87"/>
        <v>-0.57126012806343018</v>
      </c>
    </row>
    <row r="2760" spans="1:11" x14ac:dyDescent="0.3">
      <c r="A2760">
        <v>965</v>
      </c>
      <c r="B2760">
        <v>1</v>
      </c>
      <c r="C2760">
        <v>90</v>
      </c>
      <c r="D2760" t="str">
        <f>VLOOKUP($C2760,products!$A$1:$F$322,MATCH(order_items!$D$1,products!$A$1:$F$1,0),FALSE)</f>
        <v>Trek Precaliber 16 Girls - 2017</v>
      </c>
      <c r="E2760">
        <f>VLOOKUP($C2760,products!$A$1:$F$322,MATCH(order_items!$E$1,products!$A$1:$F$1,0),FALSE)</f>
        <v>1</v>
      </c>
      <c r="F2760" t="str">
        <f>VLOOKUP($E2760,categories!$A$1:$B$8,MATCH(order_items!$F$1,categories!$A$1:$B$1,0),FALSE)</f>
        <v>Children Bicycles</v>
      </c>
      <c r="G2760">
        <v>2</v>
      </c>
      <c r="H2760">
        <v>209.99</v>
      </c>
      <c r="I2760" s="5">
        <v>0.1</v>
      </c>
      <c r="J2760">
        <f t="shared" si="86"/>
        <v>377.98200000000003</v>
      </c>
      <c r="K2760" s="9">
        <f t="shared" si="87"/>
        <v>-0.74129609367599603</v>
      </c>
    </row>
    <row r="2761" spans="1:11" x14ac:dyDescent="0.3">
      <c r="A2761">
        <v>966</v>
      </c>
      <c r="B2761">
        <v>1</v>
      </c>
      <c r="C2761">
        <v>88</v>
      </c>
      <c r="D2761" t="str">
        <f>VLOOKUP($C2761,products!$A$1:$F$322,MATCH(order_items!$D$1,products!$A$1:$F$1,0),FALSE)</f>
        <v>Trek Precaliber 12 Girls - 2017</v>
      </c>
      <c r="E2761">
        <f>VLOOKUP($C2761,products!$A$1:$F$322,MATCH(order_items!$E$1,products!$A$1:$F$1,0),FALSE)</f>
        <v>1</v>
      </c>
      <c r="F2761" t="str">
        <f>VLOOKUP($E2761,categories!$A$1:$B$8,MATCH(order_items!$F$1,categories!$A$1:$B$1,0),FALSE)</f>
        <v>Children Bicycles</v>
      </c>
      <c r="G2761">
        <v>1</v>
      </c>
      <c r="H2761">
        <v>189.99</v>
      </c>
      <c r="I2761" s="5">
        <v>0.05</v>
      </c>
      <c r="J2761">
        <f t="shared" si="86"/>
        <v>180.4905</v>
      </c>
      <c r="K2761" s="9">
        <f t="shared" si="87"/>
        <v>-0.75608182981621919</v>
      </c>
    </row>
    <row r="2762" spans="1:11" x14ac:dyDescent="0.3">
      <c r="A2762">
        <v>966</v>
      </c>
      <c r="B2762">
        <v>2</v>
      </c>
      <c r="C2762">
        <v>73</v>
      </c>
      <c r="D2762" t="str">
        <f>VLOOKUP($C2762,products!$A$1:$F$322,MATCH(order_items!$D$1,products!$A$1:$F$1,0),FALSE)</f>
        <v>Sun Bicycles Brickell Tandem 7 - 2017</v>
      </c>
      <c r="E2762">
        <f>VLOOKUP($C2762,products!$A$1:$F$322,MATCH(order_items!$E$1,products!$A$1:$F$1,0),FALSE)</f>
        <v>3</v>
      </c>
      <c r="F2762" t="str">
        <f>VLOOKUP($E2762,categories!$A$1:$B$8,MATCH(order_items!$F$1,categories!$A$1:$B$1,0),FALSE)</f>
        <v>Cruisers Bicycles</v>
      </c>
      <c r="G2762">
        <v>1</v>
      </c>
      <c r="H2762">
        <v>749.99</v>
      </c>
      <c r="I2762" s="5">
        <v>7.0000000000000007E-2</v>
      </c>
      <c r="J2762">
        <f t="shared" si="86"/>
        <v>697.49069999999995</v>
      </c>
      <c r="K2762" s="9">
        <f t="shared" si="87"/>
        <v>-0.34208121788997192</v>
      </c>
    </row>
    <row r="2763" spans="1:11" x14ac:dyDescent="0.3">
      <c r="A2763">
        <v>967</v>
      </c>
      <c r="B2763">
        <v>1</v>
      </c>
      <c r="C2763">
        <v>66</v>
      </c>
      <c r="D2763" t="str">
        <f>VLOOKUP($C2763,products!$A$1:$F$322,MATCH(order_items!$D$1,products!$A$1:$F$1,0),FALSE)</f>
        <v>Sun Bicycles Revolutions 24 - 2017</v>
      </c>
      <c r="E2763">
        <f>VLOOKUP($C2763,products!$A$1:$F$322,MATCH(order_items!$E$1,products!$A$1:$F$1,0),FALSE)</f>
        <v>3</v>
      </c>
      <c r="F2763" t="str">
        <f>VLOOKUP($E2763,categories!$A$1:$B$8,MATCH(order_items!$F$1,categories!$A$1:$B$1,0),FALSE)</f>
        <v>Cruisers Bicycles</v>
      </c>
      <c r="G2763">
        <v>1</v>
      </c>
      <c r="H2763">
        <v>250.99</v>
      </c>
      <c r="I2763" s="5">
        <v>0.2</v>
      </c>
      <c r="J2763">
        <f t="shared" si="86"/>
        <v>200.79200000000003</v>
      </c>
      <c r="K2763" s="9">
        <f t="shared" si="87"/>
        <v>-0.71098533458853863</v>
      </c>
    </row>
    <row r="2764" spans="1:11" x14ac:dyDescent="0.3">
      <c r="A2764">
        <v>967</v>
      </c>
      <c r="B2764">
        <v>2</v>
      </c>
      <c r="C2764">
        <v>77</v>
      </c>
      <c r="D2764" t="str">
        <f>VLOOKUP($C2764,products!$A$1:$F$322,MATCH(order_items!$D$1,products!$A$1:$F$1,0),FALSE)</f>
        <v>Electra Glam Punk 3i Ladies' - 2017</v>
      </c>
      <c r="E2764">
        <f>VLOOKUP($C2764,products!$A$1:$F$322,MATCH(order_items!$E$1,products!$A$1:$F$1,0),FALSE)</f>
        <v>3</v>
      </c>
      <c r="F2764" t="str">
        <f>VLOOKUP($E2764,categories!$A$1:$B$8,MATCH(order_items!$F$1,categories!$A$1:$B$1,0),FALSE)</f>
        <v>Cruisers Bicycles</v>
      </c>
      <c r="G2764">
        <v>2</v>
      </c>
      <c r="H2764">
        <v>799.99</v>
      </c>
      <c r="I2764" s="5">
        <v>0.05</v>
      </c>
      <c r="J2764">
        <f t="shared" si="86"/>
        <v>1519.981</v>
      </c>
      <c r="K2764" s="9">
        <f t="shared" si="87"/>
        <v>-0.30511687753941413</v>
      </c>
    </row>
    <row r="2765" spans="1:11" x14ac:dyDescent="0.3">
      <c r="A2765">
        <v>967</v>
      </c>
      <c r="B2765">
        <v>3</v>
      </c>
      <c r="C2765">
        <v>87</v>
      </c>
      <c r="D2765" t="str">
        <f>VLOOKUP($C2765,products!$A$1:$F$322,MATCH(order_items!$D$1,products!$A$1:$F$1,0),FALSE)</f>
        <v>Trek Precaliber 12 Boys - 2017</v>
      </c>
      <c r="E2765">
        <f>VLOOKUP($C2765,products!$A$1:$F$322,MATCH(order_items!$E$1,products!$A$1:$F$1,0),FALSE)</f>
        <v>1</v>
      </c>
      <c r="F2765" t="str">
        <f>VLOOKUP($E2765,categories!$A$1:$B$8,MATCH(order_items!$F$1,categories!$A$1:$B$1,0),FALSE)</f>
        <v>Children Bicycles</v>
      </c>
      <c r="G2765">
        <v>1</v>
      </c>
      <c r="H2765">
        <v>189.99</v>
      </c>
      <c r="I2765" s="5">
        <v>0.1</v>
      </c>
      <c r="J2765">
        <f t="shared" si="86"/>
        <v>170.99100000000001</v>
      </c>
      <c r="K2765" s="9">
        <f t="shared" si="87"/>
        <v>-0.75608182981621919</v>
      </c>
    </row>
    <row r="2766" spans="1:11" x14ac:dyDescent="0.3">
      <c r="A2766">
        <v>967</v>
      </c>
      <c r="B2766">
        <v>4</v>
      </c>
      <c r="C2766">
        <v>103</v>
      </c>
      <c r="D2766" t="str">
        <f>VLOOKUP($C2766,products!$A$1:$F$322,MATCH(order_items!$D$1,products!$A$1:$F$1,0),FALSE)</f>
        <v>Sun Bicycles Streamway 3 - 2017</v>
      </c>
      <c r="E2766">
        <f>VLOOKUP($C2766,products!$A$1:$F$322,MATCH(order_items!$E$1,products!$A$1:$F$1,0),FALSE)</f>
        <v>2</v>
      </c>
      <c r="F2766" t="str">
        <f>VLOOKUP($E2766,categories!$A$1:$B$8,MATCH(order_items!$F$1,categories!$A$1:$B$1,0),FALSE)</f>
        <v>Comfort Bicycles</v>
      </c>
      <c r="G2766">
        <v>1</v>
      </c>
      <c r="H2766">
        <v>551.99</v>
      </c>
      <c r="I2766" s="5">
        <v>0.2</v>
      </c>
      <c r="J2766">
        <f t="shared" si="86"/>
        <v>441.59200000000004</v>
      </c>
      <c r="K2766" s="9">
        <f t="shared" si="87"/>
        <v>-0.48846000567818076</v>
      </c>
    </row>
    <row r="2767" spans="1:11" x14ac:dyDescent="0.3">
      <c r="A2767">
        <v>968</v>
      </c>
      <c r="B2767">
        <v>1</v>
      </c>
      <c r="C2767">
        <v>87</v>
      </c>
      <c r="D2767" t="str">
        <f>VLOOKUP($C2767,products!$A$1:$F$322,MATCH(order_items!$D$1,products!$A$1:$F$1,0),FALSE)</f>
        <v>Trek Precaliber 12 Boys - 2017</v>
      </c>
      <c r="E2767">
        <f>VLOOKUP($C2767,products!$A$1:$F$322,MATCH(order_items!$E$1,products!$A$1:$F$1,0),FALSE)</f>
        <v>1</v>
      </c>
      <c r="F2767" t="str">
        <f>VLOOKUP($E2767,categories!$A$1:$B$8,MATCH(order_items!$F$1,categories!$A$1:$B$1,0),FALSE)</f>
        <v>Children Bicycles</v>
      </c>
      <c r="G2767">
        <v>1</v>
      </c>
      <c r="H2767">
        <v>189.99</v>
      </c>
      <c r="I2767" s="5">
        <v>0.2</v>
      </c>
      <c r="J2767">
        <f t="shared" si="86"/>
        <v>151.99200000000002</v>
      </c>
      <c r="K2767" s="9">
        <f t="shared" si="87"/>
        <v>-0.75608182981621919</v>
      </c>
    </row>
    <row r="2768" spans="1:11" x14ac:dyDescent="0.3">
      <c r="A2768">
        <v>968</v>
      </c>
      <c r="B2768">
        <v>2</v>
      </c>
      <c r="C2768">
        <v>61</v>
      </c>
      <c r="D2768" t="str">
        <f>VLOOKUP($C2768,products!$A$1:$F$322,MATCH(order_items!$D$1,products!$A$1:$F$1,0),FALSE)</f>
        <v>Trek Powerfly 8 FS Plus - 2017</v>
      </c>
      <c r="E2768">
        <f>VLOOKUP($C2768,products!$A$1:$F$322,MATCH(order_items!$E$1,products!$A$1:$F$1,0),FALSE)</f>
        <v>5</v>
      </c>
      <c r="F2768" t="str">
        <f>VLOOKUP($E2768,categories!$A$1:$B$8,MATCH(order_items!$F$1,categories!$A$1:$B$1,0),FALSE)</f>
        <v>Electric Bikes</v>
      </c>
      <c r="G2768">
        <v>2</v>
      </c>
      <c r="H2768">
        <v>4999.99</v>
      </c>
      <c r="I2768" s="5">
        <v>0.05</v>
      </c>
      <c r="J2768">
        <f t="shared" si="86"/>
        <v>9499.9809999999998</v>
      </c>
      <c r="K2768" s="9">
        <f t="shared" si="87"/>
        <v>2.7998877119074401</v>
      </c>
    </row>
    <row r="2769" spans="1:11" x14ac:dyDescent="0.3">
      <c r="A2769">
        <v>968</v>
      </c>
      <c r="B2769">
        <v>3</v>
      </c>
      <c r="C2769">
        <v>10</v>
      </c>
      <c r="D2769" t="str">
        <f>VLOOKUP($C2769,products!$A$1:$F$322,MATCH(order_items!$D$1,products!$A$1:$F$1,0),FALSE)</f>
        <v>Surly Straggler - 2016</v>
      </c>
      <c r="E2769">
        <f>VLOOKUP($C2769,products!$A$1:$F$322,MATCH(order_items!$E$1,products!$A$1:$F$1,0),FALSE)</f>
        <v>4</v>
      </c>
      <c r="F2769" t="str">
        <f>VLOOKUP($E2769,categories!$A$1:$B$8,MATCH(order_items!$F$1,categories!$A$1:$B$1,0),FALSE)</f>
        <v>Cyclocross Bicycles</v>
      </c>
      <c r="G2769">
        <v>2</v>
      </c>
      <c r="H2769">
        <v>1549</v>
      </c>
      <c r="I2769" s="5">
        <v>0.05</v>
      </c>
      <c r="J2769">
        <f t="shared" si="86"/>
        <v>2943.1</v>
      </c>
      <c r="K2769" s="9">
        <f t="shared" si="87"/>
        <v>0.24861633378001166</v>
      </c>
    </row>
    <row r="2770" spans="1:11" x14ac:dyDescent="0.3">
      <c r="A2770">
        <v>969</v>
      </c>
      <c r="B2770">
        <v>1</v>
      </c>
      <c r="C2770">
        <v>74</v>
      </c>
      <c r="D2770" t="str">
        <f>VLOOKUP($C2770,products!$A$1:$F$322,MATCH(order_items!$D$1,products!$A$1:$F$1,0),FALSE)</f>
        <v>Electra Cruiser Lux 1 - 2017</v>
      </c>
      <c r="E2770">
        <f>VLOOKUP($C2770,products!$A$1:$F$322,MATCH(order_items!$E$1,products!$A$1:$F$1,0),FALSE)</f>
        <v>3</v>
      </c>
      <c r="F2770" t="str">
        <f>VLOOKUP($E2770,categories!$A$1:$B$8,MATCH(order_items!$F$1,categories!$A$1:$B$1,0),FALSE)</f>
        <v>Cruisers Bicycles</v>
      </c>
      <c r="G2770">
        <v>1</v>
      </c>
      <c r="H2770">
        <v>439.99</v>
      </c>
      <c r="I2770" s="5">
        <v>0.2</v>
      </c>
      <c r="J2770">
        <f t="shared" si="86"/>
        <v>351.99200000000002</v>
      </c>
      <c r="K2770" s="9">
        <f t="shared" si="87"/>
        <v>-0.57126012806343018</v>
      </c>
    </row>
    <row r="2771" spans="1:11" x14ac:dyDescent="0.3">
      <c r="A2771">
        <v>969</v>
      </c>
      <c r="B2771">
        <v>2</v>
      </c>
      <c r="C2771">
        <v>36</v>
      </c>
      <c r="D2771" t="str">
        <f>VLOOKUP($C2771,products!$A$1:$F$322,MATCH(order_items!$D$1,products!$A$1:$F$1,0),FALSE)</f>
        <v>Surly Troll Frameset - 2017</v>
      </c>
      <c r="E2771">
        <f>VLOOKUP($C2771,products!$A$1:$F$322,MATCH(order_items!$E$1,products!$A$1:$F$1,0),FALSE)</f>
        <v>6</v>
      </c>
      <c r="F2771" t="str">
        <f>VLOOKUP($E2771,categories!$A$1:$B$8,MATCH(order_items!$F$1,categories!$A$1:$B$1,0),FALSE)</f>
        <v>Mountain Bikes</v>
      </c>
      <c r="G2771">
        <v>1</v>
      </c>
      <c r="H2771">
        <v>832.99</v>
      </c>
      <c r="I2771" s="5">
        <v>0.1</v>
      </c>
      <c r="J2771">
        <f t="shared" si="86"/>
        <v>749.69100000000003</v>
      </c>
      <c r="K2771" s="9">
        <f t="shared" si="87"/>
        <v>-0.280720412908046</v>
      </c>
    </row>
    <row r="2772" spans="1:11" x14ac:dyDescent="0.3">
      <c r="A2772">
        <v>970</v>
      </c>
      <c r="B2772">
        <v>1</v>
      </c>
      <c r="C2772">
        <v>85</v>
      </c>
      <c r="D2772" t="str">
        <f>VLOOKUP($C2772,products!$A$1:$F$322,MATCH(order_items!$D$1,products!$A$1:$F$1,0),FALSE)</f>
        <v>Haro Downtown 16 - 2017</v>
      </c>
      <c r="E2772">
        <f>VLOOKUP($C2772,products!$A$1:$F$322,MATCH(order_items!$E$1,products!$A$1:$F$1,0),FALSE)</f>
        <v>1</v>
      </c>
      <c r="F2772" t="str">
        <f>VLOOKUP($E2772,categories!$A$1:$B$8,MATCH(order_items!$F$1,categories!$A$1:$B$1,0),FALSE)</f>
        <v>Children Bicycles</v>
      </c>
      <c r="G2772">
        <v>1</v>
      </c>
      <c r="H2772">
        <v>329.99</v>
      </c>
      <c r="I2772" s="5">
        <v>0.1</v>
      </c>
      <c r="J2772">
        <f t="shared" si="86"/>
        <v>296.99100000000004</v>
      </c>
      <c r="K2772" s="9">
        <f t="shared" si="87"/>
        <v>-0.6525816768346574</v>
      </c>
    </row>
    <row r="2773" spans="1:11" x14ac:dyDescent="0.3">
      <c r="A2773">
        <v>970</v>
      </c>
      <c r="B2773">
        <v>2</v>
      </c>
      <c r="C2773">
        <v>48</v>
      </c>
      <c r="D2773" t="str">
        <f>VLOOKUP($C2773,products!$A$1:$F$322,MATCH(order_items!$D$1,products!$A$1:$F$1,0),FALSE)</f>
        <v>Trek Emonda S 4 - 2017</v>
      </c>
      <c r="E2773">
        <f>VLOOKUP($C2773,products!$A$1:$F$322,MATCH(order_items!$E$1,products!$A$1:$F$1,0),FALSE)</f>
        <v>7</v>
      </c>
      <c r="F2773" t="str">
        <f>VLOOKUP($E2773,categories!$A$1:$B$8,MATCH(order_items!$F$1,categories!$A$1:$B$1,0),FALSE)</f>
        <v>Road Bikes</v>
      </c>
      <c r="G2773">
        <v>2</v>
      </c>
      <c r="H2773">
        <v>1499.99</v>
      </c>
      <c r="I2773" s="5">
        <v>0.1</v>
      </c>
      <c r="J2773">
        <f t="shared" si="86"/>
        <v>2699.982</v>
      </c>
      <c r="K2773" s="9">
        <f t="shared" si="87"/>
        <v>0.21238388736839492</v>
      </c>
    </row>
    <row r="2774" spans="1:11" x14ac:dyDescent="0.3">
      <c r="A2774">
        <v>970</v>
      </c>
      <c r="B2774">
        <v>3</v>
      </c>
      <c r="C2774">
        <v>54</v>
      </c>
      <c r="D2774" t="str">
        <f>VLOOKUP($C2774,products!$A$1:$F$322,MATCH(order_items!$D$1,products!$A$1:$F$1,0),FALSE)</f>
        <v>Trek Domane SL Disc Frameset - 2017</v>
      </c>
      <c r="E2774">
        <f>VLOOKUP($C2774,products!$A$1:$F$322,MATCH(order_items!$E$1,products!$A$1:$F$1,0),FALSE)</f>
        <v>7</v>
      </c>
      <c r="F2774" t="str">
        <f>VLOOKUP($E2774,categories!$A$1:$B$8,MATCH(order_items!$F$1,categories!$A$1:$B$1,0),FALSE)</f>
        <v>Road Bikes</v>
      </c>
      <c r="G2774">
        <v>2</v>
      </c>
      <c r="H2774">
        <v>3199.99</v>
      </c>
      <c r="I2774" s="5">
        <v>0.1</v>
      </c>
      <c r="J2774">
        <f t="shared" si="86"/>
        <v>5759.982</v>
      </c>
      <c r="K2774" s="9">
        <f t="shared" si="87"/>
        <v>1.4691714592873595</v>
      </c>
    </row>
    <row r="2775" spans="1:11" x14ac:dyDescent="0.3">
      <c r="A2775">
        <v>970</v>
      </c>
      <c r="B2775">
        <v>4</v>
      </c>
      <c r="C2775">
        <v>68</v>
      </c>
      <c r="D2775" t="str">
        <f>VLOOKUP($C2775,products!$A$1:$F$322,MATCH(order_items!$D$1,products!$A$1:$F$1,0),FALSE)</f>
        <v>Sun Bicycles Cruz 3 - 2017</v>
      </c>
      <c r="E2775">
        <f>VLOOKUP($C2775,products!$A$1:$F$322,MATCH(order_items!$E$1,products!$A$1:$F$1,0),FALSE)</f>
        <v>3</v>
      </c>
      <c r="F2775" t="str">
        <f>VLOOKUP($E2775,categories!$A$1:$B$8,MATCH(order_items!$F$1,categories!$A$1:$B$1,0),FALSE)</f>
        <v>Cruisers Bicycles</v>
      </c>
      <c r="G2775">
        <v>1</v>
      </c>
      <c r="H2775">
        <v>449.99</v>
      </c>
      <c r="I2775" s="5">
        <v>0.1</v>
      </c>
      <c r="J2775">
        <f t="shared" si="86"/>
        <v>404.99100000000004</v>
      </c>
      <c r="K2775" s="9">
        <f t="shared" si="87"/>
        <v>-0.56386725999331866</v>
      </c>
    </row>
    <row r="2776" spans="1:11" x14ac:dyDescent="0.3">
      <c r="A2776">
        <v>971</v>
      </c>
      <c r="B2776">
        <v>1</v>
      </c>
      <c r="C2776">
        <v>70</v>
      </c>
      <c r="D2776" t="str">
        <f>VLOOKUP($C2776,products!$A$1:$F$322,MATCH(order_items!$D$1,products!$A$1:$F$1,0),FALSE)</f>
        <v>Electra Amsterdam Original 3i - 2015/2017</v>
      </c>
      <c r="E2776">
        <f>VLOOKUP($C2776,products!$A$1:$F$322,MATCH(order_items!$E$1,products!$A$1:$F$1,0),FALSE)</f>
        <v>3</v>
      </c>
      <c r="F2776" t="str">
        <f>VLOOKUP($E2776,categories!$A$1:$B$8,MATCH(order_items!$F$1,categories!$A$1:$B$1,0),FALSE)</f>
        <v>Cruisers Bicycles</v>
      </c>
      <c r="G2776">
        <v>2</v>
      </c>
      <c r="H2776">
        <v>659.99</v>
      </c>
      <c r="I2776" s="5">
        <v>0.05</v>
      </c>
      <c r="J2776">
        <f t="shared" si="86"/>
        <v>1253.981</v>
      </c>
      <c r="K2776" s="9">
        <f t="shared" si="87"/>
        <v>-0.40861703052097592</v>
      </c>
    </row>
    <row r="2777" spans="1:11" x14ac:dyDescent="0.3">
      <c r="A2777">
        <v>971</v>
      </c>
      <c r="B2777">
        <v>2</v>
      </c>
      <c r="C2777">
        <v>65</v>
      </c>
      <c r="D2777" t="str">
        <f>VLOOKUP($C2777,products!$A$1:$F$322,MATCH(order_items!$D$1,products!$A$1:$F$1,0),FALSE)</f>
        <v>Sun Bicycles Lil Bolt Type-R - 2017</v>
      </c>
      <c r="E2777">
        <f>VLOOKUP($C2777,products!$A$1:$F$322,MATCH(order_items!$E$1,products!$A$1:$F$1,0),FALSE)</f>
        <v>3</v>
      </c>
      <c r="F2777" t="str">
        <f>VLOOKUP($E2777,categories!$A$1:$B$8,MATCH(order_items!$F$1,categories!$A$1:$B$1,0),FALSE)</f>
        <v>Cruisers Bicycles</v>
      </c>
      <c r="G2777">
        <v>2</v>
      </c>
      <c r="H2777">
        <v>346.99</v>
      </c>
      <c r="I2777" s="5">
        <v>7.0000000000000007E-2</v>
      </c>
      <c r="J2777">
        <f t="shared" si="86"/>
        <v>645.40139999999997</v>
      </c>
      <c r="K2777" s="9">
        <f t="shared" si="87"/>
        <v>-0.64001380111546768</v>
      </c>
    </row>
    <row r="2778" spans="1:11" x14ac:dyDescent="0.3">
      <c r="A2778">
        <v>971</v>
      </c>
      <c r="B2778">
        <v>3</v>
      </c>
      <c r="C2778">
        <v>8</v>
      </c>
      <c r="D2778" t="str">
        <f>VLOOKUP($C2778,products!$A$1:$F$322,MATCH(order_items!$D$1,products!$A$1:$F$1,0),FALSE)</f>
        <v>Trek Remedy 29 Carbon Frameset - 2016</v>
      </c>
      <c r="E2778">
        <f>VLOOKUP($C2778,products!$A$1:$F$322,MATCH(order_items!$E$1,products!$A$1:$F$1,0),FALSE)</f>
        <v>6</v>
      </c>
      <c r="F2778" t="str">
        <f>VLOOKUP($E2778,categories!$A$1:$B$8,MATCH(order_items!$F$1,categories!$A$1:$B$1,0),FALSE)</f>
        <v>Mountain Bikes</v>
      </c>
      <c r="G2778">
        <v>2</v>
      </c>
      <c r="H2778">
        <v>1799.99</v>
      </c>
      <c r="I2778" s="5">
        <v>0.05</v>
      </c>
      <c r="J2778">
        <f t="shared" si="86"/>
        <v>3419.9809999999998</v>
      </c>
      <c r="K2778" s="9">
        <f t="shared" si="87"/>
        <v>0.43416992947174166</v>
      </c>
    </row>
    <row r="2779" spans="1:11" x14ac:dyDescent="0.3">
      <c r="A2779">
        <v>971</v>
      </c>
      <c r="B2779">
        <v>4</v>
      </c>
      <c r="C2779">
        <v>12</v>
      </c>
      <c r="D2779" t="str">
        <f>VLOOKUP($C2779,products!$A$1:$F$322,MATCH(order_items!$D$1,products!$A$1:$F$1,0),FALSE)</f>
        <v>Electra Townie Original 21D - 2016</v>
      </c>
      <c r="E2779">
        <f>VLOOKUP($C2779,products!$A$1:$F$322,MATCH(order_items!$E$1,products!$A$1:$F$1,0),FALSE)</f>
        <v>3</v>
      </c>
      <c r="F2779" t="str">
        <f>VLOOKUP($E2779,categories!$A$1:$B$8,MATCH(order_items!$F$1,categories!$A$1:$B$1,0),FALSE)</f>
        <v>Cruisers Bicycles</v>
      </c>
      <c r="G2779">
        <v>2</v>
      </c>
      <c r="H2779">
        <v>549.99</v>
      </c>
      <c r="I2779" s="5">
        <v>7.0000000000000007E-2</v>
      </c>
      <c r="J2779">
        <f t="shared" si="86"/>
        <v>1022.9813999999999</v>
      </c>
      <c r="K2779" s="9">
        <f t="shared" si="87"/>
        <v>-0.48993857929220308</v>
      </c>
    </row>
    <row r="2780" spans="1:11" x14ac:dyDescent="0.3">
      <c r="A2780">
        <v>971</v>
      </c>
      <c r="B2780">
        <v>5</v>
      </c>
      <c r="C2780">
        <v>38</v>
      </c>
      <c r="D2780" t="str">
        <f>VLOOKUP($C2780,products!$A$1:$F$322,MATCH(order_items!$D$1,products!$A$1:$F$1,0),FALSE)</f>
        <v>Haro Flightline Two 26 Plus - 2017</v>
      </c>
      <c r="E2780">
        <f>VLOOKUP($C2780,products!$A$1:$F$322,MATCH(order_items!$E$1,products!$A$1:$F$1,0),FALSE)</f>
        <v>6</v>
      </c>
      <c r="F2780" t="str">
        <f>VLOOKUP($E2780,categories!$A$1:$B$8,MATCH(order_items!$F$1,categories!$A$1:$B$1,0),FALSE)</f>
        <v>Mountain Bikes</v>
      </c>
      <c r="G2780">
        <v>1</v>
      </c>
      <c r="H2780">
        <v>549.99</v>
      </c>
      <c r="I2780" s="5">
        <v>0.2</v>
      </c>
      <c r="J2780">
        <f t="shared" si="86"/>
        <v>439.99200000000002</v>
      </c>
      <c r="K2780" s="9">
        <f t="shared" si="87"/>
        <v>-0.48993857929220308</v>
      </c>
    </row>
    <row r="2781" spans="1:11" x14ac:dyDescent="0.3">
      <c r="A2781">
        <v>972</v>
      </c>
      <c r="B2781">
        <v>1</v>
      </c>
      <c r="C2781">
        <v>100</v>
      </c>
      <c r="D2781" t="str">
        <f>VLOOKUP($C2781,products!$A$1:$F$322,MATCH(order_items!$D$1,products!$A$1:$F$1,0),FALSE)</f>
        <v>Electra Townie 3i EQ (20-inch) - Boys' - 2017</v>
      </c>
      <c r="E2781">
        <f>VLOOKUP($C2781,products!$A$1:$F$322,MATCH(order_items!$E$1,products!$A$1:$F$1,0),FALSE)</f>
        <v>1</v>
      </c>
      <c r="F2781" t="str">
        <f>VLOOKUP($E2781,categories!$A$1:$B$8,MATCH(order_items!$F$1,categories!$A$1:$B$1,0),FALSE)</f>
        <v>Children Bicycles</v>
      </c>
      <c r="G2781">
        <v>1</v>
      </c>
      <c r="H2781">
        <v>489.99</v>
      </c>
      <c r="I2781" s="5">
        <v>0.2</v>
      </c>
      <c r="J2781">
        <f t="shared" si="86"/>
        <v>391.99200000000002</v>
      </c>
      <c r="K2781" s="9">
        <f t="shared" si="87"/>
        <v>-0.53429578771287245</v>
      </c>
    </row>
    <row r="2782" spans="1:11" x14ac:dyDescent="0.3">
      <c r="A2782">
        <v>972</v>
      </c>
      <c r="B2782">
        <v>2</v>
      </c>
      <c r="C2782">
        <v>63</v>
      </c>
      <c r="D2782" t="str">
        <f>VLOOKUP($C2782,products!$A$1:$F$322,MATCH(order_items!$D$1,products!$A$1:$F$1,0),FALSE)</f>
        <v>Trek Boone Race Shop Limited - 2017</v>
      </c>
      <c r="E2782">
        <f>VLOOKUP($C2782,products!$A$1:$F$322,MATCH(order_items!$E$1,products!$A$1:$F$1,0),FALSE)</f>
        <v>4</v>
      </c>
      <c r="F2782" t="str">
        <f>VLOOKUP($E2782,categories!$A$1:$B$8,MATCH(order_items!$F$1,categories!$A$1:$B$1,0),FALSE)</f>
        <v>Cyclocross Bicycles</v>
      </c>
      <c r="G2782">
        <v>1</v>
      </c>
      <c r="H2782">
        <v>3499.99</v>
      </c>
      <c r="I2782" s="5">
        <v>7.0000000000000007E-2</v>
      </c>
      <c r="J2782">
        <f t="shared" si="86"/>
        <v>3254.9906999999994</v>
      </c>
      <c r="K2782" s="9">
        <f t="shared" si="87"/>
        <v>1.6909575013907066</v>
      </c>
    </row>
    <row r="2783" spans="1:11" x14ac:dyDescent="0.3">
      <c r="A2783">
        <v>973</v>
      </c>
      <c r="B2783">
        <v>1</v>
      </c>
      <c r="C2783">
        <v>4</v>
      </c>
      <c r="D2783" t="str">
        <f>VLOOKUP($C2783,products!$A$1:$F$322,MATCH(order_items!$D$1,products!$A$1:$F$1,0),FALSE)</f>
        <v>Trek Fuel EX 8 29 - 2016</v>
      </c>
      <c r="E2783">
        <f>VLOOKUP($C2783,products!$A$1:$F$322,MATCH(order_items!$E$1,products!$A$1:$F$1,0),FALSE)</f>
        <v>6</v>
      </c>
      <c r="F2783" t="str">
        <f>VLOOKUP($E2783,categories!$A$1:$B$8,MATCH(order_items!$F$1,categories!$A$1:$B$1,0),FALSE)</f>
        <v>Mountain Bikes</v>
      </c>
      <c r="G2783">
        <v>2</v>
      </c>
      <c r="H2783">
        <v>2899.99</v>
      </c>
      <c r="I2783" s="5">
        <v>0.1</v>
      </c>
      <c r="J2783">
        <f t="shared" si="86"/>
        <v>5219.982</v>
      </c>
      <c r="K2783" s="9">
        <f t="shared" si="87"/>
        <v>1.2473854171840129</v>
      </c>
    </row>
    <row r="2784" spans="1:11" x14ac:dyDescent="0.3">
      <c r="A2784">
        <v>973</v>
      </c>
      <c r="B2784">
        <v>2</v>
      </c>
      <c r="C2784">
        <v>28</v>
      </c>
      <c r="D2784" t="str">
        <f>VLOOKUP($C2784,products!$A$1:$F$322,MATCH(order_items!$D$1,products!$A$1:$F$1,0),FALSE)</f>
        <v>Surly Karate Monkey 27.5+ Frameset - 2017</v>
      </c>
      <c r="E2784">
        <f>VLOOKUP($C2784,products!$A$1:$F$322,MATCH(order_items!$E$1,products!$A$1:$F$1,0),FALSE)</f>
        <v>6</v>
      </c>
      <c r="F2784" t="str">
        <f>VLOOKUP($E2784,categories!$A$1:$B$8,MATCH(order_items!$F$1,categories!$A$1:$B$1,0),FALSE)</f>
        <v>Mountain Bikes</v>
      </c>
      <c r="G2784">
        <v>2</v>
      </c>
      <c r="H2784">
        <v>2499.9899999999998</v>
      </c>
      <c r="I2784" s="5">
        <v>0.1</v>
      </c>
      <c r="J2784">
        <f t="shared" si="86"/>
        <v>4499.982</v>
      </c>
      <c r="K2784" s="9">
        <f t="shared" si="87"/>
        <v>0.95167069437955054</v>
      </c>
    </row>
    <row r="2785" spans="1:11" x14ac:dyDescent="0.3">
      <c r="A2785">
        <v>973</v>
      </c>
      <c r="B2785">
        <v>3</v>
      </c>
      <c r="C2785">
        <v>47</v>
      </c>
      <c r="D2785" t="str">
        <f>VLOOKUP($C2785,products!$A$1:$F$322,MATCH(order_items!$D$1,products!$A$1:$F$1,0),FALSE)</f>
        <v>Trek Remedy 9.8 - 2017</v>
      </c>
      <c r="E2785">
        <f>VLOOKUP($C2785,products!$A$1:$F$322,MATCH(order_items!$E$1,products!$A$1:$F$1,0),FALSE)</f>
        <v>6</v>
      </c>
      <c r="F2785" t="str">
        <f>VLOOKUP($E2785,categories!$A$1:$B$8,MATCH(order_items!$F$1,categories!$A$1:$B$1,0),FALSE)</f>
        <v>Mountain Bikes</v>
      </c>
      <c r="G2785">
        <v>2</v>
      </c>
      <c r="H2785">
        <v>5299.99</v>
      </c>
      <c r="I2785" s="5">
        <v>0.05</v>
      </c>
      <c r="J2785">
        <f t="shared" si="86"/>
        <v>10069.981</v>
      </c>
      <c r="K2785" s="9">
        <f t="shared" si="87"/>
        <v>3.021673754010787</v>
      </c>
    </row>
    <row r="2786" spans="1:11" x14ac:dyDescent="0.3">
      <c r="A2786">
        <v>973</v>
      </c>
      <c r="B2786">
        <v>4</v>
      </c>
      <c r="C2786">
        <v>71</v>
      </c>
      <c r="D2786" t="str">
        <f>VLOOKUP($C2786,products!$A$1:$F$322,MATCH(order_items!$D$1,products!$A$1:$F$1,0),FALSE)</f>
        <v>Sun Bicycles Atlas X-Type - 2017</v>
      </c>
      <c r="E2786">
        <f>VLOOKUP($C2786,products!$A$1:$F$322,MATCH(order_items!$E$1,products!$A$1:$F$1,0),FALSE)</f>
        <v>3</v>
      </c>
      <c r="F2786" t="str">
        <f>VLOOKUP($E2786,categories!$A$1:$B$8,MATCH(order_items!$F$1,categories!$A$1:$B$1,0),FALSE)</f>
        <v>Cruisers Bicycles</v>
      </c>
      <c r="G2786">
        <v>1</v>
      </c>
      <c r="H2786">
        <v>416.99</v>
      </c>
      <c r="I2786" s="5">
        <v>7.0000000000000007E-2</v>
      </c>
      <c r="J2786">
        <f t="shared" si="86"/>
        <v>387.80070000000001</v>
      </c>
      <c r="K2786" s="9">
        <f t="shared" si="87"/>
        <v>-0.58826372462468679</v>
      </c>
    </row>
    <row r="2787" spans="1:11" x14ac:dyDescent="0.3">
      <c r="A2787">
        <v>974</v>
      </c>
      <c r="B2787">
        <v>1</v>
      </c>
      <c r="C2787">
        <v>33</v>
      </c>
      <c r="D2787" t="str">
        <f>VLOOKUP($C2787,products!$A$1:$F$322,MATCH(order_items!$D$1,products!$A$1:$F$1,0),FALSE)</f>
        <v>Surly Wednesday Frameset - 2017</v>
      </c>
      <c r="E2787">
        <f>VLOOKUP($C2787,products!$A$1:$F$322,MATCH(order_items!$E$1,products!$A$1:$F$1,0),FALSE)</f>
        <v>6</v>
      </c>
      <c r="F2787" t="str">
        <f>VLOOKUP($E2787,categories!$A$1:$B$8,MATCH(order_items!$F$1,categories!$A$1:$B$1,0),FALSE)</f>
        <v>Mountain Bikes</v>
      </c>
      <c r="G2787">
        <v>2</v>
      </c>
      <c r="H2787">
        <v>469.99</v>
      </c>
      <c r="I2787" s="5">
        <v>0.1</v>
      </c>
      <c r="J2787">
        <f t="shared" si="86"/>
        <v>845.98200000000008</v>
      </c>
      <c r="K2787" s="9">
        <f t="shared" si="87"/>
        <v>-0.5490815238530955</v>
      </c>
    </row>
    <row r="2788" spans="1:11" x14ac:dyDescent="0.3">
      <c r="A2788">
        <v>974</v>
      </c>
      <c r="B2788">
        <v>2</v>
      </c>
      <c r="C2788">
        <v>22</v>
      </c>
      <c r="D2788" t="str">
        <f>VLOOKUP($C2788,products!$A$1:$F$322,MATCH(order_items!$D$1,products!$A$1:$F$1,0),FALSE)</f>
        <v>Electra Girl's Hawaii 1 (16-inch) - 2015/2016</v>
      </c>
      <c r="E2788">
        <f>VLOOKUP($C2788,products!$A$1:$F$322,MATCH(order_items!$E$1,products!$A$1:$F$1,0),FALSE)</f>
        <v>1</v>
      </c>
      <c r="F2788" t="str">
        <f>VLOOKUP($E2788,categories!$A$1:$B$8,MATCH(order_items!$F$1,categories!$A$1:$B$1,0),FALSE)</f>
        <v>Children Bicycles</v>
      </c>
      <c r="G2788">
        <v>2</v>
      </c>
      <c r="H2788">
        <v>269.99</v>
      </c>
      <c r="I2788" s="5">
        <v>0.2</v>
      </c>
      <c r="J2788">
        <f t="shared" si="86"/>
        <v>431.98400000000004</v>
      </c>
      <c r="K2788" s="9">
        <f t="shared" si="87"/>
        <v>-0.69693888525532666</v>
      </c>
    </row>
    <row r="2789" spans="1:11" x14ac:dyDescent="0.3">
      <c r="A2789">
        <v>975</v>
      </c>
      <c r="B2789">
        <v>1</v>
      </c>
      <c r="C2789">
        <v>110</v>
      </c>
      <c r="D2789" t="str">
        <f>VLOOKUP($C2789,products!$A$1:$F$322,MATCH(order_items!$D$1,products!$A$1:$F$1,0),FALSE)</f>
        <v>Sun Bicycles Drifter 7 - 2017</v>
      </c>
      <c r="E2789">
        <f>VLOOKUP($C2789,products!$A$1:$F$322,MATCH(order_items!$E$1,products!$A$1:$F$1,0),FALSE)</f>
        <v>2</v>
      </c>
      <c r="F2789" t="str">
        <f>VLOOKUP($E2789,categories!$A$1:$B$8,MATCH(order_items!$F$1,categories!$A$1:$B$1,0),FALSE)</f>
        <v>Comfort Bicycles</v>
      </c>
      <c r="G2789">
        <v>2</v>
      </c>
      <c r="H2789">
        <v>470.99</v>
      </c>
      <c r="I2789" s="5">
        <v>0.2</v>
      </c>
      <c r="J2789">
        <f t="shared" si="86"/>
        <v>753.58400000000006</v>
      </c>
      <c r="K2789" s="9">
        <f t="shared" si="87"/>
        <v>-0.54834223704608442</v>
      </c>
    </row>
    <row r="2790" spans="1:11" x14ac:dyDescent="0.3">
      <c r="A2790">
        <v>976</v>
      </c>
      <c r="B2790">
        <v>1</v>
      </c>
      <c r="C2790">
        <v>26</v>
      </c>
      <c r="D2790" t="str">
        <f>VLOOKUP($C2790,products!$A$1:$F$322,MATCH(order_items!$D$1,products!$A$1:$F$1,0),FALSE)</f>
        <v>Electra Townie Original 7D EQ - 2016</v>
      </c>
      <c r="E2790">
        <f>VLOOKUP($C2790,products!$A$1:$F$322,MATCH(order_items!$E$1,products!$A$1:$F$1,0),FALSE)</f>
        <v>2</v>
      </c>
      <c r="F2790" t="str">
        <f>VLOOKUP($E2790,categories!$A$1:$B$8,MATCH(order_items!$F$1,categories!$A$1:$B$1,0),FALSE)</f>
        <v>Comfort Bicycles</v>
      </c>
      <c r="G2790">
        <v>2</v>
      </c>
      <c r="H2790">
        <v>599.99</v>
      </c>
      <c r="I2790" s="5">
        <v>0.1</v>
      </c>
      <c r="J2790">
        <f t="shared" si="86"/>
        <v>1079.982</v>
      </c>
      <c r="K2790" s="9">
        <f t="shared" si="87"/>
        <v>-0.45297423894164529</v>
      </c>
    </row>
    <row r="2791" spans="1:11" x14ac:dyDescent="0.3">
      <c r="A2791">
        <v>976</v>
      </c>
      <c r="B2791">
        <v>2</v>
      </c>
      <c r="C2791">
        <v>39</v>
      </c>
      <c r="D2791" t="str">
        <f>VLOOKUP($C2791,products!$A$1:$F$322,MATCH(order_items!$D$1,products!$A$1:$F$1,0),FALSE)</f>
        <v>Trek Stache 5 - 2017</v>
      </c>
      <c r="E2791">
        <f>VLOOKUP($C2791,products!$A$1:$F$322,MATCH(order_items!$E$1,products!$A$1:$F$1,0),FALSE)</f>
        <v>6</v>
      </c>
      <c r="F2791" t="str">
        <f>VLOOKUP($E2791,categories!$A$1:$B$8,MATCH(order_items!$F$1,categories!$A$1:$B$1,0),FALSE)</f>
        <v>Mountain Bikes</v>
      </c>
      <c r="G2791">
        <v>1</v>
      </c>
      <c r="H2791">
        <v>1499.99</v>
      </c>
      <c r="I2791" s="5">
        <v>7.0000000000000007E-2</v>
      </c>
      <c r="J2791">
        <f t="shared" si="86"/>
        <v>1394.9906999999998</v>
      </c>
      <c r="K2791" s="9">
        <f t="shared" si="87"/>
        <v>0.21238388736839492</v>
      </c>
    </row>
    <row r="2792" spans="1:11" x14ac:dyDescent="0.3">
      <c r="A2792">
        <v>977</v>
      </c>
      <c r="B2792">
        <v>1</v>
      </c>
      <c r="C2792">
        <v>52</v>
      </c>
      <c r="D2792" t="str">
        <f>VLOOKUP($C2792,products!$A$1:$F$322,MATCH(order_items!$D$1,products!$A$1:$F$1,0),FALSE)</f>
        <v>Surly Steamroller - 2017</v>
      </c>
      <c r="E2792">
        <f>VLOOKUP($C2792,products!$A$1:$F$322,MATCH(order_items!$E$1,products!$A$1:$F$1,0),FALSE)</f>
        <v>7</v>
      </c>
      <c r="F2792" t="str">
        <f>VLOOKUP($E2792,categories!$A$1:$B$8,MATCH(order_items!$F$1,categories!$A$1:$B$1,0),FALSE)</f>
        <v>Road Bikes</v>
      </c>
      <c r="G2792">
        <v>2</v>
      </c>
      <c r="H2792">
        <v>875.99</v>
      </c>
      <c r="I2792" s="5">
        <v>0.1</v>
      </c>
      <c r="J2792">
        <f t="shared" si="86"/>
        <v>1576.7820000000002</v>
      </c>
      <c r="K2792" s="9">
        <f t="shared" si="87"/>
        <v>-0.24893108020656629</v>
      </c>
    </row>
    <row r="2793" spans="1:11" x14ac:dyDescent="0.3">
      <c r="A2793">
        <v>977</v>
      </c>
      <c r="B2793">
        <v>2</v>
      </c>
      <c r="C2793">
        <v>69</v>
      </c>
      <c r="D2793" t="str">
        <f>VLOOKUP($C2793,products!$A$1:$F$322,MATCH(order_items!$D$1,products!$A$1:$F$1,0),FALSE)</f>
        <v>Sun Bicycles Cruz 7 - 2017</v>
      </c>
      <c r="E2793">
        <f>VLOOKUP($C2793,products!$A$1:$F$322,MATCH(order_items!$E$1,products!$A$1:$F$1,0),FALSE)</f>
        <v>3</v>
      </c>
      <c r="F2793" t="str">
        <f>VLOOKUP($E2793,categories!$A$1:$B$8,MATCH(order_items!$F$1,categories!$A$1:$B$1,0),FALSE)</f>
        <v>Cruisers Bicycles</v>
      </c>
      <c r="G2793">
        <v>2</v>
      </c>
      <c r="H2793">
        <v>416.99</v>
      </c>
      <c r="I2793" s="5">
        <v>0.05</v>
      </c>
      <c r="J2793">
        <f t="shared" si="86"/>
        <v>792.28099999999995</v>
      </c>
      <c r="K2793" s="9">
        <f t="shared" si="87"/>
        <v>-0.58826372462468679</v>
      </c>
    </row>
    <row r="2794" spans="1:11" x14ac:dyDescent="0.3">
      <c r="A2794">
        <v>977</v>
      </c>
      <c r="B2794">
        <v>3</v>
      </c>
      <c r="C2794">
        <v>27</v>
      </c>
      <c r="D2794" t="str">
        <f>VLOOKUP($C2794,products!$A$1:$F$322,MATCH(order_items!$D$1,products!$A$1:$F$1,0),FALSE)</f>
        <v>Surly Big Dummy Frameset - 2017</v>
      </c>
      <c r="E2794">
        <f>VLOOKUP($C2794,products!$A$1:$F$322,MATCH(order_items!$E$1,products!$A$1:$F$1,0),FALSE)</f>
        <v>6</v>
      </c>
      <c r="F2794" t="str">
        <f>VLOOKUP($E2794,categories!$A$1:$B$8,MATCH(order_items!$F$1,categories!$A$1:$B$1,0),FALSE)</f>
        <v>Mountain Bikes</v>
      </c>
      <c r="G2794">
        <v>1</v>
      </c>
      <c r="H2794">
        <v>999.99</v>
      </c>
      <c r="I2794" s="5">
        <v>0.05</v>
      </c>
      <c r="J2794">
        <f t="shared" si="86"/>
        <v>949.9905</v>
      </c>
      <c r="K2794" s="9">
        <f t="shared" si="87"/>
        <v>-0.15725951613718298</v>
      </c>
    </row>
    <row r="2795" spans="1:11" x14ac:dyDescent="0.3">
      <c r="A2795">
        <v>977</v>
      </c>
      <c r="B2795">
        <v>4</v>
      </c>
      <c r="C2795">
        <v>80</v>
      </c>
      <c r="D2795" t="str">
        <f>VLOOKUP($C2795,products!$A$1:$F$322,MATCH(order_items!$D$1,products!$A$1:$F$1,0),FALSE)</f>
        <v>Sun Bicycles Brickell Tandem CB - 2017</v>
      </c>
      <c r="E2795">
        <f>VLOOKUP($C2795,products!$A$1:$F$322,MATCH(order_items!$E$1,products!$A$1:$F$1,0),FALSE)</f>
        <v>3</v>
      </c>
      <c r="F2795" t="str">
        <f>VLOOKUP($E2795,categories!$A$1:$B$8,MATCH(order_items!$F$1,categories!$A$1:$B$1,0),FALSE)</f>
        <v>Cruisers Bicycles</v>
      </c>
      <c r="G2795">
        <v>2</v>
      </c>
      <c r="H2795">
        <v>761.99</v>
      </c>
      <c r="I2795" s="5">
        <v>0.05</v>
      </c>
      <c r="J2795">
        <f t="shared" si="86"/>
        <v>1447.7809999999999</v>
      </c>
      <c r="K2795" s="9">
        <f t="shared" si="87"/>
        <v>-0.33320977620583803</v>
      </c>
    </row>
    <row r="2796" spans="1:11" x14ac:dyDescent="0.3">
      <c r="A2796">
        <v>978</v>
      </c>
      <c r="B2796">
        <v>1</v>
      </c>
      <c r="C2796">
        <v>106</v>
      </c>
      <c r="D2796" t="str">
        <f>VLOOKUP($C2796,products!$A$1:$F$322,MATCH(order_items!$D$1,products!$A$1:$F$1,0),FALSE)</f>
        <v>Sun Bicycles Cruz 3 - 2017</v>
      </c>
      <c r="E2796">
        <f>VLOOKUP($C2796,products!$A$1:$F$322,MATCH(order_items!$E$1,products!$A$1:$F$1,0),FALSE)</f>
        <v>2</v>
      </c>
      <c r="F2796" t="str">
        <f>VLOOKUP($E2796,categories!$A$1:$B$8,MATCH(order_items!$F$1,categories!$A$1:$B$1,0),FALSE)</f>
        <v>Comfort Bicycles</v>
      </c>
      <c r="G2796">
        <v>2</v>
      </c>
      <c r="H2796">
        <v>449.99</v>
      </c>
      <c r="I2796" s="5">
        <v>0.05</v>
      </c>
      <c r="J2796">
        <f t="shared" si="86"/>
        <v>854.98099999999999</v>
      </c>
      <c r="K2796" s="9">
        <f t="shared" si="87"/>
        <v>-0.56386725999331866</v>
      </c>
    </row>
    <row r="2797" spans="1:11" x14ac:dyDescent="0.3">
      <c r="A2797">
        <v>978</v>
      </c>
      <c r="B2797">
        <v>2</v>
      </c>
      <c r="C2797">
        <v>25</v>
      </c>
      <c r="D2797" t="str">
        <f>VLOOKUP($C2797,products!$A$1:$F$322,MATCH(order_items!$D$1,products!$A$1:$F$1,0),FALSE)</f>
        <v>Electra Townie Original 7D - 2015/2016</v>
      </c>
      <c r="E2797">
        <f>VLOOKUP($C2797,products!$A$1:$F$322,MATCH(order_items!$E$1,products!$A$1:$F$1,0),FALSE)</f>
        <v>2</v>
      </c>
      <c r="F2797" t="str">
        <f>VLOOKUP($E2797,categories!$A$1:$B$8,MATCH(order_items!$F$1,categories!$A$1:$B$1,0),FALSE)</f>
        <v>Comfort Bicycles</v>
      </c>
      <c r="G2797">
        <v>2</v>
      </c>
      <c r="H2797">
        <v>499.99</v>
      </c>
      <c r="I2797" s="5">
        <v>0.2</v>
      </c>
      <c r="J2797">
        <f t="shared" si="86"/>
        <v>799.98400000000004</v>
      </c>
      <c r="K2797" s="9">
        <f t="shared" si="87"/>
        <v>-0.52690291964276081</v>
      </c>
    </row>
    <row r="2798" spans="1:11" x14ac:dyDescent="0.3">
      <c r="A2798">
        <v>978</v>
      </c>
      <c r="B2798">
        <v>3</v>
      </c>
      <c r="C2798">
        <v>108</v>
      </c>
      <c r="D2798" t="str">
        <f>VLOOKUP($C2798,products!$A$1:$F$322,MATCH(order_items!$D$1,products!$A$1:$F$1,0),FALSE)</f>
        <v>Sun Bicycles Cruz 3 - Women's - 2017</v>
      </c>
      <c r="E2798">
        <f>VLOOKUP($C2798,products!$A$1:$F$322,MATCH(order_items!$E$1,products!$A$1:$F$1,0),FALSE)</f>
        <v>2</v>
      </c>
      <c r="F2798" t="str">
        <f>VLOOKUP($E2798,categories!$A$1:$B$8,MATCH(order_items!$F$1,categories!$A$1:$B$1,0),FALSE)</f>
        <v>Comfort Bicycles</v>
      </c>
      <c r="G2798">
        <v>2</v>
      </c>
      <c r="H2798">
        <v>449.99</v>
      </c>
      <c r="I2798" s="5">
        <v>0.05</v>
      </c>
      <c r="J2798">
        <f t="shared" si="86"/>
        <v>854.98099999999999</v>
      </c>
      <c r="K2798" s="9">
        <f t="shared" si="87"/>
        <v>-0.56386725999331866</v>
      </c>
    </row>
    <row r="2799" spans="1:11" x14ac:dyDescent="0.3">
      <c r="A2799">
        <v>979</v>
      </c>
      <c r="B2799">
        <v>1</v>
      </c>
      <c r="C2799">
        <v>55</v>
      </c>
      <c r="D2799" t="str">
        <f>VLOOKUP($C2799,products!$A$1:$F$322,MATCH(order_items!$D$1,products!$A$1:$F$1,0),FALSE)</f>
        <v>Trek Domane S 6 - 2017</v>
      </c>
      <c r="E2799">
        <f>VLOOKUP($C2799,products!$A$1:$F$322,MATCH(order_items!$E$1,products!$A$1:$F$1,0),FALSE)</f>
        <v>7</v>
      </c>
      <c r="F2799" t="str">
        <f>VLOOKUP($E2799,categories!$A$1:$B$8,MATCH(order_items!$F$1,categories!$A$1:$B$1,0),FALSE)</f>
        <v>Road Bikes</v>
      </c>
      <c r="G2799">
        <v>1</v>
      </c>
      <c r="H2799">
        <v>2699.99</v>
      </c>
      <c r="I2799" s="5">
        <v>0.05</v>
      </c>
      <c r="J2799">
        <f t="shared" si="86"/>
        <v>2564.9904999999999</v>
      </c>
      <c r="K2799" s="9">
        <f t="shared" si="87"/>
        <v>1.0995280557817817</v>
      </c>
    </row>
    <row r="2800" spans="1:11" x14ac:dyDescent="0.3">
      <c r="A2800">
        <v>979</v>
      </c>
      <c r="B2800">
        <v>2</v>
      </c>
      <c r="C2800">
        <v>71</v>
      </c>
      <c r="D2800" t="str">
        <f>VLOOKUP($C2800,products!$A$1:$F$322,MATCH(order_items!$D$1,products!$A$1:$F$1,0),FALSE)</f>
        <v>Sun Bicycles Atlas X-Type - 2017</v>
      </c>
      <c r="E2800">
        <f>VLOOKUP($C2800,products!$A$1:$F$322,MATCH(order_items!$E$1,products!$A$1:$F$1,0),FALSE)</f>
        <v>3</v>
      </c>
      <c r="F2800" t="str">
        <f>VLOOKUP($E2800,categories!$A$1:$B$8,MATCH(order_items!$F$1,categories!$A$1:$B$1,0),FALSE)</f>
        <v>Cruisers Bicycles</v>
      </c>
      <c r="G2800">
        <v>2</v>
      </c>
      <c r="H2800">
        <v>416.99</v>
      </c>
      <c r="I2800" s="5">
        <v>0.2</v>
      </c>
      <c r="J2800">
        <f t="shared" si="86"/>
        <v>667.18400000000008</v>
      </c>
      <c r="K2800" s="9">
        <f t="shared" si="87"/>
        <v>-0.58826372462468679</v>
      </c>
    </row>
    <row r="2801" spans="1:11" x14ac:dyDescent="0.3">
      <c r="A2801">
        <v>979</v>
      </c>
      <c r="B2801">
        <v>3</v>
      </c>
      <c r="C2801">
        <v>12</v>
      </c>
      <c r="D2801" t="str">
        <f>VLOOKUP($C2801,products!$A$1:$F$322,MATCH(order_items!$D$1,products!$A$1:$F$1,0),FALSE)</f>
        <v>Electra Townie Original 21D - 2016</v>
      </c>
      <c r="E2801">
        <f>VLOOKUP($C2801,products!$A$1:$F$322,MATCH(order_items!$E$1,products!$A$1:$F$1,0),FALSE)</f>
        <v>3</v>
      </c>
      <c r="F2801" t="str">
        <f>VLOOKUP($E2801,categories!$A$1:$B$8,MATCH(order_items!$F$1,categories!$A$1:$B$1,0),FALSE)</f>
        <v>Cruisers Bicycles</v>
      </c>
      <c r="G2801">
        <v>2</v>
      </c>
      <c r="H2801">
        <v>549.99</v>
      </c>
      <c r="I2801" s="5">
        <v>0.1</v>
      </c>
      <c r="J2801">
        <f t="shared" si="86"/>
        <v>989.98200000000008</v>
      </c>
      <c r="K2801" s="9">
        <f t="shared" si="87"/>
        <v>-0.48993857929220308</v>
      </c>
    </row>
    <row r="2802" spans="1:11" x14ac:dyDescent="0.3">
      <c r="A2802">
        <v>979</v>
      </c>
      <c r="B2802">
        <v>4</v>
      </c>
      <c r="C2802">
        <v>52</v>
      </c>
      <c r="D2802" t="str">
        <f>VLOOKUP($C2802,products!$A$1:$F$322,MATCH(order_items!$D$1,products!$A$1:$F$1,0),FALSE)</f>
        <v>Surly Steamroller - 2017</v>
      </c>
      <c r="E2802">
        <f>VLOOKUP($C2802,products!$A$1:$F$322,MATCH(order_items!$E$1,products!$A$1:$F$1,0),FALSE)</f>
        <v>7</v>
      </c>
      <c r="F2802" t="str">
        <f>VLOOKUP($E2802,categories!$A$1:$B$8,MATCH(order_items!$F$1,categories!$A$1:$B$1,0),FALSE)</f>
        <v>Road Bikes</v>
      </c>
      <c r="G2802">
        <v>1</v>
      </c>
      <c r="H2802">
        <v>875.99</v>
      </c>
      <c r="I2802" s="5">
        <v>0.2</v>
      </c>
      <c r="J2802">
        <f t="shared" si="86"/>
        <v>700.79200000000003</v>
      </c>
      <c r="K2802" s="9">
        <f t="shared" si="87"/>
        <v>-0.24893108020656629</v>
      </c>
    </row>
    <row r="2803" spans="1:11" x14ac:dyDescent="0.3">
      <c r="A2803">
        <v>980</v>
      </c>
      <c r="B2803">
        <v>1</v>
      </c>
      <c r="C2803">
        <v>49</v>
      </c>
      <c r="D2803" t="str">
        <f>VLOOKUP($C2803,products!$A$1:$F$322,MATCH(order_items!$D$1,products!$A$1:$F$1,0),FALSE)</f>
        <v>Trek Domane SL 6 - 2017</v>
      </c>
      <c r="E2803">
        <f>VLOOKUP($C2803,products!$A$1:$F$322,MATCH(order_items!$E$1,products!$A$1:$F$1,0),FALSE)</f>
        <v>7</v>
      </c>
      <c r="F2803" t="str">
        <f>VLOOKUP($E2803,categories!$A$1:$B$8,MATCH(order_items!$F$1,categories!$A$1:$B$1,0),FALSE)</f>
        <v>Road Bikes</v>
      </c>
      <c r="G2803">
        <v>2</v>
      </c>
      <c r="H2803">
        <v>3499.99</v>
      </c>
      <c r="I2803" s="5">
        <v>0.2</v>
      </c>
      <c r="J2803">
        <f t="shared" si="86"/>
        <v>5599.9840000000004</v>
      </c>
      <c r="K2803" s="9">
        <f t="shared" si="87"/>
        <v>1.6909575013907066</v>
      </c>
    </row>
    <row r="2804" spans="1:11" x14ac:dyDescent="0.3">
      <c r="A2804">
        <v>980</v>
      </c>
      <c r="B2804">
        <v>2</v>
      </c>
      <c r="C2804">
        <v>9</v>
      </c>
      <c r="D2804" t="str">
        <f>VLOOKUP($C2804,products!$A$1:$F$322,MATCH(order_items!$D$1,products!$A$1:$F$1,0),FALSE)</f>
        <v>Trek Conduit+ - 2016</v>
      </c>
      <c r="E2804">
        <f>VLOOKUP($C2804,products!$A$1:$F$322,MATCH(order_items!$E$1,products!$A$1:$F$1,0),FALSE)</f>
        <v>5</v>
      </c>
      <c r="F2804" t="str">
        <f>VLOOKUP($E2804,categories!$A$1:$B$8,MATCH(order_items!$F$1,categories!$A$1:$B$1,0),FALSE)</f>
        <v>Electric Bikes</v>
      </c>
      <c r="G2804">
        <v>1</v>
      </c>
      <c r="H2804">
        <v>2999.99</v>
      </c>
      <c r="I2804" s="5">
        <v>0.1</v>
      </c>
      <c r="J2804">
        <f t="shared" si="86"/>
        <v>2699.991</v>
      </c>
      <c r="K2804" s="9">
        <f t="shared" si="87"/>
        <v>1.3213140978851283</v>
      </c>
    </row>
    <row r="2805" spans="1:11" x14ac:dyDescent="0.3">
      <c r="A2805">
        <v>980</v>
      </c>
      <c r="B2805">
        <v>3</v>
      </c>
      <c r="C2805">
        <v>64</v>
      </c>
      <c r="D2805" t="str">
        <f>VLOOKUP($C2805,products!$A$1:$F$322,MATCH(order_items!$D$1,products!$A$1:$F$1,0),FALSE)</f>
        <v>Electra Townie Original 7D - 2017</v>
      </c>
      <c r="E2805">
        <f>VLOOKUP($C2805,products!$A$1:$F$322,MATCH(order_items!$E$1,products!$A$1:$F$1,0),FALSE)</f>
        <v>3</v>
      </c>
      <c r="F2805" t="str">
        <f>VLOOKUP($E2805,categories!$A$1:$B$8,MATCH(order_items!$F$1,categories!$A$1:$B$1,0),FALSE)</f>
        <v>Cruisers Bicycles</v>
      </c>
      <c r="G2805">
        <v>1</v>
      </c>
      <c r="H2805">
        <v>489.99</v>
      </c>
      <c r="I2805" s="5">
        <v>0.1</v>
      </c>
      <c r="J2805">
        <f t="shared" si="86"/>
        <v>440.99100000000004</v>
      </c>
      <c r="K2805" s="9">
        <f t="shared" si="87"/>
        <v>-0.53429578771287245</v>
      </c>
    </row>
    <row r="2806" spans="1:11" x14ac:dyDescent="0.3">
      <c r="A2806">
        <v>981</v>
      </c>
      <c r="B2806">
        <v>1</v>
      </c>
      <c r="C2806">
        <v>35</v>
      </c>
      <c r="D2806" t="str">
        <f>VLOOKUP($C2806,products!$A$1:$F$322,MATCH(order_items!$D$1,products!$A$1:$F$1,0),FALSE)</f>
        <v>Sun Bicycles Spider 3i - 2017</v>
      </c>
      <c r="E2806">
        <f>VLOOKUP($C2806,products!$A$1:$F$322,MATCH(order_items!$E$1,products!$A$1:$F$1,0),FALSE)</f>
        <v>6</v>
      </c>
      <c r="F2806" t="str">
        <f>VLOOKUP($E2806,categories!$A$1:$B$8,MATCH(order_items!$F$1,categories!$A$1:$B$1,0),FALSE)</f>
        <v>Mountain Bikes</v>
      </c>
      <c r="G2806">
        <v>1</v>
      </c>
      <c r="H2806">
        <v>832.99</v>
      </c>
      <c r="I2806" s="5">
        <v>0.1</v>
      </c>
      <c r="J2806">
        <f t="shared" si="86"/>
        <v>749.69100000000003</v>
      </c>
      <c r="K2806" s="9">
        <f t="shared" si="87"/>
        <v>-0.280720412908046</v>
      </c>
    </row>
    <row r="2807" spans="1:11" x14ac:dyDescent="0.3">
      <c r="A2807">
        <v>981</v>
      </c>
      <c r="B2807">
        <v>2</v>
      </c>
      <c r="C2807">
        <v>95</v>
      </c>
      <c r="D2807" t="str">
        <f>VLOOKUP($C2807,products!$A$1:$F$322,MATCH(order_items!$D$1,products!$A$1:$F$1,0),FALSE)</f>
        <v>Electra Girl's Hawaii 1 16" - 2017</v>
      </c>
      <c r="E2807">
        <f>VLOOKUP($C2807,products!$A$1:$F$322,MATCH(order_items!$E$1,products!$A$1:$F$1,0),FALSE)</f>
        <v>1</v>
      </c>
      <c r="F2807" t="str">
        <f>VLOOKUP($E2807,categories!$A$1:$B$8,MATCH(order_items!$F$1,categories!$A$1:$B$1,0),FALSE)</f>
        <v>Children Bicycles</v>
      </c>
      <c r="G2807">
        <v>2</v>
      </c>
      <c r="H2807">
        <v>299.99</v>
      </c>
      <c r="I2807" s="5">
        <v>0.05</v>
      </c>
      <c r="J2807">
        <f t="shared" si="86"/>
        <v>569.98099999999999</v>
      </c>
      <c r="K2807" s="9">
        <f t="shared" si="87"/>
        <v>-0.67476028104499197</v>
      </c>
    </row>
    <row r="2808" spans="1:11" x14ac:dyDescent="0.3">
      <c r="A2808">
        <v>981</v>
      </c>
      <c r="B2808">
        <v>3</v>
      </c>
      <c r="C2808">
        <v>21</v>
      </c>
      <c r="D2808" t="str">
        <f>VLOOKUP($C2808,products!$A$1:$F$322,MATCH(order_items!$D$1,products!$A$1:$F$1,0),FALSE)</f>
        <v>Electra Cruiser 1 (24-Inch) - 2016</v>
      </c>
      <c r="E2808">
        <f>VLOOKUP($C2808,products!$A$1:$F$322,MATCH(order_items!$E$1,products!$A$1:$F$1,0),FALSE)</f>
        <v>1</v>
      </c>
      <c r="F2808" t="str">
        <f>VLOOKUP($E2808,categories!$A$1:$B$8,MATCH(order_items!$F$1,categories!$A$1:$B$1,0),FALSE)</f>
        <v>Children Bicycles</v>
      </c>
      <c r="G2808">
        <v>2</v>
      </c>
      <c r="H2808">
        <v>269.99</v>
      </c>
      <c r="I2808" s="5">
        <v>7.0000000000000007E-2</v>
      </c>
      <c r="J2808">
        <f t="shared" si="86"/>
        <v>502.1814</v>
      </c>
      <c r="K2808" s="9">
        <f t="shared" si="87"/>
        <v>-0.69693888525532666</v>
      </c>
    </row>
    <row r="2809" spans="1:11" x14ac:dyDescent="0.3">
      <c r="A2809">
        <v>981</v>
      </c>
      <c r="B2809">
        <v>4</v>
      </c>
      <c r="C2809">
        <v>36</v>
      </c>
      <c r="D2809" t="str">
        <f>VLOOKUP($C2809,products!$A$1:$F$322,MATCH(order_items!$D$1,products!$A$1:$F$1,0),FALSE)</f>
        <v>Surly Troll Frameset - 2017</v>
      </c>
      <c r="E2809">
        <f>VLOOKUP($C2809,products!$A$1:$F$322,MATCH(order_items!$E$1,products!$A$1:$F$1,0),FALSE)</f>
        <v>6</v>
      </c>
      <c r="F2809" t="str">
        <f>VLOOKUP($E2809,categories!$A$1:$B$8,MATCH(order_items!$F$1,categories!$A$1:$B$1,0),FALSE)</f>
        <v>Mountain Bikes</v>
      </c>
      <c r="G2809">
        <v>2</v>
      </c>
      <c r="H2809">
        <v>832.99</v>
      </c>
      <c r="I2809" s="5">
        <v>0.1</v>
      </c>
      <c r="J2809">
        <f t="shared" si="86"/>
        <v>1499.3820000000001</v>
      </c>
      <c r="K2809" s="9">
        <f t="shared" si="87"/>
        <v>-0.280720412908046</v>
      </c>
    </row>
    <row r="2810" spans="1:11" x14ac:dyDescent="0.3">
      <c r="A2810">
        <v>981</v>
      </c>
      <c r="B2810">
        <v>5</v>
      </c>
      <c r="C2810">
        <v>61</v>
      </c>
      <c r="D2810" t="str">
        <f>VLOOKUP($C2810,products!$A$1:$F$322,MATCH(order_items!$D$1,products!$A$1:$F$1,0),FALSE)</f>
        <v>Trek Powerfly 8 FS Plus - 2017</v>
      </c>
      <c r="E2810">
        <f>VLOOKUP($C2810,products!$A$1:$F$322,MATCH(order_items!$E$1,products!$A$1:$F$1,0),FALSE)</f>
        <v>5</v>
      </c>
      <c r="F2810" t="str">
        <f>VLOOKUP($E2810,categories!$A$1:$B$8,MATCH(order_items!$F$1,categories!$A$1:$B$1,0),FALSE)</f>
        <v>Electric Bikes</v>
      </c>
      <c r="G2810">
        <v>1</v>
      </c>
      <c r="H2810">
        <v>4999.99</v>
      </c>
      <c r="I2810" s="5">
        <v>7.0000000000000007E-2</v>
      </c>
      <c r="J2810">
        <f t="shared" si="86"/>
        <v>4649.9906999999994</v>
      </c>
      <c r="K2810" s="9">
        <f t="shared" si="87"/>
        <v>2.7998877119074401</v>
      </c>
    </row>
    <row r="2811" spans="1:11" x14ac:dyDescent="0.3">
      <c r="A2811">
        <v>982</v>
      </c>
      <c r="B2811">
        <v>1</v>
      </c>
      <c r="C2811">
        <v>22</v>
      </c>
      <c r="D2811" t="str">
        <f>VLOOKUP($C2811,products!$A$1:$F$322,MATCH(order_items!$D$1,products!$A$1:$F$1,0),FALSE)</f>
        <v>Electra Girl's Hawaii 1 (16-inch) - 2015/2016</v>
      </c>
      <c r="E2811">
        <f>VLOOKUP($C2811,products!$A$1:$F$322,MATCH(order_items!$E$1,products!$A$1:$F$1,0),FALSE)</f>
        <v>1</v>
      </c>
      <c r="F2811" t="str">
        <f>VLOOKUP($E2811,categories!$A$1:$B$8,MATCH(order_items!$F$1,categories!$A$1:$B$1,0),FALSE)</f>
        <v>Children Bicycles</v>
      </c>
      <c r="G2811">
        <v>2</v>
      </c>
      <c r="H2811">
        <v>269.99</v>
      </c>
      <c r="I2811" s="5">
        <v>0.1</v>
      </c>
      <c r="J2811">
        <f t="shared" si="86"/>
        <v>485.98200000000003</v>
      </c>
      <c r="K2811" s="9">
        <f t="shared" si="87"/>
        <v>-0.69693888525532666</v>
      </c>
    </row>
    <row r="2812" spans="1:11" x14ac:dyDescent="0.3">
      <c r="A2812">
        <v>982</v>
      </c>
      <c r="B2812">
        <v>2</v>
      </c>
      <c r="C2812">
        <v>110</v>
      </c>
      <c r="D2812" t="str">
        <f>VLOOKUP($C2812,products!$A$1:$F$322,MATCH(order_items!$D$1,products!$A$1:$F$1,0),FALSE)</f>
        <v>Sun Bicycles Drifter 7 - 2017</v>
      </c>
      <c r="E2812">
        <f>VLOOKUP($C2812,products!$A$1:$F$322,MATCH(order_items!$E$1,products!$A$1:$F$1,0),FALSE)</f>
        <v>2</v>
      </c>
      <c r="F2812" t="str">
        <f>VLOOKUP($E2812,categories!$A$1:$B$8,MATCH(order_items!$F$1,categories!$A$1:$B$1,0),FALSE)</f>
        <v>Comfort Bicycles</v>
      </c>
      <c r="G2812">
        <v>1</v>
      </c>
      <c r="H2812">
        <v>470.99</v>
      </c>
      <c r="I2812" s="5">
        <v>7.0000000000000007E-2</v>
      </c>
      <c r="J2812">
        <f t="shared" si="86"/>
        <v>438.02069999999998</v>
      </c>
      <c r="K2812" s="9">
        <f t="shared" si="87"/>
        <v>-0.54834223704608442</v>
      </c>
    </row>
    <row r="2813" spans="1:11" x14ac:dyDescent="0.3">
      <c r="A2813">
        <v>982</v>
      </c>
      <c r="B2813">
        <v>3</v>
      </c>
      <c r="C2813">
        <v>52</v>
      </c>
      <c r="D2813" t="str">
        <f>VLOOKUP($C2813,products!$A$1:$F$322,MATCH(order_items!$D$1,products!$A$1:$F$1,0),FALSE)</f>
        <v>Surly Steamroller - 2017</v>
      </c>
      <c r="E2813">
        <f>VLOOKUP($C2813,products!$A$1:$F$322,MATCH(order_items!$E$1,products!$A$1:$F$1,0),FALSE)</f>
        <v>7</v>
      </c>
      <c r="F2813" t="str">
        <f>VLOOKUP($E2813,categories!$A$1:$B$8,MATCH(order_items!$F$1,categories!$A$1:$B$1,0),FALSE)</f>
        <v>Road Bikes</v>
      </c>
      <c r="G2813">
        <v>1</v>
      </c>
      <c r="H2813">
        <v>875.99</v>
      </c>
      <c r="I2813" s="5">
        <v>7.0000000000000007E-2</v>
      </c>
      <c r="J2813">
        <f t="shared" si="86"/>
        <v>814.67070000000001</v>
      </c>
      <c r="K2813" s="9">
        <f t="shared" si="87"/>
        <v>-0.24893108020656629</v>
      </c>
    </row>
    <row r="2814" spans="1:11" x14ac:dyDescent="0.3">
      <c r="A2814">
        <v>982</v>
      </c>
      <c r="B2814">
        <v>4</v>
      </c>
      <c r="C2814">
        <v>40</v>
      </c>
      <c r="D2814" t="str">
        <f>VLOOKUP($C2814,products!$A$1:$F$322,MATCH(order_items!$D$1,products!$A$1:$F$1,0),FALSE)</f>
        <v>Trek Fuel EX 9.8 29 - 2017</v>
      </c>
      <c r="E2814">
        <f>VLOOKUP($C2814,products!$A$1:$F$322,MATCH(order_items!$E$1,products!$A$1:$F$1,0),FALSE)</f>
        <v>6</v>
      </c>
      <c r="F2814" t="str">
        <f>VLOOKUP($E2814,categories!$A$1:$B$8,MATCH(order_items!$F$1,categories!$A$1:$B$1,0),FALSE)</f>
        <v>Mountain Bikes</v>
      </c>
      <c r="G2814">
        <v>2</v>
      </c>
      <c r="H2814">
        <v>4999.99</v>
      </c>
      <c r="I2814" s="5">
        <v>0.05</v>
      </c>
      <c r="J2814">
        <f t="shared" si="86"/>
        <v>9499.9809999999998</v>
      </c>
      <c r="K2814" s="9">
        <f t="shared" si="87"/>
        <v>2.7998877119074401</v>
      </c>
    </row>
    <row r="2815" spans="1:11" x14ac:dyDescent="0.3">
      <c r="A2815">
        <v>983</v>
      </c>
      <c r="B2815">
        <v>1</v>
      </c>
      <c r="C2815">
        <v>63</v>
      </c>
      <c r="D2815" t="str">
        <f>VLOOKUP($C2815,products!$A$1:$F$322,MATCH(order_items!$D$1,products!$A$1:$F$1,0),FALSE)</f>
        <v>Trek Boone Race Shop Limited - 2017</v>
      </c>
      <c r="E2815">
        <f>VLOOKUP($C2815,products!$A$1:$F$322,MATCH(order_items!$E$1,products!$A$1:$F$1,0),FALSE)</f>
        <v>4</v>
      </c>
      <c r="F2815" t="str">
        <f>VLOOKUP($E2815,categories!$A$1:$B$8,MATCH(order_items!$F$1,categories!$A$1:$B$1,0),FALSE)</f>
        <v>Cyclocross Bicycles</v>
      </c>
      <c r="G2815">
        <v>1</v>
      </c>
      <c r="H2815">
        <v>3499.99</v>
      </c>
      <c r="I2815" s="5">
        <v>0.1</v>
      </c>
      <c r="J2815">
        <f t="shared" si="86"/>
        <v>3149.991</v>
      </c>
      <c r="K2815" s="9">
        <f t="shared" si="87"/>
        <v>1.6909575013907066</v>
      </c>
    </row>
    <row r="2816" spans="1:11" x14ac:dyDescent="0.3">
      <c r="A2816">
        <v>983</v>
      </c>
      <c r="B2816">
        <v>2</v>
      </c>
      <c r="C2816">
        <v>20</v>
      </c>
      <c r="D2816" t="str">
        <f>VLOOKUP($C2816,products!$A$1:$F$322,MATCH(order_items!$D$1,products!$A$1:$F$1,0),FALSE)</f>
        <v>Electra Townie Original 7D EQ - Women's - 2016</v>
      </c>
      <c r="E2816">
        <f>VLOOKUP($C2816,products!$A$1:$F$322,MATCH(order_items!$E$1,products!$A$1:$F$1,0),FALSE)</f>
        <v>3</v>
      </c>
      <c r="F2816" t="str">
        <f>VLOOKUP($E2816,categories!$A$1:$B$8,MATCH(order_items!$F$1,categories!$A$1:$B$1,0),FALSE)</f>
        <v>Cruisers Bicycles</v>
      </c>
      <c r="G2816">
        <v>2</v>
      </c>
      <c r="H2816">
        <v>599.99</v>
      </c>
      <c r="I2816" s="5">
        <v>0.2</v>
      </c>
      <c r="J2816">
        <f t="shared" si="86"/>
        <v>959.98400000000004</v>
      </c>
      <c r="K2816" s="9">
        <f t="shared" si="87"/>
        <v>-0.45297423894164529</v>
      </c>
    </row>
    <row r="2817" spans="1:11" x14ac:dyDescent="0.3">
      <c r="A2817">
        <v>983</v>
      </c>
      <c r="B2817">
        <v>3</v>
      </c>
      <c r="C2817">
        <v>68</v>
      </c>
      <c r="D2817" t="str">
        <f>VLOOKUP($C2817,products!$A$1:$F$322,MATCH(order_items!$D$1,products!$A$1:$F$1,0),FALSE)</f>
        <v>Sun Bicycles Cruz 3 - 2017</v>
      </c>
      <c r="E2817">
        <f>VLOOKUP($C2817,products!$A$1:$F$322,MATCH(order_items!$E$1,products!$A$1:$F$1,0),FALSE)</f>
        <v>3</v>
      </c>
      <c r="F2817" t="str">
        <f>VLOOKUP($E2817,categories!$A$1:$B$8,MATCH(order_items!$F$1,categories!$A$1:$B$1,0),FALSE)</f>
        <v>Cruisers Bicycles</v>
      </c>
      <c r="G2817">
        <v>1</v>
      </c>
      <c r="H2817">
        <v>449.99</v>
      </c>
      <c r="I2817" s="5">
        <v>7.0000000000000007E-2</v>
      </c>
      <c r="J2817">
        <f t="shared" si="86"/>
        <v>418.4907</v>
      </c>
      <c r="K2817" s="9">
        <f t="shared" si="87"/>
        <v>-0.56386725999331866</v>
      </c>
    </row>
    <row r="2818" spans="1:11" x14ac:dyDescent="0.3">
      <c r="A2818">
        <v>983</v>
      </c>
      <c r="B2818">
        <v>4</v>
      </c>
      <c r="C2818">
        <v>81</v>
      </c>
      <c r="D2818" t="str">
        <f>VLOOKUP($C2818,products!$A$1:$F$322,MATCH(order_items!$D$1,products!$A$1:$F$1,0),FALSE)</f>
        <v>Electra Amsterdam Fashion 7i Ladies' - 2017</v>
      </c>
      <c r="E2818">
        <f>VLOOKUP($C2818,products!$A$1:$F$322,MATCH(order_items!$E$1,products!$A$1:$F$1,0),FALSE)</f>
        <v>3</v>
      </c>
      <c r="F2818" t="str">
        <f>VLOOKUP($E2818,categories!$A$1:$B$8,MATCH(order_items!$F$1,categories!$A$1:$B$1,0),FALSE)</f>
        <v>Cruisers Bicycles</v>
      </c>
      <c r="G2818">
        <v>2</v>
      </c>
      <c r="H2818">
        <v>1099.99</v>
      </c>
      <c r="I2818" s="5">
        <v>7.0000000000000007E-2</v>
      </c>
      <c r="J2818">
        <f t="shared" ref="J2818:J2881" si="88">G2818*H2818*(1-I2818)</f>
        <v>2045.9813999999999</v>
      </c>
      <c r="K2818" s="9">
        <f t="shared" ref="K2818:K2881" si="89">($H2818-$M$7)/$M$9</f>
        <v>-8.3330835436067396E-2</v>
      </c>
    </row>
    <row r="2819" spans="1:11" x14ac:dyDescent="0.3">
      <c r="A2819">
        <v>983</v>
      </c>
      <c r="B2819">
        <v>5</v>
      </c>
      <c r="C2819">
        <v>88</v>
      </c>
      <c r="D2819" t="str">
        <f>VLOOKUP($C2819,products!$A$1:$F$322,MATCH(order_items!$D$1,products!$A$1:$F$1,0),FALSE)</f>
        <v>Trek Precaliber 12 Girls - 2017</v>
      </c>
      <c r="E2819">
        <f>VLOOKUP($C2819,products!$A$1:$F$322,MATCH(order_items!$E$1,products!$A$1:$F$1,0),FALSE)</f>
        <v>1</v>
      </c>
      <c r="F2819" t="str">
        <f>VLOOKUP($E2819,categories!$A$1:$B$8,MATCH(order_items!$F$1,categories!$A$1:$B$1,0),FALSE)</f>
        <v>Children Bicycles</v>
      </c>
      <c r="G2819">
        <v>1</v>
      </c>
      <c r="H2819">
        <v>189.99</v>
      </c>
      <c r="I2819" s="5">
        <v>0.05</v>
      </c>
      <c r="J2819">
        <f t="shared" si="88"/>
        <v>180.4905</v>
      </c>
      <c r="K2819" s="9">
        <f t="shared" si="89"/>
        <v>-0.75608182981621919</v>
      </c>
    </row>
    <row r="2820" spans="1:11" x14ac:dyDescent="0.3">
      <c r="A2820">
        <v>984</v>
      </c>
      <c r="B2820">
        <v>1</v>
      </c>
      <c r="C2820">
        <v>68</v>
      </c>
      <c r="D2820" t="str">
        <f>VLOOKUP($C2820,products!$A$1:$F$322,MATCH(order_items!$D$1,products!$A$1:$F$1,0),FALSE)</f>
        <v>Sun Bicycles Cruz 3 - 2017</v>
      </c>
      <c r="E2820">
        <f>VLOOKUP($C2820,products!$A$1:$F$322,MATCH(order_items!$E$1,products!$A$1:$F$1,0),FALSE)</f>
        <v>3</v>
      </c>
      <c r="F2820" t="str">
        <f>VLOOKUP($E2820,categories!$A$1:$B$8,MATCH(order_items!$F$1,categories!$A$1:$B$1,0),FALSE)</f>
        <v>Cruisers Bicycles</v>
      </c>
      <c r="G2820">
        <v>1</v>
      </c>
      <c r="H2820">
        <v>449.99</v>
      </c>
      <c r="I2820" s="5">
        <v>0.2</v>
      </c>
      <c r="J2820">
        <f t="shared" si="88"/>
        <v>359.99200000000002</v>
      </c>
      <c r="K2820" s="9">
        <f t="shared" si="89"/>
        <v>-0.56386725999331866</v>
      </c>
    </row>
    <row r="2821" spans="1:11" x14ac:dyDescent="0.3">
      <c r="A2821">
        <v>984</v>
      </c>
      <c r="B2821">
        <v>2</v>
      </c>
      <c r="C2821">
        <v>81</v>
      </c>
      <c r="D2821" t="str">
        <f>VLOOKUP($C2821,products!$A$1:$F$322,MATCH(order_items!$D$1,products!$A$1:$F$1,0),FALSE)</f>
        <v>Electra Amsterdam Fashion 7i Ladies' - 2017</v>
      </c>
      <c r="E2821">
        <f>VLOOKUP($C2821,products!$A$1:$F$322,MATCH(order_items!$E$1,products!$A$1:$F$1,0),FALSE)</f>
        <v>3</v>
      </c>
      <c r="F2821" t="str">
        <f>VLOOKUP($E2821,categories!$A$1:$B$8,MATCH(order_items!$F$1,categories!$A$1:$B$1,0),FALSE)</f>
        <v>Cruisers Bicycles</v>
      </c>
      <c r="G2821">
        <v>2</v>
      </c>
      <c r="H2821">
        <v>1099.99</v>
      </c>
      <c r="I2821" s="5">
        <v>0.2</v>
      </c>
      <c r="J2821">
        <f t="shared" si="88"/>
        <v>1759.9840000000002</v>
      </c>
      <c r="K2821" s="9">
        <f t="shared" si="89"/>
        <v>-8.3330835436067396E-2</v>
      </c>
    </row>
    <row r="2822" spans="1:11" x14ac:dyDescent="0.3">
      <c r="A2822">
        <v>984</v>
      </c>
      <c r="B2822">
        <v>3</v>
      </c>
      <c r="C2822">
        <v>12</v>
      </c>
      <c r="D2822" t="str">
        <f>VLOOKUP($C2822,products!$A$1:$F$322,MATCH(order_items!$D$1,products!$A$1:$F$1,0),FALSE)</f>
        <v>Electra Townie Original 21D - 2016</v>
      </c>
      <c r="E2822">
        <f>VLOOKUP($C2822,products!$A$1:$F$322,MATCH(order_items!$E$1,products!$A$1:$F$1,0),FALSE)</f>
        <v>3</v>
      </c>
      <c r="F2822" t="str">
        <f>VLOOKUP($E2822,categories!$A$1:$B$8,MATCH(order_items!$F$1,categories!$A$1:$B$1,0),FALSE)</f>
        <v>Cruisers Bicycles</v>
      </c>
      <c r="G2822">
        <v>1</v>
      </c>
      <c r="H2822">
        <v>549.99</v>
      </c>
      <c r="I2822" s="5">
        <v>0.1</v>
      </c>
      <c r="J2822">
        <f t="shared" si="88"/>
        <v>494.99100000000004</v>
      </c>
      <c r="K2822" s="9">
        <f t="shared" si="89"/>
        <v>-0.48993857929220308</v>
      </c>
    </row>
    <row r="2823" spans="1:11" x14ac:dyDescent="0.3">
      <c r="A2823">
        <v>984</v>
      </c>
      <c r="B2823">
        <v>4</v>
      </c>
      <c r="C2823">
        <v>111</v>
      </c>
      <c r="D2823" t="str">
        <f>VLOOKUP($C2823,products!$A$1:$F$322,MATCH(order_items!$D$1,products!$A$1:$F$1,0),FALSE)</f>
        <v>Sun Bicycles Drifter 7 - Women's - 2017</v>
      </c>
      <c r="E2823">
        <f>VLOOKUP($C2823,products!$A$1:$F$322,MATCH(order_items!$E$1,products!$A$1:$F$1,0),FALSE)</f>
        <v>2</v>
      </c>
      <c r="F2823" t="str">
        <f>VLOOKUP($E2823,categories!$A$1:$B$8,MATCH(order_items!$F$1,categories!$A$1:$B$1,0),FALSE)</f>
        <v>Comfort Bicycles</v>
      </c>
      <c r="G2823">
        <v>1</v>
      </c>
      <c r="H2823">
        <v>470.99</v>
      </c>
      <c r="I2823" s="5">
        <v>0.2</v>
      </c>
      <c r="J2823">
        <f t="shared" si="88"/>
        <v>376.79200000000003</v>
      </c>
      <c r="K2823" s="9">
        <f t="shared" si="89"/>
        <v>-0.54834223704608442</v>
      </c>
    </row>
    <row r="2824" spans="1:11" x14ac:dyDescent="0.3">
      <c r="A2824">
        <v>985</v>
      </c>
      <c r="B2824">
        <v>1</v>
      </c>
      <c r="C2824">
        <v>5</v>
      </c>
      <c r="D2824" t="str">
        <f>VLOOKUP($C2824,products!$A$1:$F$322,MATCH(order_items!$D$1,products!$A$1:$F$1,0),FALSE)</f>
        <v>Heller Shagamaw Frame - 2016</v>
      </c>
      <c r="E2824">
        <f>VLOOKUP($C2824,products!$A$1:$F$322,MATCH(order_items!$E$1,products!$A$1:$F$1,0),FALSE)</f>
        <v>6</v>
      </c>
      <c r="F2824" t="str">
        <f>VLOOKUP($E2824,categories!$A$1:$B$8,MATCH(order_items!$F$1,categories!$A$1:$B$1,0),FALSE)</f>
        <v>Mountain Bikes</v>
      </c>
      <c r="G2824">
        <v>2</v>
      </c>
      <c r="H2824">
        <v>1320.99</v>
      </c>
      <c r="I2824" s="5">
        <v>7.0000000000000007E-2</v>
      </c>
      <c r="J2824">
        <f t="shared" si="88"/>
        <v>2457.0414000000001</v>
      </c>
      <c r="K2824" s="9">
        <f t="shared" si="89"/>
        <v>8.0051548913398024E-2</v>
      </c>
    </row>
    <row r="2825" spans="1:11" x14ac:dyDescent="0.3">
      <c r="A2825">
        <v>985</v>
      </c>
      <c r="B2825">
        <v>2</v>
      </c>
      <c r="C2825">
        <v>59</v>
      </c>
      <c r="D2825" t="str">
        <f>VLOOKUP($C2825,products!$A$1:$F$322,MATCH(order_items!$D$1,products!$A$1:$F$1,0),FALSE)</f>
        <v>Trek Domane S 5 Disc - 2017</v>
      </c>
      <c r="E2825">
        <f>VLOOKUP($C2825,products!$A$1:$F$322,MATCH(order_items!$E$1,products!$A$1:$F$1,0),FALSE)</f>
        <v>7</v>
      </c>
      <c r="F2825" t="str">
        <f>VLOOKUP($E2825,categories!$A$1:$B$8,MATCH(order_items!$F$1,categories!$A$1:$B$1,0),FALSE)</f>
        <v>Road Bikes</v>
      </c>
      <c r="G2825">
        <v>1</v>
      </c>
      <c r="H2825">
        <v>2599.9899999999998</v>
      </c>
      <c r="I2825" s="5">
        <v>0.2</v>
      </c>
      <c r="J2825">
        <f t="shared" si="88"/>
        <v>2079.9919999999997</v>
      </c>
      <c r="K2825" s="9">
        <f t="shared" si="89"/>
        <v>1.025599375080666</v>
      </c>
    </row>
    <row r="2826" spans="1:11" x14ac:dyDescent="0.3">
      <c r="A2826">
        <v>985</v>
      </c>
      <c r="B2826">
        <v>3</v>
      </c>
      <c r="C2826">
        <v>78</v>
      </c>
      <c r="D2826" t="str">
        <f>VLOOKUP($C2826,products!$A$1:$F$322,MATCH(order_items!$D$1,products!$A$1:$F$1,0),FALSE)</f>
        <v>Sun Bicycles Biscayne Tandem CB - 2017</v>
      </c>
      <c r="E2826">
        <f>VLOOKUP($C2826,products!$A$1:$F$322,MATCH(order_items!$E$1,products!$A$1:$F$1,0),FALSE)</f>
        <v>3</v>
      </c>
      <c r="F2826" t="str">
        <f>VLOOKUP($E2826,categories!$A$1:$B$8,MATCH(order_items!$F$1,categories!$A$1:$B$1,0),FALSE)</f>
        <v>Cruisers Bicycles</v>
      </c>
      <c r="G2826">
        <v>2</v>
      </c>
      <c r="H2826">
        <v>647.99</v>
      </c>
      <c r="I2826" s="5">
        <v>0.05</v>
      </c>
      <c r="J2826">
        <f t="shared" si="88"/>
        <v>1231.181</v>
      </c>
      <c r="K2826" s="9">
        <f t="shared" si="89"/>
        <v>-0.41748847220510982</v>
      </c>
    </row>
    <row r="2827" spans="1:11" x14ac:dyDescent="0.3">
      <c r="A2827">
        <v>986</v>
      </c>
      <c r="B2827">
        <v>1</v>
      </c>
      <c r="C2827">
        <v>87</v>
      </c>
      <c r="D2827" t="str">
        <f>VLOOKUP($C2827,products!$A$1:$F$322,MATCH(order_items!$D$1,products!$A$1:$F$1,0),FALSE)</f>
        <v>Trek Precaliber 12 Boys - 2017</v>
      </c>
      <c r="E2827">
        <f>VLOOKUP($C2827,products!$A$1:$F$322,MATCH(order_items!$E$1,products!$A$1:$F$1,0),FALSE)</f>
        <v>1</v>
      </c>
      <c r="F2827" t="str">
        <f>VLOOKUP($E2827,categories!$A$1:$B$8,MATCH(order_items!$F$1,categories!$A$1:$B$1,0),FALSE)</f>
        <v>Children Bicycles</v>
      </c>
      <c r="G2827">
        <v>1</v>
      </c>
      <c r="H2827">
        <v>189.99</v>
      </c>
      <c r="I2827" s="5">
        <v>0.1</v>
      </c>
      <c r="J2827">
        <f t="shared" si="88"/>
        <v>170.99100000000001</v>
      </c>
      <c r="K2827" s="9">
        <f t="shared" si="89"/>
        <v>-0.75608182981621919</v>
      </c>
    </row>
    <row r="2828" spans="1:11" x14ac:dyDescent="0.3">
      <c r="A2828">
        <v>986</v>
      </c>
      <c r="B2828">
        <v>2</v>
      </c>
      <c r="C2828">
        <v>78</v>
      </c>
      <c r="D2828" t="str">
        <f>VLOOKUP($C2828,products!$A$1:$F$322,MATCH(order_items!$D$1,products!$A$1:$F$1,0),FALSE)</f>
        <v>Sun Bicycles Biscayne Tandem CB - 2017</v>
      </c>
      <c r="E2828">
        <f>VLOOKUP($C2828,products!$A$1:$F$322,MATCH(order_items!$E$1,products!$A$1:$F$1,0),FALSE)</f>
        <v>3</v>
      </c>
      <c r="F2828" t="str">
        <f>VLOOKUP($E2828,categories!$A$1:$B$8,MATCH(order_items!$F$1,categories!$A$1:$B$1,0),FALSE)</f>
        <v>Cruisers Bicycles</v>
      </c>
      <c r="G2828">
        <v>1</v>
      </c>
      <c r="H2828">
        <v>647.99</v>
      </c>
      <c r="I2828" s="5">
        <v>0.05</v>
      </c>
      <c r="J2828">
        <f t="shared" si="88"/>
        <v>615.59050000000002</v>
      </c>
      <c r="K2828" s="9">
        <f t="shared" si="89"/>
        <v>-0.41748847220510982</v>
      </c>
    </row>
    <row r="2829" spans="1:11" x14ac:dyDescent="0.3">
      <c r="A2829">
        <v>986</v>
      </c>
      <c r="B2829">
        <v>3</v>
      </c>
      <c r="C2829">
        <v>26</v>
      </c>
      <c r="D2829" t="str">
        <f>VLOOKUP($C2829,products!$A$1:$F$322,MATCH(order_items!$D$1,products!$A$1:$F$1,0),FALSE)</f>
        <v>Electra Townie Original 7D EQ - 2016</v>
      </c>
      <c r="E2829">
        <f>VLOOKUP($C2829,products!$A$1:$F$322,MATCH(order_items!$E$1,products!$A$1:$F$1,0),FALSE)</f>
        <v>2</v>
      </c>
      <c r="F2829" t="str">
        <f>VLOOKUP($E2829,categories!$A$1:$B$8,MATCH(order_items!$F$1,categories!$A$1:$B$1,0),FALSE)</f>
        <v>Comfort Bicycles</v>
      </c>
      <c r="G2829">
        <v>2</v>
      </c>
      <c r="H2829">
        <v>599.99</v>
      </c>
      <c r="I2829" s="5">
        <v>7.0000000000000007E-2</v>
      </c>
      <c r="J2829">
        <f t="shared" si="88"/>
        <v>1115.9813999999999</v>
      </c>
      <c r="K2829" s="9">
        <f t="shared" si="89"/>
        <v>-0.45297423894164529</v>
      </c>
    </row>
    <row r="2830" spans="1:11" x14ac:dyDescent="0.3">
      <c r="A2830">
        <v>987</v>
      </c>
      <c r="B2830">
        <v>1</v>
      </c>
      <c r="C2830">
        <v>51</v>
      </c>
      <c r="D2830" t="str">
        <f>VLOOKUP($C2830,products!$A$1:$F$322,MATCH(order_items!$D$1,products!$A$1:$F$1,0),FALSE)</f>
        <v>Trek Silque SLR 8 Women's - 2017</v>
      </c>
      <c r="E2830">
        <f>VLOOKUP($C2830,products!$A$1:$F$322,MATCH(order_items!$E$1,products!$A$1:$F$1,0),FALSE)</f>
        <v>7</v>
      </c>
      <c r="F2830" t="str">
        <f>VLOOKUP($E2830,categories!$A$1:$B$8,MATCH(order_items!$F$1,categories!$A$1:$B$1,0),FALSE)</f>
        <v>Road Bikes</v>
      </c>
      <c r="G2830">
        <v>2</v>
      </c>
      <c r="H2830">
        <v>6499.99</v>
      </c>
      <c r="I2830" s="5">
        <v>0.1</v>
      </c>
      <c r="J2830">
        <f t="shared" si="88"/>
        <v>11699.982</v>
      </c>
      <c r="K2830" s="9">
        <f t="shared" si="89"/>
        <v>3.9088179224241739</v>
      </c>
    </row>
    <row r="2831" spans="1:11" x14ac:dyDescent="0.3">
      <c r="A2831">
        <v>987</v>
      </c>
      <c r="B2831">
        <v>2</v>
      </c>
      <c r="C2831">
        <v>60</v>
      </c>
      <c r="D2831" t="str">
        <f>VLOOKUP($C2831,products!$A$1:$F$322,MATCH(order_items!$D$1,products!$A$1:$F$1,0),FALSE)</f>
        <v>Sun Bicycles ElectroLite - 2017</v>
      </c>
      <c r="E2831">
        <f>VLOOKUP($C2831,products!$A$1:$F$322,MATCH(order_items!$E$1,products!$A$1:$F$1,0),FALSE)</f>
        <v>5</v>
      </c>
      <c r="F2831" t="str">
        <f>VLOOKUP($E2831,categories!$A$1:$B$8,MATCH(order_items!$F$1,categories!$A$1:$B$1,0),FALSE)</f>
        <v>Electric Bikes</v>
      </c>
      <c r="G2831">
        <v>2</v>
      </c>
      <c r="H2831">
        <v>1559.99</v>
      </c>
      <c r="I2831" s="5">
        <v>0.2</v>
      </c>
      <c r="J2831">
        <f t="shared" si="88"/>
        <v>2495.9840000000004</v>
      </c>
      <c r="K2831" s="9">
        <f t="shared" si="89"/>
        <v>0.25674109578906423</v>
      </c>
    </row>
    <row r="2832" spans="1:11" x14ac:dyDescent="0.3">
      <c r="A2832">
        <v>987</v>
      </c>
      <c r="B2832">
        <v>3</v>
      </c>
      <c r="C2832">
        <v>80</v>
      </c>
      <c r="D2832" t="str">
        <f>VLOOKUP($C2832,products!$A$1:$F$322,MATCH(order_items!$D$1,products!$A$1:$F$1,0),FALSE)</f>
        <v>Sun Bicycles Brickell Tandem CB - 2017</v>
      </c>
      <c r="E2832">
        <f>VLOOKUP($C2832,products!$A$1:$F$322,MATCH(order_items!$E$1,products!$A$1:$F$1,0),FALSE)</f>
        <v>3</v>
      </c>
      <c r="F2832" t="str">
        <f>VLOOKUP($E2832,categories!$A$1:$B$8,MATCH(order_items!$F$1,categories!$A$1:$B$1,0),FALSE)</f>
        <v>Cruisers Bicycles</v>
      </c>
      <c r="G2832">
        <v>1</v>
      </c>
      <c r="H2832">
        <v>761.99</v>
      </c>
      <c r="I2832" s="5">
        <v>7.0000000000000007E-2</v>
      </c>
      <c r="J2832">
        <f t="shared" si="88"/>
        <v>708.65069999999992</v>
      </c>
      <c r="K2832" s="9">
        <f t="shared" si="89"/>
        <v>-0.33320977620583803</v>
      </c>
    </row>
    <row r="2833" spans="1:11" x14ac:dyDescent="0.3">
      <c r="A2833">
        <v>988</v>
      </c>
      <c r="B2833">
        <v>1</v>
      </c>
      <c r="C2833">
        <v>35</v>
      </c>
      <c r="D2833" t="str">
        <f>VLOOKUP($C2833,products!$A$1:$F$322,MATCH(order_items!$D$1,products!$A$1:$F$1,0),FALSE)</f>
        <v>Sun Bicycles Spider 3i - 2017</v>
      </c>
      <c r="E2833">
        <f>VLOOKUP($C2833,products!$A$1:$F$322,MATCH(order_items!$E$1,products!$A$1:$F$1,0),FALSE)</f>
        <v>6</v>
      </c>
      <c r="F2833" t="str">
        <f>VLOOKUP($E2833,categories!$A$1:$B$8,MATCH(order_items!$F$1,categories!$A$1:$B$1,0),FALSE)</f>
        <v>Mountain Bikes</v>
      </c>
      <c r="G2833">
        <v>1</v>
      </c>
      <c r="H2833">
        <v>832.99</v>
      </c>
      <c r="I2833" s="5">
        <v>0.2</v>
      </c>
      <c r="J2833">
        <f t="shared" si="88"/>
        <v>666.39200000000005</v>
      </c>
      <c r="K2833" s="9">
        <f t="shared" si="89"/>
        <v>-0.280720412908046</v>
      </c>
    </row>
    <row r="2834" spans="1:11" x14ac:dyDescent="0.3">
      <c r="A2834">
        <v>988</v>
      </c>
      <c r="B2834">
        <v>2</v>
      </c>
      <c r="C2834">
        <v>38</v>
      </c>
      <c r="D2834" t="str">
        <f>VLOOKUP($C2834,products!$A$1:$F$322,MATCH(order_items!$D$1,products!$A$1:$F$1,0),FALSE)</f>
        <v>Haro Flightline Two 26 Plus - 2017</v>
      </c>
      <c r="E2834">
        <f>VLOOKUP($C2834,products!$A$1:$F$322,MATCH(order_items!$E$1,products!$A$1:$F$1,0),FALSE)</f>
        <v>6</v>
      </c>
      <c r="F2834" t="str">
        <f>VLOOKUP($E2834,categories!$A$1:$B$8,MATCH(order_items!$F$1,categories!$A$1:$B$1,0),FALSE)</f>
        <v>Mountain Bikes</v>
      </c>
      <c r="G2834">
        <v>1</v>
      </c>
      <c r="H2834">
        <v>549.99</v>
      </c>
      <c r="I2834" s="5">
        <v>7.0000000000000007E-2</v>
      </c>
      <c r="J2834">
        <f t="shared" si="88"/>
        <v>511.49069999999995</v>
      </c>
      <c r="K2834" s="9">
        <f t="shared" si="89"/>
        <v>-0.48993857929220308</v>
      </c>
    </row>
    <row r="2835" spans="1:11" x14ac:dyDescent="0.3">
      <c r="A2835">
        <v>988</v>
      </c>
      <c r="B2835">
        <v>3</v>
      </c>
      <c r="C2835">
        <v>12</v>
      </c>
      <c r="D2835" t="str">
        <f>VLOOKUP($C2835,products!$A$1:$F$322,MATCH(order_items!$D$1,products!$A$1:$F$1,0),FALSE)</f>
        <v>Electra Townie Original 21D - 2016</v>
      </c>
      <c r="E2835">
        <f>VLOOKUP($C2835,products!$A$1:$F$322,MATCH(order_items!$E$1,products!$A$1:$F$1,0),FALSE)</f>
        <v>3</v>
      </c>
      <c r="F2835" t="str">
        <f>VLOOKUP($E2835,categories!$A$1:$B$8,MATCH(order_items!$F$1,categories!$A$1:$B$1,0),FALSE)</f>
        <v>Cruisers Bicycles</v>
      </c>
      <c r="G2835">
        <v>2</v>
      </c>
      <c r="H2835">
        <v>549.99</v>
      </c>
      <c r="I2835" s="5">
        <v>7.0000000000000007E-2</v>
      </c>
      <c r="J2835">
        <f t="shared" si="88"/>
        <v>1022.9813999999999</v>
      </c>
      <c r="K2835" s="9">
        <f t="shared" si="89"/>
        <v>-0.48993857929220308</v>
      </c>
    </row>
    <row r="2836" spans="1:11" x14ac:dyDescent="0.3">
      <c r="A2836">
        <v>989</v>
      </c>
      <c r="B2836">
        <v>1</v>
      </c>
      <c r="C2836">
        <v>99</v>
      </c>
      <c r="D2836" t="str">
        <f>VLOOKUP($C2836,products!$A$1:$F$322,MATCH(order_items!$D$1,products!$A$1:$F$1,0),FALSE)</f>
        <v>Electra Sugar Skulls 1 (20-inch) - Girl's - 2017</v>
      </c>
      <c r="E2836">
        <f>VLOOKUP($C2836,products!$A$1:$F$322,MATCH(order_items!$E$1,products!$A$1:$F$1,0),FALSE)</f>
        <v>1</v>
      </c>
      <c r="F2836" t="str">
        <f>VLOOKUP($E2836,categories!$A$1:$B$8,MATCH(order_items!$F$1,categories!$A$1:$B$1,0),FALSE)</f>
        <v>Children Bicycles</v>
      </c>
      <c r="G2836">
        <v>1</v>
      </c>
      <c r="H2836">
        <v>299.99</v>
      </c>
      <c r="I2836" s="5">
        <v>0.05</v>
      </c>
      <c r="J2836">
        <f t="shared" si="88"/>
        <v>284.9905</v>
      </c>
      <c r="K2836" s="9">
        <f t="shared" si="89"/>
        <v>-0.67476028104499197</v>
      </c>
    </row>
    <row r="2837" spans="1:11" x14ac:dyDescent="0.3">
      <c r="A2837">
        <v>989</v>
      </c>
      <c r="B2837">
        <v>2</v>
      </c>
      <c r="C2837">
        <v>27</v>
      </c>
      <c r="D2837" t="str">
        <f>VLOOKUP($C2837,products!$A$1:$F$322,MATCH(order_items!$D$1,products!$A$1:$F$1,0),FALSE)</f>
        <v>Surly Big Dummy Frameset - 2017</v>
      </c>
      <c r="E2837">
        <f>VLOOKUP($C2837,products!$A$1:$F$322,MATCH(order_items!$E$1,products!$A$1:$F$1,0),FALSE)</f>
        <v>6</v>
      </c>
      <c r="F2837" t="str">
        <f>VLOOKUP($E2837,categories!$A$1:$B$8,MATCH(order_items!$F$1,categories!$A$1:$B$1,0),FALSE)</f>
        <v>Mountain Bikes</v>
      </c>
      <c r="G2837">
        <v>1</v>
      </c>
      <c r="H2837">
        <v>999.99</v>
      </c>
      <c r="I2837" s="5">
        <v>0.1</v>
      </c>
      <c r="J2837">
        <f t="shared" si="88"/>
        <v>899.99099999999999</v>
      </c>
      <c r="K2837" s="9">
        <f t="shared" si="89"/>
        <v>-0.15725951613718298</v>
      </c>
    </row>
    <row r="2838" spans="1:11" x14ac:dyDescent="0.3">
      <c r="A2838">
        <v>989</v>
      </c>
      <c r="B2838">
        <v>3</v>
      </c>
      <c r="C2838">
        <v>70</v>
      </c>
      <c r="D2838" t="str">
        <f>VLOOKUP($C2838,products!$A$1:$F$322,MATCH(order_items!$D$1,products!$A$1:$F$1,0),FALSE)</f>
        <v>Electra Amsterdam Original 3i - 2015/2017</v>
      </c>
      <c r="E2838">
        <f>VLOOKUP($C2838,products!$A$1:$F$322,MATCH(order_items!$E$1,products!$A$1:$F$1,0),FALSE)</f>
        <v>3</v>
      </c>
      <c r="F2838" t="str">
        <f>VLOOKUP($E2838,categories!$A$1:$B$8,MATCH(order_items!$F$1,categories!$A$1:$B$1,0),FALSE)</f>
        <v>Cruisers Bicycles</v>
      </c>
      <c r="G2838">
        <v>1</v>
      </c>
      <c r="H2838">
        <v>659.99</v>
      </c>
      <c r="I2838" s="5">
        <v>0.1</v>
      </c>
      <c r="J2838">
        <f t="shared" si="88"/>
        <v>593.99099999999999</v>
      </c>
      <c r="K2838" s="9">
        <f t="shared" si="89"/>
        <v>-0.40861703052097592</v>
      </c>
    </row>
    <row r="2839" spans="1:11" x14ac:dyDescent="0.3">
      <c r="A2839">
        <v>989</v>
      </c>
      <c r="B2839">
        <v>4</v>
      </c>
      <c r="C2839">
        <v>84</v>
      </c>
      <c r="D2839" t="str">
        <f>VLOOKUP($C2839,products!$A$1:$F$322,MATCH(order_items!$D$1,products!$A$1:$F$1,0),FALSE)</f>
        <v>Sun Bicycles Lil Kitt'n - 2017</v>
      </c>
      <c r="E2839">
        <f>VLOOKUP($C2839,products!$A$1:$F$322,MATCH(order_items!$E$1,products!$A$1:$F$1,0),FALSE)</f>
        <v>1</v>
      </c>
      <c r="F2839" t="str">
        <f>VLOOKUP($E2839,categories!$A$1:$B$8,MATCH(order_items!$F$1,categories!$A$1:$B$1,0),FALSE)</f>
        <v>Children Bicycles</v>
      </c>
      <c r="G2839">
        <v>2</v>
      </c>
      <c r="H2839">
        <v>109.99</v>
      </c>
      <c r="I2839" s="5">
        <v>7.0000000000000007E-2</v>
      </c>
      <c r="J2839">
        <f t="shared" si="88"/>
        <v>204.58139999999997</v>
      </c>
      <c r="K2839" s="9">
        <f t="shared" si="89"/>
        <v>-0.81522477437711161</v>
      </c>
    </row>
    <row r="2840" spans="1:11" x14ac:dyDescent="0.3">
      <c r="A2840">
        <v>989</v>
      </c>
      <c r="B2840">
        <v>5</v>
      </c>
      <c r="C2840">
        <v>5</v>
      </c>
      <c r="D2840" t="str">
        <f>VLOOKUP($C2840,products!$A$1:$F$322,MATCH(order_items!$D$1,products!$A$1:$F$1,0),FALSE)</f>
        <v>Heller Shagamaw Frame - 2016</v>
      </c>
      <c r="E2840">
        <f>VLOOKUP($C2840,products!$A$1:$F$322,MATCH(order_items!$E$1,products!$A$1:$F$1,0),FALSE)</f>
        <v>6</v>
      </c>
      <c r="F2840" t="str">
        <f>VLOOKUP($E2840,categories!$A$1:$B$8,MATCH(order_items!$F$1,categories!$A$1:$B$1,0),FALSE)</f>
        <v>Mountain Bikes</v>
      </c>
      <c r="G2840">
        <v>1</v>
      </c>
      <c r="H2840">
        <v>1320.99</v>
      </c>
      <c r="I2840" s="5">
        <v>0.1</v>
      </c>
      <c r="J2840">
        <f t="shared" si="88"/>
        <v>1188.8910000000001</v>
      </c>
      <c r="K2840" s="9">
        <f t="shared" si="89"/>
        <v>8.0051548913398024E-2</v>
      </c>
    </row>
    <row r="2841" spans="1:11" x14ac:dyDescent="0.3">
      <c r="A2841">
        <v>990</v>
      </c>
      <c r="B2841">
        <v>1</v>
      </c>
      <c r="C2841">
        <v>6</v>
      </c>
      <c r="D2841" t="str">
        <f>VLOOKUP($C2841,products!$A$1:$F$322,MATCH(order_items!$D$1,products!$A$1:$F$1,0),FALSE)</f>
        <v>Surly Ice Cream Truck Frameset - 2016</v>
      </c>
      <c r="E2841">
        <f>VLOOKUP($C2841,products!$A$1:$F$322,MATCH(order_items!$E$1,products!$A$1:$F$1,0),FALSE)</f>
        <v>6</v>
      </c>
      <c r="F2841" t="str">
        <f>VLOOKUP($E2841,categories!$A$1:$B$8,MATCH(order_items!$F$1,categories!$A$1:$B$1,0),FALSE)</f>
        <v>Mountain Bikes</v>
      </c>
      <c r="G2841">
        <v>2</v>
      </c>
      <c r="H2841">
        <v>469.99</v>
      </c>
      <c r="I2841" s="5">
        <v>0.2</v>
      </c>
      <c r="J2841">
        <f t="shared" si="88"/>
        <v>751.98400000000004</v>
      </c>
      <c r="K2841" s="9">
        <f t="shared" si="89"/>
        <v>-0.5490815238530955</v>
      </c>
    </row>
    <row r="2842" spans="1:11" x14ac:dyDescent="0.3">
      <c r="A2842">
        <v>990</v>
      </c>
      <c r="B2842">
        <v>2</v>
      </c>
      <c r="C2842">
        <v>29</v>
      </c>
      <c r="D2842" t="str">
        <f>VLOOKUP($C2842,products!$A$1:$F$322,MATCH(order_items!$D$1,products!$A$1:$F$1,0),FALSE)</f>
        <v>Trek X-Caliber 8 - 2017</v>
      </c>
      <c r="E2842">
        <f>VLOOKUP($C2842,products!$A$1:$F$322,MATCH(order_items!$E$1,products!$A$1:$F$1,0),FALSE)</f>
        <v>6</v>
      </c>
      <c r="F2842" t="str">
        <f>VLOOKUP($E2842,categories!$A$1:$B$8,MATCH(order_items!$F$1,categories!$A$1:$B$1,0),FALSE)</f>
        <v>Mountain Bikes</v>
      </c>
      <c r="G2842">
        <v>1</v>
      </c>
      <c r="H2842">
        <v>999.99</v>
      </c>
      <c r="I2842" s="5">
        <v>0.1</v>
      </c>
      <c r="J2842">
        <f t="shared" si="88"/>
        <v>899.99099999999999</v>
      </c>
      <c r="K2842" s="9">
        <f t="shared" si="89"/>
        <v>-0.15725951613718298</v>
      </c>
    </row>
    <row r="2843" spans="1:11" x14ac:dyDescent="0.3">
      <c r="A2843">
        <v>990</v>
      </c>
      <c r="B2843">
        <v>3</v>
      </c>
      <c r="C2843">
        <v>91</v>
      </c>
      <c r="D2843" t="str">
        <f>VLOOKUP($C2843,products!$A$1:$F$322,MATCH(order_items!$D$1,products!$A$1:$F$1,0),FALSE)</f>
        <v>Trek Precaliber 24 (21-Speed) - Girls - 2017</v>
      </c>
      <c r="E2843">
        <f>VLOOKUP($C2843,products!$A$1:$F$322,MATCH(order_items!$E$1,products!$A$1:$F$1,0),FALSE)</f>
        <v>1</v>
      </c>
      <c r="F2843" t="str">
        <f>VLOOKUP($E2843,categories!$A$1:$B$8,MATCH(order_items!$F$1,categories!$A$1:$B$1,0),FALSE)</f>
        <v>Children Bicycles</v>
      </c>
      <c r="G2843">
        <v>1</v>
      </c>
      <c r="H2843">
        <v>349.99</v>
      </c>
      <c r="I2843" s="5">
        <v>0.1</v>
      </c>
      <c r="J2843">
        <f t="shared" si="88"/>
        <v>314.99100000000004</v>
      </c>
      <c r="K2843" s="9">
        <f t="shared" si="89"/>
        <v>-0.63779594069443424</v>
      </c>
    </row>
    <row r="2844" spans="1:11" x14ac:dyDescent="0.3">
      <c r="A2844">
        <v>990</v>
      </c>
      <c r="B2844">
        <v>4</v>
      </c>
      <c r="C2844">
        <v>14</v>
      </c>
      <c r="D2844" t="str">
        <f>VLOOKUP($C2844,products!$A$1:$F$322,MATCH(order_items!$D$1,products!$A$1:$F$1,0),FALSE)</f>
        <v>Electra Girl's Hawaii 1 (16-inch) - 2015/2016</v>
      </c>
      <c r="E2844">
        <f>VLOOKUP($C2844,products!$A$1:$F$322,MATCH(order_items!$E$1,products!$A$1:$F$1,0),FALSE)</f>
        <v>3</v>
      </c>
      <c r="F2844" t="str">
        <f>VLOOKUP($E2844,categories!$A$1:$B$8,MATCH(order_items!$F$1,categories!$A$1:$B$1,0),FALSE)</f>
        <v>Cruisers Bicycles</v>
      </c>
      <c r="G2844">
        <v>2</v>
      </c>
      <c r="H2844">
        <v>269.99</v>
      </c>
      <c r="I2844" s="5">
        <v>0.1</v>
      </c>
      <c r="J2844">
        <f t="shared" si="88"/>
        <v>485.98200000000003</v>
      </c>
      <c r="K2844" s="9">
        <f t="shared" si="89"/>
        <v>-0.69693888525532666</v>
      </c>
    </row>
    <row r="2845" spans="1:11" x14ac:dyDescent="0.3">
      <c r="A2845">
        <v>991</v>
      </c>
      <c r="B2845">
        <v>1</v>
      </c>
      <c r="C2845">
        <v>9</v>
      </c>
      <c r="D2845" t="str">
        <f>VLOOKUP($C2845,products!$A$1:$F$322,MATCH(order_items!$D$1,products!$A$1:$F$1,0),FALSE)</f>
        <v>Trek Conduit+ - 2016</v>
      </c>
      <c r="E2845">
        <f>VLOOKUP($C2845,products!$A$1:$F$322,MATCH(order_items!$E$1,products!$A$1:$F$1,0),FALSE)</f>
        <v>5</v>
      </c>
      <c r="F2845" t="str">
        <f>VLOOKUP($E2845,categories!$A$1:$B$8,MATCH(order_items!$F$1,categories!$A$1:$B$1,0),FALSE)</f>
        <v>Electric Bikes</v>
      </c>
      <c r="G2845">
        <v>2</v>
      </c>
      <c r="H2845">
        <v>2999.99</v>
      </c>
      <c r="I2845" s="5">
        <v>0.2</v>
      </c>
      <c r="J2845">
        <f t="shared" si="88"/>
        <v>4799.9839999999995</v>
      </c>
      <c r="K2845" s="9">
        <f t="shared" si="89"/>
        <v>1.3213140978851283</v>
      </c>
    </row>
    <row r="2846" spans="1:11" x14ac:dyDescent="0.3">
      <c r="A2846">
        <v>991</v>
      </c>
      <c r="B2846">
        <v>2</v>
      </c>
      <c r="C2846">
        <v>79</v>
      </c>
      <c r="D2846" t="str">
        <f>VLOOKUP($C2846,products!$A$1:$F$322,MATCH(order_items!$D$1,products!$A$1:$F$1,0),FALSE)</f>
        <v>Sun Bicycles Boardwalk (24-inch Wheels) - 2017</v>
      </c>
      <c r="E2846">
        <f>VLOOKUP($C2846,products!$A$1:$F$322,MATCH(order_items!$E$1,products!$A$1:$F$1,0),FALSE)</f>
        <v>3</v>
      </c>
      <c r="F2846" t="str">
        <f>VLOOKUP($E2846,categories!$A$1:$B$8,MATCH(order_items!$F$1,categories!$A$1:$B$1,0),FALSE)</f>
        <v>Cruisers Bicycles</v>
      </c>
      <c r="G2846">
        <v>1</v>
      </c>
      <c r="H2846">
        <v>402.99</v>
      </c>
      <c r="I2846" s="5">
        <v>0.2</v>
      </c>
      <c r="J2846">
        <f t="shared" si="88"/>
        <v>322.39200000000005</v>
      </c>
      <c r="K2846" s="9">
        <f t="shared" si="89"/>
        <v>-0.59861373992284295</v>
      </c>
    </row>
    <row r="2847" spans="1:11" x14ac:dyDescent="0.3">
      <c r="A2847">
        <v>991</v>
      </c>
      <c r="B2847">
        <v>3</v>
      </c>
      <c r="C2847">
        <v>34</v>
      </c>
      <c r="D2847" t="str">
        <f>VLOOKUP($C2847,products!$A$1:$F$322,MATCH(order_items!$D$1,products!$A$1:$F$1,0),FALSE)</f>
        <v>Trek Session DH 27.5 Carbon Frameset - 2017</v>
      </c>
      <c r="E2847">
        <f>VLOOKUP($C2847,products!$A$1:$F$322,MATCH(order_items!$E$1,products!$A$1:$F$1,0),FALSE)</f>
        <v>6</v>
      </c>
      <c r="F2847" t="str">
        <f>VLOOKUP($E2847,categories!$A$1:$B$8,MATCH(order_items!$F$1,categories!$A$1:$B$1,0),FALSE)</f>
        <v>Mountain Bikes</v>
      </c>
      <c r="G2847">
        <v>1</v>
      </c>
      <c r="H2847">
        <v>469.99</v>
      </c>
      <c r="I2847" s="5">
        <v>0.2</v>
      </c>
      <c r="J2847">
        <f t="shared" si="88"/>
        <v>375.99200000000002</v>
      </c>
      <c r="K2847" s="9">
        <f t="shared" si="89"/>
        <v>-0.5490815238530955</v>
      </c>
    </row>
    <row r="2848" spans="1:11" x14ac:dyDescent="0.3">
      <c r="A2848">
        <v>992</v>
      </c>
      <c r="B2848">
        <v>1</v>
      </c>
      <c r="C2848">
        <v>45</v>
      </c>
      <c r="D2848" t="str">
        <f>VLOOKUP($C2848,products!$A$1:$F$322,MATCH(order_items!$D$1,products!$A$1:$F$1,0),FALSE)</f>
        <v>Haro SR 1.2 - 2017</v>
      </c>
      <c r="E2848">
        <f>VLOOKUP($C2848,products!$A$1:$F$322,MATCH(order_items!$E$1,products!$A$1:$F$1,0),FALSE)</f>
        <v>6</v>
      </c>
      <c r="F2848" t="str">
        <f>VLOOKUP($E2848,categories!$A$1:$B$8,MATCH(order_items!$F$1,categories!$A$1:$B$1,0),FALSE)</f>
        <v>Mountain Bikes</v>
      </c>
      <c r="G2848">
        <v>1</v>
      </c>
      <c r="H2848">
        <v>869.99</v>
      </c>
      <c r="I2848" s="5">
        <v>7.0000000000000007E-2</v>
      </c>
      <c r="J2848">
        <f t="shared" si="88"/>
        <v>809.09069999999997</v>
      </c>
      <c r="K2848" s="9">
        <f t="shared" si="89"/>
        <v>-0.25336680104863324</v>
      </c>
    </row>
    <row r="2849" spans="1:11" x14ac:dyDescent="0.3">
      <c r="A2849">
        <v>992</v>
      </c>
      <c r="B2849">
        <v>2</v>
      </c>
      <c r="C2849">
        <v>102</v>
      </c>
      <c r="D2849" t="str">
        <f>VLOOKUP($C2849,products!$A$1:$F$322,MATCH(order_items!$D$1,products!$A$1:$F$1,0),FALSE)</f>
        <v>Electra Townie Original 7D - 2017</v>
      </c>
      <c r="E2849">
        <f>VLOOKUP($C2849,products!$A$1:$F$322,MATCH(order_items!$E$1,products!$A$1:$F$1,0),FALSE)</f>
        <v>2</v>
      </c>
      <c r="F2849" t="str">
        <f>VLOOKUP($E2849,categories!$A$1:$B$8,MATCH(order_items!$F$1,categories!$A$1:$B$1,0),FALSE)</f>
        <v>Comfort Bicycles</v>
      </c>
      <c r="G2849">
        <v>1</v>
      </c>
      <c r="H2849">
        <v>489.99</v>
      </c>
      <c r="I2849" s="5">
        <v>0.1</v>
      </c>
      <c r="J2849">
        <f t="shared" si="88"/>
        <v>440.99100000000004</v>
      </c>
      <c r="K2849" s="9">
        <f t="shared" si="89"/>
        <v>-0.53429578771287245</v>
      </c>
    </row>
    <row r="2850" spans="1:11" x14ac:dyDescent="0.3">
      <c r="A2850">
        <v>992</v>
      </c>
      <c r="B2850">
        <v>3</v>
      </c>
      <c r="C2850">
        <v>20</v>
      </c>
      <c r="D2850" t="str">
        <f>VLOOKUP($C2850,products!$A$1:$F$322,MATCH(order_items!$D$1,products!$A$1:$F$1,0),FALSE)</f>
        <v>Electra Townie Original 7D EQ - Women's - 2016</v>
      </c>
      <c r="E2850">
        <f>VLOOKUP($C2850,products!$A$1:$F$322,MATCH(order_items!$E$1,products!$A$1:$F$1,0),FALSE)</f>
        <v>3</v>
      </c>
      <c r="F2850" t="str">
        <f>VLOOKUP($E2850,categories!$A$1:$B$8,MATCH(order_items!$F$1,categories!$A$1:$B$1,0),FALSE)</f>
        <v>Cruisers Bicycles</v>
      </c>
      <c r="G2850">
        <v>1</v>
      </c>
      <c r="H2850">
        <v>599.99</v>
      </c>
      <c r="I2850" s="5">
        <v>0.2</v>
      </c>
      <c r="J2850">
        <f t="shared" si="88"/>
        <v>479.99200000000002</v>
      </c>
      <c r="K2850" s="9">
        <f t="shared" si="89"/>
        <v>-0.45297423894164529</v>
      </c>
    </row>
    <row r="2851" spans="1:11" x14ac:dyDescent="0.3">
      <c r="A2851">
        <v>992</v>
      </c>
      <c r="B2851">
        <v>4</v>
      </c>
      <c r="C2851">
        <v>101</v>
      </c>
      <c r="D2851" t="str">
        <f>VLOOKUP($C2851,products!$A$1:$F$322,MATCH(order_items!$D$1,products!$A$1:$F$1,0),FALSE)</f>
        <v>Electra Townie 7D (20-inch) - Boys' - 2017</v>
      </c>
      <c r="E2851">
        <f>VLOOKUP($C2851,products!$A$1:$F$322,MATCH(order_items!$E$1,products!$A$1:$F$1,0),FALSE)</f>
        <v>1</v>
      </c>
      <c r="F2851" t="str">
        <f>VLOOKUP($E2851,categories!$A$1:$B$8,MATCH(order_items!$F$1,categories!$A$1:$B$1,0),FALSE)</f>
        <v>Children Bicycles</v>
      </c>
      <c r="G2851">
        <v>2</v>
      </c>
      <c r="H2851">
        <v>339.99</v>
      </c>
      <c r="I2851" s="5">
        <v>0.2</v>
      </c>
      <c r="J2851">
        <f t="shared" si="88"/>
        <v>543.98400000000004</v>
      </c>
      <c r="K2851" s="9">
        <f t="shared" si="89"/>
        <v>-0.64518880876454576</v>
      </c>
    </row>
    <row r="2852" spans="1:11" x14ac:dyDescent="0.3">
      <c r="A2852">
        <v>992</v>
      </c>
      <c r="B2852">
        <v>5</v>
      </c>
      <c r="C2852">
        <v>7</v>
      </c>
      <c r="D2852" t="str">
        <f>VLOOKUP($C2852,products!$A$1:$F$322,MATCH(order_items!$D$1,products!$A$1:$F$1,0),FALSE)</f>
        <v>Trek Slash 8 27.5 - 2016</v>
      </c>
      <c r="E2852">
        <f>VLOOKUP($C2852,products!$A$1:$F$322,MATCH(order_items!$E$1,products!$A$1:$F$1,0),FALSE)</f>
        <v>6</v>
      </c>
      <c r="F2852" t="str">
        <f>VLOOKUP($E2852,categories!$A$1:$B$8,MATCH(order_items!$F$1,categories!$A$1:$B$1,0),FALSE)</f>
        <v>Mountain Bikes</v>
      </c>
      <c r="G2852">
        <v>1</v>
      </c>
      <c r="H2852">
        <v>3999.99</v>
      </c>
      <c r="I2852" s="5">
        <v>0.05</v>
      </c>
      <c r="J2852">
        <f t="shared" si="88"/>
        <v>3799.9904999999994</v>
      </c>
      <c r="K2852" s="9">
        <f t="shared" si="89"/>
        <v>2.0606009048962846</v>
      </c>
    </row>
    <row r="2853" spans="1:11" x14ac:dyDescent="0.3">
      <c r="A2853">
        <v>993</v>
      </c>
      <c r="B2853">
        <v>1</v>
      </c>
      <c r="C2853">
        <v>58</v>
      </c>
      <c r="D2853" t="str">
        <f>VLOOKUP($C2853,products!$A$1:$F$322,MATCH(order_items!$D$1,products!$A$1:$F$1,0),FALSE)</f>
        <v>Trek Madone 9.2 - 2017</v>
      </c>
      <c r="E2853">
        <f>VLOOKUP($C2853,products!$A$1:$F$322,MATCH(order_items!$E$1,products!$A$1:$F$1,0),FALSE)</f>
        <v>7</v>
      </c>
      <c r="F2853" t="str">
        <f>VLOOKUP($E2853,categories!$A$1:$B$8,MATCH(order_items!$F$1,categories!$A$1:$B$1,0),FALSE)</f>
        <v>Road Bikes</v>
      </c>
      <c r="G2853">
        <v>1</v>
      </c>
      <c r="H2853">
        <v>4999.99</v>
      </c>
      <c r="I2853" s="5">
        <v>0.2</v>
      </c>
      <c r="J2853">
        <f t="shared" si="88"/>
        <v>3999.9920000000002</v>
      </c>
      <c r="K2853" s="9">
        <f t="shared" si="89"/>
        <v>2.7998877119074401</v>
      </c>
    </row>
    <row r="2854" spans="1:11" x14ac:dyDescent="0.3">
      <c r="A2854">
        <v>993</v>
      </c>
      <c r="B2854">
        <v>2</v>
      </c>
      <c r="C2854">
        <v>36</v>
      </c>
      <c r="D2854" t="str">
        <f>VLOOKUP($C2854,products!$A$1:$F$322,MATCH(order_items!$D$1,products!$A$1:$F$1,0),FALSE)</f>
        <v>Surly Troll Frameset - 2017</v>
      </c>
      <c r="E2854">
        <f>VLOOKUP($C2854,products!$A$1:$F$322,MATCH(order_items!$E$1,products!$A$1:$F$1,0),FALSE)</f>
        <v>6</v>
      </c>
      <c r="F2854" t="str">
        <f>VLOOKUP($E2854,categories!$A$1:$B$8,MATCH(order_items!$F$1,categories!$A$1:$B$1,0),FALSE)</f>
        <v>Mountain Bikes</v>
      </c>
      <c r="G2854">
        <v>2</v>
      </c>
      <c r="H2854">
        <v>832.99</v>
      </c>
      <c r="I2854" s="5">
        <v>0.1</v>
      </c>
      <c r="J2854">
        <f t="shared" si="88"/>
        <v>1499.3820000000001</v>
      </c>
      <c r="K2854" s="9">
        <f t="shared" si="89"/>
        <v>-0.280720412908046</v>
      </c>
    </row>
    <row r="2855" spans="1:11" x14ac:dyDescent="0.3">
      <c r="A2855">
        <v>993</v>
      </c>
      <c r="B2855">
        <v>3</v>
      </c>
      <c r="C2855">
        <v>10</v>
      </c>
      <c r="D2855" t="str">
        <f>VLOOKUP($C2855,products!$A$1:$F$322,MATCH(order_items!$D$1,products!$A$1:$F$1,0),FALSE)</f>
        <v>Surly Straggler - 2016</v>
      </c>
      <c r="E2855">
        <f>VLOOKUP($C2855,products!$A$1:$F$322,MATCH(order_items!$E$1,products!$A$1:$F$1,0),FALSE)</f>
        <v>4</v>
      </c>
      <c r="F2855" t="str">
        <f>VLOOKUP($E2855,categories!$A$1:$B$8,MATCH(order_items!$F$1,categories!$A$1:$B$1,0),FALSE)</f>
        <v>Cyclocross Bicycles</v>
      </c>
      <c r="G2855">
        <v>2</v>
      </c>
      <c r="H2855">
        <v>1549</v>
      </c>
      <c r="I2855" s="5">
        <v>0.05</v>
      </c>
      <c r="J2855">
        <f t="shared" si="88"/>
        <v>2943.1</v>
      </c>
      <c r="K2855" s="9">
        <f t="shared" si="89"/>
        <v>0.24861633378001166</v>
      </c>
    </row>
    <row r="2856" spans="1:11" x14ac:dyDescent="0.3">
      <c r="A2856">
        <v>993</v>
      </c>
      <c r="B2856">
        <v>4</v>
      </c>
      <c r="C2856">
        <v>99</v>
      </c>
      <c r="D2856" t="str">
        <f>VLOOKUP($C2856,products!$A$1:$F$322,MATCH(order_items!$D$1,products!$A$1:$F$1,0),FALSE)</f>
        <v>Electra Sugar Skulls 1 (20-inch) - Girl's - 2017</v>
      </c>
      <c r="E2856">
        <f>VLOOKUP($C2856,products!$A$1:$F$322,MATCH(order_items!$E$1,products!$A$1:$F$1,0),FALSE)</f>
        <v>1</v>
      </c>
      <c r="F2856" t="str">
        <f>VLOOKUP($E2856,categories!$A$1:$B$8,MATCH(order_items!$F$1,categories!$A$1:$B$1,0),FALSE)</f>
        <v>Children Bicycles</v>
      </c>
      <c r="G2856">
        <v>2</v>
      </c>
      <c r="H2856">
        <v>299.99</v>
      </c>
      <c r="I2856" s="5">
        <v>7.0000000000000007E-2</v>
      </c>
      <c r="J2856">
        <f t="shared" si="88"/>
        <v>557.98140000000001</v>
      </c>
      <c r="K2856" s="9">
        <f t="shared" si="89"/>
        <v>-0.67476028104499197</v>
      </c>
    </row>
    <row r="2857" spans="1:11" x14ac:dyDescent="0.3">
      <c r="A2857">
        <v>993</v>
      </c>
      <c r="B2857">
        <v>5</v>
      </c>
      <c r="C2857">
        <v>79</v>
      </c>
      <c r="D2857" t="str">
        <f>VLOOKUP($C2857,products!$A$1:$F$322,MATCH(order_items!$D$1,products!$A$1:$F$1,0),FALSE)</f>
        <v>Sun Bicycles Boardwalk (24-inch Wheels) - 2017</v>
      </c>
      <c r="E2857">
        <f>VLOOKUP($C2857,products!$A$1:$F$322,MATCH(order_items!$E$1,products!$A$1:$F$1,0),FALSE)</f>
        <v>3</v>
      </c>
      <c r="F2857" t="str">
        <f>VLOOKUP($E2857,categories!$A$1:$B$8,MATCH(order_items!$F$1,categories!$A$1:$B$1,0),FALSE)</f>
        <v>Cruisers Bicycles</v>
      </c>
      <c r="G2857">
        <v>2</v>
      </c>
      <c r="H2857">
        <v>402.99</v>
      </c>
      <c r="I2857" s="5">
        <v>0.1</v>
      </c>
      <c r="J2857">
        <f t="shared" si="88"/>
        <v>725.38200000000006</v>
      </c>
      <c r="K2857" s="9">
        <f t="shared" si="89"/>
        <v>-0.59861373992284295</v>
      </c>
    </row>
    <row r="2858" spans="1:11" x14ac:dyDescent="0.3">
      <c r="A2858">
        <v>994</v>
      </c>
      <c r="B2858">
        <v>1</v>
      </c>
      <c r="C2858">
        <v>37</v>
      </c>
      <c r="D2858" t="str">
        <f>VLOOKUP($C2858,products!$A$1:$F$322,MATCH(order_items!$D$1,products!$A$1:$F$1,0),FALSE)</f>
        <v>Haro Flightline One ST - 2017</v>
      </c>
      <c r="E2858">
        <f>VLOOKUP($C2858,products!$A$1:$F$322,MATCH(order_items!$E$1,products!$A$1:$F$1,0),FALSE)</f>
        <v>6</v>
      </c>
      <c r="F2858" t="str">
        <f>VLOOKUP($E2858,categories!$A$1:$B$8,MATCH(order_items!$F$1,categories!$A$1:$B$1,0),FALSE)</f>
        <v>Mountain Bikes</v>
      </c>
      <c r="G2858">
        <v>2</v>
      </c>
      <c r="H2858">
        <v>379.99</v>
      </c>
      <c r="I2858" s="5">
        <v>0.1</v>
      </c>
      <c r="J2858">
        <f t="shared" si="88"/>
        <v>683.98200000000008</v>
      </c>
      <c r="K2858" s="9">
        <f t="shared" si="89"/>
        <v>-0.61561733648409955</v>
      </c>
    </row>
    <row r="2859" spans="1:11" x14ac:dyDescent="0.3">
      <c r="A2859">
        <v>994</v>
      </c>
      <c r="B2859">
        <v>2</v>
      </c>
      <c r="C2859">
        <v>45</v>
      </c>
      <c r="D2859" t="str">
        <f>VLOOKUP($C2859,products!$A$1:$F$322,MATCH(order_items!$D$1,products!$A$1:$F$1,0),FALSE)</f>
        <v>Haro SR 1.2 - 2017</v>
      </c>
      <c r="E2859">
        <f>VLOOKUP($C2859,products!$A$1:$F$322,MATCH(order_items!$E$1,products!$A$1:$F$1,0),FALSE)</f>
        <v>6</v>
      </c>
      <c r="F2859" t="str">
        <f>VLOOKUP($E2859,categories!$A$1:$B$8,MATCH(order_items!$F$1,categories!$A$1:$B$1,0),FALSE)</f>
        <v>Mountain Bikes</v>
      </c>
      <c r="G2859">
        <v>1</v>
      </c>
      <c r="H2859">
        <v>869.99</v>
      </c>
      <c r="I2859" s="5">
        <v>0.2</v>
      </c>
      <c r="J2859">
        <f t="shared" si="88"/>
        <v>695.99200000000008</v>
      </c>
      <c r="K2859" s="9">
        <f t="shared" si="89"/>
        <v>-0.25336680104863324</v>
      </c>
    </row>
    <row r="2860" spans="1:11" x14ac:dyDescent="0.3">
      <c r="A2860">
        <v>994</v>
      </c>
      <c r="B2860">
        <v>3</v>
      </c>
      <c r="C2860">
        <v>66</v>
      </c>
      <c r="D2860" t="str">
        <f>VLOOKUP($C2860,products!$A$1:$F$322,MATCH(order_items!$D$1,products!$A$1:$F$1,0),FALSE)</f>
        <v>Sun Bicycles Revolutions 24 - 2017</v>
      </c>
      <c r="E2860">
        <f>VLOOKUP($C2860,products!$A$1:$F$322,MATCH(order_items!$E$1,products!$A$1:$F$1,0),FALSE)</f>
        <v>3</v>
      </c>
      <c r="F2860" t="str">
        <f>VLOOKUP($E2860,categories!$A$1:$B$8,MATCH(order_items!$F$1,categories!$A$1:$B$1,0),FALSE)</f>
        <v>Cruisers Bicycles</v>
      </c>
      <c r="G2860">
        <v>1</v>
      </c>
      <c r="H2860">
        <v>250.99</v>
      </c>
      <c r="I2860" s="5">
        <v>7.0000000000000007E-2</v>
      </c>
      <c r="J2860">
        <f t="shared" si="88"/>
        <v>233.42069999999998</v>
      </c>
      <c r="K2860" s="9">
        <f t="shared" si="89"/>
        <v>-0.71098533458853863</v>
      </c>
    </row>
    <row r="2861" spans="1:11" x14ac:dyDescent="0.3">
      <c r="A2861">
        <v>995</v>
      </c>
      <c r="B2861">
        <v>1</v>
      </c>
      <c r="C2861">
        <v>16</v>
      </c>
      <c r="D2861" t="str">
        <f>VLOOKUP($C2861,products!$A$1:$F$322,MATCH(order_items!$D$1,products!$A$1:$F$1,0),FALSE)</f>
        <v>Electra Townie Original 7D EQ - 2016</v>
      </c>
      <c r="E2861">
        <f>VLOOKUP($C2861,products!$A$1:$F$322,MATCH(order_items!$E$1,products!$A$1:$F$1,0),FALSE)</f>
        <v>3</v>
      </c>
      <c r="F2861" t="str">
        <f>VLOOKUP($E2861,categories!$A$1:$B$8,MATCH(order_items!$F$1,categories!$A$1:$B$1,0),FALSE)</f>
        <v>Cruisers Bicycles</v>
      </c>
      <c r="G2861">
        <v>2</v>
      </c>
      <c r="H2861">
        <v>599.99</v>
      </c>
      <c r="I2861" s="5">
        <v>0.1</v>
      </c>
      <c r="J2861">
        <f t="shared" si="88"/>
        <v>1079.982</v>
      </c>
      <c r="K2861" s="9">
        <f t="shared" si="89"/>
        <v>-0.45297423894164529</v>
      </c>
    </row>
    <row r="2862" spans="1:11" x14ac:dyDescent="0.3">
      <c r="A2862">
        <v>995</v>
      </c>
      <c r="B2862">
        <v>2</v>
      </c>
      <c r="C2862">
        <v>90</v>
      </c>
      <c r="D2862" t="str">
        <f>VLOOKUP($C2862,products!$A$1:$F$322,MATCH(order_items!$D$1,products!$A$1:$F$1,0),FALSE)</f>
        <v>Trek Precaliber 16 Girls - 2017</v>
      </c>
      <c r="E2862">
        <f>VLOOKUP($C2862,products!$A$1:$F$322,MATCH(order_items!$E$1,products!$A$1:$F$1,0),FALSE)</f>
        <v>1</v>
      </c>
      <c r="F2862" t="str">
        <f>VLOOKUP($E2862,categories!$A$1:$B$8,MATCH(order_items!$F$1,categories!$A$1:$B$1,0),FALSE)</f>
        <v>Children Bicycles</v>
      </c>
      <c r="G2862">
        <v>1</v>
      </c>
      <c r="H2862">
        <v>209.99</v>
      </c>
      <c r="I2862" s="5">
        <v>0.2</v>
      </c>
      <c r="J2862">
        <f t="shared" si="88"/>
        <v>167.99200000000002</v>
      </c>
      <c r="K2862" s="9">
        <f t="shared" si="89"/>
        <v>-0.74129609367599603</v>
      </c>
    </row>
    <row r="2863" spans="1:11" x14ac:dyDescent="0.3">
      <c r="A2863">
        <v>995</v>
      </c>
      <c r="B2863">
        <v>3</v>
      </c>
      <c r="C2863">
        <v>101</v>
      </c>
      <c r="D2863" t="str">
        <f>VLOOKUP($C2863,products!$A$1:$F$322,MATCH(order_items!$D$1,products!$A$1:$F$1,0),FALSE)</f>
        <v>Electra Townie 7D (20-inch) - Boys' - 2017</v>
      </c>
      <c r="E2863">
        <f>VLOOKUP($C2863,products!$A$1:$F$322,MATCH(order_items!$E$1,products!$A$1:$F$1,0),FALSE)</f>
        <v>1</v>
      </c>
      <c r="F2863" t="str">
        <f>VLOOKUP($E2863,categories!$A$1:$B$8,MATCH(order_items!$F$1,categories!$A$1:$B$1,0),FALSE)</f>
        <v>Children Bicycles</v>
      </c>
      <c r="G2863">
        <v>1</v>
      </c>
      <c r="H2863">
        <v>339.99</v>
      </c>
      <c r="I2863" s="5">
        <v>0.1</v>
      </c>
      <c r="J2863">
        <f t="shared" si="88"/>
        <v>305.99100000000004</v>
      </c>
      <c r="K2863" s="9">
        <f t="shared" si="89"/>
        <v>-0.64518880876454576</v>
      </c>
    </row>
    <row r="2864" spans="1:11" x14ac:dyDescent="0.3">
      <c r="A2864">
        <v>996</v>
      </c>
      <c r="B2864">
        <v>1</v>
      </c>
      <c r="C2864">
        <v>68</v>
      </c>
      <c r="D2864" t="str">
        <f>VLOOKUP($C2864,products!$A$1:$F$322,MATCH(order_items!$D$1,products!$A$1:$F$1,0),FALSE)</f>
        <v>Sun Bicycles Cruz 3 - 2017</v>
      </c>
      <c r="E2864">
        <f>VLOOKUP($C2864,products!$A$1:$F$322,MATCH(order_items!$E$1,products!$A$1:$F$1,0),FALSE)</f>
        <v>3</v>
      </c>
      <c r="F2864" t="str">
        <f>VLOOKUP($E2864,categories!$A$1:$B$8,MATCH(order_items!$F$1,categories!$A$1:$B$1,0),FALSE)</f>
        <v>Cruisers Bicycles</v>
      </c>
      <c r="G2864">
        <v>2</v>
      </c>
      <c r="H2864">
        <v>449.99</v>
      </c>
      <c r="I2864" s="5">
        <v>0.05</v>
      </c>
      <c r="J2864">
        <f t="shared" si="88"/>
        <v>854.98099999999999</v>
      </c>
      <c r="K2864" s="9">
        <f t="shared" si="89"/>
        <v>-0.56386725999331866</v>
      </c>
    </row>
    <row r="2865" spans="1:11" x14ac:dyDescent="0.3">
      <c r="A2865">
        <v>996</v>
      </c>
      <c r="B2865">
        <v>2</v>
      </c>
      <c r="C2865">
        <v>32</v>
      </c>
      <c r="D2865" t="str">
        <f>VLOOKUP($C2865,products!$A$1:$F$322,MATCH(order_items!$D$1,products!$A$1:$F$1,0),FALSE)</f>
        <v>Trek Farley Alloy Frameset - 2017</v>
      </c>
      <c r="E2865">
        <f>VLOOKUP($C2865,products!$A$1:$F$322,MATCH(order_items!$E$1,products!$A$1:$F$1,0),FALSE)</f>
        <v>6</v>
      </c>
      <c r="F2865" t="str">
        <f>VLOOKUP($E2865,categories!$A$1:$B$8,MATCH(order_items!$F$1,categories!$A$1:$B$1,0),FALSE)</f>
        <v>Mountain Bikes</v>
      </c>
      <c r="G2865">
        <v>1</v>
      </c>
      <c r="H2865">
        <v>469.99</v>
      </c>
      <c r="I2865" s="5">
        <v>0.05</v>
      </c>
      <c r="J2865">
        <f t="shared" si="88"/>
        <v>446.4905</v>
      </c>
      <c r="K2865" s="9">
        <f t="shared" si="89"/>
        <v>-0.5490815238530955</v>
      </c>
    </row>
    <row r="2866" spans="1:11" x14ac:dyDescent="0.3">
      <c r="A2866">
        <v>997</v>
      </c>
      <c r="B2866">
        <v>1</v>
      </c>
      <c r="C2866">
        <v>86</v>
      </c>
      <c r="D2866" t="str">
        <f>VLOOKUP($C2866,products!$A$1:$F$322,MATCH(order_items!$D$1,products!$A$1:$F$1,0),FALSE)</f>
        <v>Trek Girl's Kickster - 2017</v>
      </c>
      <c r="E2866">
        <f>VLOOKUP($C2866,products!$A$1:$F$322,MATCH(order_items!$E$1,products!$A$1:$F$1,0),FALSE)</f>
        <v>1</v>
      </c>
      <c r="F2866" t="str">
        <f>VLOOKUP($E2866,categories!$A$1:$B$8,MATCH(order_items!$F$1,categories!$A$1:$B$1,0),FALSE)</f>
        <v>Children Bicycles</v>
      </c>
      <c r="G2866">
        <v>2</v>
      </c>
      <c r="H2866">
        <v>149.99</v>
      </c>
      <c r="I2866" s="5">
        <v>7.0000000000000007E-2</v>
      </c>
      <c r="J2866">
        <f t="shared" si="88"/>
        <v>278.98140000000001</v>
      </c>
      <c r="K2866" s="9">
        <f t="shared" si="89"/>
        <v>-0.7856533020966654</v>
      </c>
    </row>
    <row r="2867" spans="1:11" x14ac:dyDescent="0.3">
      <c r="A2867">
        <v>997</v>
      </c>
      <c r="B2867">
        <v>2</v>
      </c>
      <c r="C2867">
        <v>105</v>
      </c>
      <c r="D2867" t="str">
        <f>VLOOKUP($C2867,products!$A$1:$F$322,MATCH(order_items!$D$1,products!$A$1:$F$1,0),FALSE)</f>
        <v>Sun Bicycles Streamway 7 - 2017</v>
      </c>
      <c r="E2867">
        <f>VLOOKUP($C2867,products!$A$1:$F$322,MATCH(order_items!$E$1,products!$A$1:$F$1,0),FALSE)</f>
        <v>2</v>
      </c>
      <c r="F2867" t="str">
        <f>VLOOKUP($E2867,categories!$A$1:$B$8,MATCH(order_items!$F$1,categories!$A$1:$B$1,0),FALSE)</f>
        <v>Comfort Bicycles</v>
      </c>
      <c r="G2867">
        <v>2</v>
      </c>
      <c r="H2867">
        <v>533.99</v>
      </c>
      <c r="I2867" s="5">
        <v>0.2</v>
      </c>
      <c r="J2867">
        <f t="shared" si="88"/>
        <v>854.38400000000001</v>
      </c>
      <c r="K2867" s="9">
        <f t="shared" si="89"/>
        <v>-0.50176716820438161</v>
      </c>
    </row>
    <row r="2868" spans="1:11" x14ac:dyDescent="0.3">
      <c r="A2868">
        <v>997</v>
      </c>
      <c r="B2868">
        <v>3</v>
      </c>
      <c r="C2868">
        <v>14</v>
      </c>
      <c r="D2868" t="str">
        <f>VLOOKUP($C2868,products!$A$1:$F$322,MATCH(order_items!$D$1,products!$A$1:$F$1,0),FALSE)</f>
        <v>Electra Girl's Hawaii 1 (16-inch) - 2015/2016</v>
      </c>
      <c r="E2868">
        <f>VLOOKUP($C2868,products!$A$1:$F$322,MATCH(order_items!$E$1,products!$A$1:$F$1,0),FALSE)</f>
        <v>3</v>
      </c>
      <c r="F2868" t="str">
        <f>VLOOKUP($E2868,categories!$A$1:$B$8,MATCH(order_items!$F$1,categories!$A$1:$B$1,0),FALSE)</f>
        <v>Cruisers Bicycles</v>
      </c>
      <c r="G2868">
        <v>2</v>
      </c>
      <c r="H2868">
        <v>269.99</v>
      </c>
      <c r="I2868" s="5">
        <v>7.0000000000000007E-2</v>
      </c>
      <c r="J2868">
        <f t="shared" si="88"/>
        <v>502.1814</v>
      </c>
      <c r="K2868" s="9">
        <f t="shared" si="89"/>
        <v>-0.69693888525532666</v>
      </c>
    </row>
    <row r="2869" spans="1:11" x14ac:dyDescent="0.3">
      <c r="A2869">
        <v>998</v>
      </c>
      <c r="B2869">
        <v>1</v>
      </c>
      <c r="C2869">
        <v>26</v>
      </c>
      <c r="D2869" t="str">
        <f>VLOOKUP($C2869,products!$A$1:$F$322,MATCH(order_items!$D$1,products!$A$1:$F$1,0),FALSE)</f>
        <v>Electra Townie Original 7D EQ - 2016</v>
      </c>
      <c r="E2869">
        <f>VLOOKUP($C2869,products!$A$1:$F$322,MATCH(order_items!$E$1,products!$A$1:$F$1,0),FALSE)</f>
        <v>2</v>
      </c>
      <c r="F2869" t="str">
        <f>VLOOKUP($E2869,categories!$A$1:$B$8,MATCH(order_items!$F$1,categories!$A$1:$B$1,0),FALSE)</f>
        <v>Comfort Bicycles</v>
      </c>
      <c r="G2869">
        <v>2</v>
      </c>
      <c r="H2869">
        <v>599.99</v>
      </c>
      <c r="I2869" s="5">
        <v>0.05</v>
      </c>
      <c r="J2869">
        <f t="shared" si="88"/>
        <v>1139.981</v>
      </c>
      <c r="K2869" s="9">
        <f t="shared" si="89"/>
        <v>-0.45297423894164529</v>
      </c>
    </row>
    <row r="2870" spans="1:11" x14ac:dyDescent="0.3">
      <c r="A2870">
        <v>998</v>
      </c>
      <c r="B2870">
        <v>2</v>
      </c>
      <c r="C2870">
        <v>105</v>
      </c>
      <c r="D2870" t="str">
        <f>VLOOKUP($C2870,products!$A$1:$F$322,MATCH(order_items!$D$1,products!$A$1:$F$1,0),FALSE)</f>
        <v>Sun Bicycles Streamway 7 - 2017</v>
      </c>
      <c r="E2870">
        <f>VLOOKUP($C2870,products!$A$1:$F$322,MATCH(order_items!$E$1,products!$A$1:$F$1,0),FALSE)</f>
        <v>2</v>
      </c>
      <c r="F2870" t="str">
        <f>VLOOKUP($E2870,categories!$A$1:$B$8,MATCH(order_items!$F$1,categories!$A$1:$B$1,0),FALSE)</f>
        <v>Comfort Bicycles</v>
      </c>
      <c r="G2870">
        <v>1</v>
      </c>
      <c r="H2870">
        <v>533.99</v>
      </c>
      <c r="I2870" s="5">
        <v>0.2</v>
      </c>
      <c r="J2870">
        <f t="shared" si="88"/>
        <v>427.19200000000001</v>
      </c>
      <c r="K2870" s="9">
        <f t="shared" si="89"/>
        <v>-0.50176716820438161</v>
      </c>
    </row>
    <row r="2871" spans="1:11" x14ac:dyDescent="0.3">
      <c r="A2871">
        <v>999</v>
      </c>
      <c r="B2871">
        <v>1</v>
      </c>
      <c r="C2871">
        <v>70</v>
      </c>
      <c r="D2871" t="str">
        <f>VLOOKUP($C2871,products!$A$1:$F$322,MATCH(order_items!$D$1,products!$A$1:$F$1,0),FALSE)</f>
        <v>Electra Amsterdam Original 3i - 2015/2017</v>
      </c>
      <c r="E2871">
        <f>VLOOKUP($C2871,products!$A$1:$F$322,MATCH(order_items!$E$1,products!$A$1:$F$1,0),FALSE)</f>
        <v>3</v>
      </c>
      <c r="F2871" t="str">
        <f>VLOOKUP($E2871,categories!$A$1:$B$8,MATCH(order_items!$F$1,categories!$A$1:$B$1,0),FALSE)</f>
        <v>Cruisers Bicycles</v>
      </c>
      <c r="G2871">
        <v>2</v>
      </c>
      <c r="H2871">
        <v>659.99</v>
      </c>
      <c r="I2871" s="5">
        <v>7.0000000000000007E-2</v>
      </c>
      <c r="J2871">
        <f t="shared" si="88"/>
        <v>1227.5814</v>
      </c>
      <c r="K2871" s="9">
        <f t="shared" si="89"/>
        <v>-0.40861703052097592</v>
      </c>
    </row>
    <row r="2872" spans="1:11" x14ac:dyDescent="0.3">
      <c r="A2872">
        <v>999</v>
      </c>
      <c r="B2872">
        <v>2</v>
      </c>
      <c r="C2872">
        <v>106</v>
      </c>
      <c r="D2872" t="str">
        <f>VLOOKUP($C2872,products!$A$1:$F$322,MATCH(order_items!$D$1,products!$A$1:$F$1,0),FALSE)</f>
        <v>Sun Bicycles Cruz 3 - 2017</v>
      </c>
      <c r="E2872">
        <f>VLOOKUP($C2872,products!$A$1:$F$322,MATCH(order_items!$E$1,products!$A$1:$F$1,0),FALSE)</f>
        <v>2</v>
      </c>
      <c r="F2872" t="str">
        <f>VLOOKUP($E2872,categories!$A$1:$B$8,MATCH(order_items!$F$1,categories!$A$1:$B$1,0),FALSE)</f>
        <v>Comfort Bicycles</v>
      </c>
      <c r="G2872">
        <v>1</v>
      </c>
      <c r="H2872">
        <v>449.99</v>
      </c>
      <c r="I2872" s="5">
        <v>0.05</v>
      </c>
      <c r="J2872">
        <f t="shared" si="88"/>
        <v>427.4905</v>
      </c>
      <c r="K2872" s="9">
        <f t="shared" si="89"/>
        <v>-0.56386725999331866</v>
      </c>
    </row>
    <row r="2873" spans="1:11" x14ac:dyDescent="0.3">
      <c r="A2873">
        <v>1000</v>
      </c>
      <c r="B2873">
        <v>1</v>
      </c>
      <c r="C2873">
        <v>65</v>
      </c>
      <c r="D2873" t="str">
        <f>VLOOKUP($C2873,products!$A$1:$F$322,MATCH(order_items!$D$1,products!$A$1:$F$1,0),FALSE)</f>
        <v>Sun Bicycles Lil Bolt Type-R - 2017</v>
      </c>
      <c r="E2873">
        <f>VLOOKUP($C2873,products!$A$1:$F$322,MATCH(order_items!$E$1,products!$A$1:$F$1,0),FALSE)</f>
        <v>3</v>
      </c>
      <c r="F2873" t="str">
        <f>VLOOKUP($E2873,categories!$A$1:$B$8,MATCH(order_items!$F$1,categories!$A$1:$B$1,0),FALSE)</f>
        <v>Cruisers Bicycles</v>
      </c>
      <c r="G2873">
        <v>2</v>
      </c>
      <c r="H2873">
        <v>346.99</v>
      </c>
      <c r="I2873" s="5">
        <v>0.05</v>
      </c>
      <c r="J2873">
        <f t="shared" si="88"/>
        <v>659.28099999999995</v>
      </c>
      <c r="K2873" s="9">
        <f t="shared" si="89"/>
        <v>-0.64001380111546768</v>
      </c>
    </row>
    <row r="2874" spans="1:11" x14ac:dyDescent="0.3">
      <c r="A2874">
        <v>1000</v>
      </c>
      <c r="B2874">
        <v>2</v>
      </c>
      <c r="C2874">
        <v>111</v>
      </c>
      <c r="D2874" t="str">
        <f>VLOOKUP($C2874,products!$A$1:$F$322,MATCH(order_items!$D$1,products!$A$1:$F$1,0),FALSE)</f>
        <v>Sun Bicycles Drifter 7 - Women's - 2017</v>
      </c>
      <c r="E2874">
        <f>VLOOKUP($C2874,products!$A$1:$F$322,MATCH(order_items!$E$1,products!$A$1:$F$1,0),FALSE)</f>
        <v>2</v>
      </c>
      <c r="F2874" t="str">
        <f>VLOOKUP($E2874,categories!$A$1:$B$8,MATCH(order_items!$F$1,categories!$A$1:$B$1,0),FALSE)</f>
        <v>Comfort Bicycles</v>
      </c>
      <c r="G2874">
        <v>1</v>
      </c>
      <c r="H2874">
        <v>470.99</v>
      </c>
      <c r="I2874" s="5">
        <v>0.1</v>
      </c>
      <c r="J2874">
        <f t="shared" si="88"/>
        <v>423.89100000000002</v>
      </c>
      <c r="K2874" s="9">
        <f t="shared" si="89"/>
        <v>-0.54834223704608442</v>
      </c>
    </row>
    <row r="2875" spans="1:11" x14ac:dyDescent="0.3">
      <c r="A2875">
        <v>1000</v>
      </c>
      <c r="B2875">
        <v>3</v>
      </c>
      <c r="C2875">
        <v>19</v>
      </c>
      <c r="D2875" t="str">
        <f>VLOOKUP($C2875,products!$A$1:$F$322,MATCH(order_items!$D$1,products!$A$1:$F$1,0),FALSE)</f>
        <v>Pure Cycles William 3-Speed - 2016</v>
      </c>
      <c r="E2875">
        <f>VLOOKUP($C2875,products!$A$1:$F$322,MATCH(order_items!$E$1,products!$A$1:$F$1,0),FALSE)</f>
        <v>3</v>
      </c>
      <c r="F2875" t="str">
        <f>VLOOKUP($E2875,categories!$A$1:$B$8,MATCH(order_items!$F$1,categories!$A$1:$B$1,0),FALSE)</f>
        <v>Cruisers Bicycles</v>
      </c>
      <c r="G2875">
        <v>2</v>
      </c>
      <c r="H2875">
        <v>449</v>
      </c>
      <c r="I2875" s="5">
        <v>7.0000000000000007E-2</v>
      </c>
      <c r="J2875">
        <f t="shared" si="88"/>
        <v>835.14</v>
      </c>
      <c r="K2875" s="9">
        <f t="shared" si="89"/>
        <v>-0.56459915393225968</v>
      </c>
    </row>
    <row r="2876" spans="1:11" x14ac:dyDescent="0.3">
      <c r="A2876">
        <v>1000</v>
      </c>
      <c r="B2876">
        <v>4</v>
      </c>
      <c r="C2876">
        <v>29</v>
      </c>
      <c r="D2876" t="str">
        <f>VLOOKUP($C2876,products!$A$1:$F$322,MATCH(order_items!$D$1,products!$A$1:$F$1,0),FALSE)</f>
        <v>Trek X-Caliber 8 - 2017</v>
      </c>
      <c r="E2876">
        <f>VLOOKUP($C2876,products!$A$1:$F$322,MATCH(order_items!$E$1,products!$A$1:$F$1,0),FALSE)</f>
        <v>6</v>
      </c>
      <c r="F2876" t="str">
        <f>VLOOKUP($E2876,categories!$A$1:$B$8,MATCH(order_items!$F$1,categories!$A$1:$B$1,0),FALSE)</f>
        <v>Mountain Bikes</v>
      </c>
      <c r="G2876">
        <v>2</v>
      </c>
      <c r="H2876">
        <v>999.99</v>
      </c>
      <c r="I2876" s="5">
        <v>0.05</v>
      </c>
      <c r="J2876">
        <f t="shared" si="88"/>
        <v>1899.981</v>
      </c>
      <c r="K2876" s="9">
        <f t="shared" si="89"/>
        <v>-0.15725951613718298</v>
      </c>
    </row>
    <row r="2877" spans="1:11" x14ac:dyDescent="0.3">
      <c r="A2877">
        <v>1001</v>
      </c>
      <c r="B2877">
        <v>1</v>
      </c>
      <c r="C2877">
        <v>72</v>
      </c>
      <c r="D2877" t="str">
        <f>VLOOKUP($C2877,products!$A$1:$F$322,MATCH(order_items!$D$1,products!$A$1:$F$1,0),FALSE)</f>
        <v>Sun Bicycles Biscayne Tandem 7 - 2017</v>
      </c>
      <c r="E2877">
        <f>VLOOKUP($C2877,products!$A$1:$F$322,MATCH(order_items!$E$1,products!$A$1:$F$1,0),FALSE)</f>
        <v>3</v>
      </c>
      <c r="F2877" t="str">
        <f>VLOOKUP($E2877,categories!$A$1:$B$8,MATCH(order_items!$F$1,categories!$A$1:$B$1,0),FALSE)</f>
        <v>Cruisers Bicycles</v>
      </c>
      <c r="G2877">
        <v>1</v>
      </c>
      <c r="H2877">
        <v>619.99</v>
      </c>
      <c r="I2877" s="5">
        <v>0.05</v>
      </c>
      <c r="J2877">
        <f t="shared" si="88"/>
        <v>588.9905</v>
      </c>
      <c r="K2877" s="9">
        <f t="shared" si="89"/>
        <v>-0.43818850280142219</v>
      </c>
    </row>
    <row r="2878" spans="1:11" x14ac:dyDescent="0.3">
      <c r="A2878">
        <v>1001</v>
      </c>
      <c r="B2878">
        <v>2</v>
      </c>
      <c r="C2878">
        <v>45</v>
      </c>
      <c r="D2878" t="str">
        <f>VLOOKUP($C2878,products!$A$1:$F$322,MATCH(order_items!$D$1,products!$A$1:$F$1,0),FALSE)</f>
        <v>Haro SR 1.2 - 2017</v>
      </c>
      <c r="E2878">
        <f>VLOOKUP($C2878,products!$A$1:$F$322,MATCH(order_items!$E$1,products!$A$1:$F$1,0),FALSE)</f>
        <v>6</v>
      </c>
      <c r="F2878" t="str">
        <f>VLOOKUP($E2878,categories!$A$1:$B$8,MATCH(order_items!$F$1,categories!$A$1:$B$1,0),FALSE)</f>
        <v>Mountain Bikes</v>
      </c>
      <c r="G2878">
        <v>2</v>
      </c>
      <c r="H2878">
        <v>869.99</v>
      </c>
      <c r="I2878" s="5">
        <v>0.05</v>
      </c>
      <c r="J2878">
        <f t="shared" si="88"/>
        <v>1652.981</v>
      </c>
      <c r="K2878" s="9">
        <f t="shared" si="89"/>
        <v>-0.25336680104863324</v>
      </c>
    </row>
    <row r="2879" spans="1:11" x14ac:dyDescent="0.3">
      <c r="A2879">
        <v>1001</v>
      </c>
      <c r="B2879">
        <v>3</v>
      </c>
      <c r="C2879">
        <v>58</v>
      </c>
      <c r="D2879" t="str">
        <f>VLOOKUP($C2879,products!$A$1:$F$322,MATCH(order_items!$D$1,products!$A$1:$F$1,0),FALSE)</f>
        <v>Trek Madone 9.2 - 2017</v>
      </c>
      <c r="E2879">
        <f>VLOOKUP($C2879,products!$A$1:$F$322,MATCH(order_items!$E$1,products!$A$1:$F$1,0),FALSE)</f>
        <v>7</v>
      </c>
      <c r="F2879" t="str">
        <f>VLOOKUP($E2879,categories!$A$1:$B$8,MATCH(order_items!$F$1,categories!$A$1:$B$1,0),FALSE)</f>
        <v>Road Bikes</v>
      </c>
      <c r="G2879">
        <v>1</v>
      </c>
      <c r="H2879">
        <v>4999.99</v>
      </c>
      <c r="I2879" s="5">
        <v>0.1</v>
      </c>
      <c r="J2879">
        <f t="shared" si="88"/>
        <v>4499.991</v>
      </c>
      <c r="K2879" s="9">
        <f t="shared" si="89"/>
        <v>2.7998877119074401</v>
      </c>
    </row>
    <row r="2880" spans="1:11" x14ac:dyDescent="0.3">
      <c r="A2880">
        <v>1001</v>
      </c>
      <c r="B2880">
        <v>4</v>
      </c>
      <c r="C2880">
        <v>111</v>
      </c>
      <c r="D2880" t="str">
        <f>VLOOKUP($C2880,products!$A$1:$F$322,MATCH(order_items!$D$1,products!$A$1:$F$1,0),FALSE)</f>
        <v>Sun Bicycles Drifter 7 - Women's - 2017</v>
      </c>
      <c r="E2880">
        <f>VLOOKUP($C2880,products!$A$1:$F$322,MATCH(order_items!$E$1,products!$A$1:$F$1,0),FALSE)</f>
        <v>2</v>
      </c>
      <c r="F2880" t="str">
        <f>VLOOKUP($E2880,categories!$A$1:$B$8,MATCH(order_items!$F$1,categories!$A$1:$B$1,0),FALSE)</f>
        <v>Comfort Bicycles</v>
      </c>
      <c r="G2880">
        <v>1</v>
      </c>
      <c r="H2880">
        <v>470.99</v>
      </c>
      <c r="I2880" s="5">
        <v>7.0000000000000007E-2</v>
      </c>
      <c r="J2880">
        <f t="shared" si="88"/>
        <v>438.02069999999998</v>
      </c>
      <c r="K2880" s="9">
        <f t="shared" si="89"/>
        <v>-0.54834223704608442</v>
      </c>
    </row>
    <row r="2881" spans="1:11" x14ac:dyDescent="0.3">
      <c r="A2881">
        <v>1002</v>
      </c>
      <c r="B2881">
        <v>1</v>
      </c>
      <c r="C2881">
        <v>100</v>
      </c>
      <c r="D2881" t="str">
        <f>VLOOKUP($C2881,products!$A$1:$F$322,MATCH(order_items!$D$1,products!$A$1:$F$1,0),FALSE)</f>
        <v>Electra Townie 3i EQ (20-inch) - Boys' - 2017</v>
      </c>
      <c r="E2881">
        <f>VLOOKUP($C2881,products!$A$1:$F$322,MATCH(order_items!$E$1,products!$A$1:$F$1,0),FALSE)</f>
        <v>1</v>
      </c>
      <c r="F2881" t="str">
        <f>VLOOKUP($E2881,categories!$A$1:$B$8,MATCH(order_items!$F$1,categories!$A$1:$B$1,0),FALSE)</f>
        <v>Children Bicycles</v>
      </c>
      <c r="G2881">
        <v>1</v>
      </c>
      <c r="H2881">
        <v>489.99</v>
      </c>
      <c r="I2881" s="5">
        <v>0.05</v>
      </c>
      <c r="J2881">
        <f t="shared" si="88"/>
        <v>465.4905</v>
      </c>
      <c r="K2881" s="9">
        <f t="shared" si="89"/>
        <v>-0.53429578771287245</v>
      </c>
    </row>
    <row r="2882" spans="1:11" x14ac:dyDescent="0.3">
      <c r="A2882">
        <v>1002</v>
      </c>
      <c r="B2882">
        <v>2</v>
      </c>
      <c r="C2882">
        <v>83</v>
      </c>
      <c r="D2882" t="str">
        <f>VLOOKUP($C2882,products!$A$1:$F$322,MATCH(order_items!$D$1,products!$A$1:$F$1,0),FALSE)</f>
        <v>Trek Boy's Kickster - 2015/2017</v>
      </c>
      <c r="E2882">
        <f>VLOOKUP($C2882,products!$A$1:$F$322,MATCH(order_items!$E$1,products!$A$1:$F$1,0),FALSE)</f>
        <v>1</v>
      </c>
      <c r="F2882" t="str">
        <f>VLOOKUP($E2882,categories!$A$1:$B$8,MATCH(order_items!$F$1,categories!$A$1:$B$1,0),FALSE)</f>
        <v>Children Bicycles</v>
      </c>
      <c r="G2882">
        <v>1</v>
      </c>
      <c r="H2882">
        <v>149.99</v>
      </c>
      <c r="I2882" s="5">
        <v>0.1</v>
      </c>
      <c r="J2882">
        <f t="shared" ref="J2882:J2945" si="90">G2882*H2882*(1-I2882)</f>
        <v>134.99100000000001</v>
      </c>
      <c r="K2882" s="9">
        <f t="shared" ref="K2882:K2945" si="91">($H2882-$M$7)/$M$9</f>
        <v>-0.7856533020966654</v>
      </c>
    </row>
    <row r="2883" spans="1:11" x14ac:dyDescent="0.3">
      <c r="A2883">
        <v>1002</v>
      </c>
      <c r="B2883">
        <v>3</v>
      </c>
      <c r="C2883">
        <v>8</v>
      </c>
      <c r="D2883" t="str">
        <f>VLOOKUP($C2883,products!$A$1:$F$322,MATCH(order_items!$D$1,products!$A$1:$F$1,0),FALSE)</f>
        <v>Trek Remedy 29 Carbon Frameset - 2016</v>
      </c>
      <c r="E2883">
        <f>VLOOKUP($C2883,products!$A$1:$F$322,MATCH(order_items!$E$1,products!$A$1:$F$1,0),FALSE)</f>
        <v>6</v>
      </c>
      <c r="F2883" t="str">
        <f>VLOOKUP($E2883,categories!$A$1:$B$8,MATCH(order_items!$F$1,categories!$A$1:$B$1,0),FALSE)</f>
        <v>Mountain Bikes</v>
      </c>
      <c r="G2883">
        <v>2</v>
      </c>
      <c r="H2883">
        <v>1799.99</v>
      </c>
      <c r="I2883" s="5">
        <v>0.1</v>
      </c>
      <c r="J2883">
        <f t="shared" si="90"/>
        <v>3239.982</v>
      </c>
      <c r="K2883" s="9">
        <f t="shared" si="91"/>
        <v>0.43416992947174166</v>
      </c>
    </row>
    <row r="2884" spans="1:11" x14ac:dyDescent="0.3">
      <c r="A2884">
        <v>1002</v>
      </c>
      <c r="B2884">
        <v>4</v>
      </c>
      <c r="C2884">
        <v>79</v>
      </c>
      <c r="D2884" t="str">
        <f>VLOOKUP($C2884,products!$A$1:$F$322,MATCH(order_items!$D$1,products!$A$1:$F$1,0),FALSE)</f>
        <v>Sun Bicycles Boardwalk (24-inch Wheels) - 2017</v>
      </c>
      <c r="E2884">
        <f>VLOOKUP($C2884,products!$A$1:$F$322,MATCH(order_items!$E$1,products!$A$1:$F$1,0),FALSE)</f>
        <v>3</v>
      </c>
      <c r="F2884" t="str">
        <f>VLOOKUP($E2884,categories!$A$1:$B$8,MATCH(order_items!$F$1,categories!$A$1:$B$1,0),FALSE)</f>
        <v>Cruisers Bicycles</v>
      </c>
      <c r="G2884">
        <v>1</v>
      </c>
      <c r="H2884">
        <v>402.99</v>
      </c>
      <c r="I2884" s="5">
        <v>0.2</v>
      </c>
      <c r="J2884">
        <f t="shared" si="90"/>
        <v>322.39200000000005</v>
      </c>
      <c r="K2884" s="9">
        <f t="shared" si="91"/>
        <v>-0.59861373992284295</v>
      </c>
    </row>
    <row r="2885" spans="1:11" x14ac:dyDescent="0.3">
      <c r="A2885">
        <v>1003</v>
      </c>
      <c r="B2885">
        <v>1</v>
      </c>
      <c r="C2885">
        <v>34</v>
      </c>
      <c r="D2885" t="str">
        <f>VLOOKUP($C2885,products!$A$1:$F$322,MATCH(order_items!$D$1,products!$A$1:$F$1,0),FALSE)</f>
        <v>Trek Session DH 27.5 Carbon Frameset - 2017</v>
      </c>
      <c r="E2885">
        <f>VLOOKUP($C2885,products!$A$1:$F$322,MATCH(order_items!$E$1,products!$A$1:$F$1,0),FALSE)</f>
        <v>6</v>
      </c>
      <c r="F2885" t="str">
        <f>VLOOKUP($E2885,categories!$A$1:$B$8,MATCH(order_items!$F$1,categories!$A$1:$B$1,0),FALSE)</f>
        <v>Mountain Bikes</v>
      </c>
      <c r="G2885">
        <v>2</v>
      </c>
      <c r="H2885">
        <v>469.99</v>
      </c>
      <c r="I2885" s="5">
        <v>0.05</v>
      </c>
      <c r="J2885">
        <f t="shared" si="90"/>
        <v>892.98099999999999</v>
      </c>
      <c r="K2885" s="9">
        <f t="shared" si="91"/>
        <v>-0.5490815238530955</v>
      </c>
    </row>
    <row r="2886" spans="1:11" x14ac:dyDescent="0.3">
      <c r="A2886">
        <v>1003</v>
      </c>
      <c r="B2886">
        <v>2</v>
      </c>
      <c r="C2886">
        <v>51</v>
      </c>
      <c r="D2886" t="str">
        <f>VLOOKUP($C2886,products!$A$1:$F$322,MATCH(order_items!$D$1,products!$A$1:$F$1,0),FALSE)</f>
        <v>Trek Silque SLR 8 Women's - 2017</v>
      </c>
      <c r="E2886">
        <f>VLOOKUP($C2886,products!$A$1:$F$322,MATCH(order_items!$E$1,products!$A$1:$F$1,0),FALSE)</f>
        <v>7</v>
      </c>
      <c r="F2886" t="str">
        <f>VLOOKUP($E2886,categories!$A$1:$B$8,MATCH(order_items!$F$1,categories!$A$1:$B$1,0),FALSE)</f>
        <v>Road Bikes</v>
      </c>
      <c r="G2886">
        <v>2</v>
      </c>
      <c r="H2886">
        <v>6499.99</v>
      </c>
      <c r="I2886" s="5">
        <v>0.05</v>
      </c>
      <c r="J2886">
        <f t="shared" si="90"/>
        <v>12349.981</v>
      </c>
      <c r="K2886" s="9">
        <f t="shared" si="91"/>
        <v>3.9088179224241739</v>
      </c>
    </row>
    <row r="2887" spans="1:11" x14ac:dyDescent="0.3">
      <c r="A2887">
        <v>1004</v>
      </c>
      <c r="B2887">
        <v>1</v>
      </c>
      <c r="C2887">
        <v>36</v>
      </c>
      <c r="D2887" t="str">
        <f>VLOOKUP($C2887,products!$A$1:$F$322,MATCH(order_items!$D$1,products!$A$1:$F$1,0),FALSE)</f>
        <v>Surly Troll Frameset - 2017</v>
      </c>
      <c r="E2887">
        <f>VLOOKUP($C2887,products!$A$1:$F$322,MATCH(order_items!$E$1,products!$A$1:$F$1,0),FALSE)</f>
        <v>6</v>
      </c>
      <c r="F2887" t="str">
        <f>VLOOKUP($E2887,categories!$A$1:$B$8,MATCH(order_items!$F$1,categories!$A$1:$B$1,0),FALSE)</f>
        <v>Mountain Bikes</v>
      </c>
      <c r="G2887">
        <v>2</v>
      </c>
      <c r="H2887">
        <v>832.99</v>
      </c>
      <c r="I2887" s="5">
        <v>0.1</v>
      </c>
      <c r="J2887">
        <f t="shared" si="90"/>
        <v>1499.3820000000001</v>
      </c>
      <c r="K2887" s="9">
        <f t="shared" si="91"/>
        <v>-0.280720412908046</v>
      </c>
    </row>
    <row r="2888" spans="1:11" x14ac:dyDescent="0.3">
      <c r="A2888">
        <v>1005</v>
      </c>
      <c r="B2888">
        <v>1</v>
      </c>
      <c r="C2888">
        <v>14</v>
      </c>
      <c r="D2888" t="str">
        <f>VLOOKUP($C2888,products!$A$1:$F$322,MATCH(order_items!$D$1,products!$A$1:$F$1,0),FALSE)</f>
        <v>Electra Girl's Hawaii 1 (16-inch) - 2015/2016</v>
      </c>
      <c r="E2888">
        <f>VLOOKUP($C2888,products!$A$1:$F$322,MATCH(order_items!$E$1,products!$A$1:$F$1,0),FALSE)</f>
        <v>3</v>
      </c>
      <c r="F2888" t="str">
        <f>VLOOKUP($E2888,categories!$A$1:$B$8,MATCH(order_items!$F$1,categories!$A$1:$B$1,0),FALSE)</f>
        <v>Cruisers Bicycles</v>
      </c>
      <c r="G2888">
        <v>2</v>
      </c>
      <c r="H2888">
        <v>269.99</v>
      </c>
      <c r="I2888" s="5">
        <v>0.2</v>
      </c>
      <c r="J2888">
        <f t="shared" si="90"/>
        <v>431.98400000000004</v>
      </c>
      <c r="K2888" s="9">
        <f t="shared" si="91"/>
        <v>-0.69693888525532666</v>
      </c>
    </row>
    <row r="2889" spans="1:11" x14ac:dyDescent="0.3">
      <c r="A2889">
        <v>1005</v>
      </c>
      <c r="B2889">
        <v>2</v>
      </c>
      <c r="C2889">
        <v>81</v>
      </c>
      <c r="D2889" t="str">
        <f>VLOOKUP($C2889,products!$A$1:$F$322,MATCH(order_items!$D$1,products!$A$1:$F$1,0),FALSE)</f>
        <v>Electra Amsterdam Fashion 7i Ladies' - 2017</v>
      </c>
      <c r="E2889">
        <f>VLOOKUP($C2889,products!$A$1:$F$322,MATCH(order_items!$E$1,products!$A$1:$F$1,0),FALSE)</f>
        <v>3</v>
      </c>
      <c r="F2889" t="str">
        <f>VLOOKUP($E2889,categories!$A$1:$B$8,MATCH(order_items!$F$1,categories!$A$1:$B$1,0),FALSE)</f>
        <v>Cruisers Bicycles</v>
      </c>
      <c r="G2889">
        <v>2</v>
      </c>
      <c r="H2889">
        <v>1099.99</v>
      </c>
      <c r="I2889" s="5">
        <v>0.1</v>
      </c>
      <c r="J2889">
        <f t="shared" si="90"/>
        <v>1979.982</v>
      </c>
      <c r="K2889" s="9">
        <f t="shared" si="91"/>
        <v>-8.3330835436067396E-2</v>
      </c>
    </row>
    <row r="2890" spans="1:11" x14ac:dyDescent="0.3">
      <c r="A2890">
        <v>1005</v>
      </c>
      <c r="B2890">
        <v>3</v>
      </c>
      <c r="C2890">
        <v>99</v>
      </c>
      <c r="D2890" t="str">
        <f>VLOOKUP($C2890,products!$A$1:$F$322,MATCH(order_items!$D$1,products!$A$1:$F$1,0),FALSE)</f>
        <v>Electra Sugar Skulls 1 (20-inch) - Girl's - 2017</v>
      </c>
      <c r="E2890">
        <f>VLOOKUP($C2890,products!$A$1:$F$322,MATCH(order_items!$E$1,products!$A$1:$F$1,0),FALSE)</f>
        <v>1</v>
      </c>
      <c r="F2890" t="str">
        <f>VLOOKUP($E2890,categories!$A$1:$B$8,MATCH(order_items!$F$1,categories!$A$1:$B$1,0),FALSE)</f>
        <v>Children Bicycles</v>
      </c>
      <c r="G2890">
        <v>1</v>
      </c>
      <c r="H2890">
        <v>299.99</v>
      </c>
      <c r="I2890" s="5">
        <v>0.1</v>
      </c>
      <c r="J2890">
        <f t="shared" si="90"/>
        <v>269.99100000000004</v>
      </c>
      <c r="K2890" s="9">
        <f t="shared" si="91"/>
        <v>-0.67476028104499197</v>
      </c>
    </row>
    <row r="2891" spans="1:11" x14ac:dyDescent="0.3">
      <c r="A2891">
        <v>1006</v>
      </c>
      <c r="B2891">
        <v>1</v>
      </c>
      <c r="C2891">
        <v>20</v>
      </c>
      <c r="D2891" t="str">
        <f>VLOOKUP($C2891,products!$A$1:$F$322,MATCH(order_items!$D$1,products!$A$1:$F$1,0),FALSE)</f>
        <v>Electra Townie Original 7D EQ - Women's - 2016</v>
      </c>
      <c r="E2891">
        <f>VLOOKUP($C2891,products!$A$1:$F$322,MATCH(order_items!$E$1,products!$A$1:$F$1,0),FALSE)</f>
        <v>3</v>
      </c>
      <c r="F2891" t="str">
        <f>VLOOKUP($E2891,categories!$A$1:$B$8,MATCH(order_items!$F$1,categories!$A$1:$B$1,0),FALSE)</f>
        <v>Cruisers Bicycles</v>
      </c>
      <c r="G2891">
        <v>1</v>
      </c>
      <c r="H2891">
        <v>599.99</v>
      </c>
      <c r="I2891" s="5">
        <v>7.0000000000000007E-2</v>
      </c>
      <c r="J2891">
        <f t="shared" si="90"/>
        <v>557.99069999999995</v>
      </c>
      <c r="K2891" s="9">
        <f t="shared" si="91"/>
        <v>-0.45297423894164529</v>
      </c>
    </row>
    <row r="2892" spans="1:11" x14ac:dyDescent="0.3">
      <c r="A2892">
        <v>1006</v>
      </c>
      <c r="B2892">
        <v>2</v>
      </c>
      <c r="C2892">
        <v>68</v>
      </c>
      <c r="D2892" t="str">
        <f>VLOOKUP($C2892,products!$A$1:$F$322,MATCH(order_items!$D$1,products!$A$1:$F$1,0),FALSE)</f>
        <v>Sun Bicycles Cruz 3 - 2017</v>
      </c>
      <c r="E2892">
        <f>VLOOKUP($C2892,products!$A$1:$F$322,MATCH(order_items!$E$1,products!$A$1:$F$1,0),FALSE)</f>
        <v>3</v>
      </c>
      <c r="F2892" t="str">
        <f>VLOOKUP($E2892,categories!$A$1:$B$8,MATCH(order_items!$F$1,categories!$A$1:$B$1,0),FALSE)</f>
        <v>Cruisers Bicycles</v>
      </c>
      <c r="G2892">
        <v>1</v>
      </c>
      <c r="H2892">
        <v>449.99</v>
      </c>
      <c r="I2892" s="5">
        <v>0.1</v>
      </c>
      <c r="J2892">
        <f t="shared" si="90"/>
        <v>404.99100000000004</v>
      </c>
      <c r="K2892" s="9">
        <f t="shared" si="91"/>
        <v>-0.56386725999331866</v>
      </c>
    </row>
    <row r="2893" spans="1:11" x14ac:dyDescent="0.3">
      <c r="A2893">
        <v>1006</v>
      </c>
      <c r="B2893">
        <v>3</v>
      </c>
      <c r="C2893">
        <v>56</v>
      </c>
      <c r="D2893" t="str">
        <f>VLOOKUP($C2893,products!$A$1:$F$322,MATCH(order_items!$D$1,products!$A$1:$F$1,0),FALSE)</f>
        <v>Trek Domane SLR 6 Disc - 2017</v>
      </c>
      <c r="E2893">
        <f>VLOOKUP($C2893,products!$A$1:$F$322,MATCH(order_items!$E$1,products!$A$1:$F$1,0),FALSE)</f>
        <v>7</v>
      </c>
      <c r="F2893" t="str">
        <f>VLOOKUP($E2893,categories!$A$1:$B$8,MATCH(order_items!$F$1,categories!$A$1:$B$1,0),FALSE)</f>
        <v>Road Bikes</v>
      </c>
      <c r="G2893">
        <v>2</v>
      </c>
      <c r="H2893">
        <v>5499.99</v>
      </c>
      <c r="I2893" s="5">
        <v>7.0000000000000007E-2</v>
      </c>
      <c r="J2893">
        <f t="shared" si="90"/>
        <v>10229.981399999999</v>
      </c>
      <c r="K2893" s="9">
        <f t="shared" si="91"/>
        <v>3.1695311154130179</v>
      </c>
    </row>
    <row r="2894" spans="1:11" x14ac:dyDescent="0.3">
      <c r="A2894">
        <v>1006</v>
      </c>
      <c r="B2894">
        <v>4</v>
      </c>
      <c r="C2894">
        <v>65</v>
      </c>
      <c r="D2894" t="str">
        <f>VLOOKUP($C2894,products!$A$1:$F$322,MATCH(order_items!$D$1,products!$A$1:$F$1,0),FALSE)</f>
        <v>Sun Bicycles Lil Bolt Type-R - 2017</v>
      </c>
      <c r="E2894">
        <f>VLOOKUP($C2894,products!$A$1:$F$322,MATCH(order_items!$E$1,products!$A$1:$F$1,0),FALSE)</f>
        <v>3</v>
      </c>
      <c r="F2894" t="str">
        <f>VLOOKUP($E2894,categories!$A$1:$B$8,MATCH(order_items!$F$1,categories!$A$1:$B$1,0),FALSE)</f>
        <v>Cruisers Bicycles</v>
      </c>
      <c r="G2894">
        <v>1</v>
      </c>
      <c r="H2894">
        <v>346.99</v>
      </c>
      <c r="I2894" s="5">
        <v>0.1</v>
      </c>
      <c r="J2894">
        <f t="shared" si="90"/>
        <v>312.291</v>
      </c>
      <c r="K2894" s="9">
        <f t="shared" si="91"/>
        <v>-0.64001380111546768</v>
      </c>
    </row>
    <row r="2895" spans="1:11" x14ac:dyDescent="0.3">
      <c r="A2895">
        <v>1006</v>
      </c>
      <c r="B2895">
        <v>5</v>
      </c>
      <c r="C2895">
        <v>46</v>
      </c>
      <c r="D2895" t="str">
        <f>VLOOKUP($C2895,products!$A$1:$F$322,MATCH(order_items!$D$1,products!$A$1:$F$1,0),FALSE)</f>
        <v>Haro SR 1.3 - 2017</v>
      </c>
      <c r="E2895">
        <f>VLOOKUP($C2895,products!$A$1:$F$322,MATCH(order_items!$E$1,products!$A$1:$F$1,0),FALSE)</f>
        <v>6</v>
      </c>
      <c r="F2895" t="str">
        <f>VLOOKUP($E2895,categories!$A$1:$B$8,MATCH(order_items!$F$1,categories!$A$1:$B$1,0),FALSE)</f>
        <v>Mountain Bikes</v>
      </c>
      <c r="G2895">
        <v>1</v>
      </c>
      <c r="H2895">
        <v>1409.99</v>
      </c>
      <c r="I2895" s="5">
        <v>0.1</v>
      </c>
      <c r="J2895">
        <f t="shared" si="90"/>
        <v>1268.991</v>
      </c>
      <c r="K2895" s="9">
        <f t="shared" si="91"/>
        <v>0.14584807473739089</v>
      </c>
    </row>
    <row r="2896" spans="1:11" x14ac:dyDescent="0.3">
      <c r="A2896">
        <v>1007</v>
      </c>
      <c r="B2896">
        <v>1</v>
      </c>
      <c r="C2896">
        <v>26</v>
      </c>
      <c r="D2896" t="str">
        <f>VLOOKUP($C2896,products!$A$1:$F$322,MATCH(order_items!$D$1,products!$A$1:$F$1,0),FALSE)</f>
        <v>Electra Townie Original 7D EQ - 2016</v>
      </c>
      <c r="E2896">
        <f>VLOOKUP($C2896,products!$A$1:$F$322,MATCH(order_items!$E$1,products!$A$1:$F$1,0),FALSE)</f>
        <v>2</v>
      </c>
      <c r="F2896" t="str">
        <f>VLOOKUP($E2896,categories!$A$1:$B$8,MATCH(order_items!$F$1,categories!$A$1:$B$1,0),FALSE)</f>
        <v>Comfort Bicycles</v>
      </c>
      <c r="G2896">
        <v>1</v>
      </c>
      <c r="H2896">
        <v>599.99</v>
      </c>
      <c r="I2896" s="5">
        <v>0.2</v>
      </c>
      <c r="J2896">
        <f t="shared" si="90"/>
        <v>479.99200000000002</v>
      </c>
      <c r="K2896" s="9">
        <f t="shared" si="91"/>
        <v>-0.45297423894164529</v>
      </c>
    </row>
    <row r="2897" spans="1:11" x14ac:dyDescent="0.3">
      <c r="A2897">
        <v>1007</v>
      </c>
      <c r="B2897">
        <v>2</v>
      </c>
      <c r="C2897">
        <v>11</v>
      </c>
      <c r="D2897" t="str">
        <f>VLOOKUP($C2897,products!$A$1:$F$322,MATCH(order_items!$D$1,products!$A$1:$F$1,0),FALSE)</f>
        <v>Surly Straggler 650b - 2016</v>
      </c>
      <c r="E2897">
        <f>VLOOKUP($C2897,products!$A$1:$F$322,MATCH(order_items!$E$1,products!$A$1:$F$1,0),FALSE)</f>
        <v>4</v>
      </c>
      <c r="F2897" t="str">
        <f>VLOOKUP($E2897,categories!$A$1:$B$8,MATCH(order_items!$F$1,categories!$A$1:$B$1,0),FALSE)</f>
        <v>Cyclocross Bicycles</v>
      </c>
      <c r="G2897">
        <v>1</v>
      </c>
      <c r="H2897">
        <v>1680.99</v>
      </c>
      <c r="I2897" s="5">
        <v>0.05</v>
      </c>
      <c r="J2897">
        <f t="shared" si="90"/>
        <v>1596.9404999999999</v>
      </c>
      <c r="K2897" s="9">
        <f t="shared" si="91"/>
        <v>0.3461947994374141</v>
      </c>
    </row>
    <row r="2898" spans="1:11" x14ac:dyDescent="0.3">
      <c r="A2898">
        <v>1007</v>
      </c>
      <c r="B2898">
        <v>3</v>
      </c>
      <c r="C2898">
        <v>85</v>
      </c>
      <c r="D2898" t="str">
        <f>VLOOKUP($C2898,products!$A$1:$F$322,MATCH(order_items!$D$1,products!$A$1:$F$1,0),FALSE)</f>
        <v>Haro Downtown 16 - 2017</v>
      </c>
      <c r="E2898">
        <f>VLOOKUP($C2898,products!$A$1:$F$322,MATCH(order_items!$E$1,products!$A$1:$F$1,0),FALSE)</f>
        <v>1</v>
      </c>
      <c r="F2898" t="str">
        <f>VLOOKUP($E2898,categories!$A$1:$B$8,MATCH(order_items!$F$1,categories!$A$1:$B$1,0),FALSE)</f>
        <v>Children Bicycles</v>
      </c>
      <c r="G2898">
        <v>2</v>
      </c>
      <c r="H2898">
        <v>329.99</v>
      </c>
      <c r="I2898" s="5">
        <v>0.1</v>
      </c>
      <c r="J2898">
        <f t="shared" si="90"/>
        <v>593.98200000000008</v>
      </c>
      <c r="K2898" s="9">
        <f t="shared" si="91"/>
        <v>-0.6525816768346574</v>
      </c>
    </row>
    <row r="2899" spans="1:11" x14ac:dyDescent="0.3">
      <c r="A2899">
        <v>1007</v>
      </c>
      <c r="B2899">
        <v>4</v>
      </c>
      <c r="C2899">
        <v>76</v>
      </c>
      <c r="D2899" t="str">
        <f>VLOOKUP($C2899,products!$A$1:$F$322,MATCH(order_items!$D$1,products!$A$1:$F$1,0),FALSE)</f>
        <v>Electra Girl's Hawaii 1 16" - 2017</v>
      </c>
      <c r="E2899">
        <f>VLOOKUP($C2899,products!$A$1:$F$322,MATCH(order_items!$E$1,products!$A$1:$F$1,0),FALSE)</f>
        <v>3</v>
      </c>
      <c r="F2899" t="str">
        <f>VLOOKUP($E2899,categories!$A$1:$B$8,MATCH(order_items!$F$1,categories!$A$1:$B$1,0),FALSE)</f>
        <v>Cruisers Bicycles</v>
      </c>
      <c r="G2899">
        <v>1</v>
      </c>
      <c r="H2899">
        <v>299.99</v>
      </c>
      <c r="I2899" s="5">
        <v>0.2</v>
      </c>
      <c r="J2899">
        <f t="shared" si="90"/>
        <v>239.99200000000002</v>
      </c>
      <c r="K2899" s="9">
        <f t="shared" si="91"/>
        <v>-0.67476028104499197</v>
      </c>
    </row>
    <row r="2900" spans="1:11" x14ac:dyDescent="0.3">
      <c r="A2900">
        <v>1007</v>
      </c>
      <c r="B2900">
        <v>5</v>
      </c>
      <c r="C2900">
        <v>106</v>
      </c>
      <c r="D2900" t="str">
        <f>VLOOKUP($C2900,products!$A$1:$F$322,MATCH(order_items!$D$1,products!$A$1:$F$1,0),FALSE)</f>
        <v>Sun Bicycles Cruz 3 - 2017</v>
      </c>
      <c r="E2900">
        <f>VLOOKUP($C2900,products!$A$1:$F$322,MATCH(order_items!$E$1,products!$A$1:$F$1,0),FALSE)</f>
        <v>2</v>
      </c>
      <c r="F2900" t="str">
        <f>VLOOKUP($E2900,categories!$A$1:$B$8,MATCH(order_items!$F$1,categories!$A$1:$B$1,0),FALSE)</f>
        <v>Comfort Bicycles</v>
      </c>
      <c r="G2900">
        <v>2</v>
      </c>
      <c r="H2900">
        <v>449.99</v>
      </c>
      <c r="I2900" s="5">
        <v>0.1</v>
      </c>
      <c r="J2900">
        <f t="shared" si="90"/>
        <v>809.98200000000008</v>
      </c>
      <c r="K2900" s="9">
        <f t="shared" si="91"/>
        <v>-0.56386725999331866</v>
      </c>
    </row>
    <row r="2901" spans="1:11" x14ac:dyDescent="0.3">
      <c r="A2901">
        <v>1008</v>
      </c>
      <c r="B2901">
        <v>1</v>
      </c>
      <c r="C2901">
        <v>71</v>
      </c>
      <c r="D2901" t="str">
        <f>VLOOKUP($C2901,products!$A$1:$F$322,MATCH(order_items!$D$1,products!$A$1:$F$1,0),FALSE)</f>
        <v>Sun Bicycles Atlas X-Type - 2017</v>
      </c>
      <c r="E2901">
        <f>VLOOKUP($C2901,products!$A$1:$F$322,MATCH(order_items!$E$1,products!$A$1:$F$1,0),FALSE)</f>
        <v>3</v>
      </c>
      <c r="F2901" t="str">
        <f>VLOOKUP($E2901,categories!$A$1:$B$8,MATCH(order_items!$F$1,categories!$A$1:$B$1,0),FALSE)</f>
        <v>Cruisers Bicycles</v>
      </c>
      <c r="G2901">
        <v>1</v>
      </c>
      <c r="H2901">
        <v>416.99</v>
      </c>
      <c r="I2901" s="5">
        <v>0.2</v>
      </c>
      <c r="J2901">
        <f t="shared" si="90"/>
        <v>333.59200000000004</v>
      </c>
      <c r="K2901" s="9">
        <f t="shared" si="91"/>
        <v>-0.58826372462468679</v>
      </c>
    </row>
    <row r="2902" spans="1:11" x14ac:dyDescent="0.3">
      <c r="A2902">
        <v>1008</v>
      </c>
      <c r="B2902">
        <v>2</v>
      </c>
      <c r="C2902">
        <v>2</v>
      </c>
      <c r="D2902" t="str">
        <f>VLOOKUP($C2902,products!$A$1:$F$322,MATCH(order_items!$D$1,products!$A$1:$F$1,0),FALSE)</f>
        <v>Ritchey Timberwolf Frameset - 2016</v>
      </c>
      <c r="E2902">
        <f>VLOOKUP($C2902,products!$A$1:$F$322,MATCH(order_items!$E$1,products!$A$1:$F$1,0),FALSE)</f>
        <v>6</v>
      </c>
      <c r="F2902" t="str">
        <f>VLOOKUP($E2902,categories!$A$1:$B$8,MATCH(order_items!$F$1,categories!$A$1:$B$1,0),FALSE)</f>
        <v>Mountain Bikes</v>
      </c>
      <c r="G2902">
        <v>1</v>
      </c>
      <c r="H2902">
        <v>749.99</v>
      </c>
      <c r="I2902" s="5">
        <v>0.1</v>
      </c>
      <c r="J2902">
        <f t="shared" si="90"/>
        <v>674.99099999999999</v>
      </c>
      <c r="K2902" s="9">
        <f t="shared" si="91"/>
        <v>-0.34208121788997192</v>
      </c>
    </row>
    <row r="2903" spans="1:11" x14ac:dyDescent="0.3">
      <c r="A2903">
        <v>1008</v>
      </c>
      <c r="B2903">
        <v>3</v>
      </c>
      <c r="C2903">
        <v>95</v>
      </c>
      <c r="D2903" t="str">
        <f>VLOOKUP($C2903,products!$A$1:$F$322,MATCH(order_items!$D$1,products!$A$1:$F$1,0),FALSE)</f>
        <v>Electra Girl's Hawaii 1 16" - 2017</v>
      </c>
      <c r="E2903">
        <f>VLOOKUP($C2903,products!$A$1:$F$322,MATCH(order_items!$E$1,products!$A$1:$F$1,0),FALSE)</f>
        <v>1</v>
      </c>
      <c r="F2903" t="str">
        <f>VLOOKUP($E2903,categories!$A$1:$B$8,MATCH(order_items!$F$1,categories!$A$1:$B$1,0),FALSE)</f>
        <v>Children Bicycles</v>
      </c>
      <c r="G2903">
        <v>1</v>
      </c>
      <c r="H2903">
        <v>299.99</v>
      </c>
      <c r="I2903" s="5">
        <v>7.0000000000000007E-2</v>
      </c>
      <c r="J2903">
        <f t="shared" si="90"/>
        <v>278.9907</v>
      </c>
      <c r="K2903" s="9">
        <f t="shared" si="91"/>
        <v>-0.67476028104499197</v>
      </c>
    </row>
    <row r="2904" spans="1:11" x14ac:dyDescent="0.3">
      <c r="A2904">
        <v>1009</v>
      </c>
      <c r="B2904">
        <v>1</v>
      </c>
      <c r="C2904">
        <v>95</v>
      </c>
      <c r="D2904" t="str">
        <f>VLOOKUP($C2904,products!$A$1:$F$322,MATCH(order_items!$D$1,products!$A$1:$F$1,0),FALSE)</f>
        <v>Electra Girl's Hawaii 1 16" - 2017</v>
      </c>
      <c r="E2904">
        <f>VLOOKUP($C2904,products!$A$1:$F$322,MATCH(order_items!$E$1,products!$A$1:$F$1,0),FALSE)</f>
        <v>1</v>
      </c>
      <c r="F2904" t="str">
        <f>VLOOKUP($E2904,categories!$A$1:$B$8,MATCH(order_items!$F$1,categories!$A$1:$B$1,0),FALSE)</f>
        <v>Children Bicycles</v>
      </c>
      <c r="G2904">
        <v>2</v>
      </c>
      <c r="H2904">
        <v>299.99</v>
      </c>
      <c r="I2904" s="5">
        <v>7.0000000000000007E-2</v>
      </c>
      <c r="J2904">
        <f t="shared" si="90"/>
        <v>557.98140000000001</v>
      </c>
      <c r="K2904" s="9">
        <f t="shared" si="91"/>
        <v>-0.67476028104499197</v>
      </c>
    </row>
    <row r="2905" spans="1:11" x14ac:dyDescent="0.3">
      <c r="A2905">
        <v>1009</v>
      </c>
      <c r="B2905">
        <v>2</v>
      </c>
      <c r="C2905">
        <v>44</v>
      </c>
      <c r="D2905" t="str">
        <f>VLOOKUP($C2905,products!$A$1:$F$322,MATCH(order_items!$D$1,products!$A$1:$F$1,0),FALSE)</f>
        <v>Haro SR 1.1 - 2017</v>
      </c>
      <c r="E2905">
        <f>VLOOKUP($C2905,products!$A$1:$F$322,MATCH(order_items!$E$1,products!$A$1:$F$1,0),FALSE)</f>
        <v>6</v>
      </c>
      <c r="F2905" t="str">
        <f>VLOOKUP($E2905,categories!$A$1:$B$8,MATCH(order_items!$F$1,categories!$A$1:$B$1,0),FALSE)</f>
        <v>Mountain Bikes</v>
      </c>
      <c r="G2905">
        <v>1</v>
      </c>
      <c r="H2905">
        <v>539.99</v>
      </c>
      <c r="I2905" s="5">
        <v>7.0000000000000007E-2</v>
      </c>
      <c r="J2905">
        <f t="shared" si="90"/>
        <v>502.19069999999999</v>
      </c>
      <c r="K2905" s="9">
        <f t="shared" si="91"/>
        <v>-0.49733144736231466</v>
      </c>
    </row>
    <row r="2906" spans="1:11" x14ac:dyDescent="0.3">
      <c r="A2906">
        <v>1010</v>
      </c>
      <c r="B2906">
        <v>1</v>
      </c>
      <c r="C2906">
        <v>109</v>
      </c>
      <c r="D2906" t="str">
        <f>VLOOKUP($C2906,products!$A$1:$F$322,MATCH(order_items!$D$1,products!$A$1:$F$1,0),FALSE)</f>
        <v>Sun Bicycles Cruz 7 - Women's - 2017</v>
      </c>
      <c r="E2906">
        <f>VLOOKUP($C2906,products!$A$1:$F$322,MATCH(order_items!$E$1,products!$A$1:$F$1,0),FALSE)</f>
        <v>2</v>
      </c>
      <c r="F2906" t="str">
        <f>VLOOKUP($E2906,categories!$A$1:$B$8,MATCH(order_items!$F$1,categories!$A$1:$B$1,0),FALSE)</f>
        <v>Comfort Bicycles</v>
      </c>
      <c r="G2906">
        <v>2</v>
      </c>
      <c r="H2906">
        <v>416.99</v>
      </c>
      <c r="I2906" s="5">
        <v>0.1</v>
      </c>
      <c r="J2906">
        <f t="shared" si="90"/>
        <v>750.58199999999999</v>
      </c>
      <c r="K2906" s="9">
        <f t="shared" si="91"/>
        <v>-0.58826372462468679</v>
      </c>
    </row>
    <row r="2907" spans="1:11" x14ac:dyDescent="0.3">
      <c r="A2907">
        <v>1011</v>
      </c>
      <c r="B2907">
        <v>1</v>
      </c>
      <c r="C2907">
        <v>88</v>
      </c>
      <c r="D2907" t="str">
        <f>VLOOKUP($C2907,products!$A$1:$F$322,MATCH(order_items!$D$1,products!$A$1:$F$1,0),FALSE)</f>
        <v>Trek Precaliber 12 Girls - 2017</v>
      </c>
      <c r="E2907">
        <f>VLOOKUP($C2907,products!$A$1:$F$322,MATCH(order_items!$E$1,products!$A$1:$F$1,0),FALSE)</f>
        <v>1</v>
      </c>
      <c r="F2907" t="str">
        <f>VLOOKUP($E2907,categories!$A$1:$B$8,MATCH(order_items!$F$1,categories!$A$1:$B$1,0),FALSE)</f>
        <v>Children Bicycles</v>
      </c>
      <c r="G2907">
        <v>1</v>
      </c>
      <c r="H2907">
        <v>189.99</v>
      </c>
      <c r="I2907" s="5">
        <v>0.2</v>
      </c>
      <c r="J2907">
        <f t="shared" si="90"/>
        <v>151.99200000000002</v>
      </c>
      <c r="K2907" s="9">
        <f t="shared" si="91"/>
        <v>-0.75608182981621919</v>
      </c>
    </row>
    <row r="2908" spans="1:11" x14ac:dyDescent="0.3">
      <c r="A2908">
        <v>1011</v>
      </c>
      <c r="B2908">
        <v>2</v>
      </c>
      <c r="C2908">
        <v>99</v>
      </c>
      <c r="D2908" t="str">
        <f>VLOOKUP($C2908,products!$A$1:$F$322,MATCH(order_items!$D$1,products!$A$1:$F$1,0),FALSE)</f>
        <v>Electra Sugar Skulls 1 (20-inch) - Girl's - 2017</v>
      </c>
      <c r="E2908">
        <f>VLOOKUP($C2908,products!$A$1:$F$322,MATCH(order_items!$E$1,products!$A$1:$F$1,0),FALSE)</f>
        <v>1</v>
      </c>
      <c r="F2908" t="str">
        <f>VLOOKUP($E2908,categories!$A$1:$B$8,MATCH(order_items!$F$1,categories!$A$1:$B$1,0),FALSE)</f>
        <v>Children Bicycles</v>
      </c>
      <c r="G2908">
        <v>2</v>
      </c>
      <c r="H2908">
        <v>299.99</v>
      </c>
      <c r="I2908" s="5">
        <v>0.2</v>
      </c>
      <c r="J2908">
        <f t="shared" si="90"/>
        <v>479.98400000000004</v>
      </c>
      <c r="K2908" s="9">
        <f t="shared" si="91"/>
        <v>-0.67476028104499197</v>
      </c>
    </row>
    <row r="2909" spans="1:11" x14ac:dyDescent="0.3">
      <c r="A2909">
        <v>1011</v>
      </c>
      <c r="B2909">
        <v>3</v>
      </c>
      <c r="C2909">
        <v>16</v>
      </c>
      <c r="D2909" t="str">
        <f>VLOOKUP($C2909,products!$A$1:$F$322,MATCH(order_items!$D$1,products!$A$1:$F$1,0),FALSE)</f>
        <v>Electra Townie Original 7D EQ - 2016</v>
      </c>
      <c r="E2909">
        <f>VLOOKUP($C2909,products!$A$1:$F$322,MATCH(order_items!$E$1,products!$A$1:$F$1,0),FALSE)</f>
        <v>3</v>
      </c>
      <c r="F2909" t="str">
        <f>VLOOKUP($E2909,categories!$A$1:$B$8,MATCH(order_items!$F$1,categories!$A$1:$B$1,0),FALSE)</f>
        <v>Cruisers Bicycles</v>
      </c>
      <c r="G2909">
        <v>2</v>
      </c>
      <c r="H2909">
        <v>599.99</v>
      </c>
      <c r="I2909" s="5">
        <v>0.2</v>
      </c>
      <c r="J2909">
        <f t="shared" si="90"/>
        <v>959.98400000000004</v>
      </c>
      <c r="K2909" s="9">
        <f t="shared" si="91"/>
        <v>-0.45297423894164529</v>
      </c>
    </row>
    <row r="2910" spans="1:11" x14ac:dyDescent="0.3">
      <c r="A2910">
        <v>1011</v>
      </c>
      <c r="B2910">
        <v>4</v>
      </c>
      <c r="C2910">
        <v>68</v>
      </c>
      <c r="D2910" t="str">
        <f>VLOOKUP($C2910,products!$A$1:$F$322,MATCH(order_items!$D$1,products!$A$1:$F$1,0),FALSE)</f>
        <v>Sun Bicycles Cruz 3 - 2017</v>
      </c>
      <c r="E2910">
        <f>VLOOKUP($C2910,products!$A$1:$F$322,MATCH(order_items!$E$1,products!$A$1:$F$1,0),FALSE)</f>
        <v>3</v>
      </c>
      <c r="F2910" t="str">
        <f>VLOOKUP($E2910,categories!$A$1:$B$8,MATCH(order_items!$F$1,categories!$A$1:$B$1,0),FALSE)</f>
        <v>Cruisers Bicycles</v>
      </c>
      <c r="G2910">
        <v>2</v>
      </c>
      <c r="H2910">
        <v>449.99</v>
      </c>
      <c r="I2910" s="5">
        <v>0.05</v>
      </c>
      <c r="J2910">
        <f t="shared" si="90"/>
        <v>854.98099999999999</v>
      </c>
      <c r="K2910" s="9">
        <f t="shared" si="91"/>
        <v>-0.56386725999331866</v>
      </c>
    </row>
    <row r="2911" spans="1:11" x14ac:dyDescent="0.3">
      <c r="A2911">
        <v>1012</v>
      </c>
      <c r="B2911">
        <v>1</v>
      </c>
      <c r="C2911">
        <v>8</v>
      </c>
      <c r="D2911" t="str">
        <f>VLOOKUP($C2911,products!$A$1:$F$322,MATCH(order_items!$D$1,products!$A$1:$F$1,0),FALSE)</f>
        <v>Trek Remedy 29 Carbon Frameset - 2016</v>
      </c>
      <c r="E2911">
        <f>VLOOKUP($C2911,products!$A$1:$F$322,MATCH(order_items!$E$1,products!$A$1:$F$1,0),FALSE)</f>
        <v>6</v>
      </c>
      <c r="F2911" t="str">
        <f>VLOOKUP($E2911,categories!$A$1:$B$8,MATCH(order_items!$F$1,categories!$A$1:$B$1,0),FALSE)</f>
        <v>Mountain Bikes</v>
      </c>
      <c r="G2911">
        <v>1</v>
      </c>
      <c r="H2911">
        <v>1799.99</v>
      </c>
      <c r="I2911" s="5">
        <v>7.0000000000000007E-2</v>
      </c>
      <c r="J2911">
        <f t="shared" si="90"/>
        <v>1673.9906999999998</v>
      </c>
      <c r="K2911" s="9">
        <f t="shared" si="91"/>
        <v>0.43416992947174166</v>
      </c>
    </row>
    <row r="2912" spans="1:11" x14ac:dyDescent="0.3">
      <c r="A2912">
        <v>1012</v>
      </c>
      <c r="B2912">
        <v>2</v>
      </c>
      <c r="C2912">
        <v>64</v>
      </c>
      <c r="D2912" t="str">
        <f>VLOOKUP($C2912,products!$A$1:$F$322,MATCH(order_items!$D$1,products!$A$1:$F$1,0),FALSE)</f>
        <v>Electra Townie Original 7D - 2017</v>
      </c>
      <c r="E2912">
        <f>VLOOKUP($C2912,products!$A$1:$F$322,MATCH(order_items!$E$1,products!$A$1:$F$1,0),FALSE)</f>
        <v>3</v>
      </c>
      <c r="F2912" t="str">
        <f>VLOOKUP($E2912,categories!$A$1:$B$8,MATCH(order_items!$F$1,categories!$A$1:$B$1,0),FALSE)</f>
        <v>Cruisers Bicycles</v>
      </c>
      <c r="G2912">
        <v>1</v>
      </c>
      <c r="H2912">
        <v>489.99</v>
      </c>
      <c r="I2912" s="5">
        <v>0.2</v>
      </c>
      <c r="J2912">
        <f t="shared" si="90"/>
        <v>391.99200000000002</v>
      </c>
      <c r="K2912" s="9">
        <f t="shared" si="91"/>
        <v>-0.53429578771287245</v>
      </c>
    </row>
    <row r="2913" spans="1:11" x14ac:dyDescent="0.3">
      <c r="A2913">
        <v>1013</v>
      </c>
      <c r="B2913">
        <v>1</v>
      </c>
      <c r="C2913">
        <v>60</v>
      </c>
      <c r="D2913" t="str">
        <f>VLOOKUP($C2913,products!$A$1:$F$322,MATCH(order_items!$D$1,products!$A$1:$F$1,0),FALSE)</f>
        <v>Sun Bicycles ElectroLite - 2017</v>
      </c>
      <c r="E2913">
        <f>VLOOKUP($C2913,products!$A$1:$F$322,MATCH(order_items!$E$1,products!$A$1:$F$1,0),FALSE)</f>
        <v>5</v>
      </c>
      <c r="F2913" t="str">
        <f>VLOOKUP($E2913,categories!$A$1:$B$8,MATCH(order_items!$F$1,categories!$A$1:$B$1,0),FALSE)</f>
        <v>Electric Bikes</v>
      </c>
      <c r="G2913">
        <v>2</v>
      </c>
      <c r="H2913">
        <v>1559.99</v>
      </c>
      <c r="I2913" s="5">
        <v>0.05</v>
      </c>
      <c r="J2913">
        <f t="shared" si="90"/>
        <v>2963.9809999999998</v>
      </c>
      <c r="K2913" s="9">
        <f t="shared" si="91"/>
        <v>0.25674109578906423</v>
      </c>
    </row>
    <row r="2914" spans="1:11" x14ac:dyDescent="0.3">
      <c r="A2914">
        <v>1014</v>
      </c>
      <c r="B2914">
        <v>1</v>
      </c>
      <c r="C2914">
        <v>97</v>
      </c>
      <c r="D2914" t="str">
        <f>VLOOKUP($C2914,products!$A$1:$F$322,MATCH(order_items!$D$1,products!$A$1:$F$1,0),FALSE)</f>
        <v>Electra Savannah 3i (20-inch) - Girl's - 2017</v>
      </c>
      <c r="E2914">
        <f>VLOOKUP($C2914,products!$A$1:$F$322,MATCH(order_items!$E$1,products!$A$1:$F$1,0),FALSE)</f>
        <v>1</v>
      </c>
      <c r="F2914" t="str">
        <f>VLOOKUP($E2914,categories!$A$1:$B$8,MATCH(order_items!$F$1,categories!$A$1:$B$1,0),FALSE)</f>
        <v>Children Bicycles</v>
      </c>
      <c r="G2914">
        <v>1</v>
      </c>
      <c r="H2914">
        <v>349.99</v>
      </c>
      <c r="I2914" s="5">
        <v>0.2</v>
      </c>
      <c r="J2914">
        <f t="shared" si="90"/>
        <v>279.99200000000002</v>
      </c>
      <c r="K2914" s="9">
        <f t="shared" si="91"/>
        <v>-0.63779594069443424</v>
      </c>
    </row>
    <row r="2915" spans="1:11" x14ac:dyDescent="0.3">
      <c r="A2915">
        <v>1014</v>
      </c>
      <c r="B2915">
        <v>2</v>
      </c>
      <c r="C2915">
        <v>45</v>
      </c>
      <c r="D2915" t="str">
        <f>VLOOKUP($C2915,products!$A$1:$F$322,MATCH(order_items!$D$1,products!$A$1:$F$1,0),FALSE)</f>
        <v>Haro SR 1.2 - 2017</v>
      </c>
      <c r="E2915">
        <f>VLOOKUP($C2915,products!$A$1:$F$322,MATCH(order_items!$E$1,products!$A$1:$F$1,0),FALSE)</f>
        <v>6</v>
      </c>
      <c r="F2915" t="str">
        <f>VLOOKUP($E2915,categories!$A$1:$B$8,MATCH(order_items!$F$1,categories!$A$1:$B$1,0),FALSE)</f>
        <v>Mountain Bikes</v>
      </c>
      <c r="G2915">
        <v>2</v>
      </c>
      <c r="H2915">
        <v>869.99</v>
      </c>
      <c r="I2915" s="5">
        <v>0.05</v>
      </c>
      <c r="J2915">
        <f t="shared" si="90"/>
        <v>1652.981</v>
      </c>
      <c r="K2915" s="9">
        <f t="shared" si="91"/>
        <v>-0.25336680104863324</v>
      </c>
    </row>
    <row r="2916" spans="1:11" x14ac:dyDescent="0.3">
      <c r="A2916">
        <v>1014</v>
      </c>
      <c r="B2916">
        <v>3</v>
      </c>
      <c r="C2916">
        <v>81</v>
      </c>
      <c r="D2916" t="str">
        <f>VLOOKUP($C2916,products!$A$1:$F$322,MATCH(order_items!$D$1,products!$A$1:$F$1,0),FALSE)</f>
        <v>Electra Amsterdam Fashion 7i Ladies' - 2017</v>
      </c>
      <c r="E2916">
        <f>VLOOKUP($C2916,products!$A$1:$F$322,MATCH(order_items!$E$1,products!$A$1:$F$1,0),FALSE)</f>
        <v>3</v>
      </c>
      <c r="F2916" t="str">
        <f>VLOOKUP($E2916,categories!$A$1:$B$8,MATCH(order_items!$F$1,categories!$A$1:$B$1,0),FALSE)</f>
        <v>Cruisers Bicycles</v>
      </c>
      <c r="G2916">
        <v>2</v>
      </c>
      <c r="H2916">
        <v>1099.99</v>
      </c>
      <c r="I2916" s="5">
        <v>0.1</v>
      </c>
      <c r="J2916">
        <f t="shared" si="90"/>
        <v>1979.982</v>
      </c>
      <c r="K2916" s="9">
        <f t="shared" si="91"/>
        <v>-8.3330835436067396E-2</v>
      </c>
    </row>
    <row r="2917" spans="1:11" x14ac:dyDescent="0.3">
      <c r="A2917">
        <v>1014</v>
      </c>
      <c r="B2917">
        <v>4</v>
      </c>
      <c r="C2917">
        <v>59</v>
      </c>
      <c r="D2917" t="str">
        <f>VLOOKUP($C2917,products!$A$1:$F$322,MATCH(order_items!$D$1,products!$A$1:$F$1,0),FALSE)</f>
        <v>Trek Domane S 5 Disc - 2017</v>
      </c>
      <c r="E2917">
        <f>VLOOKUP($C2917,products!$A$1:$F$322,MATCH(order_items!$E$1,products!$A$1:$F$1,0),FALSE)</f>
        <v>7</v>
      </c>
      <c r="F2917" t="str">
        <f>VLOOKUP($E2917,categories!$A$1:$B$8,MATCH(order_items!$F$1,categories!$A$1:$B$1,0),FALSE)</f>
        <v>Road Bikes</v>
      </c>
      <c r="G2917">
        <v>1</v>
      </c>
      <c r="H2917">
        <v>2599.9899999999998</v>
      </c>
      <c r="I2917" s="5">
        <v>0.05</v>
      </c>
      <c r="J2917">
        <f t="shared" si="90"/>
        <v>2469.9904999999999</v>
      </c>
      <c r="K2917" s="9">
        <f t="shared" si="91"/>
        <v>1.025599375080666</v>
      </c>
    </row>
    <row r="2918" spans="1:11" x14ac:dyDescent="0.3">
      <c r="A2918">
        <v>1015</v>
      </c>
      <c r="B2918">
        <v>1</v>
      </c>
      <c r="C2918">
        <v>6</v>
      </c>
      <c r="D2918" t="str">
        <f>VLOOKUP($C2918,products!$A$1:$F$322,MATCH(order_items!$D$1,products!$A$1:$F$1,0),FALSE)</f>
        <v>Surly Ice Cream Truck Frameset - 2016</v>
      </c>
      <c r="E2918">
        <f>VLOOKUP($C2918,products!$A$1:$F$322,MATCH(order_items!$E$1,products!$A$1:$F$1,0),FALSE)</f>
        <v>6</v>
      </c>
      <c r="F2918" t="str">
        <f>VLOOKUP($E2918,categories!$A$1:$B$8,MATCH(order_items!$F$1,categories!$A$1:$B$1,0),FALSE)</f>
        <v>Mountain Bikes</v>
      </c>
      <c r="G2918">
        <v>2</v>
      </c>
      <c r="H2918">
        <v>469.99</v>
      </c>
      <c r="I2918" s="5">
        <v>0.1</v>
      </c>
      <c r="J2918">
        <f t="shared" si="90"/>
        <v>845.98200000000008</v>
      </c>
      <c r="K2918" s="9">
        <f t="shared" si="91"/>
        <v>-0.5490815238530955</v>
      </c>
    </row>
    <row r="2919" spans="1:11" x14ac:dyDescent="0.3">
      <c r="A2919">
        <v>1015</v>
      </c>
      <c r="B2919">
        <v>2</v>
      </c>
      <c r="C2919">
        <v>73</v>
      </c>
      <c r="D2919" t="str">
        <f>VLOOKUP($C2919,products!$A$1:$F$322,MATCH(order_items!$D$1,products!$A$1:$F$1,0),FALSE)</f>
        <v>Sun Bicycles Brickell Tandem 7 - 2017</v>
      </c>
      <c r="E2919">
        <f>VLOOKUP($C2919,products!$A$1:$F$322,MATCH(order_items!$E$1,products!$A$1:$F$1,0),FALSE)</f>
        <v>3</v>
      </c>
      <c r="F2919" t="str">
        <f>VLOOKUP($E2919,categories!$A$1:$B$8,MATCH(order_items!$F$1,categories!$A$1:$B$1,0),FALSE)</f>
        <v>Cruisers Bicycles</v>
      </c>
      <c r="G2919">
        <v>2</v>
      </c>
      <c r="H2919">
        <v>749.99</v>
      </c>
      <c r="I2919" s="5">
        <v>0.2</v>
      </c>
      <c r="J2919">
        <f t="shared" si="90"/>
        <v>1199.9840000000002</v>
      </c>
      <c r="K2919" s="9">
        <f t="shared" si="91"/>
        <v>-0.34208121788997192</v>
      </c>
    </row>
    <row r="2920" spans="1:11" x14ac:dyDescent="0.3">
      <c r="A2920">
        <v>1015</v>
      </c>
      <c r="B2920">
        <v>3</v>
      </c>
      <c r="C2920">
        <v>101</v>
      </c>
      <c r="D2920" t="str">
        <f>VLOOKUP($C2920,products!$A$1:$F$322,MATCH(order_items!$D$1,products!$A$1:$F$1,0),FALSE)</f>
        <v>Electra Townie 7D (20-inch) - Boys' - 2017</v>
      </c>
      <c r="E2920">
        <f>VLOOKUP($C2920,products!$A$1:$F$322,MATCH(order_items!$E$1,products!$A$1:$F$1,0),FALSE)</f>
        <v>1</v>
      </c>
      <c r="F2920" t="str">
        <f>VLOOKUP($E2920,categories!$A$1:$B$8,MATCH(order_items!$F$1,categories!$A$1:$B$1,0),FALSE)</f>
        <v>Children Bicycles</v>
      </c>
      <c r="G2920">
        <v>2</v>
      </c>
      <c r="H2920">
        <v>339.99</v>
      </c>
      <c r="I2920" s="5">
        <v>0.1</v>
      </c>
      <c r="J2920">
        <f t="shared" si="90"/>
        <v>611.98200000000008</v>
      </c>
      <c r="K2920" s="9">
        <f t="shared" si="91"/>
        <v>-0.64518880876454576</v>
      </c>
    </row>
    <row r="2921" spans="1:11" x14ac:dyDescent="0.3">
      <c r="A2921">
        <v>1015</v>
      </c>
      <c r="B2921">
        <v>4</v>
      </c>
      <c r="C2921">
        <v>13</v>
      </c>
      <c r="D2921" t="str">
        <f>VLOOKUP($C2921,products!$A$1:$F$322,MATCH(order_items!$D$1,products!$A$1:$F$1,0),FALSE)</f>
        <v>Electra Cruiser 1 (24-Inch) - 2016</v>
      </c>
      <c r="E2921">
        <f>VLOOKUP($C2921,products!$A$1:$F$322,MATCH(order_items!$E$1,products!$A$1:$F$1,0),FALSE)</f>
        <v>3</v>
      </c>
      <c r="F2921" t="str">
        <f>VLOOKUP($E2921,categories!$A$1:$B$8,MATCH(order_items!$F$1,categories!$A$1:$B$1,0),FALSE)</f>
        <v>Cruisers Bicycles</v>
      </c>
      <c r="G2921">
        <v>1</v>
      </c>
      <c r="H2921">
        <v>269.99</v>
      </c>
      <c r="I2921" s="5">
        <v>0.2</v>
      </c>
      <c r="J2921">
        <f t="shared" si="90"/>
        <v>215.99200000000002</v>
      </c>
      <c r="K2921" s="9">
        <f t="shared" si="91"/>
        <v>-0.69693888525532666</v>
      </c>
    </row>
    <row r="2922" spans="1:11" x14ac:dyDescent="0.3">
      <c r="A2922">
        <v>1016</v>
      </c>
      <c r="B2922">
        <v>1</v>
      </c>
      <c r="C2922">
        <v>76</v>
      </c>
      <c r="D2922" t="str">
        <f>VLOOKUP($C2922,products!$A$1:$F$322,MATCH(order_items!$D$1,products!$A$1:$F$1,0),FALSE)</f>
        <v>Electra Girl's Hawaii 1 16" - 2017</v>
      </c>
      <c r="E2922">
        <f>VLOOKUP($C2922,products!$A$1:$F$322,MATCH(order_items!$E$1,products!$A$1:$F$1,0),FALSE)</f>
        <v>3</v>
      </c>
      <c r="F2922" t="str">
        <f>VLOOKUP($E2922,categories!$A$1:$B$8,MATCH(order_items!$F$1,categories!$A$1:$B$1,0),FALSE)</f>
        <v>Cruisers Bicycles</v>
      </c>
      <c r="G2922">
        <v>2</v>
      </c>
      <c r="H2922">
        <v>299.99</v>
      </c>
      <c r="I2922" s="5">
        <v>7.0000000000000007E-2</v>
      </c>
      <c r="J2922">
        <f t="shared" si="90"/>
        <v>557.98140000000001</v>
      </c>
      <c r="K2922" s="9">
        <f t="shared" si="91"/>
        <v>-0.67476028104499197</v>
      </c>
    </row>
    <row r="2923" spans="1:11" x14ac:dyDescent="0.3">
      <c r="A2923">
        <v>1017</v>
      </c>
      <c r="B2923">
        <v>1</v>
      </c>
      <c r="C2923">
        <v>89</v>
      </c>
      <c r="D2923" t="str">
        <f>VLOOKUP($C2923,products!$A$1:$F$322,MATCH(order_items!$D$1,products!$A$1:$F$1,0),FALSE)</f>
        <v>Trek Precaliber 16 Boys - 2017</v>
      </c>
      <c r="E2923">
        <f>VLOOKUP($C2923,products!$A$1:$F$322,MATCH(order_items!$E$1,products!$A$1:$F$1,0),FALSE)</f>
        <v>1</v>
      </c>
      <c r="F2923" t="str">
        <f>VLOOKUP($E2923,categories!$A$1:$B$8,MATCH(order_items!$F$1,categories!$A$1:$B$1,0),FALSE)</f>
        <v>Children Bicycles</v>
      </c>
      <c r="G2923">
        <v>1</v>
      </c>
      <c r="H2923">
        <v>209.99</v>
      </c>
      <c r="I2923" s="5">
        <v>7.0000000000000007E-2</v>
      </c>
      <c r="J2923">
        <f t="shared" si="90"/>
        <v>195.29069999999999</v>
      </c>
      <c r="K2923" s="9">
        <f t="shared" si="91"/>
        <v>-0.74129609367599603</v>
      </c>
    </row>
    <row r="2924" spans="1:11" x14ac:dyDescent="0.3">
      <c r="A2924">
        <v>1017</v>
      </c>
      <c r="B2924">
        <v>2</v>
      </c>
      <c r="C2924">
        <v>82</v>
      </c>
      <c r="D2924" t="str">
        <f>VLOOKUP($C2924,products!$A$1:$F$322,MATCH(order_items!$D$1,products!$A$1:$F$1,0),FALSE)</f>
        <v>Electra Amsterdam Original 3i Ladies' - 2017</v>
      </c>
      <c r="E2924">
        <f>VLOOKUP($C2924,products!$A$1:$F$322,MATCH(order_items!$E$1,products!$A$1:$F$1,0),FALSE)</f>
        <v>3</v>
      </c>
      <c r="F2924" t="str">
        <f>VLOOKUP($E2924,categories!$A$1:$B$8,MATCH(order_items!$F$1,categories!$A$1:$B$1,0),FALSE)</f>
        <v>Cruisers Bicycles</v>
      </c>
      <c r="G2924">
        <v>2</v>
      </c>
      <c r="H2924">
        <v>659.99</v>
      </c>
      <c r="I2924" s="5">
        <v>0.2</v>
      </c>
      <c r="J2924">
        <f t="shared" si="90"/>
        <v>1055.9840000000002</v>
      </c>
      <c r="K2924" s="9">
        <f t="shared" si="91"/>
        <v>-0.40861703052097592</v>
      </c>
    </row>
    <row r="2925" spans="1:11" x14ac:dyDescent="0.3">
      <c r="A2925">
        <v>1017</v>
      </c>
      <c r="B2925">
        <v>3</v>
      </c>
      <c r="C2925">
        <v>100</v>
      </c>
      <c r="D2925" t="str">
        <f>VLOOKUP($C2925,products!$A$1:$F$322,MATCH(order_items!$D$1,products!$A$1:$F$1,0),FALSE)</f>
        <v>Electra Townie 3i EQ (20-inch) - Boys' - 2017</v>
      </c>
      <c r="E2925">
        <f>VLOOKUP($C2925,products!$A$1:$F$322,MATCH(order_items!$E$1,products!$A$1:$F$1,0),FALSE)</f>
        <v>1</v>
      </c>
      <c r="F2925" t="str">
        <f>VLOOKUP($E2925,categories!$A$1:$B$8,MATCH(order_items!$F$1,categories!$A$1:$B$1,0),FALSE)</f>
        <v>Children Bicycles</v>
      </c>
      <c r="G2925">
        <v>1</v>
      </c>
      <c r="H2925">
        <v>489.99</v>
      </c>
      <c r="I2925" s="5">
        <v>0.2</v>
      </c>
      <c r="J2925">
        <f t="shared" si="90"/>
        <v>391.99200000000002</v>
      </c>
      <c r="K2925" s="9">
        <f t="shared" si="91"/>
        <v>-0.53429578771287245</v>
      </c>
    </row>
    <row r="2926" spans="1:11" x14ac:dyDescent="0.3">
      <c r="A2926">
        <v>1017</v>
      </c>
      <c r="B2926">
        <v>4</v>
      </c>
      <c r="C2926">
        <v>18</v>
      </c>
      <c r="D2926" t="str">
        <f>VLOOKUP($C2926,products!$A$1:$F$322,MATCH(order_items!$D$1,products!$A$1:$F$1,0),FALSE)</f>
        <v>Pure Cycles Western 3-Speed - Women's - 2015/2016</v>
      </c>
      <c r="E2926">
        <f>VLOOKUP($C2926,products!$A$1:$F$322,MATCH(order_items!$E$1,products!$A$1:$F$1,0),FALSE)</f>
        <v>3</v>
      </c>
      <c r="F2926" t="str">
        <f>VLOOKUP($E2926,categories!$A$1:$B$8,MATCH(order_items!$F$1,categories!$A$1:$B$1,0),FALSE)</f>
        <v>Cruisers Bicycles</v>
      </c>
      <c r="G2926">
        <v>2</v>
      </c>
      <c r="H2926">
        <v>449</v>
      </c>
      <c r="I2926" s="5">
        <v>0.2</v>
      </c>
      <c r="J2926">
        <f t="shared" si="90"/>
        <v>718.40000000000009</v>
      </c>
      <c r="K2926" s="9">
        <f t="shared" si="91"/>
        <v>-0.56459915393225968</v>
      </c>
    </row>
    <row r="2927" spans="1:11" x14ac:dyDescent="0.3">
      <c r="A2927">
        <v>1017</v>
      </c>
      <c r="B2927">
        <v>5</v>
      </c>
      <c r="C2927">
        <v>77</v>
      </c>
      <c r="D2927" t="str">
        <f>VLOOKUP($C2927,products!$A$1:$F$322,MATCH(order_items!$D$1,products!$A$1:$F$1,0),FALSE)</f>
        <v>Electra Glam Punk 3i Ladies' - 2017</v>
      </c>
      <c r="E2927">
        <f>VLOOKUP($C2927,products!$A$1:$F$322,MATCH(order_items!$E$1,products!$A$1:$F$1,0),FALSE)</f>
        <v>3</v>
      </c>
      <c r="F2927" t="str">
        <f>VLOOKUP($E2927,categories!$A$1:$B$8,MATCH(order_items!$F$1,categories!$A$1:$B$1,0),FALSE)</f>
        <v>Cruisers Bicycles</v>
      </c>
      <c r="G2927">
        <v>2</v>
      </c>
      <c r="H2927">
        <v>799.99</v>
      </c>
      <c r="I2927" s="5">
        <v>0.1</v>
      </c>
      <c r="J2927">
        <f t="shared" si="90"/>
        <v>1439.982</v>
      </c>
      <c r="K2927" s="9">
        <f t="shared" si="91"/>
        <v>-0.30511687753941413</v>
      </c>
    </row>
    <row r="2928" spans="1:11" x14ac:dyDescent="0.3">
      <c r="A2928">
        <v>1018</v>
      </c>
      <c r="B2928">
        <v>1</v>
      </c>
      <c r="C2928">
        <v>76</v>
      </c>
      <c r="D2928" t="str">
        <f>VLOOKUP($C2928,products!$A$1:$F$322,MATCH(order_items!$D$1,products!$A$1:$F$1,0),FALSE)</f>
        <v>Electra Girl's Hawaii 1 16" - 2017</v>
      </c>
      <c r="E2928">
        <f>VLOOKUP($C2928,products!$A$1:$F$322,MATCH(order_items!$E$1,products!$A$1:$F$1,0),FALSE)</f>
        <v>3</v>
      </c>
      <c r="F2928" t="str">
        <f>VLOOKUP($E2928,categories!$A$1:$B$8,MATCH(order_items!$F$1,categories!$A$1:$B$1,0),FALSE)</f>
        <v>Cruisers Bicycles</v>
      </c>
      <c r="G2928">
        <v>2</v>
      </c>
      <c r="H2928">
        <v>299.99</v>
      </c>
      <c r="I2928" s="5">
        <v>7.0000000000000007E-2</v>
      </c>
      <c r="J2928">
        <f t="shared" si="90"/>
        <v>557.98140000000001</v>
      </c>
      <c r="K2928" s="9">
        <f t="shared" si="91"/>
        <v>-0.67476028104499197</v>
      </c>
    </row>
    <row r="2929" spans="1:11" x14ac:dyDescent="0.3">
      <c r="A2929">
        <v>1018</v>
      </c>
      <c r="B2929">
        <v>2</v>
      </c>
      <c r="C2929">
        <v>97</v>
      </c>
      <c r="D2929" t="str">
        <f>VLOOKUP($C2929,products!$A$1:$F$322,MATCH(order_items!$D$1,products!$A$1:$F$1,0),FALSE)</f>
        <v>Electra Savannah 3i (20-inch) - Girl's - 2017</v>
      </c>
      <c r="E2929">
        <f>VLOOKUP($C2929,products!$A$1:$F$322,MATCH(order_items!$E$1,products!$A$1:$F$1,0),FALSE)</f>
        <v>1</v>
      </c>
      <c r="F2929" t="str">
        <f>VLOOKUP($E2929,categories!$A$1:$B$8,MATCH(order_items!$F$1,categories!$A$1:$B$1,0),FALSE)</f>
        <v>Children Bicycles</v>
      </c>
      <c r="G2929">
        <v>2</v>
      </c>
      <c r="H2929">
        <v>349.99</v>
      </c>
      <c r="I2929" s="5">
        <v>0.1</v>
      </c>
      <c r="J2929">
        <f t="shared" si="90"/>
        <v>629.98200000000008</v>
      </c>
      <c r="K2929" s="9">
        <f t="shared" si="91"/>
        <v>-0.63779594069443424</v>
      </c>
    </row>
    <row r="2930" spans="1:11" x14ac:dyDescent="0.3">
      <c r="A2930">
        <v>1018</v>
      </c>
      <c r="B2930">
        <v>3</v>
      </c>
      <c r="C2930">
        <v>91</v>
      </c>
      <c r="D2930" t="str">
        <f>VLOOKUP($C2930,products!$A$1:$F$322,MATCH(order_items!$D$1,products!$A$1:$F$1,0),FALSE)</f>
        <v>Trek Precaliber 24 (21-Speed) - Girls - 2017</v>
      </c>
      <c r="E2930">
        <f>VLOOKUP($C2930,products!$A$1:$F$322,MATCH(order_items!$E$1,products!$A$1:$F$1,0),FALSE)</f>
        <v>1</v>
      </c>
      <c r="F2930" t="str">
        <f>VLOOKUP($E2930,categories!$A$1:$B$8,MATCH(order_items!$F$1,categories!$A$1:$B$1,0),FALSE)</f>
        <v>Children Bicycles</v>
      </c>
      <c r="G2930">
        <v>1</v>
      </c>
      <c r="H2930">
        <v>349.99</v>
      </c>
      <c r="I2930" s="5">
        <v>0.2</v>
      </c>
      <c r="J2930">
        <f t="shared" si="90"/>
        <v>279.99200000000002</v>
      </c>
      <c r="K2930" s="9">
        <f t="shared" si="91"/>
        <v>-0.63779594069443424</v>
      </c>
    </row>
    <row r="2931" spans="1:11" x14ac:dyDescent="0.3">
      <c r="A2931">
        <v>1019</v>
      </c>
      <c r="B2931">
        <v>1</v>
      </c>
      <c r="C2931">
        <v>30</v>
      </c>
      <c r="D2931" t="str">
        <f>VLOOKUP($C2931,products!$A$1:$F$322,MATCH(order_items!$D$1,products!$A$1:$F$1,0),FALSE)</f>
        <v>Surly Ice Cream Truck Frameset - 2017</v>
      </c>
      <c r="E2931">
        <f>VLOOKUP($C2931,products!$A$1:$F$322,MATCH(order_items!$E$1,products!$A$1:$F$1,0),FALSE)</f>
        <v>6</v>
      </c>
      <c r="F2931" t="str">
        <f>VLOOKUP($E2931,categories!$A$1:$B$8,MATCH(order_items!$F$1,categories!$A$1:$B$1,0),FALSE)</f>
        <v>Mountain Bikes</v>
      </c>
      <c r="G2931">
        <v>1</v>
      </c>
      <c r="H2931">
        <v>999.99</v>
      </c>
      <c r="I2931" s="5">
        <v>0.1</v>
      </c>
      <c r="J2931">
        <f t="shared" si="90"/>
        <v>899.99099999999999</v>
      </c>
      <c r="K2931" s="9">
        <f t="shared" si="91"/>
        <v>-0.15725951613718298</v>
      </c>
    </row>
    <row r="2932" spans="1:11" x14ac:dyDescent="0.3">
      <c r="A2932">
        <v>1019</v>
      </c>
      <c r="B2932">
        <v>2</v>
      </c>
      <c r="C2932">
        <v>52</v>
      </c>
      <c r="D2932" t="str">
        <f>VLOOKUP($C2932,products!$A$1:$F$322,MATCH(order_items!$D$1,products!$A$1:$F$1,0),FALSE)</f>
        <v>Surly Steamroller - 2017</v>
      </c>
      <c r="E2932">
        <f>VLOOKUP($C2932,products!$A$1:$F$322,MATCH(order_items!$E$1,products!$A$1:$F$1,0),FALSE)</f>
        <v>7</v>
      </c>
      <c r="F2932" t="str">
        <f>VLOOKUP($E2932,categories!$A$1:$B$8,MATCH(order_items!$F$1,categories!$A$1:$B$1,0),FALSE)</f>
        <v>Road Bikes</v>
      </c>
      <c r="G2932">
        <v>1</v>
      </c>
      <c r="H2932">
        <v>875.99</v>
      </c>
      <c r="I2932" s="5">
        <v>0.2</v>
      </c>
      <c r="J2932">
        <f t="shared" si="90"/>
        <v>700.79200000000003</v>
      </c>
      <c r="K2932" s="9">
        <f t="shared" si="91"/>
        <v>-0.24893108020656629</v>
      </c>
    </row>
    <row r="2933" spans="1:11" x14ac:dyDescent="0.3">
      <c r="A2933">
        <v>1019</v>
      </c>
      <c r="B2933">
        <v>3</v>
      </c>
      <c r="C2933">
        <v>37</v>
      </c>
      <c r="D2933" t="str">
        <f>VLOOKUP($C2933,products!$A$1:$F$322,MATCH(order_items!$D$1,products!$A$1:$F$1,0),FALSE)</f>
        <v>Haro Flightline One ST - 2017</v>
      </c>
      <c r="E2933">
        <f>VLOOKUP($C2933,products!$A$1:$F$322,MATCH(order_items!$E$1,products!$A$1:$F$1,0),FALSE)</f>
        <v>6</v>
      </c>
      <c r="F2933" t="str">
        <f>VLOOKUP($E2933,categories!$A$1:$B$8,MATCH(order_items!$F$1,categories!$A$1:$B$1,0),FALSE)</f>
        <v>Mountain Bikes</v>
      </c>
      <c r="G2933">
        <v>1</v>
      </c>
      <c r="H2933">
        <v>379.99</v>
      </c>
      <c r="I2933" s="5">
        <v>0.05</v>
      </c>
      <c r="J2933">
        <f t="shared" si="90"/>
        <v>360.9905</v>
      </c>
      <c r="K2933" s="9">
        <f t="shared" si="91"/>
        <v>-0.61561733648409955</v>
      </c>
    </row>
    <row r="2934" spans="1:11" x14ac:dyDescent="0.3">
      <c r="A2934">
        <v>1019</v>
      </c>
      <c r="B2934">
        <v>4</v>
      </c>
      <c r="C2934">
        <v>93</v>
      </c>
      <c r="D2934" t="str">
        <f>VLOOKUP($C2934,products!$A$1:$F$322,MATCH(order_items!$D$1,products!$A$1:$F$1,0),FALSE)</f>
        <v>Haro Shredder 20 Girls - 2017</v>
      </c>
      <c r="E2934">
        <f>VLOOKUP($C2934,products!$A$1:$F$322,MATCH(order_items!$E$1,products!$A$1:$F$1,0),FALSE)</f>
        <v>1</v>
      </c>
      <c r="F2934" t="str">
        <f>VLOOKUP($E2934,categories!$A$1:$B$8,MATCH(order_items!$F$1,categories!$A$1:$B$1,0),FALSE)</f>
        <v>Children Bicycles</v>
      </c>
      <c r="G2934">
        <v>2</v>
      </c>
      <c r="H2934">
        <v>209.99</v>
      </c>
      <c r="I2934" s="5">
        <v>0.2</v>
      </c>
      <c r="J2934">
        <f t="shared" si="90"/>
        <v>335.98400000000004</v>
      </c>
      <c r="K2934" s="9">
        <f t="shared" si="91"/>
        <v>-0.74129609367599603</v>
      </c>
    </row>
    <row r="2935" spans="1:11" x14ac:dyDescent="0.3">
      <c r="A2935">
        <v>1020</v>
      </c>
      <c r="B2935">
        <v>1</v>
      </c>
      <c r="C2935">
        <v>20</v>
      </c>
      <c r="D2935" t="str">
        <f>VLOOKUP($C2935,products!$A$1:$F$322,MATCH(order_items!$D$1,products!$A$1:$F$1,0),FALSE)</f>
        <v>Electra Townie Original 7D EQ - Women's - 2016</v>
      </c>
      <c r="E2935">
        <f>VLOOKUP($C2935,products!$A$1:$F$322,MATCH(order_items!$E$1,products!$A$1:$F$1,0),FALSE)</f>
        <v>3</v>
      </c>
      <c r="F2935" t="str">
        <f>VLOOKUP($E2935,categories!$A$1:$B$8,MATCH(order_items!$F$1,categories!$A$1:$B$1,0),FALSE)</f>
        <v>Cruisers Bicycles</v>
      </c>
      <c r="G2935">
        <v>2</v>
      </c>
      <c r="H2935">
        <v>599.99</v>
      </c>
      <c r="I2935" s="5">
        <v>0.05</v>
      </c>
      <c r="J2935">
        <f t="shared" si="90"/>
        <v>1139.981</v>
      </c>
      <c r="K2935" s="9">
        <f t="shared" si="91"/>
        <v>-0.45297423894164529</v>
      </c>
    </row>
    <row r="2936" spans="1:11" x14ac:dyDescent="0.3">
      <c r="A2936">
        <v>1020</v>
      </c>
      <c r="B2936">
        <v>2</v>
      </c>
      <c r="C2936">
        <v>69</v>
      </c>
      <c r="D2936" t="str">
        <f>VLOOKUP($C2936,products!$A$1:$F$322,MATCH(order_items!$D$1,products!$A$1:$F$1,0),FALSE)</f>
        <v>Sun Bicycles Cruz 7 - 2017</v>
      </c>
      <c r="E2936">
        <f>VLOOKUP($C2936,products!$A$1:$F$322,MATCH(order_items!$E$1,products!$A$1:$F$1,0),FALSE)</f>
        <v>3</v>
      </c>
      <c r="F2936" t="str">
        <f>VLOOKUP($E2936,categories!$A$1:$B$8,MATCH(order_items!$F$1,categories!$A$1:$B$1,0),FALSE)</f>
        <v>Cruisers Bicycles</v>
      </c>
      <c r="G2936">
        <v>2</v>
      </c>
      <c r="H2936">
        <v>416.99</v>
      </c>
      <c r="I2936" s="5">
        <v>0.05</v>
      </c>
      <c r="J2936">
        <f t="shared" si="90"/>
        <v>792.28099999999995</v>
      </c>
      <c r="K2936" s="9">
        <f t="shared" si="91"/>
        <v>-0.58826372462468679</v>
      </c>
    </row>
    <row r="2937" spans="1:11" x14ac:dyDescent="0.3">
      <c r="A2937">
        <v>1020</v>
      </c>
      <c r="B2937">
        <v>3</v>
      </c>
      <c r="C2937">
        <v>15</v>
      </c>
      <c r="D2937" t="str">
        <f>VLOOKUP($C2937,products!$A$1:$F$322,MATCH(order_items!$D$1,products!$A$1:$F$1,0),FALSE)</f>
        <v>Electra Moto 1 - 2016</v>
      </c>
      <c r="E2937">
        <f>VLOOKUP($C2937,products!$A$1:$F$322,MATCH(order_items!$E$1,products!$A$1:$F$1,0),FALSE)</f>
        <v>3</v>
      </c>
      <c r="F2937" t="str">
        <f>VLOOKUP($E2937,categories!$A$1:$B$8,MATCH(order_items!$F$1,categories!$A$1:$B$1,0),FALSE)</f>
        <v>Cruisers Bicycles</v>
      </c>
      <c r="G2937">
        <v>1</v>
      </c>
      <c r="H2937">
        <v>529.99</v>
      </c>
      <c r="I2937" s="5">
        <v>7.0000000000000007E-2</v>
      </c>
      <c r="J2937">
        <f t="shared" si="90"/>
        <v>492.89069999999998</v>
      </c>
      <c r="K2937" s="9">
        <f t="shared" si="91"/>
        <v>-0.50472431543242624</v>
      </c>
    </row>
    <row r="2938" spans="1:11" x14ac:dyDescent="0.3">
      <c r="A2938">
        <v>1020</v>
      </c>
      <c r="B2938">
        <v>4</v>
      </c>
      <c r="C2938">
        <v>57</v>
      </c>
      <c r="D2938" t="str">
        <f>VLOOKUP($C2938,products!$A$1:$F$322,MATCH(order_items!$D$1,products!$A$1:$F$1,0),FALSE)</f>
        <v>Trek Emonda S 5 - 2017</v>
      </c>
      <c r="E2938">
        <f>VLOOKUP($C2938,products!$A$1:$F$322,MATCH(order_items!$E$1,products!$A$1:$F$1,0),FALSE)</f>
        <v>7</v>
      </c>
      <c r="F2938" t="str">
        <f>VLOOKUP($E2938,categories!$A$1:$B$8,MATCH(order_items!$F$1,categories!$A$1:$B$1,0),FALSE)</f>
        <v>Road Bikes</v>
      </c>
      <c r="G2938">
        <v>2</v>
      </c>
      <c r="H2938">
        <v>1999.99</v>
      </c>
      <c r="I2938" s="5">
        <v>0.1</v>
      </c>
      <c r="J2938">
        <f t="shared" si="90"/>
        <v>3599.982</v>
      </c>
      <c r="K2938" s="9">
        <f t="shared" si="91"/>
        <v>0.58202729087397276</v>
      </c>
    </row>
    <row r="2939" spans="1:11" x14ac:dyDescent="0.3">
      <c r="A2939">
        <v>1020</v>
      </c>
      <c r="B2939">
        <v>5</v>
      </c>
      <c r="C2939">
        <v>40</v>
      </c>
      <c r="D2939" t="str">
        <f>VLOOKUP($C2939,products!$A$1:$F$322,MATCH(order_items!$D$1,products!$A$1:$F$1,0),FALSE)</f>
        <v>Trek Fuel EX 9.8 29 - 2017</v>
      </c>
      <c r="E2939">
        <f>VLOOKUP($C2939,products!$A$1:$F$322,MATCH(order_items!$E$1,products!$A$1:$F$1,0),FALSE)</f>
        <v>6</v>
      </c>
      <c r="F2939" t="str">
        <f>VLOOKUP($E2939,categories!$A$1:$B$8,MATCH(order_items!$F$1,categories!$A$1:$B$1,0),FALSE)</f>
        <v>Mountain Bikes</v>
      </c>
      <c r="G2939">
        <v>2</v>
      </c>
      <c r="H2939">
        <v>4999.99</v>
      </c>
      <c r="I2939" s="5">
        <v>0.05</v>
      </c>
      <c r="J2939">
        <f t="shared" si="90"/>
        <v>9499.9809999999998</v>
      </c>
      <c r="K2939" s="9">
        <f t="shared" si="91"/>
        <v>2.7998877119074401</v>
      </c>
    </row>
    <row r="2940" spans="1:11" x14ac:dyDescent="0.3">
      <c r="A2940">
        <v>1021</v>
      </c>
      <c r="B2940">
        <v>1</v>
      </c>
      <c r="C2940">
        <v>49</v>
      </c>
      <c r="D2940" t="str">
        <f>VLOOKUP($C2940,products!$A$1:$F$322,MATCH(order_items!$D$1,products!$A$1:$F$1,0),FALSE)</f>
        <v>Trek Domane SL 6 - 2017</v>
      </c>
      <c r="E2940">
        <f>VLOOKUP($C2940,products!$A$1:$F$322,MATCH(order_items!$E$1,products!$A$1:$F$1,0),FALSE)</f>
        <v>7</v>
      </c>
      <c r="F2940" t="str">
        <f>VLOOKUP($E2940,categories!$A$1:$B$8,MATCH(order_items!$F$1,categories!$A$1:$B$1,0),FALSE)</f>
        <v>Road Bikes</v>
      </c>
      <c r="G2940">
        <v>2</v>
      </c>
      <c r="H2940">
        <v>3499.99</v>
      </c>
      <c r="I2940" s="5">
        <v>7.0000000000000007E-2</v>
      </c>
      <c r="J2940">
        <f t="shared" si="90"/>
        <v>6509.9813999999988</v>
      </c>
      <c r="K2940" s="9">
        <f t="shared" si="91"/>
        <v>1.6909575013907066</v>
      </c>
    </row>
    <row r="2941" spans="1:11" x14ac:dyDescent="0.3">
      <c r="A2941">
        <v>1021</v>
      </c>
      <c r="B2941">
        <v>2</v>
      </c>
      <c r="C2941">
        <v>23</v>
      </c>
      <c r="D2941" t="str">
        <f>VLOOKUP($C2941,products!$A$1:$F$322,MATCH(order_items!$D$1,products!$A$1:$F$1,0),FALSE)</f>
        <v>Electra Girl's Hawaii 1 (20-inch) - 2015/2016</v>
      </c>
      <c r="E2941">
        <f>VLOOKUP($C2941,products!$A$1:$F$322,MATCH(order_items!$E$1,products!$A$1:$F$1,0),FALSE)</f>
        <v>1</v>
      </c>
      <c r="F2941" t="str">
        <f>VLOOKUP($E2941,categories!$A$1:$B$8,MATCH(order_items!$F$1,categories!$A$1:$B$1,0),FALSE)</f>
        <v>Children Bicycles</v>
      </c>
      <c r="G2941">
        <v>2</v>
      </c>
      <c r="H2941">
        <v>299.99</v>
      </c>
      <c r="I2941" s="5">
        <v>7.0000000000000007E-2</v>
      </c>
      <c r="J2941">
        <f t="shared" si="90"/>
        <v>557.98140000000001</v>
      </c>
      <c r="K2941" s="9">
        <f t="shared" si="91"/>
        <v>-0.67476028104499197</v>
      </c>
    </row>
    <row r="2942" spans="1:11" x14ac:dyDescent="0.3">
      <c r="A2942">
        <v>1022</v>
      </c>
      <c r="B2942">
        <v>1</v>
      </c>
      <c r="C2942">
        <v>33</v>
      </c>
      <c r="D2942" t="str">
        <f>VLOOKUP($C2942,products!$A$1:$F$322,MATCH(order_items!$D$1,products!$A$1:$F$1,0),FALSE)</f>
        <v>Surly Wednesday Frameset - 2017</v>
      </c>
      <c r="E2942">
        <f>VLOOKUP($C2942,products!$A$1:$F$322,MATCH(order_items!$E$1,products!$A$1:$F$1,0),FALSE)</f>
        <v>6</v>
      </c>
      <c r="F2942" t="str">
        <f>VLOOKUP($E2942,categories!$A$1:$B$8,MATCH(order_items!$F$1,categories!$A$1:$B$1,0),FALSE)</f>
        <v>Mountain Bikes</v>
      </c>
      <c r="G2942">
        <v>1</v>
      </c>
      <c r="H2942">
        <v>469.99</v>
      </c>
      <c r="I2942" s="5">
        <v>0.2</v>
      </c>
      <c r="J2942">
        <f t="shared" si="90"/>
        <v>375.99200000000002</v>
      </c>
      <c r="K2942" s="9">
        <f t="shared" si="91"/>
        <v>-0.5490815238530955</v>
      </c>
    </row>
    <row r="2943" spans="1:11" x14ac:dyDescent="0.3">
      <c r="A2943">
        <v>1022</v>
      </c>
      <c r="B2943">
        <v>2</v>
      </c>
      <c r="C2943">
        <v>46</v>
      </c>
      <c r="D2943" t="str">
        <f>VLOOKUP($C2943,products!$A$1:$F$322,MATCH(order_items!$D$1,products!$A$1:$F$1,0),FALSE)</f>
        <v>Haro SR 1.3 - 2017</v>
      </c>
      <c r="E2943">
        <f>VLOOKUP($C2943,products!$A$1:$F$322,MATCH(order_items!$E$1,products!$A$1:$F$1,0),FALSE)</f>
        <v>6</v>
      </c>
      <c r="F2943" t="str">
        <f>VLOOKUP($E2943,categories!$A$1:$B$8,MATCH(order_items!$F$1,categories!$A$1:$B$1,0),FALSE)</f>
        <v>Mountain Bikes</v>
      </c>
      <c r="G2943">
        <v>1</v>
      </c>
      <c r="H2943">
        <v>1409.99</v>
      </c>
      <c r="I2943" s="5">
        <v>0.1</v>
      </c>
      <c r="J2943">
        <f t="shared" si="90"/>
        <v>1268.991</v>
      </c>
      <c r="K2943" s="9">
        <f t="shared" si="91"/>
        <v>0.14584807473739089</v>
      </c>
    </row>
    <row r="2944" spans="1:11" x14ac:dyDescent="0.3">
      <c r="A2944">
        <v>1022</v>
      </c>
      <c r="B2944">
        <v>3</v>
      </c>
      <c r="C2944">
        <v>65</v>
      </c>
      <c r="D2944" t="str">
        <f>VLOOKUP($C2944,products!$A$1:$F$322,MATCH(order_items!$D$1,products!$A$1:$F$1,0),FALSE)</f>
        <v>Sun Bicycles Lil Bolt Type-R - 2017</v>
      </c>
      <c r="E2944">
        <f>VLOOKUP($C2944,products!$A$1:$F$322,MATCH(order_items!$E$1,products!$A$1:$F$1,0),FALSE)</f>
        <v>3</v>
      </c>
      <c r="F2944" t="str">
        <f>VLOOKUP($E2944,categories!$A$1:$B$8,MATCH(order_items!$F$1,categories!$A$1:$B$1,0),FALSE)</f>
        <v>Cruisers Bicycles</v>
      </c>
      <c r="G2944">
        <v>1</v>
      </c>
      <c r="H2944">
        <v>346.99</v>
      </c>
      <c r="I2944" s="5">
        <v>7.0000000000000007E-2</v>
      </c>
      <c r="J2944">
        <f t="shared" si="90"/>
        <v>322.70069999999998</v>
      </c>
      <c r="K2944" s="9">
        <f t="shared" si="91"/>
        <v>-0.64001380111546768</v>
      </c>
    </row>
    <row r="2945" spans="1:11" x14ac:dyDescent="0.3">
      <c r="A2945">
        <v>1022</v>
      </c>
      <c r="B2945">
        <v>4</v>
      </c>
      <c r="C2945">
        <v>5</v>
      </c>
      <c r="D2945" t="str">
        <f>VLOOKUP($C2945,products!$A$1:$F$322,MATCH(order_items!$D$1,products!$A$1:$F$1,0),FALSE)</f>
        <v>Heller Shagamaw Frame - 2016</v>
      </c>
      <c r="E2945">
        <f>VLOOKUP($C2945,products!$A$1:$F$322,MATCH(order_items!$E$1,products!$A$1:$F$1,0),FALSE)</f>
        <v>6</v>
      </c>
      <c r="F2945" t="str">
        <f>VLOOKUP($E2945,categories!$A$1:$B$8,MATCH(order_items!$F$1,categories!$A$1:$B$1,0),FALSE)</f>
        <v>Mountain Bikes</v>
      </c>
      <c r="G2945">
        <v>1</v>
      </c>
      <c r="H2945">
        <v>1320.99</v>
      </c>
      <c r="I2945" s="5">
        <v>7.0000000000000007E-2</v>
      </c>
      <c r="J2945">
        <f t="shared" si="90"/>
        <v>1228.5207</v>
      </c>
      <c r="K2945" s="9">
        <f t="shared" si="91"/>
        <v>8.0051548913398024E-2</v>
      </c>
    </row>
    <row r="2946" spans="1:11" x14ac:dyDescent="0.3">
      <c r="A2946">
        <v>1023</v>
      </c>
      <c r="B2946">
        <v>1</v>
      </c>
      <c r="C2946">
        <v>91</v>
      </c>
      <c r="D2946" t="str">
        <f>VLOOKUP($C2946,products!$A$1:$F$322,MATCH(order_items!$D$1,products!$A$1:$F$1,0),FALSE)</f>
        <v>Trek Precaliber 24 (21-Speed) - Girls - 2017</v>
      </c>
      <c r="E2946">
        <f>VLOOKUP($C2946,products!$A$1:$F$322,MATCH(order_items!$E$1,products!$A$1:$F$1,0),FALSE)</f>
        <v>1</v>
      </c>
      <c r="F2946" t="str">
        <f>VLOOKUP($E2946,categories!$A$1:$B$8,MATCH(order_items!$F$1,categories!$A$1:$B$1,0),FALSE)</f>
        <v>Children Bicycles</v>
      </c>
      <c r="G2946">
        <v>1</v>
      </c>
      <c r="H2946">
        <v>349.99</v>
      </c>
      <c r="I2946" s="5">
        <v>7.0000000000000007E-2</v>
      </c>
      <c r="J2946">
        <f t="shared" ref="J2946:J3009" si="92">G2946*H2946*(1-I2946)</f>
        <v>325.4907</v>
      </c>
      <c r="K2946" s="9">
        <f t="shared" ref="K2946:K3009" si="93">($H2946-$M$7)/$M$9</f>
        <v>-0.63779594069443424</v>
      </c>
    </row>
    <row r="2947" spans="1:11" x14ac:dyDescent="0.3">
      <c r="A2947">
        <v>1023</v>
      </c>
      <c r="B2947">
        <v>2</v>
      </c>
      <c r="C2947">
        <v>43</v>
      </c>
      <c r="D2947" t="str">
        <f>VLOOKUP($C2947,products!$A$1:$F$322,MATCH(order_items!$D$1,products!$A$1:$F$1,0),FALSE)</f>
        <v>Trek Fuel EX 9.8 27.5 Plus - 2017</v>
      </c>
      <c r="E2947">
        <f>VLOOKUP($C2947,products!$A$1:$F$322,MATCH(order_items!$E$1,products!$A$1:$F$1,0),FALSE)</f>
        <v>6</v>
      </c>
      <c r="F2947" t="str">
        <f>VLOOKUP($E2947,categories!$A$1:$B$8,MATCH(order_items!$F$1,categories!$A$1:$B$1,0),FALSE)</f>
        <v>Mountain Bikes</v>
      </c>
      <c r="G2947">
        <v>2</v>
      </c>
      <c r="H2947">
        <v>5299.99</v>
      </c>
      <c r="I2947" s="5">
        <v>0.1</v>
      </c>
      <c r="J2947">
        <f t="shared" si="92"/>
        <v>9539.982</v>
      </c>
      <c r="K2947" s="9">
        <f t="shared" si="93"/>
        <v>3.021673754010787</v>
      </c>
    </row>
    <row r="2948" spans="1:11" x14ac:dyDescent="0.3">
      <c r="A2948">
        <v>1024</v>
      </c>
      <c r="B2948">
        <v>1</v>
      </c>
      <c r="C2948">
        <v>104</v>
      </c>
      <c r="D2948" t="str">
        <f>VLOOKUP($C2948,products!$A$1:$F$322,MATCH(order_items!$D$1,products!$A$1:$F$1,0),FALSE)</f>
        <v>Sun Bicycles Streamway - 2017</v>
      </c>
      <c r="E2948">
        <f>VLOOKUP($C2948,products!$A$1:$F$322,MATCH(order_items!$E$1,products!$A$1:$F$1,0),FALSE)</f>
        <v>2</v>
      </c>
      <c r="F2948" t="str">
        <f>VLOOKUP($E2948,categories!$A$1:$B$8,MATCH(order_items!$F$1,categories!$A$1:$B$1,0),FALSE)</f>
        <v>Comfort Bicycles</v>
      </c>
      <c r="G2948">
        <v>1</v>
      </c>
      <c r="H2948">
        <v>481.99</v>
      </c>
      <c r="I2948" s="5">
        <v>0.2</v>
      </c>
      <c r="J2948">
        <f t="shared" si="92"/>
        <v>385.59200000000004</v>
      </c>
      <c r="K2948" s="9">
        <f t="shared" si="93"/>
        <v>-0.54021008216896171</v>
      </c>
    </row>
    <row r="2949" spans="1:11" x14ac:dyDescent="0.3">
      <c r="A2949">
        <v>1024</v>
      </c>
      <c r="B2949">
        <v>2</v>
      </c>
      <c r="C2949">
        <v>28</v>
      </c>
      <c r="D2949" t="str">
        <f>VLOOKUP($C2949,products!$A$1:$F$322,MATCH(order_items!$D$1,products!$A$1:$F$1,0),FALSE)</f>
        <v>Surly Karate Monkey 27.5+ Frameset - 2017</v>
      </c>
      <c r="E2949">
        <f>VLOOKUP($C2949,products!$A$1:$F$322,MATCH(order_items!$E$1,products!$A$1:$F$1,0),FALSE)</f>
        <v>6</v>
      </c>
      <c r="F2949" t="str">
        <f>VLOOKUP($E2949,categories!$A$1:$B$8,MATCH(order_items!$F$1,categories!$A$1:$B$1,0),FALSE)</f>
        <v>Mountain Bikes</v>
      </c>
      <c r="G2949">
        <v>2</v>
      </c>
      <c r="H2949">
        <v>2499.9899999999998</v>
      </c>
      <c r="I2949" s="5">
        <v>0.05</v>
      </c>
      <c r="J2949">
        <f t="shared" si="92"/>
        <v>4749.9809999999998</v>
      </c>
      <c r="K2949" s="9">
        <f t="shared" si="93"/>
        <v>0.95167069437955054</v>
      </c>
    </row>
    <row r="2950" spans="1:11" x14ac:dyDescent="0.3">
      <c r="A2950">
        <v>1024</v>
      </c>
      <c r="B2950">
        <v>3</v>
      </c>
      <c r="C2950">
        <v>98</v>
      </c>
      <c r="D2950" t="str">
        <f>VLOOKUP($C2950,products!$A$1:$F$322,MATCH(order_items!$D$1,products!$A$1:$F$1,0),FALSE)</f>
        <v>Electra Straight 8 3i (20-inch) - Boy's - 2017</v>
      </c>
      <c r="E2950">
        <f>VLOOKUP($C2950,products!$A$1:$F$322,MATCH(order_items!$E$1,products!$A$1:$F$1,0),FALSE)</f>
        <v>1</v>
      </c>
      <c r="F2950" t="str">
        <f>VLOOKUP($E2950,categories!$A$1:$B$8,MATCH(order_items!$F$1,categories!$A$1:$B$1,0),FALSE)</f>
        <v>Children Bicycles</v>
      </c>
      <c r="G2950">
        <v>2</v>
      </c>
      <c r="H2950">
        <v>489.99</v>
      </c>
      <c r="I2950" s="5">
        <v>0.2</v>
      </c>
      <c r="J2950">
        <f t="shared" si="92"/>
        <v>783.98400000000004</v>
      </c>
      <c r="K2950" s="9">
        <f t="shared" si="93"/>
        <v>-0.53429578771287245</v>
      </c>
    </row>
    <row r="2951" spans="1:11" x14ac:dyDescent="0.3">
      <c r="A2951">
        <v>1024</v>
      </c>
      <c r="B2951">
        <v>4</v>
      </c>
      <c r="C2951">
        <v>96</v>
      </c>
      <c r="D2951" t="str">
        <f>VLOOKUP($C2951,products!$A$1:$F$322,MATCH(order_items!$D$1,products!$A$1:$F$1,0),FALSE)</f>
        <v>Electra Moto 3i (20-inch) - Boy's - 2017</v>
      </c>
      <c r="E2951">
        <f>VLOOKUP($C2951,products!$A$1:$F$322,MATCH(order_items!$E$1,products!$A$1:$F$1,0),FALSE)</f>
        <v>1</v>
      </c>
      <c r="F2951" t="str">
        <f>VLOOKUP($E2951,categories!$A$1:$B$8,MATCH(order_items!$F$1,categories!$A$1:$B$1,0),FALSE)</f>
        <v>Children Bicycles</v>
      </c>
      <c r="G2951">
        <v>2</v>
      </c>
      <c r="H2951">
        <v>349.99</v>
      </c>
      <c r="I2951" s="5">
        <v>0.1</v>
      </c>
      <c r="J2951">
        <f t="shared" si="92"/>
        <v>629.98200000000008</v>
      </c>
      <c r="K2951" s="9">
        <f t="shared" si="93"/>
        <v>-0.63779594069443424</v>
      </c>
    </row>
    <row r="2952" spans="1:11" x14ac:dyDescent="0.3">
      <c r="A2952">
        <v>1024</v>
      </c>
      <c r="B2952">
        <v>5</v>
      </c>
      <c r="C2952">
        <v>91</v>
      </c>
      <c r="D2952" t="str">
        <f>VLOOKUP($C2952,products!$A$1:$F$322,MATCH(order_items!$D$1,products!$A$1:$F$1,0),FALSE)</f>
        <v>Trek Precaliber 24 (21-Speed) - Girls - 2017</v>
      </c>
      <c r="E2952">
        <f>VLOOKUP($C2952,products!$A$1:$F$322,MATCH(order_items!$E$1,products!$A$1:$F$1,0),FALSE)</f>
        <v>1</v>
      </c>
      <c r="F2952" t="str">
        <f>VLOOKUP($E2952,categories!$A$1:$B$8,MATCH(order_items!$F$1,categories!$A$1:$B$1,0),FALSE)</f>
        <v>Children Bicycles</v>
      </c>
      <c r="G2952">
        <v>1</v>
      </c>
      <c r="H2952">
        <v>349.99</v>
      </c>
      <c r="I2952" s="5">
        <v>0.2</v>
      </c>
      <c r="J2952">
        <f t="shared" si="92"/>
        <v>279.99200000000002</v>
      </c>
      <c r="K2952" s="9">
        <f t="shared" si="93"/>
        <v>-0.63779594069443424</v>
      </c>
    </row>
    <row r="2953" spans="1:11" x14ac:dyDescent="0.3">
      <c r="A2953">
        <v>1025</v>
      </c>
      <c r="B2953">
        <v>1</v>
      </c>
      <c r="C2953">
        <v>89</v>
      </c>
      <c r="D2953" t="str">
        <f>VLOOKUP($C2953,products!$A$1:$F$322,MATCH(order_items!$D$1,products!$A$1:$F$1,0),FALSE)</f>
        <v>Trek Precaliber 16 Boys - 2017</v>
      </c>
      <c r="E2953">
        <f>VLOOKUP($C2953,products!$A$1:$F$322,MATCH(order_items!$E$1,products!$A$1:$F$1,0),FALSE)</f>
        <v>1</v>
      </c>
      <c r="F2953" t="str">
        <f>VLOOKUP($E2953,categories!$A$1:$B$8,MATCH(order_items!$F$1,categories!$A$1:$B$1,0),FALSE)</f>
        <v>Children Bicycles</v>
      </c>
      <c r="G2953">
        <v>1</v>
      </c>
      <c r="H2953">
        <v>209.99</v>
      </c>
      <c r="I2953" s="5">
        <v>7.0000000000000007E-2</v>
      </c>
      <c r="J2953">
        <f t="shared" si="92"/>
        <v>195.29069999999999</v>
      </c>
      <c r="K2953" s="9">
        <f t="shared" si="93"/>
        <v>-0.74129609367599603</v>
      </c>
    </row>
    <row r="2954" spans="1:11" x14ac:dyDescent="0.3">
      <c r="A2954">
        <v>1025</v>
      </c>
      <c r="B2954">
        <v>2</v>
      </c>
      <c r="C2954">
        <v>102</v>
      </c>
      <c r="D2954" t="str">
        <f>VLOOKUP($C2954,products!$A$1:$F$322,MATCH(order_items!$D$1,products!$A$1:$F$1,0),FALSE)</f>
        <v>Electra Townie Original 7D - 2017</v>
      </c>
      <c r="E2954">
        <f>VLOOKUP($C2954,products!$A$1:$F$322,MATCH(order_items!$E$1,products!$A$1:$F$1,0),FALSE)</f>
        <v>2</v>
      </c>
      <c r="F2954" t="str">
        <f>VLOOKUP($E2954,categories!$A$1:$B$8,MATCH(order_items!$F$1,categories!$A$1:$B$1,0),FALSE)</f>
        <v>Comfort Bicycles</v>
      </c>
      <c r="G2954">
        <v>1</v>
      </c>
      <c r="H2954">
        <v>489.99</v>
      </c>
      <c r="I2954" s="5">
        <v>0.1</v>
      </c>
      <c r="J2954">
        <f t="shared" si="92"/>
        <v>440.99100000000004</v>
      </c>
      <c r="K2954" s="9">
        <f t="shared" si="93"/>
        <v>-0.53429578771287245</v>
      </c>
    </row>
    <row r="2955" spans="1:11" x14ac:dyDescent="0.3">
      <c r="A2955">
        <v>1025</v>
      </c>
      <c r="B2955">
        <v>3</v>
      </c>
      <c r="C2955">
        <v>39</v>
      </c>
      <c r="D2955" t="str">
        <f>VLOOKUP($C2955,products!$A$1:$F$322,MATCH(order_items!$D$1,products!$A$1:$F$1,0),FALSE)</f>
        <v>Trek Stache 5 - 2017</v>
      </c>
      <c r="E2955">
        <f>VLOOKUP($C2955,products!$A$1:$F$322,MATCH(order_items!$E$1,products!$A$1:$F$1,0),FALSE)</f>
        <v>6</v>
      </c>
      <c r="F2955" t="str">
        <f>VLOOKUP($E2955,categories!$A$1:$B$8,MATCH(order_items!$F$1,categories!$A$1:$B$1,0),FALSE)</f>
        <v>Mountain Bikes</v>
      </c>
      <c r="G2955">
        <v>1</v>
      </c>
      <c r="H2955">
        <v>1499.99</v>
      </c>
      <c r="I2955" s="5">
        <v>0.1</v>
      </c>
      <c r="J2955">
        <f t="shared" si="92"/>
        <v>1349.991</v>
      </c>
      <c r="K2955" s="9">
        <f t="shared" si="93"/>
        <v>0.21238388736839492</v>
      </c>
    </row>
    <row r="2956" spans="1:11" x14ac:dyDescent="0.3">
      <c r="A2956">
        <v>1025</v>
      </c>
      <c r="B2956">
        <v>4</v>
      </c>
      <c r="C2956">
        <v>15</v>
      </c>
      <c r="D2956" t="str">
        <f>VLOOKUP($C2956,products!$A$1:$F$322,MATCH(order_items!$D$1,products!$A$1:$F$1,0),FALSE)</f>
        <v>Electra Moto 1 - 2016</v>
      </c>
      <c r="E2956">
        <f>VLOOKUP($C2956,products!$A$1:$F$322,MATCH(order_items!$E$1,products!$A$1:$F$1,0),FALSE)</f>
        <v>3</v>
      </c>
      <c r="F2956" t="str">
        <f>VLOOKUP($E2956,categories!$A$1:$B$8,MATCH(order_items!$F$1,categories!$A$1:$B$1,0),FALSE)</f>
        <v>Cruisers Bicycles</v>
      </c>
      <c r="G2956">
        <v>1</v>
      </c>
      <c r="H2956">
        <v>529.99</v>
      </c>
      <c r="I2956" s="5">
        <v>0.05</v>
      </c>
      <c r="J2956">
        <f t="shared" si="92"/>
        <v>503.4905</v>
      </c>
      <c r="K2956" s="9">
        <f t="shared" si="93"/>
        <v>-0.50472431543242624</v>
      </c>
    </row>
    <row r="2957" spans="1:11" x14ac:dyDescent="0.3">
      <c r="A2957">
        <v>1025</v>
      </c>
      <c r="B2957">
        <v>5</v>
      </c>
      <c r="C2957">
        <v>66</v>
      </c>
      <c r="D2957" t="str">
        <f>VLOOKUP($C2957,products!$A$1:$F$322,MATCH(order_items!$D$1,products!$A$1:$F$1,0),FALSE)</f>
        <v>Sun Bicycles Revolutions 24 - 2017</v>
      </c>
      <c r="E2957">
        <f>VLOOKUP($C2957,products!$A$1:$F$322,MATCH(order_items!$E$1,products!$A$1:$F$1,0),FALSE)</f>
        <v>3</v>
      </c>
      <c r="F2957" t="str">
        <f>VLOOKUP($E2957,categories!$A$1:$B$8,MATCH(order_items!$F$1,categories!$A$1:$B$1,0),FALSE)</f>
        <v>Cruisers Bicycles</v>
      </c>
      <c r="G2957">
        <v>2</v>
      </c>
      <c r="H2957">
        <v>250.99</v>
      </c>
      <c r="I2957" s="5">
        <v>0.05</v>
      </c>
      <c r="J2957">
        <f t="shared" si="92"/>
        <v>476.88099999999997</v>
      </c>
      <c r="K2957" s="9">
        <f t="shared" si="93"/>
        <v>-0.71098533458853863</v>
      </c>
    </row>
    <row r="2958" spans="1:11" x14ac:dyDescent="0.3">
      <c r="A2958">
        <v>1026</v>
      </c>
      <c r="B2958">
        <v>1</v>
      </c>
      <c r="C2958">
        <v>7</v>
      </c>
      <c r="D2958" t="str">
        <f>VLOOKUP($C2958,products!$A$1:$F$322,MATCH(order_items!$D$1,products!$A$1:$F$1,0),FALSE)</f>
        <v>Trek Slash 8 27.5 - 2016</v>
      </c>
      <c r="E2958">
        <f>VLOOKUP($C2958,products!$A$1:$F$322,MATCH(order_items!$E$1,products!$A$1:$F$1,0),FALSE)</f>
        <v>6</v>
      </c>
      <c r="F2958" t="str">
        <f>VLOOKUP($E2958,categories!$A$1:$B$8,MATCH(order_items!$F$1,categories!$A$1:$B$1,0),FALSE)</f>
        <v>Mountain Bikes</v>
      </c>
      <c r="G2958">
        <v>2</v>
      </c>
      <c r="H2958">
        <v>3999.99</v>
      </c>
      <c r="I2958" s="5">
        <v>7.0000000000000007E-2</v>
      </c>
      <c r="J2958">
        <f t="shared" si="92"/>
        <v>7439.9813999999988</v>
      </c>
      <c r="K2958" s="9">
        <f t="shared" si="93"/>
        <v>2.0606009048962846</v>
      </c>
    </row>
    <row r="2959" spans="1:11" x14ac:dyDescent="0.3">
      <c r="A2959">
        <v>1027</v>
      </c>
      <c r="B2959">
        <v>1</v>
      </c>
      <c r="C2959">
        <v>95</v>
      </c>
      <c r="D2959" t="str">
        <f>VLOOKUP($C2959,products!$A$1:$F$322,MATCH(order_items!$D$1,products!$A$1:$F$1,0),FALSE)</f>
        <v>Electra Girl's Hawaii 1 16" - 2017</v>
      </c>
      <c r="E2959">
        <f>VLOOKUP($C2959,products!$A$1:$F$322,MATCH(order_items!$E$1,products!$A$1:$F$1,0),FALSE)</f>
        <v>1</v>
      </c>
      <c r="F2959" t="str">
        <f>VLOOKUP($E2959,categories!$A$1:$B$8,MATCH(order_items!$F$1,categories!$A$1:$B$1,0),FALSE)</f>
        <v>Children Bicycles</v>
      </c>
      <c r="G2959">
        <v>2</v>
      </c>
      <c r="H2959">
        <v>299.99</v>
      </c>
      <c r="I2959" s="5">
        <v>0.1</v>
      </c>
      <c r="J2959">
        <f t="shared" si="92"/>
        <v>539.98200000000008</v>
      </c>
      <c r="K2959" s="9">
        <f t="shared" si="93"/>
        <v>-0.67476028104499197</v>
      </c>
    </row>
    <row r="2960" spans="1:11" x14ac:dyDescent="0.3">
      <c r="A2960">
        <v>1027</v>
      </c>
      <c r="B2960">
        <v>2</v>
      </c>
      <c r="C2960">
        <v>14</v>
      </c>
      <c r="D2960" t="str">
        <f>VLOOKUP($C2960,products!$A$1:$F$322,MATCH(order_items!$D$1,products!$A$1:$F$1,0),FALSE)</f>
        <v>Electra Girl's Hawaii 1 (16-inch) - 2015/2016</v>
      </c>
      <c r="E2960">
        <f>VLOOKUP($C2960,products!$A$1:$F$322,MATCH(order_items!$E$1,products!$A$1:$F$1,0),FALSE)</f>
        <v>3</v>
      </c>
      <c r="F2960" t="str">
        <f>VLOOKUP($E2960,categories!$A$1:$B$8,MATCH(order_items!$F$1,categories!$A$1:$B$1,0),FALSE)</f>
        <v>Cruisers Bicycles</v>
      </c>
      <c r="G2960">
        <v>2</v>
      </c>
      <c r="H2960">
        <v>269.99</v>
      </c>
      <c r="I2960" s="5">
        <v>0.05</v>
      </c>
      <c r="J2960">
        <f t="shared" si="92"/>
        <v>512.98099999999999</v>
      </c>
      <c r="K2960" s="9">
        <f t="shared" si="93"/>
        <v>-0.69693888525532666</v>
      </c>
    </row>
    <row r="2961" spans="1:11" x14ac:dyDescent="0.3">
      <c r="A2961">
        <v>1028</v>
      </c>
      <c r="B2961">
        <v>1</v>
      </c>
      <c r="C2961">
        <v>111</v>
      </c>
      <c r="D2961" t="str">
        <f>VLOOKUP($C2961,products!$A$1:$F$322,MATCH(order_items!$D$1,products!$A$1:$F$1,0),FALSE)</f>
        <v>Sun Bicycles Drifter 7 - Women's - 2017</v>
      </c>
      <c r="E2961">
        <f>VLOOKUP($C2961,products!$A$1:$F$322,MATCH(order_items!$E$1,products!$A$1:$F$1,0),FALSE)</f>
        <v>2</v>
      </c>
      <c r="F2961" t="str">
        <f>VLOOKUP($E2961,categories!$A$1:$B$8,MATCH(order_items!$F$1,categories!$A$1:$B$1,0),FALSE)</f>
        <v>Comfort Bicycles</v>
      </c>
      <c r="G2961">
        <v>2</v>
      </c>
      <c r="H2961">
        <v>470.99</v>
      </c>
      <c r="I2961" s="5">
        <v>0.1</v>
      </c>
      <c r="J2961">
        <f t="shared" si="92"/>
        <v>847.78200000000004</v>
      </c>
      <c r="K2961" s="9">
        <f t="shared" si="93"/>
        <v>-0.54834223704608442</v>
      </c>
    </row>
    <row r="2962" spans="1:11" x14ac:dyDescent="0.3">
      <c r="A2962">
        <v>1028</v>
      </c>
      <c r="B2962">
        <v>2</v>
      </c>
      <c r="C2962">
        <v>10</v>
      </c>
      <c r="D2962" t="str">
        <f>VLOOKUP($C2962,products!$A$1:$F$322,MATCH(order_items!$D$1,products!$A$1:$F$1,0),FALSE)</f>
        <v>Surly Straggler - 2016</v>
      </c>
      <c r="E2962">
        <f>VLOOKUP($C2962,products!$A$1:$F$322,MATCH(order_items!$E$1,products!$A$1:$F$1,0),FALSE)</f>
        <v>4</v>
      </c>
      <c r="F2962" t="str">
        <f>VLOOKUP($E2962,categories!$A$1:$B$8,MATCH(order_items!$F$1,categories!$A$1:$B$1,0),FALSE)</f>
        <v>Cyclocross Bicycles</v>
      </c>
      <c r="G2962">
        <v>1</v>
      </c>
      <c r="H2962">
        <v>1549</v>
      </c>
      <c r="I2962" s="5">
        <v>0.2</v>
      </c>
      <c r="J2962">
        <f t="shared" si="92"/>
        <v>1239.2</v>
      </c>
      <c r="K2962" s="9">
        <f t="shared" si="93"/>
        <v>0.24861633378001166</v>
      </c>
    </row>
    <row r="2963" spans="1:11" x14ac:dyDescent="0.3">
      <c r="A2963">
        <v>1028</v>
      </c>
      <c r="B2963">
        <v>3</v>
      </c>
      <c r="C2963">
        <v>41</v>
      </c>
      <c r="D2963" t="str">
        <f>VLOOKUP($C2963,products!$A$1:$F$322,MATCH(order_items!$D$1,products!$A$1:$F$1,0),FALSE)</f>
        <v>Haro Shift R3 - 2017</v>
      </c>
      <c r="E2963">
        <f>VLOOKUP($C2963,products!$A$1:$F$322,MATCH(order_items!$E$1,products!$A$1:$F$1,0),FALSE)</f>
        <v>6</v>
      </c>
      <c r="F2963" t="str">
        <f>VLOOKUP($E2963,categories!$A$1:$B$8,MATCH(order_items!$F$1,categories!$A$1:$B$1,0),FALSE)</f>
        <v>Mountain Bikes</v>
      </c>
      <c r="G2963">
        <v>1</v>
      </c>
      <c r="H2963">
        <v>1469.99</v>
      </c>
      <c r="I2963" s="5">
        <v>0.2</v>
      </c>
      <c r="J2963">
        <f t="shared" si="92"/>
        <v>1175.992</v>
      </c>
      <c r="K2963" s="9">
        <f t="shared" si="93"/>
        <v>0.19020528315806023</v>
      </c>
    </row>
    <row r="2964" spans="1:11" x14ac:dyDescent="0.3">
      <c r="A2964">
        <v>1028</v>
      </c>
      <c r="B2964">
        <v>4</v>
      </c>
      <c r="C2964">
        <v>35</v>
      </c>
      <c r="D2964" t="str">
        <f>VLOOKUP($C2964,products!$A$1:$F$322,MATCH(order_items!$D$1,products!$A$1:$F$1,0),FALSE)</f>
        <v>Sun Bicycles Spider 3i - 2017</v>
      </c>
      <c r="E2964">
        <f>VLOOKUP($C2964,products!$A$1:$F$322,MATCH(order_items!$E$1,products!$A$1:$F$1,0),FALSE)</f>
        <v>6</v>
      </c>
      <c r="F2964" t="str">
        <f>VLOOKUP($E2964,categories!$A$1:$B$8,MATCH(order_items!$F$1,categories!$A$1:$B$1,0),FALSE)</f>
        <v>Mountain Bikes</v>
      </c>
      <c r="G2964">
        <v>2</v>
      </c>
      <c r="H2964">
        <v>832.99</v>
      </c>
      <c r="I2964" s="5">
        <v>0.1</v>
      </c>
      <c r="J2964">
        <f t="shared" si="92"/>
        <v>1499.3820000000001</v>
      </c>
      <c r="K2964" s="9">
        <f t="shared" si="93"/>
        <v>-0.280720412908046</v>
      </c>
    </row>
    <row r="2965" spans="1:11" x14ac:dyDescent="0.3">
      <c r="A2965">
        <v>1028</v>
      </c>
      <c r="B2965">
        <v>5</v>
      </c>
      <c r="C2965">
        <v>108</v>
      </c>
      <c r="D2965" t="str">
        <f>VLOOKUP($C2965,products!$A$1:$F$322,MATCH(order_items!$D$1,products!$A$1:$F$1,0),FALSE)</f>
        <v>Sun Bicycles Cruz 3 - Women's - 2017</v>
      </c>
      <c r="E2965">
        <f>VLOOKUP($C2965,products!$A$1:$F$322,MATCH(order_items!$E$1,products!$A$1:$F$1,0),FALSE)</f>
        <v>2</v>
      </c>
      <c r="F2965" t="str">
        <f>VLOOKUP($E2965,categories!$A$1:$B$8,MATCH(order_items!$F$1,categories!$A$1:$B$1,0),FALSE)</f>
        <v>Comfort Bicycles</v>
      </c>
      <c r="G2965">
        <v>1</v>
      </c>
      <c r="H2965">
        <v>449.99</v>
      </c>
      <c r="I2965" s="5">
        <v>0.2</v>
      </c>
      <c r="J2965">
        <f t="shared" si="92"/>
        <v>359.99200000000002</v>
      </c>
      <c r="K2965" s="9">
        <f t="shared" si="93"/>
        <v>-0.56386725999331866</v>
      </c>
    </row>
    <row r="2966" spans="1:11" x14ac:dyDescent="0.3">
      <c r="A2966">
        <v>1029</v>
      </c>
      <c r="B2966">
        <v>1</v>
      </c>
      <c r="C2966">
        <v>20</v>
      </c>
      <c r="D2966" t="str">
        <f>VLOOKUP($C2966,products!$A$1:$F$322,MATCH(order_items!$D$1,products!$A$1:$F$1,0),FALSE)</f>
        <v>Electra Townie Original 7D EQ - Women's - 2016</v>
      </c>
      <c r="E2966">
        <f>VLOOKUP($C2966,products!$A$1:$F$322,MATCH(order_items!$E$1,products!$A$1:$F$1,0),FALSE)</f>
        <v>3</v>
      </c>
      <c r="F2966" t="str">
        <f>VLOOKUP($E2966,categories!$A$1:$B$8,MATCH(order_items!$F$1,categories!$A$1:$B$1,0),FALSE)</f>
        <v>Cruisers Bicycles</v>
      </c>
      <c r="G2966">
        <v>1</v>
      </c>
      <c r="H2966">
        <v>599.99</v>
      </c>
      <c r="I2966" s="5">
        <v>0.2</v>
      </c>
      <c r="J2966">
        <f t="shared" si="92"/>
        <v>479.99200000000002</v>
      </c>
      <c r="K2966" s="9">
        <f t="shared" si="93"/>
        <v>-0.45297423894164529</v>
      </c>
    </row>
    <row r="2967" spans="1:11" x14ac:dyDescent="0.3">
      <c r="A2967">
        <v>1029</v>
      </c>
      <c r="B2967">
        <v>2</v>
      </c>
      <c r="C2967">
        <v>55</v>
      </c>
      <c r="D2967" t="str">
        <f>VLOOKUP($C2967,products!$A$1:$F$322,MATCH(order_items!$D$1,products!$A$1:$F$1,0),FALSE)</f>
        <v>Trek Domane S 6 - 2017</v>
      </c>
      <c r="E2967">
        <f>VLOOKUP($C2967,products!$A$1:$F$322,MATCH(order_items!$E$1,products!$A$1:$F$1,0),FALSE)</f>
        <v>7</v>
      </c>
      <c r="F2967" t="str">
        <f>VLOOKUP($E2967,categories!$A$1:$B$8,MATCH(order_items!$F$1,categories!$A$1:$B$1,0),FALSE)</f>
        <v>Road Bikes</v>
      </c>
      <c r="G2967">
        <v>1</v>
      </c>
      <c r="H2967">
        <v>2699.99</v>
      </c>
      <c r="I2967" s="5">
        <v>0.1</v>
      </c>
      <c r="J2967">
        <f t="shared" si="92"/>
        <v>2429.991</v>
      </c>
      <c r="K2967" s="9">
        <f t="shared" si="93"/>
        <v>1.0995280557817817</v>
      </c>
    </row>
    <row r="2968" spans="1:11" x14ac:dyDescent="0.3">
      <c r="A2968">
        <v>1029</v>
      </c>
      <c r="B2968">
        <v>3</v>
      </c>
      <c r="C2968">
        <v>40</v>
      </c>
      <c r="D2968" t="str">
        <f>VLOOKUP($C2968,products!$A$1:$F$322,MATCH(order_items!$D$1,products!$A$1:$F$1,0),FALSE)</f>
        <v>Trek Fuel EX 9.8 29 - 2017</v>
      </c>
      <c r="E2968">
        <f>VLOOKUP($C2968,products!$A$1:$F$322,MATCH(order_items!$E$1,products!$A$1:$F$1,0),FALSE)</f>
        <v>6</v>
      </c>
      <c r="F2968" t="str">
        <f>VLOOKUP($E2968,categories!$A$1:$B$8,MATCH(order_items!$F$1,categories!$A$1:$B$1,0),FALSE)</f>
        <v>Mountain Bikes</v>
      </c>
      <c r="G2968">
        <v>1</v>
      </c>
      <c r="H2968">
        <v>4999.99</v>
      </c>
      <c r="I2968" s="5">
        <v>0.2</v>
      </c>
      <c r="J2968">
        <f t="shared" si="92"/>
        <v>3999.9920000000002</v>
      </c>
      <c r="K2968" s="9">
        <f t="shared" si="93"/>
        <v>2.7998877119074401</v>
      </c>
    </row>
    <row r="2969" spans="1:11" x14ac:dyDescent="0.3">
      <c r="A2969">
        <v>1029</v>
      </c>
      <c r="B2969">
        <v>4</v>
      </c>
      <c r="C2969">
        <v>68</v>
      </c>
      <c r="D2969" t="str">
        <f>VLOOKUP($C2969,products!$A$1:$F$322,MATCH(order_items!$D$1,products!$A$1:$F$1,0),FALSE)</f>
        <v>Sun Bicycles Cruz 3 - 2017</v>
      </c>
      <c r="E2969">
        <f>VLOOKUP($C2969,products!$A$1:$F$322,MATCH(order_items!$E$1,products!$A$1:$F$1,0),FALSE)</f>
        <v>3</v>
      </c>
      <c r="F2969" t="str">
        <f>VLOOKUP($E2969,categories!$A$1:$B$8,MATCH(order_items!$F$1,categories!$A$1:$B$1,0),FALSE)</f>
        <v>Cruisers Bicycles</v>
      </c>
      <c r="G2969">
        <v>2</v>
      </c>
      <c r="H2969">
        <v>449.99</v>
      </c>
      <c r="I2969" s="5">
        <v>0.1</v>
      </c>
      <c r="J2969">
        <f t="shared" si="92"/>
        <v>809.98200000000008</v>
      </c>
      <c r="K2969" s="9">
        <f t="shared" si="93"/>
        <v>-0.56386725999331866</v>
      </c>
    </row>
    <row r="2970" spans="1:11" x14ac:dyDescent="0.3">
      <c r="A2970">
        <v>1030</v>
      </c>
      <c r="B2970">
        <v>1</v>
      </c>
      <c r="C2970">
        <v>27</v>
      </c>
      <c r="D2970" t="str">
        <f>VLOOKUP($C2970,products!$A$1:$F$322,MATCH(order_items!$D$1,products!$A$1:$F$1,0),FALSE)</f>
        <v>Surly Big Dummy Frameset - 2017</v>
      </c>
      <c r="E2970">
        <f>VLOOKUP($C2970,products!$A$1:$F$322,MATCH(order_items!$E$1,products!$A$1:$F$1,0),FALSE)</f>
        <v>6</v>
      </c>
      <c r="F2970" t="str">
        <f>VLOOKUP($E2970,categories!$A$1:$B$8,MATCH(order_items!$F$1,categories!$A$1:$B$1,0),FALSE)</f>
        <v>Mountain Bikes</v>
      </c>
      <c r="G2970">
        <v>1</v>
      </c>
      <c r="H2970">
        <v>999.99</v>
      </c>
      <c r="I2970" s="5">
        <v>0.05</v>
      </c>
      <c r="J2970">
        <f t="shared" si="92"/>
        <v>949.9905</v>
      </c>
      <c r="K2970" s="9">
        <f t="shared" si="93"/>
        <v>-0.15725951613718298</v>
      </c>
    </row>
    <row r="2971" spans="1:11" x14ac:dyDescent="0.3">
      <c r="A2971">
        <v>1030</v>
      </c>
      <c r="B2971">
        <v>2</v>
      </c>
      <c r="C2971">
        <v>10</v>
      </c>
      <c r="D2971" t="str">
        <f>VLOOKUP($C2971,products!$A$1:$F$322,MATCH(order_items!$D$1,products!$A$1:$F$1,0),FALSE)</f>
        <v>Surly Straggler - 2016</v>
      </c>
      <c r="E2971">
        <f>VLOOKUP($C2971,products!$A$1:$F$322,MATCH(order_items!$E$1,products!$A$1:$F$1,0),FALSE)</f>
        <v>4</v>
      </c>
      <c r="F2971" t="str">
        <f>VLOOKUP($E2971,categories!$A$1:$B$8,MATCH(order_items!$F$1,categories!$A$1:$B$1,0),FALSE)</f>
        <v>Cyclocross Bicycles</v>
      </c>
      <c r="G2971">
        <v>2</v>
      </c>
      <c r="H2971">
        <v>1549</v>
      </c>
      <c r="I2971" s="5">
        <v>0.1</v>
      </c>
      <c r="J2971">
        <f t="shared" si="92"/>
        <v>2788.2000000000003</v>
      </c>
      <c r="K2971" s="9">
        <f t="shared" si="93"/>
        <v>0.24861633378001166</v>
      </c>
    </row>
    <row r="2972" spans="1:11" x14ac:dyDescent="0.3">
      <c r="A2972">
        <v>1030</v>
      </c>
      <c r="B2972">
        <v>3</v>
      </c>
      <c r="C2972">
        <v>72</v>
      </c>
      <c r="D2972" t="str">
        <f>VLOOKUP($C2972,products!$A$1:$F$322,MATCH(order_items!$D$1,products!$A$1:$F$1,0),FALSE)</f>
        <v>Sun Bicycles Biscayne Tandem 7 - 2017</v>
      </c>
      <c r="E2972">
        <f>VLOOKUP($C2972,products!$A$1:$F$322,MATCH(order_items!$E$1,products!$A$1:$F$1,0),FALSE)</f>
        <v>3</v>
      </c>
      <c r="F2972" t="str">
        <f>VLOOKUP($E2972,categories!$A$1:$B$8,MATCH(order_items!$F$1,categories!$A$1:$B$1,0),FALSE)</f>
        <v>Cruisers Bicycles</v>
      </c>
      <c r="G2972">
        <v>1</v>
      </c>
      <c r="H2972">
        <v>619.99</v>
      </c>
      <c r="I2972" s="5">
        <v>0.1</v>
      </c>
      <c r="J2972">
        <f t="shared" si="92"/>
        <v>557.99099999999999</v>
      </c>
      <c r="K2972" s="9">
        <f t="shared" si="93"/>
        <v>-0.43818850280142219</v>
      </c>
    </row>
    <row r="2973" spans="1:11" x14ac:dyDescent="0.3">
      <c r="A2973">
        <v>1031</v>
      </c>
      <c r="B2973">
        <v>1</v>
      </c>
      <c r="C2973">
        <v>27</v>
      </c>
      <c r="D2973" t="str">
        <f>VLOOKUP($C2973,products!$A$1:$F$322,MATCH(order_items!$D$1,products!$A$1:$F$1,0),FALSE)</f>
        <v>Surly Big Dummy Frameset - 2017</v>
      </c>
      <c r="E2973">
        <f>VLOOKUP($C2973,products!$A$1:$F$322,MATCH(order_items!$E$1,products!$A$1:$F$1,0),FALSE)</f>
        <v>6</v>
      </c>
      <c r="F2973" t="str">
        <f>VLOOKUP($E2973,categories!$A$1:$B$8,MATCH(order_items!$F$1,categories!$A$1:$B$1,0),FALSE)</f>
        <v>Mountain Bikes</v>
      </c>
      <c r="G2973">
        <v>2</v>
      </c>
      <c r="H2973">
        <v>999.99</v>
      </c>
      <c r="I2973" s="5">
        <v>0.2</v>
      </c>
      <c r="J2973">
        <f t="shared" si="92"/>
        <v>1599.9840000000002</v>
      </c>
      <c r="K2973" s="9">
        <f t="shared" si="93"/>
        <v>-0.15725951613718298</v>
      </c>
    </row>
    <row r="2974" spans="1:11" x14ac:dyDescent="0.3">
      <c r="A2974">
        <v>1031</v>
      </c>
      <c r="B2974">
        <v>2</v>
      </c>
      <c r="C2974">
        <v>108</v>
      </c>
      <c r="D2974" t="str">
        <f>VLOOKUP($C2974,products!$A$1:$F$322,MATCH(order_items!$D$1,products!$A$1:$F$1,0),FALSE)</f>
        <v>Sun Bicycles Cruz 3 - Women's - 2017</v>
      </c>
      <c r="E2974">
        <f>VLOOKUP($C2974,products!$A$1:$F$322,MATCH(order_items!$E$1,products!$A$1:$F$1,0),FALSE)</f>
        <v>2</v>
      </c>
      <c r="F2974" t="str">
        <f>VLOOKUP($E2974,categories!$A$1:$B$8,MATCH(order_items!$F$1,categories!$A$1:$B$1,0),FALSE)</f>
        <v>Comfort Bicycles</v>
      </c>
      <c r="G2974">
        <v>2</v>
      </c>
      <c r="H2974">
        <v>449.99</v>
      </c>
      <c r="I2974" s="5">
        <v>0.2</v>
      </c>
      <c r="J2974">
        <f t="shared" si="92"/>
        <v>719.98400000000004</v>
      </c>
      <c r="K2974" s="9">
        <f t="shared" si="93"/>
        <v>-0.56386725999331866</v>
      </c>
    </row>
    <row r="2975" spans="1:11" x14ac:dyDescent="0.3">
      <c r="A2975">
        <v>1032</v>
      </c>
      <c r="B2975">
        <v>1</v>
      </c>
      <c r="C2975">
        <v>60</v>
      </c>
      <c r="D2975" t="str">
        <f>VLOOKUP($C2975,products!$A$1:$F$322,MATCH(order_items!$D$1,products!$A$1:$F$1,0),FALSE)</f>
        <v>Sun Bicycles ElectroLite - 2017</v>
      </c>
      <c r="E2975">
        <f>VLOOKUP($C2975,products!$A$1:$F$322,MATCH(order_items!$E$1,products!$A$1:$F$1,0),FALSE)</f>
        <v>5</v>
      </c>
      <c r="F2975" t="str">
        <f>VLOOKUP($E2975,categories!$A$1:$B$8,MATCH(order_items!$F$1,categories!$A$1:$B$1,0),FALSE)</f>
        <v>Electric Bikes</v>
      </c>
      <c r="G2975">
        <v>2</v>
      </c>
      <c r="H2975">
        <v>1559.99</v>
      </c>
      <c r="I2975" s="5">
        <v>0.1</v>
      </c>
      <c r="J2975">
        <f t="shared" si="92"/>
        <v>2807.982</v>
      </c>
      <c r="K2975" s="9">
        <f t="shared" si="93"/>
        <v>0.25674109578906423</v>
      </c>
    </row>
    <row r="2976" spans="1:11" x14ac:dyDescent="0.3">
      <c r="A2976">
        <v>1032</v>
      </c>
      <c r="B2976">
        <v>2</v>
      </c>
      <c r="C2976">
        <v>17</v>
      </c>
      <c r="D2976" t="str">
        <f>VLOOKUP($C2976,products!$A$1:$F$322,MATCH(order_items!$D$1,products!$A$1:$F$1,0),FALSE)</f>
        <v>Pure Cycles Vine 8-Speed - 2016</v>
      </c>
      <c r="E2976">
        <f>VLOOKUP($C2976,products!$A$1:$F$322,MATCH(order_items!$E$1,products!$A$1:$F$1,0),FALSE)</f>
        <v>3</v>
      </c>
      <c r="F2976" t="str">
        <f>VLOOKUP($E2976,categories!$A$1:$B$8,MATCH(order_items!$F$1,categories!$A$1:$B$1,0),FALSE)</f>
        <v>Cruisers Bicycles</v>
      </c>
      <c r="G2976">
        <v>1</v>
      </c>
      <c r="H2976">
        <v>429</v>
      </c>
      <c r="I2976" s="5">
        <v>0.1</v>
      </c>
      <c r="J2976">
        <f t="shared" si="92"/>
        <v>386.1</v>
      </c>
      <c r="K2976" s="9">
        <f t="shared" si="93"/>
        <v>-0.57938489007248284</v>
      </c>
    </row>
    <row r="2977" spans="1:11" x14ac:dyDescent="0.3">
      <c r="A2977">
        <v>1033</v>
      </c>
      <c r="B2977">
        <v>1</v>
      </c>
      <c r="C2977">
        <v>26</v>
      </c>
      <c r="D2977" t="str">
        <f>VLOOKUP($C2977,products!$A$1:$F$322,MATCH(order_items!$D$1,products!$A$1:$F$1,0),FALSE)</f>
        <v>Electra Townie Original 7D EQ - 2016</v>
      </c>
      <c r="E2977">
        <f>VLOOKUP($C2977,products!$A$1:$F$322,MATCH(order_items!$E$1,products!$A$1:$F$1,0),FALSE)</f>
        <v>2</v>
      </c>
      <c r="F2977" t="str">
        <f>VLOOKUP($E2977,categories!$A$1:$B$8,MATCH(order_items!$F$1,categories!$A$1:$B$1,0),FALSE)</f>
        <v>Comfort Bicycles</v>
      </c>
      <c r="G2977">
        <v>1</v>
      </c>
      <c r="H2977">
        <v>599.99</v>
      </c>
      <c r="I2977" s="5">
        <v>7.0000000000000007E-2</v>
      </c>
      <c r="J2977">
        <f t="shared" si="92"/>
        <v>557.99069999999995</v>
      </c>
      <c r="K2977" s="9">
        <f t="shared" si="93"/>
        <v>-0.45297423894164529</v>
      </c>
    </row>
    <row r="2978" spans="1:11" x14ac:dyDescent="0.3">
      <c r="A2978">
        <v>1033</v>
      </c>
      <c r="B2978">
        <v>2</v>
      </c>
      <c r="C2978">
        <v>109</v>
      </c>
      <c r="D2978" t="str">
        <f>VLOOKUP($C2978,products!$A$1:$F$322,MATCH(order_items!$D$1,products!$A$1:$F$1,0),FALSE)</f>
        <v>Sun Bicycles Cruz 7 - Women's - 2017</v>
      </c>
      <c r="E2978">
        <f>VLOOKUP($C2978,products!$A$1:$F$322,MATCH(order_items!$E$1,products!$A$1:$F$1,0),FALSE)</f>
        <v>2</v>
      </c>
      <c r="F2978" t="str">
        <f>VLOOKUP($E2978,categories!$A$1:$B$8,MATCH(order_items!$F$1,categories!$A$1:$B$1,0),FALSE)</f>
        <v>Comfort Bicycles</v>
      </c>
      <c r="G2978">
        <v>2</v>
      </c>
      <c r="H2978">
        <v>416.99</v>
      </c>
      <c r="I2978" s="5">
        <v>0.1</v>
      </c>
      <c r="J2978">
        <f t="shared" si="92"/>
        <v>750.58199999999999</v>
      </c>
      <c r="K2978" s="9">
        <f t="shared" si="93"/>
        <v>-0.58826372462468679</v>
      </c>
    </row>
    <row r="2979" spans="1:11" x14ac:dyDescent="0.3">
      <c r="A2979">
        <v>1033</v>
      </c>
      <c r="B2979">
        <v>3</v>
      </c>
      <c r="C2979">
        <v>27</v>
      </c>
      <c r="D2979" t="str">
        <f>VLOOKUP($C2979,products!$A$1:$F$322,MATCH(order_items!$D$1,products!$A$1:$F$1,0),FALSE)</f>
        <v>Surly Big Dummy Frameset - 2017</v>
      </c>
      <c r="E2979">
        <f>VLOOKUP($C2979,products!$A$1:$F$322,MATCH(order_items!$E$1,products!$A$1:$F$1,0),FALSE)</f>
        <v>6</v>
      </c>
      <c r="F2979" t="str">
        <f>VLOOKUP($E2979,categories!$A$1:$B$8,MATCH(order_items!$F$1,categories!$A$1:$B$1,0),FALSE)</f>
        <v>Mountain Bikes</v>
      </c>
      <c r="G2979">
        <v>2</v>
      </c>
      <c r="H2979">
        <v>999.99</v>
      </c>
      <c r="I2979" s="5">
        <v>7.0000000000000007E-2</v>
      </c>
      <c r="J2979">
        <f t="shared" si="92"/>
        <v>1859.9813999999999</v>
      </c>
      <c r="K2979" s="9">
        <f t="shared" si="93"/>
        <v>-0.15725951613718298</v>
      </c>
    </row>
    <row r="2980" spans="1:11" x14ac:dyDescent="0.3">
      <c r="A2980">
        <v>1034</v>
      </c>
      <c r="B2980">
        <v>1</v>
      </c>
      <c r="C2980">
        <v>101</v>
      </c>
      <c r="D2980" t="str">
        <f>VLOOKUP($C2980,products!$A$1:$F$322,MATCH(order_items!$D$1,products!$A$1:$F$1,0),FALSE)</f>
        <v>Electra Townie 7D (20-inch) - Boys' - 2017</v>
      </c>
      <c r="E2980">
        <f>VLOOKUP($C2980,products!$A$1:$F$322,MATCH(order_items!$E$1,products!$A$1:$F$1,0),FALSE)</f>
        <v>1</v>
      </c>
      <c r="F2980" t="str">
        <f>VLOOKUP($E2980,categories!$A$1:$B$8,MATCH(order_items!$F$1,categories!$A$1:$B$1,0),FALSE)</f>
        <v>Children Bicycles</v>
      </c>
      <c r="G2980">
        <v>1</v>
      </c>
      <c r="H2980">
        <v>339.99</v>
      </c>
      <c r="I2980" s="5">
        <v>0.1</v>
      </c>
      <c r="J2980">
        <f t="shared" si="92"/>
        <v>305.99100000000004</v>
      </c>
      <c r="K2980" s="9">
        <f t="shared" si="93"/>
        <v>-0.64518880876454576</v>
      </c>
    </row>
    <row r="2981" spans="1:11" x14ac:dyDescent="0.3">
      <c r="A2981">
        <v>1034</v>
      </c>
      <c r="B2981">
        <v>2</v>
      </c>
      <c r="C2981">
        <v>8</v>
      </c>
      <c r="D2981" t="str">
        <f>VLOOKUP($C2981,products!$A$1:$F$322,MATCH(order_items!$D$1,products!$A$1:$F$1,0),FALSE)</f>
        <v>Trek Remedy 29 Carbon Frameset - 2016</v>
      </c>
      <c r="E2981">
        <f>VLOOKUP($C2981,products!$A$1:$F$322,MATCH(order_items!$E$1,products!$A$1:$F$1,0),FALSE)</f>
        <v>6</v>
      </c>
      <c r="F2981" t="str">
        <f>VLOOKUP($E2981,categories!$A$1:$B$8,MATCH(order_items!$F$1,categories!$A$1:$B$1,0),FALSE)</f>
        <v>Mountain Bikes</v>
      </c>
      <c r="G2981">
        <v>2</v>
      </c>
      <c r="H2981">
        <v>1799.99</v>
      </c>
      <c r="I2981" s="5">
        <v>0.1</v>
      </c>
      <c r="J2981">
        <f t="shared" si="92"/>
        <v>3239.982</v>
      </c>
      <c r="K2981" s="9">
        <f t="shared" si="93"/>
        <v>0.43416992947174166</v>
      </c>
    </row>
    <row r="2982" spans="1:11" x14ac:dyDescent="0.3">
      <c r="A2982">
        <v>1034</v>
      </c>
      <c r="B2982">
        <v>3</v>
      </c>
      <c r="C2982">
        <v>11</v>
      </c>
      <c r="D2982" t="str">
        <f>VLOOKUP($C2982,products!$A$1:$F$322,MATCH(order_items!$D$1,products!$A$1:$F$1,0),FALSE)</f>
        <v>Surly Straggler 650b - 2016</v>
      </c>
      <c r="E2982">
        <f>VLOOKUP($C2982,products!$A$1:$F$322,MATCH(order_items!$E$1,products!$A$1:$F$1,0),FALSE)</f>
        <v>4</v>
      </c>
      <c r="F2982" t="str">
        <f>VLOOKUP($E2982,categories!$A$1:$B$8,MATCH(order_items!$F$1,categories!$A$1:$B$1,0),FALSE)</f>
        <v>Cyclocross Bicycles</v>
      </c>
      <c r="G2982">
        <v>2</v>
      </c>
      <c r="H2982">
        <v>1680.99</v>
      </c>
      <c r="I2982" s="5">
        <v>7.0000000000000007E-2</v>
      </c>
      <c r="J2982">
        <f t="shared" si="92"/>
        <v>3126.6414</v>
      </c>
      <c r="K2982" s="9">
        <f t="shared" si="93"/>
        <v>0.3461947994374141</v>
      </c>
    </row>
    <row r="2983" spans="1:11" x14ac:dyDescent="0.3">
      <c r="A2983">
        <v>1034</v>
      </c>
      <c r="B2983">
        <v>4</v>
      </c>
      <c r="C2983">
        <v>21</v>
      </c>
      <c r="D2983" t="str">
        <f>VLOOKUP($C2983,products!$A$1:$F$322,MATCH(order_items!$D$1,products!$A$1:$F$1,0),FALSE)</f>
        <v>Electra Cruiser 1 (24-Inch) - 2016</v>
      </c>
      <c r="E2983">
        <f>VLOOKUP($C2983,products!$A$1:$F$322,MATCH(order_items!$E$1,products!$A$1:$F$1,0),FALSE)</f>
        <v>1</v>
      </c>
      <c r="F2983" t="str">
        <f>VLOOKUP($E2983,categories!$A$1:$B$8,MATCH(order_items!$F$1,categories!$A$1:$B$1,0),FALSE)</f>
        <v>Children Bicycles</v>
      </c>
      <c r="G2983">
        <v>1</v>
      </c>
      <c r="H2983">
        <v>269.99</v>
      </c>
      <c r="I2983" s="5">
        <v>0.05</v>
      </c>
      <c r="J2983">
        <f t="shared" si="92"/>
        <v>256.4905</v>
      </c>
      <c r="K2983" s="9">
        <f t="shared" si="93"/>
        <v>-0.69693888525532666</v>
      </c>
    </row>
    <row r="2984" spans="1:11" x14ac:dyDescent="0.3">
      <c r="A2984">
        <v>1035</v>
      </c>
      <c r="B2984">
        <v>1</v>
      </c>
      <c r="C2984">
        <v>96</v>
      </c>
      <c r="D2984" t="str">
        <f>VLOOKUP($C2984,products!$A$1:$F$322,MATCH(order_items!$D$1,products!$A$1:$F$1,0),FALSE)</f>
        <v>Electra Moto 3i (20-inch) - Boy's - 2017</v>
      </c>
      <c r="E2984">
        <f>VLOOKUP($C2984,products!$A$1:$F$322,MATCH(order_items!$E$1,products!$A$1:$F$1,0),FALSE)</f>
        <v>1</v>
      </c>
      <c r="F2984" t="str">
        <f>VLOOKUP($E2984,categories!$A$1:$B$8,MATCH(order_items!$F$1,categories!$A$1:$B$1,0),FALSE)</f>
        <v>Children Bicycles</v>
      </c>
      <c r="G2984">
        <v>1</v>
      </c>
      <c r="H2984">
        <v>349.99</v>
      </c>
      <c r="I2984" s="5">
        <v>0.2</v>
      </c>
      <c r="J2984">
        <f t="shared" si="92"/>
        <v>279.99200000000002</v>
      </c>
      <c r="K2984" s="9">
        <f t="shared" si="93"/>
        <v>-0.63779594069443424</v>
      </c>
    </row>
    <row r="2985" spans="1:11" x14ac:dyDescent="0.3">
      <c r="A2985">
        <v>1036</v>
      </c>
      <c r="B2985">
        <v>1</v>
      </c>
      <c r="C2985">
        <v>55</v>
      </c>
      <c r="D2985" t="str">
        <f>VLOOKUP($C2985,products!$A$1:$F$322,MATCH(order_items!$D$1,products!$A$1:$F$1,0),FALSE)</f>
        <v>Trek Domane S 6 - 2017</v>
      </c>
      <c r="E2985">
        <f>VLOOKUP($C2985,products!$A$1:$F$322,MATCH(order_items!$E$1,products!$A$1:$F$1,0),FALSE)</f>
        <v>7</v>
      </c>
      <c r="F2985" t="str">
        <f>VLOOKUP($E2985,categories!$A$1:$B$8,MATCH(order_items!$F$1,categories!$A$1:$B$1,0),FALSE)</f>
        <v>Road Bikes</v>
      </c>
      <c r="G2985">
        <v>2</v>
      </c>
      <c r="H2985">
        <v>2699.99</v>
      </c>
      <c r="I2985" s="5">
        <v>0.1</v>
      </c>
      <c r="J2985">
        <f t="shared" si="92"/>
        <v>4859.982</v>
      </c>
      <c r="K2985" s="9">
        <f t="shared" si="93"/>
        <v>1.0995280557817817</v>
      </c>
    </row>
    <row r="2986" spans="1:11" x14ac:dyDescent="0.3">
      <c r="A2986">
        <v>1036</v>
      </c>
      <c r="B2986">
        <v>2</v>
      </c>
      <c r="C2986">
        <v>76</v>
      </c>
      <c r="D2986" t="str">
        <f>VLOOKUP($C2986,products!$A$1:$F$322,MATCH(order_items!$D$1,products!$A$1:$F$1,0),FALSE)</f>
        <v>Electra Girl's Hawaii 1 16" - 2017</v>
      </c>
      <c r="E2986">
        <f>VLOOKUP($C2986,products!$A$1:$F$322,MATCH(order_items!$E$1,products!$A$1:$F$1,0),FALSE)</f>
        <v>3</v>
      </c>
      <c r="F2986" t="str">
        <f>VLOOKUP($E2986,categories!$A$1:$B$8,MATCH(order_items!$F$1,categories!$A$1:$B$1,0),FALSE)</f>
        <v>Cruisers Bicycles</v>
      </c>
      <c r="G2986">
        <v>1</v>
      </c>
      <c r="H2986">
        <v>299.99</v>
      </c>
      <c r="I2986" s="5">
        <v>7.0000000000000007E-2</v>
      </c>
      <c r="J2986">
        <f t="shared" si="92"/>
        <v>278.9907</v>
      </c>
      <c r="K2986" s="9">
        <f t="shared" si="93"/>
        <v>-0.67476028104499197</v>
      </c>
    </row>
    <row r="2987" spans="1:11" x14ac:dyDescent="0.3">
      <c r="A2987">
        <v>1036</v>
      </c>
      <c r="B2987">
        <v>3</v>
      </c>
      <c r="C2987">
        <v>18</v>
      </c>
      <c r="D2987" t="str">
        <f>VLOOKUP($C2987,products!$A$1:$F$322,MATCH(order_items!$D$1,products!$A$1:$F$1,0),FALSE)</f>
        <v>Pure Cycles Western 3-Speed - Women's - 2015/2016</v>
      </c>
      <c r="E2987">
        <f>VLOOKUP($C2987,products!$A$1:$F$322,MATCH(order_items!$E$1,products!$A$1:$F$1,0),FALSE)</f>
        <v>3</v>
      </c>
      <c r="F2987" t="str">
        <f>VLOOKUP($E2987,categories!$A$1:$B$8,MATCH(order_items!$F$1,categories!$A$1:$B$1,0),FALSE)</f>
        <v>Cruisers Bicycles</v>
      </c>
      <c r="G2987">
        <v>2</v>
      </c>
      <c r="H2987">
        <v>449</v>
      </c>
      <c r="I2987" s="5">
        <v>0.05</v>
      </c>
      <c r="J2987">
        <f t="shared" si="92"/>
        <v>853.09999999999991</v>
      </c>
      <c r="K2987" s="9">
        <f t="shared" si="93"/>
        <v>-0.56459915393225968</v>
      </c>
    </row>
    <row r="2988" spans="1:11" x14ac:dyDescent="0.3">
      <c r="A2988">
        <v>1036</v>
      </c>
      <c r="B2988">
        <v>4</v>
      </c>
      <c r="C2988">
        <v>65</v>
      </c>
      <c r="D2988" t="str">
        <f>VLOOKUP($C2988,products!$A$1:$F$322,MATCH(order_items!$D$1,products!$A$1:$F$1,0),FALSE)</f>
        <v>Sun Bicycles Lil Bolt Type-R - 2017</v>
      </c>
      <c r="E2988">
        <f>VLOOKUP($C2988,products!$A$1:$F$322,MATCH(order_items!$E$1,products!$A$1:$F$1,0),FALSE)</f>
        <v>3</v>
      </c>
      <c r="F2988" t="str">
        <f>VLOOKUP($E2988,categories!$A$1:$B$8,MATCH(order_items!$F$1,categories!$A$1:$B$1,0),FALSE)</f>
        <v>Cruisers Bicycles</v>
      </c>
      <c r="G2988">
        <v>2</v>
      </c>
      <c r="H2988">
        <v>346.99</v>
      </c>
      <c r="I2988" s="5">
        <v>0.2</v>
      </c>
      <c r="J2988">
        <f t="shared" si="92"/>
        <v>555.18400000000008</v>
      </c>
      <c r="K2988" s="9">
        <f t="shared" si="93"/>
        <v>-0.64001380111546768</v>
      </c>
    </row>
    <row r="2989" spans="1:11" x14ac:dyDescent="0.3">
      <c r="A2989">
        <v>1036</v>
      </c>
      <c r="B2989">
        <v>5</v>
      </c>
      <c r="C2989">
        <v>12</v>
      </c>
      <c r="D2989" t="str">
        <f>VLOOKUP($C2989,products!$A$1:$F$322,MATCH(order_items!$D$1,products!$A$1:$F$1,0),FALSE)</f>
        <v>Electra Townie Original 21D - 2016</v>
      </c>
      <c r="E2989">
        <f>VLOOKUP($C2989,products!$A$1:$F$322,MATCH(order_items!$E$1,products!$A$1:$F$1,0),FALSE)</f>
        <v>3</v>
      </c>
      <c r="F2989" t="str">
        <f>VLOOKUP($E2989,categories!$A$1:$B$8,MATCH(order_items!$F$1,categories!$A$1:$B$1,0),FALSE)</f>
        <v>Cruisers Bicycles</v>
      </c>
      <c r="G2989">
        <v>1</v>
      </c>
      <c r="H2989">
        <v>549.99</v>
      </c>
      <c r="I2989" s="5">
        <v>0.2</v>
      </c>
      <c r="J2989">
        <f t="shared" si="92"/>
        <v>439.99200000000002</v>
      </c>
      <c r="K2989" s="9">
        <f t="shared" si="93"/>
        <v>-0.48993857929220308</v>
      </c>
    </row>
    <row r="2990" spans="1:11" x14ac:dyDescent="0.3">
      <c r="A2990">
        <v>1037</v>
      </c>
      <c r="B2990">
        <v>1</v>
      </c>
      <c r="C2990">
        <v>74</v>
      </c>
      <c r="D2990" t="str">
        <f>VLOOKUP($C2990,products!$A$1:$F$322,MATCH(order_items!$D$1,products!$A$1:$F$1,0),FALSE)</f>
        <v>Electra Cruiser Lux 1 - 2017</v>
      </c>
      <c r="E2990">
        <f>VLOOKUP($C2990,products!$A$1:$F$322,MATCH(order_items!$E$1,products!$A$1:$F$1,0),FALSE)</f>
        <v>3</v>
      </c>
      <c r="F2990" t="str">
        <f>VLOOKUP($E2990,categories!$A$1:$B$8,MATCH(order_items!$F$1,categories!$A$1:$B$1,0),FALSE)</f>
        <v>Cruisers Bicycles</v>
      </c>
      <c r="G2990">
        <v>2</v>
      </c>
      <c r="H2990">
        <v>439.99</v>
      </c>
      <c r="I2990" s="5">
        <v>7.0000000000000007E-2</v>
      </c>
      <c r="J2990">
        <f t="shared" si="92"/>
        <v>818.38139999999999</v>
      </c>
      <c r="K2990" s="9">
        <f t="shared" si="93"/>
        <v>-0.57126012806343018</v>
      </c>
    </row>
    <row r="2991" spans="1:11" x14ac:dyDescent="0.3">
      <c r="A2991">
        <v>1037</v>
      </c>
      <c r="B2991">
        <v>2</v>
      </c>
      <c r="C2991">
        <v>3</v>
      </c>
      <c r="D2991" t="str">
        <f>VLOOKUP($C2991,products!$A$1:$F$322,MATCH(order_items!$D$1,products!$A$1:$F$1,0),FALSE)</f>
        <v>Surly Wednesday Frameset - 2016</v>
      </c>
      <c r="E2991">
        <f>VLOOKUP($C2991,products!$A$1:$F$322,MATCH(order_items!$E$1,products!$A$1:$F$1,0),FALSE)</f>
        <v>6</v>
      </c>
      <c r="F2991" t="str">
        <f>VLOOKUP($E2991,categories!$A$1:$B$8,MATCH(order_items!$F$1,categories!$A$1:$B$1,0),FALSE)</f>
        <v>Mountain Bikes</v>
      </c>
      <c r="G2991">
        <v>1</v>
      </c>
      <c r="H2991">
        <v>999.99</v>
      </c>
      <c r="I2991" s="5">
        <v>7.0000000000000007E-2</v>
      </c>
      <c r="J2991">
        <f t="shared" si="92"/>
        <v>929.99069999999995</v>
      </c>
      <c r="K2991" s="9">
        <f t="shared" si="93"/>
        <v>-0.15725951613718298</v>
      </c>
    </row>
    <row r="2992" spans="1:11" x14ac:dyDescent="0.3">
      <c r="A2992">
        <v>1037</v>
      </c>
      <c r="B2992">
        <v>3</v>
      </c>
      <c r="C2992">
        <v>65</v>
      </c>
      <c r="D2992" t="str">
        <f>VLOOKUP($C2992,products!$A$1:$F$322,MATCH(order_items!$D$1,products!$A$1:$F$1,0),FALSE)</f>
        <v>Sun Bicycles Lil Bolt Type-R - 2017</v>
      </c>
      <c r="E2992">
        <f>VLOOKUP($C2992,products!$A$1:$F$322,MATCH(order_items!$E$1,products!$A$1:$F$1,0),FALSE)</f>
        <v>3</v>
      </c>
      <c r="F2992" t="str">
        <f>VLOOKUP($E2992,categories!$A$1:$B$8,MATCH(order_items!$F$1,categories!$A$1:$B$1,0),FALSE)</f>
        <v>Cruisers Bicycles</v>
      </c>
      <c r="G2992">
        <v>2</v>
      </c>
      <c r="H2992">
        <v>346.99</v>
      </c>
      <c r="I2992" s="5">
        <v>0.2</v>
      </c>
      <c r="J2992">
        <f t="shared" si="92"/>
        <v>555.18400000000008</v>
      </c>
      <c r="K2992" s="9">
        <f t="shared" si="93"/>
        <v>-0.64001380111546768</v>
      </c>
    </row>
    <row r="2993" spans="1:11" x14ac:dyDescent="0.3">
      <c r="A2993">
        <v>1037</v>
      </c>
      <c r="B2993">
        <v>4</v>
      </c>
      <c r="C2993">
        <v>92</v>
      </c>
      <c r="D2993" t="str">
        <f>VLOOKUP($C2993,products!$A$1:$F$322,MATCH(order_items!$D$1,products!$A$1:$F$1,0),FALSE)</f>
        <v>Haro Shredder 20 - 2017</v>
      </c>
      <c r="E2993">
        <f>VLOOKUP($C2993,products!$A$1:$F$322,MATCH(order_items!$E$1,products!$A$1:$F$1,0),FALSE)</f>
        <v>1</v>
      </c>
      <c r="F2993" t="str">
        <f>VLOOKUP($E2993,categories!$A$1:$B$8,MATCH(order_items!$F$1,categories!$A$1:$B$1,0),FALSE)</f>
        <v>Children Bicycles</v>
      </c>
      <c r="G2993">
        <v>1</v>
      </c>
      <c r="H2993">
        <v>209.99</v>
      </c>
      <c r="I2993" s="5">
        <v>7.0000000000000007E-2</v>
      </c>
      <c r="J2993">
        <f t="shared" si="92"/>
        <v>195.29069999999999</v>
      </c>
      <c r="K2993" s="9">
        <f t="shared" si="93"/>
        <v>-0.74129609367599603</v>
      </c>
    </row>
    <row r="2994" spans="1:11" x14ac:dyDescent="0.3">
      <c r="A2994">
        <v>1037</v>
      </c>
      <c r="B2994">
        <v>5</v>
      </c>
      <c r="C2994">
        <v>84</v>
      </c>
      <c r="D2994" t="str">
        <f>VLOOKUP($C2994,products!$A$1:$F$322,MATCH(order_items!$D$1,products!$A$1:$F$1,0),FALSE)</f>
        <v>Sun Bicycles Lil Kitt'n - 2017</v>
      </c>
      <c r="E2994">
        <f>VLOOKUP($C2994,products!$A$1:$F$322,MATCH(order_items!$E$1,products!$A$1:$F$1,0),FALSE)</f>
        <v>1</v>
      </c>
      <c r="F2994" t="str">
        <f>VLOOKUP($E2994,categories!$A$1:$B$8,MATCH(order_items!$F$1,categories!$A$1:$B$1,0),FALSE)</f>
        <v>Children Bicycles</v>
      </c>
      <c r="G2994">
        <v>2</v>
      </c>
      <c r="H2994">
        <v>109.99</v>
      </c>
      <c r="I2994" s="5">
        <v>0.05</v>
      </c>
      <c r="J2994">
        <f t="shared" si="92"/>
        <v>208.98099999999999</v>
      </c>
      <c r="K2994" s="9">
        <f t="shared" si="93"/>
        <v>-0.81522477437711161</v>
      </c>
    </row>
    <row r="2995" spans="1:11" x14ac:dyDescent="0.3">
      <c r="A2995">
        <v>1038</v>
      </c>
      <c r="B2995">
        <v>1</v>
      </c>
      <c r="C2995">
        <v>83</v>
      </c>
      <c r="D2995" t="str">
        <f>VLOOKUP($C2995,products!$A$1:$F$322,MATCH(order_items!$D$1,products!$A$1:$F$1,0),FALSE)</f>
        <v>Trek Boy's Kickster - 2015/2017</v>
      </c>
      <c r="E2995">
        <f>VLOOKUP($C2995,products!$A$1:$F$322,MATCH(order_items!$E$1,products!$A$1:$F$1,0),FALSE)</f>
        <v>1</v>
      </c>
      <c r="F2995" t="str">
        <f>VLOOKUP($E2995,categories!$A$1:$B$8,MATCH(order_items!$F$1,categories!$A$1:$B$1,0),FALSE)</f>
        <v>Children Bicycles</v>
      </c>
      <c r="G2995">
        <v>1</v>
      </c>
      <c r="H2995">
        <v>149.99</v>
      </c>
      <c r="I2995" s="5">
        <v>0.05</v>
      </c>
      <c r="J2995">
        <f t="shared" si="92"/>
        <v>142.4905</v>
      </c>
      <c r="K2995" s="9">
        <f t="shared" si="93"/>
        <v>-0.7856533020966654</v>
      </c>
    </row>
    <row r="2996" spans="1:11" x14ac:dyDescent="0.3">
      <c r="A2996">
        <v>1038</v>
      </c>
      <c r="B2996">
        <v>2</v>
      </c>
      <c r="C2996">
        <v>9</v>
      </c>
      <c r="D2996" t="str">
        <f>VLOOKUP($C2996,products!$A$1:$F$322,MATCH(order_items!$D$1,products!$A$1:$F$1,0),FALSE)</f>
        <v>Trek Conduit+ - 2016</v>
      </c>
      <c r="E2996">
        <f>VLOOKUP($C2996,products!$A$1:$F$322,MATCH(order_items!$E$1,products!$A$1:$F$1,0),FALSE)</f>
        <v>5</v>
      </c>
      <c r="F2996" t="str">
        <f>VLOOKUP($E2996,categories!$A$1:$B$8,MATCH(order_items!$F$1,categories!$A$1:$B$1,0),FALSE)</f>
        <v>Electric Bikes</v>
      </c>
      <c r="G2996">
        <v>1</v>
      </c>
      <c r="H2996">
        <v>2999.99</v>
      </c>
      <c r="I2996" s="5">
        <v>7.0000000000000007E-2</v>
      </c>
      <c r="J2996">
        <f t="shared" si="92"/>
        <v>2789.9906999999998</v>
      </c>
      <c r="K2996" s="9">
        <f t="shared" si="93"/>
        <v>1.3213140978851283</v>
      </c>
    </row>
    <row r="2997" spans="1:11" x14ac:dyDescent="0.3">
      <c r="A2997">
        <v>1039</v>
      </c>
      <c r="B2997">
        <v>1</v>
      </c>
      <c r="C2997">
        <v>18</v>
      </c>
      <c r="D2997" t="str">
        <f>VLOOKUP($C2997,products!$A$1:$F$322,MATCH(order_items!$D$1,products!$A$1:$F$1,0),FALSE)</f>
        <v>Pure Cycles Western 3-Speed - Women's - 2015/2016</v>
      </c>
      <c r="E2997">
        <f>VLOOKUP($C2997,products!$A$1:$F$322,MATCH(order_items!$E$1,products!$A$1:$F$1,0),FALSE)</f>
        <v>3</v>
      </c>
      <c r="F2997" t="str">
        <f>VLOOKUP($E2997,categories!$A$1:$B$8,MATCH(order_items!$F$1,categories!$A$1:$B$1,0),FALSE)</f>
        <v>Cruisers Bicycles</v>
      </c>
      <c r="G2997">
        <v>2</v>
      </c>
      <c r="H2997">
        <v>449</v>
      </c>
      <c r="I2997" s="5">
        <v>0.2</v>
      </c>
      <c r="J2997">
        <f t="shared" si="92"/>
        <v>718.40000000000009</v>
      </c>
      <c r="K2997" s="9">
        <f t="shared" si="93"/>
        <v>-0.56459915393225968</v>
      </c>
    </row>
    <row r="2998" spans="1:11" x14ac:dyDescent="0.3">
      <c r="A2998">
        <v>1040</v>
      </c>
      <c r="B2998">
        <v>1</v>
      </c>
      <c r="C2998">
        <v>97</v>
      </c>
      <c r="D2998" t="str">
        <f>VLOOKUP($C2998,products!$A$1:$F$322,MATCH(order_items!$D$1,products!$A$1:$F$1,0),FALSE)</f>
        <v>Electra Savannah 3i (20-inch) - Girl's - 2017</v>
      </c>
      <c r="E2998">
        <f>VLOOKUP($C2998,products!$A$1:$F$322,MATCH(order_items!$E$1,products!$A$1:$F$1,0),FALSE)</f>
        <v>1</v>
      </c>
      <c r="F2998" t="str">
        <f>VLOOKUP($E2998,categories!$A$1:$B$8,MATCH(order_items!$F$1,categories!$A$1:$B$1,0),FALSE)</f>
        <v>Children Bicycles</v>
      </c>
      <c r="G2998">
        <v>1</v>
      </c>
      <c r="H2998">
        <v>349.99</v>
      </c>
      <c r="I2998" s="5">
        <v>0.1</v>
      </c>
      <c r="J2998">
        <f t="shared" si="92"/>
        <v>314.99100000000004</v>
      </c>
      <c r="K2998" s="9">
        <f t="shared" si="93"/>
        <v>-0.63779594069443424</v>
      </c>
    </row>
    <row r="2999" spans="1:11" x14ac:dyDescent="0.3">
      <c r="A2999">
        <v>1040</v>
      </c>
      <c r="B2999">
        <v>2</v>
      </c>
      <c r="C2999">
        <v>28</v>
      </c>
      <c r="D2999" t="str">
        <f>VLOOKUP($C2999,products!$A$1:$F$322,MATCH(order_items!$D$1,products!$A$1:$F$1,0),FALSE)</f>
        <v>Surly Karate Monkey 27.5+ Frameset - 2017</v>
      </c>
      <c r="E2999">
        <f>VLOOKUP($C2999,products!$A$1:$F$322,MATCH(order_items!$E$1,products!$A$1:$F$1,0),FALSE)</f>
        <v>6</v>
      </c>
      <c r="F2999" t="str">
        <f>VLOOKUP($E2999,categories!$A$1:$B$8,MATCH(order_items!$F$1,categories!$A$1:$B$1,0),FALSE)</f>
        <v>Mountain Bikes</v>
      </c>
      <c r="G2999">
        <v>2</v>
      </c>
      <c r="H2999">
        <v>2499.9899999999998</v>
      </c>
      <c r="I2999" s="5">
        <v>0.2</v>
      </c>
      <c r="J2999">
        <f t="shared" si="92"/>
        <v>3999.9839999999999</v>
      </c>
      <c r="K2999" s="9">
        <f t="shared" si="93"/>
        <v>0.95167069437955054</v>
      </c>
    </row>
    <row r="3000" spans="1:11" x14ac:dyDescent="0.3">
      <c r="A3000">
        <v>1040</v>
      </c>
      <c r="B3000">
        <v>3</v>
      </c>
      <c r="C3000">
        <v>64</v>
      </c>
      <c r="D3000" t="str">
        <f>VLOOKUP($C3000,products!$A$1:$F$322,MATCH(order_items!$D$1,products!$A$1:$F$1,0),FALSE)</f>
        <v>Electra Townie Original 7D - 2017</v>
      </c>
      <c r="E3000">
        <f>VLOOKUP($C3000,products!$A$1:$F$322,MATCH(order_items!$E$1,products!$A$1:$F$1,0),FALSE)</f>
        <v>3</v>
      </c>
      <c r="F3000" t="str">
        <f>VLOOKUP($E3000,categories!$A$1:$B$8,MATCH(order_items!$F$1,categories!$A$1:$B$1,0),FALSE)</f>
        <v>Cruisers Bicycles</v>
      </c>
      <c r="G3000">
        <v>1</v>
      </c>
      <c r="H3000">
        <v>489.99</v>
      </c>
      <c r="I3000" s="5">
        <v>7.0000000000000007E-2</v>
      </c>
      <c r="J3000">
        <f t="shared" si="92"/>
        <v>455.69069999999999</v>
      </c>
      <c r="K3000" s="9">
        <f t="shared" si="93"/>
        <v>-0.53429578771287245</v>
      </c>
    </row>
    <row r="3001" spans="1:11" x14ac:dyDescent="0.3">
      <c r="A3001">
        <v>1040</v>
      </c>
      <c r="B3001">
        <v>4</v>
      </c>
      <c r="C3001">
        <v>27</v>
      </c>
      <c r="D3001" t="str">
        <f>VLOOKUP($C3001,products!$A$1:$F$322,MATCH(order_items!$D$1,products!$A$1:$F$1,0),FALSE)</f>
        <v>Surly Big Dummy Frameset - 2017</v>
      </c>
      <c r="E3001">
        <f>VLOOKUP($C3001,products!$A$1:$F$322,MATCH(order_items!$E$1,products!$A$1:$F$1,0),FALSE)</f>
        <v>6</v>
      </c>
      <c r="F3001" t="str">
        <f>VLOOKUP($E3001,categories!$A$1:$B$8,MATCH(order_items!$F$1,categories!$A$1:$B$1,0),FALSE)</f>
        <v>Mountain Bikes</v>
      </c>
      <c r="G3001">
        <v>2</v>
      </c>
      <c r="H3001">
        <v>999.99</v>
      </c>
      <c r="I3001" s="5">
        <v>7.0000000000000007E-2</v>
      </c>
      <c r="J3001">
        <f t="shared" si="92"/>
        <v>1859.9813999999999</v>
      </c>
      <c r="K3001" s="9">
        <f t="shared" si="93"/>
        <v>-0.15725951613718298</v>
      </c>
    </row>
    <row r="3002" spans="1:11" x14ac:dyDescent="0.3">
      <c r="A3002">
        <v>1040</v>
      </c>
      <c r="B3002">
        <v>5</v>
      </c>
      <c r="C3002">
        <v>8</v>
      </c>
      <c r="D3002" t="str">
        <f>VLOOKUP($C3002,products!$A$1:$F$322,MATCH(order_items!$D$1,products!$A$1:$F$1,0),FALSE)</f>
        <v>Trek Remedy 29 Carbon Frameset - 2016</v>
      </c>
      <c r="E3002">
        <f>VLOOKUP($C3002,products!$A$1:$F$322,MATCH(order_items!$E$1,products!$A$1:$F$1,0),FALSE)</f>
        <v>6</v>
      </c>
      <c r="F3002" t="str">
        <f>VLOOKUP($E3002,categories!$A$1:$B$8,MATCH(order_items!$F$1,categories!$A$1:$B$1,0),FALSE)</f>
        <v>Mountain Bikes</v>
      </c>
      <c r="G3002">
        <v>2</v>
      </c>
      <c r="H3002">
        <v>1799.99</v>
      </c>
      <c r="I3002" s="5">
        <v>0.05</v>
      </c>
      <c r="J3002">
        <f t="shared" si="92"/>
        <v>3419.9809999999998</v>
      </c>
      <c r="K3002" s="9">
        <f t="shared" si="93"/>
        <v>0.43416992947174166</v>
      </c>
    </row>
    <row r="3003" spans="1:11" x14ac:dyDescent="0.3">
      <c r="A3003">
        <v>1041</v>
      </c>
      <c r="B3003">
        <v>1</v>
      </c>
      <c r="C3003">
        <v>89</v>
      </c>
      <c r="D3003" t="str">
        <f>VLOOKUP($C3003,products!$A$1:$F$322,MATCH(order_items!$D$1,products!$A$1:$F$1,0),FALSE)</f>
        <v>Trek Precaliber 16 Boys - 2017</v>
      </c>
      <c r="E3003">
        <f>VLOOKUP($C3003,products!$A$1:$F$322,MATCH(order_items!$E$1,products!$A$1:$F$1,0),FALSE)</f>
        <v>1</v>
      </c>
      <c r="F3003" t="str">
        <f>VLOOKUP($E3003,categories!$A$1:$B$8,MATCH(order_items!$F$1,categories!$A$1:$B$1,0),FALSE)</f>
        <v>Children Bicycles</v>
      </c>
      <c r="G3003">
        <v>1</v>
      </c>
      <c r="H3003">
        <v>209.99</v>
      </c>
      <c r="I3003" s="5">
        <v>0.1</v>
      </c>
      <c r="J3003">
        <f t="shared" si="92"/>
        <v>188.99100000000001</v>
      </c>
      <c r="K3003" s="9">
        <f t="shared" si="93"/>
        <v>-0.74129609367599603</v>
      </c>
    </row>
    <row r="3004" spans="1:11" x14ac:dyDescent="0.3">
      <c r="A3004">
        <v>1041</v>
      </c>
      <c r="B3004">
        <v>2</v>
      </c>
      <c r="C3004">
        <v>61</v>
      </c>
      <c r="D3004" t="str">
        <f>VLOOKUP($C3004,products!$A$1:$F$322,MATCH(order_items!$D$1,products!$A$1:$F$1,0),FALSE)</f>
        <v>Trek Powerfly 8 FS Plus - 2017</v>
      </c>
      <c r="E3004">
        <f>VLOOKUP($C3004,products!$A$1:$F$322,MATCH(order_items!$E$1,products!$A$1:$F$1,0),FALSE)</f>
        <v>5</v>
      </c>
      <c r="F3004" t="str">
        <f>VLOOKUP($E3004,categories!$A$1:$B$8,MATCH(order_items!$F$1,categories!$A$1:$B$1,0),FALSE)</f>
        <v>Electric Bikes</v>
      </c>
      <c r="G3004">
        <v>2</v>
      </c>
      <c r="H3004">
        <v>4999.99</v>
      </c>
      <c r="I3004" s="5">
        <v>7.0000000000000007E-2</v>
      </c>
      <c r="J3004">
        <f t="shared" si="92"/>
        <v>9299.9813999999988</v>
      </c>
      <c r="K3004" s="9">
        <f t="shared" si="93"/>
        <v>2.7998877119074401</v>
      </c>
    </row>
    <row r="3005" spans="1:11" x14ac:dyDescent="0.3">
      <c r="A3005">
        <v>1041</v>
      </c>
      <c r="B3005">
        <v>3</v>
      </c>
      <c r="C3005">
        <v>94</v>
      </c>
      <c r="D3005" t="str">
        <f>VLOOKUP($C3005,products!$A$1:$F$322,MATCH(order_items!$D$1,products!$A$1:$F$1,0),FALSE)</f>
        <v>Haro Shredder Pro 20 - 2017</v>
      </c>
      <c r="E3005">
        <f>VLOOKUP($C3005,products!$A$1:$F$322,MATCH(order_items!$E$1,products!$A$1:$F$1,0),FALSE)</f>
        <v>1</v>
      </c>
      <c r="F3005" t="str">
        <f>VLOOKUP($E3005,categories!$A$1:$B$8,MATCH(order_items!$F$1,categories!$A$1:$B$1,0),FALSE)</f>
        <v>Children Bicycles</v>
      </c>
      <c r="G3005">
        <v>2</v>
      </c>
      <c r="H3005">
        <v>249.99</v>
      </c>
      <c r="I3005" s="5">
        <v>0.1</v>
      </c>
      <c r="J3005">
        <f t="shared" si="92"/>
        <v>449.98200000000003</v>
      </c>
      <c r="K3005" s="9">
        <f t="shared" si="93"/>
        <v>-0.71172462139554982</v>
      </c>
    </row>
    <row r="3006" spans="1:11" x14ac:dyDescent="0.3">
      <c r="A3006">
        <v>1042</v>
      </c>
      <c r="B3006">
        <v>1</v>
      </c>
      <c r="C3006">
        <v>23</v>
      </c>
      <c r="D3006" t="str">
        <f>VLOOKUP($C3006,products!$A$1:$F$322,MATCH(order_items!$D$1,products!$A$1:$F$1,0),FALSE)</f>
        <v>Electra Girl's Hawaii 1 (20-inch) - 2015/2016</v>
      </c>
      <c r="E3006">
        <f>VLOOKUP($C3006,products!$A$1:$F$322,MATCH(order_items!$E$1,products!$A$1:$F$1,0),FALSE)</f>
        <v>1</v>
      </c>
      <c r="F3006" t="str">
        <f>VLOOKUP($E3006,categories!$A$1:$B$8,MATCH(order_items!$F$1,categories!$A$1:$B$1,0),FALSE)</f>
        <v>Children Bicycles</v>
      </c>
      <c r="G3006">
        <v>1</v>
      </c>
      <c r="H3006">
        <v>299.99</v>
      </c>
      <c r="I3006" s="5">
        <v>0.1</v>
      </c>
      <c r="J3006">
        <f t="shared" si="92"/>
        <v>269.99100000000004</v>
      </c>
      <c r="K3006" s="9">
        <f t="shared" si="93"/>
        <v>-0.67476028104499197</v>
      </c>
    </row>
    <row r="3007" spans="1:11" x14ac:dyDescent="0.3">
      <c r="A3007">
        <v>1043</v>
      </c>
      <c r="B3007">
        <v>1</v>
      </c>
      <c r="C3007">
        <v>55</v>
      </c>
      <c r="D3007" t="str">
        <f>VLOOKUP($C3007,products!$A$1:$F$322,MATCH(order_items!$D$1,products!$A$1:$F$1,0),FALSE)</f>
        <v>Trek Domane S 6 - 2017</v>
      </c>
      <c r="E3007">
        <f>VLOOKUP($C3007,products!$A$1:$F$322,MATCH(order_items!$E$1,products!$A$1:$F$1,0),FALSE)</f>
        <v>7</v>
      </c>
      <c r="F3007" t="str">
        <f>VLOOKUP($E3007,categories!$A$1:$B$8,MATCH(order_items!$F$1,categories!$A$1:$B$1,0),FALSE)</f>
        <v>Road Bikes</v>
      </c>
      <c r="G3007">
        <v>2</v>
      </c>
      <c r="H3007">
        <v>2699.99</v>
      </c>
      <c r="I3007" s="5">
        <v>0.1</v>
      </c>
      <c r="J3007">
        <f t="shared" si="92"/>
        <v>4859.982</v>
      </c>
      <c r="K3007" s="9">
        <f t="shared" si="93"/>
        <v>1.0995280557817817</v>
      </c>
    </row>
    <row r="3008" spans="1:11" x14ac:dyDescent="0.3">
      <c r="A3008">
        <v>1043</v>
      </c>
      <c r="B3008">
        <v>2</v>
      </c>
      <c r="C3008">
        <v>20</v>
      </c>
      <c r="D3008" t="str">
        <f>VLOOKUP($C3008,products!$A$1:$F$322,MATCH(order_items!$D$1,products!$A$1:$F$1,0),FALSE)</f>
        <v>Electra Townie Original 7D EQ - Women's - 2016</v>
      </c>
      <c r="E3008">
        <f>VLOOKUP($C3008,products!$A$1:$F$322,MATCH(order_items!$E$1,products!$A$1:$F$1,0),FALSE)</f>
        <v>3</v>
      </c>
      <c r="F3008" t="str">
        <f>VLOOKUP($E3008,categories!$A$1:$B$8,MATCH(order_items!$F$1,categories!$A$1:$B$1,0),FALSE)</f>
        <v>Cruisers Bicycles</v>
      </c>
      <c r="G3008">
        <v>1</v>
      </c>
      <c r="H3008">
        <v>599.99</v>
      </c>
      <c r="I3008" s="5">
        <v>7.0000000000000007E-2</v>
      </c>
      <c r="J3008">
        <f t="shared" si="92"/>
        <v>557.99069999999995</v>
      </c>
      <c r="K3008" s="9">
        <f t="shared" si="93"/>
        <v>-0.45297423894164529</v>
      </c>
    </row>
    <row r="3009" spans="1:11" x14ac:dyDescent="0.3">
      <c r="A3009">
        <v>1044</v>
      </c>
      <c r="B3009">
        <v>1</v>
      </c>
      <c r="C3009">
        <v>97</v>
      </c>
      <c r="D3009" t="str">
        <f>VLOOKUP($C3009,products!$A$1:$F$322,MATCH(order_items!$D$1,products!$A$1:$F$1,0),FALSE)</f>
        <v>Electra Savannah 3i (20-inch) - Girl's - 2017</v>
      </c>
      <c r="E3009">
        <f>VLOOKUP($C3009,products!$A$1:$F$322,MATCH(order_items!$E$1,products!$A$1:$F$1,0),FALSE)</f>
        <v>1</v>
      </c>
      <c r="F3009" t="str">
        <f>VLOOKUP($E3009,categories!$A$1:$B$8,MATCH(order_items!$F$1,categories!$A$1:$B$1,0),FALSE)</f>
        <v>Children Bicycles</v>
      </c>
      <c r="G3009">
        <v>2</v>
      </c>
      <c r="H3009">
        <v>349.99</v>
      </c>
      <c r="I3009" s="5">
        <v>0.1</v>
      </c>
      <c r="J3009">
        <f t="shared" si="92"/>
        <v>629.98200000000008</v>
      </c>
      <c r="K3009" s="9">
        <f t="shared" si="93"/>
        <v>-0.63779594069443424</v>
      </c>
    </row>
    <row r="3010" spans="1:11" x14ac:dyDescent="0.3">
      <c r="A3010">
        <v>1045</v>
      </c>
      <c r="B3010">
        <v>1</v>
      </c>
      <c r="C3010">
        <v>28</v>
      </c>
      <c r="D3010" t="str">
        <f>VLOOKUP($C3010,products!$A$1:$F$322,MATCH(order_items!$D$1,products!$A$1:$F$1,0),FALSE)</f>
        <v>Surly Karate Monkey 27.5+ Frameset - 2017</v>
      </c>
      <c r="E3010">
        <f>VLOOKUP($C3010,products!$A$1:$F$322,MATCH(order_items!$E$1,products!$A$1:$F$1,0),FALSE)</f>
        <v>6</v>
      </c>
      <c r="F3010" t="str">
        <f>VLOOKUP($E3010,categories!$A$1:$B$8,MATCH(order_items!$F$1,categories!$A$1:$B$1,0),FALSE)</f>
        <v>Mountain Bikes</v>
      </c>
      <c r="G3010">
        <v>1</v>
      </c>
      <c r="H3010">
        <v>2499.9899999999998</v>
      </c>
      <c r="I3010" s="5">
        <v>0.05</v>
      </c>
      <c r="J3010">
        <f t="shared" ref="J3010:J3073" si="94">G3010*H3010*(1-I3010)</f>
        <v>2374.9904999999999</v>
      </c>
      <c r="K3010" s="9">
        <f t="shared" ref="K3010:K3073" si="95">($H3010-$M$7)/$M$9</f>
        <v>0.95167069437955054</v>
      </c>
    </row>
    <row r="3011" spans="1:11" x14ac:dyDescent="0.3">
      <c r="A3011">
        <v>1045</v>
      </c>
      <c r="B3011">
        <v>2</v>
      </c>
      <c r="C3011">
        <v>104</v>
      </c>
      <c r="D3011" t="str">
        <f>VLOOKUP($C3011,products!$A$1:$F$322,MATCH(order_items!$D$1,products!$A$1:$F$1,0),FALSE)</f>
        <v>Sun Bicycles Streamway - 2017</v>
      </c>
      <c r="E3011">
        <f>VLOOKUP($C3011,products!$A$1:$F$322,MATCH(order_items!$E$1,products!$A$1:$F$1,0),FALSE)</f>
        <v>2</v>
      </c>
      <c r="F3011" t="str">
        <f>VLOOKUP($E3011,categories!$A$1:$B$8,MATCH(order_items!$F$1,categories!$A$1:$B$1,0),FALSE)</f>
        <v>Comfort Bicycles</v>
      </c>
      <c r="G3011">
        <v>2</v>
      </c>
      <c r="H3011">
        <v>481.99</v>
      </c>
      <c r="I3011" s="5">
        <v>0.05</v>
      </c>
      <c r="J3011">
        <f t="shared" si="94"/>
        <v>915.78099999999995</v>
      </c>
      <c r="K3011" s="9">
        <f t="shared" si="95"/>
        <v>-0.54021008216896171</v>
      </c>
    </row>
    <row r="3012" spans="1:11" x14ac:dyDescent="0.3">
      <c r="A3012">
        <v>1046</v>
      </c>
      <c r="B3012">
        <v>1</v>
      </c>
      <c r="C3012">
        <v>60</v>
      </c>
      <c r="D3012" t="str">
        <f>VLOOKUP($C3012,products!$A$1:$F$322,MATCH(order_items!$D$1,products!$A$1:$F$1,0),FALSE)</f>
        <v>Sun Bicycles ElectroLite - 2017</v>
      </c>
      <c r="E3012">
        <f>VLOOKUP($C3012,products!$A$1:$F$322,MATCH(order_items!$E$1,products!$A$1:$F$1,0),FALSE)</f>
        <v>5</v>
      </c>
      <c r="F3012" t="str">
        <f>VLOOKUP($E3012,categories!$A$1:$B$8,MATCH(order_items!$F$1,categories!$A$1:$B$1,0),FALSE)</f>
        <v>Electric Bikes</v>
      </c>
      <c r="G3012">
        <v>1</v>
      </c>
      <c r="H3012">
        <v>1559.99</v>
      </c>
      <c r="I3012" s="5">
        <v>7.0000000000000007E-2</v>
      </c>
      <c r="J3012">
        <f t="shared" si="94"/>
        <v>1450.7907</v>
      </c>
      <c r="K3012" s="9">
        <f t="shared" si="95"/>
        <v>0.25674109578906423</v>
      </c>
    </row>
    <row r="3013" spans="1:11" x14ac:dyDescent="0.3">
      <c r="A3013">
        <v>1046</v>
      </c>
      <c r="B3013">
        <v>2</v>
      </c>
      <c r="C3013">
        <v>79</v>
      </c>
      <c r="D3013" t="str">
        <f>VLOOKUP($C3013,products!$A$1:$F$322,MATCH(order_items!$D$1,products!$A$1:$F$1,0),FALSE)</f>
        <v>Sun Bicycles Boardwalk (24-inch Wheels) - 2017</v>
      </c>
      <c r="E3013">
        <f>VLOOKUP($C3013,products!$A$1:$F$322,MATCH(order_items!$E$1,products!$A$1:$F$1,0),FALSE)</f>
        <v>3</v>
      </c>
      <c r="F3013" t="str">
        <f>VLOOKUP($E3013,categories!$A$1:$B$8,MATCH(order_items!$F$1,categories!$A$1:$B$1,0),FALSE)</f>
        <v>Cruisers Bicycles</v>
      </c>
      <c r="G3013">
        <v>1</v>
      </c>
      <c r="H3013">
        <v>402.99</v>
      </c>
      <c r="I3013" s="5">
        <v>7.0000000000000007E-2</v>
      </c>
      <c r="J3013">
        <f t="shared" si="94"/>
        <v>374.78069999999997</v>
      </c>
      <c r="K3013" s="9">
        <f t="shared" si="95"/>
        <v>-0.59861373992284295</v>
      </c>
    </row>
    <row r="3014" spans="1:11" x14ac:dyDescent="0.3">
      <c r="A3014">
        <v>1046</v>
      </c>
      <c r="B3014">
        <v>3</v>
      </c>
      <c r="C3014">
        <v>32</v>
      </c>
      <c r="D3014" t="str">
        <f>VLOOKUP($C3014,products!$A$1:$F$322,MATCH(order_items!$D$1,products!$A$1:$F$1,0),FALSE)</f>
        <v>Trek Farley Alloy Frameset - 2017</v>
      </c>
      <c r="E3014">
        <f>VLOOKUP($C3014,products!$A$1:$F$322,MATCH(order_items!$E$1,products!$A$1:$F$1,0),FALSE)</f>
        <v>6</v>
      </c>
      <c r="F3014" t="str">
        <f>VLOOKUP($E3014,categories!$A$1:$B$8,MATCH(order_items!$F$1,categories!$A$1:$B$1,0),FALSE)</f>
        <v>Mountain Bikes</v>
      </c>
      <c r="G3014">
        <v>1</v>
      </c>
      <c r="H3014">
        <v>469.99</v>
      </c>
      <c r="I3014" s="5">
        <v>7.0000000000000007E-2</v>
      </c>
      <c r="J3014">
        <f t="shared" si="94"/>
        <v>437.09069999999997</v>
      </c>
      <c r="K3014" s="9">
        <f t="shared" si="95"/>
        <v>-0.5490815238530955</v>
      </c>
    </row>
    <row r="3015" spans="1:11" x14ac:dyDescent="0.3">
      <c r="A3015">
        <v>1046</v>
      </c>
      <c r="B3015">
        <v>4</v>
      </c>
      <c r="C3015">
        <v>41</v>
      </c>
      <c r="D3015" t="str">
        <f>VLOOKUP($C3015,products!$A$1:$F$322,MATCH(order_items!$D$1,products!$A$1:$F$1,0),FALSE)</f>
        <v>Haro Shift R3 - 2017</v>
      </c>
      <c r="E3015">
        <f>VLOOKUP($C3015,products!$A$1:$F$322,MATCH(order_items!$E$1,products!$A$1:$F$1,0),FALSE)</f>
        <v>6</v>
      </c>
      <c r="F3015" t="str">
        <f>VLOOKUP($E3015,categories!$A$1:$B$8,MATCH(order_items!$F$1,categories!$A$1:$B$1,0),FALSE)</f>
        <v>Mountain Bikes</v>
      </c>
      <c r="G3015">
        <v>2</v>
      </c>
      <c r="H3015">
        <v>1469.99</v>
      </c>
      <c r="I3015" s="5">
        <v>0.1</v>
      </c>
      <c r="J3015">
        <f t="shared" si="94"/>
        <v>2645.982</v>
      </c>
      <c r="K3015" s="9">
        <f t="shared" si="95"/>
        <v>0.19020528315806023</v>
      </c>
    </row>
    <row r="3016" spans="1:11" x14ac:dyDescent="0.3">
      <c r="A3016">
        <v>1046</v>
      </c>
      <c r="B3016">
        <v>5</v>
      </c>
      <c r="C3016">
        <v>17</v>
      </c>
      <c r="D3016" t="str">
        <f>VLOOKUP($C3016,products!$A$1:$F$322,MATCH(order_items!$D$1,products!$A$1:$F$1,0),FALSE)</f>
        <v>Pure Cycles Vine 8-Speed - 2016</v>
      </c>
      <c r="E3016">
        <f>VLOOKUP($C3016,products!$A$1:$F$322,MATCH(order_items!$E$1,products!$A$1:$F$1,0),FALSE)</f>
        <v>3</v>
      </c>
      <c r="F3016" t="str">
        <f>VLOOKUP($E3016,categories!$A$1:$B$8,MATCH(order_items!$F$1,categories!$A$1:$B$1,0),FALSE)</f>
        <v>Cruisers Bicycles</v>
      </c>
      <c r="G3016">
        <v>2</v>
      </c>
      <c r="H3016">
        <v>429</v>
      </c>
      <c r="I3016" s="5">
        <v>0.05</v>
      </c>
      <c r="J3016">
        <f t="shared" si="94"/>
        <v>815.09999999999991</v>
      </c>
      <c r="K3016" s="9">
        <f t="shared" si="95"/>
        <v>-0.57938489007248284</v>
      </c>
    </row>
    <row r="3017" spans="1:11" x14ac:dyDescent="0.3">
      <c r="A3017">
        <v>1047</v>
      </c>
      <c r="B3017">
        <v>1</v>
      </c>
      <c r="C3017">
        <v>28</v>
      </c>
      <c r="D3017" t="str">
        <f>VLOOKUP($C3017,products!$A$1:$F$322,MATCH(order_items!$D$1,products!$A$1:$F$1,0),FALSE)</f>
        <v>Surly Karate Monkey 27.5+ Frameset - 2017</v>
      </c>
      <c r="E3017">
        <f>VLOOKUP($C3017,products!$A$1:$F$322,MATCH(order_items!$E$1,products!$A$1:$F$1,0),FALSE)</f>
        <v>6</v>
      </c>
      <c r="F3017" t="str">
        <f>VLOOKUP($E3017,categories!$A$1:$B$8,MATCH(order_items!$F$1,categories!$A$1:$B$1,0),FALSE)</f>
        <v>Mountain Bikes</v>
      </c>
      <c r="G3017">
        <v>2</v>
      </c>
      <c r="H3017">
        <v>2499.9899999999998</v>
      </c>
      <c r="I3017" s="5">
        <v>0.1</v>
      </c>
      <c r="J3017">
        <f t="shared" si="94"/>
        <v>4499.982</v>
      </c>
      <c r="K3017" s="9">
        <f t="shared" si="95"/>
        <v>0.95167069437955054</v>
      </c>
    </row>
    <row r="3018" spans="1:11" x14ac:dyDescent="0.3">
      <c r="A3018">
        <v>1047</v>
      </c>
      <c r="B3018">
        <v>2</v>
      </c>
      <c r="C3018">
        <v>78</v>
      </c>
      <c r="D3018" t="str">
        <f>VLOOKUP($C3018,products!$A$1:$F$322,MATCH(order_items!$D$1,products!$A$1:$F$1,0),FALSE)</f>
        <v>Sun Bicycles Biscayne Tandem CB - 2017</v>
      </c>
      <c r="E3018">
        <f>VLOOKUP($C3018,products!$A$1:$F$322,MATCH(order_items!$E$1,products!$A$1:$F$1,0),FALSE)</f>
        <v>3</v>
      </c>
      <c r="F3018" t="str">
        <f>VLOOKUP($E3018,categories!$A$1:$B$8,MATCH(order_items!$F$1,categories!$A$1:$B$1,0),FALSE)</f>
        <v>Cruisers Bicycles</v>
      </c>
      <c r="G3018">
        <v>1</v>
      </c>
      <c r="H3018">
        <v>647.99</v>
      </c>
      <c r="I3018" s="5">
        <v>0.2</v>
      </c>
      <c r="J3018">
        <f t="shared" si="94"/>
        <v>518.39200000000005</v>
      </c>
      <c r="K3018" s="9">
        <f t="shared" si="95"/>
        <v>-0.41748847220510982</v>
      </c>
    </row>
    <row r="3019" spans="1:11" x14ac:dyDescent="0.3">
      <c r="A3019">
        <v>1047</v>
      </c>
      <c r="B3019">
        <v>3</v>
      </c>
      <c r="C3019">
        <v>35</v>
      </c>
      <c r="D3019" t="str">
        <f>VLOOKUP($C3019,products!$A$1:$F$322,MATCH(order_items!$D$1,products!$A$1:$F$1,0),FALSE)</f>
        <v>Sun Bicycles Spider 3i - 2017</v>
      </c>
      <c r="E3019">
        <f>VLOOKUP($C3019,products!$A$1:$F$322,MATCH(order_items!$E$1,products!$A$1:$F$1,0),FALSE)</f>
        <v>6</v>
      </c>
      <c r="F3019" t="str">
        <f>VLOOKUP($E3019,categories!$A$1:$B$8,MATCH(order_items!$F$1,categories!$A$1:$B$1,0),FALSE)</f>
        <v>Mountain Bikes</v>
      </c>
      <c r="G3019">
        <v>1</v>
      </c>
      <c r="H3019">
        <v>832.99</v>
      </c>
      <c r="I3019" s="5">
        <v>0.05</v>
      </c>
      <c r="J3019">
        <f t="shared" si="94"/>
        <v>791.34050000000002</v>
      </c>
      <c r="K3019" s="9">
        <f t="shared" si="95"/>
        <v>-0.280720412908046</v>
      </c>
    </row>
    <row r="3020" spans="1:11" x14ac:dyDescent="0.3">
      <c r="A3020">
        <v>1047</v>
      </c>
      <c r="B3020">
        <v>4</v>
      </c>
      <c r="C3020">
        <v>49</v>
      </c>
      <c r="D3020" t="str">
        <f>VLOOKUP($C3020,products!$A$1:$F$322,MATCH(order_items!$D$1,products!$A$1:$F$1,0),FALSE)</f>
        <v>Trek Domane SL 6 - 2017</v>
      </c>
      <c r="E3020">
        <f>VLOOKUP($C3020,products!$A$1:$F$322,MATCH(order_items!$E$1,products!$A$1:$F$1,0),FALSE)</f>
        <v>7</v>
      </c>
      <c r="F3020" t="str">
        <f>VLOOKUP($E3020,categories!$A$1:$B$8,MATCH(order_items!$F$1,categories!$A$1:$B$1,0),FALSE)</f>
        <v>Road Bikes</v>
      </c>
      <c r="G3020">
        <v>1</v>
      </c>
      <c r="H3020">
        <v>3499.99</v>
      </c>
      <c r="I3020" s="5">
        <v>0.05</v>
      </c>
      <c r="J3020">
        <f t="shared" si="94"/>
        <v>3324.9904999999994</v>
      </c>
      <c r="K3020" s="9">
        <f t="shared" si="95"/>
        <v>1.6909575013907066</v>
      </c>
    </row>
    <row r="3021" spans="1:11" x14ac:dyDescent="0.3">
      <c r="A3021">
        <v>1048</v>
      </c>
      <c r="B3021">
        <v>1</v>
      </c>
      <c r="C3021">
        <v>3</v>
      </c>
      <c r="D3021" t="str">
        <f>VLOOKUP($C3021,products!$A$1:$F$322,MATCH(order_items!$D$1,products!$A$1:$F$1,0),FALSE)</f>
        <v>Surly Wednesday Frameset - 2016</v>
      </c>
      <c r="E3021">
        <f>VLOOKUP($C3021,products!$A$1:$F$322,MATCH(order_items!$E$1,products!$A$1:$F$1,0),FALSE)</f>
        <v>6</v>
      </c>
      <c r="F3021" t="str">
        <f>VLOOKUP($E3021,categories!$A$1:$B$8,MATCH(order_items!$F$1,categories!$A$1:$B$1,0),FALSE)</f>
        <v>Mountain Bikes</v>
      </c>
      <c r="G3021">
        <v>2</v>
      </c>
      <c r="H3021">
        <v>999.99</v>
      </c>
      <c r="I3021" s="5">
        <v>0.1</v>
      </c>
      <c r="J3021">
        <f t="shared" si="94"/>
        <v>1799.982</v>
      </c>
      <c r="K3021" s="9">
        <f t="shared" si="95"/>
        <v>-0.15725951613718298</v>
      </c>
    </row>
    <row r="3022" spans="1:11" x14ac:dyDescent="0.3">
      <c r="A3022">
        <v>1048</v>
      </c>
      <c r="B3022">
        <v>2</v>
      </c>
      <c r="C3022">
        <v>37</v>
      </c>
      <c r="D3022" t="str">
        <f>VLOOKUP($C3022,products!$A$1:$F$322,MATCH(order_items!$D$1,products!$A$1:$F$1,0),FALSE)</f>
        <v>Haro Flightline One ST - 2017</v>
      </c>
      <c r="E3022">
        <f>VLOOKUP($C3022,products!$A$1:$F$322,MATCH(order_items!$E$1,products!$A$1:$F$1,0),FALSE)</f>
        <v>6</v>
      </c>
      <c r="F3022" t="str">
        <f>VLOOKUP($E3022,categories!$A$1:$B$8,MATCH(order_items!$F$1,categories!$A$1:$B$1,0),FALSE)</f>
        <v>Mountain Bikes</v>
      </c>
      <c r="G3022">
        <v>1</v>
      </c>
      <c r="H3022">
        <v>379.99</v>
      </c>
      <c r="I3022" s="5">
        <v>0.1</v>
      </c>
      <c r="J3022">
        <f t="shared" si="94"/>
        <v>341.99100000000004</v>
      </c>
      <c r="K3022" s="9">
        <f t="shared" si="95"/>
        <v>-0.61561733648409955</v>
      </c>
    </row>
    <row r="3023" spans="1:11" x14ac:dyDescent="0.3">
      <c r="A3023">
        <v>1048</v>
      </c>
      <c r="B3023">
        <v>3</v>
      </c>
      <c r="C3023">
        <v>94</v>
      </c>
      <c r="D3023" t="str">
        <f>VLOOKUP($C3023,products!$A$1:$F$322,MATCH(order_items!$D$1,products!$A$1:$F$1,0),FALSE)</f>
        <v>Haro Shredder Pro 20 - 2017</v>
      </c>
      <c r="E3023">
        <f>VLOOKUP($C3023,products!$A$1:$F$322,MATCH(order_items!$E$1,products!$A$1:$F$1,0),FALSE)</f>
        <v>1</v>
      </c>
      <c r="F3023" t="str">
        <f>VLOOKUP($E3023,categories!$A$1:$B$8,MATCH(order_items!$F$1,categories!$A$1:$B$1,0),FALSE)</f>
        <v>Children Bicycles</v>
      </c>
      <c r="G3023">
        <v>1</v>
      </c>
      <c r="H3023">
        <v>249.99</v>
      </c>
      <c r="I3023" s="5">
        <v>0.05</v>
      </c>
      <c r="J3023">
        <f t="shared" si="94"/>
        <v>237.4905</v>
      </c>
      <c r="K3023" s="9">
        <f t="shared" si="95"/>
        <v>-0.71172462139554982</v>
      </c>
    </row>
    <row r="3024" spans="1:11" x14ac:dyDescent="0.3">
      <c r="A3024">
        <v>1049</v>
      </c>
      <c r="B3024">
        <v>1</v>
      </c>
      <c r="C3024">
        <v>9</v>
      </c>
      <c r="D3024" t="str">
        <f>VLOOKUP($C3024,products!$A$1:$F$322,MATCH(order_items!$D$1,products!$A$1:$F$1,0),FALSE)</f>
        <v>Trek Conduit+ - 2016</v>
      </c>
      <c r="E3024">
        <f>VLOOKUP($C3024,products!$A$1:$F$322,MATCH(order_items!$E$1,products!$A$1:$F$1,0),FALSE)</f>
        <v>5</v>
      </c>
      <c r="F3024" t="str">
        <f>VLOOKUP($E3024,categories!$A$1:$B$8,MATCH(order_items!$F$1,categories!$A$1:$B$1,0),FALSE)</f>
        <v>Electric Bikes</v>
      </c>
      <c r="G3024">
        <v>1</v>
      </c>
      <c r="H3024">
        <v>2999.99</v>
      </c>
      <c r="I3024" s="5">
        <v>0.1</v>
      </c>
      <c r="J3024">
        <f t="shared" si="94"/>
        <v>2699.991</v>
      </c>
      <c r="K3024" s="9">
        <f t="shared" si="95"/>
        <v>1.3213140978851283</v>
      </c>
    </row>
    <row r="3025" spans="1:11" x14ac:dyDescent="0.3">
      <c r="A3025">
        <v>1049</v>
      </c>
      <c r="B3025">
        <v>2</v>
      </c>
      <c r="C3025">
        <v>36</v>
      </c>
      <c r="D3025" t="str">
        <f>VLOOKUP($C3025,products!$A$1:$F$322,MATCH(order_items!$D$1,products!$A$1:$F$1,0),FALSE)</f>
        <v>Surly Troll Frameset - 2017</v>
      </c>
      <c r="E3025">
        <f>VLOOKUP($C3025,products!$A$1:$F$322,MATCH(order_items!$E$1,products!$A$1:$F$1,0),FALSE)</f>
        <v>6</v>
      </c>
      <c r="F3025" t="str">
        <f>VLOOKUP($E3025,categories!$A$1:$B$8,MATCH(order_items!$F$1,categories!$A$1:$B$1,0),FALSE)</f>
        <v>Mountain Bikes</v>
      </c>
      <c r="G3025">
        <v>2</v>
      </c>
      <c r="H3025">
        <v>832.99</v>
      </c>
      <c r="I3025" s="5">
        <v>0.05</v>
      </c>
      <c r="J3025">
        <f t="shared" si="94"/>
        <v>1582.681</v>
      </c>
      <c r="K3025" s="9">
        <f t="shared" si="95"/>
        <v>-0.280720412908046</v>
      </c>
    </row>
    <row r="3026" spans="1:11" x14ac:dyDescent="0.3">
      <c r="A3026">
        <v>1049</v>
      </c>
      <c r="B3026">
        <v>3</v>
      </c>
      <c r="C3026">
        <v>3</v>
      </c>
      <c r="D3026" t="str">
        <f>VLOOKUP($C3026,products!$A$1:$F$322,MATCH(order_items!$D$1,products!$A$1:$F$1,0),FALSE)</f>
        <v>Surly Wednesday Frameset - 2016</v>
      </c>
      <c r="E3026">
        <f>VLOOKUP($C3026,products!$A$1:$F$322,MATCH(order_items!$E$1,products!$A$1:$F$1,0),FALSE)</f>
        <v>6</v>
      </c>
      <c r="F3026" t="str">
        <f>VLOOKUP($E3026,categories!$A$1:$B$8,MATCH(order_items!$F$1,categories!$A$1:$B$1,0),FALSE)</f>
        <v>Mountain Bikes</v>
      </c>
      <c r="G3026">
        <v>1</v>
      </c>
      <c r="H3026">
        <v>999.99</v>
      </c>
      <c r="I3026" s="5">
        <v>0.1</v>
      </c>
      <c r="J3026">
        <f t="shared" si="94"/>
        <v>899.99099999999999</v>
      </c>
      <c r="K3026" s="9">
        <f t="shared" si="95"/>
        <v>-0.15725951613718298</v>
      </c>
    </row>
    <row r="3027" spans="1:11" x14ac:dyDescent="0.3">
      <c r="A3027">
        <v>1049</v>
      </c>
      <c r="B3027">
        <v>4</v>
      </c>
      <c r="C3027">
        <v>26</v>
      </c>
      <c r="D3027" t="str">
        <f>VLOOKUP($C3027,products!$A$1:$F$322,MATCH(order_items!$D$1,products!$A$1:$F$1,0),FALSE)</f>
        <v>Electra Townie Original 7D EQ - 2016</v>
      </c>
      <c r="E3027">
        <f>VLOOKUP($C3027,products!$A$1:$F$322,MATCH(order_items!$E$1,products!$A$1:$F$1,0),FALSE)</f>
        <v>2</v>
      </c>
      <c r="F3027" t="str">
        <f>VLOOKUP($E3027,categories!$A$1:$B$8,MATCH(order_items!$F$1,categories!$A$1:$B$1,0),FALSE)</f>
        <v>Comfort Bicycles</v>
      </c>
      <c r="G3027">
        <v>1</v>
      </c>
      <c r="H3027">
        <v>599.99</v>
      </c>
      <c r="I3027" s="5">
        <v>7.0000000000000007E-2</v>
      </c>
      <c r="J3027">
        <f t="shared" si="94"/>
        <v>557.99069999999995</v>
      </c>
      <c r="K3027" s="9">
        <f t="shared" si="95"/>
        <v>-0.45297423894164529</v>
      </c>
    </row>
    <row r="3028" spans="1:11" x14ac:dyDescent="0.3">
      <c r="A3028">
        <v>1049</v>
      </c>
      <c r="B3028">
        <v>5</v>
      </c>
      <c r="C3028">
        <v>10</v>
      </c>
      <c r="D3028" t="str">
        <f>VLOOKUP($C3028,products!$A$1:$F$322,MATCH(order_items!$D$1,products!$A$1:$F$1,0),FALSE)</f>
        <v>Surly Straggler - 2016</v>
      </c>
      <c r="E3028">
        <f>VLOOKUP($C3028,products!$A$1:$F$322,MATCH(order_items!$E$1,products!$A$1:$F$1,0),FALSE)</f>
        <v>4</v>
      </c>
      <c r="F3028" t="str">
        <f>VLOOKUP($E3028,categories!$A$1:$B$8,MATCH(order_items!$F$1,categories!$A$1:$B$1,0),FALSE)</f>
        <v>Cyclocross Bicycles</v>
      </c>
      <c r="G3028">
        <v>2</v>
      </c>
      <c r="H3028">
        <v>1549</v>
      </c>
      <c r="I3028" s="5">
        <v>0.05</v>
      </c>
      <c r="J3028">
        <f t="shared" si="94"/>
        <v>2943.1</v>
      </c>
      <c r="K3028" s="9">
        <f t="shared" si="95"/>
        <v>0.24861633378001166</v>
      </c>
    </row>
    <row r="3029" spans="1:11" x14ac:dyDescent="0.3">
      <c r="A3029">
        <v>1050</v>
      </c>
      <c r="B3029">
        <v>1</v>
      </c>
      <c r="C3029">
        <v>96</v>
      </c>
      <c r="D3029" t="str">
        <f>VLOOKUP($C3029,products!$A$1:$F$322,MATCH(order_items!$D$1,products!$A$1:$F$1,0),FALSE)</f>
        <v>Electra Moto 3i (20-inch) - Boy's - 2017</v>
      </c>
      <c r="E3029">
        <f>VLOOKUP($C3029,products!$A$1:$F$322,MATCH(order_items!$E$1,products!$A$1:$F$1,0),FALSE)</f>
        <v>1</v>
      </c>
      <c r="F3029" t="str">
        <f>VLOOKUP($E3029,categories!$A$1:$B$8,MATCH(order_items!$F$1,categories!$A$1:$B$1,0),FALSE)</f>
        <v>Children Bicycles</v>
      </c>
      <c r="G3029">
        <v>2</v>
      </c>
      <c r="H3029">
        <v>349.99</v>
      </c>
      <c r="I3029" s="5">
        <v>7.0000000000000007E-2</v>
      </c>
      <c r="J3029">
        <f t="shared" si="94"/>
        <v>650.98140000000001</v>
      </c>
      <c r="K3029" s="9">
        <f t="shared" si="95"/>
        <v>-0.63779594069443424</v>
      </c>
    </row>
    <row r="3030" spans="1:11" x14ac:dyDescent="0.3">
      <c r="A3030">
        <v>1050</v>
      </c>
      <c r="B3030">
        <v>2</v>
      </c>
      <c r="C3030">
        <v>99</v>
      </c>
      <c r="D3030" t="str">
        <f>VLOOKUP($C3030,products!$A$1:$F$322,MATCH(order_items!$D$1,products!$A$1:$F$1,0),FALSE)</f>
        <v>Electra Sugar Skulls 1 (20-inch) - Girl's - 2017</v>
      </c>
      <c r="E3030">
        <f>VLOOKUP($C3030,products!$A$1:$F$322,MATCH(order_items!$E$1,products!$A$1:$F$1,0),FALSE)</f>
        <v>1</v>
      </c>
      <c r="F3030" t="str">
        <f>VLOOKUP($E3030,categories!$A$1:$B$8,MATCH(order_items!$F$1,categories!$A$1:$B$1,0),FALSE)</f>
        <v>Children Bicycles</v>
      </c>
      <c r="G3030">
        <v>2</v>
      </c>
      <c r="H3030">
        <v>299.99</v>
      </c>
      <c r="I3030" s="5">
        <v>0.1</v>
      </c>
      <c r="J3030">
        <f t="shared" si="94"/>
        <v>539.98200000000008</v>
      </c>
      <c r="K3030" s="9">
        <f t="shared" si="95"/>
        <v>-0.67476028104499197</v>
      </c>
    </row>
    <row r="3031" spans="1:11" x14ac:dyDescent="0.3">
      <c r="A3031">
        <v>1050</v>
      </c>
      <c r="B3031">
        <v>3</v>
      </c>
      <c r="C3031">
        <v>45</v>
      </c>
      <c r="D3031" t="str">
        <f>VLOOKUP($C3031,products!$A$1:$F$322,MATCH(order_items!$D$1,products!$A$1:$F$1,0),FALSE)</f>
        <v>Haro SR 1.2 - 2017</v>
      </c>
      <c r="E3031">
        <f>VLOOKUP($C3031,products!$A$1:$F$322,MATCH(order_items!$E$1,products!$A$1:$F$1,0),FALSE)</f>
        <v>6</v>
      </c>
      <c r="F3031" t="str">
        <f>VLOOKUP($E3031,categories!$A$1:$B$8,MATCH(order_items!$F$1,categories!$A$1:$B$1,0),FALSE)</f>
        <v>Mountain Bikes</v>
      </c>
      <c r="G3031">
        <v>2</v>
      </c>
      <c r="H3031">
        <v>869.99</v>
      </c>
      <c r="I3031" s="5">
        <v>0.2</v>
      </c>
      <c r="J3031">
        <f t="shared" si="94"/>
        <v>1391.9840000000002</v>
      </c>
      <c r="K3031" s="9">
        <f t="shared" si="95"/>
        <v>-0.25336680104863324</v>
      </c>
    </row>
    <row r="3032" spans="1:11" x14ac:dyDescent="0.3">
      <c r="A3032">
        <v>1050</v>
      </c>
      <c r="B3032">
        <v>4</v>
      </c>
      <c r="C3032">
        <v>14</v>
      </c>
      <c r="D3032" t="str">
        <f>VLOOKUP($C3032,products!$A$1:$F$322,MATCH(order_items!$D$1,products!$A$1:$F$1,0),FALSE)</f>
        <v>Electra Girl's Hawaii 1 (16-inch) - 2015/2016</v>
      </c>
      <c r="E3032">
        <f>VLOOKUP($C3032,products!$A$1:$F$322,MATCH(order_items!$E$1,products!$A$1:$F$1,0),FALSE)</f>
        <v>3</v>
      </c>
      <c r="F3032" t="str">
        <f>VLOOKUP($E3032,categories!$A$1:$B$8,MATCH(order_items!$F$1,categories!$A$1:$B$1,0),FALSE)</f>
        <v>Cruisers Bicycles</v>
      </c>
      <c r="G3032">
        <v>2</v>
      </c>
      <c r="H3032">
        <v>269.99</v>
      </c>
      <c r="I3032" s="5">
        <v>0.2</v>
      </c>
      <c r="J3032">
        <f t="shared" si="94"/>
        <v>431.98400000000004</v>
      </c>
      <c r="K3032" s="9">
        <f t="shared" si="95"/>
        <v>-0.69693888525532666</v>
      </c>
    </row>
    <row r="3033" spans="1:11" x14ac:dyDescent="0.3">
      <c r="A3033">
        <v>1051</v>
      </c>
      <c r="B3033">
        <v>1</v>
      </c>
      <c r="C3033">
        <v>46</v>
      </c>
      <c r="D3033" t="str">
        <f>VLOOKUP($C3033,products!$A$1:$F$322,MATCH(order_items!$D$1,products!$A$1:$F$1,0),FALSE)</f>
        <v>Haro SR 1.3 - 2017</v>
      </c>
      <c r="E3033">
        <f>VLOOKUP($C3033,products!$A$1:$F$322,MATCH(order_items!$E$1,products!$A$1:$F$1,0),FALSE)</f>
        <v>6</v>
      </c>
      <c r="F3033" t="str">
        <f>VLOOKUP($E3033,categories!$A$1:$B$8,MATCH(order_items!$F$1,categories!$A$1:$B$1,0),FALSE)</f>
        <v>Mountain Bikes</v>
      </c>
      <c r="G3033">
        <v>1</v>
      </c>
      <c r="H3033">
        <v>1409.99</v>
      </c>
      <c r="I3033" s="5">
        <v>0.2</v>
      </c>
      <c r="J3033">
        <f t="shared" si="94"/>
        <v>1127.992</v>
      </c>
      <c r="K3033" s="9">
        <f t="shared" si="95"/>
        <v>0.14584807473739089</v>
      </c>
    </row>
    <row r="3034" spans="1:11" x14ac:dyDescent="0.3">
      <c r="A3034">
        <v>1052</v>
      </c>
      <c r="B3034">
        <v>1</v>
      </c>
      <c r="C3034">
        <v>7</v>
      </c>
      <c r="D3034" t="str">
        <f>VLOOKUP($C3034,products!$A$1:$F$322,MATCH(order_items!$D$1,products!$A$1:$F$1,0),FALSE)</f>
        <v>Trek Slash 8 27.5 - 2016</v>
      </c>
      <c r="E3034">
        <f>VLOOKUP($C3034,products!$A$1:$F$322,MATCH(order_items!$E$1,products!$A$1:$F$1,0),FALSE)</f>
        <v>6</v>
      </c>
      <c r="F3034" t="str">
        <f>VLOOKUP($E3034,categories!$A$1:$B$8,MATCH(order_items!$F$1,categories!$A$1:$B$1,0),FALSE)</f>
        <v>Mountain Bikes</v>
      </c>
      <c r="G3034">
        <v>1</v>
      </c>
      <c r="H3034">
        <v>3999.99</v>
      </c>
      <c r="I3034" s="5">
        <v>0.05</v>
      </c>
      <c r="J3034">
        <f t="shared" si="94"/>
        <v>3799.9904999999994</v>
      </c>
      <c r="K3034" s="9">
        <f t="shared" si="95"/>
        <v>2.0606009048962846</v>
      </c>
    </row>
    <row r="3035" spans="1:11" x14ac:dyDescent="0.3">
      <c r="A3035">
        <v>1052</v>
      </c>
      <c r="B3035">
        <v>2</v>
      </c>
      <c r="C3035">
        <v>103</v>
      </c>
      <c r="D3035" t="str">
        <f>VLOOKUP($C3035,products!$A$1:$F$322,MATCH(order_items!$D$1,products!$A$1:$F$1,0),FALSE)</f>
        <v>Sun Bicycles Streamway 3 - 2017</v>
      </c>
      <c r="E3035">
        <f>VLOOKUP($C3035,products!$A$1:$F$322,MATCH(order_items!$E$1,products!$A$1:$F$1,0),FALSE)</f>
        <v>2</v>
      </c>
      <c r="F3035" t="str">
        <f>VLOOKUP($E3035,categories!$A$1:$B$8,MATCH(order_items!$F$1,categories!$A$1:$B$1,0),FALSE)</f>
        <v>Comfort Bicycles</v>
      </c>
      <c r="G3035">
        <v>1</v>
      </c>
      <c r="H3035">
        <v>551.99</v>
      </c>
      <c r="I3035" s="5">
        <v>0.05</v>
      </c>
      <c r="J3035">
        <f t="shared" si="94"/>
        <v>524.39049999999997</v>
      </c>
      <c r="K3035" s="9">
        <f t="shared" si="95"/>
        <v>-0.48846000567818076</v>
      </c>
    </row>
    <row r="3036" spans="1:11" x14ac:dyDescent="0.3">
      <c r="A3036">
        <v>1052</v>
      </c>
      <c r="B3036">
        <v>3</v>
      </c>
      <c r="C3036">
        <v>26</v>
      </c>
      <c r="D3036" t="str">
        <f>VLOOKUP($C3036,products!$A$1:$F$322,MATCH(order_items!$D$1,products!$A$1:$F$1,0),FALSE)</f>
        <v>Electra Townie Original 7D EQ - 2016</v>
      </c>
      <c r="E3036">
        <f>VLOOKUP($C3036,products!$A$1:$F$322,MATCH(order_items!$E$1,products!$A$1:$F$1,0),FALSE)</f>
        <v>2</v>
      </c>
      <c r="F3036" t="str">
        <f>VLOOKUP($E3036,categories!$A$1:$B$8,MATCH(order_items!$F$1,categories!$A$1:$B$1,0),FALSE)</f>
        <v>Comfort Bicycles</v>
      </c>
      <c r="G3036">
        <v>2</v>
      </c>
      <c r="H3036">
        <v>599.99</v>
      </c>
      <c r="I3036" s="5">
        <v>7.0000000000000007E-2</v>
      </c>
      <c r="J3036">
        <f t="shared" si="94"/>
        <v>1115.9813999999999</v>
      </c>
      <c r="K3036" s="9">
        <f t="shared" si="95"/>
        <v>-0.45297423894164529</v>
      </c>
    </row>
    <row r="3037" spans="1:11" x14ac:dyDescent="0.3">
      <c r="A3037">
        <v>1053</v>
      </c>
      <c r="B3037">
        <v>1</v>
      </c>
      <c r="C3037">
        <v>49</v>
      </c>
      <c r="D3037" t="str">
        <f>VLOOKUP($C3037,products!$A$1:$F$322,MATCH(order_items!$D$1,products!$A$1:$F$1,0),FALSE)</f>
        <v>Trek Domane SL 6 - 2017</v>
      </c>
      <c r="E3037">
        <f>VLOOKUP($C3037,products!$A$1:$F$322,MATCH(order_items!$E$1,products!$A$1:$F$1,0),FALSE)</f>
        <v>7</v>
      </c>
      <c r="F3037" t="str">
        <f>VLOOKUP($E3037,categories!$A$1:$B$8,MATCH(order_items!$F$1,categories!$A$1:$B$1,0),FALSE)</f>
        <v>Road Bikes</v>
      </c>
      <c r="G3037">
        <v>2</v>
      </c>
      <c r="H3037">
        <v>3499.99</v>
      </c>
      <c r="I3037" s="5">
        <v>0.05</v>
      </c>
      <c r="J3037">
        <f t="shared" si="94"/>
        <v>6649.9809999999989</v>
      </c>
      <c r="K3037" s="9">
        <f t="shared" si="95"/>
        <v>1.6909575013907066</v>
      </c>
    </row>
    <row r="3038" spans="1:11" x14ac:dyDescent="0.3">
      <c r="A3038">
        <v>1053</v>
      </c>
      <c r="B3038">
        <v>2</v>
      </c>
      <c r="C3038">
        <v>26</v>
      </c>
      <c r="D3038" t="str">
        <f>VLOOKUP($C3038,products!$A$1:$F$322,MATCH(order_items!$D$1,products!$A$1:$F$1,0),FALSE)</f>
        <v>Electra Townie Original 7D EQ - 2016</v>
      </c>
      <c r="E3038">
        <f>VLOOKUP($C3038,products!$A$1:$F$322,MATCH(order_items!$E$1,products!$A$1:$F$1,0),FALSE)</f>
        <v>2</v>
      </c>
      <c r="F3038" t="str">
        <f>VLOOKUP($E3038,categories!$A$1:$B$8,MATCH(order_items!$F$1,categories!$A$1:$B$1,0),FALSE)</f>
        <v>Comfort Bicycles</v>
      </c>
      <c r="G3038">
        <v>2</v>
      </c>
      <c r="H3038">
        <v>599.99</v>
      </c>
      <c r="I3038" s="5">
        <v>0.2</v>
      </c>
      <c r="J3038">
        <f t="shared" si="94"/>
        <v>959.98400000000004</v>
      </c>
      <c r="K3038" s="9">
        <f t="shared" si="95"/>
        <v>-0.45297423894164529</v>
      </c>
    </row>
    <row r="3039" spans="1:11" x14ac:dyDescent="0.3">
      <c r="A3039">
        <v>1053</v>
      </c>
      <c r="B3039">
        <v>3</v>
      </c>
      <c r="C3039">
        <v>23</v>
      </c>
      <c r="D3039" t="str">
        <f>VLOOKUP($C3039,products!$A$1:$F$322,MATCH(order_items!$D$1,products!$A$1:$F$1,0),FALSE)</f>
        <v>Electra Girl's Hawaii 1 (20-inch) - 2015/2016</v>
      </c>
      <c r="E3039">
        <f>VLOOKUP($C3039,products!$A$1:$F$322,MATCH(order_items!$E$1,products!$A$1:$F$1,0),FALSE)</f>
        <v>1</v>
      </c>
      <c r="F3039" t="str">
        <f>VLOOKUP($E3039,categories!$A$1:$B$8,MATCH(order_items!$F$1,categories!$A$1:$B$1,0),FALSE)</f>
        <v>Children Bicycles</v>
      </c>
      <c r="G3039">
        <v>2</v>
      </c>
      <c r="H3039">
        <v>299.99</v>
      </c>
      <c r="I3039" s="5">
        <v>0.2</v>
      </c>
      <c r="J3039">
        <f t="shared" si="94"/>
        <v>479.98400000000004</v>
      </c>
      <c r="K3039" s="9">
        <f t="shared" si="95"/>
        <v>-0.67476028104499197</v>
      </c>
    </row>
    <row r="3040" spans="1:11" x14ac:dyDescent="0.3">
      <c r="A3040">
        <v>1053</v>
      </c>
      <c r="B3040">
        <v>4</v>
      </c>
      <c r="C3040">
        <v>68</v>
      </c>
      <c r="D3040" t="str">
        <f>VLOOKUP($C3040,products!$A$1:$F$322,MATCH(order_items!$D$1,products!$A$1:$F$1,0),FALSE)</f>
        <v>Sun Bicycles Cruz 3 - 2017</v>
      </c>
      <c r="E3040">
        <f>VLOOKUP($C3040,products!$A$1:$F$322,MATCH(order_items!$E$1,products!$A$1:$F$1,0),FALSE)</f>
        <v>3</v>
      </c>
      <c r="F3040" t="str">
        <f>VLOOKUP($E3040,categories!$A$1:$B$8,MATCH(order_items!$F$1,categories!$A$1:$B$1,0),FALSE)</f>
        <v>Cruisers Bicycles</v>
      </c>
      <c r="G3040">
        <v>1</v>
      </c>
      <c r="H3040">
        <v>449.99</v>
      </c>
      <c r="I3040" s="5">
        <v>0.1</v>
      </c>
      <c r="J3040">
        <f t="shared" si="94"/>
        <v>404.99100000000004</v>
      </c>
      <c r="K3040" s="9">
        <f t="shared" si="95"/>
        <v>-0.56386725999331866</v>
      </c>
    </row>
    <row r="3041" spans="1:11" x14ac:dyDescent="0.3">
      <c r="A3041">
        <v>1053</v>
      </c>
      <c r="B3041">
        <v>5</v>
      </c>
      <c r="C3041">
        <v>73</v>
      </c>
      <c r="D3041" t="str">
        <f>VLOOKUP($C3041,products!$A$1:$F$322,MATCH(order_items!$D$1,products!$A$1:$F$1,0),FALSE)</f>
        <v>Sun Bicycles Brickell Tandem 7 - 2017</v>
      </c>
      <c r="E3041">
        <f>VLOOKUP($C3041,products!$A$1:$F$322,MATCH(order_items!$E$1,products!$A$1:$F$1,0),FALSE)</f>
        <v>3</v>
      </c>
      <c r="F3041" t="str">
        <f>VLOOKUP($E3041,categories!$A$1:$B$8,MATCH(order_items!$F$1,categories!$A$1:$B$1,0),FALSE)</f>
        <v>Cruisers Bicycles</v>
      </c>
      <c r="G3041">
        <v>2</v>
      </c>
      <c r="H3041">
        <v>749.99</v>
      </c>
      <c r="I3041" s="5">
        <v>0.05</v>
      </c>
      <c r="J3041">
        <f t="shared" si="94"/>
        <v>1424.981</v>
      </c>
      <c r="K3041" s="9">
        <f t="shared" si="95"/>
        <v>-0.34208121788997192</v>
      </c>
    </row>
    <row r="3042" spans="1:11" x14ac:dyDescent="0.3">
      <c r="A3042">
        <v>1054</v>
      </c>
      <c r="B3042">
        <v>1</v>
      </c>
      <c r="C3042">
        <v>36</v>
      </c>
      <c r="D3042" t="str">
        <f>VLOOKUP($C3042,products!$A$1:$F$322,MATCH(order_items!$D$1,products!$A$1:$F$1,0),FALSE)</f>
        <v>Surly Troll Frameset - 2017</v>
      </c>
      <c r="E3042">
        <f>VLOOKUP($C3042,products!$A$1:$F$322,MATCH(order_items!$E$1,products!$A$1:$F$1,0),FALSE)</f>
        <v>6</v>
      </c>
      <c r="F3042" t="str">
        <f>VLOOKUP($E3042,categories!$A$1:$B$8,MATCH(order_items!$F$1,categories!$A$1:$B$1,0),FALSE)</f>
        <v>Mountain Bikes</v>
      </c>
      <c r="G3042">
        <v>2</v>
      </c>
      <c r="H3042">
        <v>832.99</v>
      </c>
      <c r="I3042" s="5">
        <v>0.1</v>
      </c>
      <c r="J3042">
        <f t="shared" si="94"/>
        <v>1499.3820000000001</v>
      </c>
      <c r="K3042" s="9">
        <f t="shared" si="95"/>
        <v>-0.280720412908046</v>
      </c>
    </row>
    <row r="3043" spans="1:11" x14ac:dyDescent="0.3">
      <c r="A3043">
        <v>1054</v>
      </c>
      <c r="B3043">
        <v>2</v>
      </c>
      <c r="C3043">
        <v>16</v>
      </c>
      <c r="D3043" t="str">
        <f>VLOOKUP($C3043,products!$A$1:$F$322,MATCH(order_items!$D$1,products!$A$1:$F$1,0),FALSE)</f>
        <v>Electra Townie Original 7D EQ - 2016</v>
      </c>
      <c r="E3043">
        <f>VLOOKUP($C3043,products!$A$1:$F$322,MATCH(order_items!$E$1,products!$A$1:$F$1,0),FALSE)</f>
        <v>3</v>
      </c>
      <c r="F3043" t="str">
        <f>VLOOKUP($E3043,categories!$A$1:$B$8,MATCH(order_items!$F$1,categories!$A$1:$B$1,0),FALSE)</f>
        <v>Cruisers Bicycles</v>
      </c>
      <c r="G3043">
        <v>1</v>
      </c>
      <c r="H3043">
        <v>599.99</v>
      </c>
      <c r="I3043" s="5">
        <v>0.05</v>
      </c>
      <c r="J3043">
        <f t="shared" si="94"/>
        <v>569.9905</v>
      </c>
      <c r="K3043" s="9">
        <f t="shared" si="95"/>
        <v>-0.45297423894164529</v>
      </c>
    </row>
    <row r="3044" spans="1:11" x14ac:dyDescent="0.3">
      <c r="A3044">
        <v>1055</v>
      </c>
      <c r="B3044">
        <v>1</v>
      </c>
      <c r="C3044">
        <v>43</v>
      </c>
      <c r="D3044" t="str">
        <f>VLOOKUP($C3044,products!$A$1:$F$322,MATCH(order_items!$D$1,products!$A$1:$F$1,0),FALSE)</f>
        <v>Trek Fuel EX 9.8 27.5 Plus - 2017</v>
      </c>
      <c r="E3044">
        <f>VLOOKUP($C3044,products!$A$1:$F$322,MATCH(order_items!$E$1,products!$A$1:$F$1,0),FALSE)</f>
        <v>6</v>
      </c>
      <c r="F3044" t="str">
        <f>VLOOKUP($E3044,categories!$A$1:$B$8,MATCH(order_items!$F$1,categories!$A$1:$B$1,0),FALSE)</f>
        <v>Mountain Bikes</v>
      </c>
      <c r="G3044">
        <v>2</v>
      </c>
      <c r="H3044">
        <v>5299.99</v>
      </c>
      <c r="I3044" s="5">
        <v>7.0000000000000007E-2</v>
      </c>
      <c r="J3044">
        <f t="shared" si="94"/>
        <v>9857.9813999999988</v>
      </c>
      <c r="K3044" s="9">
        <f t="shared" si="95"/>
        <v>3.021673754010787</v>
      </c>
    </row>
    <row r="3045" spans="1:11" x14ac:dyDescent="0.3">
      <c r="A3045">
        <v>1055</v>
      </c>
      <c r="B3045">
        <v>2</v>
      </c>
      <c r="C3045">
        <v>101</v>
      </c>
      <c r="D3045" t="str">
        <f>VLOOKUP($C3045,products!$A$1:$F$322,MATCH(order_items!$D$1,products!$A$1:$F$1,0),FALSE)</f>
        <v>Electra Townie 7D (20-inch) - Boys' - 2017</v>
      </c>
      <c r="E3045">
        <f>VLOOKUP($C3045,products!$A$1:$F$322,MATCH(order_items!$E$1,products!$A$1:$F$1,0),FALSE)</f>
        <v>1</v>
      </c>
      <c r="F3045" t="str">
        <f>VLOOKUP($E3045,categories!$A$1:$B$8,MATCH(order_items!$F$1,categories!$A$1:$B$1,0),FALSE)</f>
        <v>Children Bicycles</v>
      </c>
      <c r="G3045">
        <v>2</v>
      </c>
      <c r="H3045">
        <v>339.99</v>
      </c>
      <c r="I3045" s="5">
        <v>0.2</v>
      </c>
      <c r="J3045">
        <f t="shared" si="94"/>
        <v>543.98400000000004</v>
      </c>
      <c r="K3045" s="9">
        <f t="shared" si="95"/>
        <v>-0.64518880876454576</v>
      </c>
    </row>
    <row r="3046" spans="1:11" x14ac:dyDescent="0.3">
      <c r="A3046">
        <v>1055</v>
      </c>
      <c r="B3046">
        <v>3</v>
      </c>
      <c r="C3046">
        <v>12</v>
      </c>
      <c r="D3046" t="str">
        <f>VLOOKUP($C3046,products!$A$1:$F$322,MATCH(order_items!$D$1,products!$A$1:$F$1,0),FALSE)</f>
        <v>Electra Townie Original 21D - 2016</v>
      </c>
      <c r="E3046">
        <f>VLOOKUP($C3046,products!$A$1:$F$322,MATCH(order_items!$E$1,products!$A$1:$F$1,0),FALSE)</f>
        <v>3</v>
      </c>
      <c r="F3046" t="str">
        <f>VLOOKUP($E3046,categories!$A$1:$B$8,MATCH(order_items!$F$1,categories!$A$1:$B$1,0),FALSE)</f>
        <v>Cruisers Bicycles</v>
      </c>
      <c r="G3046">
        <v>2</v>
      </c>
      <c r="H3046">
        <v>549.99</v>
      </c>
      <c r="I3046" s="5">
        <v>0.1</v>
      </c>
      <c r="J3046">
        <f t="shared" si="94"/>
        <v>989.98200000000008</v>
      </c>
      <c r="K3046" s="9">
        <f t="shared" si="95"/>
        <v>-0.48993857929220308</v>
      </c>
    </row>
    <row r="3047" spans="1:11" x14ac:dyDescent="0.3">
      <c r="A3047">
        <v>1055</v>
      </c>
      <c r="B3047">
        <v>4</v>
      </c>
      <c r="C3047">
        <v>83</v>
      </c>
      <c r="D3047" t="str">
        <f>VLOOKUP($C3047,products!$A$1:$F$322,MATCH(order_items!$D$1,products!$A$1:$F$1,0),FALSE)</f>
        <v>Trek Boy's Kickster - 2015/2017</v>
      </c>
      <c r="E3047">
        <f>VLOOKUP($C3047,products!$A$1:$F$322,MATCH(order_items!$E$1,products!$A$1:$F$1,0),FALSE)</f>
        <v>1</v>
      </c>
      <c r="F3047" t="str">
        <f>VLOOKUP($E3047,categories!$A$1:$B$8,MATCH(order_items!$F$1,categories!$A$1:$B$1,0),FALSE)</f>
        <v>Children Bicycles</v>
      </c>
      <c r="G3047">
        <v>2</v>
      </c>
      <c r="H3047">
        <v>149.99</v>
      </c>
      <c r="I3047" s="5">
        <v>0.1</v>
      </c>
      <c r="J3047">
        <f t="shared" si="94"/>
        <v>269.98200000000003</v>
      </c>
      <c r="K3047" s="9">
        <f t="shared" si="95"/>
        <v>-0.7856533020966654</v>
      </c>
    </row>
    <row r="3048" spans="1:11" x14ac:dyDescent="0.3">
      <c r="A3048">
        <v>1055</v>
      </c>
      <c r="B3048">
        <v>5</v>
      </c>
      <c r="C3048">
        <v>60</v>
      </c>
      <c r="D3048" t="str">
        <f>VLOOKUP($C3048,products!$A$1:$F$322,MATCH(order_items!$D$1,products!$A$1:$F$1,0),FALSE)</f>
        <v>Sun Bicycles ElectroLite - 2017</v>
      </c>
      <c r="E3048">
        <f>VLOOKUP($C3048,products!$A$1:$F$322,MATCH(order_items!$E$1,products!$A$1:$F$1,0),FALSE)</f>
        <v>5</v>
      </c>
      <c r="F3048" t="str">
        <f>VLOOKUP($E3048,categories!$A$1:$B$8,MATCH(order_items!$F$1,categories!$A$1:$B$1,0),FALSE)</f>
        <v>Electric Bikes</v>
      </c>
      <c r="G3048">
        <v>1</v>
      </c>
      <c r="H3048">
        <v>1559.99</v>
      </c>
      <c r="I3048" s="5">
        <v>0.2</v>
      </c>
      <c r="J3048">
        <f t="shared" si="94"/>
        <v>1247.9920000000002</v>
      </c>
      <c r="K3048" s="9">
        <f t="shared" si="95"/>
        <v>0.25674109578906423</v>
      </c>
    </row>
    <row r="3049" spans="1:11" x14ac:dyDescent="0.3">
      <c r="A3049">
        <v>1056</v>
      </c>
      <c r="B3049">
        <v>1</v>
      </c>
      <c r="C3049">
        <v>3</v>
      </c>
      <c r="D3049" t="str">
        <f>VLOOKUP($C3049,products!$A$1:$F$322,MATCH(order_items!$D$1,products!$A$1:$F$1,0),FALSE)</f>
        <v>Surly Wednesday Frameset - 2016</v>
      </c>
      <c r="E3049">
        <f>VLOOKUP($C3049,products!$A$1:$F$322,MATCH(order_items!$E$1,products!$A$1:$F$1,0),FALSE)</f>
        <v>6</v>
      </c>
      <c r="F3049" t="str">
        <f>VLOOKUP($E3049,categories!$A$1:$B$8,MATCH(order_items!$F$1,categories!$A$1:$B$1,0),FALSE)</f>
        <v>Mountain Bikes</v>
      </c>
      <c r="G3049">
        <v>1</v>
      </c>
      <c r="H3049">
        <v>999.99</v>
      </c>
      <c r="I3049" s="5">
        <v>0.05</v>
      </c>
      <c r="J3049">
        <f t="shared" si="94"/>
        <v>949.9905</v>
      </c>
      <c r="K3049" s="9">
        <f t="shared" si="95"/>
        <v>-0.15725951613718298</v>
      </c>
    </row>
    <row r="3050" spans="1:11" x14ac:dyDescent="0.3">
      <c r="A3050">
        <v>1057</v>
      </c>
      <c r="B3050">
        <v>1</v>
      </c>
      <c r="C3050">
        <v>105</v>
      </c>
      <c r="D3050" t="str">
        <f>VLOOKUP($C3050,products!$A$1:$F$322,MATCH(order_items!$D$1,products!$A$1:$F$1,0),FALSE)</f>
        <v>Sun Bicycles Streamway 7 - 2017</v>
      </c>
      <c r="E3050">
        <f>VLOOKUP($C3050,products!$A$1:$F$322,MATCH(order_items!$E$1,products!$A$1:$F$1,0),FALSE)</f>
        <v>2</v>
      </c>
      <c r="F3050" t="str">
        <f>VLOOKUP($E3050,categories!$A$1:$B$8,MATCH(order_items!$F$1,categories!$A$1:$B$1,0),FALSE)</f>
        <v>Comfort Bicycles</v>
      </c>
      <c r="G3050">
        <v>1</v>
      </c>
      <c r="H3050">
        <v>533.99</v>
      </c>
      <c r="I3050" s="5">
        <v>0.2</v>
      </c>
      <c r="J3050">
        <f t="shared" si="94"/>
        <v>427.19200000000001</v>
      </c>
      <c r="K3050" s="9">
        <f t="shared" si="95"/>
        <v>-0.50176716820438161</v>
      </c>
    </row>
    <row r="3051" spans="1:11" x14ac:dyDescent="0.3">
      <c r="A3051">
        <v>1057</v>
      </c>
      <c r="B3051">
        <v>2</v>
      </c>
      <c r="C3051">
        <v>97</v>
      </c>
      <c r="D3051" t="str">
        <f>VLOOKUP($C3051,products!$A$1:$F$322,MATCH(order_items!$D$1,products!$A$1:$F$1,0),FALSE)</f>
        <v>Electra Savannah 3i (20-inch) - Girl's - 2017</v>
      </c>
      <c r="E3051">
        <f>VLOOKUP($C3051,products!$A$1:$F$322,MATCH(order_items!$E$1,products!$A$1:$F$1,0),FALSE)</f>
        <v>1</v>
      </c>
      <c r="F3051" t="str">
        <f>VLOOKUP($E3051,categories!$A$1:$B$8,MATCH(order_items!$F$1,categories!$A$1:$B$1,0),FALSE)</f>
        <v>Children Bicycles</v>
      </c>
      <c r="G3051">
        <v>1</v>
      </c>
      <c r="H3051">
        <v>349.99</v>
      </c>
      <c r="I3051" s="5">
        <v>0.05</v>
      </c>
      <c r="J3051">
        <f t="shared" si="94"/>
        <v>332.4905</v>
      </c>
      <c r="K3051" s="9">
        <f t="shared" si="95"/>
        <v>-0.63779594069443424</v>
      </c>
    </row>
    <row r="3052" spans="1:11" x14ac:dyDescent="0.3">
      <c r="A3052">
        <v>1057</v>
      </c>
      <c r="B3052">
        <v>3</v>
      </c>
      <c r="C3052">
        <v>98</v>
      </c>
      <c r="D3052" t="str">
        <f>VLOOKUP($C3052,products!$A$1:$F$322,MATCH(order_items!$D$1,products!$A$1:$F$1,0),FALSE)</f>
        <v>Electra Straight 8 3i (20-inch) - Boy's - 2017</v>
      </c>
      <c r="E3052">
        <f>VLOOKUP($C3052,products!$A$1:$F$322,MATCH(order_items!$E$1,products!$A$1:$F$1,0),FALSE)</f>
        <v>1</v>
      </c>
      <c r="F3052" t="str">
        <f>VLOOKUP($E3052,categories!$A$1:$B$8,MATCH(order_items!$F$1,categories!$A$1:$B$1,0),FALSE)</f>
        <v>Children Bicycles</v>
      </c>
      <c r="G3052">
        <v>2</v>
      </c>
      <c r="H3052">
        <v>489.99</v>
      </c>
      <c r="I3052" s="5">
        <v>0.05</v>
      </c>
      <c r="J3052">
        <f t="shared" si="94"/>
        <v>930.98099999999999</v>
      </c>
      <c r="K3052" s="9">
        <f t="shared" si="95"/>
        <v>-0.53429578771287245</v>
      </c>
    </row>
    <row r="3053" spans="1:11" x14ac:dyDescent="0.3">
      <c r="A3053">
        <v>1058</v>
      </c>
      <c r="B3053">
        <v>1</v>
      </c>
      <c r="C3053">
        <v>43</v>
      </c>
      <c r="D3053" t="str">
        <f>VLOOKUP($C3053,products!$A$1:$F$322,MATCH(order_items!$D$1,products!$A$1:$F$1,0),FALSE)</f>
        <v>Trek Fuel EX 9.8 27.5 Plus - 2017</v>
      </c>
      <c r="E3053">
        <f>VLOOKUP($C3053,products!$A$1:$F$322,MATCH(order_items!$E$1,products!$A$1:$F$1,0),FALSE)</f>
        <v>6</v>
      </c>
      <c r="F3053" t="str">
        <f>VLOOKUP($E3053,categories!$A$1:$B$8,MATCH(order_items!$F$1,categories!$A$1:$B$1,0),FALSE)</f>
        <v>Mountain Bikes</v>
      </c>
      <c r="G3053">
        <v>1</v>
      </c>
      <c r="H3053">
        <v>5299.99</v>
      </c>
      <c r="I3053" s="5">
        <v>0.1</v>
      </c>
      <c r="J3053">
        <f t="shared" si="94"/>
        <v>4769.991</v>
      </c>
      <c r="K3053" s="9">
        <f t="shared" si="95"/>
        <v>3.021673754010787</v>
      </c>
    </row>
    <row r="3054" spans="1:11" x14ac:dyDescent="0.3">
      <c r="A3054">
        <v>1058</v>
      </c>
      <c r="B3054">
        <v>2</v>
      </c>
      <c r="C3054">
        <v>29</v>
      </c>
      <c r="D3054" t="str">
        <f>VLOOKUP($C3054,products!$A$1:$F$322,MATCH(order_items!$D$1,products!$A$1:$F$1,0),FALSE)</f>
        <v>Trek X-Caliber 8 - 2017</v>
      </c>
      <c r="E3054">
        <f>VLOOKUP($C3054,products!$A$1:$F$322,MATCH(order_items!$E$1,products!$A$1:$F$1,0),FALSE)</f>
        <v>6</v>
      </c>
      <c r="F3054" t="str">
        <f>VLOOKUP($E3054,categories!$A$1:$B$8,MATCH(order_items!$F$1,categories!$A$1:$B$1,0),FALSE)</f>
        <v>Mountain Bikes</v>
      </c>
      <c r="G3054">
        <v>2</v>
      </c>
      <c r="H3054">
        <v>999.99</v>
      </c>
      <c r="I3054" s="5">
        <v>0.05</v>
      </c>
      <c r="J3054">
        <f t="shared" si="94"/>
        <v>1899.981</v>
      </c>
      <c r="K3054" s="9">
        <f t="shared" si="95"/>
        <v>-0.15725951613718298</v>
      </c>
    </row>
    <row r="3055" spans="1:11" x14ac:dyDescent="0.3">
      <c r="A3055">
        <v>1058</v>
      </c>
      <c r="B3055">
        <v>3</v>
      </c>
      <c r="C3055">
        <v>103</v>
      </c>
      <c r="D3055" t="str">
        <f>VLOOKUP($C3055,products!$A$1:$F$322,MATCH(order_items!$D$1,products!$A$1:$F$1,0),FALSE)</f>
        <v>Sun Bicycles Streamway 3 - 2017</v>
      </c>
      <c r="E3055">
        <f>VLOOKUP($C3055,products!$A$1:$F$322,MATCH(order_items!$E$1,products!$A$1:$F$1,0),FALSE)</f>
        <v>2</v>
      </c>
      <c r="F3055" t="str">
        <f>VLOOKUP($E3055,categories!$A$1:$B$8,MATCH(order_items!$F$1,categories!$A$1:$B$1,0),FALSE)</f>
        <v>Comfort Bicycles</v>
      </c>
      <c r="G3055">
        <v>1</v>
      </c>
      <c r="H3055">
        <v>551.99</v>
      </c>
      <c r="I3055" s="5">
        <v>7.0000000000000007E-2</v>
      </c>
      <c r="J3055">
        <f t="shared" si="94"/>
        <v>513.35069999999996</v>
      </c>
      <c r="K3055" s="9">
        <f t="shared" si="95"/>
        <v>-0.48846000567818076</v>
      </c>
    </row>
    <row r="3056" spans="1:11" x14ac:dyDescent="0.3">
      <c r="A3056">
        <v>1059</v>
      </c>
      <c r="B3056">
        <v>1</v>
      </c>
      <c r="C3056">
        <v>46</v>
      </c>
      <c r="D3056" t="str">
        <f>VLOOKUP($C3056,products!$A$1:$F$322,MATCH(order_items!$D$1,products!$A$1:$F$1,0),FALSE)</f>
        <v>Haro SR 1.3 - 2017</v>
      </c>
      <c r="E3056">
        <f>VLOOKUP($C3056,products!$A$1:$F$322,MATCH(order_items!$E$1,products!$A$1:$F$1,0),FALSE)</f>
        <v>6</v>
      </c>
      <c r="F3056" t="str">
        <f>VLOOKUP($E3056,categories!$A$1:$B$8,MATCH(order_items!$F$1,categories!$A$1:$B$1,0),FALSE)</f>
        <v>Mountain Bikes</v>
      </c>
      <c r="G3056">
        <v>2</v>
      </c>
      <c r="H3056">
        <v>1409.99</v>
      </c>
      <c r="I3056" s="5">
        <v>0.05</v>
      </c>
      <c r="J3056">
        <f t="shared" si="94"/>
        <v>2678.9809999999998</v>
      </c>
      <c r="K3056" s="9">
        <f t="shared" si="95"/>
        <v>0.14584807473739089</v>
      </c>
    </row>
    <row r="3057" spans="1:11" x14ac:dyDescent="0.3">
      <c r="A3057">
        <v>1059</v>
      </c>
      <c r="B3057">
        <v>2</v>
      </c>
      <c r="C3057">
        <v>7</v>
      </c>
      <c r="D3057" t="str">
        <f>VLOOKUP($C3057,products!$A$1:$F$322,MATCH(order_items!$D$1,products!$A$1:$F$1,0),FALSE)</f>
        <v>Trek Slash 8 27.5 - 2016</v>
      </c>
      <c r="E3057">
        <f>VLOOKUP($C3057,products!$A$1:$F$322,MATCH(order_items!$E$1,products!$A$1:$F$1,0),FALSE)</f>
        <v>6</v>
      </c>
      <c r="F3057" t="str">
        <f>VLOOKUP($E3057,categories!$A$1:$B$8,MATCH(order_items!$F$1,categories!$A$1:$B$1,0),FALSE)</f>
        <v>Mountain Bikes</v>
      </c>
      <c r="G3057">
        <v>1</v>
      </c>
      <c r="H3057">
        <v>3999.99</v>
      </c>
      <c r="I3057" s="5">
        <v>0.1</v>
      </c>
      <c r="J3057">
        <f t="shared" si="94"/>
        <v>3599.991</v>
      </c>
      <c r="K3057" s="9">
        <f t="shared" si="95"/>
        <v>2.0606009048962846</v>
      </c>
    </row>
    <row r="3058" spans="1:11" x14ac:dyDescent="0.3">
      <c r="A3058">
        <v>1059</v>
      </c>
      <c r="B3058">
        <v>3</v>
      </c>
      <c r="C3058">
        <v>13</v>
      </c>
      <c r="D3058" t="str">
        <f>VLOOKUP($C3058,products!$A$1:$F$322,MATCH(order_items!$D$1,products!$A$1:$F$1,0),FALSE)</f>
        <v>Electra Cruiser 1 (24-Inch) - 2016</v>
      </c>
      <c r="E3058">
        <f>VLOOKUP($C3058,products!$A$1:$F$322,MATCH(order_items!$E$1,products!$A$1:$F$1,0),FALSE)</f>
        <v>3</v>
      </c>
      <c r="F3058" t="str">
        <f>VLOOKUP($E3058,categories!$A$1:$B$8,MATCH(order_items!$F$1,categories!$A$1:$B$1,0),FALSE)</f>
        <v>Cruisers Bicycles</v>
      </c>
      <c r="G3058">
        <v>1</v>
      </c>
      <c r="H3058">
        <v>269.99</v>
      </c>
      <c r="I3058" s="5">
        <v>7.0000000000000007E-2</v>
      </c>
      <c r="J3058">
        <f t="shared" si="94"/>
        <v>251.0907</v>
      </c>
      <c r="K3058" s="9">
        <f t="shared" si="95"/>
        <v>-0.69693888525532666</v>
      </c>
    </row>
    <row r="3059" spans="1:11" x14ac:dyDescent="0.3">
      <c r="A3059">
        <v>1060</v>
      </c>
      <c r="B3059">
        <v>1</v>
      </c>
      <c r="C3059">
        <v>7</v>
      </c>
      <c r="D3059" t="str">
        <f>VLOOKUP($C3059,products!$A$1:$F$322,MATCH(order_items!$D$1,products!$A$1:$F$1,0),FALSE)</f>
        <v>Trek Slash 8 27.5 - 2016</v>
      </c>
      <c r="E3059">
        <f>VLOOKUP($C3059,products!$A$1:$F$322,MATCH(order_items!$E$1,products!$A$1:$F$1,0),FALSE)</f>
        <v>6</v>
      </c>
      <c r="F3059" t="str">
        <f>VLOOKUP($E3059,categories!$A$1:$B$8,MATCH(order_items!$F$1,categories!$A$1:$B$1,0),FALSE)</f>
        <v>Mountain Bikes</v>
      </c>
      <c r="G3059">
        <v>1</v>
      </c>
      <c r="H3059">
        <v>3999.99</v>
      </c>
      <c r="I3059" s="5">
        <v>7.0000000000000007E-2</v>
      </c>
      <c r="J3059">
        <f t="shared" si="94"/>
        <v>3719.9906999999994</v>
      </c>
      <c r="K3059" s="9">
        <f t="shared" si="95"/>
        <v>2.0606009048962846</v>
      </c>
    </row>
    <row r="3060" spans="1:11" x14ac:dyDescent="0.3">
      <c r="A3060">
        <v>1060</v>
      </c>
      <c r="B3060">
        <v>2</v>
      </c>
      <c r="C3060">
        <v>11</v>
      </c>
      <c r="D3060" t="str">
        <f>VLOOKUP($C3060,products!$A$1:$F$322,MATCH(order_items!$D$1,products!$A$1:$F$1,0),FALSE)</f>
        <v>Surly Straggler 650b - 2016</v>
      </c>
      <c r="E3060">
        <f>VLOOKUP($C3060,products!$A$1:$F$322,MATCH(order_items!$E$1,products!$A$1:$F$1,0),FALSE)</f>
        <v>4</v>
      </c>
      <c r="F3060" t="str">
        <f>VLOOKUP($E3060,categories!$A$1:$B$8,MATCH(order_items!$F$1,categories!$A$1:$B$1,0),FALSE)</f>
        <v>Cyclocross Bicycles</v>
      </c>
      <c r="G3060">
        <v>2</v>
      </c>
      <c r="H3060">
        <v>1680.99</v>
      </c>
      <c r="I3060" s="5">
        <v>7.0000000000000007E-2</v>
      </c>
      <c r="J3060">
        <f t="shared" si="94"/>
        <v>3126.6414</v>
      </c>
      <c r="K3060" s="9">
        <f t="shared" si="95"/>
        <v>0.3461947994374141</v>
      </c>
    </row>
    <row r="3061" spans="1:11" x14ac:dyDescent="0.3">
      <c r="A3061">
        <v>1060</v>
      </c>
      <c r="B3061">
        <v>3</v>
      </c>
      <c r="C3061">
        <v>61</v>
      </c>
      <c r="D3061" t="str">
        <f>VLOOKUP($C3061,products!$A$1:$F$322,MATCH(order_items!$D$1,products!$A$1:$F$1,0),FALSE)</f>
        <v>Trek Powerfly 8 FS Plus - 2017</v>
      </c>
      <c r="E3061">
        <f>VLOOKUP($C3061,products!$A$1:$F$322,MATCH(order_items!$E$1,products!$A$1:$F$1,0),FALSE)</f>
        <v>5</v>
      </c>
      <c r="F3061" t="str">
        <f>VLOOKUP($E3061,categories!$A$1:$B$8,MATCH(order_items!$F$1,categories!$A$1:$B$1,0),FALSE)</f>
        <v>Electric Bikes</v>
      </c>
      <c r="G3061">
        <v>2</v>
      </c>
      <c r="H3061">
        <v>4999.99</v>
      </c>
      <c r="I3061" s="5">
        <v>0.1</v>
      </c>
      <c r="J3061">
        <f t="shared" si="94"/>
        <v>8999.982</v>
      </c>
      <c r="K3061" s="9">
        <f t="shared" si="95"/>
        <v>2.7998877119074401</v>
      </c>
    </row>
    <row r="3062" spans="1:11" x14ac:dyDescent="0.3">
      <c r="A3062">
        <v>1060</v>
      </c>
      <c r="B3062">
        <v>4</v>
      </c>
      <c r="C3062">
        <v>30</v>
      </c>
      <c r="D3062" t="str">
        <f>VLOOKUP($C3062,products!$A$1:$F$322,MATCH(order_items!$D$1,products!$A$1:$F$1,0),FALSE)</f>
        <v>Surly Ice Cream Truck Frameset - 2017</v>
      </c>
      <c r="E3062">
        <f>VLOOKUP($C3062,products!$A$1:$F$322,MATCH(order_items!$E$1,products!$A$1:$F$1,0),FALSE)</f>
        <v>6</v>
      </c>
      <c r="F3062" t="str">
        <f>VLOOKUP($E3062,categories!$A$1:$B$8,MATCH(order_items!$F$1,categories!$A$1:$B$1,0),FALSE)</f>
        <v>Mountain Bikes</v>
      </c>
      <c r="G3062">
        <v>2</v>
      </c>
      <c r="H3062">
        <v>999.99</v>
      </c>
      <c r="I3062" s="5">
        <v>0.05</v>
      </c>
      <c r="J3062">
        <f t="shared" si="94"/>
        <v>1899.981</v>
      </c>
      <c r="K3062" s="9">
        <f t="shared" si="95"/>
        <v>-0.15725951613718298</v>
      </c>
    </row>
    <row r="3063" spans="1:11" x14ac:dyDescent="0.3">
      <c r="A3063">
        <v>1061</v>
      </c>
      <c r="B3063">
        <v>1</v>
      </c>
      <c r="C3063">
        <v>14</v>
      </c>
      <c r="D3063" t="str">
        <f>VLOOKUP($C3063,products!$A$1:$F$322,MATCH(order_items!$D$1,products!$A$1:$F$1,0),FALSE)</f>
        <v>Electra Girl's Hawaii 1 (16-inch) - 2015/2016</v>
      </c>
      <c r="E3063">
        <f>VLOOKUP($C3063,products!$A$1:$F$322,MATCH(order_items!$E$1,products!$A$1:$F$1,0),FALSE)</f>
        <v>3</v>
      </c>
      <c r="F3063" t="str">
        <f>VLOOKUP($E3063,categories!$A$1:$B$8,MATCH(order_items!$F$1,categories!$A$1:$B$1,0),FALSE)</f>
        <v>Cruisers Bicycles</v>
      </c>
      <c r="G3063">
        <v>1</v>
      </c>
      <c r="H3063">
        <v>269.99</v>
      </c>
      <c r="I3063" s="5">
        <v>7.0000000000000007E-2</v>
      </c>
      <c r="J3063">
        <f t="shared" si="94"/>
        <v>251.0907</v>
      </c>
      <c r="K3063" s="9">
        <f t="shared" si="95"/>
        <v>-0.69693888525532666</v>
      </c>
    </row>
    <row r="3064" spans="1:11" x14ac:dyDescent="0.3">
      <c r="A3064">
        <v>1061</v>
      </c>
      <c r="B3064">
        <v>2</v>
      </c>
      <c r="C3064">
        <v>19</v>
      </c>
      <c r="D3064" t="str">
        <f>VLOOKUP($C3064,products!$A$1:$F$322,MATCH(order_items!$D$1,products!$A$1:$F$1,0),FALSE)</f>
        <v>Pure Cycles William 3-Speed - 2016</v>
      </c>
      <c r="E3064">
        <f>VLOOKUP($C3064,products!$A$1:$F$322,MATCH(order_items!$E$1,products!$A$1:$F$1,0),FALSE)</f>
        <v>3</v>
      </c>
      <c r="F3064" t="str">
        <f>VLOOKUP($E3064,categories!$A$1:$B$8,MATCH(order_items!$F$1,categories!$A$1:$B$1,0),FALSE)</f>
        <v>Cruisers Bicycles</v>
      </c>
      <c r="G3064">
        <v>1</v>
      </c>
      <c r="H3064">
        <v>449</v>
      </c>
      <c r="I3064" s="5">
        <v>0.1</v>
      </c>
      <c r="J3064">
        <f t="shared" si="94"/>
        <v>404.1</v>
      </c>
      <c r="K3064" s="9">
        <f t="shared" si="95"/>
        <v>-0.56459915393225968</v>
      </c>
    </row>
    <row r="3065" spans="1:11" x14ac:dyDescent="0.3">
      <c r="A3065">
        <v>1062</v>
      </c>
      <c r="B3065">
        <v>1</v>
      </c>
      <c r="C3065">
        <v>13</v>
      </c>
      <c r="D3065" t="str">
        <f>VLOOKUP($C3065,products!$A$1:$F$322,MATCH(order_items!$D$1,products!$A$1:$F$1,0),FALSE)</f>
        <v>Electra Cruiser 1 (24-Inch) - 2016</v>
      </c>
      <c r="E3065">
        <f>VLOOKUP($C3065,products!$A$1:$F$322,MATCH(order_items!$E$1,products!$A$1:$F$1,0),FALSE)</f>
        <v>3</v>
      </c>
      <c r="F3065" t="str">
        <f>VLOOKUP($E3065,categories!$A$1:$B$8,MATCH(order_items!$F$1,categories!$A$1:$B$1,0),FALSE)</f>
        <v>Cruisers Bicycles</v>
      </c>
      <c r="G3065">
        <v>1</v>
      </c>
      <c r="H3065">
        <v>269.99</v>
      </c>
      <c r="I3065" s="5">
        <v>0.05</v>
      </c>
      <c r="J3065">
        <f t="shared" si="94"/>
        <v>256.4905</v>
      </c>
      <c r="K3065" s="9">
        <f t="shared" si="95"/>
        <v>-0.69693888525532666</v>
      </c>
    </row>
    <row r="3066" spans="1:11" x14ac:dyDescent="0.3">
      <c r="A3066">
        <v>1062</v>
      </c>
      <c r="B3066">
        <v>2</v>
      </c>
      <c r="C3066">
        <v>111</v>
      </c>
      <c r="D3066" t="str">
        <f>VLOOKUP($C3066,products!$A$1:$F$322,MATCH(order_items!$D$1,products!$A$1:$F$1,0),FALSE)</f>
        <v>Sun Bicycles Drifter 7 - Women's - 2017</v>
      </c>
      <c r="E3066">
        <f>VLOOKUP($C3066,products!$A$1:$F$322,MATCH(order_items!$E$1,products!$A$1:$F$1,0),FALSE)</f>
        <v>2</v>
      </c>
      <c r="F3066" t="str">
        <f>VLOOKUP($E3066,categories!$A$1:$B$8,MATCH(order_items!$F$1,categories!$A$1:$B$1,0),FALSE)</f>
        <v>Comfort Bicycles</v>
      </c>
      <c r="G3066">
        <v>2</v>
      </c>
      <c r="H3066">
        <v>470.99</v>
      </c>
      <c r="I3066" s="5">
        <v>0.2</v>
      </c>
      <c r="J3066">
        <f t="shared" si="94"/>
        <v>753.58400000000006</v>
      </c>
      <c r="K3066" s="9">
        <f t="shared" si="95"/>
        <v>-0.54834223704608442</v>
      </c>
    </row>
    <row r="3067" spans="1:11" x14ac:dyDescent="0.3">
      <c r="A3067">
        <v>1062</v>
      </c>
      <c r="B3067">
        <v>3</v>
      </c>
      <c r="C3067">
        <v>5</v>
      </c>
      <c r="D3067" t="str">
        <f>VLOOKUP($C3067,products!$A$1:$F$322,MATCH(order_items!$D$1,products!$A$1:$F$1,0),FALSE)</f>
        <v>Heller Shagamaw Frame - 2016</v>
      </c>
      <c r="E3067">
        <f>VLOOKUP($C3067,products!$A$1:$F$322,MATCH(order_items!$E$1,products!$A$1:$F$1,0),FALSE)</f>
        <v>6</v>
      </c>
      <c r="F3067" t="str">
        <f>VLOOKUP($E3067,categories!$A$1:$B$8,MATCH(order_items!$F$1,categories!$A$1:$B$1,0),FALSE)</f>
        <v>Mountain Bikes</v>
      </c>
      <c r="G3067">
        <v>1</v>
      </c>
      <c r="H3067">
        <v>1320.99</v>
      </c>
      <c r="I3067" s="5">
        <v>0.05</v>
      </c>
      <c r="J3067">
        <f t="shared" si="94"/>
        <v>1254.9404999999999</v>
      </c>
      <c r="K3067" s="9">
        <f t="shared" si="95"/>
        <v>8.0051548913398024E-2</v>
      </c>
    </row>
    <row r="3068" spans="1:11" x14ac:dyDescent="0.3">
      <c r="A3068">
        <v>1062</v>
      </c>
      <c r="B3068">
        <v>4</v>
      </c>
      <c r="C3068">
        <v>12</v>
      </c>
      <c r="D3068" t="str">
        <f>VLOOKUP($C3068,products!$A$1:$F$322,MATCH(order_items!$D$1,products!$A$1:$F$1,0),FALSE)</f>
        <v>Electra Townie Original 21D - 2016</v>
      </c>
      <c r="E3068">
        <f>VLOOKUP($C3068,products!$A$1:$F$322,MATCH(order_items!$E$1,products!$A$1:$F$1,0),FALSE)</f>
        <v>3</v>
      </c>
      <c r="F3068" t="str">
        <f>VLOOKUP($E3068,categories!$A$1:$B$8,MATCH(order_items!$F$1,categories!$A$1:$B$1,0),FALSE)</f>
        <v>Cruisers Bicycles</v>
      </c>
      <c r="G3068">
        <v>1</v>
      </c>
      <c r="H3068">
        <v>549.99</v>
      </c>
      <c r="I3068" s="5">
        <v>0.2</v>
      </c>
      <c r="J3068">
        <f t="shared" si="94"/>
        <v>439.99200000000002</v>
      </c>
      <c r="K3068" s="9">
        <f t="shared" si="95"/>
        <v>-0.48993857929220308</v>
      </c>
    </row>
    <row r="3069" spans="1:11" x14ac:dyDescent="0.3">
      <c r="A3069">
        <v>1063</v>
      </c>
      <c r="B3069">
        <v>1</v>
      </c>
      <c r="C3069">
        <v>33</v>
      </c>
      <c r="D3069" t="str">
        <f>VLOOKUP($C3069,products!$A$1:$F$322,MATCH(order_items!$D$1,products!$A$1:$F$1,0),FALSE)</f>
        <v>Surly Wednesday Frameset - 2017</v>
      </c>
      <c r="E3069">
        <f>VLOOKUP($C3069,products!$A$1:$F$322,MATCH(order_items!$E$1,products!$A$1:$F$1,0),FALSE)</f>
        <v>6</v>
      </c>
      <c r="F3069" t="str">
        <f>VLOOKUP($E3069,categories!$A$1:$B$8,MATCH(order_items!$F$1,categories!$A$1:$B$1,0),FALSE)</f>
        <v>Mountain Bikes</v>
      </c>
      <c r="G3069">
        <v>2</v>
      </c>
      <c r="H3069">
        <v>469.99</v>
      </c>
      <c r="I3069" s="5">
        <v>0.1</v>
      </c>
      <c r="J3069">
        <f t="shared" si="94"/>
        <v>845.98200000000008</v>
      </c>
      <c r="K3069" s="9">
        <f t="shared" si="95"/>
        <v>-0.5490815238530955</v>
      </c>
    </row>
    <row r="3070" spans="1:11" x14ac:dyDescent="0.3">
      <c r="A3070">
        <v>1063</v>
      </c>
      <c r="B3070">
        <v>2</v>
      </c>
      <c r="C3070">
        <v>100</v>
      </c>
      <c r="D3070" t="str">
        <f>VLOOKUP($C3070,products!$A$1:$F$322,MATCH(order_items!$D$1,products!$A$1:$F$1,0),FALSE)</f>
        <v>Electra Townie 3i EQ (20-inch) - Boys' - 2017</v>
      </c>
      <c r="E3070">
        <f>VLOOKUP($C3070,products!$A$1:$F$322,MATCH(order_items!$E$1,products!$A$1:$F$1,0),FALSE)</f>
        <v>1</v>
      </c>
      <c r="F3070" t="str">
        <f>VLOOKUP($E3070,categories!$A$1:$B$8,MATCH(order_items!$F$1,categories!$A$1:$B$1,0),FALSE)</f>
        <v>Children Bicycles</v>
      </c>
      <c r="G3070">
        <v>2</v>
      </c>
      <c r="H3070">
        <v>489.99</v>
      </c>
      <c r="I3070" s="5">
        <v>7.0000000000000007E-2</v>
      </c>
      <c r="J3070">
        <f t="shared" si="94"/>
        <v>911.38139999999999</v>
      </c>
      <c r="K3070" s="9">
        <f t="shared" si="95"/>
        <v>-0.53429578771287245</v>
      </c>
    </row>
    <row r="3071" spans="1:11" x14ac:dyDescent="0.3">
      <c r="A3071">
        <v>1063</v>
      </c>
      <c r="B3071">
        <v>3</v>
      </c>
      <c r="C3071">
        <v>72</v>
      </c>
      <c r="D3071" t="str">
        <f>VLOOKUP($C3071,products!$A$1:$F$322,MATCH(order_items!$D$1,products!$A$1:$F$1,0),FALSE)</f>
        <v>Sun Bicycles Biscayne Tandem 7 - 2017</v>
      </c>
      <c r="E3071">
        <f>VLOOKUP($C3071,products!$A$1:$F$322,MATCH(order_items!$E$1,products!$A$1:$F$1,0),FALSE)</f>
        <v>3</v>
      </c>
      <c r="F3071" t="str">
        <f>VLOOKUP($E3071,categories!$A$1:$B$8,MATCH(order_items!$F$1,categories!$A$1:$B$1,0),FALSE)</f>
        <v>Cruisers Bicycles</v>
      </c>
      <c r="G3071">
        <v>2</v>
      </c>
      <c r="H3071">
        <v>619.99</v>
      </c>
      <c r="I3071" s="5">
        <v>0.2</v>
      </c>
      <c r="J3071">
        <f t="shared" si="94"/>
        <v>991.98400000000004</v>
      </c>
      <c r="K3071" s="9">
        <f t="shared" si="95"/>
        <v>-0.43818850280142219</v>
      </c>
    </row>
    <row r="3072" spans="1:11" x14ac:dyDescent="0.3">
      <c r="A3072">
        <v>1064</v>
      </c>
      <c r="B3072">
        <v>1</v>
      </c>
      <c r="C3072">
        <v>18</v>
      </c>
      <c r="D3072" t="str">
        <f>VLOOKUP($C3072,products!$A$1:$F$322,MATCH(order_items!$D$1,products!$A$1:$F$1,0),FALSE)</f>
        <v>Pure Cycles Western 3-Speed - Women's - 2015/2016</v>
      </c>
      <c r="E3072">
        <f>VLOOKUP($C3072,products!$A$1:$F$322,MATCH(order_items!$E$1,products!$A$1:$F$1,0),FALSE)</f>
        <v>3</v>
      </c>
      <c r="F3072" t="str">
        <f>VLOOKUP($E3072,categories!$A$1:$B$8,MATCH(order_items!$F$1,categories!$A$1:$B$1,0),FALSE)</f>
        <v>Cruisers Bicycles</v>
      </c>
      <c r="G3072">
        <v>1</v>
      </c>
      <c r="H3072">
        <v>449</v>
      </c>
      <c r="I3072" s="5">
        <v>7.0000000000000007E-2</v>
      </c>
      <c r="J3072">
        <f t="shared" si="94"/>
        <v>417.57</v>
      </c>
      <c r="K3072" s="9">
        <f t="shared" si="95"/>
        <v>-0.56459915393225968</v>
      </c>
    </row>
    <row r="3073" spans="1:11" x14ac:dyDescent="0.3">
      <c r="A3073">
        <v>1064</v>
      </c>
      <c r="B3073">
        <v>2</v>
      </c>
      <c r="C3073">
        <v>49</v>
      </c>
      <c r="D3073" t="str">
        <f>VLOOKUP($C3073,products!$A$1:$F$322,MATCH(order_items!$D$1,products!$A$1:$F$1,0),FALSE)</f>
        <v>Trek Domane SL 6 - 2017</v>
      </c>
      <c r="E3073">
        <f>VLOOKUP($C3073,products!$A$1:$F$322,MATCH(order_items!$E$1,products!$A$1:$F$1,0),FALSE)</f>
        <v>7</v>
      </c>
      <c r="F3073" t="str">
        <f>VLOOKUP($E3073,categories!$A$1:$B$8,MATCH(order_items!$F$1,categories!$A$1:$B$1,0),FALSE)</f>
        <v>Road Bikes</v>
      </c>
      <c r="G3073">
        <v>1</v>
      </c>
      <c r="H3073">
        <v>3499.99</v>
      </c>
      <c r="I3073" s="5">
        <v>0.1</v>
      </c>
      <c r="J3073">
        <f t="shared" si="94"/>
        <v>3149.991</v>
      </c>
      <c r="K3073" s="9">
        <f t="shared" si="95"/>
        <v>1.6909575013907066</v>
      </c>
    </row>
    <row r="3074" spans="1:11" x14ac:dyDescent="0.3">
      <c r="A3074">
        <v>1065</v>
      </c>
      <c r="B3074">
        <v>1</v>
      </c>
      <c r="C3074">
        <v>48</v>
      </c>
      <c r="D3074" t="str">
        <f>VLOOKUP($C3074,products!$A$1:$F$322,MATCH(order_items!$D$1,products!$A$1:$F$1,0),FALSE)</f>
        <v>Trek Emonda S 4 - 2017</v>
      </c>
      <c r="E3074">
        <f>VLOOKUP($C3074,products!$A$1:$F$322,MATCH(order_items!$E$1,products!$A$1:$F$1,0),FALSE)</f>
        <v>7</v>
      </c>
      <c r="F3074" t="str">
        <f>VLOOKUP($E3074,categories!$A$1:$B$8,MATCH(order_items!$F$1,categories!$A$1:$B$1,0),FALSE)</f>
        <v>Road Bikes</v>
      </c>
      <c r="G3074">
        <v>2</v>
      </c>
      <c r="H3074">
        <v>1499.99</v>
      </c>
      <c r="I3074" s="5">
        <v>7.0000000000000007E-2</v>
      </c>
      <c r="J3074">
        <f t="shared" ref="J3074:J3137" si="96">G3074*H3074*(1-I3074)</f>
        <v>2789.9813999999997</v>
      </c>
      <c r="K3074" s="9">
        <f t="shared" ref="K3074:K3137" si="97">($H3074-$M$7)/$M$9</f>
        <v>0.21238388736839492</v>
      </c>
    </row>
    <row r="3075" spans="1:11" x14ac:dyDescent="0.3">
      <c r="A3075">
        <v>1065</v>
      </c>
      <c r="B3075">
        <v>2</v>
      </c>
      <c r="C3075">
        <v>103</v>
      </c>
      <c r="D3075" t="str">
        <f>VLOOKUP($C3075,products!$A$1:$F$322,MATCH(order_items!$D$1,products!$A$1:$F$1,0),FALSE)</f>
        <v>Sun Bicycles Streamway 3 - 2017</v>
      </c>
      <c r="E3075">
        <f>VLOOKUP($C3075,products!$A$1:$F$322,MATCH(order_items!$E$1,products!$A$1:$F$1,0),FALSE)</f>
        <v>2</v>
      </c>
      <c r="F3075" t="str">
        <f>VLOOKUP($E3075,categories!$A$1:$B$8,MATCH(order_items!$F$1,categories!$A$1:$B$1,0),FALSE)</f>
        <v>Comfort Bicycles</v>
      </c>
      <c r="G3075">
        <v>2</v>
      </c>
      <c r="H3075">
        <v>551.99</v>
      </c>
      <c r="I3075" s="5">
        <v>0.05</v>
      </c>
      <c r="J3075">
        <f t="shared" si="96"/>
        <v>1048.7809999999999</v>
      </c>
      <c r="K3075" s="9">
        <f t="shared" si="97"/>
        <v>-0.48846000567818076</v>
      </c>
    </row>
    <row r="3076" spans="1:11" x14ac:dyDescent="0.3">
      <c r="A3076">
        <v>1065</v>
      </c>
      <c r="B3076">
        <v>3</v>
      </c>
      <c r="C3076">
        <v>63</v>
      </c>
      <c r="D3076" t="str">
        <f>VLOOKUP($C3076,products!$A$1:$F$322,MATCH(order_items!$D$1,products!$A$1:$F$1,0),FALSE)</f>
        <v>Trek Boone Race Shop Limited - 2017</v>
      </c>
      <c r="E3076">
        <f>VLOOKUP($C3076,products!$A$1:$F$322,MATCH(order_items!$E$1,products!$A$1:$F$1,0),FALSE)</f>
        <v>4</v>
      </c>
      <c r="F3076" t="str">
        <f>VLOOKUP($E3076,categories!$A$1:$B$8,MATCH(order_items!$F$1,categories!$A$1:$B$1,0),FALSE)</f>
        <v>Cyclocross Bicycles</v>
      </c>
      <c r="G3076">
        <v>1</v>
      </c>
      <c r="H3076">
        <v>3499.99</v>
      </c>
      <c r="I3076" s="5">
        <v>7.0000000000000007E-2</v>
      </c>
      <c r="J3076">
        <f t="shared" si="96"/>
        <v>3254.9906999999994</v>
      </c>
      <c r="K3076" s="9">
        <f t="shared" si="97"/>
        <v>1.6909575013907066</v>
      </c>
    </row>
    <row r="3077" spans="1:11" x14ac:dyDescent="0.3">
      <c r="A3077">
        <v>1066</v>
      </c>
      <c r="B3077">
        <v>1</v>
      </c>
      <c r="C3077">
        <v>15</v>
      </c>
      <c r="D3077" t="str">
        <f>VLOOKUP($C3077,products!$A$1:$F$322,MATCH(order_items!$D$1,products!$A$1:$F$1,0),FALSE)</f>
        <v>Electra Moto 1 - 2016</v>
      </c>
      <c r="E3077">
        <f>VLOOKUP($C3077,products!$A$1:$F$322,MATCH(order_items!$E$1,products!$A$1:$F$1,0),FALSE)</f>
        <v>3</v>
      </c>
      <c r="F3077" t="str">
        <f>VLOOKUP($E3077,categories!$A$1:$B$8,MATCH(order_items!$F$1,categories!$A$1:$B$1,0),FALSE)</f>
        <v>Cruisers Bicycles</v>
      </c>
      <c r="G3077">
        <v>2</v>
      </c>
      <c r="H3077">
        <v>529.99</v>
      </c>
      <c r="I3077" s="5">
        <v>0.05</v>
      </c>
      <c r="J3077">
        <f t="shared" si="96"/>
        <v>1006.981</v>
      </c>
      <c r="K3077" s="9">
        <f t="shared" si="97"/>
        <v>-0.50472431543242624</v>
      </c>
    </row>
    <row r="3078" spans="1:11" x14ac:dyDescent="0.3">
      <c r="A3078">
        <v>1066</v>
      </c>
      <c r="B3078">
        <v>2</v>
      </c>
      <c r="C3078">
        <v>46</v>
      </c>
      <c r="D3078" t="str">
        <f>VLOOKUP($C3078,products!$A$1:$F$322,MATCH(order_items!$D$1,products!$A$1:$F$1,0),FALSE)</f>
        <v>Haro SR 1.3 - 2017</v>
      </c>
      <c r="E3078">
        <f>VLOOKUP($C3078,products!$A$1:$F$322,MATCH(order_items!$E$1,products!$A$1:$F$1,0),FALSE)</f>
        <v>6</v>
      </c>
      <c r="F3078" t="str">
        <f>VLOOKUP($E3078,categories!$A$1:$B$8,MATCH(order_items!$F$1,categories!$A$1:$B$1,0),FALSE)</f>
        <v>Mountain Bikes</v>
      </c>
      <c r="G3078">
        <v>1</v>
      </c>
      <c r="H3078">
        <v>1409.99</v>
      </c>
      <c r="I3078" s="5">
        <v>0.1</v>
      </c>
      <c r="J3078">
        <f t="shared" si="96"/>
        <v>1268.991</v>
      </c>
      <c r="K3078" s="9">
        <f t="shared" si="97"/>
        <v>0.14584807473739089</v>
      </c>
    </row>
    <row r="3079" spans="1:11" x14ac:dyDescent="0.3">
      <c r="A3079">
        <v>1066</v>
      </c>
      <c r="B3079">
        <v>3</v>
      </c>
      <c r="C3079">
        <v>12</v>
      </c>
      <c r="D3079" t="str">
        <f>VLOOKUP($C3079,products!$A$1:$F$322,MATCH(order_items!$D$1,products!$A$1:$F$1,0),FALSE)</f>
        <v>Electra Townie Original 21D - 2016</v>
      </c>
      <c r="E3079">
        <f>VLOOKUP($C3079,products!$A$1:$F$322,MATCH(order_items!$E$1,products!$A$1:$F$1,0),FALSE)</f>
        <v>3</v>
      </c>
      <c r="F3079" t="str">
        <f>VLOOKUP($E3079,categories!$A$1:$B$8,MATCH(order_items!$F$1,categories!$A$1:$B$1,0),FALSE)</f>
        <v>Cruisers Bicycles</v>
      </c>
      <c r="G3079">
        <v>1</v>
      </c>
      <c r="H3079">
        <v>549.99</v>
      </c>
      <c r="I3079" s="5">
        <v>0.1</v>
      </c>
      <c r="J3079">
        <f t="shared" si="96"/>
        <v>494.99100000000004</v>
      </c>
      <c r="K3079" s="9">
        <f t="shared" si="97"/>
        <v>-0.48993857929220308</v>
      </c>
    </row>
    <row r="3080" spans="1:11" x14ac:dyDescent="0.3">
      <c r="A3080">
        <v>1067</v>
      </c>
      <c r="B3080">
        <v>1</v>
      </c>
      <c r="C3080">
        <v>74</v>
      </c>
      <c r="D3080" t="str">
        <f>VLOOKUP($C3080,products!$A$1:$F$322,MATCH(order_items!$D$1,products!$A$1:$F$1,0),FALSE)</f>
        <v>Electra Cruiser Lux 1 - 2017</v>
      </c>
      <c r="E3080">
        <f>VLOOKUP($C3080,products!$A$1:$F$322,MATCH(order_items!$E$1,products!$A$1:$F$1,0),FALSE)</f>
        <v>3</v>
      </c>
      <c r="F3080" t="str">
        <f>VLOOKUP($E3080,categories!$A$1:$B$8,MATCH(order_items!$F$1,categories!$A$1:$B$1,0),FALSE)</f>
        <v>Cruisers Bicycles</v>
      </c>
      <c r="G3080">
        <v>2</v>
      </c>
      <c r="H3080">
        <v>439.99</v>
      </c>
      <c r="I3080" s="5">
        <v>7.0000000000000007E-2</v>
      </c>
      <c r="J3080">
        <f t="shared" si="96"/>
        <v>818.38139999999999</v>
      </c>
      <c r="K3080" s="9">
        <f t="shared" si="97"/>
        <v>-0.57126012806343018</v>
      </c>
    </row>
    <row r="3081" spans="1:11" x14ac:dyDescent="0.3">
      <c r="A3081">
        <v>1067</v>
      </c>
      <c r="B3081">
        <v>2</v>
      </c>
      <c r="C3081">
        <v>9</v>
      </c>
      <c r="D3081" t="str">
        <f>VLOOKUP($C3081,products!$A$1:$F$322,MATCH(order_items!$D$1,products!$A$1:$F$1,0),FALSE)</f>
        <v>Trek Conduit+ - 2016</v>
      </c>
      <c r="E3081">
        <f>VLOOKUP($C3081,products!$A$1:$F$322,MATCH(order_items!$E$1,products!$A$1:$F$1,0),FALSE)</f>
        <v>5</v>
      </c>
      <c r="F3081" t="str">
        <f>VLOOKUP($E3081,categories!$A$1:$B$8,MATCH(order_items!$F$1,categories!$A$1:$B$1,0),FALSE)</f>
        <v>Electric Bikes</v>
      </c>
      <c r="G3081">
        <v>2</v>
      </c>
      <c r="H3081">
        <v>2999.99</v>
      </c>
      <c r="I3081" s="5">
        <v>0.2</v>
      </c>
      <c r="J3081">
        <f t="shared" si="96"/>
        <v>4799.9839999999995</v>
      </c>
      <c r="K3081" s="9">
        <f t="shared" si="97"/>
        <v>1.3213140978851283</v>
      </c>
    </row>
    <row r="3082" spans="1:11" x14ac:dyDescent="0.3">
      <c r="A3082">
        <v>1067</v>
      </c>
      <c r="B3082">
        <v>3</v>
      </c>
      <c r="C3082">
        <v>72</v>
      </c>
      <c r="D3082" t="str">
        <f>VLOOKUP($C3082,products!$A$1:$F$322,MATCH(order_items!$D$1,products!$A$1:$F$1,0),FALSE)</f>
        <v>Sun Bicycles Biscayne Tandem 7 - 2017</v>
      </c>
      <c r="E3082">
        <f>VLOOKUP($C3082,products!$A$1:$F$322,MATCH(order_items!$E$1,products!$A$1:$F$1,0),FALSE)</f>
        <v>3</v>
      </c>
      <c r="F3082" t="str">
        <f>VLOOKUP($E3082,categories!$A$1:$B$8,MATCH(order_items!$F$1,categories!$A$1:$B$1,0),FALSE)</f>
        <v>Cruisers Bicycles</v>
      </c>
      <c r="G3082">
        <v>2</v>
      </c>
      <c r="H3082">
        <v>619.99</v>
      </c>
      <c r="I3082" s="5">
        <v>0.1</v>
      </c>
      <c r="J3082">
        <f t="shared" si="96"/>
        <v>1115.982</v>
      </c>
      <c r="K3082" s="9">
        <f t="shared" si="97"/>
        <v>-0.43818850280142219</v>
      </c>
    </row>
    <row r="3083" spans="1:11" x14ac:dyDescent="0.3">
      <c r="A3083">
        <v>1067</v>
      </c>
      <c r="B3083">
        <v>4</v>
      </c>
      <c r="C3083">
        <v>6</v>
      </c>
      <c r="D3083" t="str">
        <f>VLOOKUP($C3083,products!$A$1:$F$322,MATCH(order_items!$D$1,products!$A$1:$F$1,0),FALSE)</f>
        <v>Surly Ice Cream Truck Frameset - 2016</v>
      </c>
      <c r="E3083">
        <f>VLOOKUP($C3083,products!$A$1:$F$322,MATCH(order_items!$E$1,products!$A$1:$F$1,0),FALSE)</f>
        <v>6</v>
      </c>
      <c r="F3083" t="str">
        <f>VLOOKUP($E3083,categories!$A$1:$B$8,MATCH(order_items!$F$1,categories!$A$1:$B$1,0),FALSE)</f>
        <v>Mountain Bikes</v>
      </c>
      <c r="G3083">
        <v>2</v>
      </c>
      <c r="H3083">
        <v>469.99</v>
      </c>
      <c r="I3083" s="5">
        <v>0.2</v>
      </c>
      <c r="J3083">
        <f t="shared" si="96"/>
        <v>751.98400000000004</v>
      </c>
      <c r="K3083" s="9">
        <f t="shared" si="97"/>
        <v>-0.5490815238530955</v>
      </c>
    </row>
    <row r="3084" spans="1:11" x14ac:dyDescent="0.3">
      <c r="A3084">
        <v>1068</v>
      </c>
      <c r="B3084">
        <v>1</v>
      </c>
      <c r="C3084">
        <v>87</v>
      </c>
      <c r="D3084" t="str">
        <f>VLOOKUP($C3084,products!$A$1:$F$322,MATCH(order_items!$D$1,products!$A$1:$F$1,0),FALSE)</f>
        <v>Trek Precaliber 12 Boys - 2017</v>
      </c>
      <c r="E3084">
        <f>VLOOKUP($C3084,products!$A$1:$F$322,MATCH(order_items!$E$1,products!$A$1:$F$1,0),FALSE)</f>
        <v>1</v>
      </c>
      <c r="F3084" t="str">
        <f>VLOOKUP($E3084,categories!$A$1:$B$8,MATCH(order_items!$F$1,categories!$A$1:$B$1,0),FALSE)</f>
        <v>Children Bicycles</v>
      </c>
      <c r="G3084">
        <v>2</v>
      </c>
      <c r="H3084">
        <v>189.99</v>
      </c>
      <c r="I3084" s="5">
        <v>0.2</v>
      </c>
      <c r="J3084">
        <f t="shared" si="96"/>
        <v>303.98400000000004</v>
      </c>
      <c r="K3084" s="9">
        <f t="shared" si="97"/>
        <v>-0.75608182981621919</v>
      </c>
    </row>
    <row r="3085" spans="1:11" x14ac:dyDescent="0.3">
      <c r="A3085">
        <v>1068</v>
      </c>
      <c r="B3085">
        <v>2</v>
      </c>
      <c r="C3085">
        <v>82</v>
      </c>
      <c r="D3085" t="str">
        <f>VLOOKUP($C3085,products!$A$1:$F$322,MATCH(order_items!$D$1,products!$A$1:$F$1,0),FALSE)</f>
        <v>Electra Amsterdam Original 3i Ladies' - 2017</v>
      </c>
      <c r="E3085">
        <f>VLOOKUP($C3085,products!$A$1:$F$322,MATCH(order_items!$E$1,products!$A$1:$F$1,0),FALSE)</f>
        <v>3</v>
      </c>
      <c r="F3085" t="str">
        <f>VLOOKUP($E3085,categories!$A$1:$B$8,MATCH(order_items!$F$1,categories!$A$1:$B$1,0),FALSE)</f>
        <v>Cruisers Bicycles</v>
      </c>
      <c r="G3085">
        <v>1</v>
      </c>
      <c r="H3085">
        <v>659.99</v>
      </c>
      <c r="I3085" s="5">
        <v>0.2</v>
      </c>
      <c r="J3085">
        <f t="shared" si="96"/>
        <v>527.99200000000008</v>
      </c>
      <c r="K3085" s="9">
        <f t="shared" si="97"/>
        <v>-0.40861703052097592</v>
      </c>
    </row>
    <row r="3086" spans="1:11" x14ac:dyDescent="0.3">
      <c r="A3086">
        <v>1068</v>
      </c>
      <c r="B3086">
        <v>3</v>
      </c>
      <c r="C3086">
        <v>49</v>
      </c>
      <c r="D3086" t="str">
        <f>VLOOKUP($C3086,products!$A$1:$F$322,MATCH(order_items!$D$1,products!$A$1:$F$1,0),FALSE)</f>
        <v>Trek Domane SL 6 - 2017</v>
      </c>
      <c r="E3086">
        <f>VLOOKUP($C3086,products!$A$1:$F$322,MATCH(order_items!$E$1,products!$A$1:$F$1,0),FALSE)</f>
        <v>7</v>
      </c>
      <c r="F3086" t="str">
        <f>VLOOKUP($E3086,categories!$A$1:$B$8,MATCH(order_items!$F$1,categories!$A$1:$B$1,0),FALSE)</f>
        <v>Road Bikes</v>
      </c>
      <c r="G3086">
        <v>2</v>
      </c>
      <c r="H3086">
        <v>3499.99</v>
      </c>
      <c r="I3086" s="5">
        <v>0.2</v>
      </c>
      <c r="J3086">
        <f t="shared" si="96"/>
        <v>5599.9840000000004</v>
      </c>
      <c r="K3086" s="9">
        <f t="shared" si="97"/>
        <v>1.6909575013907066</v>
      </c>
    </row>
    <row r="3087" spans="1:11" x14ac:dyDescent="0.3">
      <c r="A3087">
        <v>1068</v>
      </c>
      <c r="B3087">
        <v>4</v>
      </c>
      <c r="C3087">
        <v>45</v>
      </c>
      <c r="D3087" t="str">
        <f>VLOOKUP($C3087,products!$A$1:$F$322,MATCH(order_items!$D$1,products!$A$1:$F$1,0),FALSE)</f>
        <v>Haro SR 1.2 - 2017</v>
      </c>
      <c r="E3087">
        <f>VLOOKUP($C3087,products!$A$1:$F$322,MATCH(order_items!$E$1,products!$A$1:$F$1,0),FALSE)</f>
        <v>6</v>
      </c>
      <c r="F3087" t="str">
        <f>VLOOKUP($E3087,categories!$A$1:$B$8,MATCH(order_items!$F$1,categories!$A$1:$B$1,0),FALSE)</f>
        <v>Mountain Bikes</v>
      </c>
      <c r="G3087">
        <v>2</v>
      </c>
      <c r="H3087">
        <v>869.99</v>
      </c>
      <c r="I3087" s="5">
        <v>0.2</v>
      </c>
      <c r="J3087">
        <f t="shared" si="96"/>
        <v>1391.9840000000002</v>
      </c>
      <c r="K3087" s="9">
        <f t="shared" si="97"/>
        <v>-0.25336680104863324</v>
      </c>
    </row>
    <row r="3088" spans="1:11" x14ac:dyDescent="0.3">
      <c r="A3088">
        <v>1069</v>
      </c>
      <c r="B3088">
        <v>1</v>
      </c>
      <c r="C3088">
        <v>109</v>
      </c>
      <c r="D3088" t="str">
        <f>VLOOKUP($C3088,products!$A$1:$F$322,MATCH(order_items!$D$1,products!$A$1:$F$1,0),FALSE)</f>
        <v>Sun Bicycles Cruz 7 - Women's - 2017</v>
      </c>
      <c r="E3088">
        <f>VLOOKUP($C3088,products!$A$1:$F$322,MATCH(order_items!$E$1,products!$A$1:$F$1,0),FALSE)</f>
        <v>2</v>
      </c>
      <c r="F3088" t="str">
        <f>VLOOKUP($E3088,categories!$A$1:$B$8,MATCH(order_items!$F$1,categories!$A$1:$B$1,0),FALSE)</f>
        <v>Comfort Bicycles</v>
      </c>
      <c r="G3088">
        <v>1</v>
      </c>
      <c r="H3088">
        <v>416.99</v>
      </c>
      <c r="I3088" s="5">
        <v>7.0000000000000007E-2</v>
      </c>
      <c r="J3088">
        <f t="shared" si="96"/>
        <v>387.80070000000001</v>
      </c>
      <c r="K3088" s="9">
        <f t="shared" si="97"/>
        <v>-0.58826372462468679</v>
      </c>
    </row>
    <row r="3089" spans="1:11" x14ac:dyDescent="0.3">
      <c r="A3089">
        <v>1069</v>
      </c>
      <c r="B3089">
        <v>2</v>
      </c>
      <c r="C3089">
        <v>93</v>
      </c>
      <c r="D3089" t="str">
        <f>VLOOKUP($C3089,products!$A$1:$F$322,MATCH(order_items!$D$1,products!$A$1:$F$1,0),FALSE)</f>
        <v>Haro Shredder 20 Girls - 2017</v>
      </c>
      <c r="E3089">
        <f>VLOOKUP($C3089,products!$A$1:$F$322,MATCH(order_items!$E$1,products!$A$1:$F$1,0),FALSE)</f>
        <v>1</v>
      </c>
      <c r="F3089" t="str">
        <f>VLOOKUP($E3089,categories!$A$1:$B$8,MATCH(order_items!$F$1,categories!$A$1:$B$1,0),FALSE)</f>
        <v>Children Bicycles</v>
      </c>
      <c r="G3089">
        <v>1</v>
      </c>
      <c r="H3089">
        <v>209.99</v>
      </c>
      <c r="I3089" s="5">
        <v>0.1</v>
      </c>
      <c r="J3089">
        <f t="shared" si="96"/>
        <v>188.99100000000001</v>
      </c>
      <c r="K3089" s="9">
        <f t="shared" si="97"/>
        <v>-0.74129609367599603</v>
      </c>
    </row>
    <row r="3090" spans="1:11" x14ac:dyDescent="0.3">
      <c r="A3090">
        <v>1070</v>
      </c>
      <c r="B3090">
        <v>1</v>
      </c>
      <c r="C3090">
        <v>110</v>
      </c>
      <c r="D3090" t="str">
        <f>VLOOKUP($C3090,products!$A$1:$F$322,MATCH(order_items!$D$1,products!$A$1:$F$1,0),FALSE)</f>
        <v>Sun Bicycles Drifter 7 - 2017</v>
      </c>
      <c r="E3090">
        <f>VLOOKUP($C3090,products!$A$1:$F$322,MATCH(order_items!$E$1,products!$A$1:$F$1,0),FALSE)</f>
        <v>2</v>
      </c>
      <c r="F3090" t="str">
        <f>VLOOKUP($E3090,categories!$A$1:$B$8,MATCH(order_items!$F$1,categories!$A$1:$B$1,0),FALSE)</f>
        <v>Comfort Bicycles</v>
      </c>
      <c r="G3090">
        <v>1</v>
      </c>
      <c r="H3090">
        <v>470.99</v>
      </c>
      <c r="I3090" s="5">
        <v>0.2</v>
      </c>
      <c r="J3090">
        <f t="shared" si="96"/>
        <v>376.79200000000003</v>
      </c>
      <c r="K3090" s="9">
        <f t="shared" si="97"/>
        <v>-0.54834223704608442</v>
      </c>
    </row>
    <row r="3091" spans="1:11" x14ac:dyDescent="0.3">
      <c r="A3091">
        <v>1070</v>
      </c>
      <c r="B3091">
        <v>2</v>
      </c>
      <c r="C3091">
        <v>18</v>
      </c>
      <c r="D3091" t="str">
        <f>VLOOKUP($C3091,products!$A$1:$F$322,MATCH(order_items!$D$1,products!$A$1:$F$1,0),FALSE)</f>
        <v>Pure Cycles Western 3-Speed - Women's - 2015/2016</v>
      </c>
      <c r="E3091">
        <f>VLOOKUP($C3091,products!$A$1:$F$322,MATCH(order_items!$E$1,products!$A$1:$F$1,0),FALSE)</f>
        <v>3</v>
      </c>
      <c r="F3091" t="str">
        <f>VLOOKUP($E3091,categories!$A$1:$B$8,MATCH(order_items!$F$1,categories!$A$1:$B$1,0),FALSE)</f>
        <v>Cruisers Bicycles</v>
      </c>
      <c r="G3091">
        <v>2</v>
      </c>
      <c r="H3091">
        <v>449</v>
      </c>
      <c r="I3091" s="5">
        <v>0.1</v>
      </c>
      <c r="J3091">
        <f t="shared" si="96"/>
        <v>808.2</v>
      </c>
      <c r="K3091" s="9">
        <f t="shared" si="97"/>
        <v>-0.56459915393225968</v>
      </c>
    </row>
    <row r="3092" spans="1:11" x14ac:dyDescent="0.3">
      <c r="A3092">
        <v>1070</v>
      </c>
      <c r="B3092">
        <v>3</v>
      </c>
      <c r="C3092">
        <v>94</v>
      </c>
      <c r="D3092" t="str">
        <f>VLOOKUP($C3092,products!$A$1:$F$322,MATCH(order_items!$D$1,products!$A$1:$F$1,0),FALSE)</f>
        <v>Haro Shredder Pro 20 - 2017</v>
      </c>
      <c r="E3092">
        <f>VLOOKUP($C3092,products!$A$1:$F$322,MATCH(order_items!$E$1,products!$A$1:$F$1,0),FALSE)</f>
        <v>1</v>
      </c>
      <c r="F3092" t="str">
        <f>VLOOKUP($E3092,categories!$A$1:$B$8,MATCH(order_items!$F$1,categories!$A$1:$B$1,0),FALSE)</f>
        <v>Children Bicycles</v>
      </c>
      <c r="G3092">
        <v>1</v>
      </c>
      <c r="H3092">
        <v>249.99</v>
      </c>
      <c r="I3092" s="5">
        <v>0.05</v>
      </c>
      <c r="J3092">
        <f t="shared" si="96"/>
        <v>237.4905</v>
      </c>
      <c r="K3092" s="9">
        <f t="shared" si="97"/>
        <v>-0.71172462139554982</v>
      </c>
    </row>
    <row r="3093" spans="1:11" x14ac:dyDescent="0.3">
      <c r="A3093">
        <v>1071</v>
      </c>
      <c r="B3093">
        <v>1</v>
      </c>
      <c r="C3093">
        <v>25</v>
      </c>
      <c r="D3093" t="str">
        <f>VLOOKUP($C3093,products!$A$1:$F$322,MATCH(order_items!$D$1,products!$A$1:$F$1,0),FALSE)</f>
        <v>Electra Townie Original 7D - 2015/2016</v>
      </c>
      <c r="E3093">
        <f>VLOOKUP($C3093,products!$A$1:$F$322,MATCH(order_items!$E$1,products!$A$1:$F$1,0),FALSE)</f>
        <v>2</v>
      </c>
      <c r="F3093" t="str">
        <f>VLOOKUP($E3093,categories!$A$1:$B$8,MATCH(order_items!$F$1,categories!$A$1:$B$1,0),FALSE)</f>
        <v>Comfort Bicycles</v>
      </c>
      <c r="G3093">
        <v>2</v>
      </c>
      <c r="H3093">
        <v>499.99</v>
      </c>
      <c r="I3093" s="5">
        <v>0.2</v>
      </c>
      <c r="J3093">
        <f t="shared" si="96"/>
        <v>799.98400000000004</v>
      </c>
      <c r="K3093" s="9">
        <f t="shared" si="97"/>
        <v>-0.52690291964276081</v>
      </c>
    </row>
    <row r="3094" spans="1:11" x14ac:dyDescent="0.3">
      <c r="A3094">
        <v>1072</v>
      </c>
      <c r="B3094">
        <v>1</v>
      </c>
      <c r="C3094">
        <v>83</v>
      </c>
      <c r="D3094" t="str">
        <f>VLOOKUP($C3094,products!$A$1:$F$322,MATCH(order_items!$D$1,products!$A$1:$F$1,0),FALSE)</f>
        <v>Trek Boy's Kickster - 2015/2017</v>
      </c>
      <c r="E3094">
        <f>VLOOKUP($C3094,products!$A$1:$F$322,MATCH(order_items!$E$1,products!$A$1:$F$1,0),FALSE)</f>
        <v>1</v>
      </c>
      <c r="F3094" t="str">
        <f>VLOOKUP($E3094,categories!$A$1:$B$8,MATCH(order_items!$F$1,categories!$A$1:$B$1,0),FALSE)</f>
        <v>Children Bicycles</v>
      </c>
      <c r="G3094">
        <v>1</v>
      </c>
      <c r="H3094">
        <v>149.99</v>
      </c>
      <c r="I3094" s="5">
        <v>0.2</v>
      </c>
      <c r="J3094">
        <f t="shared" si="96"/>
        <v>119.99200000000002</v>
      </c>
      <c r="K3094" s="9">
        <f t="shared" si="97"/>
        <v>-0.7856533020966654</v>
      </c>
    </row>
    <row r="3095" spans="1:11" x14ac:dyDescent="0.3">
      <c r="A3095">
        <v>1072</v>
      </c>
      <c r="B3095">
        <v>2</v>
      </c>
      <c r="C3095">
        <v>89</v>
      </c>
      <c r="D3095" t="str">
        <f>VLOOKUP($C3095,products!$A$1:$F$322,MATCH(order_items!$D$1,products!$A$1:$F$1,0),FALSE)</f>
        <v>Trek Precaliber 16 Boys - 2017</v>
      </c>
      <c r="E3095">
        <f>VLOOKUP($C3095,products!$A$1:$F$322,MATCH(order_items!$E$1,products!$A$1:$F$1,0),FALSE)</f>
        <v>1</v>
      </c>
      <c r="F3095" t="str">
        <f>VLOOKUP($E3095,categories!$A$1:$B$8,MATCH(order_items!$F$1,categories!$A$1:$B$1,0),FALSE)</f>
        <v>Children Bicycles</v>
      </c>
      <c r="G3095">
        <v>2</v>
      </c>
      <c r="H3095">
        <v>209.99</v>
      </c>
      <c r="I3095" s="5">
        <v>7.0000000000000007E-2</v>
      </c>
      <c r="J3095">
        <f t="shared" si="96"/>
        <v>390.58139999999997</v>
      </c>
      <c r="K3095" s="9">
        <f t="shared" si="97"/>
        <v>-0.74129609367599603</v>
      </c>
    </row>
    <row r="3096" spans="1:11" x14ac:dyDescent="0.3">
      <c r="A3096">
        <v>1072</v>
      </c>
      <c r="B3096">
        <v>3</v>
      </c>
      <c r="C3096">
        <v>36</v>
      </c>
      <c r="D3096" t="str">
        <f>VLOOKUP($C3096,products!$A$1:$F$322,MATCH(order_items!$D$1,products!$A$1:$F$1,0),FALSE)</f>
        <v>Surly Troll Frameset - 2017</v>
      </c>
      <c r="E3096">
        <f>VLOOKUP($C3096,products!$A$1:$F$322,MATCH(order_items!$E$1,products!$A$1:$F$1,0),FALSE)</f>
        <v>6</v>
      </c>
      <c r="F3096" t="str">
        <f>VLOOKUP($E3096,categories!$A$1:$B$8,MATCH(order_items!$F$1,categories!$A$1:$B$1,0),FALSE)</f>
        <v>Mountain Bikes</v>
      </c>
      <c r="G3096">
        <v>2</v>
      </c>
      <c r="H3096">
        <v>832.99</v>
      </c>
      <c r="I3096" s="5">
        <v>7.0000000000000007E-2</v>
      </c>
      <c r="J3096">
        <f t="shared" si="96"/>
        <v>1549.3614</v>
      </c>
      <c r="K3096" s="9">
        <f t="shared" si="97"/>
        <v>-0.280720412908046</v>
      </c>
    </row>
    <row r="3097" spans="1:11" x14ac:dyDescent="0.3">
      <c r="A3097">
        <v>1073</v>
      </c>
      <c r="B3097">
        <v>1</v>
      </c>
      <c r="C3097">
        <v>81</v>
      </c>
      <c r="D3097" t="str">
        <f>VLOOKUP($C3097,products!$A$1:$F$322,MATCH(order_items!$D$1,products!$A$1:$F$1,0),FALSE)</f>
        <v>Electra Amsterdam Fashion 7i Ladies' - 2017</v>
      </c>
      <c r="E3097">
        <f>VLOOKUP($C3097,products!$A$1:$F$322,MATCH(order_items!$E$1,products!$A$1:$F$1,0),FALSE)</f>
        <v>3</v>
      </c>
      <c r="F3097" t="str">
        <f>VLOOKUP($E3097,categories!$A$1:$B$8,MATCH(order_items!$F$1,categories!$A$1:$B$1,0),FALSE)</f>
        <v>Cruisers Bicycles</v>
      </c>
      <c r="G3097">
        <v>1</v>
      </c>
      <c r="H3097">
        <v>1099.99</v>
      </c>
      <c r="I3097" s="5">
        <v>0.2</v>
      </c>
      <c r="J3097">
        <f t="shared" si="96"/>
        <v>879.99200000000008</v>
      </c>
      <c r="K3097" s="9">
        <f t="shared" si="97"/>
        <v>-8.3330835436067396E-2</v>
      </c>
    </row>
    <row r="3098" spans="1:11" x14ac:dyDescent="0.3">
      <c r="A3098">
        <v>1073</v>
      </c>
      <c r="B3098">
        <v>2</v>
      </c>
      <c r="C3098">
        <v>13</v>
      </c>
      <c r="D3098" t="str">
        <f>VLOOKUP($C3098,products!$A$1:$F$322,MATCH(order_items!$D$1,products!$A$1:$F$1,0),FALSE)</f>
        <v>Electra Cruiser 1 (24-Inch) - 2016</v>
      </c>
      <c r="E3098">
        <f>VLOOKUP($C3098,products!$A$1:$F$322,MATCH(order_items!$E$1,products!$A$1:$F$1,0),FALSE)</f>
        <v>3</v>
      </c>
      <c r="F3098" t="str">
        <f>VLOOKUP($E3098,categories!$A$1:$B$8,MATCH(order_items!$F$1,categories!$A$1:$B$1,0),FALSE)</f>
        <v>Cruisers Bicycles</v>
      </c>
      <c r="G3098">
        <v>1</v>
      </c>
      <c r="H3098">
        <v>269.99</v>
      </c>
      <c r="I3098" s="5">
        <v>7.0000000000000007E-2</v>
      </c>
      <c r="J3098">
        <f t="shared" si="96"/>
        <v>251.0907</v>
      </c>
      <c r="K3098" s="9">
        <f t="shared" si="97"/>
        <v>-0.69693888525532666</v>
      </c>
    </row>
    <row r="3099" spans="1:11" x14ac:dyDescent="0.3">
      <c r="A3099">
        <v>1073</v>
      </c>
      <c r="B3099">
        <v>3</v>
      </c>
      <c r="C3099">
        <v>20</v>
      </c>
      <c r="D3099" t="str">
        <f>VLOOKUP($C3099,products!$A$1:$F$322,MATCH(order_items!$D$1,products!$A$1:$F$1,0),FALSE)</f>
        <v>Electra Townie Original 7D EQ - Women's - 2016</v>
      </c>
      <c r="E3099">
        <f>VLOOKUP($C3099,products!$A$1:$F$322,MATCH(order_items!$E$1,products!$A$1:$F$1,0),FALSE)</f>
        <v>3</v>
      </c>
      <c r="F3099" t="str">
        <f>VLOOKUP($E3099,categories!$A$1:$B$8,MATCH(order_items!$F$1,categories!$A$1:$B$1,0),FALSE)</f>
        <v>Cruisers Bicycles</v>
      </c>
      <c r="G3099">
        <v>1</v>
      </c>
      <c r="H3099">
        <v>599.99</v>
      </c>
      <c r="I3099" s="5">
        <v>0.2</v>
      </c>
      <c r="J3099">
        <f t="shared" si="96"/>
        <v>479.99200000000002</v>
      </c>
      <c r="K3099" s="9">
        <f t="shared" si="97"/>
        <v>-0.45297423894164529</v>
      </c>
    </row>
    <row r="3100" spans="1:11" x14ac:dyDescent="0.3">
      <c r="A3100">
        <v>1074</v>
      </c>
      <c r="B3100">
        <v>1</v>
      </c>
      <c r="C3100">
        <v>59</v>
      </c>
      <c r="D3100" t="str">
        <f>VLOOKUP($C3100,products!$A$1:$F$322,MATCH(order_items!$D$1,products!$A$1:$F$1,0),FALSE)</f>
        <v>Trek Domane S 5 Disc - 2017</v>
      </c>
      <c r="E3100">
        <f>VLOOKUP($C3100,products!$A$1:$F$322,MATCH(order_items!$E$1,products!$A$1:$F$1,0),FALSE)</f>
        <v>7</v>
      </c>
      <c r="F3100" t="str">
        <f>VLOOKUP($E3100,categories!$A$1:$B$8,MATCH(order_items!$F$1,categories!$A$1:$B$1,0),FALSE)</f>
        <v>Road Bikes</v>
      </c>
      <c r="G3100">
        <v>1</v>
      </c>
      <c r="H3100">
        <v>2599.9899999999998</v>
      </c>
      <c r="I3100" s="5">
        <v>0.1</v>
      </c>
      <c r="J3100">
        <f t="shared" si="96"/>
        <v>2339.991</v>
      </c>
      <c r="K3100" s="9">
        <f t="shared" si="97"/>
        <v>1.025599375080666</v>
      </c>
    </row>
    <row r="3101" spans="1:11" x14ac:dyDescent="0.3">
      <c r="A3101">
        <v>1074</v>
      </c>
      <c r="B3101">
        <v>2</v>
      </c>
      <c r="C3101">
        <v>87</v>
      </c>
      <c r="D3101" t="str">
        <f>VLOOKUP($C3101,products!$A$1:$F$322,MATCH(order_items!$D$1,products!$A$1:$F$1,0),FALSE)</f>
        <v>Trek Precaliber 12 Boys - 2017</v>
      </c>
      <c r="E3101">
        <f>VLOOKUP($C3101,products!$A$1:$F$322,MATCH(order_items!$E$1,products!$A$1:$F$1,0),FALSE)</f>
        <v>1</v>
      </c>
      <c r="F3101" t="str">
        <f>VLOOKUP($E3101,categories!$A$1:$B$8,MATCH(order_items!$F$1,categories!$A$1:$B$1,0),FALSE)</f>
        <v>Children Bicycles</v>
      </c>
      <c r="G3101">
        <v>1</v>
      </c>
      <c r="H3101">
        <v>189.99</v>
      </c>
      <c r="I3101" s="5">
        <v>7.0000000000000007E-2</v>
      </c>
      <c r="J3101">
        <f t="shared" si="96"/>
        <v>176.69069999999999</v>
      </c>
      <c r="K3101" s="9">
        <f t="shared" si="97"/>
        <v>-0.75608182981621919</v>
      </c>
    </row>
    <row r="3102" spans="1:11" x14ac:dyDescent="0.3">
      <c r="A3102">
        <v>1074</v>
      </c>
      <c r="B3102">
        <v>3</v>
      </c>
      <c r="C3102">
        <v>89</v>
      </c>
      <c r="D3102" t="str">
        <f>VLOOKUP($C3102,products!$A$1:$F$322,MATCH(order_items!$D$1,products!$A$1:$F$1,0),FALSE)</f>
        <v>Trek Precaliber 16 Boys - 2017</v>
      </c>
      <c r="E3102">
        <f>VLOOKUP($C3102,products!$A$1:$F$322,MATCH(order_items!$E$1,products!$A$1:$F$1,0),FALSE)</f>
        <v>1</v>
      </c>
      <c r="F3102" t="str">
        <f>VLOOKUP($E3102,categories!$A$1:$B$8,MATCH(order_items!$F$1,categories!$A$1:$B$1,0),FALSE)</f>
        <v>Children Bicycles</v>
      </c>
      <c r="G3102">
        <v>2</v>
      </c>
      <c r="H3102">
        <v>209.99</v>
      </c>
      <c r="I3102" s="5">
        <v>0.1</v>
      </c>
      <c r="J3102">
        <f t="shared" si="96"/>
        <v>377.98200000000003</v>
      </c>
      <c r="K3102" s="9">
        <f t="shared" si="97"/>
        <v>-0.74129609367599603</v>
      </c>
    </row>
    <row r="3103" spans="1:11" x14ac:dyDescent="0.3">
      <c r="A3103">
        <v>1075</v>
      </c>
      <c r="B3103">
        <v>1</v>
      </c>
      <c r="C3103">
        <v>48</v>
      </c>
      <c r="D3103" t="str">
        <f>VLOOKUP($C3103,products!$A$1:$F$322,MATCH(order_items!$D$1,products!$A$1:$F$1,0),FALSE)</f>
        <v>Trek Emonda S 4 - 2017</v>
      </c>
      <c r="E3103">
        <f>VLOOKUP($C3103,products!$A$1:$F$322,MATCH(order_items!$E$1,products!$A$1:$F$1,0),FALSE)</f>
        <v>7</v>
      </c>
      <c r="F3103" t="str">
        <f>VLOOKUP($E3103,categories!$A$1:$B$8,MATCH(order_items!$F$1,categories!$A$1:$B$1,0),FALSE)</f>
        <v>Road Bikes</v>
      </c>
      <c r="G3103">
        <v>2</v>
      </c>
      <c r="H3103">
        <v>1499.99</v>
      </c>
      <c r="I3103" s="5">
        <v>0.1</v>
      </c>
      <c r="J3103">
        <f t="shared" si="96"/>
        <v>2699.982</v>
      </c>
      <c r="K3103" s="9">
        <f t="shared" si="97"/>
        <v>0.21238388736839492</v>
      </c>
    </row>
    <row r="3104" spans="1:11" x14ac:dyDescent="0.3">
      <c r="A3104">
        <v>1075</v>
      </c>
      <c r="B3104">
        <v>2</v>
      </c>
      <c r="C3104">
        <v>111</v>
      </c>
      <c r="D3104" t="str">
        <f>VLOOKUP($C3104,products!$A$1:$F$322,MATCH(order_items!$D$1,products!$A$1:$F$1,0),FALSE)</f>
        <v>Sun Bicycles Drifter 7 - Women's - 2017</v>
      </c>
      <c r="E3104">
        <f>VLOOKUP($C3104,products!$A$1:$F$322,MATCH(order_items!$E$1,products!$A$1:$F$1,0),FALSE)</f>
        <v>2</v>
      </c>
      <c r="F3104" t="str">
        <f>VLOOKUP($E3104,categories!$A$1:$B$8,MATCH(order_items!$F$1,categories!$A$1:$B$1,0),FALSE)</f>
        <v>Comfort Bicycles</v>
      </c>
      <c r="G3104">
        <v>2</v>
      </c>
      <c r="H3104">
        <v>470.99</v>
      </c>
      <c r="I3104" s="5">
        <v>0.05</v>
      </c>
      <c r="J3104">
        <f t="shared" si="96"/>
        <v>894.88099999999997</v>
      </c>
      <c r="K3104" s="9">
        <f t="shared" si="97"/>
        <v>-0.54834223704608442</v>
      </c>
    </row>
    <row r="3105" spans="1:11" x14ac:dyDescent="0.3">
      <c r="A3105">
        <v>1076</v>
      </c>
      <c r="B3105">
        <v>1</v>
      </c>
      <c r="C3105">
        <v>95</v>
      </c>
      <c r="D3105" t="str">
        <f>VLOOKUP($C3105,products!$A$1:$F$322,MATCH(order_items!$D$1,products!$A$1:$F$1,0),FALSE)</f>
        <v>Electra Girl's Hawaii 1 16" - 2017</v>
      </c>
      <c r="E3105">
        <f>VLOOKUP($C3105,products!$A$1:$F$322,MATCH(order_items!$E$1,products!$A$1:$F$1,0),FALSE)</f>
        <v>1</v>
      </c>
      <c r="F3105" t="str">
        <f>VLOOKUP($E3105,categories!$A$1:$B$8,MATCH(order_items!$F$1,categories!$A$1:$B$1,0),FALSE)</f>
        <v>Children Bicycles</v>
      </c>
      <c r="G3105">
        <v>1</v>
      </c>
      <c r="H3105">
        <v>299.99</v>
      </c>
      <c r="I3105" s="5">
        <v>0.1</v>
      </c>
      <c r="J3105">
        <f t="shared" si="96"/>
        <v>269.99100000000004</v>
      </c>
      <c r="K3105" s="9">
        <f t="shared" si="97"/>
        <v>-0.67476028104499197</v>
      </c>
    </row>
    <row r="3106" spans="1:11" x14ac:dyDescent="0.3">
      <c r="A3106">
        <v>1076</v>
      </c>
      <c r="B3106">
        <v>2</v>
      </c>
      <c r="C3106">
        <v>102</v>
      </c>
      <c r="D3106" t="str">
        <f>VLOOKUP($C3106,products!$A$1:$F$322,MATCH(order_items!$D$1,products!$A$1:$F$1,0),FALSE)</f>
        <v>Electra Townie Original 7D - 2017</v>
      </c>
      <c r="E3106">
        <f>VLOOKUP($C3106,products!$A$1:$F$322,MATCH(order_items!$E$1,products!$A$1:$F$1,0),FALSE)</f>
        <v>2</v>
      </c>
      <c r="F3106" t="str">
        <f>VLOOKUP($E3106,categories!$A$1:$B$8,MATCH(order_items!$F$1,categories!$A$1:$B$1,0),FALSE)</f>
        <v>Comfort Bicycles</v>
      </c>
      <c r="G3106">
        <v>1</v>
      </c>
      <c r="H3106">
        <v>489.99</v>
      </c>
      <c r="I3106" s="5">
        <v>7.0000000000000007E-2</v>
      </c>
      <c r="J3106">
        <f t="shared" si="96"/>
        <v>455.69069999999999</v>
      </c>
      <c r="K3106" s="9">
        <f t="shared" si="97"/>
        <v>-0.53429578771287245</v>
      </c>
    </row>
    <row r="3107" spans="1:11" x14ac:dyDescent="0.3">
      <c r="A3107">
        <v>1076</v>
      </c>
      <c r="B3107">
        <v>3</v>
      </c>
      <c r="C3107">
        <v>73</v>
      </c>
      <c r="D3107" t="str">
        <f>VLOOKUP($C3107,products!$A$1:$F$322,MATCH(order_items!$D$1,products!$A$1:$F$1,0),FALSE)</f>
        <v>Sun Bicycles Brickell Tandem 7 - 2017</v>
      </c>
      <c r="E3107">
        <f>VLOOKUP($C3107,products!$A$1:$F$322,MATCH(order_items!$E$1,products!$A$1:$F$1,0),FALSE)</f>
        <v>3</v>
      </c>
      <c r="F3107" t="str">
        <f>VLOOKUP($E3107,categories!$A$1:$B$8,MATCH(order_items!$F$1,categories!$A$1:$B$1,0),FALSE)</f>
        <v>Cruisers Bicycles</v>
      </c>
      <c r="G3107">
        <v>2</v>
      </c>
      <c r="H3107">
        <v>749.99</v>
      </c>
      <c r="I3107" s="5">
        <v>7.0000000000000007E-2</v>
      </c>
      <c r="J3107">
        <f t="shared" si="96"/>
        <v>1394.9813999999999</v>
      </c>
      <c r="K3107" s="9">
        <f t="shared" si="97"/>
        <v>-0.34208121788997192</v>
      </c>
    </row>
    <row r="3108" spans="1:11" x14ac:dyDescent="0.3">
      <c r="A3108">
        <v>1077</v>
      </c>
      <c r="B3108">
        <v>1</v>
      </c>
      <c r="C3108">
        <v>60</v>
      </c>
      <c r="D3108" t="str">
        <f>VLOOKUP($C3108,products!$A$1:$F$322,MATCH(order_items!$D$1,products!$A$1:$F$1,0),FALSE)</f>
        <v>Sun Bicycles ElectroLite - 2017</v>
      </c>
      <c r="E3108">
        <f>VLOOKUP($C3108,products!$A$1:$F$322,MATCH(order_items!$E$1,products!$A$1:$F$1,0),FALSE)</f>
        <v>5</v>
      </c>
      <c r="F3108" t="str">
        <f>VLOOKUP($E3108,categories!$A$1:$B$8,MATCH(order_items!$F$1,categories!$A$1:$B$1,0),FALSE)</f>
        <v>Electric Bikes</v>
      </c>
      <c r="G3108">
        <v>2</v>
      </c>
      <c r="H3108">
        <v>1559.99</v>
      </c>
      <c r="I3108" s="5">
        <v>0.05</v>
      </c>
      <c r="J3108">
        <f t="shared" si="96"/>
        <v>2963.9809999999998</v>
      </c>
      <c r="K3108" s="9">
        <f t="shared" si="97"/>
        <v>0.25674109578906423</v>
      </c>
    </row>
    <row r="3109" spans="1:11" x14ac:dyDescent="0.3">
      <c r="A3109">
        <v>1078</v>
      </c>
      <c r="B3109">
        <v>1</v>
      </c>
      <c r="C3109">
        <v>76</v>
      </c>
      <c r="D3109" t="str">
        <f>VLOOKUP($C3109,products!$A$1:$F$322,MATCH(order_items!$D$1,products!$A$1:$F$1,0),FALSE)</f>
        <v>Electra Girl's Hawaii 1 16" - 2017</v>
      </c>
      <c r="E3109">
        <f>VLOOKUP($C3109,products!$A$1:$F$322,MATCH(order_items!$E$1,products!$A$1:$F$1,0),FALSE)</f>
        <v>3</v>
      </c>
      <c r="F3109" t="str">
        <f>VLOOKUP($E3109,categories!$A$1:$B$8,MATCH(order_items!$F$1,categories!$A$1:$B$1,0),FALSE)</f>
        <v>Cruisers Bicycles</v>
      </c>
      <c r="G3109">
        <v>2</v>
      </c>
      <c r="H3109">
        <v>299.99</v>
      </c>
      <c r="I3109" s="5">
        <v>7.0000000000000007E-2</v>
      </c>
      <c r="J3109">
        <f t="shared" si="96"/>
        <v>557.98140000000001</v>
      </c>
      <c r="K3109" s="9">
        <f t="shared" si="97"/>
        <v>-0.67476028104499197</v>
      </c>
    </row>
    <row r="3110" spans="1:11" x14ac:dyDescent="0.3">
      <c r="A3110">
        <v>1078</v>
      </c>
      <c r="B3110">
        <v>2</v>
      </c>
      <c r="C3110">
        <v>60</v>
      </c>
      <c r="D3110" t="str">
        <f>VLOOKUP($C3110,products!$A$1:$F$322,MATCH(order_items!$D$1,products!$A$1:$F$1,0),FALSE)</f>
        <v>Sun Bicycles ElectroLite - 2017</v>
      </c>
      <c r="E3110">
        <f>VLOOKUP($C3110,products!$A$1:$F$322,MATCH(order_items!$E$1,products!$A$1:$F$1,0),FALSE)</f>
        <v>5</v>
      </c>
      <c r="F3110" t="str">
        <f>VLOOKUP($E3110,categories!$A$1:$B$8,MATCH(order_items!$F$1,categories!$A$1:$B$1,0),FALSE)</f>
        <v>Electric Bikes</v>
      </c>
      <c r="G3110">
        <v>2</v>
      </c>
      <c r="H3110">
        <v>1559.99</v>
      </c>
      <c r="I3110" s="5">
        <v>0.2</v>
      </c>
      <c r="J3110">
        <f t="shared" si="96"/>
        <v>2495.9840000000004</v>
      </c>
      <c r="K3110" s="9">
        <f t="shared" si="97"/>
        <v>0.25674109578906423</v>
      </c>
    </row>
    <row r="3111" spans="1:11" x14ac:dyDescent="0.3">
      <c r="A3111">
        <v>1078</v>
      </c>
      <c r="B3111">
        <v>3</v>
      </c>
      <c r="C3111">
        <v>15</v>
      </c>
      <c r="D3111" t="str">
        <f>VLOOKUP($C3111,products!$A$1:$F$322,MATCH(order_items!$D$1,products!$A$1:$F$1,0),FALSE)</f>
        <v>Electra Moto 1 - 2016</v>
      </c>
      <c r="E3111">
        <f>VLOOKUP($C3111,products!$A$1:$F$322,MATCH(order_items!$E$1,products!$A$1:$F$1,0),FALSE)</f>
        <v>3</v>
      </c>
      <c r="F3111" t="str">
        <f>VLOOKUP($E3111,categories!$A$1:$B$8,MATCH(order_items!$F$1,categories!$A$1:$B$1,0),FALSE)</f>
        <v>Cruisers Bicycles</v>
      </c>
      <c r="G3111">
        <v>1</v>
      </c>
      <c r="H3111">
        <v>529.99</v>
      </c>
      <c r="I3111" s="5">
        <v>7.0000000000000007E-2</v>
      </c>
      <c r="J3111">
        <f t="shared" si="96"/>
        <v>492.89069999999998</v>
      </c>
      <c r="K3111" s="9">
        <f t="shared" si="97"/>
        <v>-0.50472431543242624</v>
      </c>
    </row>
    <row r="3112" spans="1:11" x14ac:dyDescent="0.3">
      <c r="A3112">
        <v>1078</v>
      </c>
      <c r="B3112">
        <v>4</v>
      </c>
      <c r="C3112">
        <v>10</v>
      </c>
      <c r="D3112" t="str">
        <f>VLOOKUP($C3112,products!$A$1:$F$322,MATCH(order_items!$D$1,products!$A$1:$F$1,0),FALSE)</f>
        <v>Surly Straggler - 2016</v>
      </c>
      <c r="E3112">
        <f>VLOOKUP($C3112,products!$A$1:$F$322,MATCH(order_items!$E$1,products!$A$1:$F$1,0),FALSE)</f>
        <v>4</v>
      </c>
      <c r="F3112" t="str">
        <f>VLOOKUP($E3112,categories!$A$1:$B$8,MATCH(order_items!$F$1,categories!$A$1:$B$1,0),FALSE)</f>
        <v>Cyclocross Bicycles</v>
      </c>
      <c r="G3112">
        <v>2</v>
      </c>
      <c r="H3112">
        <v>1549</v>
      </c>
      <c r="I3112" s="5">
        <v>0.1</v>
      </c>
      <c r="J3112">
        <f t="shared" si="96"/>
        <v>2788.2000000000003</v>
      </c>
      <c r="K3112" s="9">
        <f t="shared" si="97"/>
        <v>0.24861633378001166</v>
      </c>
    </row>
    <row r="3113" spans="1:11" x14ac:dyDescent="0.3">
      <c r="A3113">
        <v>1078</v>
      </c>
      <c r="B3113">
        <v>5</v>
      </c>
      <c r="C3113">
        <v>72</v>
      </c>
      <c r="D3113" t="str">
        <f>VLOOKUP($C3113,products!$A$1:$F$322,MATCH(order_items!$D$1,products!$A$1:$F$1,0),FALSE)</f>
        <v>Sun Bicycles Biscayne Tandem 7 - 2017</v>
      </c>
      <c r="E3113">
        <f>VLOOKUP($C3113,products!$A$1:$F$322,MATCH(order_items!$E$1,products!$A$1:$F$1,0),FALSE)</f>
        <v>3</v>
      </c>
      <c r="F3113" t="str">
        <f>VLOOKUP($E3113,categories!$A$1:$B$8,MATCH(order_items!$F$1,categories!$A$1:$B$1,0),FALSE)</f>
        <v>Cruisers Bicycles</v>
      </c>
      <c r="G3113">
        <v>2</v>
      </c>
      <c r="H3113">
        <v>619.99</v>
      </c>
      <c r="I3113" s="5">
        <v>0.2</v>
      </c>
      <c r="J3113">
        <f t="shared" si="96"/>
        <v>991.98400000000004</v>
      </c>
      <c r="K3113" s="9">
        <f t="shared" si="97"/>
        <v>-0.43818850280142219</v>
      </c>
    </row>
    <row r="3114" spans="1:11" x14ac:dyDescent="0.3">
      <c r="A3114">
        <v>1079</v>
      </c>
      <c r="B3114">
        <v>1</v>
      </c>
      <c r="C3114">
        <v>70</v>
      </c>
      <c r="D3114" t="str">
        <f>VLOOKUP($C3114,products!$A$1:$F$322,MATCH(order_items!$D$1,products!$A$1:$F$1,0),FALSE)</f>
        <v>Electra Amsterdam Original 3i - 2015/2017</v>
      </c>
      <c r="E3114">
        <f>VLOOKUP($C3114,products!$A$1:$F$322,MATCH(order_items!$E$1,products!$A$1:$F$1,0),FALSE)</f>
        <v>3</v>
      </c>
      <c r="F3114" t="str">
        <f>VLOOKUP($E3114,categories!$A$1:$B$8,MATCH(order_items!$F$1,categories!$A$1:$B$1,0),FALSE)</f>
        <v>Cruisers Bicycles</v>
      </c>
      <c r="G3114">
        <v>2</v>
      </c>
      <c r="H3114">
        <v>659.99</v>
      </c>
      <c r="I3114" s="5">
        <v>7.0000000000000007E-2</v>
      </c>
      <c r="J3114">
        <f t="shared" si="96"/>
        <v>1227.5814</v>
      </c>
      <c r="K3114" s="9">
        <f t="shared" si="97"/>
        <v>-0.40861703052097592</v>
      </c>
    </row>
    <row r="3115" spans="1:11" x14ac:dyDescent="0.3">
      <c r="A3115">
        <v>1080</v>
      </c>
      <c r="B3115">
        <v>1</v>
      </c>
      <c r="C3115">
        <v>31</v>
      </c>
      <c r="D3115" t="str">
        <f>VLOOKUP($C3115,products!$A$1:$F$322,MATCH(order_items!$D$1,products!$A$1:$F$1,0),FALSE)</f>
        <v>Surly Wednesday - 2017</v>
      </c>
      <c r="E3115">
        <f>VLOOKUP($C3115,products!$A$1:$F$322,MATCH(order_items!$E$1,products!$A$1:$F$1,0),FALSE)</f>
        <v>6</v>
      </c>
      <c r="F3115" t="str">
        <f>VLOOKUP($E3115,categories!$A$1:$B$8,MATCH(order_items!$F$1,categories!$A$1:$B$1,0),FALSE)</f>
        <v>Mountain Bikes</v>
      </c>
      <c r="G3115">
        <v>1</v>
      </c>
      <c r="H3115">
        <v>1632.99</v>
      </c>
      <c r="I3115" s="5">
        <v>0.2</v>
      </c>
      <c r="J3115">
        <f t="shared" si="96"/>
        <v>1306.3920000000001</v>
      </c>
      <c r="K3115" s="9">
        <f t="shared" si="97"/>
        <v>0.31070903270087863</v>
      </c>
    </row>
    <row r="3116" spans="1:11" x14ac:dyDescent="0.3">
      <c r="A3116">
        <v>1080</v>
      </c>
      <c r="B3116">
        <v>2</v>
      </c>
      <c r="C3116">
        <v>40</v>
      </c>
      <c r="D3116" t="str">
        <f>VLOOKUP($C3116,products!$A$1:$F$322,MATCH(order_items!$D$1,products!$A$1:$F$1,0),FALSE)</f>
        <v>Trek Fuel EX 9.8 29 - 2017</v>
      </c>
      <c r="E3116">
        <f>VLOOKUP($C3116,products!$A$1:$F$322,MATCH(order_items!$E$1,products!$A$1:$F$1,0),FALSE)</f>
        <v>6</v>
      </c>
      <c r="F3116" t="str">
        <f>VLOOKUP($E3116,categories!$A$1:$B$8,MATCH(order_items!$F$1,categories!$A$1:$B$1,0),FALSE)</f>
        <v>Mountain Bikes</v>
      </c>
      <c r="G3116">
        <v>1</v>
      </c>
      <c r="H3116">
        <v>4999.99</v>
      </c>
      <c r="I3116" s="5">
        <v>0.1</v>
      </c>
      <c r="J3116">
        <f t="shared" si="96"/>
        <v>4499.991</v>
      </c>
      <c r="K3116" s="9">
        <f t="shared" si="97"/>
        <v>2.7998877119074401</v>
      </c>
    </row>
    <row r="3117" spans="1:11" x14ac:dyDescent="0.3">
      <c r="A3117">
        <v>1080</v>
      </c>
      <c r="B3117">
        <v>3</v>
      </c>
      <c r="C3117">
        <v>50</v>
      </c>
      <c r="D3117" t="str">
        <f>VLOOKUP($C3117,products!$A$1:$F$322,MATCH(order_items!$D$1,products!$A$1:$F$1,0),FALSE)</f>
        <v>Trek Silque SLR 7 Women's - 2017</v>
      </c>
      <c r="E3117">
        <f>VLOOKUP($C3117,products!$A$1:$F$322,MATCH(order_items!$E$1,products!$A$1:$F$1,0),FALSE)</f>
        <v>7</v>
      </c>
      <c r="F3117" t="str">
        <f>VLOOKUP($E3117,categories!$A$1:$B$8,MATCH(order_items!$F$1,categories!$A$1:$B$1,0),FALSE)</f>
        <v>Road Bikes</v>
      </c>
      <c r="G3117">
        <v>1</v>
      </c>
      <c r="H3117">
        <v>5999.99</v>
      </c>
      <c r="I3117" s="5">
        <v>0.05</v>
      </c>
      <c r="J3117">
        <f t="shared" si="96"/>
        <v>5699.9904999999999</v>
      </c>
      <c r="K3117" s="9">
        <f t="shared" si="97"/>
        <v>3.5391745189185961</v>
      </c>
    </row>
    <row r="3118" spans="1:11" x14ac:dyDescent="0.3">
      <c r="A3118">
        <v>1080</v>
      </c>
      <c r="B3118">
        <v>4</v>
      </c>
      <c r="C3118">
        <v>32</v>
      </c>
      <c r="D3118" t="str">
        <f>VLOOKUP($C3118,products!$A$1:$F$322,MATCH(order_items!$D$1,products!$A$1:$F$1,0),FALSE)</f>
        <v>Trek Farley Alloy Frameset - 2017</v>
      </c>
      <c r="E3118">
        <f>VLOOKUP($C3118,products!$A$1:$F$322,MATCH(order_items!$E$1,products!$A$1:$F$1,0),FALSE)</f>
        <v>6</v>
      </c>
      <c r="F3118" t="str">
        <f>VLOOKUP($E3118,categories!$A$1:$B$8,MATCH(order_items!$F$1,categories!$A$1:$B$1,0),FALSE)</f>
        <v>Mountain Bikes</v>
      </c>
      <c r="G3118">
        <v>2</v>
      </c>
      <c r="H3118">
        <v>469.99</v>
      </c>
      <c r="I3118" s="5">
        <v>0.2</v>
      </c>
      <c r="J3118">
        <f t="shared" si="96"/>
        <v>751.98400000000004</v>
      </c>
      <c r="K3118" s="9">
        <f t="shared" si="97"/>
        <v>-0.5490815238530955</v>
      </c>
    </row>
    <row r="3119" spans="1:11" x14ac:dyDescent="0.3">
      <c r="A3119">
        <v>1080</v>
      </c>
      <c r="B3119">
        <v>5</v>
      </c>
      <c r="C3119">
        <v>86</v>
      </c>
      <c r="D3119" t="str">
        <f>VLOOKUP($C3119,products!$A$1:$F$322,MATCH(order_items!$D$1,products!$A$1:$F$1,0),FALSE)</f>
        <v>Trek Girl's Kickster - 2017</v>
      </c>
      <c r="E3119">
        <f>VLOOKUP($C3119,products!$A$1:$F$322,MATCH(order_items!$E$1,products!$A$1:$F$1,0),FALSE)</f>
        <v>1</v>
      </c>
      <c r="F3119" t="str">
        <f>VLOOKUP($E3119,categories!$A$1:$B$8,MATCH(order_items!$F$1,categories!$A$1:$B$1,0),FALSE)</f>
        <v>Children Bicycles</v>
      </c>
      <c r="G3119">
        <v>1</v>
      </c>
      <c r="H3119">
        <v>149.99</v>
      </c>
      <c r="I3119" s="5">
        <v>0.05</v>
      </c>
      <c r="J3119">
        <f t="shared" si="96"/>
        <v>142.4905</v>
      </c>
      <c r="K3119" s="9">
        <f t="shared" si="97"/>
        <v>-0.7856533020966654</v>
      </c>
    </row>
    <row r="3120" spans="1:11" x14ac:dyDescent="0.3">
      <c r="A3120">
        <v>1081</v>
      </c>
      <c r="B3120">
        <v>1</v>
      </c>
      <c r="C3120">
        <v>52</v>
      </c>
      <c r="D3120" t="str">
        <f>VLOOKUP($C3120,products!$A$1:$F$322,MATCH(order_items!$D$1,products!$A$1:$F$1,0),FALSE)</f>
        <v>Surly Steamroller - 2017</v>
      </c>
      <c r="E3120">
        <f>VLOOKUP($C3120,products!$A$1:$F$322,MATCH(order_items!$E$1,products!$A$1:$F$1,0),FALSE)</f>
        <v>7</v>
      </c>
      <c r="F3120" t="str">
        <f>VLOOKUP($E3120,categories!$A$1:$B$8,MATCH(order_items!$F$1,categories!$A$1:$B$1,0),FALSE)</f>
        <v>Road Bikes</v>
      </c>
      <c r="G3120">
        <v>2</v>
      </c>
      <c r="H3120">
        <v>875.99</v>
      </c>
      <c r="I3120" s="5">
        <v>0.1</v>
      </c>
      <c r="J3120">
        <f t="shared" si="96"/>
        <v>1576.7820000000002</v>
      </c>
      <c r="K3120" s="9">
        <f t="shared" si="97"/>
        <v>-0.24893108020656629</v>
      </c>
    </row>
    <row r="3121" spans="1:11" x14ac:dyDescent="0.3">
      <c r="A3121">
        <v>1082</v>
      </c>
      <c r="B3121">
        <v>1</v>
      </c>
      <c r="C3121">
        <v>29</v>
      </c>
      <c r="D3121" t="str">
        <f>VLOOKUP($C3121,products!$A$1:$F$322,MATCH(order_items!$D$1,products!$A$1:$F$1,0),FALSE)</f>
        <v>Trek X-Caliber 8 - 2017</v>
      </c>
      <c r="E3121">
        <f>VLOOKUP($C3121,products!$A$1:$F$322,MATCH(order_items!$E$1,products!$A$1:$F$1,0),FALSE)</f>
        <v>6</v>
      </c>
      <c r="F3121" t="str">
        <f>VLOOKUP($E3121,categories!$A$1:$B$8,MATCH(order_items!$F$1,categories!$A$1:$B$1,0),FALSE)</f>
        <v>Mountain Bikes</v>
      </c>
      <c r="G3121">
        <v>2</v>
      </c>
      <c r="H3121">
        <v>999.99</v>
      </c>
      <c r="I3121" s="5">
        <v>0.2</v>
      </c>
      <c r="J3121">
        <f t="shared" si="96"/>
        <v>1599.9840000000002</v>
      </c>
      <c r="K3121" s="9">
        <f t="shared" si="97"/>
        <v>-0.15725951613718298</v>
      </c>
    </row>
    <row r="3122" spans="1:11" x14ac:dyDescent="0.3">
      <c r="A3122">
        <v>1083</v>
      </c>
      <c r="B3122">
        <v>1</v>
      </c>
      <c r="C3122">
        <v>65</v>
      </c>
      <c r="D3122" t="str">
        <f>VLOOKUP($C3122,products!$A$1:$F$322,MATCH(order_items!$D$1,products!$A$1:$F$1,0),FALSE)</f>
        <v>Sun Bicycles Lil Bolt Type-R - 2017</v>
      </c>
      <c r="E3122">
        <f>VLOOKUP($C3122,products!$A$1:$F$322,MATCH(order_items!$E$1,products!$A$1:$F$1,0),FALSE)</f>
        <v>3</v>
      </c>
      <c r="F3122" t="str">
        <f>VLOOKUP($E3122,categories!$A$1:$B$8,MATCH(order_items!$F$1,categories!$A$1:$B$1,0),FALSE)</f>
        <v>Cruisers Bicycles</v>
      </c>
      <c r="G3122">
        <v>2</v>
      </c>
      <c r="H3122">
        <v>346.99</v>
      </c>
      <c r="I3122" s="5">
        <v>0.2</v>
      </c>
      <c r="J3122">
        <f t="shared" si="96"/>
        <v>555.18400000000008</v>
      </c>
      <c r="K3122" s="9">
        <f t="shared" si="97"/>
        <v>-0.64001380111546768</v>
      </c>
    </row>
    <row r="3123" spans="1:11" x14ac:dyDescent="0.3">
      <c r="A3123">
        <v>1083</v>
      </c>
      <c r="B3123">
        <v>2</v>
      </c>
      <c r="C3123">
        <v>77</v>
      </c>
      <c r="D3123" t="str">
        <f>VLOOKUP($C3123,products!$A$1:$F$322,MATCH(order_items!$D$1,products!$A$1:$F$1,0),FALSE)</f>
        <v>Electra Glam Punk 3i Ladies' - 2017</v>
      </c>
      <c r="E3123">
        <f>VLOOKUP($C3123,products!$A$1:$F$322,MATCH(order_items!$E$1,products!$A$1:$F$1,0),FALSE)</f>
        <v>3</v>
      </c>
      <c r="F3123" t="str">
        <f>VLOOKUP($E3123,categories!$A$1:$B$8,MATCH(order_items!$F$1,categories!$A$1:$B$1,0),FALSE)</f>
        <v>Cruisers Bicycles</v>
      </c>
      <c r="G3123">
        <v>2</v>
      </c>
      <c r="H3123">
        <v>799.99</v>
      </c>
      <c r="I3123" s="5">
        <v>0.1</v>
      </c>
      <c r="J3123">
        <f t="shared" si="96"/>
        <v>1439.982</v>
      </c>
      <c r="K3123" s="9">
        <f t="shared" si="97"/>
        <v>-0.30511687753941413</v>
      </c>
    </row>
    <row r="3124" spans="1:11" x14ac:dyDescent="0.3">
      <c r="A3124">
        <v>1083</v>
      </c>
      <c r="B3124">
        <v>3</v>
      </c>
      <c r="C3124">
        <v>61</v>
      </c>
      <c r="D3124" t="str">
        <f>VLOOKUP($C3124,products!$A$1:$F$322,MATCH(order_items!$D$1,products!$A$1:$F$1,0),FALSE)</f>
        <v>Trek Powerfly 8 FS Plus - 2017</v>
      </c>
      <c r="E3124">
        <f>VLOOKUP($C3124,products!$A$1:$F$322,MATCH(order_items!$E$1,products!$A$1:$F$1,0),FALSE)</f>
        <v>5</v>
      </c>
      <c r="F3124" t="str">
        <f>VLOOKUP($E3124,categories!$A$1:$B$8,MATCH(order_items!$F$1,categories!$A$1:$B$1,0),FALSE)</f>
        <v>Electric Bikes</v>
      </c>
      <c r="G3124">
        <v>1</v>
      </c>
      <c r="H3124">
        <v>4999.99</v>
      </c>
      <c r="I3124" s="5">
        <v>7.0000000000000007E-2</v>
      </c>
      <c r="J3124">
        <f t="shared" si="96"/>
        <v>4649.9906999999994</v>
      </c>
      <c r="K3124" s="9">
        <f t="shared" si="97"/>
        <v>2.7998877119074401</v>
      </c>
    </row>
    <row r="3125" spans="1:11" x14ac:dyDescent="0.3">
      <c r="A3125">
        <v>1083</v>
      </c>
      <c r="B3125">
        <v>4</v>
      </c>
      <c r="C3125">
        <v>33</v>
      </c>
      <c r="D3125" t="str">
        <f>VLOOKUP($C3125,products!$A$1:$F$322,MATCH(order_items!$D$1,products!$A$1:$F$1,0),FALSE)</f>
        <v>Surly Wednesday Frameset - 2017</v>
      </c>
      <c r="E3125">
        <f>VLOOKUP($C3125,products!$A$1:$F$322,MATCH(order_items!$E$1,products!$A$1:$F$1,0),FALSE)</f>
        <v>6</v>
      </c>
      <c r="F3125" t="str">
        <f>VLOOKUP($E3125,categories!$A$1:$B$8,MATCH(order_items!$F$1,categories!$A$1:$B$1,0),FALSE)</f>
        <v>Mountain Bikes</v>
      </c>
      <c r="G3125">
        <v>1</v>
      </c>
      <c r="H3125">
        <v>469.99</v>
      </c>
      <c r="I3125" s="5">
        <v>0.2</v>
      </c>
      <c r="J3125">
        <f t="shared" si="96"/>
        <v>375.99200000000002</v>
      </c>
      <c r="K3125" s="9">
        <f t="shared" si="97"/>
        <v>-0.5490815238530955</v>
      </c>
    </row>
    <row r="3126" spans="1:11" x14ac:dyDescent="0.3">
      <c r="A3126">
        <v>1084</v>
      </c>
      <c r="B3126">
        <v>1</v>
      </c>
      <c r="C3126">
        <v>30</v>
      </c>
      <c r="D3126" t="str">
        <f>VLOOKUP($C3126,products!$A$1:$F$322,MATCH(order_items!$D$1,products!$A$1:$F$1,0),FALSE)</f>
        <v>Surly Ice Cream Truck Frameset - 2017</v>
      </c>
      <c r="E3126">
        <f>VLOOKUP($C3126,products!$A$1:$F$322,MATCH(order_items!$E$1,products!$A$1:$F$1,0),FALSE)</f>
        <v>6</v>
      </c>
      <c r="F3126" t="str">
        <f>VLOOKUP($E3126,categories!$A$1:$B$8,MATCH(order_items!$F$1,categories!$A$1:$B$1,0),FALSE)</f>
        <v>Mountain Bikes</v>
      </c>
      <c r="G3126">
        <v>1</v>
      </c>
      <c r="H3126">
        <v>999.99</v>
      </c>
      <c r="I3126" s="5">
        <v>0.05</v>
      </c>
      <c r="J3126">
        <f t="shared" si="96"/>
        <v>949.9905</v>
      </c>
      <c r="K3126" s="9">
        <f t="shared" si="97"/>
        <v>-0.15725951613718298</v>
      </c>
    </row>
    <row r="3127" spans="1:11" x14ac:dyDescent="0.3">
      <c r="A3127">
        <v>1084</v>
      </c>
      <c r="B3127">
        <v>2</v>
      </c>
      <c r="C3127">
        <v>70</v>
      </c>
      <c r="D3127" t="str">
        <f>VLOOKUP($C3127,products!$A$1:$F$322,MATCH(order_items!$D$1,products!$A$1:$F$1,0),FALSE)</f>
        <v>Electra Amsterdam Original 3i - 2015/2017</v>
      </c>
      <c r="E3127">
        <f>VLOOKUP($C3127,products!$A$1:$F$322,MATCH(order_items!$E$1,products!$A$1:$F$1,0),FALSE)</f>
        <v>3</v>
      </c>
      <c r="F3127" t="str">
        <f>VLOOKUP($E3127,categories!$A$1:$B$8,MATCH(order_items!$F$1,categories!$A$1:$B$1,0),FALSE)</f>
        <v>Cruisers Bicycles</v>
      </c>
      <c r="G3127">
        <v>1</v>
      </c>
      <c r="H3127">
        <v>659.99</v>
      </c>
      <c r="I3127" s="5">
        <v>0.05</v>
      </c>
      <c r="J3127">
        <f t="shared" si="96"/>
        <v>626.9905</v>
      </c>
      <c r="K3127" s="9">
        <f t="shared" si="97"/>
        <v>-0.40861703052097592</v>
      </c>
    </row>
    <row r="3128" spans="1:11" x14ac:dyDescent="0.3">
      <c r="A3128">
        <v>1084</v>
      </c>
      <c r="B3128">
        <v>3</v>
      </c>
      <c r="C3128">
        <v>98</v>
      </c>
      <c r="D3128" t="str">
        <f>VLOOKUP($C3128,products!$A$1:$F$322,MATCH(order_items!$D$1,products!$A$1:$F$1,0),FALSE)</f>
        <v>Electra Straight 8 3i (20-inch) - Boy's - 2017</v>
      </c>
      <c r="E3128">
        <f>VLOOKUP($C3128,products!$A$1:$F$322,MATCH(order_items!$E$1,products!$A$1:$F$1,0),FALSE)</f>
        <v>1</v>
      </c>
      <c r="F3128" t="str">
        <f>VLOOKUP($E3128,categories!$A$1:$B$8,MATCH(order_items!$F$1,categories!$A$1:$B$1,0),FALSE)</f>
        <v>Children Bicycles</v>
      </c>
      <c r="G3128">
        <v>2</v>
      </c>
      <c r="H3128">
        <v>489.99</v>
      </c>
      <c r="I3128" s="5">
        <v>0.2</v>
      </c>
      <c r="J3128">
        <f t="shared" si="96"/>
        <v>783.98400000000004</v>
      </c>
      <c r="K3128" s="9">
        <f t="shared" si="97"/>
        <v>-0.53429578771287245</v>
      </c>
    </row>
    <row r="3129" spans="1:11" x14ac:dyDescent="0.3">
      <c r="A3129">
        <v>1084</v>
      </c>
      <c r="B3129">
        <v>4</v>
      </c>
      <c r="C3129">
        <v>65</v>
      </c>
      <c r="D3129" t="str">
        <f>VLOOKUP($C3129,products!$A$1:$F$322,MATCH(order_items!$D$1,products!$A$1:$F$1,0),FALSE)</f>
        <v>Sun Bicycles Lil Bolt Type-R - 2017</v>
      </c>
      <c r="E3129">
        <f>VLOOKUP($C3129,products!$A$1:$F$322,MATCH(order_items!$E$1,products!$A$1:$F$1,0),FALSE)</f>
        <v>3</v>
      </c>
      <c r="F3129" t="str">
        <f>VLOOKUP($E3129,categories!$A$1:$B$8,MATCH(order_items!$F$1,categories!$A$1:$B$1,0),FALSE)</f>
        <v>Cruisers Bicycles</v>
      </c>
      <c r="G3129">
        <v>2</v>
      </c>
      <c r="H3129">
        <v>346.99</v>
      </c>
      <c r="I3129" s="5">
        <v>7.0000000000000007E-2</v>
      </c>
      <c r="J3129">
        <f t="shared" si="96"/>
        <v>645.40139999999997</v>
      </c>
      <c r="K3129" s="9">
        <f t="shared" si="97"/>
        <v>-0.64001380111546768</v>
      </c>
    </row>
    <row r="3130" spans="1:11" x14ac:dyDescent="0.3">
      <c r="A3130">
        <v>1084</v>
      </c>
      <c r="B3130">
        <v>5</v>
      </c>
      <c r="C3130">
        <v>60</v>
      </c>
      <c r="D3130" t="str">
        <f>VLOOKUP($C3130,products!$A$1:$F$322,MATCH(order_items!$D$1,products!$A$1:$F$1,0),FALSE)</f>
        <v>Sun Bicycles ElectroLite - 2017</v>
      </c>
      <c r="E3130">
        <f>VLOOKUP($C3130,products!$A$1:$F$322,MATCH(order_items!$E$1,products!$A$1:$F$1,0),FALSE)</f>
        <v>5</v>
      </c>
      <c r="F3130" t="str">
        <f>VLOOKUP($E3130,categories!$A$1:$B$8,MATCH(order_items!$F$1,categories!$A$1:$B$1,0),FALSE)</f>
        <v>Electric Bikes</v>
      </c>
      <c r="G3130">
        <v>1</v>
      </c>
      <c r="H3130">
        <v>1559.99</v>
      </c>
      <c r="I3130" s="5">
        <v>0.1</v>
      </c>
      <c r="J3130">
        <f t="shared" si="96"/>
        <v>1403.991</v>
      </c>
      <c r="K3130" s="9">
        <f t="shared" si="97"/>
        <v>0.25674109578906423</v>
      </c>
    </row>
    <row r="3131" spans="1:11" x14ac:dyDescent="0.3">
      <c r="A3131">
        <v>1085</v>
      </c>
      <c r="B3131">
        <v>1</v>
      </c>
      <c r="C3131">
        <v>66</v>
      </c>
      <c r="D3131" t="str">
        <f>VLOOKUP($C3131,products!$A$1:$F$322,MATCH(order_items!$D$1,products!$A$1:$F$1,0),FALSE)</f>
        <v>Sun Bicycles Revolutions 24 - 2017</v>
      </c>
      <c r="E3131">
        <f>VLOOKUP($C3131,products!$A$1:$F$322,MATCH(order_items!$E$1,products!$A$1:$F$1,0),FALSE)</f>
        <v>3</v>
      </c>
      <c r="F3131" t="str">
        <f>VLOOKUP($E3131,categories!$A$1:$B$8,MATCH(order_items!$F$1,categories!$A$1:$B$1,0),FALSE)</f>
        <v>Cruisers Bicycles</v>
      </c>
      <c r="G3131">
        <v>2</v>
      </c>
      <c r="H3131">
        <v>250.99</v>
      </c>
      <c r="I3131" s="5">
        <v>0.2</v>
      </c>
      <c r="J3131">
        <f t="shared" si="96"/>
        <v>401.58400000000006</v>
      </c>
      <c r="K3131" s="9">
        <f t="shared" si="97"/>
        <v>-0.71098533458853863</v>
      </c>
    </row>
    <row r="3132" spans="1:11" x14ac:dyDescent="0.3">
      <c r="A3132">
        <v>1085</v>
      </c>
      <c r="B3132">
        <v>2</v>
      </c>
      <c r="C3132">
        <v>64</v>
      </c>
      <c r="D3132" t="str">
        <f>VLOOKUP($C3132,products!$A$1:$F$322,MATCH(order_items!$D$1,products!$A$1:$F$1,0),FALSE)</f>
        <v>Electra Townie Original 7D - 2017</v>
      </c>
      <c r="E3132">
        <f>VLOOKUP($C3132,products!$A$1:$F$322,MATCH(order_items!$E$1,products!$A$1:$F$1,0),FALSE)</f>
        <v>3</v>
      </c>
      <c r="F3132" t="str">
        <f>VLOOKUP($E3132,categories!$A$1:$B$8,MATCH(order_items!$F$1,categories!$A$1:$B$1,0),FALSE)</f>
        <v>Cruisers Bicycles</v>
      </c>
      <c r="G3132">
        <v>1</v>
      </c>
      <c r="H3132">
        <v>489.99</v>
      </c>
      <c r="I3132" s="5">
        <v>0.1</v>
      </c>
      <c r="J3132">
        <f t="shared" si="96"/>
        <v>440.99100000000004</v>
      </c>
      <c r="K3132" s="9">
        <f t="shared" si="97"/>
        <v>-0.53429578771287245</v>
      </c>
    </row>
    <row r="3133" spans="1:11" x14ac:dyDescent="0.3">
      <c r="A3133">
        <v>1085</v>
      </c>
      <c r="B3133">
        <v>3</v>
      </c>
      <c r="C3133">
        <v>74</v>
      </c>
      <c r="D3133" t="str">
        <f>VLOOKUP($C3133,products!$A$1:$F$322,MATCH(order_items!$D$1,products!$A$1:$F$1,0),FALSE)</f>
        <v>Electra Cruiser Lux 1 - 2017</v>
      </c>
      <c r="E3133">
        <f>VLOOKUP($C3133,products!$A$1:$F$322,MATCH(order_items!$E$1,products!$A$1:$F$1,0),FALSE)</f>
        <v>3</v>
      </c>
      <c r="F3133" t="str">
        <f>VLOOKUP($E3133,categories!$A$1:$B$8,MATCH(order_items!$F$1,categories!$A$1:$B$1,0),FALSE)</f>
        <v>Cruisers Bicycles</v>
      </c>
      <c r="G3133">
        <v>1</v>
      </c>
      <c r="H3133">
        <v>439.99</v>
      </c>
      <c r="I3133" s="5">
        <v>0.1</v>
      </c>
      <c r="J3133">
        <f t="shared" si="96"/>
        <v>395.99100000000004</v>
      </c>
      <c r="K3133" s="9">
        <f t="shared" si="97"/>
        <v>-0.57126012806343018</v>
      </c>
    </row>
    <row r="3134" spans="1:11" x14ac:dyDescent="0.3">
      <c r="A3134">
        <v>1086</v>
      </c>
      <c r="B3134">
        <v>1</v>
      </c>
      <c r="C3134">
        <v>108</v>
      </c>
      <c r="D3134" t="str">
        <f>VLOOKUP($C3134,products!$A$1:$F$322,MATCH(order_items!$D$1,products!$A$1:$F$1,0),FALSE)</f>
        <v>Sun Bicycles Cruz 3 - Women's - 2017</v>
      </c>
      <c r="E3134">
        <f>VLOOKUP($C3134,products!$A$1:$F$322,MATCH(order_items!$E$1,products!$A$1:$F$1,0),FALSE)</f>
        <v>2</v>
      </c>
      <c r="F3134" t="str">
        <f>VLOOKUP($E3134,categories!$A$1:$B$8,MATCH(order_items!$F$1,categories!$A$1:$B$1,0),FALSE)</f>
        <v>Comfort Bicycles</v>
      </c>
      <c r="G3134">
        <v>1</v>
      </c>
      <c r="H3134">
        <v>449.99</v>
      </c>
      <c r="I3134" s="5">
        <v>7.0000000000000007E-2</v>
      </c>
      <c r="J3134">
        <f t="shared" si="96"/>
        <v>418.4907</v>
      </c>
      <c r="K3134" s="9">
        <f t="shared" si="97"/>
        <v>-0.56386725999331866</v>
      </c>
    </row>
    <row r="3135" spans="1:11" x14ac:dyDescent="0.3">
      <c r="A3135">
        <v>1086</v>
      </c>
      <c r="B3135">
        <v>2</v>
      </c>
      <c r="C3135">
        <v>67</v>
      </c>
      <c r="D3135" t="str">
        <f>VLOOKUP($C3135,products!$A$1:$F$322,MATCH(order_items!$D$1,products!$A$1:$F$1,0),FALSE)</f>
        <v>Sun Bicycles Revolutions 24 - Girl's - 2017</v>
      </c>
      <c r="E3135">
        <f>VLOOKUP($C3135,products!$A$1:$F$322,MATCH(order_items!$E$1,products!$A$1:$F$1,0),FALSE)</f>
        <v>3</v>
      </c>
      <c r="F3135" t="str">
        <f>VLOOKUP($E3135,categories!$A$1:$B$8,MATCH(order_items!$F$1,categories!$A$1:$B$1,0),FALSE)</f>
        <v>Cruisers Bicycles</v>
      </c>
      <c r="G3135">
        <v>1</v>
      </c>
      <c r="H3135">
        <v>250.99</v>
      </c>
      <c r="I3135" s="5">
        <v>0.1</v>
      </c>
      <c r="J3135">
        <f t="shared" si="96"/>
        <v>225.89100000000002</v>
      </c>
      <c r="K3135" s="9">
        <f t="shared" si="97"/>
        <v>-0.71098533458853863</v>
      </c>
    </row>
    <row r="3136" spans="1:11" x14ac:dyDescent="0.3">
      <c r="A3136">
        <v>1086</v>
      </c>
      <c r="B3136">
        <v>3</v>
      </c>
      <c r="C3136">
        <v>81</v>
      </c>
      <c r="D3136" t="str">
        <f>VLOOKUP($C3136,products!$A$1:$F$322,MATCH(order_items!$D$1,products!$A$1:$F$1,0),FALSE)</f>
        <v>Electra Amsterdam Fashion 7i Ladies' - 2017</v>
      </c>
      <c r="E3136">
        <f>VLOOKUP($C3136,products!$A$1:$F$322,MATCH(order_items!$E$1,products!$A$1:$F$1,0),FALSE)</f>
        <v>3</v>
      </c>
      <c r="F3136" t="str">
        <f>VLOOKUP($E3136,categories!$A$1:$B$8,MATCH(order_items!$F$1,categories!$A$1:$B$1,0),FALSE)</f>
        <v>Cruisers Bicycles</v>
      </c>
      <c r="G3136">
        <v>2</v>
      </c>
      <c r="H3136">
        <v>1099.99</v>
      </c>
      <c r="I3136" s="5">
        <v>0.05</v>
      </c>
      <c r="J3136">
        <f t="shared" si="96"/>
        <v>2089.9809999999998</v>
      </c>
      <c r="K3136" s="9">
        <f t="shared" si="97"/>
        <v>-8.3330835436067396E-2</v>
      </c>
    </row>
    <row r="3137" spans="1:11" x14ac:dyDescent="0.3">
      <c r="A3137">
        <v>1086</v>
      </c>
      <c r="B3137">
        <v>4</v>
      </c>
      <c r="C3137">
        <v>10</v>
      </c>
      <c r="D3137" t="str">
        <f>VLOOKUP($C3137,products!$A$1:$F$322,MATCH(order_items!$D$1,products!$A$1:$F$1,0),FALSE)</f>
        <v>Surly Straggler - 2016</v>
      </c>
      <c r="E3137">
        <f>VLOOKUP($C3137,products!$A$1:$F$322,MATCH(order_items!$E$1,products!$A$1:$F$1,0),FALSE)</f>
        <v>4</v>
      </c>
      <c r="F3137" t="str">
        <f>VLOOKUP($E3137,categories!$A$1:$B$8,MATCH(order_items!$F$1,categories!$A$1:$B$1,0),FALSE)</f>
        <v>Cyclocross Bicycles</v>
      </c>
      <c r="G3137">
        <v>2</v>
      </c>
      <c r="H3137">
        <v>1549</v>
      </c>
      <c r="I3137" s="5">
        <v>7.0000000000000007E-2</v>
      </c>
      <c r="J3137">
        <f t="shared" si="96"/>
        <v>2881.14</v>
      </c>
      <c r="K3137" s="9">
        <f t="shared" si="97"/>
        <v>0.24861633378001166</v>
      </c>
    </row>
    <row r="3138" spans="1:11" x14ac:dyDescent="0.3">
      <c r="A3138">
        <v>1086</v>
      </c>
      <c r="B3138">
        <v>5</v>
      </c>
      <c r="C3138">
        <v>5</v>
      </c>
      <c r="D3138" t="str">
        <f>VLOOKUP($C3138,products!$A$1:$F$322,MATCH(order_items!$D$1,products!$A$1:$F$1,0),FALSE)</f>
        <v>Heller Shagamaw Frame - 2016</v>
      </c>
      <c r="E3138">
        <f>VLOOKUP($C3138,products!$A$1:$F$322,MATCH(order_items!$E$1,products!$A$1:$F$1,0),FALSE)</f>
        <v>6</v>
      </c>
      <c r="F3138" t="str">
        <f>VLOOKUP($E3138,categories!$A$1:$B$8,MATCH(order_items!$F$1,categories!$A$1:$B$1,0),FALSE)</f>
        <v>Mountain Bikes</v>
      </c>
      <c r="G3138">
        <v>1</v>
      </c>
      <c r="H3138">
        <v>1320.99</v>
      </c>
      <c r="I3138" s="5">
        <v>0.2</v>
      </c>
      <c r="J3138">
        <f t="shared" ref="J3138:J3201" si="98">G3138*H3138*(1-I3138)</f>
        <v>1056.7920000000001</v>
      </c>
      <c r="K3138" s="9">
        <f t="shared" ref="K3138:K3201" si="99">($H3138-$M$7)/$M$9</f>
        <v>8.0051548913398024E-2</v>
      </c>
    </row>
    <row r="3139" spans="1:11" x14ac:dyDescent="0.3">
      <c r="A3139">
        <v>1087</v>
      </c>
      <c r="B3139">
        <v>1</v>
      </c>
      <c r="C3139">
        <v>15</v>
      </c>
      <c r="D3139" t="str">
        <f>VLOOKUP($C3139,products!$A$1:$F$322,MATCH(order_items!$D$1,products!$A$1:$F$1,0),FALSE)</f>
        <v>Electra Moto 1 - 2016</v>
      </c>
      <c r="E3139">
        <f>VLOOKUP($C3139,products!$A$1:$F$322,MATCH(order_items!$E$1,products!$A$1:$F$1,0),FALSE)</f>
        <v>3</v>
      </c>
      <c r="F3139" t="str">
        <f>VLOOKUP($E3139,categories!$A$1:$B$8,MATCH(order_items!$F$1,categories!$A$1:$B$1,0),FALSE)</f>
        <v>Cruisers Bicycles</v>
      </c>
      <c r="G3139">
        <v>1</v>
      </c>
      <c r="H3139">
        <v>529.99</v>
      </c>
      <c r="I3139" s="5">
        <v>7.0000000000000007E-2</v>
      </c>
      <c r="J3139">
        <f t="shared" si="98"/>
        <v>492.89069999999998</v>
      </c>
      <c r="K3139" s="9">
        <f t="shared" si="99"/>
        <v>-0.50472431543242624</v>
      </c>
    </row>
    <row r="3140" spans="1:11" x14ac:dyDescent="0.3">
      <c r="A3140">
        <v>1087</v>
      </c>
      <c r="B3140">
        <v>2</v>
      </c>
      <c r="C3140">
        <v>102</v>
      </c>
      <c r="D3140" t="str">
        <f>VLOOKUP($C3140,products!$A$1:$F$322,MATCH(order_items!$D$1,products!$A$1:$F$1,0),FALSE)</f>
        <v>Electra Townie Original 7D - 2017</v>
      </c>
      <c r="E3140">
        <f>VLOOKUP($C3140,products!$A$1:$F$322,MATCH(order_items!$E$1,products!$A$1:$F$1,0),FALSE)</f>
        <v>2</v>
      </c>
      <c r="F3140" t="str">
        <f>VLOOKUP($E3140,categories!$A$1:$B$8,MATCH(order_items!$F$1,categories!$A$1:$B$1,0),FALSE)</f>
        <v>Comfort Bicycles</v>
      </c>
      <c r="G3140">
        <v>2</v>
      </c>
      <c r="H3140">
        <v>489.99</v>
      </c>
      <c r="I3140" s="5">
        <v>7.0000000000000007E-2</v>
      </c>
      <c r="J3140">
        <f t="shared" si="98"/>
        <v>911.38139999999999</v>
      </c>
      <c r="K3140" s="9">
        <f t="shared" si="99"/>
        <v>-0.53429578771287245</v>
      </c>
    </row>
    <row r="3141" spans="1:11" x14ac:dyDescent="0.3">
      <c r="A3141">
        <v>1087</v>
      </c>
      <c r="B3141">
        <v>3</v>
      </c>
      <c r="C3141">
        <v>59</v>
      </c>
      <c r="D3141" t="str">
        <f>VLOOKUP($C3141,products!$A$1:$F$322,MATCH(order_items!$D$1,products!$A$1:$F$1,0),FALSE)</f>
        <v>Trek Domane S 5 Disc - 2017</v>
      </c>
      <c r="E3141">
        <f>VLOOKUP($C3141,products!$A$1:$F$322,MATCH(order_items!$E$1,products!$A$1:$F$1,0),FALSE)</f>
        <v>7</v>
      </c>
      <c r="F3141" t="str">
        <f>VLOOKUP($E3141,categories!$A$1:$B$8,MATCH(order_items!$F$1,categories!$A$1:$B$1,0),FALSE)</f>
        <v>Road Bikes</v>
      </c>
      <c r="G3141">
        <v>2</v>
      </c>
      <c r="H3141">
        <v>2599.9899999999998</v>
      </c>
      <c r="I3141" s="5">
        <v>0.1</v>
      </c>
      <c r="J3141">
        <f t="shared" si="98"/>
        <v>4679.982</v>
      </c>
      <c r="K3141" s="9">
        <f t="shared" si="99"/>
        <v>1.025599375080666</v>
      </c>
    </row>
    <row r="3142" spans="1:11" x14ac:dyDescent="0.3">
      <c r="A3142">
        <v>1087</v>
      </c>
      <c r="B3142">
        <v>4</v>
      </c>
      <c r="C3142">
        <v>13</v>
      </c>
      <c r="D3142" t="str">
        <f>VLOOKUP($C3142,products!$A$1:$F$322,MATCH(order_items!$D$1,products!$A$1:$F$1,0),FALSE)</f>
        <v>Electra Cruiser 1 (24-Inch) - 2016</v>
      </c>
      <c r="E3142">
        <f>VLOOKUP($C3142,products!$A$1:$F$322,MATCH(order_items!$E$1,products!$A$1:$F$1,0),FALSE)</f>
        <v>3</v>
      </c>
      <c r="F3142" t="str">
        <f>VLOOKUP($E3142,categories!$A$1:$B$8,MATCH(order_items!$F$1,categories!$A$1:$B$1,0),FALSE)</f>
        <v>Cruisers Bicycles</v>
      </c>
      <c r="G3142">
        <v>2</v>
      </c>
      <c r="H3142">
        <v>269.99</v>
      </c>
      <c r="I3142" s="5">
        <v>7.0000000000000007E-2</v>
      </c>
      <c r="J3142">
        <f t="shared" si="98"/>
        <v>502.1814</v>
      </c>
      <c r="K3142" s="9">
        <f t="shared" si="99"/>
        <v>-0.69693888525532666</v>
      </c>
    </row>
    <row r="3143" spans="1:11" x14ac:dyDescent="0.3">
      <c r="A3143">
        <v>1087</v>
      </c>
      <c r="B3143">
        <v>5</v>
      </c>
      <c r="C3143">
        <v>109</v>
      </c>
      <c r="D3143" t="str">
        <f>VLOOKUP($C3143,products!$A$1:$F$322,MATCH(order_items!$D$1,products!$A$1:$F$1,0),FALSE)</f>
        <v>Sun Bicycles Cruz 7 - Women's - 2017</v>
      </c>
      <c r="E3143">
        <f>VLOOKUP($C3143,products!$A$1:$F$322,MATCH(order_items!$E$1,products!$A$1:$F$1,0),FALSE)</f>
        <v>2</v>
      </c>
      <c r="F3143" t="str">
        <f>VLOOKUP($E3143,categories!$A$1:$B$8,MATCH(order_items!$F$1,categories!$A$1:$B$1,0),FALSE)</f>
        <v>Comfort Bicycles</v>
      </c>
      <c r="G3143">
        <v>2</v>
      </c>
      <c r="H3143">
        <v>416.99</v>
      </c>
      <c r="I3143" s="5">
        <v>0.2</v>
      </c>
      <c r="J3143">
        <f t="shared" si="98"/>
        <v>667.18400000000008</v>
      </c>
      <c r="K3143" s="9">
        <f t="shared" si="99"/>
        <v>-0.58826372462468679</v>
      </c>
    </row>
    <row r="3144" spans="1:11" x14ac:dyDescent="0.3">
      <c r="A3144">
        <v>1088</v>
      </c>
      <c r="B3144">
        <v>1</v>
      </c>
      <c r="C3144">
        <v>64</v>
      </c>
      <c r="D3144" t="str">
        <f>VLOOKUP($C3144,products!$A$1:$F$322,MATCH(order_items!$D$1,products!$A$1:$F$1,0),FALSE)</f>
        <v>Electra Townie Original 7D - 2017</v>
      </c>
      <c r="E3144">
        <f>VLOOKUP($C3144,products!$A$1:$F$322,MATCH(order_items!$E$1,products!$A$1:$F$1,0),FALSE)</f>
        <v>3</v>
      </c>
      <c r="F3144" t="str">
        <f>VLOOKUP($E3144,categories!$A$1:$B$8,MATCH(order_items!$F$1,categories!$A$1:$B$1,0),FALSE)</f>
        <v>Cruisers Bicycles</v>
      </c>
      <c r="G3144">
        <v>1</v>
      </c>
      <c r="H3144">
        <v>489.99</v>
      </c>
      <c r="I3144" s="5">
        <v>0.1</v>
      </c>
      <c r="J3144">
        <f t="shared" si="98"/>
        <v>440.99100000000004</v>
      </c>
      <c r="K3144" s="9">
        <f t="shared" si="99"/>
        <v>-0.53429578771287245</v>
      </c>
    </row>
    <row r="3145" spans="1:11" x14ac:dyDescent="0.3">
      <c r="A3145">
        <v>1088</v>
      </c>
      <c r="B3145">
        <v>2</v>
      </c>
      <c r="C3145">
        <v>30</v>
      </c>
      <c r="D3145" t="str">
        <f>VLOOKUP($C3145,products!$A$1:$F$322,MATCH(order_items!$D$1,products!$A$1:$F$1,0),FALSE)</f>
        <v>Surly Ice Cream Truck Frameset - 2017</v>
      </c>
      <c r="E3145">
        <f>VLOOKUP($C3145,products!$A$1:$F$322,MATCH(order_items!$E$1,products!$A$1:$F$1,0),FALSE)</f>
        <v>6</v>
      </c>
      <c r="F3145" t="str">
        <f>VLOOKUP($E3145,categories!$A$1:$B$8,MATCH(order_items!$F$1,categories!$A$1:$B$1,0),FALSE)</f>
        <v>Mountain Bikes</v>
      </c>
      <c r="G3145">
        <v>1</v>
      </c>
      <c r="H3145">
        <v>999.99</v>
      </c>
      <c r="I3145" s="5">
        <v>0.1</v>
      </c>
      <c r="J3145">
        <f t="shared" si="98"/>
        <v>899.99099999999999</v>
      </c>
      <c r="K3145" s="9">
        <f t="shared" si="99"/>
        <v>-0.15725951613718298</v>
      </c>
    </row>
    <row r="3146" spans="1:11" x14ac:dyDescent="0.3">
      <c r="A3146">
        <v>1088</v>
      </c>
      <c r="B3146">
        <v>3</v>
      </c>
      <c r="C3146">
        <v>33</v>
      </c>
      <c r="D3146" t="str">
        <f>VLOOKUP($C3146,products!$A$1:$F$322,MATCH(order_items!$D$1,products!$A$1:$F$1,0),FALSE)</f>
        <v>Surly Wednesday Frameset - 2017</v>
      </c>
      <c r="E3146">
        <f>VLOOKUP($C3146,products!$A$1:$F$322,MATCH(order_items!$E$1,products!$A$1:$F$1,0),FALSE)</f>
        <v>6</v>
      </c>
      <c r="F3146" t="str">
        <f>VLOOKUP($E3146,categories!$A$1:$B$8,MATCH(order_items!$F$1,categories!$A$1:$B$1,0),FALSE)</f>
        <v>Mountain Bikes</v>
      </c>
      <c r="G3146">
        <v>1</v>
      </c>
      <c r="H3146">
        <v>469.99</v>
      </c>
      <c r="I3146" s="5">
        <v>7.0000000000000007E-2</v>
      </c>
      <c r="J3146">
        <f t="shared" si="98"/>
        <v>437.09069999999997</v>
      </c>
      <c r="K3146" s="9">
        <f t="shared" si="99"/>
        <v>-0.5490815238530955</v>
      </c>
    </row>
    <row r="3147" spans="1:11" x14ac:dyDescent="0.3">
      <c r="A3147">
        <v>1088</v>
      </c>
      <c r="B3147">
        <v>4</v>
      </c>
      <c r="C3147">
        <v>36</v>
      </c>
      <c r="D3147" t="str">
        <f>VLOOKUP($C3147,products!$A$1:$F$322,MATCH(order_items!$D$1,products!$A$1:$F$1,0),FALSE)</f>
        <v>Surly Troll Frameset - 2017</v>
      </c>
      <c r="E3147">
        <f>VLOOKUP($C3147,products!$A$1:$F$322,MATCH(order_items!$E$1,products!$A$1:$F$1,0),FALSE)</f>
        <v>6</v>
      </c>
      <c r="F3147" t="str">
        <f>VLOOKUP($E3147,categories!$A$1:$B$8,MATCH(order_items!$F$1,categories!$A$1:$B$1,0),FALSE)</f>
        <v>Mountain Bikes</v>
      </c>
      <c r="G3147">
        <v>2</v>
      </c>
      <c r="H3147">
        <v>832.99</v>
      </c>
      <c r="I3147" s="5">
        <v>0.2</v>
      </c>
      <c r="J3147">
        <f t="shared" si="98"/>
        <v>1332.7840000000001</v>
      </c>
      <c r="K3147" s="9">
        <f t="shared" si="99"/>
        <v>-0.280720412908046</v>
      </c>
    </row>
    <row r="3148" spans="1:11" x14ac:dyDescent="0.3">
      <c r="A3148">
        <v>1089</v>
      </c>
      <c r="B3148">
        <v>1</v>
      </c>
      <c r="C3148">
        <v>70</v>
      </c>
      <c r="D3148" t="str">
        <f>VLOOKUP($C3148,products!$A$1:$F$322,MATCH(order_items!$D$1,products!$A$1:$F$1,0),FALSE)</f>
        <v>Electra Amsterdam Original 3i - 2015/2017</v>
      </c>
      <c r="E3148">
        <f>VLOOKUP($C3148,products!$A$1:$F$322,MATCH(order_items!$E$1,products!$A$1:$F$1,0),FALSE)</f>
        <v>3</v>
      </c>
      <c r="F3148" t="str">
        <f>VLOOKUP($E3148,categories!$A$1:$B$8,MATCH(order_items!$F$1,categories!$A$1:$B$1,0),FALSE)</f>
        <v>Cruisers Bicycles</v>
      </c>
      <c r="G3148">
        <v>2</v>
      </c>
      <c r="H3148">
        <v>659.99</v>
      </c>
      <c r="I3148" s="5">
        <v>7.0000000000000007E-2</v>
      </c>
      <c r="J3148">
        <f t="shared" si="98"/>
        <v>1227.5814</v>
      </c>
      <c r="K3148" s="9">
        <f t="shared" si="99"/>
        <v>-0.40861703052097592</v>
      </c>
    </row>
    <row r="3149" spans="1:11" x14ac:dyDescent="0.3">
      <c r="A3149">
        <v>1089</v>
      </c>
      <c r="B3149">
        <v>2</v>
      </c>
      <c r="C3149">
        <v>30</v>
      </c>
      <c r="D3149" t="str">
        <f>VLOOKUP($C3149,products!$A$1:$F$322,MATCH(order_items!$D$1,products!$A$1:$F$1,0),FALSE)</f>
        <v>Surly Ice Cream Truck Frameset - 2017</v>
      </c>
      <c r="E3149">
        <f>VLOOKUP($C3149,products!$A$1:$F$322,MATCH(order_items!$E$1,products!$A$1:$F$1,0),FALSE)</f>
        <v>6</v>
      </c>
      <c r="F3149" t="str">
        <f>VLOOKUP($E3149,categories!$A$1:$B$8,MATCH(order_items!$F$1,categories!$A$1:$B$1,0),FALSE)</f>
        <v>Mountain Bikes</v>
      </c>
      <c r="G3149">
        <v>2</v>
      </c>
      <c r="H3149">
        <v>999.99</v>
      </c>
      <c r="I3149" s="5">
        <v>0.05</v>
      </c>
      <c r="J3149">
        <f t="shared" si="98"/>
        <v>1899.981</v>
      </c>
      <c r="K3149" s="9">
        <f t="shared" si="99"/>
        <v>-0.15725951613718298</v>
      </c>
    </row>
    <row r="3150" spans="1:11" x14ac:dyDescent="0.3">
      <c r="A3150">
        <v>1090</v>
      </c>
      <c r="B3150">
        <v>1</v>
      </c>
      <c r="C3150">
        <v>74</v>
      </c>
      <c r="D3150" t="str">
        <f>VLOOKUP($C3150,products!$A$1:$F$322,MATCH(order_items!$D$1,products!$A$1:$F$1,0),FALSE)</f>
        <v>Electra Cruiser Lux 1 - 2017</v>
      </c>
      <c r="E3150">
        <f>VLOOKUP($C3150,products!$A$1:$F$322,MATCH(order_items!$E$1,products!$A$1:$F$1,0),FALSE)</f>
        <v>3</v>
      </c>
      <c r="F3150" t="str">
        <f>VLOOKUP($E3150,categories!$A$1:$B$8,MATCH(order_items!$F$1,categories!$A$1:$B$1,0),FALSE)</f>
        <v>Cruisers Bicycles</v>
      </c>
      <c r="G3150">
        <v>1</v>
      </c>
      <c r="H3150">
        <v>439.99</v>
      </c>
      <c r="I3150" s="5">
        <v>0.2</v>
      </c>
      <c r="J3150">
        <f t="shared" si="98"/>
        <v>351.99200000000002</v>
      </c>
      <c r="K3150" s="9">
        <f t="shared" si="99"/>
        <v>-0.57126012806343018</v>
      </c>
    </row>
    <row r="3151" spans="1:11" x14ac:dyDescent="0.3">
      <c r="A3151">
        <v>1091</v>
      </c>
      <c r="B3151">
        <v>1</v>
      </c>
      <c r="C3151">
        <v>97</v>
      </c>
      <c r="D3151" t="str">
        <f>VLOOKUP($C3151,products!$A$1:$F$322,MATCH(order_items!$D$1,products!$A$1:$F$1,0),FALSE)</f>
        <v>Electra Savannah 3i (20-inch) - Girl's - 2017</v>
      </c>
      <c r="E3151">
        <f>VLOOKUP($C3151,products!$A$1:$F$322,MATCH(order_items!$E$1,products!$A$1:$F$1,0),FALSE)</f>
        <v>1</v>
      </c>
      <c r="F3151" t="str">
        <f>VLOOKUP($E3151,categories!$A$1:$B$8,MATCH(order_items!$F$1,categories!$A$1:$B$1,0),FALSE)</f>
        <v>Children Bicycles</v>
      </c>
      <c r="G3151">
        <v>1</v>
      </c>
      <c r="H3151">
        <v>349.99</v>
      </c>
      <c r="I3151" s="5">
        <v>0.05</v>
      </c>
      <c r="J3151">
        <f t="shared" si="98"/>
        <v>332.4905</v>
      </c>
      <c r="K3151" s="9">
        <f t="shared" si="99"/>
        <v>-0.63779594069443424</v>
      </c>
    </row>
    <row r="3152" spans="1:11" x14ac:dyDescent="0.3">
      <c r="A3152">
        <v>1091</v>
      </c>
      <c r="B3152">
        <v>2</v>
      </c>
      <c r="C3152">
        <v>56</v>
      </c>
      <c r="D3152" t="str">
        <f>VLOOKUP($C3152,products!$A$1:$F$322,MATCH(order_items!$D$1,products!$A$1:$F$1,0),FALSE)</f>
        <v>Trek Domane SLR 6 Disc - 2017</v>
      </c>
      <c r="E3152">
        <f>VLOOKUP($C3152,products!$A$1:$F$322,MATCH(order_items!$E$1,products!$A$1:$F$1,0),FALSE)</f>
        <v>7</v>
      </c>
      <c r="F3152" t="str">
        <f>VLOOKUP($E3152,categories!$A$1:$B$8,MATCH(order_items!$F$1,categories!$A$1:$B$1,0),FALSE)</f>
        <v>Road Bikes</v>
      </c>
      <c r="G3152">
        <v>1</v>
      </c>
      <c r="H3152">
        <v>5499.99</v>
      </c>
      <c r="I3152" s="5">
        <v>0.1</v>
      </c>
      <c r="J3152">
        <f t="shared" si="98"/>
        <v>4949.991</v>
      </c>
      <c r="K3152" s="9">
        <f t="shared" si="99"/>
        <v>3.1695311154130179</v>
      </c>
    </row>
    <row r="3153" spans="1:11" x14ac:dyDescent="0.3">
      <c r="A3153">
        <v>1091</v>
      </c>
      <c r="B3153">
        <v>3</v>
      </c>
      <c r="C3153">
        <v>19</v>
      </c>
      <c r="D3153" t="str">
        <f>VLOOKUP($C3153,products!$A$1:$F$322,MATCH(order_items!$D$1,products!$A$1:$F$1,0),FALSE)</f>
        <v>Pure Cycles William 3-Speed - 2016</v>
      </c>
      <c r="E3153">
        <f>VLOOKUP($C3153,products!$A$1:$F$322,MATCH(order_items!$E$1,products!$A$1:$F$1,0),FALSE)</f>
        <v>3</v>
      </c>
      <c r="F3153" t="str">
        <f>VLOOKUP($E3153,categories!$A$1:$B$8,MATCH(order_items!$F$1,categories!$A$1:$B$1,0),FALSE)</f>
        <v>Cruisers Bicycles</v>
      </c>
      <c r="G3153">
        <v>1</v>
      </c>
      <c r="H3153">
        <v>449</v>
      </c>
      <c r="I3153" s="5">
        <v>0.1</v>
      </c>
      <c r="J3153">
        <f t="shared" si="98"/>
        <v>404.1</v>
      </c>
      <c r="K3153" s="9">
        <f t="shared" si="99"/>
        <v>-0.56459915393225968</v>
      </c>
    </row>
    <row r="3154" spans="1:11" x14ac:dyDescent="0.3">
      <c r="A3154">
        <v>1092</v>
      </c>
      <c r="B3154">
        <v>1</v>
      </c>
      <c r="C3154">
        <v>34</v>
      </c>
      <c r="D3154" t="str">
        <f>VLOOKUP($C3154,products!$A$1:$F$322,MATCH(order_items!$D$1,products!$A$1:$F$1,0),FALSE)</f>
        <v>Trek Session DH 27.5 Carbon Frameset - 2017</v>
      </c>
      <c r="E3154">
        <f>VLOOKUP($C3154,products!$A$1:$F$322,MATCH(order_items!$E$1,products!$A$1:$F$1,0),FALSE)</f>
        <v>6</v>
      </c>
      <c r="F3154" t="str">
        <f>VLOOKUP($E3154,categories!$A$1:$B$8,MATCH(order_items!$F$1,categories!$A$1:$B$1,0),FALSE)</f>
        <v>Mountain Bikes</v>
      </c>
      <c r="G3154">
        <v>1</v>
      </c>
      <c r="H3154">
        <v>469.99</v>
      </c>
      <c r="I3154" s="5">
        <v>0.05</v>
      </c>
      <c r="J3154">
        <f t="shared" si="98"/>
        <v>446.4905</v>
      </c>
      <c r="K3154" s="9">
        <f t="shared" si="99"/>
        <v>-0.5490815238530955</v>
      </c>
    </row>
    <row r="3155" spans="1:11" x14ac:dyDescent="0.3">
      <c r="A3155">
        <v>1092</v>
      </c>
      <c r="B3155">
        <v>2</v>
      </c>
      <c r="C3155">
        <v>30</v>
      </c>
      <c r="D3155" t="str">
        <f>VLOOKUP($C3155,products!$A$1:$F$322,MATCH(order_items!$D$1,products!$A$1:$F$1,0),FALSE)</f>
        <v>Surly Ice Cream Truck Frameset - 2017</v>
      </c>
      <c r="E3155">
        <f>VLOOKUP($C3155,products!$A$1:$F$322,MATCH(order_items!$E$1,products!$A$1:$F$1,0),FALSE)</f>
        <v>6</v>
      </c>
      <c r="F3155" t="str">
        <f>VLOOKUP($E3155,categories!$A$1:$B$8,MATCH(order_items!$F$1,categories!$A$1:$B$1,0),FALSE)</f>
        <v>Mountain Bikes</v>
      </c>
      <c r="G3155">
        <v>2</v>
      </c>
      <c r="H3155">
        <v>999.99</v>
      </c>
      <c r="I3155" s="5">
        <v>7.0000000000000007E-2</v>
      </c>
      <c r="J3155">
        <f t="shared" si="98"/>
        <v>1859.9813999999999</v>
      </c>
      <c r="K3155" s="9">
        <f t="shared" si="99"/>
        <v>-0.15725951613718298</v>
      </c>
    </row>
    <row r="3156" spans="1:11" x14ac:dyDescent="0.3">
      <c r="A3156">
        <v>1092</v>
      </c>
      <c r="B3156">
        <v>3</v>
      </c>
      <c r="C3156">
        <v>2</v>
      </c>
      <c r="D3156" t="str">
        <f>VLOOKUP($C3156,products!$A$1:$F$322,MATCH(order_items!$D$1,products!$A$1:$F$1,0),FALSE)</f>
        <v>Ritchey Timberwolf Frameset - 2016</v>
      </c>
      <c r="E3156">
        <f>VLOOKUP($C3156,products!$A$1:$F$322,MATCH(order_items!$E$1,products!$A$1:$F$1,0),FALSE)</f>
        <v>6</v>
      </c>
      <c r="F3156" t="str">
        <f>VLOOKUP($E3156,categories!$A$1:$B$8,MATCH(order_items!$F$1,categories!$A$1:$B$1,0),FALSE)</f>
        <v>Mountain Bikes</v>
      </c>
      <c r="G3156">
        <v>2</v>
      </c>
      <c r="H3156">
        <v>749.99</v>
      </c>
      <c r="I3156" s="5">
        <v>0.1</v>
      </c>
      <c r="J3156">
        <f t="shared" si="98"/>
        <v>1349.982</v>
      </c>
      <c r="K3156" s="9">
        <f t="shared" si="99"/>
        <v>-0.34208121788997192</v>
      </c>
    </row>
    <row r="3157" spans="1:11" x14ac:dyDescent="0.3">
      <c r="A3157">
        <v>1092</v>
      </c>
      <c r="B3157">
        <v>4</v>
      </c>
      <c r="C3157">
        <v>18</v>
      </c>
      <c r="D3157" t="str">
        <f>VLOOKUP($C3157,products!$A$1:$F$322,MATCH(order_items!$D$1,products!$A$1:$F$1,0),FALSE)</f>
        <v>Pure Cycles Western 3-Speed - Women's - 2015/2016</v>
      </c>
      <c r="E3157">
        <f>VLOOKUP($C3157,products!$A$1:$F$322,MATCH(order_items!$E$1,products!$A$1:$F$1,0),FALSE)</f>
        <v>3</v>
      </c>
      <c r="F3157" t="str">
        <f>VLOOKUP($E3157,categories!$A$1:$B$8,MATCH(order_items!$F$1,categories!$A$1:$B$1,0),FALSE)</f>
        <v>Cruisers Bicycles</v>
      </c>
      <c r="G3157">
        <v>1</v>
      </c>
      <c r="H3157">
        <v>449</v>
      </c>
      <c r="I3157" s="5">
        <v>0.2</v>
      </c>
      <c r="J3157">
        <f t="shared" si="98"/>
        <v>359.20000000000005</v>
      </c>
      <c r="K3157" s="9">
        <f t="shared" si="99"/>
        <v>-0.56459915393225968</v>
      </c>
    </row>
    <row r="3158" spans="1:11" x14ac:dyDescent="0.3">
      <c r="A3158">
        <v>1093</v>
      </c>
      <c r="B3158">
        <v>1</v>
      </c>
      <c r="C3158">
        <v>45</v>
      </c>
      <c r="D3158" t="str">
        <f>VLOOKUP($C3158,products!$A$1:$F$322,MATCH(order_items!$D$1,products!$A$1:$F$1,0),FALSE)</f>
        <v>Haro SR 1.2 - 2017</v>
      </c>
      <c r="E3158">
        <f>VLOOKUP($C3158,products!$A$1:$F$322,MATCH(order_items!$E$1,products!$A$1:$F$1,0),FALSE)</f>
        <v>6</v>
      </c>
      <c r="F3158" t="str">
        <f>VLOOKUP($E3158,categories!$A$1:$B$8,MATCH(order_items!$F$1,categories!$A$1:$B$1,0),FALSE)</f>
        <v>Mountain Bikes</v>
      </c>
      <c r="G3158">
        <v>2</v>
      </c>
      <c r="H3158">
        <v>869.99</v>
      </c>
      <c r="I3158" s="5">
        <v>7.0000000000000007E-2</v>
      </c>
      <c r="J3158">
        <f t="shared" si="98"/>
        <v>1618.1813999999999</v>
      </c>
      <c r="K3158" s="9">
        <f t="shared" si="99"/>
        <v>-0.25336680104863324</v>
      </c>
    </row>
    <row r="3159" spans="1:11" x14ac:dyDescent="0.3">
      <c r="A3159">
        <v>1093</v>
      </c>
      <c r="B3159">
        <v>2</v>
      </c>
      <c r="C3159">
        <v>17</v>
      </c>
      <c r="D3159" t="str">
        <f>VLOOKUP($C3159,products!$A$1:$F$322,MATCH(order_items!$D$1,products!$A$1:$F$1,0),FALSE)</f>
        <v>Pure Cycles Vine 8-Speed - 2016</v>
      </c>
      <c r="E3159">
        <f>VLOOKUP($C3159,products!$A$1:$F$322,MATCH(order_items!$E$1,products!$A$1:$F$1,0),FALSE)</f>
        <v>3</v>
      </c>
      <c r="F3159" t="str">
        <f>VLOOKUP($E3159,categories!$A$1:$B$8,MATCH(order_items!$F$1,categories!$A$1:$B$1,0),FALSE)</f>
        <v>Cruisers Bicycles</v>
      </c>
      <c r="G3159">
        <v>2</v>
      </c>
      <c r="H3159">
        <v>429</v>
      </c>
      <c r="I3159" s="5">
        <v>0.1</v>
      </c>
      <c r="J3159">
        <f t="shared" si="98"/>
        <v>772.2</v>
      </c>
      <c r="K3159" s="9">
        <f t="shared" si="99"/>
        <v>-0.57938489007248284</v>
      </c>
    </row>
    <row r="3160" spans="1:11" x14ac:dyDescent="0.3">
      <c r="A3160">
        <v>1093</v>
      </c>
      <c r="B3160">
        <v>3</v>
      </c>
      <c r="C3160">
        <v>90</v>
      </c>
      <c r="D3160" t="str">
        <f>VLOOKUP($C3160,products!$A$1:$F$322,MATCH(order_items!$D$1,products!$A$1:$F$1,0),FALSE)</f>
        <v>Trek Precaliber 16 Girls - 2017</v>
      </c>
      <c r="E3160">
        <f>VLOOKUP($C3160,products!$A$1:$F$322,MATCH(order_items!$E$1,products!$A$1:$F$1,0),FALSE)</f>
        <v>1</v>
      </c>
      <c r="F3160" t="str">
        <f>VLOOKUP($E3160,categories!$A$1:$B$8,MATCH(order_items!$F$1,categories!$A$1:$B$1,0),FALSE)</f>
        <v>Children Bicycles</v>
      </c>
      <c r="G3160">
        <v>2</v>
      </c>
      <c r="H3160">
        <v>209.99</v>
      </c>
      <c r="I3160" s="5">
        <v>0.1</v>
      </c>
      <c r="J3160">
        <f t="shared" si="98"/>
        <v>377.98200000000003</v>
      </c>
      <c r="K3160" s="9">
        <f t="shared" si="99"/>
        <v>-0.74129609367599603</v>
      </c>
    </row>
    <row r="3161" spans="1:11" x14ac:dyDescent="0.3">
      <c r="A3161">
        <v>1094</v>
      </c>
      <c r="B3161">
        <v>1</v>
      </c>
      <c r="C3161">
        <v>71</v>
      </c>
      <c r="D3161" t="str">
        <f>VLOOKUP($C3161,products!$A$1:$F$322,MATCH(order_items!$D$1,products!$A$1:$F$1,0),FALSE)</f>
        <v>Sun Bicycles Atlas X-Type - 2017</v>
      </c>
      <c r="E3161">
        <f>VLOOKUP($C3161,products!$A$1:$F$322,MATCH(order_items!$E$1,products!$A$1:$F$1,0),FALSE)</f>
        <v>3</v>
      </c>
      <c r="F3161" t="str">
        <f>VLOOKUP($E3161,categories!$A$1:$B$8,MATCH(order_items!$F$1,categories!$A$1:$B$1,0),FALSE)</f>
        <v>Cruisers Bicycles</v>
      </c>
      <c r="G3161">
        <v>1</v>
      </c>
      <c r="H3161">
        <v>416.99</v>
      </c>
      <c r="I3161" s="5">
        <v>0.1</v>
      </c>
      <c r="J3161">
        <f t="shared" si="98"/>
        <v>375.291</v>
      </c>
      <c r="K3161" s="9">
        <f t="shared" si="99"/>
        <v>-0.58826372462468679</v>
      </c>
    </row>
    <row r="3162" spans="1:11" x14ac:dyDescent="0.3">
      <c r="A3162">
        <v>1094</v>
      </c>
      <c r="B3162">
        <v>2</v>
      </c>
      <c r="C3162">
        <v>11</v>
      </c>
      <c r="D3162" t="str">
        <f>VLOOKUP($C3162,products!$A$1:$F$322,MATCH(order_items!$D$1,products!$A$1:$F$1,0),FALSE)</f>
        <v>Surly Straggler 650b - 2016</v>
      </c>
      <c r="E3162">
        <f>VLOOKUP($C3162,products!$A$1:$F$322,MATCH(order_items!$E$1,products!$A$1:$F$1,0),FALSE)</f>
        <v>4</v>
      </c>
      <c r="F3162" t="str">
        <f>VLOOKUP($E3162,categories!$A$1:$B$8,MATCH(order_items!$F$1,categories!$A$1:$B$1,0),FALSE)</f>
        <v>Cyclocross Bicycles</v>
      </c>
      <c r="G3162">
        <v>1</v>
      </c>
      <c r="H3162">
        <v>1680.99</v>
      </c>
      <c r="I3162" s="5">
        <v>0.1</v>
      </c>
      <c r="J3162">
        <f t="shared" si="98"/>
        <v>1512.8910000000001</v>
      </c>
      <c r="K3162" s="9">
        <f t="shared" si="99"/>
        <v>0.3461947994374141</v>
      </c>
    </row>
    <row r="3163" spans="1:11" x14ac:dyDescent="0.3">
      <c r="A3163">
        <v>1094</v>
      </c>
      <c r="B3163">
        <v>3</v>
      </c>
      <c r="C3163">
        <v>24</v>
      </c>
      <c r="D3163" t="str">
        <f>VLOOKUP($C3163,products!$A$1:$F$322,MATCH(order_items!$D$1,products!$A$1:$F$1,0),FALSE)</f>
        <v>Electra Townie Original 21D - 2016</v>
      </c>
      <c r="E3163">
        <f>VLOOKUP($C3163,products!$A$1:$F$322,MATCH(order_items!$E$1,products!$A$1:$F$1,0),FALSE)</f>
        <v>2</v>
      </c>
      <c r="F3163" t="str">
        <f>VLOOKUP($E3163,categories!$A$1:$B$8,MATCH(order_items!$F$1,categories!$A$1:$B$1,0),FALSE)</f>
        <v>Comfort Bicycles</v>
      </c>
      <c r="G3163">
        <v>1</v>
      </c>
      <c r="H3163">
        <v>549.99</v>
      </c>
      <c r="I3163" s="5">
        <v>0.1</v>
      </c>
      <c r="J3163">
        <f t="shared" si="98"/>
        <v>494.99100000000004</v>
      </c>
      <c r="K3163" s="9">
        <f t="shared" si="99"/>
        <v>-0.48993857929220308</v>
      </c>
    </row>
    <row r="3164" spans="1:11" x14ac:dyDescent="0.3">
      <c r="A3164">
        <v>1094</v>
      </c>
      <c r="B3164">
        <v>4</v>
      </c>
      <c r="C3164">
        <v>107</v>
      </c>
      <c r="D3164" t="str">
        <f>VLOOKUP($C3164,products!$A$1:$F$322,MATCH(order_items!$D$1,products!$A$1:$F$1,0),FALSE)</f>
        <v>Sun Bicycles Cruz 7 - 2017</v>
      </c>
      <c r="E3164">
        <f>VLOOKUP($C3164,products!$A$1:$F$322,MATCH(order_items!$E$1,products!$A$1:$F$1,0),FALSE)</f>
        <v>2</v>
      </c>
      <c r="F3164" t="str">
        <f>VLOOKUP($E3164,categories!$A$1:$B$8,MATCH(order_items!$F$1,categories!$A$1:$B$1,0),FALSE)</f>
        <v>Comfort Bicycles</v>
      </c>
      <c r="G3164">
        <v>1</v>
      </c>
      <c r="H3164">
        <v>416.99</v>
      </c>
      <c r="I3164" s="5">
        <v>0.2</v>
      </c>
      <c r="J3164">
        <f t="shared" si="98"/>
        <v>333.59200000000004</v>
      </c>
      <c r="K3164" s="9">
        <f t="shared" si="99"/>
        <v>-0.58826372462468679</v>
      </c>
    </row>
    <row r="3165" spans="1:11" x14ac:dyDescent="0.3">
      <c r="A3165">
        <v>1095</v>
      </c>
      <c r="B3165">
        <v>1</v>
      </c>
      <c r="C3165">
        <v>78</v>
      </c>
      <c r="D3165" t="str">
        <f>VLOOKUP($C3165,products!$A$1:$F$322,MATCH(order_items!$D$1,products!$A$1:$F$1,0),FALSE)</f>
        <v>Sun Bicycles Biscayne Tandem CB - 2017</v>
      </c>
      <c r="E3165">
        <f>VLOOKUP($C3165,products!$A$1:$F$322,MATCH(order_items!$E$1,products!$A$1:$F$1,0),FALSE)</f>
        <v>3</v>
      </c>
      <c r="F3165" t="str">
        <f>VLOOKUP($E3165,categories!$A$1:$B$8,MATCH(order_items!$F$1,categories!$A$1:$B$1,0),FALSE)</f>
        <v>Cruisers Bicycles</v>
      </c>
      <c r="G3165">
        <v>2</v>
      </c>
      <c r="H3165">
        <v>647.99</v>
      </c>
      <c r="I3165" s="5">
        <v>0.05</v>
      </c>
      <c r="J3165">
        <f t="shared" si="98"/>
        <v>1231.181</v>
      </c>
      <c r="K3165" s="9">
        <f t="shared" si="99"/>
        <v>-0.41748847220510982</v>
      </c>
    </row>
    <row r="3166" spans="1:11" x14ac:dyDescent="0.3">
      <c r="A3166">
        <v>1095</v>
      </c>
      <c r="B3166">
        <v>2</v>
      </c>
      <c r="C3166">
        <v>3</v>
      </c>
      <c r="D3166" t="str">
        <f>VLOOKUP($C3166,products!$A$1:$F$322,MATCH(order_items!$D$1,products!$A$1:$F$1,0),FALSE)</f>
        <v>Surly Wednesday Frameset - 2016</v>
      </c>
      <c r="E3166">
        <f>VLOOKUP($C3166,products!$A$1:$F$322,MATCH(order_items!$E$1,products!$A$1:$F$1,0),FALSE)</f>
        <v>6</v>
      </c>
      <c r="F3166" t="str">
        <f>VLOOKUP($E3166,categories!$A$1:$B$8,MATCH(order_items!$F$1,categories!$A$1:$B$1,0),FALSE)</f>
        <v>Mountain Bikes</v>
      </c>
      <c r="G3166">
        <v>2</v>
      </c>
      <c r="H3166">
        <v>999.99</v>
      </c>
      <c r="I3166" s="5">
        <v>0.2</v>
      </c>
      <c r="J3166">
        <f t="shared" si="98"/>
        <v>1599.9840000000002</v>
      </c>
      <c r="K3166" s="9">
        <f t="shared" si="99"/>
        <v>-0.15725951613718298</v>
      </c>
    </row>
    <row r="3167" spans="1:11" x14ac:dyDescent="0.3">
      <c r="A3167">
        <v>1095</v>
      </c>
      <c r="B3167">
        <v>3</v>
      </c>
      <c r="C3167">
        <v>15</v>
      </c>
      <c r="D3167" t="str">
        <f>VLOOKUP($C3167,products!$A$1:$F$322,MATCH(order_items!$D$1,products!$A$1:$F$1,0),FALSE)</f>
        <v>Electra Moto 1 - 2016</v>
      </c>
      <c r="E3167">
        <f>VLOOKUP($C3167,products!$A$1:$F$322,MATCH(order_items!$E$1,products!$A$1:$F$1,0),FALSE)</f>
        <v>3</v>
      </c>
      <c r="F3167" t="str">
        <f>VLOOKUP($E3167,categories!$A$1:$B$8,MATCH(order_items!$F$1,categories!$A$1:$B$1,0),FALSE)</f>
        <v>Cruisers Bicycles</v>
      </c>
      <c r="G3167">
        <v>2</v>
      </c>
      <c r="H3167">
        <v>529.99</v>
      </c>
      <c r="I3167" s="5">
        <v>0.1</v>
      </c>
      <c r="J3167">
        <f t="shared" si="98"/>
        <v>953.98200000000008</v>
      </c>
      <c r="K3167" s="9">
        <f t="shared" si="99"/>
        <v>-0.50472431543242624</v>
      </c>
    </row>
    <row r="3168" spans="1:11" x14ac:dyDescent="0.3">
      <c r="A3168">
        <v>1095</v>
      </c>
      <c r="B3168">
        <v>4</v>
      </c>
      <c r="C3168">
        <v>31</v>
      </c>
      <c r="D3168" t="str">
        <f>VLOOKUP($C3168,products!$A$1:$F$322,MATCH(order_items!$D$1,products!$A$1:$F$1,0),FALSE)</f>
        <v>Surly Wednesday - 2017</v>
      </c>
      <c r="E3168">
        <f>VLOOKUP($C3168,products!$A$1:$F$322,MATCH(order_items!$E$1,products!$A$1:$F$1,0),FALSE)</f>
        <v>6</v>
      </c>
      <c r="F3168" t="str">
        <f>VLOOKUP($E3168,categories!$A$1:$B$8,MATCH(order_items!$F$1,categories!$A$1:$B$1,0),FALSE)</f>
        <v>Mountain Bikes</v>
      </c>
      <c r="G3168">
        <v>1</v>
      </c>
      <c r="H3168">
        <v>1632.99</v>
      </c>
      <c r="I3168" s="5">
        <v>0.2</v>
      </c>
      <c r="J3168">
        <f t="shared" si="98"/>
        <v>1306.3920000000001</v>
      </c>
      <c r="K3168" s="9">
        <f t="shared" si="99"/>
        <v>0.31070903270087863</v>
      </c>
    </row>
    <row r="3169" spans="1:11" x14ac:dyDescent="0.3">
      <c r="A3169">
        <v>1095</v>
      </c>
      <c r="B3169">
        <v>5</v>
      </c>
      <c r="C3169">
        <v>50</v>
      </c>
      <c r="D3169" t="str">
        <f>VLOOKUP($C3169,products!$A$1:$F$322,MATCH(order_items!$D$1,products!$A$1:$F$1,0),FALSE)</f>
        <v>Trek Silque SLR 7 Women's - 2017</v>
      </c>
      <c r="E3169">
        <f>VLOOKUP($C3169,products!$A$1:$F$322,MATCH(order_items!$E$1,products!$A$1:$F$1,0),FALSE)</f>
        <v>7</v>
      </c>
      <c r="F3169" t="str">
        <f>VLOOKUP($E3169,categories!$A$1:$B$8,MATCH(order_items!$F$1,categories!$A$1:$B$1,0),FALSE)</f>
        <v>Road Bikes</v>
      </c>
      <c r="G3169">
        <v>2</v>
      </c>
      <c r="H3169">
        <v>5999.99</v>
      </c>
      <c r="I3169" s="5">
        <v>0.05</v>
      </c>
      <c r="J3169">
        <f t="shared" si="98"/>
        <v>11399.981</v>
      </c>
      <c r="K3169" s="9">
        <f t="shared" si="99"/>
        <v>3.5391745189185961</v>
      </c>
    </row>
    <row r="3170" spans="1:11" x14ac:dyDescent="0.3">
      <c r="A3170">
        <v>1096</v>
      </c>
      <c r="B3170">
        <v>1</v>
      </c>
      <c r="C3170">
        <v>11</v>
      </c>
      <c r="D3170" t="str">
        <f>VLOOKUP($C3170,products!$A$1:$F$322,MATCH(order_items!$D$1,products!$A$1:$F$1,0),FALSE)</f>
        <v>Surly Straggler 650b - 2016</v>
      </c>
      <c r="E3170">
        <f>VLOOKUP($C3170,products!$A$1:$F$322,MATCH(order_items!$E$1,products!$A$1:$F$1,0),FALSE)</f>
        <v>4</v>
      </c>
      <c r="F3170" t="str">
        <f>VLOOKUP($E3170,categories!$A$1:$B$8,MATCH(order_items!$F$1,categories!$A$1:$B$1,0),FALSE)</f>
        <v>Cyclocross Bicycles</v>
      </c>
      <c r="G3170">
        <v>1</v>
      </c>
      <c r="H3170">
        <v>1680.99</v>
      </c>
      <c r="I3170" s="5">
        <v>0.1</v>
      </c>
      <c r="J3170">
        <f t="shared" si="98"/>
        <v>1512.8910000000001</v>
      </c>
      <c r="K3170" s="9">
        <f t="shared" si="99"/>
        <v>0.3461947994374141</v>
      </c>
    </row>
    <row r="3171" spans="1:11" x14ac:dyDescent="0.3">
      <c r="A3171">
        <v>1097</v>
      </c>
      <c r="B3171">
        <v>1</v>
      </c>
      <c r="C3171">
        <v>99</v>
      </c>
      <c r="D3171" t="str">
        <f>VLOOKUP($C3171,products!$A$1:$F$322,MATCH(order_items!$D$1,products!$A$1:$F$1,0),FALSE)</f>
        <v>Electra Sugar Skulls 1 (20-inch) - Girl's - 2017</v>
      </c>
      <c r="E3171">
        <f>VLOOKUP($C3171,products!$A$1:$F$322,MATCH(order_items!$E$1,products!$A$1:$F$1,0),FALSE)</f>
        <v>1</v>
      </c>
      <c r="F3171" t="str">
        <f>VLOOKUP($E3171,categories!$A$1:$B$8,MATCH(order_items!$F$1,categories!$A$1:$B$1,0),FALSE)</f>
        <v>Children Bicycles</v>
      </c>
      <c r="G3171">
        <v>1</v>
      </c>
      <c r="H3171">
        <v>299.99</v>
      </c>
      <c r="I3171" s="5">
        <v>0.05</v>
      </c>
      <c r="J3171">
        <f t="shared" si="98"/>
        <v>284.9905</v>
      </c>
      <c r="K3171" s="9">
        <f t="shared" si="99"/>
        <v>-0.67476028104499197</v>
      </c>
    </row>
    <row r="3172" spans="1:11" x14ac:dyDescent="0.3">
      <c r="A3172">
        <v>1097</v>
      </c>
      <c r="B3172">
        <v>2</v>
      </c>
      <c r="C3172">
        <v>106</v>
      </c>
      <c r="D3172" t="str">
        <f>VLOOKUP($C3172,products!$A$1:$F$322,MATCH(order_items!$D$1,products!$A$1:$F$1,0),FALSE)</f>
        <v>Sun Bicycles Cruz 3 - 2017</v>
      </c>
      <c r="E3172">
        <f>VLOOKUP($C3172,products!$A$1:$F$322,MATCH(order_items!$E$1,products!$A$1:$F$1,0),FALSE)</f>
        <v>2</v>
      </c>
      <c r="F3172" t="str">
        <f>VLOOKUP($E3172,categories!$A$1:$B$8,MATCH(order_items!$F$1,categories!$A$1:$B$1,0),FALSE)</f>
        <v>Comfort Bicycles</v>
      </c>
      <c r="G3172">
        <v>2</v>
      </c>
      <c r="H3172">
        <v>449.99</v>
      </c>
      <c r="I3172" s="5">
        <v>7.0000000000000007E-2</v>
      </c>
      <c r="J3172">
        <f t="shared" si="98"/>
        <v>836.98140000000001</v>
      </c>
      <c r="K3172" s="9">
        <f t="shared" si="99"/>
        <v>-0.56386725999331866</v>
      </c>
    </row>
    <row r="3173" spans="1:11" x14ac:dyDescent="0.3">
      <c r="A3173">
        <v>1097</v>
      </c>
      <c r="B3173">
        <v>3</v>
      </c>
      <c r="C3173">
        <v>98</v>
      </c>
      <c r="D3173" t="str">
        <f>VLOOKUP($C3173,products!$A$1:$F$322,MATCH(order_items!$D$1,products!$A$1:$F$1,0),FALSE)</f>
        <v>Electra Straight 8 3i (20-inch) - Boy's - 2017</v>
      </c>
      <c r="E3173">
        <f>VLOOKUP($C3173,products!$A$1:$F$322,MATCH(order_items!$E$1,products!$A$1:$F$1,0),FALSE)</f>
        <v>1</v>
      </c>
      <c r="F3173" t="str">
        <f>VLOOKUP($E3173,categories!$A$1:$B$8,MATCH(order_items!$F$1,categories!$A$1:$B$1,0),FALSE)</f>
        <v>Children Bicycles</v>
      </c>
      <c r="G3173">
        <v>2</v>
      </c>
      <c r="H3173">
        <v>489.99</v>
      </c>
      <c r="I3173" s="5">
        <v>7.0000000000000007E-2</v>
      </c>
      <c r="J3173">
        <f t="shared" si="98"/>
        <v>911.38139999999999</v>
      </c>
      <c r="K3173" s="9">
        <f t="shared" si="99"/>
        <v>-0.53429578771287245</v>
      </c>
    </row>
    <row r="3174" spans="1:11" x14ac:dyDescent="0.3">
      <c r="A3174">
        <v>1097</v>
      </c>
      <c r="B3174">
        <v>4</v>
      </c>
      <c r="C3174">
        <v>19</v>
      </c>
      <c r="D3174" t="str">
        <f>VLOOKUP($C3174,products!$A$1:$F$322,MATCH(order_items!$D$1,products!$A$1:$F$1,0),FALSE)</f>
        <v>Pure Cycles William 3-Speed - 2016</v>
      </c>
      <c r="E3174">
        <f>VLOOKUP($C3174,products!$A$1:$F$322,MATCH(order_items!$E$1,products!$A$1:$F$1,0),FALSE)</f>
        <v>3</v>
      </c>
      <c r="F3174" t="str">
        <f>VLOOKUP($E3174,categories!$A$1:$B$8,MATCH(order_items!$F$1,categories!$A$1:$B$1,0),FALSE)</f>
        <v>Cruisers Bicycles</v>
      </c>
      <c r="G3174">
        <v>1</v>
      </c>
      <c r="H3174">
        <v>449</v>
      </c>
      <c r="I3174" s="5">
        <v>0.2</v>
      </c>
      <c r="J3174">
        <f t="shared" si="98"/>
        <v>359.20000000000005</v>
      </c>
      <c r="K3174" s="9">
        <f t="shared" si="99"/>
        <v>-0.56459915393225968</v>
      </c>
    </row>
    <row r="3175" spans="1:11" x14ac:dyDescent="0.3">
      <c r="A3175">
        <v>1097</v>
      </c>
      <c r="B3175">
        <v>5</v>
      </c>
      <c r="C3175">
        <v>35</v>
      </c>
      <c r="D3175" t="str">
        <f>VLOOKUP($C3175,products!$A$1:$F$322,MATCH(order_items!$D$1,products!$A$1:$F$1,0),FALSE)</f>
        <v>Sun Bicycles Spider 3i - 2017</v>
      </c>
      <c r="E3175">
        <f>VLOOKUP($C3175,products!$A$1:$F$322,MATCH(order_items!$E$1,products!$A$1:$F$1,0),FALSE)</f>
        <v>6</v>
      </c>
      <c r="F3175" t="str">
        <f>VLOOKUP($E3175,categories!$A$1:$B$8,MATCH(order_items!$F$1,categories!$A$1:$B$1,0),FALSE)</f>
        <v>Mountain Bikes</v>
      </c>
      <c r="G3175">
        <v>2</v>
      </c>
      <c r="H3175">
        <v>832.99</v>
      </c>
      <c r="I3175" s="5">
        <v>0.05</v>
      </c>
      <c r="J3175">
        <f t="shared" si="98"/>
        <v>1582.681</v>
      </c>
      <c r="K3175" s="9">
        <f t="shared" si="99"/>
        <v>-0.280720412908046</v>
      </c>
    </row>
    <row r="3176" spans="1:11" x14ac:dyDescent="0.3">
      <c r="A3176">
        <v>1098</v>
      </c>
      <c r="B3176">
        <v>1</v>
      </c>
      <c r="C3176">
        <v>88</v>
      </c>
      <c r="D3176" t="str">
        <f>VLOOKUP($C3176,products!$A$1:$F$322,MATCH(order_items!$D$1,products!$A$1:$F$1,0),FALSE)</f>
        <v>Trek Precaliber 12 Girls - 2017</v>
      </c>
      <c r="E3176">
        <f>VLOOKUP($C3176,products!$A$1:$F$322,MATCH(order_items!$E$1,products!$A$1:$F$1,0),FALSE)</f>
        <v>1</v>
      </c>
      <c r="F3176" t="str">
        <f>VLOOKUP($E3176,categories!$A$1:$B$8,MATCH(order_items!$F$1,categories!$A$1:$B$1,0),FALSE)</f>
        <v>Children Bicycles</v>
      </c>
      <c r="G3176">
        <v>1</v>
      </c>
      <c r="H3176">
        <v>189.99</v>
      </c>
      <c r="I3176" s="5">
        <v>0.1</v>
      </c>
      <c r="J3176">
        <f t="shared" si="98"/>
        <v>170.99100000000001</v>
      </c>
      <c r="K3176" s="9">
        <f t="shared" si="99"/>
        <v>-0.75608182981621919</v>
      </c>
    </row>
    <row r="3177" spans="1:11" x14ac:dyDescent="0.3">
      <c r="A3177">
        <v>1099</v>
      </c>
      <c r="B3177">
        <v>1</v>
      </c>
      <c r="C3177">
        <v>64</v>
      </c>
      <c r="D3177" t="str">
        <f>VLOOKUP($C3177,products!$A$1:$F$322,MATCH(order_items!$D$1,products!$A$1:$F$1,0),FALSE)</f>
        <v>Electra Townie Original 7D - 2017</v>
      </c>
      <c r="E3177">
        <f>VLOOKUP($C3177,products!$A$1:$F$322,MATCH(order_items!$E$1,products!$A$1:$F$1,0),FALSE)</f>
        <v>3</v>
      </c>
      <c r="F3177" t="str">
        <f>VLOOKUP($E3177,categories!$A$1:$B$8,MATCH(order_items!$F$1,categories!$A$1:$B$1,0),FALSE)</f>
        <v>Cruisers Bicycles</v>
      </c>
      <c r="G3177">
        <v>1</v>
      </c>
      <c r="H3177">
        <v>489.99</v>
      </c>
      <c r="I3177" s="5">
        <v>0.1</v>
      </c>
      <c r="J3177">
        <f t="shared" si="98"/>
        <v>440.99100000000004</v>
      </c>
      <c r="K3177" s="9">
        <f t="shared" si="99"/>
        <v>-0.53429578771287245</v>
      </c>
    </row>
    <row r="3178" spans="1:11" x14ac:dyDescent="0.3">
      <c r="A3178">
        <v>1099</v>
      </c>
      <c r="B3178">
        <v>2</v>
      </c>
      <c r="C3178">
        <v>13</v>
      </c>
      <c r="D3178" t="str">
        <f>VLOOKUP($C3178,products!$A$1:$F$322,MATCH(order_items!$D$1,products!$A$1:$F$1,0),FALSE)</f>
        <v>Electra Cruiser 1 (24-Inch) - 2016</v>
      </c>
      <c r="E3178">
        <f>VLOOKUP($C3178,products!$A$1:$F$322,MATCH(order_items!$E$1,products!$A$1:$F$1,0),FALSE)</f>
        <v>3</v>
      </c>
      <c r="F3178" t="str">
        <f>VLOOKUP($E3178,categories!$A$1:$B$8,MATCH(order_items!$F$1,categories!$A$1:$B$1,0),FALSE)</f>
        <v>Cruisers Bicycles</v>
      </c>
      <c r="G3178">
        <v>2</v>
      </c>
      <c r="H3178">
        <v>269.99</v>
      </c>
      <c r="I3178" s="5">
        <v>0.05</v>
      </c>
      <c r="J3178">
        <f t="shared" si="98"/>
        <v>512.98099999999999</v>
      </c>
      <c r="K3178" s="9">
        <f t="shared" si="99"/>
        <v>-0.69693888525532666</v>
      </c>
    </row>
    <row r="3179" spans="1:11" x14ac:dyDescent="0.3">
      <c r="A3179">
        <v>1099</v>
      </c>
      <c r="B3179">
        <v>3</v>
      </c>
      <c r="C3179">
        <v>46</v>
      </c>
      <c r="D3179" t="str">
        <f>VLOOKUP($C3179,products!$A$1:$F$322,MATCH(order_items!$D$1,products!$A$1:$F$1,0),FALSE)</f>
        <v>Haro SR 1.3 - 2017</v>
      </c>
      <c r="E3179">
        <f>VLOOKUP($C3179,products!$A$1:$F$322,MATCH(order_items!$E$1,products!$A$1:$F$1,0),FALSE)</f>
        <v>6</v>
      </c>
      <c r="F3179" t="str">
        <f>VLOOKUP($E3179,categories!$A$1:$B$8,MATCH(order_items!$F$1,categories!$A$1:$B$1,0),FALSE)</f>
        <v>Mountain Bikes</v>
      </c>
      <c r="G3179">
        <v>1</v>
      </c>
      <c r="H3179">
        <v>1409.99</v>
      </c>
      <c r="I3179" s="5">
        <v>7.0000000000000007E-2</v>
      </c>
      <c r="J3179">
        <f t="shared" si="98"/>
        <v>1311.2907</v>
      </c>
      <c r="K3179" s="9">
        <f t="shared" si="99"/>
        <v>0.14584807473739089</v>
      </c>
    </row>
    <row r="3180" spans="1:11" x14ac:dyDescent="0.3">
      <c r="A3180">
        <v>1099</v>
      </c>
      <c r="B3180">
        <v>4</v>
      </c>
      <c r="C3180">
        <v>89</v>
      </c>
      <c r="D3180" t="str">
        <f>VLOOKUP($C3180,products!$A$1:$F$322,MATCH(order_items!$D$1,products!$A$1:$F$1,0),FALSE)</f>
        <v>Trek Precaliber 16 Boys - 2017</v>
      </c>
      <c r="E3180">
        <f>VLOOKUP($C3180,products!$A$1:$F$322,MATCH(order_items!$E$1,products!$A$1:$F$1,0),FALSE)</f>
        <v>1</v>
      </c>
      <c r="F3180" t="str">
        <f>VLOOKUP($E3180,categories!$A$1:$B$8,MATCH(order_items!$F$1,categories!$A$1:$B$1,0),FALSE)</f>
        <v>Children Bicycles</v>
      </c>
      <c r="G3180">
        <v>2</v>
      </c>
      <c r="H3180">
        <v>209.99</v>
      </c>
      <c r="I3180" s="5">
        <v>0.1</v>
      </c>
      <c r="J3180">
        <f t="shared" si="98"/>
        <v>377.98200000000003</v>
      </c>
      <c r="K3180" s="9">
        <f t="shared" si="99"/>
        <v>-0.74129609367599603</v>
      </c>
    </row>
    <row r="3181" spans="1:11" x14ac:dyDescent="0.3">
      <c r="A3181">
        <v>1100</v>
      </c>
      <c r="B3181">
        <v>1</v>
      </c>
      <c r="C3181">
        <v>12</v>
      </c>
      <c r="D3181" t="str">
        <f>VLOOKUP($C3181,products!$A$1:$F$322,MATCH(order_items!$D$1,products!$A$1:$F$1,0),FALSE)</f>
        <v>Electra Townie Original 21D - 2016</v>
      </c>
      <c r="E3181">
        <f>VLOOKUP($C3181,products!$A$1:$F$322,MATCH(order_items!$E$1,products!$A$1:$F$1,0),FALSE)</f>
        <v>3</v>
      </c>
      <c r="F3181" t="str">
        <f>VLOOKUP($E3181,categories!$A$1:$B$8,MATCH(order_items!$F$1,categories!$A$1:$B$1,0),FALSE)</f>
        <v>Cruisers Bicycles</v>
      </c>
      <c r="G3181">
        <v>1</v>
      </c>
      <c r="H3181">
        <v>549.99</v>
      </c>
      <c r="I3181" s="5">
        <v>0.05</v>
      </c>
      <c r="J3181">
        <f t="shared" si="98"/>
        <v>522.4905</v>
      </c>
      <c r="K3181" s="9">
        <f t="shared" si="99"/>
        <v>-0.48993857929220308</v>
      </c>
    </row>
    <row r="3182" spans="1:11" x14ac:dyDescent="0.3">
      <c r="A3182">
        <v>1100</v>
      </c>
      <c r="B3182">
        <v>2</v>
      </c>
      <c r="C3182">
        <v>9</v>
      </c>
      <c r="D3182" t="str">
        <f>VLOOKUP($C3182,products!$A$1:$F$322,MATCH(order_items!$D$1,products!$A$1:$F$1,0),FALSE)</f>
        <v>Trek Conduit+ - 2016</v>
      </c>
      <c r="E3182">
        <f>VLOOKUP($C3182,products!$A$1:$F$322,MATCH(order_items!$E$1,products!$A$1:$F$1,0),FALSE)</f>
        <v>5</v>
      </c>
      <c r="F3182" t="str">
        <f>VLOOKUP($E3182,categories!$A$1:$B$8,MATCH(order_items!$F$1,categories!$A$1:$B$1,0),FALSE)</f>
        <v>Electric Bikes</v>
      </c>
      <c r="G3182">
        <v>2</v>
      </c>
      <c r="H3182">
        <v>2999.99</v>
      </c>
      <c r="I3182" s="5">
        <v>0.1</v>
      </c>
      <c r="J3182">
        <f t="shared" si="98"/>
        <v>5399.982</v>
      </c>
      <c r="K3182" s="9">
        <f t="shared" si="99"/>
        <v>1.3213140978851283</v>
      </c>
    </row>
    <row r="3183" spans="1:11" x14ac:dyDescent="0.3">
      <c r="A3183">
        <v>1101</v>
      </c>
      <c r="B3183">
        <v>1</v>
      </c>
      <c r="C3183">
        <v>105</v>
      </c>
      <c r="D3183" t="str">
        <f>VLOOKUP($C3183,products!$A$1:$F$322,MATCH(order_items!$D$1,products!$A$1:$F$1,0),FALSE)</f>
        <v>Sun Bicycles Streamway 7 - 2017</v>
      </c>
      <c r="E3183">
        <f>VLOOKUP($C3183,products!$A$1:$F$322,MATCH(order_items!$E$1,products!$A$1:$F$1,0),FALSE)</f>
        <v>2</v>
      </c>
      <c r="F3183" t="str">
        <f>VLOOKUP($E3183,categories!$A$1:$B$8,MATCH(order_items!$F$1,categories!$A$1:$B$1,0),FALSE)</f>
        <v>Comfort Bicycles</v>
      </c>
      <c r="G3183">
        <v>1</v>
      </c>
      <c r="H3183">
        <v>533.99</v>
      </c>
      <c r="I3183" s="5">
        <v>7.0000000000000007E-2</v>
      </c>
      <c r="J3183">
        <f t="shared" si="98"/>
        <v>496.61069999999995</v>
      </c>
      <c r="K3183" s="9">
        <f t="shared" si="99"/>
        <v>-0.50176716820438161</v>
      </c>
    </row>
    <row r="3184" spans="1:11" x14ac:dyDescent="0.3">
      <c r="A3184">
        <v>1101</v>
      </c>
      <c r="B3184">
        <v>2</v>
      </c>
      <c r="C3184">
        <v>51</v>
      </c>
      <c r="D3184" t="str">
        <f>VLOOKUP($C3184,products!$A$1:$F$322,MATCH(order_items!$D$1,products!$A$1:$F$1,0),FALSE)</f>
        <v>Trek Silque SLR 8 Women's - 2017</v>
      </c>
      <c r="E3184">
        <f>VLOOKUP($C3184,products!$A$1:$F$322,MATCH(order_items!$E$1,products!$A$1:$F$1,0),FALSE)</f>
        <v>7</v>
      </c>
      <c r="F3184" t="str">
        <f>VLOOKUP($E3184,categories!$A$1:$B$8,MATCH(order_items!$F$1,categories!$A$1:$B$1,0),FALSE)</f>
        <v>Road Bikes</v>
      </c>
      <c r="G3184">
        <v>1</v>
      </c>
      <c r="H3184">
        <v>6499.99</v>
      </c>
      <c r="I3184" s="5">
        <v>0.05</v>
      </c>
      <c r="J3184">
        <f t="shared" si="98"/>
        <v>6174.9904999999999</v>
      </c>
      <c r="K3184" s="9">
        <f t="shared" si="99"/>
        <v>3.9088179224241739</v>
      </c>
    </row>
    <row r="3185" spans="1:11" x14ac:dyDescent="0.3">
      <c r="A3185">
        <v>1102</v>
      </c>
      <c r="B3185">
        <v>1</v>
      </c>
      <c r="C3185">
        <v>91</v>
      </c>
      <c r="D3185" t="str">
        <f>VLOOKUP($C3185,products!$A$1:$F$322,MATCH(order_items!$D$1,products!$A$1:$F$1,0),FALSE)</f>
        <v>Trek Precaliber 24 (21-Speed) - Girls - 2017</v>
      </c>
      <c r="E3185">
        <f>VLOOKUP($C3185,products!$A$1:$F$322,MATCH(order_items!$E$1,products!$A$1:$F$1,0),FALSE)</f>
        <v>1</v>
      </c>
      <c r="F3185" t="str">
        <f>VLOOKUP($E3185,categories!$A$1:$B$8,MATCH(order_items!$F$1,categories!$A$1:$B$1,0),FALSE)</f>
        <v>Children Bicycles</v>
      </c>
      <c r="G3185">
        <v>1</v>
      </c>
      <c r="H3185">
        <v>349.99</v>
      </c>
      <c r="I3185" s="5">
        <v>7.0000000000000007E-2</v>
      </c>
      <c r="J3185">
        <f t="shared" si="98"/>
        <v>325.4907</v>
      </c>
      <c r="K3185" s="9">
        <f t="shared" si="99"/>
        <v>-0.63779594069443424</v>
      </c>
    </row>
    <row r="3186" spans="1:11" x14ac:dyDescent="0.3">
      <c r="A3186">
        <v>1103</v>
      </c>
      <c r="B3186">
        <v>1</v>
      </c>
      <c r="C3186">
        <v>106</v>
      </c>
      <c r="D3186" t="str">
        <f>VLOOKUP($C3186,products!$A$1:$F$322,MATCH(order_items!$D$1,products!$A$1:$F$1,0),FALSE)</f>
        <v>Sun Bicycles Cruz 3 - 2017</v>
      </c>
      <c r="E3186">
        <f>VLOOKUP($C3186,products!$A$1:$F$322,MATCH(order_items!$E$1,products!$A$1:$F$1,0),FALSE)</f>
        <v>2</v>
      </c>
      <c r="F3186" t="str">
        <f>VLOOKUP($E3186,categories!$A$1:$B$8,MATCH(order_items!$F$1,categories!$A$1:$B$1,0),FALSE)</f>
        <v>Comfort Bicycles</v>
      </c>
      <c r="G3186">
        <v>1</v>
      </c>
      <c r="H3186">
        <v>449.99</v>
      </c>
      <c r="I3186" s="5">
        <v>0.2</v>
      </c>
      <c r="J3186">
        <f t="shared" si="98"/>
        <v>359.99200000000002</v>
      </c>
      <c r="K3186" s="9">
        <f t="shared" si="99"/>
        <v>-0.56386725999331866</v>
      </c>
    </row>
    <row r="3187" spans="1:11" x14ac:dyDescent="0.3">
      <c r="A3187">
        <v>1103</v>
      </c>
      <c r="B3187">
        <v>2</v>
      </c>
      <c r="C3187">
        <v>46</v>
      </c>
      <c r="D3187" t="str">
        <f>VLOOKUP($C3187,products!$A$1:$F$322,MATCH(order_items!$D$1,products!$A$1:$F$1,0),FALSE)</f>
        <v>Haro SR 1.3 - 2017</v>
      </c>
      <c r="E3187">
        <f>VLOOKUP($C3187,products!$A$1:$F$322,MATCH(order_items!$E$1,products!$A$1:$F$1,0),FALSE)</f>
        <v>6</v>
      </c>
      <c r="F3187" t="str">
        <f>VLOOKUP($E3187,categories!$A$1:$B$8,MATCH(order_items!$F$1,categories!$A$1:$B$1,0),FALSE)</f>
        <v>Mountain Bikes</v>
      </c>
      <c r="G3187">
        <v>2</v>
      </c>
      <c r="H3187">
        <v>1409.99</v>
      </c>
      <c r="I3187" s="5">
        <v>0.2</v>
      </c>
      <c r="J3187">
        <f t="shared" si="98"/>
        <v>2255.9839999999999</v>
      </c>
      <c r="K3187" s="9">
        <f t="shared" si="99"/>
        <v>0.14584807473739089</v>
      </c>
    </row>
    <row r="3188" spans="1:11" x14ac:dyDescent="0.3">
      <c r="A3188">
        <v>1104</v>
      </c>
      <c r="B3188">
        <v>1</v>
      </c>
      <c r="C3188">
        <v>17</v>
      </c>
      <c r="D3188" t="str">
        <f>VLOOKUP($C3188,products!$A$1:$F$322,MATCH(order_items!$D$1,products!$A$1:$F$1,0),FALSE)</f>
        <v>Pure Cycles Vine 8-Speed - 2016</v>
      </c>
      <c r="E3188">
        <f>VLOOKUP($C3188,products!$A$1:$F$322,MATCH(order_items!$E$1,products!$A$1:$F$1,0),FALSE)</f>
        <v>3</v>
      </c>
      <c r="F3188" t="str">
        <f>VLOOKUP($E3188,categories!$A$1:$B$8,MATCH(order_items!$F$1,categories!$A$1:$B$1,0),FALSE)</f>
        <v>Cruisers Bicycles</v>
      </c>
      <c r="G3188">
        <v>1</v>
      </c>
      <c r="H3188">
        <v>429</v>
      </c>
      <c r="I3188" s="5">
        <v>0.1</v>
      </c>
      <c r="J3188">
        <f t="shared" si="98"/>
        <v>386.1</v>
      </c>
      <c r="K3188" s="9">
        <f t="shared" si="99"/>
        <v>-0.57938489007248284</v>
      </c>
    </row>
    <row r="3189" spans="1:11" x14ac:dyDescent="0.3">
      <c r="A3189">
        <v>1104</v>
      </c>
      <c r="B3189">
        <v>2</v>
      </c>
      <c r="C3189">
        <v>70</v>
      </c>
      <c r="D3189" t="str">
        <f>VLOOKUP($C3189,products!$A$1:$F$322,MATCH(order_items!$D$1,products!$A$1:$F$1,0),FALSE)</f>
        <v>Electra Amsterdam Original 3i - 2015/2017</v>
      </c>
      <c r="E3189">
        <f>VLOOKUP($C3189,products!$A$1:$F$322,MATCH(order_items!$E$1,products!$A$1:$F$1,0),FALSE)</f>
        <v>3</v>
      </c>
      <c r="F3189" t="str">
        <f>VLOOKUP($E3189,categories!$A$1:$B$8,MATCH(order_items!$F$1,categories!$A$1:$B$1,0),FALSE)</f>
        <v>Cruisers Bicycles</v>
      </c>
      <c r="G3189">
        <v>2</v>
      </c>
      <c r="H3189">
        <v>659.99</v>
      </c>
      <c r="I3189" s="5">
        <v>0.1</v>
      </c>
      <c r="J3189">
        <f t="shared" si="98"/>
        <v>1187.982</v>
      </c>
      <c r="K3189" s="9">
        <f t="shared" si="99"/>
        <v>-0.40861703052097592</v>
      </c>
    </row>
    <row r="3190" spans="1:11" x14ac:dyDescent="0.3">
      <c r="A3190">
        <v>1104</v>
      </c>
      <c r="B3190">
        <v>3</v>
      </c>
      <c r="C3190">
        <v>43</v>
      </c>
      <c r="D3190" t="str">
        <f>VLOOKUP($C3190,products!$A$1:$F$322,MATCH(order_items!$D$1,products!$A$1:$F$1,0),FALSE)</f>
        <v>Trek Fuel EX 9.8 27.5 Plus - 2017</v>
      </c>
      <c r="E3190">
        <f>VLOOKUP($C3190,products!$A$1:$F$322,MATCH(order_items!$E$1,products!$A$1:$F$1,0),FALSE)</f>
        <v>6</v>
      </c>
      <c r="F3190" t="str">
        <f>VLOOKUP($E3190,categories!$A$1:$B$8,MATCH(order_items!$F$1,categories!$A$1:$B$1,0),FALSE)</f>
        <v>Mountain Bikes</v>
      </c>
      <c r="G3190">
        <v>1</v>
      </c>
      <c r="H3190">
        <v>5299.99</v>
      </c>
      <c r="I3190" s="5">
        <v>7.0000000000000007E-2</v>
      </c>
      <c r="J3190">
        <f t="shared" si="98"/>
        <v>4928.9906999999994</v>
      </c>
      <c r="K3190" s="9">
        <f t="shared" si="99"/>
        <v>3.021673754010787</v>
      </c>
    </row>
    <row r="3191" spans="1:11" x14ac:dyDescent="0.3">
      <c r="A3191">
        <v>1104</v>
      </c>
      <c r="B3191">
        <v>4</v>
      </c>
      <c r="C3191">
        <v>80</v>
      </c>
      <c r="D3191" t="str">
        <f>VLOOKUP($C3191,products!$A$1:$F$322,MATCH(order_items!$D$1,products!$A$1:$F$1,0),FALSE)</f>
        <v>Sun Bicycles Brickell Tandem CB - 2017</v>
      </c>
      <c r="E3191">
        <f>VLOOKUP($C3191,products!$A$1:$F$322,MATCH(order_items!$E$1,products!$A$1:$F$1,0),FALSE)</f>
        <v>3</v>
      </c>
      <c r="F3191" t="str">
        <f>VLOOKUP($E3191,categories!$A$1:$B$8,MATCH(order_items!$F$1,categories!$A$1:$B$1,0),FALSE)</f>
        <v>Cruisers Bicycles</v>
      </c>
      <c r="G3191">
        <v>1</v>
      </c>
      <c r="H3191">
        <v>761.99</v>
      </c>
      <c r="I3191" s="5">
        <v>7.0000000000000007E-2</v>
      </c>
      <c r="J3191">
        <f t="shared" si="98"/>
        <v>708.65069999999992</v>
      </c>
      <c r="K3191" s="9">
        <f t="shared" si="99"/>
        <v>-0.33320977620583803</v>
      </c>
    </row>
    <row r="3192" spans="1:11" x14ac:dyDescent="0.3">
      <c r="A3192">
        <v>1105</v>
      </c>
      <c r="B3192">
        <v>1</v>
      </c>
      <c r="C3192">
        <v>60</v>
      </c>
      <c r="D3192" t="str">
        <f>VLOOKUP($C3192,products!$A$1:$F$322,MATCH(order_items!$D$1,products!$A$1:$F$1,0),FALSE)</f>
        <v>Sun Bicycles ElectroLite - 2017</v>
      </c>
      <c r="E3192">
        <f>VLOOKUP($C3192,products!$A$1:$F$322,MATCH(order_items!$E$1,products!$A$1:$F$1,0),FALSE)</f>
        <v>5</v>
      </c>
      <c r="F3192" t="str">
        <f>VLOOKUP($E3192,categories!$A$1:$B$8,MATCH(order_items!$F$1,categories!$A$1:$B$1,0),FALSE)</f>
        <v>Electric Bikes</v>
      </c>
      <c r="G3192">
        <v>1</v>
      </c>
      <c r="H3192">
        <v>1559.99</v>
      </c>
      <c r="I3192" s="5">
        <v>0.05</v>
      </c>
      <c r="J3192">
        <f t="shared" si="98"/>
        <v>1481.9904999999999</v>
      </c>
      <c r="K3192" s="9">
        <f t="shared" si="99"/>
        <v>0.25674109578906423</v>
      </c>
    </row>
    <row r="3193" spans="1:11" x14ac:dyDescent="0.3">
      <c r="A3193">
        <v>1105</v>
      </c>
      <c r="B3193">
        <v>2</v>
      </c>
      <c r="C3193">
        <v>56</v>
      </c>
      <c r="D3193" t="str">
        <f>VLOOKUP($C3193,products!$A$1:$F$322,MATCH(order_items!$D$1,products!$A$1:$F$1,0),FALSE)</f>
        <v>Trek Domane SLR 6 Disc - 2017</v>
      </c>
      <c r="E3193">
        <f>VLOOKUP($C3193,products!$A$1:$F$322,MATCH(order_items!$E$1,products!$A$1:$F$1,0),FALSE)</f>
        <v>7</v>
      </c>
      <c r="F3193" t="str">
        <f>VLOOKUP($E3193,categories!$A$1:$B$8,MATCH(order_items!$F$1,categories!$A$1:$B$1,0),FALSE)</f>
        <v>Road Bikes</v>
      </c>
      <c r="G3193">
        <v>2</v>
      </c>
      <c r="H3193">
        <v>5499.99</v>
      </c>
      <c r="I3193" s="5">
        <v>0.2</v>
      </c>
      <c r="J3193">
        <f t="shared" si="98"/>
        <v>8799.9840000000004</v>
      </c>
      <c r="K3193" s="9">
        <f t="shared" si="99"/>
        <v>3.1695311154130179</v>
      </c>
    </row>
    <row r="3194" spans="1:11" x14ac:dyDescent="0.3">
      <c r="A3194">
        <v>1105</v>
      </c>
      <c r="B3194">
        <v>3</v>
      </c>
      <c r="C3194">
        <v>35</v>
      </c>
      <c r="D3194" t="str">
        <f>VLOOKUP($C3194,products!$A$1:$F$322,MATCH(order_items!$D$1,products!$A$1:$F$1,0),FALSE)</f>
        <v>Sun Bicycles Spider 3i - 2017</v>
      </c>
      <c r="E3194">
        <f>VLOOKUP($C3194,products!$A$1:$F$322,MATCH(order_items!$E$1,products!$A$1:$F$1,0),FALSE)</f>
        <v>6</v>
      </c>
      <c r="F3194" t="str">
        <f>VLOOKUP($E3194,categories!$A$1:$B$8,MATCH(order_items!$F$1,categories!$A$1:$B$1,0),FALSE)</f>
        <v>Mountain Bikes</v>
      </c>
      <c r="G3194">
        <v>2</v>
      </c>
      <c r="H3194">
        <v>832.99</v>
      </c>
      <c r="I3194" s="5">
        <v>7.0000000000000007E-2</v>
      </c>
      <c r="J3194">
        <f t="shared" si="98"/>
        <v>1549.3614</v>
      </c>
      <c r="K3194" s="9">
        <f t="shared" si="99"/>
        <v>-0.280720412908046</v>
      </c>
    </row>
    <row r="3195" spans="1:11" x14ac:dyDescent="0.3">
      <c r="A3195">
        <v>1106</v>
      </c>
      <c r="B3195">
        <v>1</v>
      </c>
      <c r="C3195">
        <v>96</v>
      </c>
      <c r="D3195" t="str">
        <f>VLOOKUP($C3195,products!$A$1:$F$322,MATCH(order_items!$D$1,products!$A$1:$F$1,0),FALSE)</f>
        <v>Electra Moto 3i (20-inch) - Boy's - 2017</v>
      </c>
      <c r="E3195">
        <f>VLOOKUP($C3195,products!$A$1:$F$322,MATCH(order_items!$E$1,products!$A$1:$F$1,0),FALSE)</f>
        <v>1</v>
      </c>
      <c r="F3195" t="str">
        <f>VLOOKUP($E3195,categories!$A$1:$B$8,MATCH(order_items!$F$1,categories!$A$1:$B$1,0),FALSE)</f>
        <v>Children Bicycles</v>
      </c>
      <c r="G3195">
        <v>1</v>
      </c>
      <c r="H3195">
        <v>349.99</v>
      </c>
      <c r="I3195" s="5">
        <v>0.1</v>
      </c>
      <c r="J3195">
        <f t="shared" si="98"/>
        <v>314.99100000000004</v>
      </c>
      <c r="K3195" s="9">
        <f t="shared" si="99"/>
        <v>-0.63779594069443424</v>
      </c>
    </row>
    <row r="3196" spans="1:11" x14ac:dyDescent="0.3">
      <c r="A3196">
        <v>1107</v>
      </c>
      <c r="B3196">
        <v>1</v>
      </c>
      <c r="C3196">
        <v>43</v>
      </c>
      <c r="D3196" t="str">
        <f>VLOOKUP($C3196,products!$A$1:$F$322,MATCH(order_items!$D$1,products!$A$1:$F$1,0),FALSE)</f>
        <v>Trek Fuel EX 9.8 27.5 Plus - 2017</v>
      </c>
      <c r="E3196">
        <f>VLOOKUP($C3196,products!$A$1:$F$322,MATCH(order_items!$E$1,products!$A$1:$F$1,0),FALSE)</f>
        <v>6</v>
      </c>
      <c r="F3196" t="str">
        <f>VLOOKUP($E3196,categories!$A$1:$B$8,MATCH(order_items!$F$1,categories!$A$1:$B$1,0),FALSE)</f>
        <v>Mountain Bikes</v>
      </c>
      <c r="G3196">
        <v>1</v>
      </c>
      <c r="H3196">
        <v>5299.99</v>
      </c>
      <c r="I3196" s="5">
        <v>0.2</v>
      </c>
      <c r="J3196">
        <f t="shared" si="98"/>
        <v>4239.9920000000002</v>
      </c>
      <c r="K3196" s="9">
        <f t="shared" si="99"/>
        <v>3.021673754010787</v>
      </c>
    </row>
    <row r="3197" spans="1:11" x14ac:dyDescent="0.3">
      <c r="A3197">
        <v>1107</v>
      </c>
      <c r="B3197">
        <v>2</v>
      </c>
      <c r="C3197">
        <v>41</v>
      </c>
      <c r="D3197" t="str">
        <f>VLOOKUP($C3197,products!$A$1:$F$322,MATCH(order_items!$D$1,products!$A$1:$F$1,0),FALSE)</f>
        <v>Haro Shift R3 - 2017</v>
      </c>
      <c r="E3197">
        <f>VLOOKUP($C3197,products!$A$1:$F$322,MATCH(order_items!$E$1,products!$A$1:$F$1,0),FALSE)</f>
        <v>6</v>
      </c>
      <c r="F3197" t="str">
        <f>VLOOKUP($E3197,categories!$A$1:$B$8,MATCH(order_items!$F$1,categories!$A$1:$B$1,0),FALSE)</f>
        <v>Mountain Bikes</v>
      </c>
      <c r="G3197">
        <v>2</v>
      </c>
      <c r="H3197">
        <v>1469.99</v>
      </c>
      <c r="I3197" s="5">
        <v>0.2</v>
      </c>
      <c r="J3197">
        <f t="shared" si="98"/>
        <v>2351.9839999999999</v>
      </c>
      <c r="K3197" s="9">
        <f t="shared" si="99"/>
        <v>0.19020528315806023</v>
      </c>
    </row>
    <row r="3198" spans="1:11" x14ac:dyDescent="0.3">
      <c r="A3198">
        <v>1108</v>
      </c>
      <c r="B3198">
        <v>1</v>
      </c>
      <c r="C3198">
        <v>45</v>
      </c>
      <c r="D3198" t="str">
        <f>VLOOKUP($C3198,products!$A$1:$F$322,MATCH(order_items!$D$1,products!$A$1:$F$1,0),FALSE)</f>
        <v>Haro SR 1.2 - 2017</v>
      </c>
      <c r="E3198">
        <f>VLOOKUP($C3198,products!$A$1:$F$322,MATCH(order_items!$E$1,products!$A$1:$F$1,0),FALSE)</f>
        <v>6</v>
      </c>
      <c r="F3198" t="str">
        <f>VLOOKUP($E3198,categories!$A$1:$B$8,MATCH(order_items!$F$1,categories!$A$1:$B$1,0),FALSE)</f>
        <v>Mountain Bikes</v>
      </c>
      <c r="G3198">
        <v>2</v>
      </c>
      <c r="H3198">
        <v>869.99</v>
      </c>
      <c r="I3198" s="5">
        <v>0.05</v>
      </c>
      <c r="J3198">
        <f t="shared" si="98"/>
        <v>1652.981</v>
      </c>
      <c r="K3198" s="9">
        <f t="shared" si="99"/>
        <v>-0.25336680104863324</v>
      </c>
    </row>
    <row r="3199" spans="1:11" x14ac:dyDescent="0.3">
      <c r="A3199">
        <v>1108</v>
      </c>
      <c r="B3199">
        <v>2</v>
      </c>
      <c r="C3199">
        <v>100</v>
      </c>
      <c r="D3199" t="str">
        <f>VLOOKUP($C3199,products!$A$1:$F$322,MATCH(order_items!$D$1,products!$A$1:$F$1,0),FALSE)</f>
        <v>Electra Townie 3i EQ (20-inch) - Boys' - 2017</v>
      </c>
      <c r="E3199">
        <f>VLOOKUP($C3199,products!$A$1:$F$322,MATCH(order_items!$E$1,products!$A$1:$F$1,0),FALSE)</f>
        <v>1</v>
      </c>
      <c r="F3199" t="str">
        <f>VLOOKUP($E3199,categories!$A$1:$B$8,MATCH(order_items!$F$1,categories!$A$1:$B$1,0),FALSE)</f>
        <v>Children Bicycles</v>
      </c>
      <c r="G3199">
        <v>1</v>
      </c>
      <c r="H3199">
        <v>489.99</v>
      </c>
      <c r="I3199" s="5">
        <v>7.0000000000000007E-2</v>
      </c>
      <c r="J3199">
        <f t="shared" si="98"/>
        <v>455.69069999999999</v>
      </c>
      <c r="K3199" s="9">
        <f t="shared" si="99"/>
        <v>-0.53429578771287245</v>
      </c>
    </row>
    <row r="3200" spans="1:11" x14ac:dyDescent="0.3">
      <c r="A3200">
        <v>1108</v>
      </c>
      <c r="B3200">
        <v>3</v>
      </c>
      <c r="C3200">
        <v>105</v>
      </c>
      <c r="D3200" t="str">
        <f>VLOOKUP($C3200,products!$A$1:$F$322,MATCH(order_items!$D$1,products!$A$1:$F$1,0),FALSE)</f>
        <v>Sun Bicycles Streamway 7 - 2017</v>
      </c>
      <c r="E3200">
        <f>VLOOKUP($C3200,products!$A$1:$F$322,MATCH(order_items!$E$1,products!$A$1:$F$1,0),FALSE)</f>
        <v>2</v>
      </c>
      <c r="F3200" t="str">
        <f>VLOOKUP($E3200,categories!$A$1:$B$8,MATCH(order_items!$F$1,categories!$A$1:$B$1,0),FALSE)</f>
        <v>Comfort Bicycles</v>
      </c>
      <c r="G3200">
        <v>1</v>
      </c>
      <c r="H3200">
        <v>533.99</v>
      </c>
      <c r="I3200" s="5">
        <v>7.0000000000000007E-2</v>
      </c>
      <c r="J3200">
        <f t="shared" si="98"/>
        <v>496.61069999999995</v>
      </c>
      <c r="K3200" s="9">
        <f t="shared" si="99"/>
        <v>-0.50176716820438161</v>
      </c>
    </row>
    <row r="3201" spans="1:11" x14ac:dyDescent="0.3">
      <c r="A3201">
        <v>1109</v>
      </c>
      <c r="B3201">
        <v>1</v>
      </c>
      <c r="C3201">
        <v>72</v>
      </c>
      <c r="D3201" t="str">
        <f>VLOOKUP($C3201,products!$A$1:$F$322,MATCH(order_items!$D$1,products!$A$1:$F$1,0),FALSE)</f>
        <v>Sun Bicycles Biscayne Tandem 7 - 2017</v>
      </c>
      <c r="E3201">
        <f>VLOOKUP($C3201,products!$A$1:$F$322,MATCH(order_items!$E$1,products!$A$1:$F$1,0),FALSE)</f>
        <v>3</v>
      </c>
      <c r="F3201" t="str">
        <f>VLOOKUP($E3201,categories!$A$1:$B$8,MATCH(order_items!$F$1,categories!$A$1:$B$1,0),FALSE)</f>
        <v>Cruisers Bicycles</v>
      </c>
      <c r="G3201">
        <v>2</v>
      </c>
      <c r="H3201">
        <v>619.99</v>
      </c>
      <c r="I3201" s="5">
        <v>0.1</v>
      </c>
      <c r="J3201">
        <f t="shared" si="98"/>
        <v>1115.982</v>
      </c>
      <c r="K3201" s="9">
        <f t="shared" si="99"/>
        <v>-0.43818850280142219</v>
      </c>
    </row>
    <row r="3202" spans="1:11" x14ac:dyDescent="0.3">
      <c r="A3202">
        <v>1110</v>
      </c>
      <c r="B3202">
        <v>1</v>
      </c>
      <c r="C3202">
        <v>56</v>
      </c>
      <c r="D3202" t="str">
        <f>VLOOKUP($C3202,products!$A$1:$F$322,MATCH(order_items!$D$1,products!$A$1:$F$1,0),FALSE)</f>
        <v>Trek Domane SLR 6 Disc - 2017</v>
      </c>
      <c r="E3202">
        <f>VLOOKUP($C3202,products!$A$1:$F$322,MATCH(order_items!$E$1,products!$A$1:$F$1,0),FALSE)</f>
        <v>7</v>
      </c>
      <c r="F3202" t="str">
        <f>VLOOKUP($E3202,categories!$A$1:$B$8,MATCH(order_items!$F$1,categories!$A$1:$B$1,0),FALSE)</f>
        <v>Road Bikes</v>
      </c>
      <c r="G3202">
        <v>1</v>
      </c>
      <c r="H3202">
        <v>5499.99</v>
      </c>
      <c r="I3202" s="5">
        <v>0.1</v>
      </c>
      <c r="J3202">
        <f t="shared" ref="J3202:J3265" si="100">G3202*H3202*(1-I3202)</f>
        <v>4949.991</v>
      </c>
      <c r="K3202" s="9">
        <f t="shared" ref="K3202:K3265" si="101">($H3202-$M$7)/$M$9</f>
        <v>3.1695311154130179</v>
      </c>
    </row>
    <row r="3203" spans="1:11" x14ac:dyDescent="0.3">
      <c r="A3203">
        <v>1111</v>
      </c>
      <c r="B3203">
        <v>1</v>
      </c>
      <c r="C3203">
        <v>95</v>
      </c>
      <c r="D3203" t="str">
        <f>VLOOKUP($C3203,products!$A$1:$F$322,MATCH(order_items!$D$1,products!$A$1:$F$1,0),FALSE)</f>
        <v>Electra Girl's Hawaii 1 16" - 2017</v>
      </c>
      <c r="E3203">
        <f>VLOOKUP($C3203,products!$A$1:$F$322,MATCH(order_items!$E$1,products!$A$1:$F$1,0),FALSE)</f>
        <v>1</v>
      </c>
      <c r="F3203" t="str">
        <f>VLOOKUP($E3203,categories!$A$1:$B$8,MATCH(order_items!$F$1,categories!$A$1:$B$1,0),FALSE)</f>
        <v>Children Bicycles</v>
      </c>
      <c r="G3203">
        <v>1</v>
      </c>
      <c r="H3203">
        <v>299.99</v>
      </c>
      <c r="I3203" s="5">
        <v>0.05</v>
      </c>
      <c r="J3203">
        <f t="shared" si="100"/>
        <v>284.9905</v>
      </c>
      <c r="K3203" s="9">
        <f t="shared" si="101"/>
        <v>-0.67476028104499197</v>
      </c>
    </row>
    <row r="3204" spans="1:11" x14ac:dyDescent="0.3">
      <c r="A3204">
        <v>1111</v>
      </c>
      <c r="B3204">
        <v>2</v>
      </c>
      <c r="C3204">
        <v>66</v>
      </c>
      <c r="D3204" t="str">
        <f>VLOOKUP($C3204,products!$A$1:$F$322,MATCH(order_items!$D$1,products!$A$1:$F$1,0),FALSE)</f>
        <v>Sun Bicycles Revolutions 24 - 2017</v>
      </c>
      <c r="E3204">
        <f>VLOOKUP($C3204,products!$A$1:$F$322,MATCH(order_items!$E$1,products!$A$1:$F$1,0),FALSE)</f>
        <v>3</v>
      </c>
      <c r="F3204" t="str">
        <f>VLOOKUP($E3204,categories!$A$1:$B$8,MATCH(order_items!$F$1,categories!$A$1:$B$1,0),FALSE)</f>
        <v>Cruisers Bicycles</v>
      </c>
      <c r="G3204">
        <v>2</v>
      </c>
      <c r="H3204">
        <v>250.99</v>
      </c>
      <c r="I3204" s="5">
        <v>0.1</v>
      </c>
      <c r="J3204">
        <f t="shared" si="100"/>
        <v>451.78200000000004</v>
      </c>
      <c r="K3204" s="9">
        <f t="shared" si="101"/>
        <v>-0.71098533458853863</v>
      </c>
    </row>
    <row r="3205" spans="1:11" x14ac:dyDescent="0.3">
      <c r="A3205">
        <v>1111</v>
      </c>
      <c r="B3205">
        <v>3</v>
      </c>
      <c r="C3205">
        <v>14</v>
      </c>
      <c r="D3205" t="str">
        <f>VLOOKUP($C3205,products!$A$1:$F$322,MATCH(order_items!$D$1,products!$A$1:$F$1,0),FALSE)</f>
        <v>Electra Girl's Hawaii 1 (16-inch) - 2015/2016</v>
      </c>
      <c r="E3205">
        <f>VLOOKUP($C3205,products!$A$1:$F$322,MATCH(order_items!$E$1,products!$A$1:$F$1,0),FALSE)</f>
        <v>3</v>
      </c>
      <c r="F3205" t="str">
        <f>VLOOKUP($E3205,categories!$A$1:$B$8,MATCH(order_items!$F$1,categories!$A$1:$B$1,0),FALSE)</f>
        <v>Cruisers Bicycles</v>
      </c>
      <c r="G3205">
        <v>1</v>
      </c>
      <c r="H3205">
        <v>269.99</v>
      </c>
      <c r="I3205" s="5">
        <v>0.2</v>
      </c>
      <c r="J3205">
        <f t="shared" si="100"/>
        <v>215.99200000000002</v>
      </c>
      <c r="K3205" s="9">
        <f t="shared" si="101"/>
        <v>-0.69693888525532666</v>
      </c>
    </row>
    <row r="3206" spans="1:11" x14ac:dyDescent="0.3">
      <c r="A3206">
        <v>1111</v>
      </c>
      <c r="B3206">
        <v>4</v>
      </c>
      <c r="C3206">
        <v>24</v>
      </c>
      <c r="D3206" t="str">
        <f>VLOOKUP($C3206,products!$A$1:$F$322,MATCH(order_items!$D$1,products!$A$1:$F$1,0),FALSE)</f>
        <v>Electra Townie Original 21D - 2016</v>
      </c>
      <c r="E3206">
        <f>VLOOKUP($C3206,products!$A$1:$F$322,MATCH(order_items!$E$1,products!$A$1:$F$1,0),FALSE)</f>
        <v>2</v>
      </c>
      <c r="F3206" t="str">
        <f>VLOOKUP($E3206,categories!$A$1:$B$8,MATCH(order_items!$F$1,categories!$A$1:$B$1,0),FALSE)</f>
        <v>Comfort Bicycles</v>
      </c>
      <c r="G3206">
        <v>1</v>
      </c>
      <c r="H3206">
        <v>549.99</v>
      </c>
      <c r="I3206" s="5">
        <v>7.0000000000000007E-2</v>
      </c>
      <c r="J3206">
        <f t="shared" si="100"/>
        <v>511.49069999999995</v>
      </c>
      <c r="K3206" s="9">
        <f t="shared" si="101"/>
        <v>-0.48993857929220308</v>
      </c>
    </row>
    <row r="3207" spans="1:11" x14ac:dyDescent="0.3">
      <c r="A3207">
        <v>1112</v>
      </c>
      <c r="B3207">
        <v>1</v>
      </c>
      <c r="C3207">
        <v>71</v>
      </c>
      <c r="D3207" t="str">
        <f>VLOOKUP($C3207,products!$A$1:$F$322,MATCH(order_items!$D$1,products!$A$1:$F$1,0),FALSE)</f>
        <v>Sun Bicycles Atlas X-Type - 2017</v>
      </c>
      <c r="E3207">
        <f>VLOOKUP($C3207,products!$A$1:$F$322,MATCH(order_items!$E$1,products!$A$1:$F$1,0),FALSE)</f>
        <v>3</v>
      </c>
      <c r="F3207" t="str">
        <f>VLOOKUP($E3207,categories!$A$1:$B$8,MATCH(order_items!$F$1,categories!$A$1:$B$1,0),FALSE)</f>
        <v>Cruisers Bicycles</v>
      </c>
      <c r="G3207">
        <v>2</v>
      </c>
      <c r="H3207">
        <v>416.99</v>
      </c>
      <c r="I3207" s="5">
        <v>0.05</v>
      </c>
      <c r="J3207">
        <f t="shared" si="100"/>
        <v>792.28099999999995</v>
      </c>
      <c r="K3207" s="9">
        <f t="shared" si="101"/>
        <v>-0.58826372462468679</v>
      </c>
    </row>
    <row r="3208" spans="1:11" x14ac:dyDescent="0.3">
      <c r="A3208">
        <v>1112</v>
      </c>
      <c r="B3208">
        <v>2</v>
      </c>
      <c r="C3208">
        <v>42</v>
      </c>
      <c r="D3208" t="str">
        <f>VLOOKUP($C3208,products!$A$1:$F$322,MATCH(order_items!$D$1,products!$A$1:$F$1,0),FALSE)</f>
        <v>Trek Fuel EX 5 27.5 Plus - 2017</v>
      </c>
      <c r="E3208">
        <f>VLOOKUP($C3208,products!$A$1:$F$322,MATCH(order_items!$E$1,products!$A$1:$F$1,0),FALSE)</f>
        <v>6</v>
      </c>
      <c r="F3208" t="str">
        <f>VLOOKUP($E3208,categories!$A$1:$B$8,MATCH(order_items!$F$1,categories!$A$1:$B$1,0),FALSE)</f>
        <v>Mountain Bikes</v>
      </c>
      <c r="G3208">
        <v>1</v>
      </c>
      <c r="H3208">
        <v>2299.9899999999998</v>
      </c>
      <c r="I3208" s="5">
        <v>7.0000000000000007E-2</v>
      </c>
      <c r="J3208">
        <f t="shared" si="100"/>
        <v>2138.9906999999998</v>
      </c>
      <c r="K3208" s="9">
        <f t="shared" si="101"/>
        <v>0.80381333297731938</v>
      </c>
    </row>
    <row r="3209" spans="1:11" x14ac:dyDescent="0.3">
      <c r="A3209">
        <v>1112</v>
      </c>
      <c r="B3209">
        <v>3</v>
      </c>
      <c r="C3209">
        <v>5</v>
      </c>
      <c r="D3209" t="str">
        <f>VLOOKUP($C3209,products!$A$1:$F$322,MATCH(order_items!$D$1,products!$A$1:$F$1,0),FALSE)</f>
        <v>Heller Shagamaw Frame - 2016</v>
      </c>
      <c r="E3209">
        <f>VLOOKUP($C3209,products!$A$1:$F$322,MATCH(order_items!$E$1,products!$A$1:$F$1,0),FALSE)</f>
        <v>6</v>
      </c>
      <c r="F3209" t="str">
        <f>VLOOKUP($E3209,categories!$A$1:$B$8,MATCH(order_items!$F$1,categories!$A$1:$B$1,0),FALSE)</f>
        <v>Mountain Bikes</v>
      </c>
      <c r="G3209">
        <v>2</v>
      </c>
      <c r="H3209">
        <v>1320.99</v>
      </c>
      <c r="I3209" s="5">
        <v>0.1</v>
      </c>
      <c r="J3209">
        <f t="shared" si="100"/>
        <v>2377.7820000000002</v>
      </c>
      <c r="K3209" s="9">
        <f t="shared" si="101"/>
        <v>8.0051548913398024E-2</v>
      </c>
    </row>
    <row r="3210" spans="1:11" x14ac:dyDescent="0.3">
      <c r="A3210">
        <v>1112</v>
      </c>
      <c r="B3210">
        <v>4</v>
      </c>
      <c r="C3210">
        <v>87</v>
      </c>
      <c r="D3210" t="str">
        <f>VLOOKUP($C3210,products!$A$1:$F$322,MATCH(order_items!$D$1,products!$A$1:$F$1,0),FALSE)</f>
        <v>Trek Precaliber 12 Boys - 2017</v>
      </c>
      <c r="E3210">
        <f>VLOOKUP($C3210,products!$A$1:$F$322,MATCH(order_items!$E$1,products!$A$1:$F$1,0),FALSE)</f>
        <v>1</v>
      </c>
      <c r="F3210" t="str">
        <f>VLOOKUP($E3210,categories!$A$1:$B$8,MATCH(order_items!$F$1,categories!$A$1:$B$1,0),FALSE)</f>
        <v>Children Bicycles</v>
      </c>
      <c r="G3210">
        <v>2</v>
      </c>
      <c r="H3210">
        <v>189.99</v>
      </c>
      <c r="I3210" s="5">
        <v>7.0000000000000007E-2</v>
      </c>
      <c r="J3210">
        <f t="shared" si="100"/>
        <v>353.38139999999999</v>
      </c>
      <c r="K3210" s="9">
        <f t="shared" si="101"/>
        <v>-0.75608182981621919</v>
      </c>
    </row>
    <row r="3211" spans="1:11" x14ac:dyDescent="0.3">
      <c r="A3211">
        <v>1112</v>
      </c>
      <c r="B3211">
        <v>5</v>
      </c>
      <c r="C3211">
        <v>9</v>
      </c>
      <c r="D3211" t="str">
        <f>VLOOKUP($C3211,products!$A$1:$F$322,MATCH(order_items!$D$1,products!$A$1:$F$1,0),FALSE)</f>
        <v>Trek Conduit+ - 2016</v>
      </c>
      <c r="E3211">
        <f>VLOOKUP($C3211,products!$A$1:$F$322,MATCH(order_items!$E$1,products!$A$1:$F$1,0),FALSE)</f>
        <v>5</v>
      </c>
      <c r="F3211" t="str">
        <f>VLOOKUP($E3211,categories!$A$1:$B$8,MATCH(order_items!$F$1,categories!$A$1:$B$1,0),FALSE)</f>
        <v>Electric Bikes</v>
      </c>
      <c r="G3211">
        <v>2</v>
      </c>
      <c r="H3211">
        <v>2999.99</v>
      </c>
      <c r="I3211" s="5">
        <v>0.1</v>
      </c>
      <c r="J3211">
        <f t="shared" si="100"/>
        <v>5399.982</v>
      </c>
      <c r="K3211" s="9">
        <f t="shared" si="101"/>
        <v>1.3213140978851283</v>
      </c>
    </row>
    <row r="3212" spans="1:11" x14ac:dyDescent="0.3">
      <c r="A3212">
        <v>1113</v>
      </c>
      <c r="B3212">
        <v>1</v>
      </c>
      <c r="C3212">
        <v>106</v>
      </c>
      <c r="D3212" t="str">
        <f>VLOOKUP($C3212,products!$A$1:$F$322,MATCH(order_items!$D$1,products!$A$1:$F$1,0),FALSE)</f>
        <v>Sun Bicycles Cruz 3 - 2017</v>
      </c>
      <c r="E3212">
        <f>VLOOKUP($C3212,products!$A$1:$F$322,MATCH(order_items!$E$1,products!$A$1:$F$1,0),FALSE)</f>
        <v>2</v>
      </c>
      <c r="F3212" t="str">
        <f>VLOOKUP($E3212,categories!$A$1:$B$8,MATCH(order_items!$F$1,categories!$A$1:$B$1,0),FALSE)</f>
        <v>Comfort Bicycles</v>
      </c>
      <c r="G3212">
        <v>1</v>
      </c>
      <c r="H3212">
        <v>449.99</v>
      </c>
      <c r="I3212" s="5">
        <v>7.0000000000000007E-2</v>
      </c>
      <c r="J3212">
        <f t="shared" si="100"/>
        <v>418.4907</v>
      </c>
      <c r="K3212" s="9">
        <f t="shared" si="101"/>
        <v>-0.56386725999331866</v>
      </c>
    </row>
    <row r="3213" spans="1:11" x14ac:dyDescent="0.3">
      <c r="A3213">
        <v>1114</v>
      </c>
      <c r="B3213">
        <v>1</v>
      </c>
      <c r="C3213">
        <v>52</v>
      </c>
      <c r="D3213" t="str">
        <f>VLOOKUP($C3213,products!$A$1:$F$322,MATCH(order_items!$D$1,products!$A$1:$F$1,0),FALSE)</f>
        <v>Surly Steamroller - 2017</v>
      </c>
      <c r="E3213">
        <f>VLOOKUP($C3213,products!$A$1:$F$322,MATCH(order_items!$E$1,products!$A$1:$F$1,0),FALSE)</f>
        <v>7</v>
      </c>
      <c r="F3213" t="str">
        <f>VLOOKUP($E3213,categories!$A$1:$B$8,MATCH(order_items!$F$1,categories!$A$1:$B$1,0),FALSE)</f>
        <v>Road Bikes</v>
      </c>
      <c r="G3213">
        <v>1</v>
      </c>
      <c r="H3213">
        <v>875.99</v>
      </c>
      <c r="I3213" s="5">
        <v>0.2</v>
      </c>
      <c r="J3213">
        <f t="shared" si="100"/>
        <v>700.79200000000003</v>
      </c>
      <c r="K3213" s="9">
        <f t="shared" si="101"/>
        <v>-0.24893108020656629</v>
      </c>
    </row>
    <row r="3214" spans="1:11" x14ac:dyDescent="0.3">
      <c r="A3214">
        <v>1115</v>
      </c>
      <c r="B3214">
        <v>1</v>
      </c>
      <c r="C3214">
        <v>97</v>
      </c>
      <c r="D3214" t="str">
        <f>VLOOKUP($C3214,products!$A$1:$F$322,MATCH(order_items!$D$1,products!$A$1:$F$1,0),FALSE)</f>
        <v>Electra Savannah 3i (20-inch) - Girl's - 2017</v>
      </c>
      <c r="E3214">
        <f>VLOOKUP($C3214,products!$A$1:$F$322,MATCH(order_items!$E$1,products!$A$1:$F$1,0),FALSE)</f>
        <v>1</v>
      </c>
      <c r="F3214" t="str">
        <f>VLOOKUP($E3214,categories!$A$1:$B$8,MATCH(order_items!$F$1,categories!$A$1:$B$1,0),FALSE)</f>
        <v>Children Bicycles</v>
      </c>
      <c r="G3214">
        <v>2</v>
      </c>
      <c r="H3214">
        <v>349.99</v>
      </c>
      <c r="I3214" s="5">
        <v>0.2</v>
      </c>
      <c r="J3214">
        <f t="shared" si="100"/>
        <v>559.98400000000004</v>
      </c>
      <c r="K3214" s="9">
        <f t="shared" si="101"/>
        <v>-0.63779594069443424</v>
      </c>
    </row>
    <row r="3215" spans="1:11" x14ac:dyDescent="0.3">
      <c r="A3215">
        <v>1115</v>
      </c>
      <c r="B3215">
        <v>2</v>
      </c>
      <c r="C3215">
        <v>50</v>
      </c>
      <c r="D3215" t="str">
        <f>VLOOKUP($C3215,products!$A$1:$F$322,MATCH(order_items!$D$1,products!$A$1:$F$1,0),FALSE)</f>
        <v>Trek Silque SLR 7 Women's - 2017</v>
      </c>
      <c r="E3215">
        <f>VLOOKUP($C3215,products!$A$1:$F$322,MATCH(order_items!$E$1,products!$A$1:$F$1,0),FALSE)</f>
        <v>7</v>
      </c>
      <c r="F3215" t="str">
        <f>VLOOKUP($E3215,categories!$A$1:$B$8,MATCH(order_items!$F$1,categories!$A$1:$B$1,0),FALSE)</f>
        <v>Road Bikes</v>
      </c>
      <c r="G3215">
        <v>2</v>
      </c>
      <c r="H3215">
        <v>5999.99</v>
      </c>
      <c r="I3215" s="5">
        <v>7.0000000000000007E-2</v>
      </c>
      <c r="J3215">
        <f t="shared" si="100"/>
        <v>11159.981399999999</v>
      </c>
      <c r="K3215" s="9">
        <f t="shared" si="101"/>
        <v>3.5391745189185961</v>
      </c>
    </row>
    <row r="3216" spans="1:11" x14ac:dyDescent="0.3">
      <c r="A3216">
        <v>1115</v>
      </c>
      <c r="B3216">
        <v>3</v>
      </c>
      <c r="C3216">
        <v>91</v>
      </c>
      <c r="D3216" t="str">
        <f>VLOOKUP($C3216,products!$A$1:$F$322,MATCH(order_items!$D$1,products!$A$1:$F$1,0),FALSE)</f>
        <v>Trek Precaliber 24 (21-Speed) - Girls - 2017</v>
      </c>
      <c r="E3216">
        <f>VLOOKUP($C3216,products!$A$1:$F$322,MATCH(order_items!$E$1,products!$A$1:$F$1,0),FALSE)</f>
        <v>1</v>
      </c>
      <c r="F3216" t="str">
        <f>VLOOKUP($E3216,categories!$A$1:$B$8,MATCH(order_items!$F$1,categories!$A$1:$B$1,0),FALSE)</f>
        <v>Children Bicycles</v>
      </c>
      <c r="G3216">
        <v>2</v>
      </c>
      <c r="H3216">
        <v>349.99</v>
      </c>
      <c r="I3216" s="5">
        <v>7.0000000000000007E-2</v>
      </c>
      <c r="J3216">
        <f t="shared" si="100"/>
        <v>650.98140000000001</v>
      </c>
      <c r="K3216" s="9">
        <f t="shared" si="101"/>
        <v>-0.63779594069443424</v>
      </c>
    </row>
    <row r="3217" spans="1:11" x14ac:dyDescent="0.3">
      <c r="A3217">
        <v>1115</v>
      </c>
      <c r="B3217">
        <v>4</v>
      </c>
      <c r="C3217">
        <v>49</v>
      </c>
      <c r="D3217" t="str">
        <f>VLOOKUP($C3217,products!$A$1:$F$322,MATCH(order_items!$D$1,products!$A$1:$F$1,0),FALSE)</f>
        <v>Trek Domane SL 6 - 2017</v>
      </c>
      <c r="E3217">
        <f>VLOOKUP($C3217,products!$A$1:$F$322,MATCH(order_items!$E$1,products!$A$1:$F$1,0),FALSE)</f>
        <v>7</v>
      </c>
      <c r="F3217" t="str">
        <f>VLOOKUP($E3217,categories!$A$1:$B$8,MATCH(order_items!$F$1,categories!$A$1:$B$1,0),FALSE)</f>
        <v>Road Bikes</v>
      </c>
      <c r="G3217">
        <v>2</v>
      </c>
      <c r="H3217">
        <v>3499.99</v>
      </c>
      <c r="I3217" s="5">
        <v>0.1</v>
      </c>
      <c r="J3217">
        <f t="shared" si="100"/>
        <v>6299.982</v>
      </c>
      <c r="K3217" s="9">
        <f t="shared" si="101"/>
        <v>1.6909575013907066</v>
      </c>
    </row>
    <row r="3218" spans="1:11" x14ac:dyDescent="0.3">
      <c r="A3218">
        <v>1116</v>
      </c>
      <c r="B3218">
        <v>1</v>
      </c>
      <c r="C3218">
        <v>11</v>
      </c>
      <c r="D3218" t="str">
        <f>VLOOKUP($C3218,products!$A$1:$F$322,MATCH(order_items!$D$1,products!$A$1:$F$1,0),FALSE)</f>
        <v>Surly Straggler 650b - 2016</v>
      </c>
      <c r="E3218">
        <f>VLOOKUP($C3218,products!$A$1:$F$322,MATCH(order_items!$E$1,products!$A$1:$F$1,0),FALSE)</f>
        <v>4</v>
      </c>
      <c r="F3218" t="str">
        <f>VLOOKUP($E3218,categories!$A$1:$B$8,MATCH(order_items!$F$1,categories!$A$1:$B$1,0),FALSE)</f>
        <v>Cyclocross Bicycles</v>
      </c>
      <c r="G3218">
        <v>2</v>
      </c>
      <c r="H3218">
        <v>1680.99</v>
      </c>
      <c r="I3218" s="5">
        <v>7.0000000000000007E-2</v>
      </c>
      <c r="J3218">
        <f t="shared" si="100"/>
        <v>3126.6414</v>
      </c>
      <c r="K3218" s="9">
        <f t="shared" si="101"/>
        <v>0.3461947994374141</v>
      </c>
    </row>
    <row r="3219" spans="1:11" x14ac:dyDescent="0.3">
      <c r="A3219">
        <v>1117</v>
      </c>
      <c r="B3219">
        <v>1</v>
      </c>
      <c r="C3219">
        <v>37</v>
      </c>
      <c r="D3219" t="str">
        <f>VLOOKUP($C3219,products!$A$1:$F$322,MATCH(order_items!$D$1,products!$A$1:$F$1,0),FALSE)</f>
        <v>Haro Flightline One ST - 2017</v>
      </c>
      <c r="E3219">
        <f>VLOOKUP($C3219,products!$A$1:$F$322,MATCH(order_items!$E$1,products!$A$1:$F$1,0),FALSE)</f>
        <v>6</v>
      </c>
      <c r="F3219" t="str">
        <f>VLOOKUP($E3219,categories!$A$1:$B$8,MATCH(order_items!$F$1,categories!$A$1:$B$1,0),FALSE)</f>
        <v>Mountain Bikes</v>
      </c>
      <c r="G3219">
        <v>2</v>
      </c>
      <c r="H3219">
        <v>379.99</v>
      </c>
      <c r="I3219" s="5">
        <v>0.1</v>
      </c>
      <c r="J3219">
        <f t="shared" si="100"/>
        <v>683.98200000000008</v>
      </c>
      <c r="K3219" s="9">
        <f t="shared" si="101"/>
        <v>-0.61561733648409955</v>
      </c>
    </row>
    <row r="3220" spans="1:11" x14ac:dyDescent="0.3">
      <c r="A3220">
        <v>1117</v>
      </c>
      <c r="B3220">
        <v>2</v>
      </c>
      <c r="C3220">
        <v>91</v>
      </c>
      <c r="D3220" t="str">
        <f>VLOOKUP($C3220,products!$A$1:$F$322,MATCH(order_items!$D$1,products!$A$1:$F$1,0),FALSE)</f>
        <v>Trek Precaliber 24 (21-Speed) - Girls - 2017</v>
      </c>
      <c r="E3220">
        <f>VLOOKUP($C3220,products!$A$1:$F$322,MATCH(order_items!$E$1,products!$A$1:$F$1,0),FALSE)</f>
        <v>1</v>
      </c>
      <c r="F3220" t="str">
        <f>VLOOKUP($E3220,categories!$A$1:$B$8,MATCH(order_items!$F$1,categories!$A$1:$B$1,0),FALSE)</f>
        <v>Children Bicycles</v>
      </c>
      <c r="G3220">
        <v>1</v>
      </c>
      <c r="H3220">
        <v>349.99</v>
      </c>
      <c r="I3220" s="5">
        <v>0.2</v>
      </c>
      <c r="J3220">
        <f t="shared" si="100"/>
        <v>279.99200000000002</v>
      </c>
      <c r="K3220" s="9">
        <f t="shared" si="101"/>
        <v>-0.63779594069443424</v>
      </c>
    </row>
    <row r="3221" spans="1:11" x14ac:dyDescent="0.3">
      <c r="A3221">
        <v>1117</v>
      </c>
      <c r="B3221">
        <v>3</v>
      </c>
      <c r="C3221">
        <v>51</v>
      </c>
      <c r="D3221" t="str">
        <f>VLOOKUP($C3221,products!$A$1:$F$322,MATCH(order_items!$D$1,products!$A$1:$F$1,0),FALSE)</f>
        <v>Trek Silque SLR 8 Women's - 2017</v>
      </c>
      <c r="E3221">
        <f>VLOOKUP($C3221,products!$A$1:$F$322,MATCH(order_items!$E$1,products!$A$1:$F$1,0),FALSE)</f>
        <v>7</v>
      </c>
      <c r="F3221" t="str">
        <f>VLOOKUP($E3221,categories!$A$1:$B$8,MATCH(order_items!$F$1,categories!$A$1:$B$1,0),FALSE)</f>
        <v>Road Bikes</v>
      </c>
      <c r="G3221">
        <v>2</v>
      </c>
      <c r="H3221">
        <v>6499.99</v>
      </c>
      <c r="I3221" s="5">
        <v>0.1</v>
      </c>
      <c r="J3221">
        <f t="shared" si="100"/>
        <v>11699.982</v>
      </c>
      <c r="K3221" s="9">
        <f t="shared" si="101"/>
        <v>3.9088179224241739</v>
      </c>
    </row>
    <row r="3222" spans="1:11" x14ac:dyDescent="0.3">
      <c r="A3222">
        <v>1118</v>
      </c>
      <c r="B3222">
        <v>1</v>
      </c>
      <c r="C3222">
        <v>55</v>
      </c>
      <c r="D3222" t="str">
        <f>VLOOKUP($C3222,products!$A$1:$F$322,MATCH(order_items!$D$1,products!$A$1:$F$1,0),FALSE)</f>
        <v>Trek Domane S 6 - 2017</v>
      </c>
      <c r="E3222">
        <f>VLOOKUP($C3222,products!$A$1:$F$322,MATCH(order_items!$E$1,products!$A$1:$F$1,0),FALSE)</f>
        <v>7</v>
      </c>
      <c r="F3222" t="str">
        <f>VLOOKUP($E3222,categories!$A$1:$B$8,MATCH(order_items!$F$1,categories!$A$1:$B$1,0),FALSE)</f>
        <v>Road Bikes</v>
      </c>
      <c r="G3222">
        <v>2</v>
      </c>
      <c r="H3222">
        <v>2699.99</v>
      </c>
      <c r="I3222" s="5">
        <v>0.2</v>
      </c>
      <c r="J3222">
        <f t="shared" si="100"/>
        <v>4319.9839999999995</v>
      </c>
      <c r="K3222" s="9">
        <f t="shared" si="101"/>
        <v>1.0995280557817817</v>
      </c>
    </row>
    <row r="3223" spans="1:11" x14ac:dyDescent="0.3">
      <c r="A3223">
        <v>1118</v>
      </c>
      <c r="B3223">
        <v>2</v>
      </c>
      <c r="C3223">
        <v>50</v>
      </c>
      <c r="D3223" t="str">
        <f>VLOOKUP($C3223,products!$A$1:$F$322,MATCH(order_items!$D$1,products!$A$1:$F$1,0),FALSE)</f>
        <v>Trek Silque SLR 7 Women's - 2017</v>
      </c>
      <c r="E3223">
        <f>VLOOKUP($C3223,products!$A$1:$F$322,MATCH(order_items!$E$1,products!$A$1:$F$1,0),FALSE)</f>
        <v>7</v>
      </c>
      <c r="F3223" t="str">
        <f>VLOOKUP($E3223,categories!$A$1:$B$8,MATCH(order_items!$F$1,categories!$A$1:$B$1,0),FALSE)</f>
        <v>Road Bikes</v>
      </c>
      <c r="G3223">
        <v>1</v>
      </c>
      <c r="H3223">
        <v>5999.99</v>
      </c>
      <c r="I3223" s="5">
        <v>7.0000000000000007E-2</v>
      </c>
      <c r="J3223">
        <f t="shared" si="100"/>
        <v>5579.9906999999994</v>
      </c>
      <c r="K3223" s="9">
        <f t="shared" si="101"/>
        <v>3.5391745189185961</v>
      </c>
    </row>
    <row r="3224" spans="1:11" x14ac:dyDescent="0.3">
      <c r="A3224">
        <v>1118</v>
      </c>
      <c r="B3224">
        <v>3</v>
      </c>
      <c r="C3224">
        <v>29</v>
      </c>
      <c r="D3224" t="str">
        <f>VLOOKUP($C3224,products!$A$1:$F$322,MATCH(order_items!$D$1,products!$A$1:$F$1,0),FALSE)</f>
        <v>Trek X-Caliber 8 - 2017</v>
      </c>
      <c r="E3224">
        <f>VLOOKUP($C3224,products!$A$1:$F$322,MATCH(order_items!$E$1,products!$A$1:$F$1,0),FALSE)</f>
        <v>6</v>
      </c>
      <c r="F3224" t="str">
        <f>VLOOKUP($E3224,categories!$A$1:$B$8,MATCH(order_items!$F$1,categories!$A$1:$B$1,0),FALSE)</f>
        <v>Mountain Bikes</v>
      </c>
      <c r="G3224">
        <v>1</v>
      </c>
      <c r="H3224">
        <v>999.99</v>
      </c>
      <c r="I3224" s="5">
        <v>0.05</v>
      </c>
      <c r="J3224">
        <f t="shared" si="100"/>
        <v>949.9905</v>
      </c>
      <c r="K3224" s="9">
        <f t="shared" si="101"/>
        <v>-0.15725951613718298</v>
      </c>
    </row>
    <row r="3225" spans="1:11" x14ac:dyDescent="0.3">
      <c r="A3225">
        <v>1118</v>
      </c>
      <c r="B3225">
        <v>4</v>
      </c>
      <c r="C3225">
        <v>47</v>
      </c>
      <c r="D3225" t="str">
        <f>VLOOKUP($C3225,products!$A$1:$F$322,MATCH(order_items!$D$1,products!$A$1:$F$1,0),FALSE)</f>
        <v>Trek Remedy 9.8 - 2017</v>
      </c>
      <c r="E3225">
        <f>VLOOKUP($C3225,products!$A$1:$F$322,MATCH(order_items!$E$1,products!$A$1:$F$1,0),FALSE)</f>
        <v>6</v>
      </c>
      <c r="F3225" t="str">
        <f>VLOOKUP($E3225,categories!$A$1:$B$8,MATCH(order_items!$F$1,categories!$A$1:$B$1,0),FALSE)</f>
        <v>Mountain Bikes</v>
      </c>
      <c r="G3225">
        <v>2</v>
      </c>
      <c r="H3225">
        <v>5299.99</v>
      </c>
      <c r="I3225" s="5">
        <v>0.2</v>
      </c>
      <c r="J3225">
        <f t="shared" si="100"/>
        <v>8479.9840000000004</v>
      </c>
      <c r="K3225" s="9">
        <f t="shared" si="101"/>
        <v>3.021673754010787</v>
      </c>
    </row>
    <row r="3226" spans="1:11" x14ac:dyDescent="0.3">
      <c r="A3226">
        <v>1119</v>
      </c>
      <c r="B3226">
        <v>1</v>
      </c>
      <c r="C3226">
        <v>93</v>
      </c>
      <c r="D3226" t="str">
        <f>VLOOKUP($C3226,products!$A$1:$F$322,MATCH(order_items!$D$1,products!$A$1:$F$1,0),FALSE)</f>
        <v>Haro Shredder 20 Girls - 2017</v>
      </c>
      <c r="E3226">
        <f>VLOOKUP($C3226,products!$A$1:$F$322,MATCH(order_items!$E$1,products!$A$1:$F$1,0),FALSE)</f>
        <v>1</v>
      </c>
      <c r="F3226" t="str">
        <f>VLOOKUP($E3226,categories!$A$1:$B$8,MATCH(order_items!$F$1,categories!$A$1:$B$1,0),FALSE)</f>
        <v>Children Bicycles</v>
      </c>
      <c r="G3226">
        <v>2</v>
      </c>
      <c r="H3226">
        <v>209.99</v>
      </c>
      <c r="I3226" s="5">
        <v>0.1</v>
      </c>
      <c r="J3226">
        <f t="shared" si="100"/>
        <v>377.98200000000003</v>
      </c>
      <c r="K3226" s="9">
        <f t="shared" si="101"/>
        <v>-0.74129609367599603</v>
      </c>
    </row>
    <row r="3227" spans="1:11" x14ac:dyDescent="0.3">
      <c r="A3227">
        <v>1119</v>
      </c>
      <c r="B3227">
        <v>2</v>
      </c>
      <c r="C3227">
        <v>55</v>
      </c>
      <c r="D3227" t="str">
        <f>VLOOKUP($C3227,products!$A$1:$F$322,MATCH(order_items!$D$1,products!$A$1:$F$1,0),FALSE)</f>
        <v>Trek Domane S 6 - 2017</v>
      </c>
      <c r="E3227">
        <f>VLOOKUP($C3227,products!$A$1:$F$322,MATCH(order_items!$E$1,products!$A$1:$F$1,0),FALSE)</f>
        <v>7</v>
      </c>
      <c r="F3227" t="str">
        <f>VLOOKUP($E3227,categories!$A$1:$B$8,MATCH(order_items!$F$1,categories!$A$1:$B$1,0),FALSE)</f>
        <v>Road Bikes</v>
      </c>
      <c r="G3227">
        <v>2</v>
      </c>
      <c r="H3227">
        <v>2699.99</v>
      </c>
      <c r="I3227" s="5">
        <v>0.05</v>
      </c>
      <c r="J3227">
        <f t="shared" si="100"/>
        <v>5129.9809999999998</v>
      </c>
      <c r="K3227" s="9">
        <f t="shared" si="101"/>
        <v>1.0995280557817817</v>
      </c>
    </row>
    <row r="3228" spans="1:11" x14ac:dyDescent="0.3">
      <c r="A3228">
        <v>1119</v>
      </c>
      <c r="B3228">
        <v>3</v>
      </c>
      <c r="C3228">
        <v>104</v>
      </c>
      <c r="D3228" t="str">
        <f>VLOOKUP($C3228,products!$A$1:$F$322,MATCH(order_items!$D$1,products!$A$1:$F$1,0),FALSE)</f>
        <v>Sun Bicycles Streamway - 2017</v>
      </c>
      <c r="E3228">
        <f>VLOOKUP($C3228,products!$A$1:$F$322,MATCH(order_items!$E$1,products!$A$1:$F$1,0),FALSE)</f>
        <v>2</v>
      </c>
      <c r="F3228" t="str">
        <f>VLOOKUP($E3228,categories!$A$1:$B$8,MATCH(order_items!$F$1,categories!$A$1:$B$1,0),FALSE)</f>
        <v>Comfort Bicycles</v>
      </c>
      <c r="G3228">
        <v>1</v>
      </c>
      <c r="H3228">
        <v>481.99</v>
      </c>
      <c r="I3228" s="5">
        <v>0.2</v>
      </c>
      <c r="J3228">
        <f t="shared" si="100"/>
        <v>385.59200000000004</v>
      </c>
      <c r="K3228" s="9">
        <f t="shared" si="101"/>
        <v>-0.54021008216896171</v>
      </c>
    </row>
    <row r="3229" spans="1:11" x14ac:dyDescent="0.3">
      <c r="A3229">
        <v>1120</v>
      </c>
      <c r="B3229">
        <v>1</v>
      </c>
      <c r="C3229">
        <v>92</v>
      </c>
      <c r="D3229" t="str">
        <f>VLOOKUP($C3229,products!$A$1:$F$322,MATCH(order_items!$D$1,products!$A$1:$F$1,0),FALSE)</f>
        <v>Haro Shredder 20 - 2017</v>
      </c>
      <c r="E3229">
        <f>VLOOKUP($C3229,products!$A$1:$F$322,MATCH(order_items!$E$1,products!$A$1:$F$1,0),FALSE)</f>
        <v>1</v>
      </c>
      <c r="F3229" t="str">
        <f>VLOOKUP($E3229,categories!$A$1:$B$8,MATCH(order_items!$F$1,categories!$A$1:$B$1,0),FALSE)</f>
        <v>Children Bicycles</v>
      </c>
      <c r="G3229">
        <v>2</v>
      </c>
      <c r="H3229">
        <v>209.99</v>
      </c>
      <c r="I3229" s="5">
        <v>7.0000000000000007E-2</v>
      </c>
      <c r="J3229">
        <f t="shared" si="100"/>
        <v>390.58139999999997</v>
      </c>
      <c r="K3229" s="9">
        <f t="shared" si="101"/>
        <v>-0.74129609367599603</v>
      </c>
    </row>
    <row r="3230" spans="1:11" x14ac:dyDescent="0.3">
      <c r="A3230">
        <v>1120</v>
      </c>
      <c r="B3230">
        <v>2</v>
      </c>
      <c r="C3230">
        <v>31</v>
      </c>
      <c r="D3230" t="str">
        <f>VLOOKUP($C3230,products!$A$1:$F$322,MATCH(order_items!$D$1,products!$A$1:$F$1,0),FALSE)</f>
        <v>Surly Wednesday - 2017</v>
      </c>
      <c r="E3230">
        <f>VLOOKUP($C3230,products!$A$1:$F$322,MATCH(order_items!$E$1,products!$A$1:$F$1,0),FALSE)</f>
        <v>6</v>
      </c>
      <c r="F3230" t="str">
        <f>VLOOKUP($E3230,categories!$A$1:$B$8,MATCH(order_items!$F$1,categories!$A$1:$B$1,0),FALSE)</f>
        <v>Mountain Bikes</v>
      </c>
      <c r="G3230">
        <v>1</v>
      </c>
      <c r="H3230">
        <v>1632.99</v>
      </c>
      <c r="I3230" s="5">
        <v>7.0000000000000007E-2</v>
      </c>
      <c r="J3230">
        <f t="shared" si="100"/>
        <v>1518.6806999999999</v>
      </c>
      <c r="K3230" s="9">
        <f t="shared" si="101"/>
        <v>0.31070903270087863</v>
      </c>
    </row>
    <row r="3231" spans="1:11" x14ac:dyDescent="0.3">
      <c r="A3231">
        <v>1120</v>
      </c>
      <c r="B3231">
        <v>3</v>
      </c>
      <c r="C3231">
        <v>30</v>
      </c>
      <c r="D3231" t="str">
        <f>VLOOKUP($C3231,products!$A$1:$F$322,MATCH(order_items!$D$1,products!$A$1:$F$1,0),FALSE)</f>
        <v>Surly Ice Cream Truck Frameset - 2017</v>
      </c>
      <c r="E3231">
        <f>VLOOKUP($C3231,products!$A$1:$F$322,MATCH(order_items!$E$1,products!$A$1:$F$1,0),FALSE)</f>
        <v>6</v>
      </c>
      <c r="F3231" t="str">
        <f>VLOOKUP($E3231,categories!$A$1:$B$8,MATCH(order_items!$F$1,categories!$A$1:$B$1,0),FALSE)</f>
        <v>Mountain Bikes</v>
      </c>
      <c r="G3231">
        <v>2</v>
      </c>
      <c r="H3231">
        <v>999.99</v>
      </c>
      <c r="I3231" s="5">
        <v>0.05</v>
      </c>
      <c r="J3231">
        <f t="shared" si="100"/>
        <v>1899.981</v>
      </c>
      <c r="K3231" s="9">
        <f t="shared" si="101"/>
        <v>-0.15725951613718298</v>
      </c>
    </row>
    <row r="3232" spans="1:11" x14ac:dyDescent="0.3">
      <c r="A3232">
        <v>1120</v>
      </c>
      <c r="B3232">
        <v>4</v>
      </c>
      <c r="C3232">
        <v>93</v>
      </c>
      <c r="D3232" t="str">
        <f>VLOOKUP($C3232,products!$A$1:$F$322,MATCH(order_items!$D$1,products!$A$1:$F$1,0),FALSE)</f>
        <v>Haro Shredder 20 Girls - 2017</v>
      </c>
      <c r="E3232">
        <f>VLOOKUP($C3232,products!$A$1:$F$322,MATCH(order_items!$E$1,products!$A$1:$F$1,0),FALSE)</f>
        <v>1</v>
      </c>
      <c r="F3232" t="str">
        <f>VLOOKUP($E3232,categories!$A$1:$B$8,MATCH(order_items!$F$1,categories!$A$1:$B$1,0),FALSE)</f>
        <v>Children Bicycles</v>
      </c>
      <c r="G3232">
        <v>1</v>
      </c>
      <c r="H3232">
        <v>209.99</v>
      </c>
      <c r="I3232" s="5">
        <v>7.0000000000000007E-2</v>
      </c>
      <c r="J3232">
        <f t="shared" si="100"/>
        <v>195.29069999999999</v>
      </c>
      <c r="K3232" s="9">
        <f t="shared" si="101"/>
        <v>-0.74129609367599603</v>
      </c>
    </row>
    <row r="3233" spans="1:11" x14ac:dyDescent="0.3">
      <c r="A3233">
        <v>1120</v>
      </c>
      <c r="B3233">
        <v>5</v>
      </c>
      <c r="C3233">
        <v>94</v>
      </c>
      <c r="D3233" t="str">
        <f>VLOOKUP($C3233,products!$A$1:$F$322,MATCH(order_items!$D$1,products!$A$1:$F$1,0),FALSE)</f>
        <v>Haro Shredder Pro 20 - 2017</v>
      </c>
      <c r="E3233">
        <f>VLOOKUP($C3233,products!$A$1:$F$322,MATCH(order_items!$E$1,products!$A$1:$F$1,0),FALSE)</f>
        <v>1</v>
      </c>
      <c r="F3233" t="str">
        <f>VLOOKUP($E3233,categories!$A$1:$B$8,MATCH(order_items!$F$1,categories!$A$1:$B$1,0),FALSE)</f>
        <v>Children Bicycles</v>
      </c>
      <c r="G3233">
        <v>1</v>
      </c>
      <c r="H3233">
        <v>249.99</v>
      </c>
      <c r="I3233" s="5">
        <v>0.2</v>
      </c>
      <c r="J3233">
        <f t="shared" si="100"/>
        <v>199.99200000000002</v>
      </c>
      <c r="K3233" s="9">
        <f t="shared" si="101"/>
        <v>-0.71172462139554982</v>
      </c>
    </row>
    <row r="3234" spans="1:11" x14ac:dyDescent="0.3">
      <c r="A3234">
        <v>1121</v>
      </c>
      <c r="B3234">
        <v>1</v>
      </c>
      <c r="C3234">
        <v>11</v>
      </c>
      <c r="D3234" t="str">
        <f>VLOOKUP($C3234,products!$A$1:$F$322,MATCH(order_items!$D$1,products!$A$1:$F$1,0),FALSE)</f>
        <v>Surly Straggler 650b - 2016</v>
      </c>
      <c r="E3234">
        <f>VLOOKUP($C3234,products!$A$1:$F$322,MATCH(order_items!$E$1,products!$A$1:$F$1,0),FALSE)</f>
        <v>4</v>
      </c>
      <c r="F3234" t="str">
        <f>VLOOKUP($E3234,categories!$A$1:$B$8,MATCH(order_items!$F$1,categories!$A$1:$B$1,0),FALSE)</f>
        <v>Cyclocross Bicycles</v>
      </c>
      <c r="G3234">
        <v>2</v>
      </c>
      <c r="H3234">
        <v>1680.99</v>
      </c>
      <c r="I3234" s="5">
        <v>0.1</v>
      </c>
      <c r="J3234">
        <f t="shared" si="100"/>
        <v>3025.7820000000002</v>
      </c>
      <c r="K3234" s="9">
        <f t="shared" si="101"/>
        <v>0.3461947994374141</v>
      </c>
    </row>
    <row r="3235" spans="1:11" x14ac:dyDescent="0.3">
      <c r="A3235">
        <v>1121</v>
      </c>
      <c r="B3235">
        <v>2</v>
      </c>
      <c r="C3235">
        <v>110</v>
      </c>
      <c r="D3235" t="str">
        <f>VLOOKUP($C3235,products!$A$1:$F$322,MATCH(order_items!$D$1,products!$A$1:$F$1,0),FALSE)</f>
        <v>Sun Bicycles Drifter 7 - 2017</v>
      </c>
      <c r="E3235">
        <f>VLOOKUP($C3235,products!$A$1:$F$322,MATCH(order_items!$E$1,products!$A$1:$F$1,0),FALSE)</f>
        <v>2</v>
      </c>
      <c r="F3235" t="str">
        <f>VLOOKUP($E3235,categories!$A$1:$B$8,MATCH(order_items!$F$1,categories!$A$1:$B$1,0),FALSE)</f>
        <v>Comfort Bicycles</v>
      </c>
      <c r="G3235">
        <v>2</v>
      </c>
      <c r="H3235">
        <v>470.99</v>
      </c>
      <c r="I3235" s="5">
        <v>0.05</v>
      </c>
      <c r="J3235">
        <f t="shared" si="100"/>
        <v>894.88099999999997</v>
      </c>
      <c r="K3235" s="9">
        <f t="shared" si="101"/>
        <v>-0.54834223704608442</v>
      </c>
    </row>
    <row r="3236" spans="1:11" x14ac:dyDescent="0.3">
      <c r="A3236">
        <v>1122</v>
      </c>
      <c r="B3236">
        <v>1</v>
      </c>
      <c r="C3236">
        <v>9</v>
      </c>
      <c r="D3236" t="str">
        <f>VLOOKUP($C3236,products!$A$1:$F$322,MATCH(order_items!$D$1,products!$A$1:$F$1,0),FALSE)</f>
        <v>Trek Conduit+ - 2016</v>
      </c>
      <c r="E3236">
        <f>VLOOKUP($C3236,products!$A$1:$F$322,MATCH(order_items!$E$1,products!$A$1:$F$1,0),FALSE)</f>
        <v>5</v>
      </c>
      <c r="F3236" t="str">
        <f>VLOOKUP($E3236,categories!$A$1:$B$8,MATCH(order_items!$F$1,categories!$A$1:$B$1,0),FALSE)</f>
        <v>Electric Bikes</v>
      </c>
      <c r="G3236">
        <v>2</v>
      </c>
      <c r="H3236">
        <v>2999.99</v>
      </c>
      <c r="I3236" s="5">
        <v>7.0000000000000007E-2</v>
      </c>
      <c r="J3236">
        <f t="shared" si="100"/>
        <v>5579.9813999999997</v>
      </c>
      <c r="K3236" s="9">
        <f t="shared" si="101"/>
        <v>1.3213140978851283</v>
      </c>
    </row>
    <row r="3237" spans="1:11" x14ac:dyDescent="0.3">
      <c r="A3237">
        <v>1122</v>
      </c>
      <c r="B3237">
        <v>2</v>
      </c>
      <c r="C3237">
        <v>53</v>
      </c>
      <c r="D3237" t="str">
        <f>VLOOKUP($C3237,products!$A$1:$F$322,MATCH(order_items!$D$1,products!$A$1:$F$1,0),FALSE)</f>
        <v>Surly Ogre Frameset - 2017</v>
      </c>
      <c r="E3237">
        <f>VLOOKUP($C3237,products!$A$1:$F$322,MATCH(order_items!$E$1,products!$A$1:$F$1,0),FALSE)</f>
        <v>7</v>
      </c>
      <c r="F3237" t="str">
        <f>VLOOKUP($E3237,categories!$A$1:$B$8,MATCH(order_items!$F$1,categories!$A$1:$B$1,0),FALSE)</f>
        <v>Road Bikes</v>
      </c>
      <c r="G3237">
        <v>1</v>
      </c>
      <c r="H3237">
        <v>749.99</v>
      </c>
      <c r="I3237" s="5">
        <v>0.1</v>
      </c>
      <c r="J3237">
        <f t="shared" si="100"/>
        <v>674.99099999999999</v>
      </c>
      <c r="K3237" s="9">
        <f t="shared" si="101"/>
        <v>-0.34208121788997192</v>
      </c>
    </row>
    <row r="3238" spans="1:11" x14ac:dyDescent="0.3">
      <c r="A3238">
        <v>1122</v>
      </c>
      <c r="B3238">
        <v>3</v>
      </c>
      <c r="C3238">
        <v>49</v>
      </c>
      <c r="D3238" t="str">
        <f>VLOOKUP($C3238,products!$A$1:$F$322,MATCH(order_items!$D$1,products!$A$1:$F$1,0),FALSE)</f>
        <v>Trek Domane SL 6 - 2017</v>
      </c>
      <c r="E3238">
        <f>VLOOKUP($C3238,products!$A$1:$F$322,MATCH(order_items!$E$1,products!$A$1:$F$1,0),FALSE)</f>
        <v>7</v>
      </c>
      <c r="F3238" t="str">
        <f>VLOOKUP($E3238,categories!$A$1:$B$8,MATCH(order_items!$F$1,categories!$A$1:$B$1,0),FALSE)</f>
        <v>Road Bikes</v>
      </c>
      <c r="G3238">
        <v>2</v>
      </c>
      <c r="H3238">
        <v>3499.99</v>
      </c>
      <c r="I3238" s="5">
        <v>0.2</v>
      </c>
      <c r="J3238">
        <f t="shared" si="100"/>
        <v>5599.9840000000004</v>
      </c>
      <c r="K3238" s="9">
        <f t="shared" si="101"/>
        <v>1.6909575013907066</v>
      </c>
    </row>
    <row r="3239" spans="1:11" x14ac:dyDescent="0.3">
      <c r="A3239">
        <v>1122</v>
      </c>
      <c r="B3239">
        <v>4</v>
      </c>
      <c r="C3239">
        <v>41</v>
      </c>
      <c r="D3239" t="str">
        <f>VLOOKUP($C3239,products!$A$1:$F$322,MATCH(order_items!$D$1,products!$A$1:$F$1,0),FALSE)</f>
        <v>Haro Shift R3 - 2017</v>
      </c>
      <c r="E3239">
        <f>VLOOKUP($C3239,products!$A$1:$F$322,MATCH(order_items!$E$1,products!$A$1:$F$1,0),FALSE)</f>
        <v>6</v>
      </c>
      <c r="F3239" t="str">
        <f>VLOOKUP($E3239,categories!$A$1:$B$8,MATCH(order_items!$F$1,categories!$A$1:$B$1,0),FALSE)</f>
        <v>Mountain Bikes</v>
      </c>
      <c r="G3239">
        <v>2</v>
      </c>
      <c r="H3239">
        <v>1469.99</v>
      </c>
      <c r="I3239" s="5">
        <v>0.05</v>
      </c>
      <c r="J3239">
        <f t="shared" si="100"/>
        <v>2792.9809999999998</v>
      </c>
      <c r="K3239" s="9">
        <f t="shared" si="101"/>
        <v>0.19020528315806023</v>
      </c>
    </row>
    <row r="3240" spans="1:11" x14ac:dyDescent="0.3">
      <c r="A3240">
        <v>1122</v>
      </c>
      <c r="B3240">
        <v>5</v>
      </c>
      <c r="C3240">
        <v>72</v>
      </c>
      <c r="D3240" t="str">
        <f>VLOOKUP($C3240,products!$A$1:$F$322,MATCH(order_items!$D$1,products!$A$1:$F$1,0),FALSE)</f>
        <v>Sun Bicycles Biscayne Tandem 7 - 2017</v>
      </c>
      <c r="E3240">
        <f>VLOOKUP($C3240,products!$A$1:$F$322,MATCH(order_items!$E$1,products!$A$1:$F$1,0),FALSE)</f>
        <v>3</v>
      </c>
      <c r="F3240" t="str">
        <f>VLOOKUP($E3240,categories!$A$1:$B$8,MATCH(order_items!$F$1,categories!$A$1:$B$1,0),FALSE)</f>
        <v>Cruisers Bicycles</v>
      </c>
      <c r="G3240">
        <v>1</v>
      </c>
      <c r="H3240">
        <v>619.99</v>
      </c>
      <c r="I3240" s="5">
        <v>0.1</v>
      </c>
      <c r="J3240">
        <f t="shared" si="100"/>
        <v>557.99099999999999</v>
      </c>
      <c r="K3240" s="9">
        <f t="shared" si="101"/>
        <v>-0.43818850280142219</v>
      </c>
    </row>
    <row r="3241" spans="1:11" x14ac:dyDescent="0.3">
      <c r="A3241">
        <v>1123</v>
      </c>
      <c r="B3241">
        <v>1</v>
      </c>
      <c r="C3241">
        <v>65</v>
      </c>
      <c r="D3241" t="str">
        <f>VLOOKUP($C3241,products!$A$1:$F$322,MATCH(order_items!$D$1,products!$A$1:$F$1,0),FALSE)</f>
        <v>Sun Bicycles Lil Bolt Type-R - 2017</v>
      </c>
      <c r="E3241">
        <f>VLOOKUP($C3241,products!$A$1:$F$322,MATCH(order_items!$E$1,products!$A$1:$F$1,0),FALSE)</f>
        <v>3</v>
      </c>
      <c r="F3241" t="str">
        <f>VLOOKUP($E3241,categories!$A$1:$B$8,MATCH(order_items!$F$1,categories!$A$1:$B$1,0),FALSE)</f>
        <v>Cruisers Bicycles</v>
      </c>
      <c r="G3241">
        <v>2</v>
      </c>
      <c r="H3241">
        <v>346.99</v>
      </c>
      <c r="I3241" s="5">
        <v>7.0000000000000007E-2</v>
      </c>
      <c r="J3241">
        <f t="shared" si="100"/>
        <v>645.40139999999997</v>
      </c>
      <c r="K3241" s="9">
        <f t="shared" si="101"/>
        <v>-0.64001380111546768</v>
      </c>
    </row>
    <row r="3242" spans="1:11" x14ac:dyDescent="0.3">
      <c r="A3242">
        <v>1123</v>
      </c>
      <c r="B3242">
        <v>2</v>
      </c>
      <c r="C3242">
        <v>61</v>
      </c>
      <c r="D3242" t="str">
        <f>VLOOKUP($C3242,products!$A$1:$F$322,MATCH(order_items!$D$1,products!$A$1:$F$1,0),FALSE)</f>
        <v>Trek Powerfly 8 FS Plus - 2017</v>
      </c>
      <c r="E3242">
        <f>VLOOKUP($C3242,products!$A$1:$F$322,MATCH(order_items!$E$1,products!$A$1:$F$1,0),FALSE)</f>
        <v>5</v>
      </c>
      <c r="F3242" t="str">
        <f>VLOOKUP($E3242,categories!$A$1:$B$8,MATCH(order_items!$F$1,categories!$A$1:$B$1,0),FALSE)</f>
        <v>Electric Bikes</v>
      </c>
      <c r="G3242">
        <v>2</v>
      </c>
      <c r="H3242">
        <v>4999.99</v>
      </c>
      <c r="I3242" s="5">
        <v>0.1</v>
      </c>
      <c r="J3242">
        <f t="shared" si="100"/>
        <v>8999.982</v>
      </c>
      <c r="K3242" s="9">
        <f t="shared" si="101"/>
        <v>2.7998877119074401</v>
      </c>
    </row>
    <row r="3243" spans="1:11" x14ac:dyDescent="0.3">
      <c r="A3243">
        <v>1124</v>
      </c>
      <c r="B3243">
        <v>1</v>
      </c>
      <c r="C3243">
        <v>7</v>
      </c>
      <c r="D3243" t="str">
        <f>VLOOKUP($C3243,products!$A$1:$F$322,MATCH(order_items!$D$1,products!$A$1:$F$1,0),FALSE)</f>
        <v>Trek Slash 8 27.5 - 2016</v>
      </c>
      <c r="E3243">
        <f>VLOOKUP($C3243,products!$A$1:$F$322,MATCH(order_items!$E$1,products!$A$1:$F$1,0),FALSE)</f>
        <v>6</v>
      </c>
      <c r="F3243" t="str">
        <f>VLOOKUP($E3243,categories!$A$1:$B$8,MATCH(order_items!$F$1,categories!$A$1:$B$1,0),FALSE)</f>
        <v>Mountain Bikes</v>
      </c>
      <c r="G3243">
        <v>2</v>
      </c>
      <c r="H3243">
        <v>3999.99</v>
      </c>
      <c r="I3243" s="5">
        <v>0.1</v>
      </c>
      <c r="J3243">
        <f t="shared" si="100"/>
        <v>7199.982</v>
      </c>
      <c r="K3243" s="9">
        <f t="shared" si="101"/>
        <v>2.0606009048962846</v>
      </c>
    </row>
    <row r="3244" spans="1:11" x14ac:dyDescent="0.3">
      <c r="A3244">
        <v>1124</v>
      </c>
      <c r="B3244">
        <v>2</v>
      </c>
      <c r="C3244">
        <v>6</v>
      </c>
      <c r="D3244" t="str">
        <f>VLOOKUP($C3244,products!$A$1:$F$322,MATCH(order_items!$D$1,products!$A$1:$F$1,0),FALSE)</f>
        <v>Surly Ice Cream Truck Frameset - 2016</v>
      </c>
      <c r="E3244">
        <f>VLOOKUP($C3244,products!$A$1:$F$322,MATCH(order_items!$E$1,products!$A$1:$F$1,0),FALSE)</f>
        <v>6</v>
      </c>
      <c r="F3244" t="str">
        <f>VLOOKUP($E3244,categories!$A$1:$B$8,MATCH(order_items!$F$1,categories!$A$1:$B$1,0),FALSE)</f>
        <v>Mountain Bikes</v>
      </c>
      <c r="G3244">
        <v>1</v>
      </c>
      <c r="H3244">
        <v>469.99</v>
      </c>
      <c r="I3244" s="5">
        <v>0.1</v>
      </c>
      <c r="J3244">
        <f t="shared" si="100"/>
        <v>422.99100000000004</v>
      </c>
      <c r="K3244" s="9">
        <f t="shared" si="101"/>
        <v>-0.5490815238530955</v>
      </c>
    </row>
    <row r="3245" spans="1:11" x14ac:dyDescent="0.3">
      <c r="A3245">
        <v>1124</v>
      </c>
      <c r="B3245">
        <v>3</v>
      </c>
      <c r="C3245">
        <v>109</v>
      </c>
      <c r="D3245" t="str">
        <f>VLOOKUP($C3245,products!$A$1:$F$322,MATCH(order_items!$D$1,products!$A$1:$F$1,0),FALSE)</f>
        <v>Sun Bicycles Cruz 7 - Women's - 2017</v>
      </c>
      <c r="E3245">
        <f>VLOOKUP($C3245,products!$A$1:$F$322,MATCH(order_items!$E$1,products!$A$1:$F$1,0),FALSE)</f>
        <v>2</v>
      </c>
      <c r="F3245" t="str">
        <f>VLOOKUP($E3245,categories!$A$1:$B$8,MATCH(order_items!$F$1,categories!$A$1:$B$1,0),FALSE)</f>
        <v>Comfort Bicycles</v>
      </c>
      <c r="G3245">
        <v>2</v>
      </c>
      <c r="H3245">
        <v>416.99</v>
      </c>
      <c r="I3245" s="5">
        <v>7.0000000000000007E-2</v>
      </c>
      <c r="J3245">
        <f t="shared" si="100"/>
        <v>775.60140000000001</v>
      </c>
      <c r="K3245" s="9">
        <f t="shared" si="101"/>
        <v>-0.58826372462468679</v>
      </c>
    </row>
    <row r="3246" spans="1:11" x14ac:dyDescent="0.3">
      <c r="A3246">
        <v>1124</v>
      </c>
      <c r="B3246">
        <v>4</v>
      </c>
      <c r="C3246">
        <v>45</v>
      </c>
      <c r="D3246" t="str">
        <f>VLOOKUP($C3246,products!$A$1:$F$322,MATCH(order_items!$D$1,products!$A$1:$F$1,0),FALSE)</f>
        <v>Haro SR 1.2 - 2017</v>
      </c>
      <c r="E3246">
        <f>VLOOKUP($C3246,products!$A$1:$F$322,MATCH(order_items!$E$1,products!$A$1:$F$1,0),FALSE)</f>
        <v>6</v>
      </c>
      <c r="F3246" t="str">
        <f>VLOOKUP($E3246,categories!$A$1:$B$8,MATCH(order_items!$F$1,categories!$A$1:$B$1,0),FALSE)</f>
        <v>Mountain Bikes</v>
      </c>
      <c r="G3246">
        <v>2</v>
      </c>
      <c r="H3246">
        <v>869.99</v>
      </c>
      <c r="I3246" s="5">
        <v>0.05</v>
      </c>
      <c r="J3246">
        <f t="shared" si="100"/>
        <v>1652.981</v>
      </c>
      <c r="K3246" s="9">
        <f t="shared" si="101"/>
        <v>-0.25336680104863324</v>
      </c>
    </row>
    <row r="3247" spans="1:11" x14ac:dyDescent="0.3">
      <c r="A3247">
        <v>1124</v>
      </c>
      <c r="B3247">
        <v>5</v>
      </c>
      <c r="C3247">
        <v>2</v>
      </c>
      <c r="D3247" t="str">
        <f>VLOOKUP($C3247,products!$A$1:$F$322,MATCH(order_items!$D$1,products!$A$1:$F$1,0),FALSE)</f>
        <v>Ritchey Timberwolf Frameset - 2016</v>
      </c>
      <c r="E3247">
        <f>VLOOKUP($C3247,products!$A$1:$F$322,MATCH(order_items!$E$1,products!$A$1:$F$1,0),FALSE)</f>
        <v>6</v>
      </c>
      <c r="F3247" t="str">
        <f>VLOOKUP($E3247,categories!$A$1:$B$8,MATCH(order_items!$F$1,categories!$A$1:$B$1,0),FALSE)</f>
        <v>Mountain Bikes</v>
      </c>
      <c r="G3247">
        <v>2</v>
      </c>
      <c r="H3247">
        <v>749.99</v>
      </c>
      <c r="I3247" s="5">
        <v>0.05</v>
      </c>
      <c r="J3247">
        <f t="shared" si="100"/>
        <v>1424.981</v>
      </c>
      <c r="K3247" s="9">
        <f t="shared" si="101"/>
        <v>-0.34208121788997192</v>
      </c>
    </row>
    <row r="3248" spans="1:11" x14ac:dyDescent="0.3">
      <c r="A3248">
        <v>1125</v>
      </c>
      <c r="B3248">
        <v>1</v>
      </c>
      <c r="C3248">
        <v>16</v>
      </c>
      <c r="D3248" t="str">
        <f>VLOOKUP($C3248,products!$A$1:$F$322,MATCH(order_items!$D$1,products!$A$1:$F$1,0),FALSE)</f>
        <v>Electra Townie Original 7D EQ - 2016</v>
      </c>
      <c r="E3248">
        <f>VLOOKUP($C3248,products!$A$1:$F$322,MATCH(order_items!$E$1,products!$A$1:$F$1,0),FALSE)</f>
        <v>3</v>
      </c>
      <c r="F3248" t="str">
        <f>VLOOKUP($E3248,categories!$A$1:$B$8,MATCH(order_items!$F$1,categories!$A$1:$B$1,0),FALSE)</f>
        <v>Cruisers Bicycles</v>
      </c>
      <c r="G3248">
        <v>2</v>
      </c>
      <c r="H3248">
        <v>599.99</v>
      </c>
      <c r="I3248" s="5">
        <v>0.05</v>
      </c>
      <c r="J3248">
        <f t="shared" si="100"/>
        <v>1139.981</v>
      </c>
      <c r="K3248" s="9">
        <f t="shared" si="101"/>
        <v>-0.45297423894164529</v>
      </c>
    </row>
    <row r="3249" spans="1:11" x14ac:dyDescent="0.3">
      <c r="A3249">
        <v>1125</v>
      </c>
      <c r="B3249">
        <v>2</v>
      </c>
      <c r="C3249">
        <v>21</v>
      </c>
      <c r="D3249" t="str">
        <f>VLOOKUP($C3249,products!$A$1:$F$322,MATCH(order_items!$D$1,products!$A$1:$F$1,0),FALSE)</f>
        <v>Electra Cruiser 1 (24-Inch) - 2016</v>
      </c>
      <c r="E3249">
        <f>VLOOKUP($C3249,products!$A$1:$F$322,MATCH(order_items!$E$1,products!$A$1:$F$1,0),FALSE)</f>
        <v>1</v>
      </c>
      <c r="F3249" t="str">
        <f>VLOOKUP($E3249,categories!$A$1:$B$8,MATCH(order_items!$F$1,categories!$A$1:$B$1,0),FALSE)</f>
        <v>Children Bicycles</v>
      </c>
      <c r="G3249">
        <v>1</v>
      </c>
      <c r="H3249">
        <v>269.99</v>
      </c>
      <c r="I3249" s="5">
        <v>0.1</v>
      </c>
      <c r="J3249">
        <f t="shared" si="100"/>
        <v>242.99100000000001</v>
      </c>
      <c r="K3249" s="9">
        <f t="shared" si="101"/>
        <v>-0.69693888525532666</v>
      </c>
    </row>
    <row r="3250" spans="1:11" x14ac:dyDescent="0.3">
      <c r="A3250">
        <v>1125</v>
      </c>
      <c r="B3250">
        <v>3</v>
      </c>
      <c r="C3250">
        <v>81</v>
      </c>
      <c r="D3250" t="str">
        <f>VLOOKUP($C3250,products!$A$1:$F$322,MATCH(order_items!$D$1,products!$A$1:$F$1,0),FALSE)</f>
        <v>Electra Amsterdam Fashion 7i Ladies' - 2017</v>
      </c>
      <c r="E3250">
        <f>VLOOKUP($C3250,products!$A$1:$F$322,MATCH(order_items!$E$1,products!$A$1:$F$1,0),FALSE)</f>
        <v>3</v>
      </c>
      <c r="F3250" t="str">
        <f>VLOOKUP($E3250,categories!$A$1:$B$8,MATCH(order_items!$F$1,categories!$A$1:$B$1,0),FALSE)</f>
        <v>Cruisers Bicycles</v>
      </c>
      <c r="G3250">
        <v>2</v>
      </c>
      <c r="H3250">
        <v>1099.99</v>
      </c>
      <c r="I3250" s="5">
        <v>7.0000000000000007E-2</v>
      </c>
      <c r="J3250">
        <f t="shared" si="100"/>
        <v>2045.9813999999999</v>
      </c>
      <c r="K3250" s="9">
        <f t="shared" si="101"/>
        <v>-8.3330835436067396E-2</v>
      </c>
    </row>
    <row r="3251" spans="1:11" x14ac:dyDescent="0.3">
      <c r="A3251">
        <v>1125</v>
      </c>
      <c r="B3251">
        <v>4</v>
      </c>
      <c r="C3251">
        <v>24</v>
      </c>
      <c r="D3251" t="str">
        <f>VLOOKUP($C3251,products!$A$1:$F$322,MATCH(order_items!$D$1,products!$A$1:$F$1,0),FALSE)</f>
        <v>Electra Townie Original 21D - 2016</v>
      </c>
      <c r="E3251">
        <f>VLOOKUP($C3251,products!$A$1:$F$322,MATCH(order_items!$E$1,products!$A$1:$F$1,0),FALSE)</f>
        <v>2</v>
      </c>
      <c r="F3251" t="str">
        <f>VLOOKUP($E3251,categories!$A$1:$B$8,MATCH(order_items!$F$1,categories!$A$1:$B$1,0),FALSE)</f>
        <v>Comfort Bicycles</v>
      </c>
      <c r="G3251">
        <v>1</v>
      </c>
      <c r="H3251">
        <v>549.99</v>
      </c>
      <c r="I3251" s="5">
        <v>7.0000000000000007E-2</v>
      </c>
      <c r="J3251">
        <f t="shared" si="100"/>
        <v>511.49069999999995</v>
      </c>
      <c r="K3251" s="9">
        <f t="shared" si="101"/>
        <v>-0.48993857929220308</v>
      </c>
    </row>
    <row r="3252" spans="1:11" x14ac:dyDescent="0.3">
      <c r="A3252">
        <v>1125</v>
      </c>
      <c r="B3252">
        <v>5</v>
      </c>
      <c r="C3252">
        <v>32</v>
      </c>
      <c r="D3252" t="str">
        <f>VLOOKUP($C3252,products!$A$1:$F$322,MATCH(order_items!$D$1,products!$A$1:$F$1,0),FALSE)</f>
        <v>Trek Farley Alloy Frameset - 2017</v>
      </c>
      <c r="E3252">
        <f>VLOOKUP($C3252,products!$A$1:$F$322,MATCH(order_items!$E$1,products!$A$1:$F$1,0),FALSE)</f>
        <v>6</v>
      </c>
      <c r="F3252" t="str">
        <f>VLOOKUP($E3252,categories!$A$1:$B$8,MATCH(order_items!$F$1,categories!$A$1:$B$1,0),FALSE)</f>
        <v>Mountain Bikes</v>
      </c>
      <c r="G3252">
        <v>2</v>
      </c>
      <c r="H3252">
        <v>469.99</v>
      </c>
      <c r="I3252" s="5">
        <v>7.0000000000000007E-2</v>
      </c>
      <c r="J3252">
        <f t="shared" si="100"/>
        <v>874.18139999999994</v>
      </c>
      <c r="K3252" s="9">
        <f t="shared" si="101"/>
        <v>-0.5490815238530955</v>
      </c>
    </row>
    <row r="3253" spans="1:11" x14ac:dyDescent="0.3">
      <c r="A3253">
        <v>1126</v>
      </c>
      <c r="B3253">
        <v>1</v>
      </c>
      <c r="C3253">
        <v>33</v>
      </c>
      <c r="D3253" t="str">
        <f>VLOOKUP($C3253,products!$A$1:$F$322,MATCH(order_items!$D$1,products!$A$1:$F$1,0),FALSE)</f>
        <v>Surly Wednesday Frameset - 2017</v>
      </c>
      <c r="E3253">
        <f>VLOOKUP($C3253,products!$A$1:$F$322,MATCH(order_items!$E$1,products!$A$1:$F$1,0),FALSE)</f>
        <v>6</v>
      </c>
      <c r="F3253" t="str">
        <f>VLOOKUP($E3253,categories!$A$1:$B$8,MATCH(order_items!$F$1,categories!$A$1:$B$1,0),FALSE)</f>
        <v>Mountain Bikes</v>
      </c>
      <c r="G3253">
        <v>2</v>
      </c>
      <c r="H3253">
        <v>469.99</v>
      </c>
      <c r="I3253" s="5">
        <v>0.1</v>
      </c>
      <c r="J3253">
        <f t="shared" si="100"/>
        <v>845.98200000000008</v>
      </c>
      <c r="K3253" s="9">
        <f t="shared" si="101"/>
        <v>-0.5490815238530955</v>
      </c>
    </row>
    <row r="3254" spans="1:11" x14ac:dyDescent="0.3">
      <c r="A3254">
        <v>1126</v>
      </c>
      <c r="B3254">
        <v>2</v>
      </c>
      <c r="C3254">
        <v>58</v>
      </c>
      <c r="D3254" t="str">
        <f>VLOOKUP($C3254,products!$A$1:$F$322,MATCH(order_items!$D$1,products!$A$1:$F$1,0),FALSE)</f>
        <v>Trek Madone 9.2 - 2017</v>
      </c>
      <c r="E3254">
        <f>VLOOKUP($C3254,products!$A$1:$F$322,MATCH(order_items!$E$1,products!$A$1:$F$1,0),FALSE)</f>
        <v>7</v>
      </c>
      <c r="F3254" t="str">
        <f>VLOOKUP($E3254,categories!$A$1:$B$8,MATCH(order_items!$F$1,categories!$A$1:$B$1,0),FALSE)</f>
        <v>Road Bikes</v>
      </c>
      <c r="G3254">
        <v>1</v>
      </c>
      <c r="H3254">
        <v>4999.99</v>
      </c>
      <c r="I3254" s="5">
        <v>0.2</v>
      </c>
      <c r="J3254">
        <f t="shared" si="100"/>
        <v>3999.9920000000002</v>
      </c>
      <c r="K3254" s="9">
        <f t="shared" si="101"/>
        <v>2.7998877119074401</v>
      </c>
    </row>
    <row r="3255" spans="1:11" x14ac:dyDescent="0.3">
      <c r="A3255">
        <v>1126</v>
      </c>
      <c r="B3255">
        <v>3</v>
      </c>
      <c r="C3255">
        <v>89</v>
      </c>
      <c r="D3255" t="str">
        <f>VLOOKUP($C3255,products!$A$1:$F$322,MATCH(order_items!$D$1,products!$A$1:$F$1,0),FALSE)</f>
        <v>Trek Precaliber 16 Boys - 2017</v>
      </c>
      <c r="E3255">
        <f>VLOOKUP($C3255,products!$A$1:$F$322,MATCH(order_items!$E$1,products!$A$1:$F$1,0),FALSE)</f>
        <v>1</v>
      </c>
      <c r="F3255" t="str">
        <f>VLOOKUP($E3255,categories!$A$1:$B$8,MATCH(order_items!$F$1,categories!$A$1:$B$1,0),FALSE)</f>
        <v>Children Bicycles</v>
      </c>
      <c r="G3255">
        <v>2</v>
      </c>
      <c r="H3255">
        <v>209.99</v>
      </c>
      <c r="I3255" s="5">
        <v>0.05</v>
      </c>
      <c r="J3255">
        <f t="shared" si="100"/>
        <v>398.98099999999999</v>
      </c>
      <c r="K3255" s="9">
        <f t="shared" si="101"/>
        <v>-0.74129609367599603</v>
      </c>
    </row>
    <row r="3256" spans="1:11" x14ac:dyDescent="0.3">
      <c r="A3256">
        <v>1127</v>
      </c>
      <c r="B3256">
        <v>1</v>
      </c>
      <c r="C3256">
        <v>23</v>
      </c>
      <c r="D3256" t="str">
        <f>VLOOKUP($C3256,products!$A$1:$F$322,MATCH(order_items!$D$1,products!$A$1:$F$1,0),FALSE)</f>
        <v>Electra Girl's Hawaii 1 (20-inch) - 2015/2016</v>
      </c>
      <c r="E3256">
        <f>VLOOKUP($C3256,products!$A$1:$F$322,MATCH(order_items!$E$1,products!$A$1:$F$1,0),FALSE)</f>
        <v>1</v>
      </c>
      <c r="F3256" t="str">
        <f>VLOOKUP($E3256,categories!$A$1:$B$8,MATCH(order_items!$F$1,categories!$A$1:$B$1,0),FALSE)</f>
        <v>Children Bicycles</v>
      </c>
      <c r="G3256">
        <v>2</v>
      </c>
      <c r="H3256">
        <v>299.99</v>
      </c>
      <c r="I3256" s="5">
        <v>0.1</v>
      </c>
      <c r="J3256">
        <f t="shared" si="100"/>
        <v>539.98200000000008</v>
      </c>
      <c r="K3256" s="9">
        <f t="shared" si="101"/>
        <v>-0.67476028104499197</v>
      </c>
    </row>
    <row r="3257" spans="1:11" x14ac:dyDescent="0.3">
      <c r="A3257">
        <v>1127</v>
      </c>
      <c r="B3257">
        <v>2</v>
      </c>
      <c r="C3257">
        <v>96</v>
      </c>
      <c r="D3257" t="str">
        <f>VLOOKUP($C3257,products!$A$1:$F$322,MATCH(order_items!$D$1,products!$A$1:$F$1,0),FALSE)</f>
        <v>Electra Moto 3i (20-inch) - Boy's - 2017</v>
      </c>
      <c r="E3257">
        <f>VLOOKUP($C3257,products!$A$1:$F$322,MATCH(order_items!$E$1,products!$A$1:$F$1,0),FALSE)</f>
        <v>1</v>
      </c>
      <c r="F3257" t="str">
        <f>VLOOKUP($E3257,categories!$A$1:$B$8,MATCH(order_items!$F$1,categories!$A$1:$B$1,0),FALSE)</f>
        <v>Children Bicycles</v>
      </c>
      <c r="G3257">
        <v>2</v>
      </c>
      <c r="H3257">
        <v>349.99</v>
      </c>
      <c r="I3257" s="5">
        <v>7.0000000000000007E-2</v>
      </c>
      <c r="J3257">
        <f t="shared" si="100"/>
        <v>650.98140000000001</v>
      </c>
      <c r="K3257" s="9">
        <f t="shared" si="101"/>
        <v>-0.63779594069443424</v>
      </c>
    </row>
    <row r="3258" spans="1:11" x14ac:dyDescent="0.3">
      <c r="A3258">
        <v>1127</v>
      </c>
      <c r="B3258">
        <v>3</v>
      </c>
      <c r="C3258">
        <v>37</v>
      </c>
      <c r="D3258" t="str">
        <f>VLOOKUP($C3258,products!$A$1:$F$322,MATCH(order_items!$D$1,products!$A$1:$F$1,0),FALSE)</f>
        <v>Haro Flightline One ST - 2017</v>
      </c>
      <c r="E3258">
        <f>VLOOKUP($C3258,products!$A$1:$F$322,MATCH(order_items!$E$1,products!$A$1:$F$1,0),FALSE)</f>
        <v>6</v>
      </c>
      <c r="F3258" t="str">
        <f>VLOOKUP($E3258,categories!$A$1:$B$8,MATCH(order_items!$F$1,categories!$A$1:$B$1,0),FALSE)</f>
        <v>Mountain Bikes</v>
      </c>
      <c r="G3258">
        <v>1</v>
      </c>
      <c r="H3258">
        <v>379.99</v>
      </c>
      <c r="I3258" s="5">
        <v>0.2</v>
      </c>
      <c r="J3258">
        <f t="shared" si="100"/>
        <v>303.99200000000002</v>
      </c>
      <c r="K3258" s="9">
        <f t="shared" si="101"/>
        <v>-0.61561733648409955</v>
      </c>
    </row>
    <row r="3259" spans="1:11" x14ac:dyDescent="0.3">
      <c r="A3259">
        <v>1128</v>
      </c>
      <c r="B3259">
        <v>1</v>
      </c>
      <c r="C3259">
        <v>44</v>
      </c>
      <c r="D3259" t="str">
        <f>VLOOKUP($C3259,products!$A$1:$F$322,MATCH(order_items!$D$1,products!$A$1:$F$1,0),FALSE)</f>
        <v>Haro SR 1.1 - 2017</v>
      </c>
      <c r="E3259">
        <f>VLOOKUP($C3259,products!$A$1:$F$322,MATCH(order_items!$E$1,products!$A$1:$F$1,0),FALSE)</f>
        <v>6</v>
      </c>
      <c r="F3259" t="str">
        <f>VLOOKUP($E3259,categories!$A$1:$B$8,MATCH(order_items!$F$1,categories!$A$1:$B$1,0),FALSE)</f>
        <v>Mountain Bikes</v>
      </c>
      <c r="G3259">
        <v>1</v>
      </c>
      <c r="H3259">
        <v>539.99</v>
      </c>
      <c r="I3259" s="5">
        <v>0.05</v>
      </c>
      <c r="J3259">
        <f t="shared" si="100"/>
        <v>512.9905</v>
      </c>
      <c r="K3259" s="9">
        <f t="shared" si="101"/>
        <v>-0.49733144736231466</v>
      </c>
    </row>
    <row r="3260" spans="1:11" x14ac:dyDescent="0.3">
      <c r="A3260">
        <v>1128</v>
      </c>
      <c r="B3260">
        <v>2</v>
      </c>
      <c r="C3260">
        <v>10</v>
      </c>
      <c r="D3260" t="str">
        <f>VLOOKUP($C3260,products!$A$1:$F$322,MATCH(order_items!$D$1,products!$A$1:$F$1,0),FALSE)</f>
        <v>Surly Straggler - 2016</v>
      </c>
      <c r="E3260">
        <f>VLOOKUP($C3260,products!$A$1:$F$322,MATCH(order_items!$E$1,products!$A$1:$F$1,0),FALSE)</f>
        <v>4</v>
      </c>
      <c r="F3260" t="str">
        <f>VLOOKUP($E3260,categories!$A$1:$B$8,MATCH(order_items!$F$1,categories!$A$1:$B$1,0),FALSE)</f>
        <v>Cyclocross Bicycles</v>
      </c>
      <c r="G3260">
        <v>1</v>
      </c>
      <c r="H3260">
        <v>1549</v>
      </c>
      <c r="I3260" s="5">
        <v>0.2</v>
      </c>
      <c r="J3260">
        <f t="shared" si="100"/>
        <v>1239.2</v>
      </c>
      <c r="K3260" s="9">
        <f t="shared" si="101"/>
        <v>0.24861633378001166</v>
      </c>
    </row>
    <row r="3261" spans="1:11" x14ac:dyDescent="0.3">
      <c r="A3261">
        <v>1128</v>
      </c>
      <c r="B3261">
        <v>3</v>
      </c>
      <c r="C3261">
        <v>65</v>
      </c>
      <c r="D3261" t="str">
        <f>VLOOKUP($C3261,products!$A$1:$F$322,MATCH(order_items!$D$1,products!$A$1:$F$1,0),FALSE)</f>
        <v>Sun Bicycles Lil Bolt Type-R - 2017</v>
      </c>
      <c r="E3261">
        <f>VLOOKUP($C3261,products!$A$1:$F$322,MATCH(order_items!$E$1,products!$A$1:$F$1,0),FALSE)</f>
        <v>3</v>
      </c>
      <c r="F3261" t="str">
        <f>VLOOKUP($E3261,categories!$A$1:$B$8,MATCH(order_items!$F$1,categories!$A$1:$B$1,0),FALSE)</f>
        <v>Cruisers Bicycles</v>
      </c>
      <c r="G3261">
        <v>2</v>
      </c>
      <c r="H3261">
        <v>346.99</v>
      </c>
      <c r="I3261" s="5">
        <v>0.05</v>
      </c>
      <c r="J3261">
        <f t="shared" si="100"/>
        <v>659.28099999999995</v>
      </c>
      <c r="K3261" s="9">
        <f t="shared" si="101"/>
        <v>-0.64001380111546768</v>
      </c>
    </row>
    <row r="3262" spans="1:11" x14ac:dyDescent="0.3">
      <c r="A3262">
        <v>1129</v>
      </c>
      <c r="B3262">
        <v>1</v>
      </c>
      <c r="C3262">
        <v>71</v>
      </c>
      <c r="D3262" t="str">
        <f>VLOOKUP($C3262,products!$A$1:$F$322,MATCH(order_items!$D$1,products!$A$1:$F$1,0),FALSE)</f>
        <v>Sun Bicycles Atlas X-Type - 2017</v>
      </c>
      <c r="E3262">
        <f>VLOOKUP($C3262,products!$A$1:$F$322,MATCH(order_items!$E$1,products!$A$1:$F$1,0),FALSE)</f>
        <v>3</v>
      </c>
      <c r="F3262" t="str">
        <f>VLOOKUP($E3262,categories!$A$1:$B$8,MATCH(order_items!$F$1,categories!$A$1:$B$1,0),FALSE)</f>
        <v>Cruisers Bicycles</v>
      </c>
      <c r="G3262">
        <v>2</v>
      </c>
      <c r="H3262">
        <v>416.99</v>
      </c>
      <c r="I3262" s="5">
        <v>0.2</v>
      </c>
      <c r="J3262">
        <f t="shared" si="100"/>
        <v>667.18400000000008</v>
      </c>
      <c r="K3262" s="9">
        <f t="shared" si="101"/>
        <v>-0.58826372462468679</v>
      </c>
    </row>
    <row r="3263" spans="1:11" x14ac:dyDescent="0.3">
      <c r="A3263">
        <v>1129</v>
      </c>
      <c r="B3263">
        <v>2</v>
      </c>
      <c r="C3263">
        <v>56</v>
      </c>
      <c r="D3263" t="str">
        <f>VLOOKUP($C3263,products!$A$1:$F$322,MATCH(order_items!$D$1,products!$A$1:$F$1,0),FALSE)</f>
        <v>Trek Domane SLR 6 Disc - 2017</v>
      </c>
      <c r="E3263">
        <f>VLOOKUP($C3263,products!$A$1:$F$322,MATCH(order_items!$E$1,products!$A$1:$F$1,0),FALSE)</f>
        <v>7</v>
      </c>
      <c r="F3263" t="str">
        <f>VLOOKUP($E3263,categories!$A$1:$B$8,MATCH(order_items!$F$1,categories!$A$1:$B$1,0),FALSE)</f>
        <v>Road Bikes</v>
      </c>
      <c r="G3263">
        <v>1</v>
      </c>
      <c r="H3263">
        <v>5499.99</v>
      </c>
      <c r="I3263" s="5">
        <v>0.2</v>
      </c>
      <c r="J3263">
        <f t="shared" si="100"/>
        <v>4399.9920000000002</v>
      </c>
      <c r="K3263" s="9">
        <f t="shared" si="101"/>
        <v>3.1695311154130179</v>
      </c>
    </row>
    <row r="3264" spans="1:11" x14ac:dyDescent="0.3">
      <c r="A3264">
        <v>1129</v>
      </c>
      <c r="B3264">
        <v>3</v>
      </c>
      <c r="C3264">
        <v>61</v>
      </c>
      <c r="D3264" t="str">
        <f>VLOOKUP($C3264,products!$A$1:$F$322,MATCH(order_items!$D$1,products!$A$1:$F$1,0),FALSE)</f>
        <v>Trek Powerfly 8 FS Plus - 2017</v>
      </c>
      <c r="E3264">
        <f>VLOOKUP($C3264,products!$A$1:$F$322,MATCH(order_items!$E$1,products!$A$1:$F$1,0),FALSE)</f>
        <v>5</v>
      </c>
      <c r="F3264" t="str">
        <f>VLOOKUP($E3264,categories!$A$1:$B$8,MATCH(order_items!$F$1,categories!$A$1:$B$1,0),FALSE)</f>
        <v>Electric Bikes</v>
      </c>
      <c r="G3264">
        <v>2</v>
      </c>
      <c r="H3264">
        <v>4999.99</v>
      </c>
      <c r="I3264" s="5">
        <v>0.05</v>
      </c>
      <c r="J3264">
        <f t="shared" si="100"/>
        <v>9499.9809999999998</v>
      </c>
      <c r="K3264" s="9">
        <f t="shared" si="101"/>
        <v>2.7998877119074401</v>
      </c>
    </row>
    <row r="3265" spans="1:11" x14ac:dyDescent="0.3">
      <c r="A3265">
        <v>1130</v>
      </c>
      <c r="B3265">
        <v>1</v>
      </c>
      <c r="C3265">
        <v>54</v>
      </c>
      <c r="D3265" t="str">
        <f>VLOOKUP($C3265,products!$A$1:$F$322,MATCH(order_items!$D$1,products!$A$1:$F$1,0),FALSE)</f>
        <v>Trek Domane SL Disc Frameset - 2017</v>
      </c>
      <c r="E3265">
        <f>VLOOKUP($C3265,products!$A$1:$F$322,MATCH(order_items!$E$1,products!$A$1:$F$1,0),FALSE)</f>
        <v>7</v>
      </c>
      <c r="F3265" t="str">
        <f>VLOOKUP($E3265,categories!$A$1:$B$8,MATCH(order_items!$F$1,categories!$A$1:$B$1,0),FALSE)</f>
        <v>Road Bikes</v>
      </c>
      <c r="G3265">
        <v>2</v>
      </c>
      <c r="H3265">
        <v>3199.99</v>
      </c>
      <c r="I3265" s="5">
        <v>0.2</v>
      </c>
      <c r="J3265">
        <f t="shared" si="100"/>
        <v>5119.9840000000004</v>
      </c>
      <c r="K3265" s="9">
        <f t="shared" si="101"/>
        <v>1.4691714592873595</v>
      </c>
    </row>
    <row r="3266" spans="1:11" x14ac:dyDescent="0.3">
      <c r="A3266">
        <v>1131</v>
      </c>
      <c r="B3266">
        <v>1</v>
      </c>
      <c r="C3266">
        <v>60</v>
      </c>
      <c r="D3266" t="str">
        <f>VLOOKUP($C3266,products!$A$1:$F$322,MATCH(order_items!$D$1,products!$A$1:$F$1,0),FALSE)</f>
        <v>Sun Bicycles ElectroLite - 2017</v>
      </c>
      <c r="E3266">
        <f>VLOOKUP($C3266,products!$A$1:$F$322,MATCH(order_items!$E$1,products!$A$1:$F$1,0),FALSE)</f>
        <v>5</v>
      </c>
      <c r="F3266" t="str">
        <f>VLOOKUP($E3266,categories!$A$1:$B$8,MATCH(order_items!$F$1,categories!$A$1:$B$1,0),FALSE)</f>
        <v>Electric Bikes</v>
      </c>
      <c r="G3266">
        <v>2</v>
      </c>
      <c r="H3266">
        <v>1559.99</v>
      </c>
      <c r="I3266" s="5">
        <v>7.0000000000000007E-2</v>
      </c>
      <c r="J3266">
        <f t="shared" ref="J3266:J3329" si="102">G3266*H3266*(1-I3266)</f>
        <v>2901.5814</v>
      </c>
      <c r="K3266" s="9">
        <f t="shared" ref="K3266:K3329" si="103">($H3266-$M$7)/$M$9</f>
        <v>0.25674109578906423</v>
      </c>
    </row>
    <row r="3267" spans="1:11" x14ac:dyDescent="0.3">
      <c r="A3267">
        <v>1131</v>
      </c>
      <c r="B3267">
        <v>2</v>
      </c>
      <c r="C3267">
        <v>103</v>
      </c>
      <c r="D3267" t="str">
        <f>VLOOKUP($C3267,products!$A$1:$F$322,MATCH(order_items!$D$1,products!$A$1:$F$1,0),FALSE)</f>
        <v>Sun Bicycles Streamway 3 - 2017</v>
      </c>
      <c r="E3267">
        <f>VLOOKUP($C3267,products!$A$1:$F$322,MATCH(order_items!$E$1,products!$A$1:$F$1,0),FALSE)</f>
        <v>2</v>
      </c>
      <c r="F3267" t="str">
        <f>VLOOKUP($E3267,categories!$A$1:$B$8,MATCH(order_items!$F$1,categories!$A$1:$B$1,0),FALSE)</f>
        <v>Comfort Bicycles</v>
      </c>
      <c r="G3267">
        <v>2</v>
      </c>
      <c r="H3267">
        <v>551.99</v>
      </c>
      <c r="I3267" s="5">
        <v>0.05</v>
      </c>
      <c r="J3267">
        <f t="shared" si="102"/>
        <v>1048.7809999999999</v>
      </c>
      <c r="K3267" s="9">
        <f t="shared" si="103"/>
        <v>-0.48846000567818076</v>
      </c>
    </row>
    <row r="3268" spans="1:11" x14ac:dyDescent="0.3">
      <c r="A3268">
        <v>1132</v>
      </c>
      <c r="B3268">
        <v>1</v>
      </c>
      <c r="C3268">
        <v>43</v>
      </c>
      <c r="D3268" t="str">
        <f>VLOOKUP($C3268,products!$A$1:$F$322,MATCH(order_items!$D$1,products!$A$1:$F$1,0),FALSE)</f>
        <v>Trek Fuel EX 9.8 27.5 Plus - 2017</v>
      </c>
      <c r="E3268">
        <f>VLOOKUP($C3268,products!$A$1:$F$322,MATCH(order_items!$E$1,products!$A$1:$F$1,0),FALSE)</f>
        <v>6</v>
      </c>
      <c r="F3268" t="str">
        <f>VLOOKUP($E3268,categories!$A$1:$B$8,MATCH(order_items!$F$1,categories!$A$1:$B$1,0),FALSE)</f>
        <v>Mountain Bikes</v>
      </c>
      <c r="G3268">
        <v>1</v>
      </c>
      <c r="H3268">
        <v>5299.99</v>
      </c>
      <c r="I3268" s="5">
        <v>0.05</v>
      </c>
      <c r="J3268">
        <f t="shared" si="102"/>
        <v>5034.9904999999999</v>
      </c>
      <c r="K3268" s="9">
        <f t="shared" si="103"/>
        <v>3.021673754010787</v>
      </c>
    </row>
    <row r="3269" spans="1:11" x14ac:dyDescent="0.3">
      <c r="A3269">
        <v>1132</v>
      </c>
      <c r="B3269">
        <v>2</v>
      </c>
      <c r="C3269">
        <v>10</v>
      </c>
      <c r="D3269" t="str">
        <f>VLOOKUP($C3269,products!$A$1:$F$322,MATCH(order_items!$D$1,products!$A$1:$F$1,0),FALSE)</f>
        <v>Surly Straggler - 2016</v>
      </c>
      <c r="E3269">
        <f>VLOOKUP($C3269,products!$A$1:$F$322,MATCH(order_items!$E$1,products!$A$1:$F$1,0),FALSE)</f>
        <v>4</v>
      </c>
      <c r="F3269" t="str">
        <f>VLOOKUP($E3269,categories!$A$1:$B$8,MATCH(order_items!$F$1,categories!$A$1:$B$1,0),FALSE)</f>
        <v>Cyclocross Bicycles</v>
      </c>
      <c r="G3269">
        <v>1</v>
      </c>
      <c r="H3269">
        <v>1549</v>
      </c>
      <c r="I3269" s="5">
        <v>0.1</v>
      </c>
      <c r="J3269">
        <f t="shared" si="102"/>
        <v>1394.1000000000001</v>
      </c>
      <c r="K3269" s="9">
        <f t="shared" si="103"/>
        <v>0.24861633378001166</v>
      </c>
    </row>
    <row r="3270" spans="1:11" x14ac:dyDescent="0.3">
      <c r="A3270">
        <v>1132</v>
      </c>
      <c r="B3270">
        <v>3</v>
      </c>
      <c r="C3270">
        <v>36</v>
      </c>
      <c r="D3270" t="str">
        <f>VLOOKUP($C3270,products!$A$1:$F$322,MATCH(order_items!$D$1,products!$A$1:$F$1,0),FALSE)</f>
        <v>Surly Troll Frameset - 2017</v>
      </c>
      <c r="E3270">
        <f>VLOOKUP($C3270,products!$A$1:$F$322,MATCH(order_items!$E$1,products!$A$1:$F$1,0),FALSE)</f>
        <v>6</v>
      </c>
      <c r="F3270" t="str">
        <f>VLOOKUP($E3270,categories!$A$1:$B$8,MATCH(order_items!$F$1,categories!$A$1:$B$1,0),FALSE)</f>
        <v>Mountain Bikes</v>
      </c>
      <c r="G3270">
        <v>2</v>
      </c>
      <c r="H3270">
        <v>832.99</v>
      </c>
      <c r="I3270" s="5">
        <v>0.1</v>
      </c>
      <c r="J3270">
        <f t="shared" si="102"/>
        <v>1499.3820000000001</v>
      </c>
      <c r="K3270" s="9">
        <f t="shared" si="103"/>
        <v>-0.280720412908046</v>
      </c>
    </row>
    <row r="3271" spans="1:11" x14ac:dyDescent="0.3">
      <c r="A3271">
        <v>1132</v>
      </c>
      <c r="B3271">
        <v>4</v>
      </c>
      <c r="C3271">
        <v>16</v>
      </c>
      <c r="D3271" t="str">
        <f>VLOOKUP($C3271,products!$A$1:$F$322,MATCH(order_items!$D$1,products!$A$1:$F$1,0),FALSE)</f>
        <v>Electra Townie Original 7D EQ - 2016</v>
      </c>
      <c r="E3271">
        <f>VLOOKUP($C3271,products!$A$1:$F$322,MATCH(order_items!$E$1,products!$A$1:$F$1,0),FALSE)</f>
        <v>3</v>
      </c>
      <c r="F3271" t="str">
        <f>VLOOKUP($E3271,categories!$A$1:$B$8,MATCH(order_items!$F$1,categories!$A$1:$B$1,0),FALSE)</f>
        <v>Cruisers Bicycles</v>
      </c>
      <c r="G3271">
        <v>1</v>
      </c>
      <c r="H3271">
        <v>599.99</v>
      </c>
      <c r="I3271" s="5">
        <v>0.05</v>
      </c>
      <c r="J3271">
        <f t="shared" si="102"/>
        <v>569.9905</v>
      </c>
      <c r="K3271" s="9">
        <f t="shared" si="103"/>
        <v>-0.45297423894164529</v>
      </c>
    </row>
    <row r="3272" spans="1:11" x14ac:dyDescent="0.3">
      <c r="A3272">
        <v>1133</v>
      </c>
      <c r="B3272">
        <v>1</v>
      </c>
      <c r="C3272">
        <v>4</v>
      </c>
      <c r="D3272" t="str">
        <f>VLOOKUP($C3272,products!$A$1:$F$322,MATCH(order_items!$D$1,products!$A$1:$F$1,0),FALSE)</f>
        <v>Trek Fuel EX 8 29 - 2016</v>
      </c>
      <c r="E3272">
        <f>VLOOKUP($C3272,products!$A$1:$F$322,MATCH(order_items!$E$1,products!$A$1:$F$1,0),FALSE)</f>
        <v>6</v>
      </c>
      <c r="F3272" t="str">
        <f>VLOOKUP($E3272,categories!$A$1:$B$8,MATCH(order_items!$F$1,categories!$A$1:$B$1,0),FALSE)</f>
        <v>Mountain Bikes</v>
      </c>
      <c r="G3272">
        <v>2</v>
      </c>
      <c r="H3272">
        <v>2899.99</v>
      </c>
      <c r="I3272" s="5">
        <v>0.05</v>
      </c>
      <c r="J3272">
        <f t="shared" si="102"/>
        <v>5509.9809999999998</v>
      </c>
      <c r="K3272" s="9">
        <f t="shared" si="103"/>
        <v>1.2473854171840129</v>
      </c>
    </row>
    <row r="3273" spans="1:11" x14ac:dyDescent="0.3">
      <c r="A3273">
        <v>1133</v>
      </c>
      <c r="B3273">
        <v>2</v>
      </c>
      <c r="C3273">
        <v>17</v>
      </c>
      <c r="D3273" t="str">
        <f>VLOOKUP($C3273,products!$A$1:$F$322,MATCH(order_items!$D$1,products!$A$1:$F$1,0),FALSE)</f>
        <v>Pure Cycles Vine 8-Speed - 2016</v>
      </c>
      <c r="E3273">
        <f>VLOOKUP($C3273,products!$A$1:$F$322,MATCH(order_items!$E$1,products!$A$1:$F$1,0),FALSE)</f>
        <v>3</v>
      </c>
      <c r="F3273" t="str">
        <f>VLOOKUP($E3273,categories!$A$1:$B$8,MATCH(order_items!$F$1,categories!$A$1:$B$1,0),FALSE)</f>
        <v>Cruisers Bicycles</v>
      </c>
      <c r="G3273">
        <v>1</v>
      </c>
      <c r="H3273">
        <v>429</v>
      </c>
      <c r="I3273" s="5">
        <v>7.0000000000000007E-2</v>
      </c>
      <c r="J3273">
        <f t="shared" si="102"/>
        <v>398.96999999999997</v>
      </c>
      <c r="K3273" s="9">
        <f t="shared" si="103"/>
        <v>-0.57938489007248284</v>
      </c>
    </row>
    <row r="3274" spans="1:11" x14ac:dyDescent="0.3">
      <c r="A3274">
        <v>1133</v>
      </c>
      <c r="B3274">
        <v>3</v>
      </c>
      <c r="C3274">
        <v>90</v>
      </c>
      <c r="D3274" t="str">
        <f>VLOOKUP($C3274,products!$A$1:$F$322,MATCH(order_items!$D$1,products!$A$1:$F$1,0),FALSE)</f>
        <v>Trek Precaliber 16 Girls - 2017</v>
      </c>
      <c r="E3274">
        <f>VLOOKUP($C3274,products!$A$1:$F$322,MATCH(order_items!$E$1,products!$A$1:$F$1,0),FALSE)</f>
        <v>1</v>
      </c>
      <c r="F3274" t="str">
        <f>VLOOKUP($E3274,categories!$A$1:$B$8,MATCH(order_items!$F$1,categories!$A$1:$B$1,0),FALSE)</f>
        <v>Children Bicycles</v>
      </c>
      <c r="G3274">
        <v>2</v>
      </c>
      <c r="H3274">
        <v>209.99</v>
      </c>
      <c r="I3274" s="5">
        <v>0.2</v>
      </c>
      <c r="J3274">
        <f t="shared" si="102"/>
        <v>335.98400000000004</v>
      </c>
      <c r="K3274" s="9">
        <f t="shared" si="103"/>
        <v>-0.74129609367599603</v>
      </c>
    </row>
    <row r="3275" spans="1:11" x14ac:dyDescent="0.3">
      <c r="A3275">
        <v>1133</v>
      </c>
      <c r="B3275">
        <v>4</v>
      </c>
      <c r="C3275">
        <v>62</v>
      </c>
      <c r="D3275" t="str">
        <f>VLOOKUP($C3275,products!$A$1:$F$322,MATCH(order_items!$D$1,products!$A$1:$F$1,0),FALSE)</f>
        <v>Trek Boone 7 - 2017</v>
      </c>
      <c r="E3275">
        <f>VLOOKUP($C3275,products!$A$1:$F$322,MATCH(order_items!$E$1,products!$A$1:$F$1,0),FALSE)</f>
        <v>4</v>
      </c>
      <c r="F3275" t="str">
        <f>VLOOKUP($E3275,categories!$A$1:$B$8,MATCH(order_items!$F$1,categories!$A$1:$B$1,0),FALSE)</f>
        <v>Cyclocross Bicycles</v>
      </c>
      <c r="G3275">
        <v>1</v>
      </c>
      <c r="H3275">
        <v>3499.99</v>
      </c>
      <c r="I3275" s="5">
        <v>0.2</v>
      </c>
      <c r="J3275">
        <f t="shared" si="102"/>
        <v>2799.9920000000002</v>
      </c>
      <c r="K3275" s="9">
        <f t="shared" si="103"/>
        <v>1.6909575013907066</v>
      </c>
    </row>
    <row r="3276" spans="1:11" x14ac:dyDescent="0.3">
      <c r="A3276">
        <v>1134</v>
      </c>
      <c r="B3276">
        <v>1</v>
      </c>
      <c r="C3276">
        <v>97</v>
      </c>
      <c r="D3276" t="str">
        <f>VLOOKUP($C3276,products!$A$1:$F$322,MATCH(order_items!$D$1,products!$A$1:$F$1,0),FALSE)</f>
        <v>Electra Savannah 3i (20-inch) - Girl's - 2017</v>
      </c>
      <c r="E3276">
        <f>VLOOKUP($C3276,products!$A$1:$F$322,MATCH(order_items!$E$1,products!$A$1:$F$1,0),FALSE)</f>
        <v>1</v>
      </c>
      <c r="F3276" t="str">
        <f>VLOOKUP($E3276,categories!$A$1:$B$8,MATCH(order_items!$F$1,categories!$A$1:$B$1,0),FALSE)</f>
        <v>Children Bicycles</v>
      </c>
      <c r="G3276">
        <v>1</v>
      </c>
      <c r="H3276">
        <v>349.99</v>
      </c>
      <c r="I3276" s="5">
        <v>0.1</v>
      </c>
      <c r="J3276">
        <f t="shared" si="102"/>
        <v>314.99100000000004</v>
      </c>
      <c r="K3276" s="9">
        <f t="shared" si="103"/>
        <v>-0.63779594069443424</v>
      </c>
    </row>
    <row r="3277" spans="1:11" x14ac:dyDescent="0.3">
      <c r="A3277">
        <v>1134</v>
      </c>
      <c r="B3277">
        <v>2</v>
      </c>
      <c r="C3277">
        <v>36</v>
      </c>
      <c r="D3277" t="str">
        <f>VLOOKUP($C3277,products!$A$1:$F$322,MATCH(order_items!$D$1,products!$A$1:$F$1,0),FALSE)</f>
        <v>Surly Troll Frameset - 2017</v>
      </c>
      <c r="E3277">
        <f>VLOOKUP($C3277,products!$A$1:$F$322,MATCH(order_items!$E$1,products!$A$1:$F$1,0),FALSE)</f>
        <v>6</v>
      </c>
      <c r="F3277" t="str">
        <f>VLOOKUP($E3277,categories!$A$1:$B$8,MATCH(order_items!$F$1,categories!$A$1:$B$1,0),FALSE)</f>
        <v>Mountain Bikes</v>
      </c>
      <c r="G3277">
        <v>1</v>
      </c>
      <c r="H3277">
        <v>832.99</v>
      </c>
      <c r="I3277" s="5">
        <v>0.1</v>
      </c>
      <c r="J3277">
        <f t="shared" si="102"/>
        <v>749.69100000000003</v>
      </c>
      <c r="K3277" s="9">
        <f t="shared" si="103"/>
        <v>-0.280720412908046</v>
      </c>
    </row>
    <row r="3278" spans="1:11" x14ac:dyDescent="0.3">
      <c r="A3278">
        <v>1135</v>
      </c>
      <c r="B3278">
        <v>1</v>
      </c>
      <c r="C3278">
        <v>101</v>
      </c>
      <c r="D3278" t="str">
        <f>VLOOKUP($C3278,products!$A$1:$F$322,MATCH(order_items!$D$1,products!$A$1:$F$1,0),FALSE)</f>
        <v>Electra Townie 7D (20-inch) - Boys' - 2017</v>
      </c>
      <c r="E3278">
        <f>VLOOKUP($C3278,products!$A$1:$F$322,MATCH(order_items!$E$1,products!$A$1:$F$1,0),FALSE)</f>
        <v>1</v>
      </c>
      <c r="F3278" t="str">
        <f>VLOOKUP($E3278,categories!$A$1:$B$8,MATCH(order_items!$F$1,categories!$A$1:$B$1,0),FALSE)</f>
        <v>Children Bicycles</v>
      </c>
      <c r="G3278">
        <v>2</v>
      </c>
      <c r="H3278">
        <v>339.99</v>
      </c>
      <c r="I3278" s="5">
        <v>0.05</v>
      </c>
      <c r="J3278">
        <f t="shared" si="102"/>
        <v>645.98099999999999</v>
      </c>
      <c r="K3278" s="9">
        <f t="shared" si="103"/>
        <v>-0.64518880876454576</v>
      </c>
    </row>
    <row r="3279" spans="1:11" x14ac:dyDescent="0.3">
      <c r="A3279">
        <v>1135</v>
      </c>
      <c r="B3279">
        <v>2</v>
      </c>
      <c r="C3279">
        <v>51</v>
      </c>
      <c r="D3279" t="str">
        <f>VLOOKUP($C3279,products!$A$1:$F$322,MATCH(order_items!$D$1,products!$A$1:$F$1,0),FALSE)</f>
        <v>Trek Silque SLR 8 Women's - 2017</v>
      </c>
      <c r="E3279">
        <f>VLOOKUP($C3279,products!$A$1:$F$322,MATCH(order_items!$E$1,products!$A$1:$F$1,0),FALSE)</f>
        <v>7</v>
      </c>
      <c r="F3279" t="str">
        <f>VLOOKUP($E3279,categories!$A$1:$B$8,MATCH(order_items!$F$1,categories!$A$1:$B$1,0),FALSE)</f>
        <v>Road Bikes</v>
      </c>
      <c r="G3279">
        <v>1</v>
      </c>
      <c r="H3279">
        <v>6499.99</v>
      </c>
      <c r="I3279" s="5">
        <v>0.1</v>
      </c>
      <c r="J3279">
        <f t="shared" si="102"/>
        <v>5849.991</v>
      </c>
      <c r="K3279" s="9">
        <f t="shared" si="103"/>
        <v>3.9088179224241739</v>
      </c>
    </row>
    <row r="3280" spans="1:11" x14ac:dyDescent="0.3">
      <c r="A3280">
        <v>1136</v>
      </c>
      <c r="B3280">
        <v>1</v>
      </c>
      <c r="C3280">
        <v>105</v>
      </c>
      <c r="D3280" t="str">
        <f>VLOOKUP($C3280,products!$A$1:$F$322,MATCH(order_items!$D$1,products!$A$1:$F$1,0),FALSE)</f>
        <v>Sun Bicycles Streamway 7 - 2017</v>
      </c>
      <c r="E3280">
        <f>VLOOKUP($C3280,products!$A$1:$F$322,MATCH(order_items!$E$1,products!$A$1:$F$1,0),FALSE)</f>
        <v>2</v>
      </c>
      <c r="F3280" t="str">
        <f>VLOOKUP($E3280,categories!$A$1:$B$8,MATCH(order_items!$F$1,categories!$A$1:$B$1,0),FALSE)</f>
        <v>Comfort Bicycles</v>
      </c>
      <c r="G3280">
        <v>1</v>
      </c>
      <c r="H3280">
        <v>533.99</v>
      </c>
      <c r="I3280" s="5">
        <v>0.1</v>
      </c>
      <c r="J3280">
        <f t="shared" si="102"/>
        <v>480.59100000000001</v>
      </c>
      <c r="K3280" s="9">
        <f t="shared" si="103"/>
        <v>-0.50176716820438161</v>
      </c>
    </row>
    <row r="3281" spans="1:11" x14ac:dyDescent="0.3">
      <c r="A3281">
        <v>1137</v>
      </c>
      <c r="B3281">
        <v>1</v>
      </c>
      <c r="C3281">
        <v>28</v>
      </c>
      <c r="D3281" t="str">
        <f>VLOOKUP($C3281,products!$A$1:$F$322,MATCH(order_items!$D$1,products!$A$1:$F$1,0),FALSE)</f>
        <v>Surly Karate Monkey 27.5+ Frameset - 2017</v>
      </c>
      <c r="E3281">
        <f>VLOOKUP($C3281,products!$A$1:$F$322,MATCH(order_items!$E$1,products!$A$1:$F$1,0),FALSE)</f>
        <v>6</v>
      </c>
      <c r="F3281" t="str">
        <f>VLOOKUP($E3281,categories!$A$1:$B$8,MATCH(order_items!$F$1,categories!$A$1:$B$1,0),FALSE)</f>
        <v>Mountain Bikes</v>
      </c>
      <c r="G3281">
        <v>1</v>
      </c>
      <c r="H3281">
        <v>2499.9899999999998</v>
      </c>
      <c r="I3281" s="5">
        <v>0.2</v>
      </c>
      <c r="J3281">
        <f t="shared" si="102"/>
        <v>1999.992</v>
      </c>
      <c r="K3281" s="9">
        <f t="shared" si="103"/>
        <v>0.95167069437955054</v>
      </c>
    </row>
    <row r="3282" spans="1:11" x14ac:dyDescent="0.3">
      <c r="A3282">
        <v>1137</v>
      </c>
      <c r="B3282">
        <v>2</v>
      </c>
      <c r="C3282">
        <v>58</v>
      </c>
      <c r="D3282" t="str">
        <f>VLOOKUP($C3282,products!$A$1:$F$322,MATCH(order_items!$D$1,products!$A$1:$F$1,0),FALSE)</f>
        <v>Trek Madone 9.2 - 2017</v>
      </c>
      <c r="E3282">
        <f>VLOOKUP($C3282,products!$A$1:$F$322,MATCH(order_items!$E$1,products!$A$1:$F$1,0),FALSE)</f>
        <v>7</v>
      </c>
      <c r="F3282" t="str">
        <f>VLOOKUP($E3282,categories!$A$1:$B$8,MATCH(order_items!$F$1,categories!$A$1:$B$1,0),FALSE)</f>
        <v>Road Bikes</v>
      </c>
      <c r="G3282">
        <v>2</v>
      </c>
      <c r="H3282">
        <v>4999.99</v>
      </c>
      <c r="I3282" s="5">
        <v>0.2</v>
      </c>
      <c r="J3282">
        <f t="shared" si="102"/>
        <v>7999.9840000000004</v>
      </c>
      <c r="K3282" s="9">
        <f t="shared" si="103"/>
        <v>2.7998877119074401</v>
      </c>
    </row>
    <row r="3283" spans="1:11" x14ac:dyDescent="0.3">
      <c r="A3283">
        <v>1137</v>
      </c>
      <c r="B3283">
        <v>3</v>
      </c>
      <c r="C3283">
        <v>84</v>
      </c>
      <c r="D3283" t="str">
        <f>VLOOKUP($C3283,products!$A$1:$F$322,MATCH(order_items!$D$1,products!$A$1:$F$1,0),FALSE)</f>
        <v>Sun Bicycles Lil Kitt'n - 2017</v>
      </c>
      <c r="E3283">
        <f>VLOOKUP($C3283,products!$A$1:$F$322,MATCH(order_items!$E$1,products!$A$1:$F$1,0),FALSE)</f>
        <v>1</v>
      </c>
      <c r="F3283" t="str">
        <f>VLOOKUP($E3283,categories!$A$1:$B$8,MATCH(order_items!$F$1,categories!$A$1:$B$1,0),FALSE)</f>
        <v>Children Bicycles</v>
      </c>
      <c r="G3283">
        <v>2</v>
      </c>
      <c r="H3283">
        <v>109.99</v>
      </c>
      <c r="I3283" s="5">
        <v>0.2</v>
      </c>
      <c r="J3283">
        <f t="shared" si="102"/>
        <v>175.98400000000001</v>
      </c>
      <c r="K3283" s="9">
        <f t="shared" si="103"/>
        <v>-0.81522477437711161</v>
      </c>
    </row>
    <row r="3284" spans="1:11" x14ac:dyDescent="0.3">
      <c r="A3284">
        <v>1137</v>
      </c>
      <c r="B3284">
        <v>4</v>
      </c>
      <c r="C3284">
        <v>69</v>
      </c>
      <c r="D3284" t="str">
        <f>VLOOKUP($C3284,products!$A$1:$F$322,MATCH(order_items!$D$1,products!$A$1:$F$1,0),FALSE)</f>
        <v>Sun Bicycles Cruz 7 - 2017</v>
      </c>
      <c r="E3284">
        <f>VLOOKUP($C3284,products!$A$1:$F$322,MATCH(order_items!$E$1,products!$A$1:$F$1,0),FALSE)</f>
        <v>3</v>
      </c>
      <c r="F3284" t="str">
        <f>VLOOKUP($E3284,categories!$A$1:$B$8,MATCH(order_items!$F$1,categories!$A$1:$B$1,0),FALSE)</f>
        <v>Cruisers Bicycles</v>
      </c>
      <c r="G3284">
        <v>2</v>
      </c>
      <c r="H3284">
        <v>416.99</v>
      </c>
      <c r="I3284" s="5">
        <v>7.0000000000000007E-2</v>
      </c>
      <c r="J3284">
        <f t="shared" si="102"/>
        <v>775.60140000000001</v>
      </c>
      <c r="K3284" s="9">
        <f t="shared" si="103"/>
        <v>-0.58826372462468679</v>
      </c>
    </row>
    <row r="3285" spans="1:11" x14ac:dyDescent="0.3">
      <c r="A3285">
        <v>1138</v>
      </c>
      <c r="B3285">
        <v>1</v>
      </c>
      <c r="C3285">
        <v>13</v>
      </c>
      <c r="D3285" t="str">
        <f>VLOOKUP($C3285,products!$A$1:$F$322,MATCH(order_items!$D$1,products!$A$1:$F$1,0),FALSE)</f>
        <v>Electra Cruiser 1 (24-Inch) - 2016</v>
      </c>
      <c r="E3285">
        <f>VLOOKUP($C3285,products!$A$1:$F$322,MATCH(order_items!$E$1,products!$A$1:$F$1,0),FALSE)</f>
        <v>3</v>
      </c>
      <c r="F3285" t="str">
        <f>VLOOKUP($E3285,categories!$A$1:$B$8,MATCH(order_items!$F$1,categories!$A$1:$B$1,0),FALSE)</f>
        <v>Cruisers Bicycles</v>
      </c>
      <c r="G3285">
        <v>2</v>
      </c>
      <c r="H3285">
        <v>269.99</v>
      </c>
      <c r="I3285" s="5">
        <v>0.05</v>
      </c>
      <c r="J3285">
        <f t="shared" si="102"/>
        <v>512.98099999999999</v>
      </c>
      <c r="K3285" s="9">
        <f t="shared" si="103"/>
        <v>-0.69693888525532666</v>
      </c>
    </row>
    <row r="3286" spans="1:11" x14ac:dyDescent="0.3">
      <c r="A3286">
        <v>1138</v>
      </c>
      <c r="B3286">
        <v>2</v>
      </c>
      <c r="C3286">
        <v>105</v>
      </c>
      <c r="D3286" t="str">
        <f>VLOOKUP($C3286,products!$A$1:$F$322,MATCH(order_items!$D$1,products!$A$1:$F$1,0),FALSE)</f>
        <v>Sun Bicycles Streamway 7 - 2017</v>
      </c>
      <c r="E3286">
        <f>VLOOKUP($C3286,products!$A$1:$F$322,MATCH(order_items!$E$1,products!$A$1:$F$1,0),FALSE)</f>
        <v>2</v>
      </c>
      <c r="F3286" t="str">
        <f>VLOOKUP($E3286,categories!$A$1:$B$8,MATCH(order_items!$F$1,categories!$A$1:$B$1,0),FALSE)</f>
        <v>Comfort Bicycles</v>
      </c>
      <c r="G3286">
        <v>2</v>
      </c>
      <c r="H3286">
        <v>533.99</v>
      </c>
      <c r="I3286" s="5">
        <v>0.05</v>
      </c>
      <c r="J3286">
        <f t="shared" si="102"/>
        <v>1014.581</v>
      </c>
      <c r="K3286" s="9">
        <f t="shared" si="103"/>
        <v>-0.50176716820438161</v>
      </c>
    </row>
    <row r="3287" spans="1:11" x14ac:dyDescent="0.3">
      <c r="A3287">
        <v>1138</v>
      </c>
      <c r="B3287">
        <v>3</v>
      </c>
      <c r="C3287">
        <v>93</v>
      </c>
      <c r="D3287" t="str">
        <f>VLOOKUP($C3287,products!$A$1:$F$322,MATCH(order_items!$D$1,products!$A$1:$F$1,0),FALSE)</f>
        <v>Haro Shredder 20 Girls - 2017</v>
      </c>
      <c r="E3287">
        <f>VLOOKUP($C3287,products!$A$1:$F$322,MATCH(order_items!$E$1,products!$A$1:$F$1,0),FALSE)</f>
        <v>1</v>
      </c>
      <c r="F3287" t="str">
        <f>VLOOKUP($E3287,categories!$A$1:$B$8,MATCH(order_items!$F$1,categories!$A$1:$B$1,0),FALSE)</f>
        <v>Children Bicycles</v>
      </c>
      <c r="G3287">
        <v>1</v>
      </c>
      <c r="H3287">
        <v>209.99</v>
      </c>
      <c r="I3287" s="5">
        <v>0.1</v>
      </c>
      <c r="J3287">
        <f t="shared" si="102"/>
        <v>188.99100000000001</v>
      </c>
      <c r="K3287" s="9">
        <f t="shared" si="103"/>
        <v>-0.74129609367599603</v>
      </c>
    </row>
    <row r="3288" spans="1:11" x14ac:dyDescent="0.3">
      <c r="A3288">
        <v>1139</v>
      </c>
      <c r="B3288">
        <v>1</v>
      </c>
      <c r="C3288">
        <v>106</v>
      </c>
      <c r="D3288" t="str">
        <f>VLOOKUP($C3288,products!$A$1:$F$322,MATCH(order_items!$D$1,products!$A$1:$F$1,0),FALSE)</f>
        <v>Sun Bicycles Cruz 3 - 2017</v>
      </c>
      <c r="E3288">
        <f>VLOOKUP($C3288,products!$A$1:$F$322,MATCH(order_items!$E$1,products!$A$1:$F$1,0),FALSE)</f>
        <v>2</v>
      </c>
      <c r="F3288" t="str">
        <f>VLOOKUP($E3288,categories!$A$1:$B$8,MATCH(order_items!$F$1,categories!$A$1:$B$1,0),FALSE)</f>
        <v>Comfort Bicycles</v>
      </c>
      <c r="G3288">
        <v>2</v>
      </c>
      <c r="H3288">
        <v>449.99</v>
      </c>
      <c r="I3288" s="5">
        <v>0.05</v>
      </c>
      <c r="J3288">
        <f t="shared" si="102"/>
        <v>854.98099999999999</v>
      </c>
      <c r="K3288" s="9">
        <f t="shared" si="103"/>
        <v>-0.56386725999331866</v>
      </c>
    </row>
    <row r="3289" spans="1:11" x14ac:dyDescent="0.3">
      <c r="A3289">
        <v>1139</v>
      </c>
      <c r="B3289">
        <v>2</v>
      </c>
      <c r="C3289">
        <v>44</v>
      </c>
      <c r="D3289" t="str">
        <f>VLOOKUP($C3289,products!$A$1:$F$322,MATCH(order_items!$D$1,products!$A$1:$F$1,0),FALSE)</f>
        <v>Haro SR 1.1 - 2017</v>
      </c>
      <c r="E3289">
        <f>VLOOKUP($C3289,products!$A$1:$F$322,MATCH(order_items!$E$1,products!$A$1:$F$1,0),FALSE)</f>
        <v>6</v>
      </c>
      <c r="F3289" t="str">
        <f>VLOOKUP($E3289,categories!$A$1:$B$8,MATCH(order_items!$F$1,categories!$A$1:$B$1,0),FALSE)</f>
        <v>Mountain Bikes</v>
      </c>
      <c r="G3289">
        <v>2</v>
      </c>
      <c r="H3289">
        <v>539.99</v>
      </c>
      <c r="I3289" s="5">
        <v>0.1</v>
      </c>
      <c r="J3289">
        <f t="shared" si="102"/>
        <v>971.98200000000008</v>
      </c>
      <c r="K3289" s="9">
        <f t="shared" si="103"/>
        <v>-0.49733144736231466</v>
      </c>
    </row>
    <row r="3290" spans="1:11" x14ac:dyDescent="0.3">
      <c r="A3290">
        <v>1139</v>
      </c>
      <c r="B3290">
        <v>3</v>
      </c>
      <c r="C3290">
        <v>69</v>
      </c>
      <c r="D3290" t="str">
        <f>VLOOKUP($C3290,products!$A$1:$F$322,MATCH(order_items!$D$1,products!$A$1:$F$1,0),FALSE)</f>
        <v>Sun Bicycles Cruz 7 - 2017</v>
      </c>
      <c r="E3290">
        <f>VLOOKUP($C3290,products!$A$1:$F$322,MATCH(order_items!$E$1,products!$A$1:$F$1,0),FALSE)</f>
        <v>3</v>
      </c>
      <c r="F3290" t="str">
        <f>VLOOKUP($E3290,categories!$A$1:$B$8,MATCH(order_items!$F$1,categories!$A$1:$B$1,0),FALSE)</f>
        <v>Cruisers Bicycles</v>
      </c>
      <c r="G3290">
        <v>1</v>
      </c>
      <c r="H3290">
        <v>416.99</v>
      </c>
      <c r="I3290" s="5">
        <v>0.05</v>
      </c>
      <c r="J3290">
        <f t="shared" si="102"/>
        <v>396.14049999999997</v>
      </c>
      <c r="K3290" s="9">
        <f t="shared" si="103"/>
        <v>-0.58826372462468679</v>
      </c>
    </row>
    <row r="3291" spans="1:11" x14ac:dyDescent="0.3">
      <c r="A3291">
        <v>1139</v>
      </c>
      <c r="B3291">
        <v>4</v>
      </c>
      <c r="C3291">
        <v>25</v>
      </c>
      <c r="D3291" t="str">
        <f>VLOOKUP($C3291,products!$A$1:$F$322,MATCH(order_items!$D$1,products!$A$1:$F$1,0),FALSE)</f>
        <v>Electra Townie Original 7D - 2015/2016</v>
      </c>
      <c r="E3291">
        <f>VLOOKUP($C3291,products!$A$1:$F$322,MATCH(order_items!$E$1,products!$A$1:$F$1,0),FALSE)</f>
        <v>2</v>
      </c>
      <c r="F3291" t="str">
        <f>VLOOKUP($E3291,categories!$A$1:$B$8,MATCH(order_items!$F$1,categories!$A$1:$B$1,0),FALSE)</f>
        <v>Comfort Bicycles</v>
      </c>
      <c r="G3291">
        <v>2</v>
      </c>
      <c r="H3291">
        <v>499.99</v>
      </c>
      <c r="I3291" s="5">
        <v>0.1</v>
      </c>
      <c r="J3291">
        <f t="shared" si="102"/>
        <v>899.98200000000008</v>
      </c>
      <c r="K3291" s="9">
        <f t="shared" si="103"/>
        <v>-0.52690291964276081</v>
      </c>
    </row>
    <row r="3292" spans="1:11" x14ac:dyDescent="0.3">
      <c r="A3292">
        <v>1139</v>
      </c>
      <c r="B3292">
        <v>5</v>
      </c>
      <c r="C3292">
        <v>7</v>
      </c>
      <c r="D3292" t="str">
        <f>VLOOKUP($C3292,products!$A$1:$F$322,MATCH(order_items!$D$1,products!$A$1:$F$1,0),FALSE)</f>
        <v>Trek Slash 8 27.5 - 2016</v>
      </c>
      <c r="E3292">
        <f>VLOOKUP($C3292,products!$A$1:$F$322,MATCH(order_items!$E$1,products!$A$1:$F$1,0),FALSE)</f>
        <v>6</v>
      </c>
      <c r="F3292" t="str">
        <f>VLOOKUP($E3292,categories!$A$1:$B$8,MATCH(order_items!$F$1,categories!$A$1:$B$1,0),FALSE)</f>
        <v>Mountain Bikes</v>
      </c>
      <c r="G3292">
        <v>1</v>
      </c>
      <c r="H3292">
        <v>3999.99</v>
      </c>
      <c r="I3292" s="5">
        <v>0.1</v>
      </c>
      <c r="J3292">
        <f t="shared" si="102"/>
        <v>3599.991</v>
      </c>
      <c r="K3292" s="9">
        <f t="shared" si="103"/>
        <v>2.0606009048962846</v>
      </c>
    </row>
    <row r="3293" spans="1:11" x14ac:dyDescent="0.3">
      <c r="A3293">
        <v>1140</v>
      </c>
      <c r="B3293">
        <v>1</v>
      </c>
      <c r="C3293">
        <v>39</v>
      </c>
      <c r="D3293" t="str">
        <f>VLOOKUP($C3293,products!$A$1:$F$322,MATCH(order_items!$D$1,products!$A$1:$F$1,0),FALSE)</f>
        <v>Trek Stache 5 - 2017</v>
      </c>
      <c r="E3293">
        <f>VLOOKUP($C3293,products!$A$1:$F$322,MATCH(order_items!$E$1,products!$A$1:$F$1,0),FALSE)</f>
        <v>6</v>
      </c>
      <c r="F3293" t="str">
        <f>VLOOKUP($E3293,categories!$A$1:$B$8,MATCH(order_items!$F$1,categories!$A$1:$B$1,0),FALSE)</f>
        <v>Mountain Bikes</v>
      </c>
      <c r="G3293">
        <v>2</v>
      </c>
      <c r="H3293">
        <v>1499.99</v>
      </c>
      <c r="I3293" s="5">
        <v>0.1</v>
      </c>
      <c r="J3293">
        <f t="shared" si="102"/>
        <v>2699.982</v>
      </c>
      <c r="K3293" s="9">
        <f t="shared" si="103"/>
        <v>0.21238388736839492</v>
      </c>
    </row>
    <row r="3294" spans="1:11" x14ac:dyDescent="0.3">
      <c r="A3294">
        <v>1140</v>
      </c>
      <c r="B3294">
        <v>2</v>
      </c>
      <c r="C3294">
        <v>71</v>
      </c>
      <c r="D3294" t="str">
        <f>VLOOKUP($C3294,products!$A$1:$F$322,MATCH(order_items!$D$1,products!$A$1:$F$1,0),FALSE)</f>
        <v>Sun Bicycles Atlas X-Type - 2017</v>
      </c>
      <c r="E3294">
        <f>VLOOKUP($C3294,products!$A$1:$F$322,MATCH(order_items!$E$1,products!$A$1:$F$1,0),FALSE)</f>
        <v>3</v>
      </c>
      <c r="F3294" t="str">
        <f>VLOOKUP($E3294,categories!$A$1:$B$8,MATCH(order_items!$F$1,categories!$A$1:$B$1,0),FALSE)</f>
        <v>Cruisers Bicycles</v>
      </c>
      <c r="G3294">
        <v>2</v>
      </c>
      <c r="H3294">
        <v>416.99</v>
      </c>
      <c r="I3294" s="5">
        <v>7.0000000000000007E-2</v>
      </c>
      <c r="J3294">
        <f t="shared" si="102"/>
        <v>775.60140000000001</v>
      </c>
      <c r="K3294" s="9">
        <f t="shared" si="103"/>
        <v>-0.58826372462468679</v>
      </c>
    </row>
    <row r="3295" spans="1:11" x14ac:dyDescent="0.3">
      <c r="A3295">
        <v>1140</v>
      </c>
      <c r="B3295">
        <v>3</v>
      </c>
      <c r="C3295">
        <v>38</v>
      </c>
      <c r="D3295" t="str">
        <f>VLOOKUP($C3295,products!$A$1:$F$322,MATCH(order_items!$D$1,products!$A$1:$F$1,0),FALSE)</f>
        <v>Haro Flightline Two 26 Plus - 2017</v>
      </c>
      <c r="E3295">
        <f>VLOOKUP($C3295,products!$A$1:$F$322,MATCH(order_items!$E$1,products!$A$1:$F$1,0),FALSE)</f>
        <v>6</v>
      </c>
      <c r="F3295" t="str">
        <f>VLOOKUP($E3295,categories!$A$1:$B$8,MATCH(order_items!$F$1,categories!$A$1:$B$1,0),FALSE)</f>
        <v>Mountain Bikes</v>
      </c>
      <c r="G3295">
        <v>2</v>
      </c>
      <c r="H3295">
        <v>549.99</v>
      </c>
      <c r="I3295" s="5">
        <v>0.1</v>
      </c>
      <c r="J3295">
        <f t="shared" si="102"/>
        <v>989.98200000000008</v>
      </c>
      <c r="K3295" s="9">
        <f t="shared" si="103"/>
        <v>-0.48993857929220308</v>
      </c>
    </row>
    <row r="3296" spans="1:11" x14ac:dyDescent="0.3">
      <c r="A3296">
        <v>1140</v>
      </c>
      <c r="B3296">
        <v>4</v>
      </c>
      <c r="C3296">
        <v>40</v>
      </c>
      <c r="D3296" t="str">
        <f>VLOOKUP($C3296,products!$A$1:$F$322,MATCH(order_items!$D$1,products!$A$1:$F$1,0),FALSE)</f>
        <v>Trek Fuel EX 9.8 29 - 2017</v>
      </c>
      <c r="E3296">
        <f>VLOOKUP($C3296,products!$A$1:$F$322,MATCH(order_items!$E$1,products!$A$1:$F$1,0),FALSE)</f>
        <v>6</v>
      </c>
      <c r="F3296" t="str">
        <f>VLOOKUP($E3296,categories!$A$1:$B$8,MATCH(order_items!$F$1,categories!$A$1:$B$1,0),FALSE)</f>
        <v>Mountain Bikes</v>
      </c>
      <c r="G3296">
        <v>2</v>
      </c>
      <c r="H3296">
        <v>4999.99</v>
      </c>
      <c r="I3296" s="5">
        <v>7.0000000000000007E-2</v>
      </c>
      <c r="J3296">
        <f t="shared" si="102"/>
        <v>9299.9813999999988</v>
      </c>
      <c r="K3296" s="9">
        <f t="shared" si="103"/>
        <v>2.7998877119074401</v>
      </c>
    </row>
    <row r="3297" spans="1:11" x14ac:dyDescent="0.3">
      <c r="A3297">
        <v>1141</v>
      </c>
      <c r="B3297">
        <v>1</v>
      </c>
      <c r="C3297">
        <v>8</v>
      </c>
      <c r="D3297" t="str">
        <f>VLOOKUP($C3297,products!$A$1:$F$322,MATCH(order_items!$D$1,products!$A$1:$F$1,0),FALSE)</f>
        <v>Trek Remedy 29 Carbon Frameset - 2016</v>
      </c>
      <c r="E3297">
        <f>VLOOKUP($C3297,products!$A$1:$F$322,MATCH(order_items!$E$1,products!$A$1:$F$1,0),FALSE)</f>
        <v>6</v>
      </c>
      <c r="F3297" t="str">
        <f>VLOOKUP($E3297,categories!$A$1:$B$8,MATCH(order_items!$F$1,categories!$A$1:$B$1,0),FALSE)</f>
        <v>Mountain Bikes</v>
      </c>
      <c r="G3297">
        <v>1</v>
      </c>
      <c r="H3297">
        <v>1799.99</v>
      </c>
      <c r="I3297" s="5">
        <v>0.1</v>
      </c>
      <c r="J3297">
        <f t="shared" si="102"/>
        <v>1619.991</v>
      </c>
      <c r="K3297" s="9">
        <f t="shared" si="103"/>
        <v>0.43416992947174166</v>
      </c>
    </row>
    <row r="3298" spans="1:11" x14ac:dyDescent="0.3">
      <c r="A3298">
        <v>1142</v>
      </c>
      <c r="B3298">
        <v>1</v>
      </c>
      <c r="C3298">
        <v>20</v>
      </c>
      <c r="D3298" t="str">
        <f>VLOOKUP($C3298,products!$A$1:$F$322,MATCH(order_items!$D$1,products!$A$1:$F$1,0),FALSE)</f>
        <v>Electra Townie Original 7D EQ - Women's - 2016</v>
      </c>
      <c r="E3298">
        <f>VLOOKUP($C3298,products!$A$1:$F$322,MATCH(order_items!$E$1,products!$A$1:$F$1,0),FALSE)</f>
        <v>3</v>
      </c>
      <c r="F3298" t="str">
        <f>VLOOKUP($E3298,categories!$A$1:$B$8,MATCH(order_items!$F$1,categories!$A$1:$B$1,0),FALSE)</f>
        <v>Cruisers Bicycles</v>
      </c>
      <c r="G3298">
        <v>2</v>
      </c>
      <c r="H3298">
        <v>599.99</v>
      </c>
      <c r="I3298" s="5">
        <v>7.0000000000000007E-2</v>
      </c>
      <c r="J3298">
        <f t="shared" si="102"/>
        <v>1115.9813999999999</v>
      </c>
      <c r="K3298" s="9">
        <f t="shared" si="103"/>
        <v>-0.45297423894164529</v>
      </c>
    </row>
    <row r="3299" spans="1:11" x14ac:dyDescent="0.3">
      <c r="A3299">
        <v>1142</v>
      </c>
      <c r="B3299">
        <v>2</v>
      </c>
      <c r="C3299">
        <v>30</v>
      </c>
      <c r="D3299" t="str">
        <f>VLOOKUP($C3299,products!$A$1:$F$322,MATCH(order_items!$D$1,products!$A$1:$F$1,0),FALSE)</f>
        <v>Surly Ice Cream Truck Frameset - 2017</v>
      </c>
      <c r="E3299">
        <f>VLOOKUP($C3299,products!$A$1:$F$322,MATCH(order_items!$E$1,products!$A$1:$F$1,0),FALSE)</f>
        <v>6</v>
      </c>
      <c r="F3299" t="str">
        <f>VLOOKUP($E3299,categories!$A$1:$B$8,MATCH(order_items!$F$1,categories!$A$1:$B$1,0),FALSE)</f>
        <v>Mountain Bikes</v>
      </c>
      <c r="G3299">
        <v>1</v>
      </c>
      <c r="H3299">
        <v>999.99</v>
      </c>
      <c r="I3299" s="5">
        <v>0.1</v>
      </c>
      <c r="J3299">
        <f t="shared" si="102"/>
        <v>899.99099999999999</v>
      </c>
      <c r="K3299" s="9">
        <f t="shared" si="103"/>
        <v>-0.15725951613718298</v>
      </c>
    </row>
    <row r="3300" spans="1:11" x14ac:dyDescent="0.3">
      <c r="A3300">
        <v>1142</v>
      </c>
      <c r="B3300">
        <v>3</v>
      </c>
      <c r="C3300">
        <v>109</v>
      </c>
      <c r="D3300" t="str">
        <f>VLOOKUP($C3300,products!$A$1:$F$322,MATCH(order_items!$D$1,products!$A$1:$F$1,0),FALSE)</f>
        <v>Sun Bicycles Cruz 7 - Women's - 2017</v>
      </c>
      <c r="E3300">
        <f>VLOOKUP($C3300,products!$A$1:$F$322,MATCH(order_items!$E$1,products!$A$1:$F$1,0),FALSE)</f>
        <v>2</v>
      </c>
      <c r="F3300" t="str">
        <f>VLOOKUP($E3300,categories!$A$1:$B$8,MATCH(order_items!$F$1,categories!$A$1:$B$1,0),FALSE)</f>
        <v>Comfort Bicycles</v>
      </c>
      <c r="G3300">
        <v>2</v>
      </c>
      <c r="H3300">
        <v>416.99</v>
      </c>
      <c r="I3300" s="5">
        <v>0.05</v>
      </c>
      <c r="J3300">
        <f t="shared" si="102"/>
        <v>792.28099999999995</v>
      </c>
      <c r="K3300" s="9">
        <f t="shared" si="103"/>
        <v>-0.58826372462468679</v>
      </c>
    </row>
    <row r="3301" spans="1:11" x14ac:dyDescent="0.3">
      <c r="A3301">
        <v>1142</v>
      </c>
      <c r="B3301">
        <v>4</v>
      </c>
      <c r="C3301">
        <v>108</v>
      </c>
      <c r="D3301" t="str">
        <f>VLOOKUP($C3301,products!$A$1:$F$322,MATCH(order_items!$D$1,products!$A$1:$F$1,0),FALSE)</f>
        <v>Sun Bicycles Cruz 3 - Women's - 2017</v>
      </c>
      <c r="E3301">
        <f>VLOOKUP($C3301,products!$A$1:$F$322,MATCH(order_items!$E$1,products!$A$1:$F$1,0),FALSE)</f>
        <v>2</v>
      </c>
      <c r="F3301" t="str">
        <f>VLOOKUP($E3301,categories!$A$1:$B$8,MATCH(order_items!$F$1,categories!$A$1:$B$1,0),FALSE)</f>
        <v>Comfort Bicycles</v>
      </c>
      <c r="G3301">
        <v>2</v>
      </c>
      <c r="H3301">
        <v>449.99</v>
      </c>
      <c r="I3301" s="5">
        <v>0.2</v>
      </c>
      <c r="J3301">
        <f t="shared" si="102"/>
        <v>719.98400000000004</v>
      </c>
      <c r="K3301" s="9">
        <f t="shared" si="103"/>
        <v>-0.56386725999331866</v>
      </c>
    </row>
    <row r="3302" spans="1:11" x14ac:dyDescent="0.3">
      <c r="A3302">
        <v>1142</v>
      </c>
      <c r="B3302">
        <v>5</v>
      </c>
      <c r="C3302">
        <v>100</v>
      </c>
      <c r="D3302" t="str">
        <f>VLOOKUP($C3302,products!$A$1:$F$322,MATCH(order_items!$D$1,products!$A$1:$F$1,0),FALSE)</f>
        <v>Electra Townie 3i EQ (20-inch) - Boys' - 2017</v>
      </c>
      <c r="E3302">
        <f>VLOOKUP($C3302,products!$A$1:$F$322,MATCH(order_items!$E$1,products!$A$1:$F$1,0),FALSE)</f>
        <v>1</v>
      </c>
      <c r="F3302" t="str">
        <f>VLOOKUP($E3302,categories!$A$1:$B$8,MATCH(order_items!$F$1,categories!$A$1:$B$1,0),FALSE)</f>
        <v>Children Bicycles</v>
      </c>
      <c r="G3302">
        <v>2</v>
      </c>
      <c r="H3302">
        <v>489.99</v>
      </c>
      <c r="I3302" s="5">
        <v>0.05</v>
      </c>
      <c r="J3302">
        <f t="shared" si="102"/>
        <v>930.98099999999999</v>
      </c>
      <c r="K3302" s="9">
        <f t="shared" si="103"/>
        <v>-0.53429578771287245</v>
      </c>
    </row>
    <row r="3303" spans="1:11" x14ac:dyDescent="0.3">
      <c r="A3303">
        <v>1143</v>
      </c>
      <c r="B3303">
        <v>1</v>
      </c>
      <c r="C3303">
        <v>99</v>
      </c>
      <c r="D3303" t="str">
        <f>VLOOKUP($C3303,products!$A$1:$F$322,MATCH(order_items!$D$1,products!$A$1:$F$1,0),FALSE)</f>
        <v>Electra Sugar Skulls 1 (20-inch) - Girl's - 2017</v>
      </c>
      <c r="E3303">
        <f>VLOOKUP($C3303,products!$A$1:$F$322,MATCH(order_items!$E$1,products!$A$1:$F$1,0),FALSE)</f>
        <v>1</v>
      </c>
      <c r="F3303" t="str">
        <f>VLOOKUP($E3303,categories!$A$1:$B$8,MATCH(order_items!$F$1,categories!$A$1:$B$1,0),FALSE)</f>
        <v>Children Bicycles</v>
      </c>
      <c r="G3303">
        <v>1</v>
      </c>
      <c r="H3303">
        <v>299.99</v>
      </c>
      <c r="I3303" s="5">
        <v>0.2</v>
      </c>
      <c r="J3303">
        <f t="shared" si="102"/>
        <v>239.99200000000002</v>
      </c>
      <c r="K3303" s="9">
        <f t="shared" si="103"/>
        <v>-0.67476028104499197</v>
      </c>
    </row>
    <row r="3304" spans="1:11" x14ac:dyDescent="0.3">
      <c r="A3304">
        <v>1143</v>
      </c>
      <c r="B3304">
        <v>2</v>
      </c>
      <c r="C3304">
        <v>48</v>
      </c>
      <c r="D3304" t="str">
        <f>VLOOKUP($C3304,products!$A$1:$F$322,MATCH(order_items!$D$1,products!$A$1:$F$1,0),FALSE)</f>
        <v>Trek Emonda S 4 - 2017</v>
      </c>
      <c r="E3304">
        <f>VLOOKUP($C3304,products!$A$1:$F$322,MATCH(order_items!$E$1,products!$A$1:$F$1,0),FALSE)</f>
        <v>7</v>
      </c>
      <c r="F3304" t="str">
        <f>VLOOKUP($E3304,categories!$A$1:$B$8,MATCH(order_items!$F$1,categories!$A$1:$B$1,0),FALSE)</f>
        <v>Road Bikes</v>
      </c>
      <c r="G3304">
        <v>1</v>
      </c>
      <c r="H3304">
        <v>1499.99</v>
      </c>
      <c r="I3304" s="5">
        <v>0.2</v>
      </c>
      <c r="J3304">
        <f t="shared" si="102"/>
        <v>1199.992</v>
      </c>
      <c r="K3304" s="9">
        <f t="shared" si="103"/>
        <v>0.21238388736839492</v>
      </c>
    </row>
    <row r="3305" spans="1:11" x14ac:dyDescent="0.3">
      <c r="A3305">
        <v>1143</v>
      </c>
      <c r="B3305">
        <v>3</v>
      </c>
      <c r="C3305">
        <v>69</v>
      </c>
      <c r="D3305" t="str">
        <f>VLOOKUP($C3305,products!$A$1:$F$322,MATCH(order_items!$D$1,products!$A$1:$F$1,0),FALSE)</f>
        <v>Sun Bicycles Cruz 7 - 2017</v>
      </c>
      <c r="E3305">
        <f>VLOOKUP($C3305,products!$A$1:$F$322,MATCH(order_items!$E$1,products!$A$1:$F$1,0),FALSE)</f>
        <v>3</v>
      </c>
      <c r="F3305" t="str">
        <f>VLOOKUP($E3305,categories!$A$1:$B$8,MATCH(order_items!$F$1,categories!$A$1:$B$1,0),FALSE)</f>
        <v>Cruisers Bicycles</v>
      </c>
      <c r="G3305">
        <v>2</v>
      </c>
      <c r="H3305">
        <v>416.99</v>
      </c>
      <c r="I3305" s="5">
        <v>0.1</v>
      </c>
      <c r="J3305">
        <f t="shared" si="102"/>
        <v>750.58199999999999</v>
      </c>
      <c r="K3305" s="9">
        <f t="shared" si="103"/>
        <v>-0.58826372462468679</v>
      </c>
    </row>
    <row r="3306" spans="1:11" x14ac:dyDescent="0.3">
      <c r="A3306">
        <v>1144</v>
      </c>
      <c r="B3306">
        <v>1</v>
      </c>
      <c r="C3306">
        <v>88</v>
      </c>
      <c r="D3306" t="str">
        <f>VLOOKUP($C3306,products!$A$1:$F$322,MATCH(order_items!$D$1,products!$A$1:$F$1,0),FALSE)</f>
        <v>Trek Precaliber 12 Girls - 2017</v>
      </c>
      <c r="E3306">
        <f>VLOOKUP($C3306,products!$A$1:$F$322,MATCH(order_items!$E$1,products!$A$1:$F$1,0),FALSE)</f>
        <v>1</v>
      </c>
      <c r="F3306" t="str">
        <f>VLOOKUP($E3306,categories!$A$1:$B$8,MATCH(order_items!$F$1,categories!$A$1:$B$1,0),FALSE)</f>
        <v>Children Bicycles</v>
      </c>
      <c r="G3306">
        <v>1</v>
      </c>
      <c r="H3306">
        <v>189.99</v>
      </c>
      <c r="I3306" s="5">
        <v>7.0000000000000007E-2</v>
      </c>
      <c r="J3306">
        <f t="shared" si="102"/>
        <v>176.69069999999999</v>
      </c>
      <c r="K3306" s="9">
        <f t="shared" si="103"/>
        <v>-0.75608182981621919</v>
      </c>
    </row>
    <row r="3307" spans="1:11" x14ac:dyDescent="0.3">
      <c r="A3307">
        <v>1145</v>
      </c>
      <c r="B3307">
        <v>1</v>
      </c>
      <c r="C3307">
        <v>105</v>
      </c>
      <c r="D3307" t="str">
        <f>VLOOKUP($C3307,products!$A$1:$F$322,MATCH(order_items!$D$1,products!$A$1:$F$1,0),FALSE)</f>
        <v>Sun Bicycles Streamway 7 - 2017</v>
      </c>
      <c r="E3307">
        <f>VLOOKUP($C3307,products!$A$1:$F$322,MATCH(order_items!$E$1,products!$A$1:$F$1,0),FALSE)</f>
        <v>2</v>
      </c>
      <c r="F3307" t="str">
        <f>VLOOKUP($E3307,categories!$A$1:$B$8,MATCH(order_items!$F$1,categories!$A$1:$B$1,0),FALSE)</f>
        <v>Comfort Bicycles</v>
      </c>
      <c r="G3307">
        <v>2</v>
      </c>
      <c r="H3307">
        <v>533.99</v>
      </c>
      <c r="I3307" s="5">
        <v>7.0000000000000007E-2</v>
      </c>
      <c r="J3307">
        <f t="shared" si="102"/>
        <v>993.2213999999999</v>
      </c>
      <c r="K3307" s="9">
        <f t="shared" si="103"/>
        <v>-0.50176716820438161</v>
      </c>
    </row>
    <row r="3308" spans="1:11" x14ac:dyDescent="0.3">
      <c r="A3308">
        <v>1146</v>
      </c>
      <c r="B3308">
        <v>1</v>
      </c>
      <c r="C3308">
        <v>36</v>
      </c>
      <c r="D3308" t="str">
        <f>VLOOKUP($C3308,products!$A$1:$F$322,MATCH(order_items!$D$1,products!$A$1:$F$1,0),FALSE)</f>
        <v>Surly Troll Frameset - 2017</v>
      </c>
      <c r="E3308">
        <f>VLOOKUP($C3308,products!$A$1:$F$322,MATCH(order_items!$E$1,products!$A$1:$F$1,0),FALSE)</f>
        <v>6</v>
      </c>
      <c r="F3308" t="str">
        <f>VLOOKUP($E3308,categories!$A$1:$B$8,MATCH(order_items!$F$1,categories!$A$1:$B$1,0),FALSE)</f>
        <v>Mountain Bikes</v>
      </c>
      <c r="G3308">
        <v>1</v>
      </c>
      <c r="H3308">
        <v>832.99</v>
      </c>
      <c r="I3308" s="5">
        <v>7.0000000000000007E-2</v>
      </c>
      <c r="J3308">
        <f t="shared" si="102"/>
        <v>774.6807</v>
      </c>
      <c r="K3308" s="9">
        <f t="shared" si="103"/>
        <v>-0.280720412908046</v>
      </c>
    </row>
    <row r="3309" spans="1:11" x14ac:dyDescent="0.3">
      <c r="A3309">
        <v>1146</v>
      </c>
      <c r="B3309">
        <v>2</v>
      </c>
      <c r="C3309">
        <v>64</v>
      </c>
      <c r="D3309" t="str">
        <f>VLOOKUP($C3309,products!$A$1:$F$322,MATCH(order_items!$D$1,products!$A$1:$F$1,0),FALSE)</f>
        <v>Electra Townie Original 7D - 2017</v>
      </c>
      <c r="E3309">
        <f>VLOOKUP($C3309,products!$A$1:$F$322,MATCH(order_items!$E$1,products!$A$1:$F$1,0),FALSE)</f>
        <v>3</v>
      </c>
      <c r="F3309" t="str">
        <f>VLOOKUP($E3309,categories!$A$1:$B$8,MATCH(order_items!$F$1,categories!$A$1:$B$1,0),FALSE)</f>
        <v>Cruisers Bicycles</v>
      </c>
      <c r="G3309">
        <v>1</v>
      </c>
      <c r="H3309">
        <v>489.99</v>
      </c>
      <c r="I3309" s="5">
        <v>0.2</v>
      </c>
      <c r="J3309">
        <f t="shared" si="102"/>
        <v>391.99200000000002</v>
      </c>
      <c r="K3309" s="9">
        <f t="shared" si="103"/>
        <v>-0.53429578771287245</v>
      </c>
    </row>
    <row r="3310" spans="1:11" x14ac:dyDescent="0.3">
      <c r="A3310">
        <v>1146</v>
      </c>
      <c r="B3310">
        <v>3</v>
      </c>
      <c r="C3310">
        <v>11</v>
      </c>
      <c r="D3310" t="str">
        <f>VLOOKUP($C3310,products!$A$1:$F$322,MATCH(order_items!$D$1,products!$A$1:$F$1,0),FALSE)</f>
        <v>Surly Straggler 650b - 2016</v>
      </c>
      <c r="E3310">
        <f>VLOOKUP($C3310,products!$A$1:$F$322,MATCH(order_items!$E$1,products!$A$1:$F$1,0),FALSE)</f>
        <v>4</v>
      </c>
      <c r="F3310" t="str">
        <f>VLOOKUP($E3310,categories!$A$1:$B$8,MATCH(order_items!$F$1,categories!$A$1:$B$1,0),FALSE)</f>
        <v>Cyclocross Bicycles</v>
      </c>
      <c r="G3310">
        <v>1</v>
      </c>
      <c r="H3310">
        <v>1680.99</v>
      </c>
      <c r="I3310" s="5">
        <v>0.2</v>
      </c>
      <c r="J3310">
        <f t="shared" si="102"/>
        <v>1344.7920000000001</v>
      </c>
      <c r="K3310" s="9">
        <f t="shared" si="103"/>
        <v>0.3461947994374141</v>
      </c>
    </row>
    <row r="3311" spans="1:11" x14ac:dyDescent="0.3">
      <c r="A3311">
        <v>1147</v>
      </c>
      <c r="B3311">
        <v>1</v>
      </c>
      <c r="C3311">
        <v>82</v>
      </c>
      <c r="D3311" t="str">
        <f>VLOOKUP($C3311,products!$A$1:$F$322,MATCH(order_items!$D$1,products!$A$1:$F$1,0),FALSE)</f>
        <v>Electra Amsterdam Original 3i Ladies' - 2017</v>
      </c>
      <c r="E3311">
        <f>VLOOKUP($C3311,products!$A$1:$F$322,MATCH(order_items!$E$1,products!$A$1:$F$1,0),FALSE)</f>
        <v>3</v>
      </c>
      <c r="F3311" t="str">
        <f>VLOOKUP($E3311,categories!$A$1:$B$8,MATCH(order_items!$F$1,categories!$A$1:$B$1,0),FALSE)</f>
        <v>Cruisers Bicycles</v>
      </c>
      <c r="G3311">
        <v>1</v>
      </c>
      <c r="H3311">
        <v>659.99</v>
      </c>
      <c r="I3311" s="5">
        <v>0.2</v>
      </c>
      <c r="J3311">
        <f t="shared" si="102"/>
        <v>527.99200000000008</v>
      </c>
      <c r="K3311" s="9">
        <f t="shared" si="103"/>
        <v>-0.40861703052097592</v>
      </c>
    </row>
    <row r="3312" spans="1:11" x14ac:dyDescent="0.3">
      <c r="A3312">
        <v>1147</v>
      </c>
      <c r="B3312">
        <v>2</v>
      </c>
      <c r="C3312">
        <v>39</v>
      </c>
      <c r="D3312" t="str">
        <f>VLOOKUP($C3312,products!$A$1:$F$322,MATCH(order_items!$D$1,products!$A$1:$F$1,0),FALSE)</f>
        <v>Trek Stache 5 - 2017</v>
      </c>
      <c r="E3312">
        <f>VLOOKUP($C3312,products!$A$1:$F$322,MATCH(order_items!$E$1,products!$A$1:$F$1,0),FALSE)</f>
        <v>6</v>
      </c>
      <c r="F3312" t="str">
        <f>VLOOKUP($E3312,categories!$A$1:$B$8,MATCH(order_items!$F$1,categories!$A$1:$B$1,0),FALSE)</f>
        <v>Mountain Bikes</v>
      </c>
      <c r="G3312">
        <v>2</v>
      </c>
      <c r="H3312">
        <v>1499.99</v>
      </c>
      <c r="I3312" s="5">
        <v>0.05</v>
      </c>
      <c r="J3312">
        <f t="shared" si="102"/>
        <v>2849.9809999999998</v>
      </c>
      <c r="K3312" s="9">
        <f t="shared" si="103"/>
        <v>0.21238388736839492</v>
      </c>
    </row>
    <row r="3313" spans="1:11" x14ac:dyDescent="0.3">
      <c r="A3313">
        <v>1148</v>
      </c>
      <c r="B3313">
        <v>1</v>
      </c>
      <c r="C3313">
        <v>82</v>
      </c>
      <c r="D3313" t="str">
        <f>VLOOKUP($C3313,products!$A$1:$F$322,MATCH(order_items!$D$1,products!$A$1:$F$1,0),FALSE)</f>
        <v>Electra Amsterdam Original 3i Ladies' - 2017</v>
      </c>
      <c r="E3313">
        <f>VLOOKUP($C3313,products!$A$1:$F$322,MATCH(order_items!$E$1,products!$A$1:$F$1,0),FALSE)</f>
        <v>3</v>
      </c>
      <c r="F3313" t="str">
        <f>VLOOKUP($E3313,categories!$A$1:$B$8,MATCH(order_items!$F$1,categories!$A$1:$B$1,0),FALSE)</f>
        <v>Cruisers Bicycles</v>
      </c>
      <c r="G3313">
        <v>1</v>
      </c>
      <c r="H3313">
        <v>659.99</v>
      </c>
      <c r="I3313" s="5">
        <v>7.0000000000000007E-2</v>
      </c>
      <c r="J3313">
        <f t="shared" si="102"/>
        <v>613.79070000000002</v>
      </c>
      <c r="K3313" s="9">
        <f t="shared" si="103"/>
        <v>-0.40861703052097592</v>
      </c>
    </row>
    <row r="3314" spans="1:11" x14ac:dyDescent="0.3">
      <c r="A3314">
        <v>1148</v>
      </c>
      <c r="B3314">
        <v>2</v>
      </c>
      <c r="C3314">
        <v>22</v>
      </c>
      <c r="D3314" t="str">
        <f>VLOOKUP($C3314,products!$A$1:$F$322,MATCH(order_items!$D$1,products!$A$1:$F$1,0),FALSE)</f>
        <v>Electra Girl's Hawaii 1 (16-inch) - 2015/2016</v>
      </c>
      <c r="E3314">
        <f>VLOOKUP($C3314,products!$A$1:$F$322,MATCH(order_items!$E$1,products!$A$1:$F$1,0),FALSE)</f>
        <v>1</v>
      </c>
      <c r="F3314" t="str">
        <f>VLOOKUP($E3314,categories!$A$1:$B$8,MATCH(order_items!$F$1,categories!$A$1:$B$1,0),FALSE)</f>
        <v>Children Bicycles</v>
      </c>
      <c r="G3314">
        <v>1</v>
      </c>
      <c r="H3314">
        <v>269.99</v>
      </c>
      <c r="I3314" s="5">
        <v>7.0000000000000007E-2</v>
      </c>
      <c r="J3314">
        <f t="shared" si="102"/>
        <v>251.0907</v>
      </c>
      <c r="K3314" s="9">
        <f t="shared" si="103"/>
        <v>-0.69693888525532666</v>
      </c>
    </row>
    <row r="3315" spans="1:11" x14ac:dyDescent="0.3">
      <c r="A3315">
        <v>1148</v>
      </c>
      <c r="B3315">
        <v>3</v>
      </c>
      <c r="C3315">
        <v>77</v>
      </c>
      <c r="D3315" t="str">
        <f>VLOOKUP($C3315,products!$A$1:$F$322,MATCH(order_items!$D$1,products!$A$1:$F$1,0),FALSE)</f>
        <v>Electra Glam Punk 3i Ladies' - 2017</v>
      </c>
      <c r="E3315">
        <f>VLOOKUP($C3315,products!$A$1:$F$322,MATCH(order_items!$E$1,products!$A$1:$F$1,0),FALSE)</f>
        <v>3</v>
      </c>
      <c r="F3315" t="str">
        <f>VLOOKUP($E3315,categories!$A$1:$B$8,MATCH(order_items!$F$1,categories!$A$1:$B$1,0),FALSE)</f>
        <v>Cruisers Bicycles</v>
      </c>
      <c r="G3315">
        <v>2</v>
      </c>
      <c r="H3315">
        <v>799.99</v>
      </c>
      <c r="I3315" s="5">
        <v>0.05</v>
      </c>
      <c r="J3315">
        <f t="shared" si="102"/>
        <v>1519.981</v>
      </c>
      <c r="K3315" s="9">
        <f t="shared" si="103"/>
        <v>-0.30511687753941413</v>
      </c>
    </row>
    <row r="3316" spans="1:11" x14ac:dyDescent="0.3">
      <c r="A3316">
        <v>1148</v>
      </c>
      <c r="B3316">
        <v>4</v>
      </c>
      <c r="C3316">
        <v>94</v>
      </c>
      <c r="D3316" t="str">
        <f>VLOOKUP($C3316,products!$A$1:$F$322,MATCH(order_items!$D$1,products!$A$1:$F$1,0),FALSE)</f>
        <v>Haro Shredder Pro 20 - 2017</v>
      </c>
      <c r="E3316">
        <f>VLOOKUP($C3316,products!$A$1:$F$322,MATCH(order_items!$E$1,products!$A$1:$F$1,0),FALSE)</f>
        <v>1</v>
      </c>
      <c r="F3316" t="str">
        <f>VLOOKUP($E3316,categories!$A$1:$B$8,MATCH(order_items!$F$1,categories!$A$1:$B$1,0),FALSE)</f>
        <v>Children Bicycles</v>
      </c>
      <c r="G3316">
        <v>2</v>
      </c>
      <c r="H3316">
        <v>249.99</v>
      </c>
      <c r="I3316" s="5">
        <v>0.1</v>
      </c>
      <c r="J3316">
        <f t="shared" si="102"/>
        <v>449.98200000000003</v>
      </c>
      <c r="K3316" s="9">
        <f t="shared" si="103"/>
        <v>-0.71172462139554982</v>
      </c>
    </row>
    <row r="3317" spans="1:11" x14ac:dyDescent="0.3">
      <c r="A3317">
        <v>1149</v>
      </c>
      <c r="B3317">
        <v>1</v>
      </c>
      <c r="C3317">
        <v>98</v>
      </c>
      <c r="D3317" t="str">
        <f>VLOOKUP($C3317,products!$A$1:$F$322,MATCH(order_items!$D$1,products!$A$1:$F$1,0),FALSE)</f>
        <v>Electra Straight 8 3i (20-inch) - Boy's - 2017</v>
      </c>
      <c r="E3317">
        <f>VLOOKUP($C3317,products!$A$1:$F$322,MATCH(order_items!$E$1,products!$A$1:$F$1,0),FALSE)</f>
        <v>1</v>
      </c>
      <c r="F3317" t="str">
        <f>VLOOKUP($E3317,categories!$A$1:$B$8,MATCH(order_items!$F$1,categories!$A$1:$B$1,0),FALSE)</f>
        <v>Children Bicycles</v>
      </c>
      <c r="G3317">
        <v>2</v>
      </c>
      <c r="H3317">
        <v>489.99</v>
      </c>
      <c r="I3317" s="5">
        <v>7.0000000000000007E-2</v>
      </c>
      <c r="J3317">
        <f t="shared" si="102"/>
        <v>911.38139999999999</v>
      </c>
      <c r="K3317" s="9">
        <f t="shared" si="103"/>
        <v>-0.53429578771287245</v>
      </c>
    </row>
    <row r="3318" spans="1:11" x14ac:dyDescent="0.3">
      <c r="A3318">
        <v>1149</v>
      </c>
      <c r="B3318">
        <v>2</v>
      </c>
      <c r="C3318">
        <v>48</v>
      </c>
      <c r="D3318" t="str">
        <f>VLOOKUP($C3318,products!$A$1:$F$322,MATCH(order_items!$D$1,products!$A$1:$F$1,0),FALSE)</f>
        <v>Trek Emonda S 4 - 2017</v>
      </c>
      <c r="E3318">
        <f>VLOOKUP($C3318,products!$A$1:$F$322,MATCH(order_items!$E$1,products!$A$1:$F$1,0),FALSE)</f>
        <v>7</v>
      </c>
      <c r="F3318" t="str">
        <f>VLOOKUP($E3318,categories!$A$1:$B$8,MATCH(order_items!$F$1,categories!$A$1:$B$1,0),FALSE)</f>
        <v>Road Bikes</v>
      </c>
      <c r="G3318">
        <v>1</v>
      </c>
      <c r="H3318">
        <v>1499.99</v>
      </c>
      <c r="I3318" s="5">
        <v>0.05</v>
      </c>
      <c r="J3318">
        <f t="shared" si="102"/>
        <v>1424.9904999999999</v>
      </c>
      <c r="K3318" s="9">
        <f t="shared" si="103"/>
        <v>0.21238388736839492</v>
      </c>
    </row>
    <row r="3319" spans="1:11" x14ac:dyDescent="0.3">
      <c r="A3319">
        <v>1149</v>
      </c>
      <c r="B3319">
        <v>3</v>
      </c>
      <c r="C3319">
        <v>58</v>
      </c>
      <c r="D3319" t="str">
        <f>VLOOKUP($C3319,products!$A$1:$F$322,MATCH(order_items!$D$1,products!$A$1:$F$1,0),FALSE)</f>
        <v>Trek Madone 9.2 - 2017</v>
      </c>
      <c r="E3319">
        <f>VLOOKUP($C3319,products!$A$1:$F$322,MATCH(order_items!$E$1,products!$A$1:$F$1,0),FALSE)</f>
        <v>7</v>
      </c>
      <c r="F3319" t="str">
        <f>VLOOKUP($E3319,categories!$A$1:$B$8,MATCH(order_items!$F$1,categories!$A$1:$B$1,0),FALSE)</f>
        <v>Road Bikes</v>
      </c>
      <c r="G3319">
        <v>1</v>
      </c>
      <c r="H3319">
        <v>4999.99</v>
      </c>
      <c r="I3319" s="5">
        <v>0.05</v>
      </c>
      <c r="J3319">
        <f t="shared" si="102"/>
        <v>4749.9904999999999</v>
      </c>
      <c r="K3319" s="9">
        <f t="shared" si="103"/>
        <v>2.7998877119074401</v>
      </c>
    </row>
    <row r="3320" spans="1:11" x14ac:dyDescent="0.3">
      <c r="A3320">
        <v>1149</v>
      </c>
      <c r="B3320">
        <v>4</v>
      </c>
      <c r="C3320">
        <v>85</v>
      </c>
      <c r="D3320" t="str">
        <f>VLOOKUP($C3320,products!$A$1:$F$322,MATCH(order_items!$D$1,products!$A$1:$F$1,0),FALSE)</f>
        <v>Haro Downtown 16 - 2017</v>
      </c>
      <c r="E3320">
        <f>VLOOKUP($C3320,products!$A$1:$F$322,MATCH(order_items!$E$1,products!$A$1:$F$1,0),FALSE)</f>
        <v>1</v>
      </c>
      <c r="F3320" t="str">
        <f>VLOOKUP($E3320,categories!$A$1:$B$8,MATCH(order_items!$F$1,categories!$A$1:$B$1,0),FALSE)</f>
        <v>Children Bicycles</v>
      </c>
      <c r="G3320">
        <v>1</v>
      </c>
      <c r="H3320">
        <v>329.99</v>
      </c>
      <c r="I3320" s="5">
        <v>0.2</v>
      </c>
      <c r="J3320">
        <f t="shared" si="102"/>
        <v>263.99200000000002</v>
      </c>
      <c r="K3320" s="9">
        <f t="shared" si="103"/>
        <v>-0.6525816768346574</v>
      </c>
    </row>
    <row r="3321" spans="1:11" x14ac:dyDescent="0.3">
      <c r="A3321">
        <v>1149</v>
      </c>
      <c r="B3321">
        <v>5</v>
      </c>
      <c r="C3321">
        <v>94</v>
      </c>
      <c r="D3321" t="str">
        <f>VLOOKUP($C3321,products!$A$1:$F$322,MATCH(order_items!$D$1,products!$A$1:$F$1,0),FALSE)</f>
        <v>Haro Shredder Pro 20 - 2017</v>
      </c>
      <c r="E3321">
        <f>VLOOKUP($C3321,products!$A$1:$F$322,MATCH(order_items!$E$1,products!$A$1:$F$1,0),FALSE)</f>
        <v>1</v>
      </c>
      <c r="F3321" t="str">
        <f>VLOOKUP($E3321,categories!$A$1:$B$8,MATCH(order_items!$F$1,categories!$A$1:$B$1,0),FALSE)</f>
        <v>Children Bicycles</v>
      </c>
      <c r="G3321">
        <v>1</v>
      </c>
      <c r="H3321">
        <v>249.99</v>
      </c>
      <c r="I3321" s="5">
        <v>0.1</v>
      </c>
      <c r="J3321">
        <f t="shared" si="102"/>
        <v>224.99100000000001</v>
      </c>
      <c r="K3321" s="9">
        <f t="shared" si="103"/>
        <v>-0.71172462139554982</v>
      </c>
    </row>
    <row r="3322" spans="1:11" x14ac:dyDescent="0.3">
      <c r="A3322">
        <v>1150</v>
      </c>
      <c r="B3322">
        <v>1</v>
      </c>
      <c r="C3322">
        <v>29</v>
      </c>
      <c r="D3322" t="str">
        <f>VLOOKUP($C3322,products!$A$1:$F$322,MATCH(order_items!$D$1,products!$A$1:$F$1,0),FALSE)</f>
        <v>Trek X-Caliber 8 - 2017</v>
      </c>
      <c r="E3322">
        <f>VLOOKUP($C3322,products!$A$1:$F$322,MATCH(order_items!$E$1,products!$A$1:$F$1,0),FALSE)</f>
        <v>6</v>
      </c>
      <c r="F3322" t="str">
        <f>VLOOKUP($E3322,categories!$A$1:$B$8,MATCH(order_items!$F$1,categories!$A$1:$B$1,0),FALSE)</f>
        <v>Mountain Bikes</v>
      </c>
      <c r="G3322">
        <v>1</v>
      </c>
      <c r="H3322">
        <v>999.99</v>
      </c>
      <c r="I3322" s="5">
        <v>0.05</v>
      </c>
      <c r="J3322">
        <f t="shared" si="102"/>
        <v>949.9905</v>
      </c>
      <c r="K3322" s="9">
        <f t="shared" si="103"/>
        <v>-0.15725951613718298</v>
      </c>
    </row>
    <row r="3323" spans="1:11" x14ac:dyDescent="0.3">
      <c r="A3323">
        <v>1150</v>
      </c>
      <c r="B3323">
        <v>2</v>
      </c>
      <c r="C3323">
        <v>91</v>
      </c>
      <c r="D3323" t="str">
        <f>VLOOKUP($C3323,products!$A$1:$F$322,MATCH(order_items!$D$1,products!$A$1:$F$1,0),FALSE)</f>
        <v>Trek Precaliber 24 (21-Speed) - Girls - 2017</v>
      </c>
      <c r="E3323">
        <f>VLOOKUP($C3323,products!$A$1:$F$322,MATCH(order_items!$E$1,products!$A$1:$F$1,0),FALSE)</f>
        <v>1</v>
      </c>
      <c r="F3323" t="str">
        <f>VLOOKUP($E3323,categories!$A$1:$B$8,MATCH(order_items!$F$1,categories!$A$1:$B$1,0),FALSE)</f>
        <v>Children Bicycles</v>
      </c>
      <c r="G3323">
        <v>1</v>
      </c>
      <c r="H3323">
        <v>349.99</v>
      </c>
      <c r="I3323" s="5">
        <v>0.05</v>
      </c>
      <c r="J3323">
        <f t="shared" si="102"/>
        <v>332.4905</v>
      </c>
      <c r="K3323" s="9">
        <f t="shared" si="103"/>
        <v>-0.63779594069443424</v>
      </c>
    </row>
    <row r="3324" spans="1:11" x14ac:dyDescent="0.3">
      <c r="A3324">
        <v>1150</v>
      </c>
      <c r="B3324">
        <v>3</v>
      </c>
      <c r="C3324">
        <v>104</v>
      </c>
      <c r="D3324" t="str">
        <f>VLOOKUP($C3324,products!$A$1:$F$322,MATCH(order_items!$D$1,products!$A$1:$F$1,0),FALSE)</f>
        <v>Sun Bicycles Streamway - 2017</v>
      </c>
      <c r="E3324">
        <f>VLOOKUP($C3324,products!$A$1:$F$322,MATCH(order_items!$E$1,products!$A$1:$F$1,0),FALSE)</f>
        <v>2</v>
      </c>
      <c r="F3324" t="str">
        <f>VLOOKUP($E3324,categories!$A$1:$B$8,MATCH(order_items!$F$1,categories!$A$1:$B$1,0),FALSE)</f>
        <v>Comfort Bicycles</v>
      </c>
      <c r="G3324">
        <v>2</v>
      </c>
      <c r="H3324">
        <v>481.99</v>
      </c>
      <c r="I3324" s="5">
        <v>7.0000000000000007E-2</v>
      </c>
      <c r="J3324">
        <f t="shared" si="102"/>
        <v>896.50139999999999</v>
      </c>
      <c r="K3324" s="9">
        <f t="shared" si="103"/>
        <v>-0.54021008216896171</v>
      </c>
    </row>
    <row r="3325" spans="1:11" x14ac:dyDescent="0.3">
      <c r="A3325">
        <v>1150</v>
      </c>
      <c r="B3325">
        <v>4</v>
      </c>
      <c r="C3325">
        <v>21</v>
      </c>
      <c r="D3325" t="str">
        <f>VLOOKUP($C3325,products!$A$1:$F$322,MATCH(order_items!$D$1,products!$A$1:$F$1,0),FALSE)</f>
        <v>Electra Cruiser 1 (24-Inch) - 2016</v>
      </c>
      <c r="E3325">
        <f>VLOOKUP($C3325,products!$A$1:$F$322,MATCH(order_items!$E$1,products!$A$1:$F$1,0),FALSE)</f>
        <v>1</v>
      </c>
      <c r="F3325" t="str">
        <f>VLOOKUP($E3325,categories!$A$1:$B$8,MATCH(order_items!$F$1,categories!$A$1:$B$1,0),FALSE)</f>
        <v>Children Bicycles</v>
      </c>
      <c r="G3325">
        <v>2</v>
      </c>
      <c r="H3325">
        <v>269.99</v>
      </c>
      <c r="I3325" s="5">
        <v>0.1</v>
      </c>
      <c r="J3325">
        <f t="shared" si="102"/>
        <v>485.98200000000003</v>
      </c>
      <c r="K3325" s="9">
        <f t="shared" si="103"/>
        <v>-0.69693888525532666</v>
      </c>
    </row>
    <row r="3326" spans="1:11" x14ac:dyDescent="0.3">
      <c r="A3326">
        <v>1151</v>
      </c>
      <c r="B3326">
        <v>1</v>
      </c>
      <c r="C3326">
        <v>30</v>
      </c>
      <c r="D3326" t="str">
        <f>VLOOKUP($C3326,products!$A$1:$F$322,MATCH(order_items!$D$1,products!$A$1:$F$1,0),FALSE)</f>
        <v>Surly Ice Cream Truck Frameset - 2017</v>
      </c>
      <c r="E3326">
        <f>VLOOKUP($C3326,products!$A$1:$F$322,MATCH(order_items!$E$1,products!$A$1:$F$1,0),FALSE)</f>
        <v>6</v>
      </c>
      <c r="F3326" t="str">
        <f>VLOOKUP($E3326,categories!$A$1:$B$8,MATCH(order_items!$F$1,categories!$A$1:$B$1,0),FALSE)</f>
        <v>Mountain Bikes</v>
      </c>
      <c r="G3326">
        <v>2</v>
      </c>
      <c r="H3326">
        <v>999.99</v>
      </c>
      <c r="I3326" s="5">
        <v>0.05</v>
      </c>
      <c r="J3326">
        <f t="shared" si="102"/>
        <v>1899.981</v>
      </c>
      <c r="K3326" s="9">
        <f t="shared" si="103"/>
        <v>-0.15725951613718298</v>
      </c>
    </row>
    <row r="3327" spans="1:11" x14ac:dyDescent="0.3">
      <c r="A3327">
        <v>1152</v>
      </c>
      <c r="B3327">
        <v>1</v>
      </c>
      <c r="C3327">
        <v>58</v>
      </c>
      <c r="D3327" t="str">
        <f>VLOOKUP($C3327,products!$A$1:$F$322,MATCH(order_items!$D$1,products!$A$1:$F$1,0),FALSE)</f>
        <v>Trek Madone 9.2 - 2017</v>
      </c>
      <c r="E3327">
        <f>VLOOKUP($C3327,products!$A$1:$F$322,MATCH(order_items!$E$1,products!$A$1:$F$1,0),FALSE)</f>
        <v>7</v>
      </c>
      <c r="F3327" t="str">
        <f>VLOOKUP($E3327,categories!$A$1:$B$8,MATCH(order_items!$F$1,categories!$A$1:$B$1,0),FALSE)</f>
        <v>Road Bikes</v>
      </c>
      <c r="G3327">
        <v>1</v>
      </c>
      <c r="H3327">
        <v>4999.99</v>
      </c>
      <c r="I3327" s="5">
        <v>7.0000000000000007E-2</v>
      </c>
      <c r="J3327">
        <f t="shared" si="102"/>
        <v>4649.9906999999994</v>
      </c>
      <c r="K3327" s="9">
        <f t="shared" si="103"/>
        <v>2.7998877119074401</v>
      </c>
    </row>
    <row r="3328" spans="1:11" x14ac:dyDescent="0.3">
      <c r="A3328">
        <v>1152</v>
      </c>
      <c r="B3328">
        <v>2</v>
      </c>
      <c r="C3328">
        <v>91</v>
      </c>
      <c r="D3328" t="str">
        <f>VLOOKUP($C3328,products!$A$1:$F$322,MATCH(order_items!$D$1,products!$A$1:$F$1,0),FALSE)</f>
        <v>Trek Precaliber 24 (21-Speed) - Girls - 2017</v>
      </c>
      <c r="E3328">
        <f>VLOOKUP($C3328,products!$A$1:$F$322,MATCH(order_items!$E$1,products!$A$1:$F$1,0),FALSE)</f>
        <v>1</v>
      </c>
      <c r="F3328" t="str">
        <f>VLOOKUP($E3328,categories!$A$1:$B$8,MATCH(order_items!$F$1,categories!$A$1:$B$1,0),FALSE)</f>
        <v>Children Bicycles</v>
      </c>
      <c r="G3328">
        <v>2</v>
      </c>
      <c r="H3328">
        <v>349.99</v>
      </c>
      <c r="I3328" s="5">
        <v>0.2</v>
      </c>
      <c r="J3328">
        <f t="shared" si="102"/>
        <v>559.98400000000004</v>
      </c>
      <c r="K3328" s="9">
        <f t="shared" si="103"/>
        <v>-0.63779594069443424</v>
      </c>
    </row>
    <row r="3329" spans="1:11" x14ac:dyDescent="0.3">
      <c r="A3329">
        <v>1152</v>
      </c>
      <c r="B3329">
        <v>3</v>
      </c>
      <c r="C3329">
        <v>24</v>
      </c>
      <c r="D3329" t="str">
        <f>VLOOKUP($C3329,products!$A$1:$F$322,MATCH(order_items!$D$1,products!$A$1:$F$1,0),FALSE)</f>
        <v>Electra Townie Original 21D - 2016</v>
      </c>
      <c r="E3329">
        <f>VLOOKUP($C3329,products!$A$1:$F$322,MATCH(order_items!$E$1,products!$A$1:$F$1,0),FALSE)</f>
        <v>2</v>
      </c>
      <c r="F3329" t="str">
        <f>VLOOKUP($E3329,categories!$A$1:$B$8,MATCH(order_items!$F$1,categories!$A$1:$B$1,0),FALSE)</f>
        <v>Comfort Bicycles</v>
      </c>
      <c r="G3329">
        <v>1</v>
      </c>
      <c r="H3329">
        <v>549.99</v>
      </c>
      <c r="I3329" s="5">
        <v>0.05</v>
      </c>
      <c r="J3329">
        <f t="shared" si="102"/>
        <v>522.4905</v>
      </c>
      <c r="K3329" s="9">
        <f t="shared" si="103"/>
        <v>-0.48993857929220308</v>
      </c>
    </row>
    <row r="3330" spans="1:11" x14ac:dyDescent="0.3">
      <c r="A3330">
        <v>1153</v>
      </c>
      <c r="B3330">
        <v>1</v>
      </c>
      <c r="C3330">
        <v>103</v>
      </c>
      <c r="D3330" t="str">
        <f>VLOOKUP($C3330,products!$A$1:$F$322,MATCH(order_items!$D$1,products!$A$1:$F$1,0),FALSE)</f>
        <v>Sun Bicycles Streamway 3 - 2017</v>
      </c>
      <c r="E3330">
        <f>VLOOKUP($C3330,products!$A$1:$F$322,MATCH(order_items!$E$1,products!$A$1:$F$1,0),FALSE)</f>
        <v>2</v>
      </c>
      <c r="F3330" t="str">
        <f>VLOOKUP($E3330,categories!$A$1:$B$8,MATCH(order_items!$F$1,categories!$A$1:$B$1,0),FALSE)</f>
        <v>Comfort Bicycles</v>
      </c>
      <c r="G3330">
        <v>1</v>
      </c>
      <c r="H3330">
        <v>551.99</v>
      </c>
      <c r="I3330" s="5">
        <v>0.1</v>
      </c>
      <c r="J3330">
        <f t="shared" ref="J3330:J3393" si="104">G3330*H3330*(1-I3330)</f>
        <v>496.791</v>
      </c>
      <c r="K3330" s="9">
        <f t="shared" ref="K3330:K3393" si="105">($H3330-$M$7)/$M$9</f>
        <v>-0.48846000567818076</v>
      </c>
    </row>
    <row r="3331" spans="1:11" x14ac:dyDescent="0.3">
      <c r="A3331">
        <v>1153</v>
      </c>
      <c r="B3331">
        <v>2</v>
      </c>
      <c r="C3331">
        <v>6</v>
      </c>
      <c r="D3331" t="str">
        <f>VLOOKUP($C3331,products!$A$1:$F$322,MATCH(order_items!$D$1,products!$A$1:$F$1,0),FALSE)</f>
        <v>Surly Ice Cream Truck Frameset - 2016</v>
      </c>
      <c r="E3331">
        <f>VLOOKUP($C3331,products!$A$1:$F$322,MATCH(order_items!$E$1,products!$A$1:$F$1,0),FALSE)</f>
        <v>6</v>
      </c>
      <c r="F3331" t="str">
        <f>VLOOKUP($E3331,categories!$A$1:$B$8,MATCH(order_items!$F$1,categories!$A$1:$B$1,0),FALSE)</f>
        <v>Mountain Bikes</v>
      </c>
      <c r="G3331">
        <v>2</v>
      </c>
      <c r="H3331">
        <v>469.99</v>
      </c>
      <c r="I3331" s="5">
        <v>0.05</v>
      </c>
      <c r="J3331">
        <f t="shared" si="104"/>
        <v>892.98099999999999</v>
      </c>
      <c r="K3331" s="9">
        <f t="shared" si="105"/>
        <v>-0.5490815238530955</v>
      </c>
    </row>
    <row r="3332" spans="1:11" x14ac:dyDescent="0.3">
      <c r="A3332">
        <v>1154</v>
      </c>
      <c r="B3332">
        <v>1</v>
      </c>
      <c r="C3332">
        <v>17</v>
      </c>
      <c r="D3332" t="str">
        <f>VLOOKUP($C3332,products!$A$1:$F$322,MATCH(order_items!$D$1,products!$A$1:$F$1,0),FALSE)</f>
        <v>Pure Cycles Vine 8-Speed - 2016</v>
      </c>
      <c r="E3332">
        <f>VLOOKUP($C3332,products!$A$1:$F$322,MATCH(order_items!$E$1,products!$A$1:$F$1,0),FALSE)</f>
        <v>3</v>
      </c>
      <c r="F3332" t="str">
        <f>VLOOKUP($E3332,categories!$A$1:$B$8,MATCH(order_items!$F$1,categories!$A$1:$B$1,0),FALSE)</f>
        <v>Cruisers Bicycles</v>
      </c>
      <c r="G3332">
        <v>1</v>
      </c>
      <c r="H3332">
        <v>429</v>
      </c>
      <c r="I3332" s="5">
        <v>0.2</v>
      </c>
      <c r="J3332">
        <f t="shared" si="104"/>
        <v>343.20000000000005</v>
      </c>
      <c r="K3332" s="9">
        <f t="shared" si="105"/>
        <v>-0.57938489007248284</v>
      </c>
    </row>
    <row r="3333" spans="1:11" x14ac:dyDescent="0.3">
      <c r="A3333">
        <v>1154</v>
      </c>
      <c r="B3333">
        <v>2</v>
      </c>
      <c r="C3333">
        <v>60</v>
      </c>
      <c r="D3333" t="str">
        <f>VLOOKUP($C3333,products!$A$1:$F$322,MATCH(order_items!$D$1,products!$A$1:$F$1,0),FALSE)</f>
        <v>Sun Bicycles ElectroLite - 2017</v>
      </c>
      <c r="E3333">
        <f>VLOOKUP($C3333,products!$A$1:$F$322,MATCH(order_items!$E$1,products!$A$1:$F$1,0),FALSE)</f>
        <v>5</v>
      </c>
      <c r="F3333" t="str">
        <f>VLOOKUP($E3333,categories!$A$1:$B$8,MATCH(order_items!$F$1,categories!$A$1:$B$1,0),FALSE)</f>
        <v>Electric Bikes</v>
      </c>
      <c r="G3333">
        <v>1</v>
      </c>
      <c r="H3333">
        <v>1559.99</v>
      </c>
      <c r="I3333" s="5">
        <v>7.0000000000000007E-2</v>
      </c>
      <c r="J3333">
        <f t="shared" si="104"/>
        <v>1450.7907</v>
      </c>
      <c r="K3333" s="9">
        <f t="shared" si="105"/>
        <v>0.25674109578906423</v>
      </c>
    </row>
    <row r="3334" spans="1:11" x14ac:dyDescent="0.3">
      <c r="A3334">
        <v>1154</v>
      </c>
      <c r="B3334">
        <v>3</v>
      </c>
      <c r="C3334">
        <v>67</v>
      </c>
      <c r="D3334" t="str">
        <f>VLOOKUP($C3334,products!$A$1:$F$322,MATCH(order_items!$D$1,products!$A$1:$F$1,0),FALSE)</f>
        <v>Sun Bicycles Revolutions 24 - Girl's - 2017</v>
      </c>
      <c r="E3334">
        <f>VLOOKUP($C3334,products!$A$1:$F$322,MATCH(order_items!$E$1,products!$A$1:$F$1,0),FALSE)</f>
        <v>3</v>
      </c>
      <c r="F3334" t="str">
        <f>VLOOKUP($E3334,categories!$A$1:$B$8,MATCH(order_items!$F$1,categories!$A$1:$B$1,0),FALSE)</f>
        <v>Cruisers Bicycles</v>
      </c>
      <c r="G3334">
        <v>2</v>
      </c>
      <c r="H3334">
        <v>250.99</v>
      </c>
      <c r="I3334" s="5">
        <v>0.2</v>
      </c>
      <c r="J3334">
        <f t="shared" si="104"/>
        <v>401.58400000000006</v>
      </c>
      <c r="K3334" s="9">
        <f t="shared" si="105"/>
        <v>-0.71098533458853863</v>
      </c>
    </row>
    <row r="3335" spans="1:11" x14ac:dyDescent="0.3">
      <c r="A3335">
        <v>1155</v>
      </c>
      <c r="B3335">
        <v>1</v>
      </c>
      <c r="C3335">
        <v>68</v>
      </c>
      <c r="D3335" t="str">
        <f>VLOOKUP($C3335,products!$A$1:$F$322,MATCH(order_items!$D$1,products!$A$1:$F$1,0),FALSE)</f>
        <v>Sun Bicycles Cruz 3 - 2017</v>
      </c>
      <c r="E3335">
        <f>VLOOKUP($C3335,products!$A$1:$F$322,MATCH(order_items!$E$1,products!$A$1:$F$1,0),FALSE)</f>
        <v>3</v>
      </c>
      <c r="F3335" t="str">
        <f>VLOOKUP($E3335,categories!$A$1:$B$8,MATCH(order_items!$F$1,categories!$A$1:$B$1,0),FALSE)</f>
        <v>Cruisers Bicycles</v>
      </c>
      <c r="G3335">
        <v>2</v>
      </c>
      <c r="H3335">
        <v>449.99</v>
      </c>
      <c r="I3335" s="5">
        <v>0.05</v>
      </c>
      <c r="J3335">
        <f t="shared" si="104"/>
        <v>854.98099999999999</v>
      </c>
      <c r="K3335" s="9">
        <f t="shared" si="105"/>
        <v>-0.56386725999331866</v>
      </c>
    </row>
    <row r="3336" spans="1:11" x14ac:dyDescent="0.3">
      <c r="A3336">
        <v>1155</v>
      </c>
      <c r="B3336">
        <v>2</v>
      </c>
      <c r="C3336">
        <v>6</v>
      </c>
      <c r="D3336" t="str">
        <f>VLOOKUP($C3336,products!$A$1:$F$322,MATCH(order_items!$D$1,products!$A$1:$F$1,0),FALSE)</f>
        <v>Surly Ice Cream Truck Frameset - 2016</v>
      </c>
      <c r="E3336">
        <f>VLOOKUP($C3336,products!$A$1:$F$322,MATCH(order_items!$E$1,products!$A$1:$F$1,0),FALSE)</f>
        <v>6</v>
      </c>
      <c r="F3336" t="str">
        <f>VLOOKUP($E3336,categories!$A$1:$B$8,MATCH(order_items!$F$1,categories!$A$1:$B$1,0),FALSE)</f>
        <v>Mountain Bikes</v>
      </c>
      <c r="G3336">
        <v>2</v>
      </c>
      <c r="H3336">
        <v>469.99</v>
      </c>
      <c r="I3336" s="5">
        <v>0.1</v>
      </c>
      <c r="J3336">
        <f t="shared" si="104"/>
        <v>845.98200000000008</v>
      </c>
      <c r="K3336" s="9">
        <f t="shared" si="105"/>
        <v>-0.5490815238530955</v>
      </c>
    </row>
    <row r="3337" spans="1:11" x14ac:dyDescent="0.3">
      <c r="A3337">
        <v>1155</v>
      </c>
      <c r="B3337">
        <v>3</v>
      </c>
      <c r="C3337">
        <v>35</v>
      </c>
      <c r="D3337" t="str">
        <f>VLOOKUP($C3337,products!$A$1:$F$322,MATCH(order_items!$D$1,products!$A$1:$F$1,0),FALSE)</f>
        <v>Sun Bicycles Spider 3i - 2017</v>
      </c>
      <c r="E3337">
        <f>VLOOKUP($C3337,products!$A$1:$F$322,MATCH(order_items!$E$1,products!$A$1:$F$1,0),FALSE)</f>
        <v>6</v>
      </c>
      <c r="F3337" t="str">
        <f>VLOOKUP($E3337,categories!$A$1:$B$8,MATCH(order_items!$F$1,categories!$A$1:$B$1,0),FALSE)</f>
        <v>Mountain Bikes</v>
      </c>
      <c r="G3337">
        <v>1</v>
      </c>
      <c r="H3337">
        <v>832.99</v>
      </c>
      <c r="I3337" s="5">
        <v>7.0000000000000007E-2</v>
      </c>
      <c r="J3337">
        <f t="shared" si="104"/>
        <v>774.6807</v>
      </c>
      <c r="K3337" s="9">
        <f t="shared" si="105"/>
        <v>-0.280720412908046</v>
      </c>
    </row>
    <row r="3338" spans="1:11" x14ac:dyDescent="0.3">
      <c r="A3338">
        <v>1155</v>
      </c>
      <c r="B3338">
        <v>4</v>
      </c>
      <c r="C3338">
        <v>77</v>
      </c>
      <c r="D3338" t="str">
        <f>VLOOKUP($C3338,products!$A$1:$F$322,MATCH(order_items!$D$1,products!$A$1:$F$1,0),FALSE)</f>
        <v>Electra Glam Punk 3i Ladies' - 2017</v>
      </c>
      <c r="E3338">
        <f>VLOOKUP($C3338,products!$A$1:$F$322,MATCH(order_items!$E$1,products!$A$1:$F$1,0),FALSE)</f>
        <v>3</v>
      </c>
      <c r="F3338" t="str">
        <f>VLOOKUP($E3338,categories!$A$1:$B$8,MATCH(order_items!$F$1,categories!$A$1:$B$1,0),FALSE)</f>
        <v>Cruisers Bicycles</v>
      </c>
      <c r="G3338">
        <v>2</v>
      </c>
      <c r="H3338">
        <v>799.99</v>
      </c>
      <c r="I3338" s="5">
        <v>0.05</v>
      </c>
      <c r="J3338">
        <f t="shared" si="104"/>
        <v>1519.981</v>
      </c>
      <c r="K3338" s="9">
        <f t="shared" si="105"/>
        <v>-0.30511687753941413</v>
      </c>
    </row>
    <row r="3339" spans="1:11" x14ac:dyDescent="0.3">
      <c r="A3339">
        <v>1156</v>
      </c>
      <c r="B3339">
        <v>1</v>
      </c>
      <c r="C3339">
        <v>111</v>
      </c>
      <c r="D3339" t="str">
        <f>VLOOKUP($C3339,products!$A$1:$F$322,MATCH(order_items!$D$1,products!$A$1:$F$1,0),FALSE)</f>
        <v>Sun Bicycles Drifter 7 - Women's - 2017</v>
      </c>
      <c r="E3339">
        <f>VLOOKUP($C3339,products!$A$1:$F$322,MATCH(order_items!$E$1,products!$A$1:$F$1,0),FALSE)</f>
        <v>2</v>
      </c>
      <c r="F3339" t="str">
        <f>VLOOKUP($E3339,categories!$A$1:$B$8,MATCH(order_items!$F$1,categories!$A$1:$B$1,0),FALSE)</f>
        <v>Comfort Bicycles</v>
      </c>
      <c r="G3339">
        <v>2</v>
      </c>
      <c r="H3339">
        <v>470.99</v>
      </c>
      <c r="I3339" s="5">
        <v>0.05</v>
      </c>
      <c r="J3339">
        <f t="shared" si="104"/>
        <v>894.88099999999997</v>
      </c>
      <c r="K3339" s="9">
        <f t="shared" si="105"/>
        <v>-0.54834223704608442</v>
      </c>
    </row>
    <row r="3340" spans="1:11" x14ac:dyDescent="0.3">
      <c r="A3340">
        <v>1156</v>
      </c>
      <c r="B3340">
        <v>2</v>
      </c>
      <c r="C3340">
        <v>86</v>
      </c>
      <c r="D3340" t="str">
        <f>VLOOKUP($C3340,products!$A$1:$F$322,MATCH(order_items!$D$1,products!$A$1:$F$1,0),FALSE)</f>
        <v>Trek Girl's Kickster - 2017</v>
      </c>
      <c r="E3340">
        <f>VLOOKUP($C3340,products!$A$1:$F$322,MATCH(order_items!$E$1,products!$A$1:$F$1,0),FALSE)</f>
        <v>1</v>
      </c>
      <c r="F3340" t="str">
        <f>VLOOKUP($E3340,categories!$A$1:$B$8,MATCH(order_items!$F$1,categories!$A$1:$B$1,0),FALSE)</f>
        <v>Children Bicycles</v>
      </c>
      <c r="G3340">
        <v>1</v>
      </c>
      <c r="H3340">
        <v>149.99</v>
      </c>
      <c r="I3340" s="5">
        <v>0.05</v>
      </c>
      <c r="J3340">
        <f t="shared" si="104"/>
        <v>142.4905</v>
      </c>
      <c r="K3340" s="9">
        <f t="shared" si="105"/>
        <v>-0.7856533020966654</v>
      </c>
    </row>
    <row r="3341" spans="1:11" x14ac:dyDescent="0.3">
      <c r="A3341">
        <v>1157</v>
      </c>
      <c r="B3341">
        <v>1</v>
      </c>
      <c r="C3341">
        <v>20</v>
      </c>
      <c r="D3341" t="str">
        <f>VLOOKUP($C3341,products!$A$1:$F$322,MATCH(order_items!$D$1,products!$A$1:$F$1,0),FALSE)</f>
        <v>Electra Townie Original 7D EQ - Women's - 2016</v>
      </c>
      <c r="E3341">
        <f>VLOOKUP($C3341,products!$A$1:$F$322,MATCH(order_items!$E$1,products!$A$1:$F$1,0),FALSE)</f>
        <v>3</v>
      </c>
      <c r="F3341" t="str">
        <f>VLOOKUP($E3341,categories!$A$1:$B$8,MATCH(order_items!$F$1,categories!$A$1:$B$1,0),FALSE)</f>
        <v>Cruisers Bicycles</v>
      </c>
      <c r="G3341">
        <v>1</v>
      </c>
      <c r="H3341">
        <v>599.99</v>
      </c>
      <c r="I3341" s="5">
        <v>0.1</v>
      </c>
      <c r="J3341">
        <f t="shared" si="104"/>
        <v>539.99099999999999</v>
      </c>
      <c r="K3341" s="9">
        <f t="shared" si="105"/>
        <v>-0.45297423894164529</v>
      </c>
    </row>
    <row r="3342" spans="1:11" x14ac:dyDescent="0.3">
      <c r="A3342">
        <v>1157</v>
      </c>
      <c r="B3342">
        <v>2</v>
      </c>
      <c r="C3342">
        <v>31</v>
      </c>
      <c r="D3342" t="str">
        <f>VLOOKUP($C3342,products!$A$1:$F$322,MATCH(order_items!$D$1,products!$A$1:$F$1,0),FALSE)</f>
        <v>Surly Wednesday - 2017</v>
      </c>
      <c r="E3342">
        <f>VLOOKUP($C3342,products!$A$1:$F$322,MATCH(order_items!$E$1,products!$A$1:$F$1,0),FALSE)</f>
        <v>6</v>
      </c>
      <c r="F3342" t="str">
        <f>VLOOKUP($E3342,categories!$A$1:$B$8,MATCH(order_items!$F$1,categories!$A$1:$B$1,0),FALSE)</f>
        <v>Mountain Bikes</v>
      </c>
      <c r="G3342">
        <v>2</v>
      </c>
      <c r="H3342">
        <v>1632.99</v>
      </c>
      <c r="I3342" s="5">
        <v>0.1</v>
      </c>
      <c r="J3342">
        <f t="shared" si="104"/>
        <v>2939.3820000000001</v>
      </c>
      <c r="K3342" s="9">
        <f t="shared" si="105"/>
        <v>0.31070903270087863</v>
      </c>
    </row>
    <row r="3343" spans="1:11" x14ac:dyDescent="0.3">
      <c r="A3343">
        <v>1157</v>
      </c>
      <c r="B3343">
        <v>3</v>
      </c>
      <c r="C3343">
        <v>37</v>
      </c>
      <c r="D3343" t="str">
        <f>VLOOKUP($C3343,products!$A$1:$F$322,MATCH(order_items!$D$1,products!$A$1:$F$1,0),FALSE)</f>
        <v>Haro Flightline One ST - 2017</v>
      </c>
      <c r="E3343">
        <f>VLOOKUP($C3343,products!$A$1:$F$322,MATCH(order_items!$E$1,products!$A$1:$F$1,0),FALSE)</f>
        <v>6</v>
      </c>
      <c r="F3343" t="str">
        <f>VLOOKUP($E3343,categories!$A$1:$B$8,MATCH(order_items!$F$1,categories!$A$1:$B$1,0),FALSE)</f>
        <v>Mountain Bikes</v>
      </c>
      <c r="G3343">
        <v>2</v>
      </c>
      <c r="H3343">
        <v>379.99</v>
      </c>
      <c r="I3343" s="5">
        <v>0.2</v>
      </c>
      <c r="J3343">
        <f t="shared" si="104"/>
        <v>607.98400000000004</v>
      </c>
      <c r="K3343" s="9">
        <f t="shared" si="105"/>
        <v>-0.61561733648409955</v>
      </c>
    </row>
    <row r="3344" spans="1:11" x14ac:dyDescent="0.3">
      <c r="A3344">
        <v>1157</v>
      </c>
      <c r="B3344">
        <v>4</v>
      </c>
      <c r="C3344">
        <v>41</v>
      </c>
      <c r="D3344" t="str">
        <f>VLOOKUP($C3344,products!$A$1:$F$322,MATCH(order_items!$D$1,products!$A$1:$F$1,0),FALSE)</f>
        <v>Haro Shift R3 - 2017</v>
      </c>
      <c r="E3344">
        <f>VLOOKUP($C3344,products!$A$1:$F$322,MATCH(order_items!$E$1,products!$A$1:$F$1,0),FALSE)</f>
        <v>6</v>
      </c>
      <c r="F3344" t="str">
        <f>VLOOKUP($E3344,categories!$A$1:$B$8,MATCH(order_items!$F$1,categories!$A$1:$B$1,0),FALSE)</f>
        <v>Mountain Bikes</v>
      </c>
      <c r="G3344">
        <v>1</v>
      </c>
      <c r="H3344">
        <v>1469.99</v>
      </c>
      <c r="I3344" s="5">
        <v>7.0000000000000007E-2</v>
      </c>
      <c r="J3344">
        <f t="shared" si="104"/>
        <v>1367.0907</v>
      </c>
      <c r="K3344" s="9">
        <f t="shared" si="105"/>
        <v>0.19020528315806023</v>
      </c>
    </row>
    <row r="3345" spans="1:11" x14ac:dyDescent="0.3">
      <c r="A3345">
        <v>1158</v>
      </c>
      <c r="B3345">
        <v>1</v>
      </c>
      <c r="C3345">
        <v>95</v>
      </c>
      <c r="D3345" t="str">
        <f>VLOOKUP($C3345,products!$A$1:$F$322,MATCH(order_items!$D$1,products!$A$1:$F$1,0),FALSE)</f>
        <v>Electra Girl's Hawaii 1 16" - 2017</v>
      </c>
      <c r="E3345">
        <f>VLOOKUP($C3345,products!$A$1:$F$322,MATCH(order_items!$E$1,products!$A$1:$F$1,0),FALSE)</f>
        <v>1</v>
      </c>
      <c r="F3345" t="str">
        <f>VLOOKUP($E3345,categories!$A$1:$B$8,MATCH(order_items!$F$1,categories!$A$1:$B$1,0),FALSE)</f>
        <v>Children Bicycles</v>
      </c>
      <c r="G3345">
        <v>2</v>
      </c>
      <c r="H3345">
        <v>299.99</v>
      </c>
      <c r="I3345" s="5">
        <v>0.1</v>
      </c>
      <c r="J3345">
        <f t="shared" si="104"/>
        <v>539.98200000000008</v>
      </c>
      <c r="K3345" s="9">
        <f t="shared" si="105"/>
        <v>-0.67476028104499197</v>
      </c>
    </row>
    <row r="3346" spans="1:11" x14ac:dyDescent="0.3">
      <c r="A3346">
        <v>1158</v>
      </c>
      <c r="B3346">
        <v>2</v>
      </c>
      <c r="C3346">
        <v>74</v>
      </c>
      <c r="D3346" t="str">
        <f>VLOOKUP($C3346,products!$A$1:$F$322,MATCH(order_items!$D$1,products!$A$1:$F$1,0),FALSE)</f>
        <v>Electra Cruiser Lux 1 - 2017</v>
      </c>
      <c r="E3346">
        <f>VLOOKUP($C3346,products!$A$1:$F$322,MATCH(order_items!$E$1,products!$A$1:$F$1,0),FALSE)</f>
        <v>3</v>
      </c>
      <c r="F3346" t="str">
        <f>VLOOKUP($E3346,categories!$A$1:$B$8,MATCH(order_items!$F$1,categories!$A$1:$B$1,0),FALSE)</f>
        <v>Cruisers Bicycles</v>
      </c>
      <c r="G3346">
        <v>1</v>
      </c>
      <c r="H3346">
        <v>439.99</v>
      </c>
      <c r="I3346" s="5">
        <v>7.0000000000000007E-2</v>
      </c>
      <c r="J3346">
        <f t="shared" si="104"/>
        <v>409.19069999999999</v>
      </c>
      <c r="K3346" s="9">
        <f t="shared" si="105"/>
        <v>-0.57126012806343018</v>
      </c>
    </row>
    <row r="3347" spans="1:11" x14ac:dyDescent="0.3">
      <c r="A3347">
        <v>1159</v>
      </c>
      <c r="B3347">
        <v>1</v>
      </c>
      <c r="C3347">
        <v>12</v>
      </c>
      <c r="D3347" t="str">
        <f>VLOOKUP($C3347,products!$A$1:$F$322,MATCH(order_items!$D$1,products!$A$1:$F$1,0),FALSE)</f>
        <v>Electra Townie Original 21D - 2016</v>
      </c>
      <c r="E3347">
        <f>VLOOKUP($C3347,products!$A$1:$F$322,MATCH(order_items!$E$1,products!$A$1:$F$1,0),FALSE)</f>
        <v>3</v>
      </c>
      <c r="F3347" t="str">
        <f>VLOOKUP($E3347,categories!$A$1:$B$8,MATCH(order_items!$F$1,categories!$A$1:$B$1,0),FALSE)</f>
        <v>Cruisers Bicycles</v>
      </c>
      <c r="G3347">
        <v>2</v>
      </c>
      <c r="H3347">
        <v>549.99</v>
      </c>
      <c r="I3347" s="5">
        <v>0.1</v>
      </c>
      <c r="J3347">
        <f t="shared" si="104"/>
        <v>989.98200000000008</v>
      </c>
      <c r="K3347" s="9">
        <f t="shared" si="105"/>
        <v>-0.48993857929220308</v>
      </c>
    </row>
    <row r="3348" spans="1:11" x14ac:dyDescent="0.3">
      <c r="A3348">
        <v>1160</v>
      </c>
      <c r="B3348">
        <v>1</v>
      </c>
      <c r="C3348">
        <v>41</v>
      </c>
      <c r="D3348" t="str">
        <f>VLOOKUP($C3348,products!$A$1:$F$322,MATCH(order_items!$D$1,products!$A$1:$F$1,0),FALSE)</f>
        <v>Haro Shift R3 - 2017</v>
      </c>
      <c r="E3348">
        <f>VLOOKUP($C3348,products!$A$1:$F$322,MATCH(order_items!$E$1,products!$A$1:$F$1,0),FALSE)</f>
        <v>6</v>
      </c>
      <c r="F3348" t="str">
        <f>VLOOKUP($E3348,categories!$A$1:$B$8,MATCH(order_items!$F$1,categories!$A$1:$B$1,0),FALSE)</f>
        <v>Mountain Bikes</v>
      </c>
      <c r="G3348">
        <v>1</v>
      </c>
      <c r="H3348">
        <v>1469.99</v>
      </c>
      <c r="I3348" s="5">
        <v>0.1</v>
      </c>
      <c r="J3348">
        <f t="shared" si="104"/>
        <v>1322.991</v>
      </c>
      <c r="K3348" s="9">
        <f t="shared" si="105"/>
        <v>0.19020528315806023</v>
      </c>
    </row>
    <row r="3349" spans="1:11" x14ac:dyDescent="0.3">
      <c r="A3349">
        <v>1160</v>
      </c>
      <c r="B3349">
        <v>2</v>
      </c>
      <c r="C3349">
        <v>9</v>
      </c>
      <c r="D3349" t="str">
        <f>VLOOKUP($C3349,products!$A$1:$F$322,MATCH(order_items!$D$1,products!$A$1:$F$1,0),FALSE)</f>
        <v>Trek Conduit+ - 2016</v>
      </c>
      <c r="E3349">
        <f>VLOOKUP($C3349,products!$A$1:$F$322,MATCH(order_items!$E$1,products!$A$1:$F$1,0),FALSE)</f>
        <v>5</v>
      </c>
      <c r="F3349" t="str">
        <f>VLOOKUP($E3349,categories!$A$1:$B$8,MATCH(order_items!$F$1,categories!$A$1:$B$1,0),FALSE)</f>
        <v>Electric Bikes</v>
      </c>
      <c r="G3349">
        <v>1</v>
      </c>
      <c r="H3349">
        <v>2999.99</v>
      </c>
      <c r="I3349" s="5">
        <v>0.2</v>
      </c>
      <c r="J3349">
        <f t="shared" si="104"/>
        <v>2399.9919999999997</v>
      </c>
      <c r="K3349" s="9">
        <f t="shared" si="105"/>
        <v>1.3213140978851283</v>
      </c>
    </row>
    <row r="3350" spans="1:11" x14ac:dyDescent="0.3">
      <c r="A3350">
        <v>1161</v>
      </c>
      <c r="B3350">
        <v>1</v>
      </c>
      <c r="C3350">
        <v>71</v>
      </c>
      <c r="D3350" t="str">
        <f>VLOOKUP($C3350,products!$A$1:$F$322,MATCH(order_items!$D$1,products!$A$1:$F$1,0),FALSE)</f>
        <v>Sun Bicycles Atlas X-Type - 2017</v>
      </c>
      <c r="E3350">
        <f>VLOOKUP($C3350,products!$A$1:$F$322,MATCH(order_items!$E$1,products!$A$1:$F$1,0),FALSE)</f>
        <v>3</v>
      </c>
      <c r="F3350" t="str">
        <f>VLOOKUP($E3350,categories!$A$1:$B$8,MATCH(order_items!$F$1,categories!$A$1:$B$1,0),FALSE)</f>
        <v>Cruisers Bicycles</v>
      </c>
      <c r="G3350">
        <v>2</v>
      </c>
      <c r="H3350">
        <v>416.99</v>
      </c>
      <c r="I3350" s="5">
        <v>0.1</v>
      </c>
      <c r="J3350">
        <f t="shared" si="104"/>
        <v>750.58199999999999</v>
      </c>
      <c r="K3350" s="9">
        <f t="shared" si="105"/>
        <v>-0.58826372462468679</v>
      </c>
    </row>
    <row r="3351" spans="1:11" x14ac:dyDescent="0.3">
      <c r="A3351">
        <v>1161</v>
      </c>
      <c r="B3351">
        <v>2</v>
      </c>
      <c r="C3351">
        <v>38</v>
      </c>
      <c r="D3351" t="str">
        <f>VLOOKUP($C3351,products!$A$1:$F$322,MATCH(order_items!$D$1,products!$A$1:$F$1,0),FALSE)</f>
        <v>Haro Flightline Two 26 Plus - 2017</v>
      </c>
      <c r="E3351">
        <f>VLOOKUP($C3351,products!$A$1:$F$322,MATCH(order_items!$E$1,products!$A$1:$F$1,0),FALSE)</f>
        <v>6</v>
      </c>
      <c r="F3351" t="str">
        <f>VLOOKUP($E3351,categories!$A$1:$B$8,MATCH(order_items!$F$1,categories!$A$1:$B$1,0),FALSE)</f>
        <v>Mountain Bikes</v>
      </c>
      <c r="G3351">
        <v>1</v>
      </c>
      <c r="H3351">
        <v>549.99</v>
      </c>
      <c r="I3351" s="5">
        <v>7.0000000000000007E-2</v>
      </c>
      <c r="J3351">
        <f t="shared" si="104"/>
        <v>511.49069999999995</v>
      </c>
      <c r="K3351" s="9">
        <f t="shared" si="105"/>
        <v>-0.48993857929220308</v>
      </c>
    </row>
    <row r="3352" spans="1:11" x14ac:dyDescent="0.3">
      <c r="A3352">
        <v>1161</v>
      </c>
      <c r="B3352">
        <v>3</v>
      </c>
      <c r="C3352">
        <v>22</v>
      </c>
      <c r="D3352" t="str">
        <f>VLOOKUP($C3352,products!$A$1:$F$322,MATCH(order_items!$D$1,products!$A$1:$F$1,0),FALSE)</f>
        <v>Electra Girl's Hawaii 1 (16-inch) - 2015/2016</v>
      </c>
      <c r="E3352">
        <f>VLOOKUP($C3352,products!$A$1:$F$322,MATCH(order_items!$E$1,products!$A$1:$F$1,0),FALSE)</f>
        <v>1</v>
      </c>
      <c r="F3352" t="str">
        <f>VLOOKUP($E3352,categories!$A$1:$B$8,MATCH(order_items!$F$1,categories!$A$1:$B$1,0),FALSE)</f>
        <v>Children Bicycles</v>
      </c>
      <c r="G3352">
        <v>1</v>
      </c>
      <c r="H3352">
        <v>269.99</v>
      </c>
      <c r="I3352" s="5">
        <v>0.2</v>
      </c>
      <c r="J3352">
        <f t="shared" si="104"/>
        <v>215.99200000000002</v>
      </c>
      <c r="K3352" s="9">
        <f t="shared" si="105"/>
        <v>-0.69693888525532666</v>
      </c>
    </row>
    <row r="3353" spans="1:11" x14ac:dyDescent="0.3">
      <c r="A3353">
        <v>1161</v>
      </c>
      <c r="B3353">
        <v>4</v>
      </c>
      <c r="C3353">
        <v>29</v>
      </c>
      <c r="D3353" t="str">
        <f>VLOOKUP($C3353,products!$A$1:$F$322,MATCH(order_items!$D$1,products!$A$1:$F$1,0),FALSE)</f>
        <v>Trek X-Caliber 8 - 2017</v>
      </c>
      <c r="E3353">
        <f>VLOOKUP($C3353,products!$A$1:$F$322,MATCH(order_items!$E$1,products!$A$1:$F$1,0),FALSE)</f>
        <v>6</v>
      </c>
      <c r="F3353" t="str">
        <f>VLOOKUP($E3353,categories!$A$1:$B$8,MATCH(order_items!$F$1,categories!$A$1:$B$1,0),FALSE)</f>
        <v>Mountain Bikes</v>
      </c>
      <c r="G3353">
        <v>2</v>
      </c>
      <c r="H3353">
        <v>999.99</v>
      </c>
      <c r="I3353" s="5">
        <v>0.1</v>
      </c>
      <c r="J3353">
        <f t="shared" si="104"/>
        <v>1799.982</v>
      </c>
      <c r="K3353" s="9">
        <f t="shared" si="105"/>
        <v>-0.15725951613718298</v>
      </c>
    </row>
    <row r="3354" spans="1:11" x14ac:dyDescent="0.3">
      <c r="A3354">
        <v>1162</v>
      </c>
      <c r="B3354">
        <v>1</v>
      </c>
      <c r="C3354">
        <v>88</v>
      </c>
      <c r="D3354" t="str">
        <f>VLOOKUP($C3354,products!$A$1:$F$322,MATCH(order_items!$D$1,products!$A$1:$F$1,0),FALSE)</f>
        <v>Trek Precaliber 12 Girls - 2017</v>
      </c>
      <c r="E3354">
        <f>VLOOKUP($C3354,products!$A$1:$F$322,MATCH(order_items!$E$1,products!$A$1:$F$1,0),FALSE)</f>
        <v>1</v>
      </c>
      <c r="F3354" t="str">
        <f>VLOOKUP($E3354,categories!$A$1:$B$8,MATCH(order_items!$F$1,categories!$A$1:$B$1,0),FALSE)</f>
        <v>Children Bicycles</v>
      </c>
      <c r="G3354">
        <v>1</v>
      </c>
      <c r="H3354">
        <v>189.99</v>
      </c>
      <c r="I3354" s="5">
        <v>0.2</v>
      </c>
      <c r="J3354">
        <f t="shared" si="104"/>
        <v>151.99200000000002</v>
      </c>
      <c r="K3354" s="9">
        <f t="shared" si="105"/>
        <v>-0.75608182981621919</v>
      </c>
    </row>
    <row r="3355" spans="1:11" x14ac:dyDescent="0.3">
      <c r="A3355">
        <v>1162</v>
      </c>
      <c r="B3355">
        <v>2</v>
      </c>
      <c r="C3355">
        <v>40</v>
      </c>
      <c r="D3355" t="str">
        <f>VLOOKUP($C3355,products!$A$1:$F$322,MATCH(order_items!$D$1,products!$A$1:$F$1,0),FALSE)</f>
        <v>Trek Fuel EX 9.8 29 - 2017</v>
      </c>
      <c r="E3355">
        <f>VLOOKUP($C3355,products!$A$1:$F$322,MATCH(order_items!$E$1,products!$A$1:$F$1,0),FALSE)</f>
        <v>6</v>
      </c>
      <c r="F3355" t="str">
        <f>VLOOKUP($E3355,categories!$A$1:$B$8,MATCH(order_items!$F$1,categories!$A$1:$B$1,0),FALSE)</f>
        <v>Mountain Bikes</v>
      </c>
      <c r="G3355">
        <v>2</v>
      </c>
      <c r="H3355">
        <v>4999.99</v>
      </c>
      <c r="I3355" s="5">
        <v>0.2</v>
      </c>
      <c r="J3355">
        <f t="shared" si="104"/>
        <v>7999.9840000000004</v>
      </c>
      <c r="K3355" s="9">
        <f t="shared" si="105"/>
        <v>2.7998877119074401</v>
      </c>
    </row>
    <row r="3356" spans="1:11" x14ac:dyDescent="0.3">
      <c r="A3356">
        <v>1162</v>
      </c>
      <c r="B3356">
        <v>3</v>
      </c>
      <c r="C3356">
        <v>86</v>
      </c>
      <c r="D3356" t="str">
        <f>VLOOKUP($C3356,products!$A$1:$F$322,MATCH(order_items!$D$1,products!$A$1:$F$1,0),FALSE)</f>
        <v>Trek Girl's Kickster - 2017</v>
      </c>
      <c r="E3356">
        <f>VLOOKUP($C3356,products!$A$1:$F$322,MATCH(order_items!$E$1,products!$A$1:$F$1,0),FALSE)</f>
        <v>1</v>
      </c>
      <c r="F3356" t="str">
        <f>VLOOKUP($E3356,categories!$A$1:$B$8,MATCH(order_items!$F$1,categories!$A$1:$B$1,0),FALSE)</f>
        <v>Children Bicycles</v>
      </c>
      <c r="G3356">
        <v>1</v>
      </c>
      <c r="H3356">
        <v>149.99</v>
      </c>
      <c r="I3356" s="5">
        <v>0.1</v>
      </c>
      <c r="J3356">
        <f t="shared" si="104"/>
        <v>134.99100000000001</v>
      </c>
      <c r="K3356" s="9">
        <f t="shared" si="105"/>
        <v>-0.7856533020966654</v>
      </c>
    </row>
    <row r="3357" spans="1:11" x14ac:dyDescent="0.3">
      <c r="A3357">
        <v>1162</v>
      </c>
      <c r="B3357">
        <v>4</v>
      </c>
      <c r="C3357">
        <v>41</v>
      </c>
      <c r="D3357" t="str">
        <f>VLOOKUP($C3357,products!$A$1:$F$322,MATCH(order_items!$D$1,products!$A$1:$F$1,0),FALSE)</f>
        <v>Haro Shift R3 - 2017</v>
      </c>
      <c r="E3357">
        <f>VLOOKUP($C3357,products!$A$1:$F$322,MATCH(order_items!$E$1,products!$A$1:$F$1,0),FALSE)</f>
        <v>6</v>
      </c>
      <c r="F3357" t="str">
        <f>VLOOKUP($E3357,categories!$A$1:$B$8,MATCH(order_items!$F$1,categories!$A$1:$B$1,0),FALSE)</f>
        <v>Mountain Bikes</v>
      </c>
      <c r="G3357">
        <v>1</v>
      </c>
      <c r="H3357">
        <v>1469.99</v>
      </c>
      <c r="I3357" s="5">
        <v>0.05</v>
      </c>
      <c r="J3357">
        <f t="shared" si="104"/>
        <v>1396.4904999999999</v>
      </c>
      <c r="K3357" s="9">
        <f t="shared" si="105"/>
        <v>0.19020528315806023</v>
      </c>
    </row>
    <row r="3358" spans="1:11" x14ac:dyDescent="0.3">
      <c r="A3358">
        <v>1162</v>
      </c>
      <c r="B3358">
        <v>5</v>
      </c>
      <c r="C3358">
        <v>12</v>
      </c>
      <c r="D3358" t="str">
        <f>VLOOKUP($C3358,products!$A$1:$F$322,MATCH(order_items!$D$1,products!$A$1:$F$1,0),FALSE)</f>
        <v>Electra Townie Original 21D - 2016</v>
      </c>
      <c r="E3358">
        <f>VLOOKUP($C3358,products!$A$1:$F$322,MATCH(order_items!$E$1,products!$A$1:$F$1,0),FALSE)</f>
        <v>3</v>
      </c>
      <c r="F3358" t="str">
        <f>VLOOKUP($E3358,categories!$A$1:$B$8,MATCH(order_items!$F$1,categories!$A$1:$B$1,0),FALSE)</f>
        <v>Cruisers Bicycles</v>
      </c>
      <c r="G3358">
        <v>2</v>
      </c>
      <c r="H3358">
        <v>549.99</v>
      </c>
      <c r="I3358" s="5">
        <v>0.05</v>
      </c>
      <c r="J3358">
        <f t="shared" si="104"/>
        <v>1044.981</v>
      </c>
      <c r="K3358" s="9">
        <f t="shared" si="105"/>
        <v>-0.48993857929220308</v>
      </c>
    </row>
    <row r="3359" spans="1:11" x14ac:dyDescent="0.3">
      <c r="A3359">
        <v>1163</v>
      </c>
      <c r="B3359">
        <v>1</v>
      </c>
      <c r="C3359">
        <v>63</v>
      </c>
      <c r="D3359" t="str">
        <f>VLOOKUP($C3359,products!$A$1:$F$322,MATCH(order_items!$D$1,products!$A$1:$F$1,0),FALSE)</f>
        <v>Trek Boone Race Shop Limited - 2017</v>
      </c>
      <c r="E3359">
        <f>VLOOKUP($C3359,products!$A$1:$F$322,MATCH(order_items!$E$1,products!$A$1:$F$1,0),FALSE)</f>
        <v>4</v>
      </c>
      <c r="F3359" t="str">
        <f>VLOOKUP($E3359,categories!$A$1:$B$8,MATCH(order_items!$F$1,categories!$A$1:$B$1,0),FALSE)</f>
        <v>Cyclocross Bicycles</v>
      </c>
      <c r="G3359">
        <v>2</v>
      </c>
      <c r="H3359">
        <v>3499.99</v>
      </c>
      <c r="I3359" s="5">
        <v>0.05</v>
      </c>
      <c r="J3359">
        <f t="shared" si="104"/>
        <v>6649.9809999999989</v>
      </c>
      <c r="K3359" s="9">
        <f t="shared" si="105"/>
        <v>1.6909575013907066</v>
      </c>
    </row>
    <row r="3360" spans="1:11" x14ac:dyDescent="0.3">
      <c r="A3360">
        <v>1163</v>
      </c>
      <c r="B3360">
        <v>2</v>
      </c>
      <c r="C3360">
        <v>53</v>
      </c>
      <c r="D3360" t="str">
        <f>VLOOKUP($C3360,products!$A$1:$F$322,MATCH(order_items!$D$1,products!$A$1:$F$1,0),FALSE)</f>
        <v>Surly Ogre Frameset - 2017</v>
      </c>
      <c r="E3360">
        <f>VLOOKUP($C3360,products!$A$1:$F$322,MATCH(order_items!$E$1,products!$A$1:$F$1,0),FALSE)</f>
        <v>7</v>
      </c>
      <c r="F3360" t="str">
        <f>VLOOKUP($E3360,categories!$A$1:$B$8,MATCH(order_items!$F$1,categories!$A$1:$B$1,0),FALSE)</f>
        <v>Road Bikes</v>
      </c>
      <c r="G3360">
        <v>2</v>
      </c>
      <c r="H3360">
        <v>749.99</v>
      </c>
      <c r="I3360" s="5">
        <v>0.1</v>
      </c>
      <c r="J3360">
        <f t="shared" si="104"/>
        <v>1349.982</v>
      </c>
      <c r="K3360" s="9">
        <f t="shared" si="105"/>
        <v>-0.34208121788997192</v>
      </c>
    </row>
    <row r="3361" spans="1:11" x14ac:dyDescent="0.3">
      <c r="A3361">
        <v>1164</v>
      </c>
      <c r="B3361">
        <v>1</v>
      </c>
      <c r="C3361">
        <v>8</v>
      </c>
      <c r="D3361" t="str">
        <f>VLOOKUP($C3361,products!$A$1:$F$322,MATCH(order_items!$D$1,products!$A$1:$F$1,0),FALSE)</f>
        <v>Trek Remedy 29 Carbon Frameset - 2016</v>
      </c>
      <c r="E3361">
        <f>VLOOKUP($C3361,products!$A$1:$F$322,MATCH(order_items!$E$1,products!$A$1:$F$1,0),FALSE)</f>
        <v>6</v>
      </c>
      <c r="F3361" t="str">
        <f>VLOOKUP($E3361,categories!$A$1:$B$8,MATCH(order_items!$F$1,categories!$A$1:$B$1,0),FALSE)</f>
        <v>Mountain Bikes</v>
      </c>
      <c r="G3361">
        <v>1</v>
      </c>
      <c r="H3361">
        <v>1799.99</v>
      </c>
      <c r="I3361" s="5">
        <v>0.2</v>
      </c>
      <c r="J3361">
        <f t="shared" si="104"/>
        <v>1439.9920000000002</v>
      </c>
      <c r="K3361" s="9">
        <f t="shared" si="105"/>
        <v>0.43416992947174166</v>
      </c>
    </row>
    <row r="3362" spans="1:11" x14ac:dyDescent="0.3">
      <c r="A3362">
        <v>1164</v>
      </c>
      <c r="B3362">
        <v>2</v>
      </c>
      <c r="C3362">
        <v>78</v>
      </c>
      <c r="D3362" t="str">
        <f>VLOOKUP($C3362,products!$A$1:$F$322,MATCH(order_items!$D$1,products!$A$1:$F$1,0),FALSE)</f>
        <v>Sun Bicycles Biscayne Tandem CB - 2017</v>
      </c>
      <c r="E3362">
        <f>VLOOKUP($C3362,products!$A$1:$F$322,MATCH(order_items!$E$1,products!$A$1:$F$1,0),FALSE)</f>
        <v>3</v>
      </c>
      <c r="F3362" t="str">
        <f>VLOOKUP($E3362,categories!$A$1:$B$8,MATCH(order_items!$F$1,categories!$A$1:$B$1,0),FALSE)</f>
        <v>Cruisers Bicycles</v>
      </c>
      <c r="G3362">
        <v>1</v>
      </c>
      <c r="H3362">
        <v>647.99</v>
      </c>
      <c r="I3362" s="5">
        <v>0.05</v>
      </c>
      <c r="J3362">
        <f t="shared" si="104"/>
        <v>615.59050000000002</v>
      </c>
      <c r="K3362" s="9">
        <f t="shared" si="105"/>
        <v>-0.41748847220510982</v>
      </c>
    </row>
    <row r="3363" spans="1:11" x14ac:dyDescent="0.3">
      <c r="A3363">
        <v>1164</v>
      </c>
      <c r="B3363">
        <v>3</v>
      </c>
      <c r="C3363">
        <v>103</v>
      </c>
      <c r="D3363" t="str">
        <f>VLOOKUP($C3363,products!$A$1:$F$322,MATCH(order_items!$D$1,products!$A$1:$F$1,0),FALSE)</f>
        <v>Sun Bicycles Streamway 3 - 2017</v>
      </c>
      <c r="E3363">
        <f>VLOOKUP($C3363,products!$A$1:$F$322,MATCH(order_items!$E$1,products!$A$1:$F$1,0),FALSE)</f>
        <v>2</v>
      </c>
      <c r="F3363" t="str">
        <f>VLOOKUP($E3363,categories!$A$1:$B$8,MATCH(order_items!$F$1,categories!$A$1:$B$1,0),FALSE)</f>
        <v>Comfort Bicycles</v>
      </c>
      <c r="G3363">
        <v>2</v>
      </c>
      <c r="H3363">
        <v>551.99</v>
      </c>
      <c r="I3363" s="5">
        <v>0.05</v>
      </c>
      <c r="J3363">
        <f t="shared" si="104"/>
        <v>1048.7809999999999</v>
      </c>
      <c r="K3363" s="9">
        <f t="shared" si="105"/>
        <v>-0.48846000567818076</v>
      </c>
    </row>
    <row r="3364" spans="1:11" x14ac:dyDescent="0.3">
      <c r="A3364">
        <v>1164</v>
      </c>
      <c r="B3364">
        <v>4</v>
      </c>
      <c r="C3364">
        <v>44</v>
      </c>
      <c r="D3364" t="str">
        <f>VLOOKUP($C3364,products!$A$1:$F$322,MATCH(order_items!$D$1,products!$A$1:$F$1,0),FALSE)</f>
        <v>Haro SR 1.1 - 2017</v>
      </c>
      <c r="E3364">
        <f>VLOOKUP($C3364,products!$A$1:$F$322,MATCH(order_items!$E$1,products!$A$1:$F$1,0),FALSE)</f>
        <v>6</v>
      </c>
      <c r="F3364" t="str">
        <f>VLOOKUP($E3364,categories!$A$1:$B$8,MATCH(order_items!$F$1,categories!$A$1:$B$1,0),FALSE)</f>
        <v>Mountain Bikes</v>
      </c>
      <c r="G3364">
        <v>2</v>
      </c>
      <c r="H3364">
        <v>539.99</v>
      </c>
      <c r="I3364" s="5">
        <v>0.05</v>
      </c>
      <c r="J3364">
        <f t="shared" si="104"/>
        <v>1025.981</v>
      </c>
      <c r="K3364" s="9">
        <f t="shared" si="105"/>
        <v>-0.49733144736231466</v>
      </c>
    </row>
    <row r="3365" spans="1:11" x14ac:dyDescent="0.3">
      <c r="A3365">
        <v>1165</v>
      </c>
      <c r="B3365">
        <v>1</v>
      </c>
      <c r="C3365">
        <v>65</v>
      </c>
      <c r="D3365" t="str">
        <f>VLOOKUP($C3365,products!$A$1:$F$322,MATCH(order_items!$D$1,products!$A$1:$F$1,0),FALSE)</f>
        <v>Sun Bicycles Lil Bolt Type-R - 2017</v>
      </c>
      <c r="E3365">
        <f>VLOOKUP($C3365,products!$A$1:$F$322,MATCH(order_items!$E$1,products!$A$1:$F$1,0),FALSE)</f>
        <v>3</v>
      </c>
      <c r="F3365" t="str">
        <f>VLOOKUP($E3365,categories!$A$1:$B$8,MATCH(order_items!$F$1,categories!$A$1:$B$1,0),FALSE)</f>
        <v>Cruisers Bicycles</v>
      </c>
      <c r="G3365">
        <v>2</v>
      </c>
      <c r="H3365">
        <v>346.99</v>
      </c>
      <c r="I3365" s="5">
        <v>7.0000000000000007E-2</v>
      </c>
      <c r="J3365">
        <f t="shared" si="104"/>
        <v>645.40139999999997</v>
      </c>
      <c r="K3365" s="9">
        <f t="shared" si="105"/>
        <v>-0.64001380111546768</v>
      </c>
    </row>
    <row r="3366" spans="1:11" x14ac:dyDescent="0.3">
      <c r="A3366">
        <v>1165</v>
      </c>
      <c r="B3366">
        <v>2</v>
      </c>
      <c r="C3366">
        <v>68</v>
      </c>
      <c r="D3366" t="str">
        <f>VLOOKUP($C3366,products!$A$1:$F$322,MATCH(order_items!$D$1,products!$A$1:$F$1,0),FALSE)</f>
        <v>Sun Bicycles Cruz 3 - 2017</v>
      </c>
      <c r="E3366">
        <f>VLOOKUP($C3366,products!$A$1:$F$322,MATCH(order_items!$E$1,products!$A$1:$F$1,0),FALSE)</f>
        <v>3</v>
      </c>
      <c r="F3366" t="str">
        <f>VLOOKUP($E3366,categories!$A$1:$B$8,MATCH(order_items!$F$1,categories!$A$1:$B$1,0),FALSE)</f>
        <v>Cruisers Bicycles</v>
      </c>
      <c r="G3366">
        <v>1</v>
      </c>
      <c r="H3366">
        <v>449.99</v>
      </c>
      <c r="I3366" s="5">
        <v>7.0000000000000007E-2</v>
      </c>
      <c r="J3366">
        <f t="shared" si="104"/>
        <v>418.4907</v>
      </c>
      <c r="K3366" s="9">
        <f t="shared" si="105"/>
        <v>-0.56386725999331866</v>
      </c>
    </row>
    <row r="3367" spans="1:11" x14ac:dyDescent="0.3">
      <c r="A3367">
        <v>1166</v>
      </c>
      <c r="B3367">
        <v>1</v>
      </c>
      <c r="C3367">
        <v>103</v>
      </c>
      <c r="D3367" t="str">
        <f>VLOOKUP($C3367,products!$A$1:$F$322,MATCH(order_items!$D$1,products!$A$1:$F$1,0),FALSE)</f>
        <v>Sun Bicycles Streamway 3 - 2017</v>
      </c>
      <c r="E3367">
        <f>VLOOKUP($C3367,products!$A$1:$F$322,MATCH(order_items!$E$1,products!$A$1:$F$1,0),FALSE)</f>
        <v>2</v>
      </c>
      <c r="F3367" t="str">
        <f>VLOOKUP($E3367,categories!$A$1:$B$8,MATCH(order_items!$F$1,categories!$A$1:$B$1,0),FALSE)</f>
        <v>Comfort Bicycles</v>
      </c>
      <c r="G3367">
        <v>2</v>
      </c>
      <c r="H3367">
        <v>551.99</v>
      </c>
      <c r="I3367" s="5">
        <v>7.0000000000000007E-2</v>
      </c>
      <c r="J3367">
        <f t="shared" si="104"/>
        <v>1026.7013999999999</v>
      </c>
      <c r="K3367" s="9">
        <f t="shared" si="105"/>
        <v>-0.48846000567818076</v>
      </c>
    </row>
    <row r="3368" spans="1:11" x14ac:dyDescent="0.3">
      <c r="A3368">
        <v>1167</v>
      </c>
      <c r="B3368">
        <v>1</v>
      </c>
      <c r="C3368">
        <v>29</v>
      </c>
      <c r="D3368" t="str">
        <f>VLOOKUP($C3368,products!$A$1:$F$322,MATCH(order_items!$D$1,products!$A$1:$F$1,0),FALSE)</f>
        <v>Trek X-Caliber 8 - 2017</v>
      </c>
      <c r="E3368">
        <f>VLOOKUP($C3368,products!$A$1:$F$322,MATCH(order_items!$E$1,products!$A$1:$F$1,0),FALSE)</f>
        <v>6</v>
      </c>
      <c r="F3368" t="str">
        <f>VLOOKUP($E3368,categories!$A$1:$B$8,MATCH(order_items!$F$1,categories!$A$1:$B$1,0),FALSE)</f>
        <v>Mountain Bikes</v>
      </c>
      <c r="G3368">
        <v>2</v>
      </c>
      <c r="H3368">
        <v>999.99</v>
      </c>
      <c r="I3368" s="5">
        <v>0.05</v>
      </c>
      <c r="J3368">
        <f t="shared" si="104"/>
        <v>1899.981</v>
      </c>
      <c r="K3368" s="9">
        <f t="shared" si="105"/>
        <v>-0.15725951613718298</v>
      </c>
    </row>
    <row r="3369" spans="1:11" x14ac:dyDescent="0.3">
      <c r="A3369">
        <v>1167</v>
      </c>
      <c r="B3369">
        <v>2</v>
      </c>
      <c r="C3369">
        <v>81</v>
      </c>
      <c r="D3369" t="str">
        <f>VLOOKUP($C3369,products!$A$1:$F$322,MATCH(order_items!$D$1,products!$A$1:$F$1,0),FALSE)</f>
        <v>Electra Amsterdam Fashion 7i Ladies' - 2017</v>
      </c>
      <c r="E3369">
        <f>VLOOKUP($C3369,products!$A$1:$F$322,MATCH(order_items!$E$1,products!$A$1:$F$1,0),FALSE)</f>
        <v>3</v>
      </c>
      <c r="F3369" t="str">
        <f>VLOOKUP($E3369,categories!$A$1:$B$8,MATCH(order_items!$F$1,categories!$A$1:$B$1,0),FALSE)</f>
        <v>Cruisers Bicycles</v>
      </c>
      <c r="G3369">
        <v>2</v>
      </c>
      <c r="H3369">
        <v>1099.99</v>
      </c>
      <c r="I3369" s="5">
        <v>0.1</v>
      </c>
      <c r="J3369">
        <f t="shared" si="104"/>
        <v>1979.982</v>
      </c>
      <c r="K3369" s="9">
        <f t="shared" si="105"/>
        <v>-8.3330835436067396E-2</v>
      </c>
    </row>
    <row r="3370" spans="1:11" x14ac:dyDescent="0.3">
      <c r="A3370">
        <v>1167</v>
      </c>
      <c r="B3370">
        <v>3</v>
      </c>
      <c r="C3370">
        <v>68</v>
      </c>
      <c r="D3370" t="str">
        <f>VLOOKUP($C3370,products!$A$1:$F$322,MATCH(order_items!$D$1,products!$A$1:$F$1,0),FALSE)</f>
        <v>Sun Bicycles Cruz 3 - 2017</v>
      </c>
      <c r="E3370">
        <f>VLOOKUP($C3370,products!$A$1:$F$322,MATCH(order_items!$E$1,products!$A$1:$F$1,0),FALSE)</f>
        <v>3</v>
      </c>
      <c r="F3370" t="str">
        <f>VLOOKUP($E3370,categories!$A$1:$B$8,MATCH(order_items!$F$1,categories!$A$1:$B$1,0),FALSE)</f>
        <v>Cruisers Bicycles</v>
      </c>
      <c r="G3370">
        <v>1</v>
      </c>
      <c r="H3370">
        <v>449.99</v>
      </c>
      <c r="I3370" s="5">
        <v>7.0000000000000007E-2</v>
      </c>
      <c r="J3370">
        <f t="shared" si="104"/>
        <v>418.4907</v>
      </c>
      <c r="K3370" s="9">
        <f t="shared" si="105"/>
        <v>-0.56386725999331866</v>
      </c>
    </row>
    <row r="3371" spans="1:11" x14ac:dyDescent="0.3">
      <c r="A3371">
        <v>1168</v>
      </c>
      <c r="B3371">
        <v>1</v>
      </c>
      <c r="C3371">
        <v>23</v>
      </c>
      <c r="D3371" t="str">
        <f>VLOOKUP($C3371,products!$A$1:$F$322,MATCH(order_items!$D$1,products!$A$1:$F$1,0),FALSE)</f>
        <v>Electra Girl's Hawaii 1 (20-inch) - 2015/2016</v>
      </c>
      <c r="E3371">
        <f>VLOOKUP($C3371,products!$A$1:$F$322,MATCH(order_items!$E$1,products!$A$1:$F$1,0),FALSE)</f>
        <v>1</v>
      </c>
      <c r="F3371" t="str">
        <f>VLOOKUP($E3371,categories!$A$1:$B$8,MATCH(order_items!$F$1,categories!$A$1:$B$1,0),FALSE)</f>
        <v>Children Bicycles</v>
      </c>
      <c r="G3371">
        <v>2</v>
      </c>
      <c r="H3371">
        <v>299.99</v>
      </c>
      <c r="I3371" s="5">
        <v>0.1</v>
      </c>
      <c r="J3371">
        <f t="shared" si="104"/>
        <v>539.98200000000008</v>
      </c>
      <c r="K3371" s="9">
        <f t="shared" si="105"/>
        <v>-0.67476028104499197</v>
      </c>
    </row>
    <row r="3372" spans="1:11" x14ac:dyDescent="0.3">
      <c r="A3372">
        <v>1168</v>
      </c>
      <c r="B3372">
        <v>2</v>
      </c>
      <c r="C3372">
        <v>82</v>
      </c>
      <c r="D3372" t="str">
        <f>VLOOKUP($C3372,products!$A$1:$F$322,MATCH(order_items!$D$1,products!$A$1:$F$1,0),FALSE)</f>
        <v>Electra Amsterdam Original 3i Ladies' - 2017</v>
      </c>
      <c r="E3372">
        <f>VLOOKUP($C3372,products!$A$1:$F$322,MATCH(order_items!$E$1,products!$A$1:$F$1,0),FALSE)</f>
        <v>3</v>
      </c>
      <c r="F3372" t="str">
        <f>VLOOKUP($E3372,categories!$A$1:$B$8,MATCH(order_items!$F$1,categories!$A$1:$B$1,0),FALSE)</f>
        <v>Cruisers Bicycles</v>
      </c>
      <c r="G3372">
        <v>1</v>
      </c>
      <c r="H3372">
        <v>659.99</v>
      </c>
      <c r="I3372" s="5">
        <v>0.2</v>
      </c>
      <c r="J3372">
        <f t="shared" si="104"/>
        <v>527.99200000000008</v>
      </c>
      <c r="K3372" s="9">
        <f t="shared" si="105"/>
        <v>-0.40861703052097592</v>
      </c>
    </row>
    <row r="3373" spans="1:11" x14ac:dyDescent="0.3">
      <c r="A3373">
        <v>1168</v>
      </c>
      <c r="B3373">
        <v>3</v>
      </c>
      <c r="C3373">
        <v>51</v>
      </c>
      <c r="D3373" t="str">
        <f>VLOOKUP($C3373,products!$A$1:$F$322,MATCH(order_items!$D$1,products!$A$1:$F$1,0),FALSE)</f>
        <v>Trek Silque SLR 8 Women's - 2017</v>
      </c>
      <c r="E3373">
        <f>VLOOKUP($C3373,products!$A$1:$F$322,MATCH(order_items!$E$1,products!$A$1:$F$1,0),FALSE)</f>
        <v>7</v>
      </c>
      <c r="F3373" t="str">
        <f>VLOOKUP($E3373,categories!$A$1:$B$8,MATCH(order_items!$F$1,categories!$A$1:$B$1,0),FALSE)</f>
        <v>Road Bikes</v>
      </c>
      <c r="G3373">
        <v>1</v>
      </c>
      <c r="H3373">
        <v>6499.99</v>
      </c>
      <c r="I3373" s="5">
        <v>7.0000000000000007E-2</v>
      </c>
      <c r="J3373">
        <f t="shared" si="104"/>
        <v>6044.9906999999994</v>
      </c>
      <c r="K3373" s="9">
        <f t="shared" si="105"/>
        <v>3.9088179224241739</v>
      </c>
    </row>
    <row r="3374" spans="1:11" x14ac:dyDescent="0.3">
      <c r="A3374">
        <v>1168</v>
      </c>
      <c r="B3374">
        <v>4</v>
      </c>
      <c r="C3374">
        <v>107</v>
      </c>
      <c r="D3374" t="str">
        <f>VLOOKUP($C3374,products!$A$1:$F$322,MATCH(order_items!$D$1,products!$A$1:$F$1,0),FALSE)</f>
        <v>Sun Bicycles Cruz 7 - 2017</v>
      </c>
      <c r="E3374">
        <f>VLOOKUP($C3374,products!$A$1:$F$322,MATCH(order_items!$E$1,products!$A$1:$F$1,0),FALSE)</f>
        <v>2</v>
      </c>
      <c r="F3374" t="str">
        <f>VLOOKUP($E3374,categories!$A$1:$B$8,MATCH(order_items!$F$1,categories!$A$1:$B$1,0),FALSE)</f>
        <v>Comfort Bicycles</v>
      </c>
      <c r="G3374">
        <v>2</v>
      </c>
      <c r="H3374">
        <v>416.99</v>
      </c>
      <c r="I3374" s="5">
        <v>0.2</v>
      </c>
      <c r="J3374">
        <f t="shared" si="104"/>
        <v>667.18400000000008</v>
      </c>
      <c r="K3374" s="9">
        <f t="shared" si="105"/>
        <v>-0.58826372462468679</v>
      </c>
    </row>
    <row r="3375" spans="1:11" x14ac:dyDescent="0.3">
      <c r="A3375">
        <v>1168</v>
      </c>
      <c r="B3375">
        <v>5</v>
      </c>
      <c r="C3375">
        <v>15</v>
      </c>
      <c r="D3375" t="str">
        <f>VLOOKUP($C3375,products!$A$1:$F$322,MATCH(order_items!$D$1,products!$A$1:$F$1,0),FALSE)</f>
        <v>Electra Moto 1 - 2016</v>
      </c>
      <c r="E3375">
        <f>VLOOKUP($C3375,products!$A$1:$F$322,MATCH(order_items!$E$1,products!$A$1:$F$1,0),FALSE)</f>
        <v>3</v>
      </c>
      <c r="F3375" t="str">
        <f>VLOOKUP($E3375,categories!$A$1:$B$8,MATCH(order_items!$F$1,categories!$A$1:$B$1,0),FALSE)</f>
        <v>Cruisers Bicycles</v>
      </c>
      <c r="G3375">
        <v>2</v>
      </c>
      <c r="H3375">
        <v>529.99</v>
      </c>
      <c r="I3375" s="5">
        <v>0.05</v>
      </c>
      <c r="J3375">
        <f t="shared" si="104"/>
        <v>1006.981</v>
      </c>
      <c r="K3375" s="9">
        <f t="shared" si="105"/>
        <v>-0.50472431543242624</v>
      </c>
    </row>
    <row r="3376" spans="1:11" x14ac:dyDescent="0.3">
      <c r="A3376">
        <v>1169</v>
      </c>
      <c r="B3376">
        <v>1</v>
      </c>
      <c r="C3376">
        <v>91</v>
      </c>
      <c r="D3376" t="str">
        <f>VLOOKUP($C3376,products!$A$1:$F$322,MATCH(order_items!$D$1,products!$A$1:$F$1,0),FALSE)</f>
        <v>Trek Precaliber 24 (21-Speed) - Girls - 2017</v>
      </c>
      <c r="E3376">
        <f>VLOOKUP($C3376,products!$A$1:$F$322,MATCH(order_items!$E$1,products!$A$1:$F$1,0),FALSE)</f>
        <v>1</v>
      </c>
      <c r="F3376" t="str">
        <f>VLOOKUP($E3376,categories!$A$1:$B$8,MATCH(order_items!$F$1,categories!$A$1:$B$1,0),FALSE)</f>
        <v>Children Bicycles</v>
      </c>
      <c r="G3376">
        <v>2</v>
      </c>
      <c r="H3376">
        <v>349.99</v>
      </c>
      <c r="I3376" s="5">
        <v>0.2</v>
      </c>
      <c r="J3376">
        <f t="shared" si="104"/>
        <v>559.98400000000004</v>
      </c>
      <c r="K3376" s="9">
        <f t="shared" si="105"/>
        <v>-0.63779594069443424</v>
      </c>
    </row>
    <row r="3377" spans="1:11" x14ac:dyDescent="0.3">
      <c r="A3377">
        <v>1169</v>
      </c>
      <c r="B3377">
        <v>2</v>
      </c>
      <c r="C3377">
        <v>51</v>
      </c>
      <c r="D3377" t="str">
        <f>VLOOKUP($C3377,products!$A$1:$F$322,MATCH(order_items!$D$1,products!$A$1:$F$1,0),FALSE)</f>
        <v>Trek Silque SLR 8 Women's - 2017</v>
      </c>
      <c r="E3377">
        <f>VLOOKUP($C3377,products!$A$1:$F$322,MATCH(order_items!$E$1,products!$A$1:$F$1,0),FALSE)</f>
        <v>7</v>
      </c>
      <c r="F3377" t="str">
        <f>VLOOKUP($E3377,categories!$A$1:$B$8,MATCH(order_items!$F$1,categories!$A$1:$B$1,0),FALSE)</f>
        <v>Road Bikes</v>
      </c>
      <c r="G3377">
        <v>1</v>
      </c>
      <c r="H3377">
        <v>6499.99</v>
      </c>
      <c r="I3377" s="5">
        <v>0.05</v>
      </c>
      <c r="J3377">
        <f t="shared" si="104"/>
        <v>6174.9904999999999</v>
      </c>
      <c r="K3377" s="9">
        <f t="shared" si="105"/>
        <v>3.9088179224241739</v>
      </c>
    </row>
    <row r="3378" spans="1:11" x14ac:dyDescent="0.3">
      <c r="A3378">
        <v>1169</v>
      </c>
      <c r="B3378">
        <v>3</v>
      </c>
      <c r="C3378">
        <v>58</v>
      </c>
      <c r="D3378" t="str">
        <f>VLOOKUP($C3378,products!$A$1:$F$322,MATCH(order_items!$D$1,products!$A$1:$F$1,0),FALSE)</f>
        <v>Trek Madone 9.2 - 2017</v>
      </c>
      <c r="E3378">
        <f>VLOOKUP($C3378,products!$A$1:$F$322,MATCH(order_items!$E$1,products!$A$1:$F$1,0),FALSE)</f>
        <v>7</v>
      </c>
      <c r="F3378" t="str">
        <f>VLOOKUP($E3378,categories!$A$1:$B$8,MATCH(order_items!$F$1,categories!$A$1:$B$1,0),FALSE)</f>
        <v>Road Bikes</v>
      </c>
      <c r="G3378">
        <v>2</v>
      </c>
      <c r="H3378">
        <v>4999.99</v>
      </c>
      <c r="I3378" s="5">
        <v>0.1</v>
      </c>
      <c r="J3378">
        <f t="shared" si="104"/>
        <v>8999.982</v>
      </c>
      <c r="K3378" s="9">
        <f t="shared" si="105"/>
        <v>2.7998877119074401</v>
      </c>
    </row>
    <row r="3379" spans="1:11" x14ac:dyDescent="0.3">
      <c r="A3379">
        <v>1169</v>
      </c>
      <c r="B3379">
        <v>4</v>
      </c>
      <c r="C3379">
        <v>81</v>
      </c>
      <c r="D3379" t="str">
        <f>VLOOKUP($C3379,products!$A$1:$F$322,MATCH(order_items!$D$1,products!$A$1:$F$1,0),FALSE)</f>
        <v>Electra Amsterdam Fashion 7i Ladies' - 2017</v>
      </c>
      <c r="E3379">
        <f>VLOOKUP($C3379,products!$A$1:$F$322,MATCH(order_items!$E$1,products!$A$1:$F$1,0),FALSE)</f>
        <v>3</v>
      </c>
      <c r="F3379" t="str">
        <f>VLOOKUP($E3379,categories!$A$1:$B$8,MATCH(order_items!$F$1,categories!$A$1:$B$1,0),FALSE)</f>
        <v>Cruisers Bicycles</v>
      </c>
      <c r="G3379">
        <v>2</v>
      </c>
      <c r="H3379">
        <v>1099.99</v>
      </c>
      <c r="I3379" s="5">
        <v>0.2</v>
      </c>
      <c r="J3379">
        <f t="shared" si="104"/>
        <v>1759.9840000000002</v>
      </c>
      <c r="K3379" s="9">
        <f t="shared" si="105"/>
        <v>-8.3330835436067396E-2</v>
      </c>
    </row>
    <row r="3380" spans="1:11" x14ac:dyDescent="0.3">
      <c r="A3380">
        <v>1170</v>
      </c>
      <c r="B3380">
        <v>1</v>
      </c>
      <c r="C3380">
        <v>15</v>
      </c>
      <c r="D3380" t="str">
        <f>VLOOKUP($C3380,products!$A$1:$F$322,MATCH(order_items!$D$1,products!$A$1:$F$1,0),FALSE)</f>
        <v>Electra Moto 1 - 2016</v>
      </c>
      <c r="E3380">
        <f>VLOOKUP($C3380,products!$A$1:$F$322,MATCH(order_items!$E$1,products!$A$1:$F$1,0),FALSE)</f>
        <v>3</v>
      </c>
      <c r="F3380" t="str">
        <f>VLOOKUP($E3380,categories!$A$1:$B$8,MATCH(order_items!$F$1,categories!$A$1:$B$1,0),FALSE)</f>
        <v>Cruisers Bicycles</v>
      </c>
      <c r="G3380">
        <v>1</v>
      </c>
      <c r="H3380">
        <v>529.99</v>
      </c>
      <c r="I3380" s="5">
        <v>0.1</v>
      </c>
      <c r="J3380">
        <f t="shared" si="104"/>
        <v>476.99100000000004</v>
      </c>
      <c r="K3380" s="9">
        <f t="shared" si="105"/>
        <v>-0.50472431543242624</v>
      </c>
    </row>
    <row r="3381" spans="1:11" x14ac:dyDescent="0.3">
      <c r="A3381">
        <v>1170</v>
      </c>
      <c r="B3381">
        <v>2</v>
      </c>
      <c r="C3381">
        <v>47</v>
      </c>
      <c r="D3381" t="str">
        <f>VLOOKUP($C3381,products!$A$1:$F$322,MATCH(order_items!$D$1,products!$A$1:$F$1,0),FALSE)</f>
        <v>Trek Remedy 9.8 - 2017</v>
      </c>
      <c r="E3381">
        <f>VLOOKUP($C3381,products!$A$1:$F$322,MATCH(order_items!$E$1,products!$A$1:$F$1,0),FALSE)</f>
        <v>6</v>
      </c>
      <c r="F3381" t="str">
        <f>VLOOKUP($E3381,categories!$A$1:$B$8,MATCH(order_items!$F$1,categories!$A$1:$B$1,0),FALSE)</f>
        <v>Mountain Bikes</v>
      </c>
      <c r="G3381">
        <v>2</v>
      </c>
      <c r="H3381">
        <v>5299.99</v>
      </c>
      <c r="I3381" s="5">
        <v>0.05</v>
      </c>
      <c r="J3381">
        <f t="shared" si="104"/>
        <v>10069.981</v>
      </c>
      <c r="K3381" s="9">
        <f t="shared" si="105"/>
        <v>3.021673754010787</v>
      </c>
    </row>
    <row r="3382" spans="1:11" x14ac:dyDescent="0.3">
      <c r="A3382">
        <v>1170</v>
      </c>
      <c r="B3382">
        <v>3</v>
      </c>
      <c r="C3382">
        <v>62</v>
      </c>
      <c r="D3382" t="str">
        <f>VLOOKUP($C3382,products!$A$1:$F$322,MATCH(order_items!$D$1,products!$A$1:$F$1,0),FALSE)</f>
        <v>Trek Boone 7 - 2017</v>
      </c>
      <c r="E3382">
        <f>VLOOKUP($C3382,products!$A$1:$F$322,MATCH(order_items!$E$1,products!$A$1:$F$1,0),FALSE)</f>
        <v>4</v>
      </c>
      <c r="F3382" t="str">
        <f>VLOOKUP($E3382,categories!$A$1:$B$8,MATCH(order_items!$F$1,categories!$A$1:$B$1,0),FALSE)</f>
        <v>Cyclocross Bicycles</v>
      </c>
      <c r="G3382">
        <v>2</v>
      </c>
      <c r="H3382">
        <v>3499.99</v>
      </c>
      <c r="I3382" s="5">
        <v>0.1</v>
      </c>
      <c r="J3382">
        <f t="shared" si="104"/>
        <v>6299.982</v>
      </c>
      <c r="K3382" s="9">
        <f t="shared" si="105"/>
        <v>1.6909575013907066</v>
      </c>
    </row>
    <row r="3383" spans="1:11" x14ac:dyDescent="0.3">
      <c r="A3383">
        <v>1171</v>
      </c>
      <c r="B3383">
        <v>1</v>
      </c>
      <c r="C3383">
        <v>94</v>
      </c>
      <c r="D3383" t="str">
        <f>VLOOKUP($C3383,products!$A$1:$F$322,MATCH(order_items!$D$1,products!$A$1:$F$1,0),FALSE)</f>
        <v>Haro Shredder Pro 20 - 2017</v>
      </c>
      <c r="E3383">
        <f>VLOOKUP($C3383,products!$A$1:$F$322,MATCH(order_items!$E$1,products!$A$1:$F$1,0),FALSE)</f>
        <v>1</v>
      </c>
      <c r="F3383" t="str">
        <f>VLOOKUP($E3383,categories!$A$1:$B$8,MATCH(order_items!$F$1,categories!$A$1:$B$1,0),FALSE)</f>
        <v>Children Bicycles</v>
      </c>
      <c r="G3383">
        <v>2</v>
      </c>
      <c r="H3383">
        <v>249.99</v>
      </c>
      <c r="I3383" s="5">
        <v>0.2</v>
      </c>
      <c r="J3383">
        <f t="shared" si="104"/>
        <v>399.98400000000004</v>
      </c>
      <c r="K3383" s="9">
        <f t="shared" si="105"/>
        <v>-0.71172462139554982</v>
      </c>
    </row>
    <row r="3384" spans="1:11" x14ac:dyDescent="0.3">
      <c r="A3384">
        <v>1171</v>
      </c>
      <c r="B3384">
        <v>2</v>
      </c>
      <c r="C3384">
        <v>92</v>
      </c>
      <c r="D3384" t="str">
        <f>VLOOKUP($C3384,products!$A$1:$F$322,MATCH(order_items!$D$1,products!$A$1:$F$1,0),FALSE)</f>
        <v>Haro Shredder 20 - 2017</v>
      </c>
      <c r="E3384">
        <f>VLOOKUP($C3384,products!$A$1:$F$322,MATCH(order_items!$E$1,products!$A$1:$F$1,0),FALSE)</f>
        <v>1</v>
      </c>
      <c r="F3384" t="str">
        <f>VLOOKUP($E3384,categories!$A$1:$B$8,MATCH(order_items!$F$1,categories!$A$1:$B$1,0),FALSE)</f>
        <v>Children Bicycles</v>
      </c>
      <c r="G3384">
        <v>2</v>
      </c>
      <c r="H3384">
        <v>209.99</v>
      </c>
      <c r="I3384" s="5">
        <v>7.0000000000000007E-2</v>
      </c>
      <c r="J3384">
        <f t="shared" si="104"/>
        <v>390.58139999999997</v>
      </c>
      <c r="K3384" s="9">
        <f t="shared" si="105"/>
        <v>-0.74129609367599603</v>
      </c>
    </row>
    <row r="3385" spans="1:11" x14ac:dyDescent="0.3">
      <c r="A3385">
        <v>1171</v>
      </c>
      <c r="B3385">
        <v>3</v>
      </c>
      <c r="C3385">
        <v>10</v>
      </c>
      <c r="D3385" t="str">
        <f>VLOOKUP($C3385,products!$A$1:$F$322,MATCH(order_items!$D$1,products!$A$1:$F$1,0),FALSE)</f>
        <v>Surly Straggler - 2016</v>
      </c>
      <c r="E3385">
        <f>VLOOKUP($C3385,products!$A$1:$F$322,MATCH(order_items!$E$1,products!$A$1:$F$1,0),FALSE)</f>
        <v>4</v>
      </c>
      <c r="F3385" t="str">
        <f>VLOOKUP($E3385,categories!$A$1:$B$8,MATCH(order_items!$F$1,categories!$A$1:$B$1,0),FALSE)</f>
        <v>Cyclocross Bicycles</v>
      </c>
      <c r="G3385">
        <v>2</v>
      </c>
      <c r="H3385">
        <v>1549</v>
      </c>
      <c r="I3385" s="5">
        <v>7.0000000000000007E-2</v>
      </c>
      <c r="J3385">
        <f t="shared" si="104"/>
        <v>2881.14</v>
      </c>
      <c r="K3385" s="9">
        <f t="shared" si="105"/>
        <v>0.24861633378001166</v>
      </c>
    </row>
    <row r="3386" spans="1:11" x14ac:dyDescent="0.3">
      <c r="A3386">
        <v>1172</v>
      </c>
      <c r="B3386">
        <v>1</v>
      </c>
      <c r="C3386">
        <v>78</v>
      </c>
      <c r="D3386" t="str">
        <f>VLOOKUP($C3386,products!$A$1:$F$322,MATCH(order_items!$D$1,products!$A$1:$F$1,0),FALSE)</f>
        <v>Sun Bicycles Biscayne Tandem CB - 2017</v>
      </c>
      <c r="E3386">
        <f>VLOOKUP($C3386,products!$A$1:$F$322,MATCH(order_items!$E$1,products!$A$1:$F$1,0),FALSE)</f>
        <v>3</v>
      </c>
      <c r="F3386" t="str">
        <f>VLOOKUP($E3386,categories!$A$1:$B$8,MATCH(order_items!$F$1,categories!$A$1:$B$1,0),FALSE)</f>
        <v>Cruisers Bicycles</v>
      </c>
      <c r="G3386">
        <v>2</v>
      </c>
      <c r="H3386">
        <v>647.99</v>
      </c>
      <c r="I3386" s="5">
        <v>7.0000000000000007E-2</v>
      </c>
      <c r="J3386">
        <f t="shared" si="104"/>
        <v>1205.2613999999999</v>
      </c>
      <c r="K3386" s="9">
        <f t="shared" si="105"/>
        <v>-0.41748847220510982</v>
      </c>
    </row>
    <row r="3387" spans="1:11" x14ac:dyDescent="0.3">
      <c r="A3387">
        <v>1172</v>
      </c>
      <c r="B3387">
        <v>2</v>
      </c>
      <c r="C3387">
        <v>104</v>
      </c>
      <c r="D3387" t="str">
        <f>VLOOKUP($C3387,products!$A$1:$F$322,MATCH(order_items!$D$1,products!$A$1:$F$1,0),FALSE)</f>
        <v>Sun Bicycles Streamway - 2017</v>
      </c>
      <c r="E3387">
        <f>VLOOKUP($C3387,products!$A$1:$F$322,MATCH(order_items!$E$1,products!$A$1:$F$1,0),FALSE)</f>
        <v>2</v>
      </c>
      <c r="F3387" t="str">
        <f>VLOOKUP($E3387,categories!$A$1:$B$8,MATCH(order_items!$F$1,categories!$A$1:$B$1,0),FALSE)</f>
        <v>Comfort Bicycles</v>
      </c>
      <c r="G3387">
        <v>1</v>
      </c>
      <c r="H3387">
        <v>481.99</v>
      </c>
      <c r="I3387" s="5">
        <v>0.2</v>
      </c>
      <c r="J3387">
        <f t="shared" si="104"/>
        <v>385.59200000000004</v>
      </c>
      <c r="K3387" s="9">
        <f t="shared" si="105"/>
        <v>-0.54021008216896171</v>
      </c>
    </row>
    <row r="3388" spans="1:11" x14ac:dyDescent="0.3">
      <c r="A3388">
        <v>1173</v>
      </c>
      <c r="B3388">
        <v>1</v>
      </c>
      <c r="C3388">
        <v>95</v>
      </c>
      <c r="D3388" t="str">
        <f>VLOOKUP($C3388,products!$A$1:$F$322,MATCH(order_items!$D$1,products!$A$1:$F$1,0),FALSE)</f>
        <v>Electra Girl's Hawaii 1 16" - 2017</v>
      </c>
      <c r="E3388">
        <f>VLOOKUP($C3388,products!$A$1:$F$322,MATCH(order_items!$E$1,products!$A$1:$F$1,0),FALSE)</f>
        <v>1</v>
      </c>
      <c r="F3388" t="str">
        <f>VLOOKUP($E3388,categories!$A$1:$B$8,MATCH(order_items!$F$1,categories!$A$1:$B$1,0),FALSE)</f>
        <v>Children Bicycles</v>
      </c>
      <c r="G3388">
        <v>1</v>
      </c>
      <c r="H3388">
        <v>299.99</v>
      </c>
      <c r="I3388" s="5">
        <v>0.2</v>
      </c>
      <c r="J3388">
        <f t="shared" si="104"/>
        <v>239.99200000000002</v>
      </c>
      <c r="K3388" s="9">
        <f t="shared" si="105"/>
        <v>-0.67476028104499197</v>
      </c>
    </row>
    <row r="3389" spans="1:11" x14ac:dyDescent="0.3">
      <c r="A3389">
        <v>1173</v>
      </c>
      <c r="B3389">
        <v>2</v>
      </c>
      <c r="C3389">
        <v>17</v>
      </c>
      <c r="D3389" t="str">
        <f>VLOOKUP($C3389,products!$A$1:$F$322,MATCH(order_items!$D$1,products!$A$1:$F$1,0),FALSE)</f>
        <v>Pure Cycles Vine 8-Speed - 2016</v>
      </c>
      <c r="E3389">
        <f>VLOOKUP($C3389,products!$A$1:$F$322,MATCH(order_items!$E$1,products!$A$1:$F$1,0),FALSE)</f>
        <v>3</v>
      </c>
      <c r="F3389" t="str">
        <f>VLOOKUP($E3389,categories!$A$1:$B$8,MATCH(order_items!$F$1,categories!$A$1:$B$1,0),FALSE)</f>
        <v>Cruisers Bicycles</v>
      </c>
      <c r="G3389">
        <v>1</v>
      </c>
      <c r="H3389">
        <v>429</v>
      </c>
      <c r="I3389" s="5">
        <v>7.0000000000000007E-2</v>
      </c>
      <c r="J3389">
        <f t="shared" si="104"/>
        <v>398.96999999999997</v>
      </c>
      <c r="K3389" s="9">
        <f t="shared" si="105"/>
        <v>-0.57938489007248284</v>
      </c>
    </row>
    <row r="3390" spans="1:11" x14ac:dyDescent="0.3">
      <c r="A3390">
        <v>1173</v>
      </c>
      <c r="B3390">
        <v>3</v>
      </c>
      <c r="C3390">
        <v>68</v>
      </c>
      <c r="D3390" t="str">
        <f>VLOOKUP($C3390,products!$A$1:$F$322,MATCH(order_items!$D$1,products!$A$1:$F$1,0),FALSE)</f>
        <v>Sun Bicycles Cruz 3 - 2017</v>
      </c>
      <c r="E3390">
        <f>VLOOKUP($C3390,products!$A$1:$F$322,MATCH(order_items!$E$1,products!$A$1:$F$1,0),FALSE)</f>
        <v>3</v>
      </c>
      <c r="F3390" t="str">
        <f>VLOOKUP($E3390,categories!$A$1:$B$8,MATCH(order_items!$F$1,categories!$A$1:$B$1,0),FALSE)</f>
        <v>Cruisers Bicycles</v>
      </c>
      <c r="G3390">
        <v>1</v>
      </c>
      <c r="H3390">
        <v>449.99</v>
      </c>
      <c r="I3390" s="5">
        <v>0.05</v>
      </c>
      <c r="J3390">
        <f t="shared" si="104"/>
        <v>427.4905</v>
      </c>
      <c r="K3390" s="9">
        <f t="shared" si="105"/>
        <v>-0.56386725999331866</v>
      </c>
    </row>
    <row r="3391" spans="1:11" x14ac:dyDescent="0.3">
      <c r="A3391">
        <v>1173</v>
      </c>
      <c r="B3391">
        <v>4</v>
      </c>
      <c r="C3391">
        <v>103</v>
      </c>
      <c r="D3391" t="str">
        <f>VLOOKUP($C3391,products!$A$1:$F$322,MATCH(order_items!$D$1,products!$A$1:$F$1,0),FALSE)</f>
        <v>Sun Bicycles Streamway 3 - 2017</v>
      </c>
      <c r="E3391">
        <f>VLOOKUP($C3391,products!$A$1:$F$322,MATCH(order_items!$E$1,products!$A$1:$F$1,0),FALSE)</f>
        <v>2</v>
      </c>
      <c r="F3391" t="str">
        <f>VLOOKUP($E3391,categories!$A$1:$B$8,MATCH(order_items!$F$1,categories!$A$1:$B$1,0),FALSE)</f>
        <v>Comfort Bicycles</v>
      </c>
      <c r="G3391">
        <v>2</v>
      </c>
      <c r="H3391">
        <v>551.99</v>
      </c>
      <c r="I3391" s="5">
        <v>0.2</v>
      </c>
      <c r="J3391">
        <f t="shared" si="104"/>
        <v>883.18400000000008</v>
      </c>
      <c r="K3391" s="9">
        <f t="shared" si="105"/>
        <v>-0.48846000567818076</v>
      </c>
    </row>
    <row r="3392" spans="1:11" x14ac:dyDescent="0.3">
      <c r="A3392">
        <v>1174</v>
      </c>
      <c r="B3392">
        <v>1</v>
      </c>
      <c r="C3392">
        <v>110</v>
      </c>
      <c r="D3392" t="str">
        <f>VLOOKUP($C3392,products!$A$1:$F$322,MATCH(order_items!$D$1,products!$A$1:$F$1,0),FALSE)</f>
        <v>Sun Bicycles Drifter 7 - 2017</v>
      </c>
      <c r="E3392">
        <f>VLOOKUP($C3392,products!$A$1:$F$322,MATCH(order_items!$E$1,products!$A$1:$F$1,0),FALSE)</f>
        <v>2</v>
      </c>
      <c r="F3392" t="str">
        <f>VLOOKUP($E3392,categories!$A$1:$B$8,MATCH(order_items!$F$1,categories!$A$1:$B$1,0),FALSE)</f>
        <v>Comfort Bicycles</v>
      </c>
      <c r="G3392">
        <v>2</v>
      </c>
      <c r="H3392">
        <v>470.99</v>
      </c>
      <c r="I3392" s="5">
        <v>0.2</v>
      </c>
      <c r="J3392">
        <f t="shared" si="104"/>
        <v>753.58400000000006</v>
      </c>
      <c r="K3392" s="9">
        <f t="shared" si="105"/>
        <v>-0.54834223704608442</v>
      </c>
    </row>
    <row r="3393" spans="1:11" x14ac:dyDescent="0.3">
      <c r="A3393">
        <v>1174</v>
      </c>
      <c r="B3393">
        <v>2</v>
      </c>
      <c r="C3393">
        <v>6</v>
      </c>
      <c r="D3393" t="str">
        <f>VLOOKUP($C3393,products!$A$1:$F$322,MATCH(order_items!$D$1,products!$A$1:$F$1,0),FALSE)</f>
        <v>Surly Ice Cream Truck Frameset - 2016</v>
      </c>
      <c r="E3393">
        <f>VLOOKUP($C3393,products!$A$1:$F$322,MATCH(order_items!$E$1,products!$A$1:$F$1,0),FALSE)</f>
        <v>6</v>
      </c>
      <c r="F3393" t="str">
        <f>VLOOKUP($E3393,categories!$A$1:$B$8,MATCH(order_items!$F$1,categories!$A$1:$B$1,0),FALSE)</f>
        <v>Mountain Bikes</v>
      </c>
      <c r="G3393">
        <v>1</v>
      </c>
      <c r="H3393">
        <v>469.99</v>
      </c>
      <c r="I3393" s="5">
        <v>7.0000000000000007E-2</v>
      </c>
      <c r="J3393">
        <f t="shared" si="104"/>
        <v>437.09069999999997</v>
      </c>
      <c r="K3393" s="9">
        <f t="shared" si="105"/>
        <v>-0.5490815238530955</v>
      </c>
    </row>
    <row r="3394" spans="1:11" x14ac:dyDescent="0.3">
      <c r="A3394">
        <v>1174</v>
      </c>
      <c r="B3394">
        <v>3</v>
      </c>
      <c r="C3394">
        <v>106</v>
      </c>
      <c r="D3394" t="str">
        <f>VLOOKUP($C3394,products!$A$1:$F$322,MATCH(order_items!$D$1,products!$A$1:$F$1,0),FALSE)</f>
        <v>Sun Bicycles Cruz 3 - 2017</v>
      </c>
      <c r="E3394">
        <f>VLOOKUP($C3394,products!$A$1:$F$322,MATCH(order_items!$E$1,products!$A$1:$F$1,0),FALSE)</f>
        <v>2</v>
      </c>
      <c r="F3394" t="str">
        <f>VLOOKUP($E3394,categories!$A$1:$B$8,MATCH(order_items!$F$1,categories!$A$1:$B$1,0),FALSE)</f>
        <v>Comfort Bicycles</v>
      </c>
      <c r="G3394">
        <v>1</v>
      </c>
      <c r="H3394">
        <v>449.99</v>
      </c>
      <c r="I3394" s="5">
        <v>0.1</v>
      </c>
      <c r="J3394">
        <f t="shared" ref="J3394:J3457" si="106">G3394*H3394*(1-I3394)</f>
        <v>404.99100000000004</v>
      </c>
      <c r="K3394" s="9">
        <f t="shared" ref="K3394:K3457" si="107">($H3394-$M$7)/$M$9</f>
        <v>-0.56386725999331866</v>
      </c>
    </row>
    <row r="3395" spans="1:11" x14ac:dyDescent="0.3">
      <c r="A3395">
        <v>1175</v>
      </c>
      <c r="B3395">
        <v>1</v>
      </c>
      <c r="C3395">
        <v>58</v>
      </c>
      <c r="D3395" t="str">
        <f>VLOOKUP($C3395,products!$A$1:$F$322,MATCH(order_items!$D$1,products!$A$1:$F$1,0),FALSE)</f>
        <v>Trek Madone 9.2 - 2017</v>
      </c>
      <c r="E3395">
        <f>VLOOKUP($C3395,products!$A$1:$F$322,MATCH(order_items!$E$1,products!$A$1:$F$1,0),FALSE)</f>
        <v>7</v>
      </c>
      <c r="F3395" t="str">
        <f>VLOOKUP($E3395,categories!$A$1:$B$8,MATCH(order_items!$F$1,categories!$A$1:$B$1,0),FALSE)</f>
        <v>Road Bikes</v>
      </c>
      <c r="G3395">
        <v>2</v>
      </c>
      <c r="H3395">
        <v>4999.99</v>
      </c>
      <c r="I3395" s="5">
        <v>7.0000000000000007E-2</v>
      </c>
      <c r="J3395">
        <f t="shared" si="106"/>
        <v>9299.9813999999988</v>
      </c>
      <c r="K3395" s="9">
        <f t="shared" si="107"/>
        <v>2.7998877119074401</v>
      </c>
    </row>
    <row r="3396" spans="1:11" x14ac:dyDescent="0.3">
      <c r="A3396">
        <v>1175</v>
      </c>
      <c r="B3396">
        <v>2</v>
      </c>
      <c r="C3396">
        <v>65</v>
      </c>
      <c r="D3396" t="str">
        <f>VLOOKUP($C3396,products!$A$1:$F$322,MATCH(order_items!$D$1,products!$A$1:$F$1,0),FALSE)</f>
        <v>Sun Bicycles Lil Bolt Type-R - 2017</v>
      </c>
      <c r="E3396">
        <f>VLOOKUP($C3396,products!$A$1:$F$322,MATCH(order_items!$E$1,products!$A$1:$F$1,0),FALSE)</f>
        <v>3</v>
      </c>
      <c r="F3396" t="str">
        <f>VLOOKUP($E3396,categories!$A$1:$B$8,MATCH(order_items!$F$1,categories!$A$1:$B$1,0),FALSE)</f>
        <v>Cruisers Bicycles</v>
      </c>
      <c r="G3396">
        <v>1</v>
      </c>
      <c r="H3396">
        <v>346.99</v>
      </c>
      <c r="I3396" s="5">
        <v>0.2</v>
      </c>
      <c r="J3396">
        <f t="shared" si="106"/>
        <v>277.59200000000004</v>
      </c>
      <c r="K3396" s="9">
        <f t="shared" si="107"/>
        <v>-0.64001380111546768</v>
      </c>
    </row>
    <row r="3397" spans="1:11" x14ac:dyDescent="0.3">
      <c r="A3397">
        <v>1175</v>
      </c>
      <c r="B3397">
        <v>3</v>
      </c>
      <c r="C3397">
        <v>20</v>
      </c>
      <c r="D3397" t="str">
        <f>VLOOKUP($C3397,products!$A$1:$F$322,MATCH(order_items!$D$1,products!$A$1:$F$1,0),FALSE)</f>
        <v>Electra Townie Original 7D EQ - Women's - 2016</v>
      </c>
      <c r="E3397">
        <f>VLOOKUP($C3397,products!$A$1:$F$322,MATCH(order_items!$E$1,products!$A$1:$F$1,0),FALSE)</f>
        <v>3</v>
      </c>
      <c r="F3397" t="str">
        <f>VLOOKUP($E3397,categories!$A$1:$B$8,MATCH(order_items!$F$1,categories!$A$1:$B$1,0),FALSE)</f>
        <v>Cruisers Bicycles</v>
      </c>
      <c r="G3397">
        <v>1</v>
      </c>
      <c r="H3397">
        <v>599.99</v>
      </c>
      <c r="I3397" s="5">
        <v>0.05</v>
      </c>
      <c r="J3397">
        <f t="shared" si="106"/>
        <v>569.9905</v>
      </c>
      <c r="K3397" s="9">
        <f t="shared" si="107"/>
        <v>-0.45297423894164529</v>
      </c>
    </row>
    <row r="3398" spans="1:11" x14ac:dyDescent="0.3">
      <c r="A3398">
        <v>1175</v>
      </c>
      <c r="B3398">
        <v>4</v>
      </c>
      <c r="C3398">
        <v>3</v>
      </c>
      <c r="D3398" t="str">
        <f>VLOOKUP($C3398,products!$A$1:$F$322,MATCH(order_items!$D$1,products!$A$1:$F$1,0),FALSE)</f>
        <v>Surly Wednesday Frameset - 2016</v>
      </c>
      <c r="E3398">
        <f>VLOOKUP($C3398,products!$A$1:$F$322,MATCH(order_items!$E$1,products!$A$1:$F$1,0),FALSE)</f>
        <v>6</v>
      </c>
      <c r="F3398" t="str">
        <f>VLOOKUP($E3398,categories!$A$1:$B$8,MATCH(order_items!$F$1,categories!$A$1:$B$1,0),FALSE)</f>
        <v>Mountain Bikes</v>
      </c>
      <c r="G3398">
        <v>1</v>
      </c>
      <c r="H3398">
        <v>999.99</v>
      </c>
      <c r="I3398" s="5">
        <v>0.05</v>
      </c>
      <c r="J3398">
        <f t="shared" si="106"/>
        <v>949.9905</v>
      </c>
      <c r="K3398" s="9">
        <f t="shared" si="107"/>
        <v>-0.15725951613718298</v>
      </c>
    </row>
    <row r="3399" spans="1:11" x14ac:dyDescent="0.3">
      <c r="A3399">
        <v>1175</v>
      </c>
      <c r="B3399">
        <v>5</v>
      </c>
      <c r="C3399">
        <v>9</v>
      </c>
      <c r="D3399" t="str">
        <f>VLOOKUP($C3399,products!$A$1:$F$322,MATCH(order_items!$D$1,products!$A$1:$F$1,0),FALSE)</f>
        <v>Trek Conduit+ - 2016</v>
      </c>
      <c r="E3399">
        <f>VLOOKUP($C3399,products!$A$1:$F$322,MATCH(order_items!$E$1,products!$A$1:$F$1,0),FALSE)</f>
        <v>5</v>
      </c>
      <c r="F3399" t="str">
        <f>VLOOKUP($E3399,categories!$A$1:$B$8,MATCH(order_items!$F$1,categories!$A$1:$B$1,0),FALSE)</f>
        <v>Electric Bikes</v>
      </c>
      <c r="G3399">
        <v>1</v>
      </c>
      <c r="H3399">
        <v>2999.99</v>
      </c>
      <c r="I3399" s="5">
        <v>0.05</v>
      </c>
      <c r="J3399">
        <f t="shared" si="106"/>
        <v>2849.9904999999999</v>
      </c>
      <c r="K3399" s="9">
        <f t="shared" si="107"/>
        <v>1.3213140978851283</v>
      </c>
    </row>
    <row r="3400" spans="1:11" x14ac:dyDescent="0.3">
      <c r="A3400">
        <v>1176</v>
      </c>
      <c r="B3400">
        <v>1</v>
      </c>
      <c r="C3400">
        <v>87</v>
      </c>
      <c r="D3400" t="str">
        <f>VLOOKUP($C3400,products!$A$1:$F$322,MATCH(order_items!$D$1,products!$A$1:$F$1,0),FALSE)</f>
        <v>Trek Precaliber 12 Boys - 2017</v>
      </c>
      <c r="E3400">
        <f>VLOOKUP($C3400,products!$A$1:$F$322,MATCH(order_items!$E$1,products!$A$1:$F$1,0),FALSE)</f>
        <v>1</v>
      </c>
      <c r="F3400" t="str">
        <f>VLOOKUP($E3400,categories!$A$1:$B$8,MATCH(order_items!$F$1,categories!$A$1:$B$1,0),FALSE)</f>
        <v>Children Bicycles</v>
      </c>
      <c r="G3400">
        <v>1</v>
      </c>
      <c r="H3400">
        <v>189.99</v>
      </c>
      <c r="I3400" s="5">
        <v>0.1</v>
      </c>
      <c r="J3400">
        <f t="shared" si="106"/>
        <v>170.99100000000001</v>
      </c>
      <c r="K3400" s="9">
        <f t="shared" si="107"/>
        <v>-0.75608182981621919</v>
      </c>
    </row>
    <row r="3401" spans="1:11" x14ac:dyDescent="0.3">
      <c r="A3401">
        <v>1177</v>
      </c>
      <c r="B3401">
        <v>1</v>
      </c>
      <c r="C3401">
        <v>62</v>
      </c>
      <c r="D3401" t="str">
        <f>VLOOKUP($C3401,products!$A$1:$F$322,MATCH(order_items!$D$1,products!$A$1:$F$1,0),FALSE)</f>
        <v>Trek Boone 7 - 2017</v>
      </c>
      <c r="E3401">
        <f>VLOOKUP($C3401,products!$A$1:$F$322,MATCH(order_items!$E$1,products!$A$1:$F$1,0),FALSE)</f>
        <v>4</v>
      </c>
      <c r="F3401" t="str">
        <f>VLOOKUP($E3401,categories!$A$1:$B$8,MATCH(order_items!$F$1,categories!$A$1:$B$1,0),FALSE)</f>
        <v>Cyclocross Bicycles</v>
      </c>
      <c r="G3401">
        <v>2</v>
      </c>
      <c r="H3401">
        <v>3499.99</v>
      </c>
      <c r="I3401" s="5">
        <v>7.0000000000000007E-2</v>
      </c>
      <c r="J3401">
        <f t="shared" si="106"/>
        <v>6509.9813999999988</v>
      </c>
      <c r="K3401" s="9">
        <f t="shared" si="107"/>
        <v>1.6909575013907066</v>
      </c>
    </row>
    <row r="3402" spans="1:11" x14ac:dyDescent="0.3">
      <c r="A3402">
        <v>1177</v>
      </c>
      <c r="B3402">
        <v>2</v>
      </c>
      <c r="C3402">
        <v>74</v>
      </c>
      <c r="D3402" t="str">
        <f>VLOOKUP($C3402,products!$A$1:$F$322,MATCH(order_items!$D$1,products!$A$1:$F$1,0),FALSE)</f>
        <v>Electra Cruiser Lux 1 - 2017</v>
      </c>
      <c r="E3402">
        <f>VLOOKUP($C3402,products!$A$1:$F$322,MATCH(order_items!$E$1,products!$A$1:$F$1,0),FALSE)</f>
        <v>3</v>
      </c>
      <c r="F3402" t="str">
        <f>VLOOKUP($E3402,categories!$A$1:$B$8,MATCH(order_items!$F$1,categories!$A$1:$B$1,0),FALSE)</f>
        <v>Cruisers Bicycles</v>
      </c>
      <c r="G3402">
        <v>1</v>
      </c>
      <c r="H3402">
        <v>439.99</v>
      </c>
      <c r="I3402" s="5">
        <v>0.1</v>
      </c>
      <c r="J3402">
        <f t="shared" si="106"/>
        <v>395.99100000000004</v>
      </c>
      <c r="K3402" s="9">
        <f t="shared" si="107"/>
        <v>-0.57126012806343018</v>
      </c>
    </row>
    <row r="3403" spans="1:11" x14ac:dyDescent="0.3">
      <c r="A3403">
        <v>1178</v>
      </c>
      <c r="B3403">
        <v>1</v>
      </c>
      <c r="C3403">
        <v>46</v>
      </c>
      <c r="D3403" t="str">
        <f>VLOOKUP($C3403,products!$A$1:$F$322,MATCH(order_items!$D$1,products!$A$1:$F$1,0),FALSE)</f>
        <v>Haro SR 1.3 - 2017</v>
      </c>
      <c r="E3403">
        <f>VLOOKUP($C3403,products!$A$1:$F$322,MATCH(order_items!$E$1,products!$A$1:$F$1,0),FALSE)</f>
        <v>6</v>
      </c>
      <c r="F3403" t="str">
        <f>VLOOKUP($E3403,categories!$A$1:$B$8,MATCH(order_items!$F$1,categories!$A$1:$B$1,0),FALSE)</f>
        <v>Mountain Bikes</v>
      </c>
      <c r="G3403">
        <v>1</v>
      </c>
      <c r="H3403">
        <v>1409.99</v>
      </c>
      <c r="I3403" s="5">
        <v>7.0000000000000007E-2</v>
      </c>
      <c r="J3403">
        <f t="shared" si="106"/>
        <v>1311.2907</v>
      </c>
      <c r="K3403" s="9">
        <f t="shared" si="107"/>
        <v>0.14584807473739089</v>
      </c>
    </row>
    <row r="3404" spans="1:11" x14ac:dyDescent="0.3">
      <c r="A3404">
        <v>1178</v>
      </c>
      <c r="B3404">
        <v>2</v>
      </c>
      <c r="C3404">
        <v>77</v>
      </c>
      <c r="D3404" t="str">
        <f>VLOOKUP($C3404,products!$A$1:$F$322,MATCH(order_items!$D$1,products!$A$1:$F$1,0),FALSE)</f>
        <v>Electra Glam Punk 3i Ladies' - 2017</v>
      </c>
      <c r="E3404">
        <f>VLOOKUP($C3404,products!$A$1:$F$322,MATCH(order_items!$E$1,products!$A$1:$F$1,0),FALSE)</f>
        <v>3</v>
      </c>
      <c r="F3404" t="str">
        <f>VLOOKUP($E3404,categories!$A$1:$B$8,MATCH(order_items!$F$1,categories!$A$1:$B$1,0),FALSE)</f>
        <v>Cruisers Bicycles</v>
      </c>
      <c r="G3404">
        <v>1</v>
      </c>
      <c r="H3404">
        <v>799.99</v>
      </c>
      <c r="I3404" s="5">
        <v>0.2</v>
      </c>
      <c r="J3404">
        <f t="shared" si="106"/>
        <v>639.99200000000008</v>
      </c>
      <c r="K3404" s="9">
        <f t="shared" si="107"/>
        <v>-0.30511687753941413</v>
      </c>
    </row>
    <row r="3405" spans="1:11" x14ac:dyDescent="0.3">
      <c r="A3405">
        <v>1178</v>
      </c>
      <c r="B3405">
        <v>3</v>
      </c>
      <c r="C3405">
        <v>108</v>
      </c>
      <c r="D3405" t="str">
        <f>VLOOKUP($C3405,products!$A$1:$F$322,MATCH(order_items!$D$1,products!$A$1:$F$1,0),FALSE)</f>
        <v>Sun Bicycles Cruz 3 - Women's - 2017</v>
      </c>
      <c r="E3405">
        <f>VLOOKUP($C3405,products!$A$1:$F$322,MATCH(order_items!$E$1,products!$A$1:$F$1,0),FALSE)</f>
        <v>2</v>
      </c>
      <c r="F3405" t="str">
        <f>VLOOKUP($E3405,categories!$A$1:$B$8,MATCH(order_items!$F$1,categories!$A$1:$B$1,0),FALSE)</f>
        <v>Comfort Bicycles</v>
      </c>
      <c r="G3405">
        <v>1</v>
      </c>
      <c r="H3405">
        <v>449.99</v>
      </c>
      <c r="I3405" s="5">
        <v>0.05</v>
      </c>
      <c r="J3405">
        <f t="shared" si="106"/>
        <v>427.4905</v>
      </c>
      <c r="K3405" s="9">
        <f t="shared" si="107"/>
        <v>-0.56386725999331866</v>
      </c>
    </row>
    <row r="3406" spans="1:11" x14ac:dyDescent="0.3">
      <c r="A3406">
        <v>1178</v>
      </c>
      <c r="B3406">
        <v>4</v>
      </c>
      <c r="C3406">
        <v>13</v>
      </c>
      <c r="D3406" t="str">
        <f>VLOOKUP($C3406,products!$A$1:$F$322,MATCH(order_items!$D$1,products!$A$1:$F$1,0),FALSE)</f>
        <v>Electra Cruiser 1 (24-Inch) - 2016</v>
      </c>
      <c r="E3406">
        <f>VLOOKUP($C3406,products!$A$1:$F$322,MATCH(order_items!$E$1,products!$A$1:$F$1,0),FALSE)</f>
        <v>3</v>
      </c>
      <c r="F3406" t="str">
        <f>VLOOKUP($E3406,categories!$A$1:$B$8,MATCH(order_items!$F$1,categories!$A$1:$B$1,0),FALSE)</f>
        <v>Cruisers Bicycles</v>
      </c>
      <c r="G3406">
        <v>2</v>
      </c>
      <c r="H3406">
        <v>269.99</v>
      </c>
      <c r="I3406" s="5">
        <v>0.05</v>
      </c>
      <c r="J3406">
        <f t="shared" si="106"/>
        <v>512.98099999999999</v>
      </c>
      <c r="K3406" s="9">
        <f t="shared" si="107"/>
        <v>-0.69693888525532666</v>
      </c>
    </row>
    <row r="3407" spans="1:11" x14ac:dyDescent="0.3">
      <c r="A3407">
        <v>1179</v>
      </c>
      <c r="B3407">
        <v>1</v>
      </c>
      <c r="C3407">
        <v>93</v>
      </c>
      <c r="D3407" t="str">
        <f>VLOOKUP($C3407,products!$A$1:$F$322,MATCH(order_items!$D$1,products!$A$1:$F$1,0),FALSE)</f>
        <v>Haro Shredder 20 Girls - 2017</v>
      </c>
      <c r="E3407">
        <f>VLOOKUP($C3407,products!$A$1:$F$322,MATCH(order_items!$E$1,products!$A$1:$F$1,0),FALSE)</f>
        <v>1</v>
      </c>
      <c r="F3407" t="str">
        <f>VLOOKUP($E3407,categories!$A$1:$B$8,MATCH(order_items!$F$1,categories!$A$1:$B$1,0),FALSE)</f>
        <v>Children Bicycles</v>
      </c>
      <c r="G3407">
        <v>2</v>
      </c>
      <c r="H3407">
        <v>209.99</v>
      </c>
      <c r="I3407" s="5">
        <v>0.05</v>
      </c>
      <c r="J3407">
        <f t="shared" si="106"/>
        <v>398.98099999999999</v>
      </c>
      <c r="K3407" s="9">
        <f t="shared" si="107"/>
        <v>-0.74129609367599603</v>
      </c>
    </row>
    <row r="3408" spans="1:11" x14ac:dyDescent="0.3">
      <c r="A3408">
        <v>1179</v>
      </c>
      <c r="B3408">
        <v>2</v>
      </c>
      <c r="C3408">
        <v>88</v>
      </c>
      <c r="D3408" t="str">
        <f>VLOOKUP($C3408,products!$A$1:$F$322,MATCH(order_items!$D$1,products!$A$1:$F$1,0),FALSE)</f>
        <v>Trek Precaliber 12 Girls - 2017</v>
      </c>
      <c r="E3408">
        <f>VLOOKUP($C3408,products!$A$1:$F$322,MATCH(order_items!$E$1,products!$A$1:$F$1,0),FALSE)</f>
        <v>1</v>
      </c>
      <c r="F3408" t="str">
        <f>VLOOKUP($E3408,categories!$A$1:$B$8,MATCH(order_items!$F$1,categories!$A$1:$B$1,0),FALSE)</f>
        <v>Children Bicycles</v>
      </c>
      <c r="G3408">
        <v>2</v>
      </c>
      <c r="H3408">
        <v>189.99</v>
      </c>
      <c r="I3408" s="5">
        <v>0.05</v>
      </c>
      <c r="J3408">
        <f t="shared" si="106"/>
        <v>360.98099999999999</v>
      </c>
      <c r="K3408" s="9">
        <f t="shared" si="107"/>
        <v>-0.75608182981621919</v>
      </c>
    </row>
    <row r="3409" spans="1:11" x14ac:dyDescent="0.3">
      <c r="A3409">
        <v>1179</v>
      </c>
      <c r="B3409">
        <v>3</v>
      </c>
      <c r="C3409">
        <v>33</v>
      </c>
      <c r="D3409" t="str">
        <f>VLOOKUP($C3409,products!$A$1:$F$322,MATCH(order_items!$D$1,products!$A$1:$F$1,0),FALSE)</f>
        <v>Surly Wednesday Frameset - 2017</v>
      </c>
      <c r="E3409">
        <f>VLOOKUP($C3409,products!$A$1:$F$322,MATCH(order_items!$E$1,products!$A$1:$F$1,0),FALSE)</f>
        <v>6</v>
      </c>
      <c r="F3409" t="str">
        <f>VLOOKUP($E3409,categories!$A$1:$B$8,MATCH(order_items!$F$1,categories!$A$1:$B$1,0),FALSE)</f>
        <v>Mountain Bikes</v>
      </c>
      <c r="G3409">
        <v>2</v>
      </c>
      <c r="H3409">
        <v>469.99</v>
      </c>
      <c r="I3409" s="5">
        <v>0.2</v>
      </c>
      <c r="J3409">
        <f t="shared" si="106"/>
        <v>751.98400000000004</v>
      </c>
      <c r="K3409" s="9">
        <f t="shared" si="107"/>
        <v>-0.5490815238530955</v>
      </c>
    </row>
    <row r="3410" spans="1:11" x14ac:dyDescent="0.3">
      <c r="A3410">
        <v>1179</v>
      </c>
      <c r="B3410">
        <v>4</v>
      </c>
      <c r="C3410">
        <v>50</v>
      </c>
      <c r="D3410" t="str">
        <f>VLOOKUP($C3410,products!$A$1:$F$322,MATCH(order_items!$D$1,products!$A$1:$F$1,0),FALSE)</f>
        <v>Trek Silque SLR 7 Women's - 2017</v>
      </c>
      <c r="E3410">
        <f>VLOOKUP($C3410,products!$A$1:$F$322,MATCH(order_items!$E$1,products!$A$1:$F$1,0),FALSE)</f>
        <v>7</v>
      </c>
      <c r="F3410" t="str">
        <f>VLOOKUP($E3410,categories!$A$1:$B$8,MATCH(order_items!$F$1,categories!$A$1:$B$1,0),FALSE)</f>
        <v>Road Bikes</v>
      </c>
      <c r="G3410">
        <v>1</v>
      </c>
      <c r="H3410">
        <v>5999.99</v>
      </c>
      <c r="I3410" s="5">
        <v>7.0000000000000007E-2</v>
      </c>
      <c r="J3410">
        <f t="shared" si="106"/>
        <v>5579.9906999999994</v>
      </c>
      <c r="K3410" s="9">
        <f t="shared" si="107"/>
        <v>3.5391745189185961</v>
      </c>
    </row>
    <row r="3411" spans="1:11" x14ac:dyDescent="0.3">
      <c r="A3411">
        <v>1180</v>
      </c>
      <c r="B3411">
        <v>1</v>
      </c>
      <c r="C3411">
        <v>66</v>
      </c>
      <c r="D3411" t="str">
        <f>VLOOKUP($C3411,products!$A$1:$F$322,MATCH(order_items!$D$1,products!$A$1:$F$1,0),FALSE)</f>
        <v>Sun Bicycles Revolutions 24 - 2017</v>
      </c>
      <c r="E3411">
        <f>VLOOKUP($C3411,products!$A$1:$F$322,MATCH(order_items!$E$1,products!$A$1:$F$1,0),FALSE)</f>
        <v>3</v>
      </c>
      <c r="F3411" t="str">
        <f>VLOOKUP($E3411,categories!$A$1:$B$8,MATCH(order_items!$F$1,categories!$A$1:$B$1,0),FALSE)</f>
        <v>Cruisers Bicycles</v>
      </c>
      <c r="G3411">
        <v>2</v>
      </c>
      <c r="H3411">
        <v>250.99</v>
      </c>
      <c r="I3411" s="5">
        <v>7.0000000000000007E-2</v>
      </c>
      <c r="J3411">
        <f t="shared" si="106"/>
        <v>466.84139999999996</v>
      </c>
      <c r="K3411" s="9">
        <f t="shared" si="107"/>
        <v>-0.71098533458853863</v>
      </c>
    </row>
    <row r="3412" spans="1:11" x14ac:dyDescent="0.3">
      <c r="A3412">
        <v>1181</v>
      </c>
      <c r="B3412">
        <v>1</v>
      </c>
      <c r="C3412">
        <v>98</v>
      </c>
      <c r="D3412" t="str">
        <f>VLOOKUP($C3412,products!$A$1:$F$322,MATCH(order_items!$D$1,products!$A$1:$F$1,0),FALSE)</f>
        <v>Electra Straight 8 3i (20-inch) - Boy's - 2017</v>
      </c>
      <c r="E3412">
        <f>VLOOKUP($C3412,products!$A$1:$F$322,MATCH(order_items!$E$1,products!$A$1:$F$1,0),FALSE)</f>
        <v>1</v>
      </c>
      <c r="F3412" t="str">
        <f>VLOOKUP($E3412,categories!$A$1:$B$8,MATCH(order_items!$F$1,categories!$A$1:$B$1,0),FALSE)</f>
        <v>Children Bicycles</v>
      </c>
      <c r="G3412">
        <v>1</v>
      </c>
      <c r="H3412">
        <v>489.99</v>
      </c>
      <c r="I3412" s="5">
        <v>0.1</v>
      </c>
      <c r="J3412">
        <f t="shared" si="106"/>
        <v>440.99100000000004</v>
      </c>
      <c r="K3412" s="9">
        <f t="shared" si="107"/>
        <v>-0.53429578771287245</v>
      </c>
    </row>
    <row r="3413" spans="1:11" x14ac:dyDescent="0.3">
      <c r="A3413">
        <v>1182</v>
      </c>
      <c r="B3413">
        <v>1</v>
      </c>
      <c r="C3413">
        <v>35</v>
      </c>
      <c r="D3413" t="str">
        <f>VLOOKUP($C3413,products!$A$1:$F$322,MATCH(order_items!$D$1,products!$A$1:$F$1,0),FALSE)</f>
        <v>Sun Bicycles Spider 3i - 2017</v>
      </c>
      <c r="E3413">
        <f>VLOOKUP($C3413,products!$A$1:$F$322,MATCH(order_items!$E$1,products!$A$1:$F$1,0),FALSE)</f>
        <v>6</v>
      </c>
      <c r="F3413" t="str">
        <f>VLOOKUP($E3413,categories!$A$1:$B$8,MATCH(order_items!$F$1,categories!$A$1:$B$1,0),FALSE)</f>
        <v>Mountain Bikes</v>
      </c>
      <c r="G3413">
        <v>1</v>
      </c>
      <c r="H3413">
        <v>832.99</v>
      </c>
      <c r="I3413" s="5">
        <v>0.1</v>
      </c>
      <c r="J3413">
        <f t="shared" si="106"/>
        <v>749.69100000000003</v>
      </c>
      <c r="K3413" s="9">
        <f t="shared" si="107"/>
        <v>-0.280720412908046</v>
      </c>
    </row>
    <row r="3414" spans="1:11" x14ac:dyDescent="0.3">
      <c r="A3414">
        <v>1182</v>
      </c>
      <c r="B3414">
        <v>2</v>
      </c>
      <c r="C3414">
        <v>49</v>
      </c>
      <c r="D3414" t="str">
        <f>VLOOKUP($C3414,products!$A$1:$F$322,MATCH(order_items!$D$1,products!$A$1:$F$1,0),FALSE)</f>
        <v>Trek Domane SL 6 - 2017</v>
      </c>
      <c r="E3414">
        <f>VLOOKUP($C3414,products!$A$1:$F$322,MATCH(order_items!$E$1,products!$A$1:$F$1,0),FALSE)</f>
        <v>7</v>
      </c>
      <c r="F3414" t="str">
        <f>VLOOKUP($E3414,categories!$A$1:$B$8,MATCH(order_items!$F$1,categories!$A$1:$B$1,0),FALSE)</f>
        <v>Road Bikes</v>
      </c>
      <c r="G3414">
        <v>2</v>
      </c>
      <c r="H3414">
        <v>3499.99</v>
      </c>
      <c r="I3414" s="5">
        <v>0.1</v>
      </c>
      <c r="J3414">
        <f t="shared" si="106"/>
        <v>6299.982</v>
      </c>
      <c r="K3414" s="9">
        <f t="shared" si="107"/>
        <v>1.6909575013907066</v>
      </c>
    </row>
    <row r="3415" spans="1:11" x14ac:dyDescent="0.3">
      <c r="A3415">
        <v>1183</v>
      </c>
      <c r="B3415">
        <v>1</v>
      </c>
      <c r="C3415">
        <v>63</v>
      </c>
      <c r="D3415" t="str">
        <f>VLOOKUP($C3415,products!$A$1:$F$322,MATCH(order_items!$D$1,products!$A$1:$F$1,0),FALSE)</f>
        <v>Trek Boone Race Shop Limited - 2017</v>
      </c>
      <c r="E3415">
        <f>VLOOKUP($C3415,products!$A$1:$F$322,MATCH(order_items!$E$1,products!$A$1:$F$1,0),FALSE)</f>
        <v>4</v>
      </c>
      <c r="F3415" t="str">
        <f>VLOOKUP($E3415,categories!$A$1:$B$8,MATCH(order_items!$F$1,categories!$A$1:$B$1,0),FALSE)</f>
        <v>Cyclocross Bicycles</v>
      </c>
      <c r="G3415">
        <v>1</v>
      </c>
      <c r="H3415">
        <v>3499.99</v>
      </c>
      <c r="I3415" s="5">
        <v>0.2</v>
      </c>
      <c r="J3415">
        <f t="shared" si="106"/>
        <v>2799.9920000000002</v>
      </c>
      <c r="K3415" s="9">
        <f t="shared" si="107"/>
        <v>1.6909575013907066</v>
      </c>
    </row>
    <row r="3416" spans="1:11" x14ac:dyDescent="0.3">
      <c r="A3416">
        <v>1183</v>
      </c>
      <c r="B3416">
        <v>2</v>
      </c>
      <c r="C3416">
        <v>80</v>
      </c>
      <c r="D3416" t="str">
        <f>VLOOKUP($C3416,products!$A$1:$F$322,MATCH(order_items!$D$1,products!$A$1:$F$1,0),FALSE)</f>
        <v>Sun Bicycles Brickell Tandem CB - 2017</v>
      </c>
      <c r="E3416">
        <f>VLOOKUP($C3416,products!$A$1:$F$322,MATCH(order_items!$E$1,products!$A$1:$F$1,0),FALSE)</f>
        <v>3</v>
      </c>
      <c r="F3416" t="str">
        <f>VLOOKUP($E3416,categories!$A$1:$B$8,MATCH(order_items!$F$1,categories!$A$1:$B$1,0),FALSE)</f>
        <v>Cruisers Bicycles</v>
      </c>
      <c r="G3416">
        <v>2</v>
      </c>
      <c r="H3416">
        <v>761.99</v>
      </c>
      <c r="I3416" s="5">
        <v>0.2</v>
      </c>
      <c r="J3416">
        <f t="shared" si="106"/>
        <v>1219.184</v>
      </c>
      <c r="K3416" s="9">
        <f t="shared" si="107"/>
        <v>-0.33320977620583803</v>
      </c>
    </row>
    <row r="3417" spans="1:11" x14ac:dyDescent="0.3">
      <c r="A3417">
        <v>1183</v>
      </c>
      <c r="B3417">
        <v>3</v>
      </c>
      <c r="C3417">
        <v>6</v>
      </c>
      <c r="D3417" t="str">
        <f>VLOOKUP($C3417,products!$A$1:$F$322,MATCH(order_items!$D$1,products!$A$1:$F$1,0),FALSE)</f>
        <v>Surly Ice Cream Truck Frameset - 2016</v>
      </c>
      <c r="E3417">
        <f>VLOOKUP($C3417,products!$A$1:$F$322,MATCH(order_items!$E$1,products!$A$1:$F$1,0),FALSE)</f>
        <v>6</v>
      </c>
      <c r="F3417" t="str">
        <f>VLOOKUP($E3417,categories!$A$1:$B$8,MATCH(order_items!$F$1,categories!$A$1:$B$1,0),FALSE)</f>
        <v>Mountain Bikes</v>
      </c>
      <c r="G3417">
        <v>2</v>
      </c>
      <c r="H3417">
        <v>469.99</v>
      </c>
      <c r="I3417" s="5">
        <v>0.05</v>
      </c>
      <c r="J3417">
        <f t="shared" si="106"/>
        <v>892.98099999999999</v>
      </c>
      <c r="K3417" s="9">
        <f t="shared" si="107"/>
        <v>-0.5490815238530955</v>
      </c>
    </row>
    <row r="3418" spans="1:11" x14ac:dyDescent="0.3">
      <c r="A3418">
        <v>1184</v>
      </c>
      <c r="B3418">
        <v>1</v>
      </c>
      <c r="C3418">
        <v>16</v>
      </c>
      <c r="D3418" t="str">
        <f>VLOOKUP($C3418,products!$A$1:$F$322,MATCH(order_items!$D$1,products!$A$1:$F$1,0),FALSE)</f>
        <v>Electra Townie Original 7D EQ - 2016</v>
      </c>
      <c r="E3418">
        <f>VLOOKUP($C3418,products!$A$1:$F$322,MATCH(order_items!$E$1,products!$A$1:$F$1,0),FALSE)</f>
        <v>3</v>
      </c>
      <c r="F3418" t="str">
        <f>VLOOKUP($E3418,categories!$A$1:$B$8,MATCH(order_items!$F$1,categories!$A$1:$B$1,0),FALSE)</f>
        <v>Cruisers Bicycles</v>
      </c>
      <c r="G3418">
        <v>2</v>
      </c>
      <c r="H3418">
        <v>599.99</v>
      </c>
      <c r="I3418" s="5">
        <v>0.05</v>
      </c>
      <c r="J3418">
        <f t="shared" si="106"/>
        <v>1139.981</v>
      </c>
      <c r="K3418" s="9">
        <f t="shared" si="107"/>
        <v>-0.45297423894164529</v>
      </c>
    </row>
    <row r="3419" spans="1:11" x14ac:dyDescent="0.3">
      <c r="A3419">
        <v>1184</v>
      </c>
      <c r="B3419">
        <v>2</v>
      </c>
      <c r="C3419">
        <v>71</v>
      </c>
      <c r="D3419" t="str">
        <f>VLOOKUP($C3419,products!$A$1:$F$322,MATCH(order_items!$D$1,products!$A$1:$F$1,0),FALSE)</f>
        <v>Sun Bicycles Atlas X-Type - 2017</v>
      </c>
      <c r="E3419">
        <f>VLOOKUP($C3419,products!$A$1:$F$322,MATCH(order_items!$E$1,products!$A$1:$F$1,0),FALSE)</f>
        <v>3</v>
      </c>
      <c r="F3419" t="str">
        <f>VLOOKUP($E3419,categories!$A$1:$B$8,MATCH(order_items!$F$1,categories!$A$1:$B$1,0),FALSE)</f>
        <v>Cruisers Bicycles</v>
      </c>
      <c r="G3419">
        <v>1</v>
      </c>
      <c r="H3419">
        <v>416.99</v>
      </c>
      <c r="I3419" s="5">
        <v>0.05</v>
      </c>
      <c r="J3419">
        <f t="shared" si="106"/>
        <v>396.14049999999997</v>
      </c>
      <c r="K3419" s="9">
        <f t="shared" si="107"/>
        <v>-0.58826372462468679</v>
      </c>
    </row>
    <row r="3420" spans="1:11" x14ac:dyDescent="0.3">
      <c r="A3420">
        <v>1185</v>
      </c>
      <c r="B3420">
        <v>1</v>
      </c>
      <c r="C3420">
        <v>19</v>
      </c>
      <c r="D3420" t="str">
        <f>VLOOKUP($C3420,products!$A$1:$F$322,MATCH(order_items!$D$1,products!$A$1:$F$1,0),FALSE)</f>
        <v>Pure Cycles William 3-Speed - 2016</v>
      </c>
      <c r="E3420">
        <f>VLOOKUP($C3420,products!$A$1:$F$322,MATCH(order_items!$E$1,products!$A$1:$F$1,0),FALSE)</f>
        <v>3</v>
      </c>
      <c r="F3420" t="str">
        <f>VLOOKUP($E3420,categories!$A$1:$B$8,MATCH(order_items!$F$1,categories!$A$1:$B$1,0),FALSE)</f>
        <v>Cruisers Bicycles</v>
      </c>
      <c r="G3420">
        <v>2</v>
      </c>
      <c r="H3420">
        <v>449</v>
      </c>
      <c r="I3420" s="5">
        <v>7.0000000000000007E-2</v>
      </c>
      <c r="J3420">
        <f t="shared" si="106"/>
        <v>835.14</v>
      </c>
      <c r="K3420" s="9">
        <f t="shared" si="107"/>
        <v>-0.56459915393225968</v>
      </c>
    </row>
    <row r="3421" spans="1:11" x14ac:dyDescent="0.3">
      <c r="A3421">
        <v>1185</v>
      </c>
      <c r="B3421">
        <v>2</v>
      </c>
      <c r="C3421">
        <v>21</v>
      </c>
      <c r="D3421" t="str">
        <f>VLOOKUP($C3421,products!$A$1:$F$322,MATCH(order_items!$D$1,products!$A$1:$F$1,0),FALSE)</f>
        <v>Electra Cruiser 1 (24-Inch) - 2016</v>
      </c>
      <c r="E3421">
        <f>VLOOKUP($C3421,products!$A$1:$F$322,MATCH(order_items!$E$1,products!$A$1:$F$1,0),FALSE)</f>
        <v>1</v>
      </c>
      <c r="F3421" t="str">
        <f>VLOOKUP($E3421,categories!$A$1:$B$8,MATCH(order_items!$F$1,categories!$A$1:$B$1,0),FALSE)</f>
        <v>Children Bicycles</v>
      </c>
      <c r="G3421">
        <v>1</v>
      </c>
      <c r="H3421">
        <v>269.99</v>
      </c>
      <c r="I3421" s="5">
        <v>7.0000000000000007E-2</v>
      </c>
      <c r="J3421">
        <f t="shared" si="106"/>
        <v>251.0907</v>
      </c>
      <c r="K3421" s="9">
        <f t="shared" si="107"/>
        <v>-0.69693888525532666</v>
      </c>
    </row>
    <row r="3422" spans="1:11" x14ac:dyDescent="0.3">
      <c r="A3422">
        <v>1185</v>
      </c>
      <c r="B3422">
        <v>3</v>
      </c>
      <c r="C3422">
        <v>63</v>
      </c>
      <c r="D3422" t="str">
        <f>VLOOKUP($C3422,products!$A$1:$F$322,MATCH(order_items!$D$1,products!$A$1:$F$1,0),FALSE)</f>
        <v>Trek Boone Race Shop Limited - 2017</v>
      </c>
      <c r="E3422">
        <f>VLOOKUP($C3422,products!$A$1:$F$322,MATCH(order_items!$E$1,products!$A$1:$F$1,0),FALSE)</f>
        <v>4</v>
      </c>
      <c r="F3422" t="str">
        <f>VLOOKUP($E3422,categories!$A$1:$B$8,MATCH(order_items!$F$1,categories!$A$1:$B$1,0),FALSE)</f>
        <v>Cyclocross Bicycles</v>
      </c>
      <c r="G3422">
        <v>2</v>
      </c>
      <c r="H3422">
        <v>3499.99</v>
      </c>
      <c r="I3422" s="5">
        <v>0.1</v>
      </c>
      <c r="J3422">
        <f t="shared" si="106"/>
        <v>6299.982</v>
      </c>
      <c r="K3422" s="9">
        <f t="shared" si="107"/>
        <v>1.6909575013907066</v>
      </c>
    </row>
    <row r="3423" spans="1:11" x14ac:dyDescent="0.3">
      <c r="A3423">
        <v>1185</v>
      </c>
      <c r="B3423">
        <v>4</v>
      </c>
      <c r="C3423">
        <v>80</v>
      </c>
      <c r="D3423" t="str">
        <f>VLOOKUP($C3423,products!$A$1:$F$322,MATCH(order_items!$D$1,products!$A$1:$F$1,0),FALSE)</f>
        <v>Sun Bicycles Brickell Tandem CB - 2017</v>
      </c>
      <c r="E3423">
        <f>VLOOKUP($C3423,products!$A$1:$F$322,MATCH(order_items!$E$1,products!$A$1:$F$1,0),FALSE)</f>
        <v>3</v>
      </c>
      <c r="F3423" t="str">
        <f>VLOOKUP($E3423,categories!$A$1:$B$8,MATCH(order_items!$F$1,categories!$A$1:$B$1,0),FALSE)</f>
        <v>Cruisers Bicycles</v>
      </c>
      <c r="G3423">
        <v>1</v>
      </c>
      <c r="H3423">
        <v>761.99</v>
      </c>
      <c r="I3423" s="5">
        <v>0.2</v>
      </c>
      <c r="J3423">
        <f t="shared" si="106"/>
        <v>609.59199999999998</v>
      </c>
      <c r="K3423" s="9">
        <f t="shared" si="107"/>
        <v>-0.33320977620583803</v>
      </c>
    </row>
    <row r="3424" spans="1:11" x14ac:dyDescent="0.3">
      <c r="A3424">
        <v>1186</v>
      </c>
      <c r="B3424">
        <v>1</v>
      </c>
      <c r="C3424">
        <v>48</v>
      </c>
      <c r="D3424" t="str">
        <f>VLOOKUP($C3424,products!$A$1:$F$322,MATCH(order_items!$D$1,products!$A$1:$F$1,0),FALSE)</f>
        <v>Trek Emonda S 4 - 2017</v>
      </c>
      <c r="E3424">
        <f>VLOOKUP($C3424,products!$A$1:$F$322,MATCH(order_items!$E$1,products!$A$1:$F$1,0),FALSE)</f>
        <v>7</v>
      </c>
      <c r="F3424" t="str">
        <f>VLOOKUP($E3424,categories!$A$1:$B$8,MATCH(order_items!$F$1,categories!$A$1:$B$1,0),FALSE)</f>
        <v>Road Bikes</v>
      </c>
      <c r="G3424">
        <v>2</v>
      </c>
      <c r="H3424">
        <v>1499.99</v>
      </c>
      <c r="I3424" s="5">
        <v>0.1</v>
      </c>
      <c r="J3424">
        <f t="shared" si="106"/>
        <v>2699.982</v>
      </c>
      <c r="K3424" s="9">
        <f t="shared" si="107"/>
        <v>0.21238388736839492</v>
      </c>
    </row>
    <row r="3425" spans="1:11" x14ac:dyDescent="0.3">
      <c r="A3425">
        <v>1186</v>
      </c>
      <c r="B3425">
        <v>2</v>
      </c>
      <c r="C3425">
        <v>49</v>
      </c>
      <c r="D3425" t="str">
        <f>VLOOKUP($C3425,products!$A$1:$F$322,MATCH(order_items!$D$1,products!$A$1:$F$1,0),FALSE)</f>
        <v>Trek Domane SL 6 - 2017</v>
      </c>
      <c r="E3425">
        <f>VLOOKUP($C3425,products!$A$1:$F$322,MATCH(order_items!$E$1,products!$A$1:$F$1,0),FALSE)</f>
        <v>7</v>
      </c>
      <c r="F3425" t="str">
        <f>VLOOKUP($E3425,categories!$A$1:$B$8,MATCH(order_items!$F$1,categories!$A$1:$B$1,0),FALSE)</f>
        <v>Road Bikes</v>
      </c>
      <c r="G3425">
        <v>1</v>
      </c>
      <c r="H3425">
        <v>3499.99</v>
      </c>
      <c r="I3425" s="5">
        <v>7.0000000000000007E-2</v>
      </c>
      <c r="J3425">
        <f t="shared" si="106"/>
        <v>3254.9906999999994</v>
      </c>
      <c r="K3425" s="9">
        <f t="shared" si="107"/>
        <v>1.6909575013907066</v>
      </c>
    </row>
    <row r="3426" spans="1:11" x14ac:dyDescent="0.3">
      <c r="A3426">
        <v>1186</v>
      </c>
      <c r="B3426">
        <v>3</v>
      </c>
      <c r="C3426">
        <v>106</v>
      </c>
      <c r="D3426" t="str">
        <f>VLOOKUP($C3426,products!$A$1:$F$322,MATCH(order_items!$D$1,products!$A$1:$F$1,0),FALSE)</f>
        <v>Sun Bicycles Cruz 3 - 2017</v>
      </c>
      <c r="E3426">
        <f>VLOOKUP($C3426,products!$A$1:$F$322,MATCH(order_items!$E$1,products!$A$1:$F$1,0),FALSE)</f>
        <v>2</v>
      </c>
      <c r="F3426" t="str">
        <f>VLOOKUP($E3426,categories!$A$1:$B$8,MATCH(order_items!$F$1,categories!$A$1:$B$1,0),FALSE)</f>
        <v>Comfort Bicycles</v>
      </c>
      <c r="G3426">
        <v>1</v>
      </c>
      <c r="H3426">
        <v>449.99</v>
      </c>
      <c r="I3426" s="5">
        <v>0.1</v>
      </c>
      <c r="J3426">
        <f t="shared" si="106"/>
        <v>404.99100000000004</v>
      </c>
      <c r="K3426" s="9">
        <f t="shared" si="107"/>
        <v>-0.56386725999331866</v>
      </c>
    </row>
    <row r="3427" spans="1:11" x14ac:dyDescent="0.3">
      <c r="A3427">
        <v>1186</v>
      </c>
      <c r="B3427">
        <v>4</v>
      </c>
      <c r="C3427">
        <v>27</v>
      </c>
      <c r="D3427" t="str">
        <f>VLOOKUP($C3427,products!$A$1:$F$322,MATCH(order_items!$D$1,products!$A$1:$F$1,0),FALSE)</f>
        <v>Surly Big Dummy Frameset - 2017</v>
      </c>
      <c r="E3427">
        <f>VLOOKUP($C3427,products!$A$1:$F$322,MATCH(order_items!$E$1,products!$A$1:$F$1,0),FALSE)</f>
        <v>6</v>
      </c>
      <c r="F3427" t="str">
        <f>VLOOKUP($E3427,categories!$A$1:$B$8,MATCH(order_items!$F$1,categories!$A$1:$B$1,0),FALSE)</f>
        <v>Mountain Bikes</v>
      </c>
      <c r="G3427">
        <v>1</v>
      </c>
      <c r="H3427">
        <v>999.99</v>
      </c>
      <c r="I3427" s="5">
        <v>0.2</v>
      </c>
      <c r="J3427">
        <f t="shared" si="106"/>
        <v>799.99200000000008</v>
      </c>
      <c r="K3427" s="9">
        <f t="shared" si="107"/>
        <v>-0.15725951613718298</v>
      </c>
    </row>
    <row r="3428" spans="1:11" x14ac:dyDescent="0.3">
      <c r="A3428">
        <v>1187</v>
      </c>
      <c r="B3428">
        <v>1</v>
      </c>
      <c r="C3428">
        <v>36</v>
      </c>
      <c r="D3428" t="str">
        <f>VLOOKUP($C3428,products!$A$1:$F$322,MATCH(order_items!$D$1,products!$A$1:$F$1,0),FALSE)</f>
        <v>Surly Troll Frameset - 2017</v>
      </c>
      <c r="E3428">
        <f>VLOOKUP($C3428,products!$A$1:$F$322,MATCH(order_items!$E$1,products!$A$1:$F$1,0),FALSE)</f>
        <v>6</v>
      </c>
      <c r="F3428" t="str">
        <f>VLOOKUP($E3428,categories!$A$1:$B$8,MATCH(order_items!$F$1,categories!$A$1:$B$1,0),FALSE)</f>
        <v>Mountain Bikes</v>
      </c>
      <c r="G3428">
        <v>2</v>
      </c>
      <c r="H3428">
        <v>832.99</v>
      </c>
      <c r="I3428" s="5">
        <v>0.1</v>
      </c>
      <c r="J3428">
        <f t="shared" si="106"/>
        <v>1499.3820000000001</v>
      </c>
      <c r="K3428" s="9">
        <f t="shared" si="107"/>
        <v>-0.280720412908046</v>
      </c>
    </row>
    <row r="3429" spans="1:11" x14ac:dyDescent="0.3">
      <c r="A3429">
        <v>1187</v>
      </c>
      <c r="B3429">
        <v>2</v>
      </c>
      <c r="C3429">
        <v>79</v>
      </c>
      <c r="D3429" t="str">
        <f>VLOOKUP($C3429,products!$A$1:$F$322,MATCH(order_items!$D$1,products!$A$1:$F$1,0),FALSE)</f>
        <v>Sun Bicycles Boardwalk (24-inch Wheels) - 2017</v>
      </c>
      <c r="E3429">
        <f>VLOOKUP($C3429,products!$A$1:$F$322,MATCH(order_items!$E$1,products!$A$1:$F$1,0),FALSE)</f>
        <v>3</v>
      </c>
      <c r="F3429" t="str">
        <f>VLOOKUP($E3429,categories!$A$1:$B$8,MATCH(order_items!$F$1,categories!$A$1:$B$1,0),FALSE)</f>
        <v>Cruisers Bicycles</v>
      </c>
      <c r="G3429">
        <v>1</v>
      </c>
      <c r="H3429">
        <v>402.99</v>
      </c>
      <c r="I3429" s="5">
        <v>7.0000000000000007E-2</v>
      </c>
      <c r="J3429">
        <f t="shared" si="106"/>
        <v>374.78069999999997</v>
      </c>
      <c r="K3429" s="9">
        <f t="shared" si="107"/>
        <v>-0.59861373992284295</v>
      </c>
    </row>
    <row r="3430" spans="1:11" x14ac:dyDescent="0.3">
      <c r="A3430">
        <v>1187</v>
      </c>
      <c r="B3430">
        <v>3</v>
      </c>
      <c r="C3430">
        <v>4</v>
      </c>
      <c r="D3430" t="str">
        <f>VLOOKUP($C3430,products!$A$1:$F$322,MATCH(order_items!$D$1,products!$A$1:$F$1,0),FALSE)</f>
        <v>Trek Fuel EX 8 29 - 2016</v>
      </c>
      <c r="E3430">
        <f>VLOOKUP($C3430,products!$A$1:$F$322,MATCH(order_items!$E$1,products!$A$1:$F$1,0),FALSE)</f>
        <v>6</v>
      </c>
      <c r="F3430" t="str">
        <f>VLOOKUP($E3430,categories!$A$1:$B$8,MATCH(order_items!$F$1,categories!$A$1:$B$1,0),FALSE)</f>
        <v>Mountain Bikes</v>
      </c>
      <c r="G3430">
        <v>1</v>
      </c>
      <c r="H3430">
        <v>2899.99</v>
      </c>
      <c r="I3430" s="5">
        <v>0.1</v>
      </c>
      <c r="J3430">
        <f t="shared" si="106"/>
        <v>2609.991</v>
      </c>
      <c r="K3430" s="9">
        <f t="shared" si="107"/>
        <v>1.2473854171840129</v>
      </c>
    </row>
    <row r="3431" spans="1:11" x14ac:dyDescent="0.3">
      <c r="A3431">
        <v>1187</v>
      </c>
      <c r="B3431">
        <v>4</v>
      </c>
      <c r="C3431">
        <v>53</v>
      </c>
      <c r="D3431" t="str">
        <f>VLOOKUP($C3431,products!$A$1:$F$322,MATCH(order_items!$D$1,products!$A$1:$F$1,0),FALSE)</f>
        <v>Surly Ogre Frameset - 2017</v>
      </c>
      <c r="E3431">
        <f>VLOOKUP($C3431,products!$A$1:$F$322,MATCH(order_items!$E$1,products!$A$1:$F$1,0),FALSE)</f>
        <v>7</v>
      </c>
      <c r="F3431" t="str">
        <f>VLOOKUP($E3431,categories!$A$1:$B$8,MATCH(order_items!$F$1,categories!$A$1:$B$1,0),FALSE)</f>
        <v>Road Bikes</v>
      </c>
      <c r="G3431">
        <v>2</v>
      </c>
      <c r="H3431">
        <v>749.99</v>
      </c>
      <c r="I3431" s="5">
        <v>0.1</v>
      </c>
      <c r="J3431">
        <f t="shared" si="106"/>
        <v>1349.982</v>
      </c>
      <c r="K3431" s="9">
        <f t="shared" si="107"/>
        <v>-0.34208121788997192</v>
      </c>
    </row>
    <row r="3432" spans="1:11" x14ac:dyDescent="0.3">
      <c r="A3432">
        <v>1188</v>
      </c>
      <c r="B3432">
        <v>1</v>
      </c>
      <c r="C3432">
        <v>66</v>
      </c>
      <c r="D3432" t="str">
        <f>VLOOKUP($C3432,products!$A$1:$F$322,MATCH(order_items!$D$1,products!$A$1:$F$1,0),FALSE)</f>
        <v>Sun Bicycles Revolutions 24 - 2017</v>
      </c>
      <c r="E3432">
        <f>VLOOKUP($C3432,products!$A$1:$F$322,MATCH(order_items!$E$1,products!$A$1:$F$1,0),FALSE)</f>
        <v>3</v>
      </c>
      <c r="F3432" t="str">
        <f>VLOOKUP($E3432,categories!$A$1:$B$8,MATCH(order_items!$F$1,categories!$A$1:$B$1,0),FALSE)</f>
        <v>Cruisers Bicycles</v>
      </c>
      <c r="G3432">
        <v>2</v>
      </c>
      <c r="H3432">
        <v>250.99</v>
      </c>
      <c r="I3432" s="5">
        <v>0.1</v>
      </c>
      <c r="J3432">
        <f t="shared" si="106"/>
        <v>451.78200000000004</v>
      </c>
      <c r="K3432" s="9">
        <f t="shared" si="107"/>
        <v>-0.71098533458853863</v>
      </c>
    </row>
    <row r="3433" spans="1:11" x14ac:dyDescent="0.3">
      <c r="A3433">
        <v>1188</v>
      </c>
      <c r="B3433">
        <v>2</v>
      </c>
      <c r="C3433">
        <v>91</v>
      </c>
      <c r="D3433" t="str">
        <f>VLOOKUP($C3433,products!$A$1:$F$322,MATCH(order_items!$D$1,products!$A$1:$F$1,0),FALSE)</f>
        <v>Trek Precaliber 24 (21-Speed) - Girls - 2017</v>
      </c>
      <c r="E3433">
        <f>VLOOKUP($C3433,products!$A$1:$F$322,MATCH(order_items!$E$1,products!$A$1:$F$1,0),FALSE)</f>
        <v>1</v>
      </c>
      <c r="F3433" t="str">
        <f>VLOOKUP($E3433,categories!$A$1:$B$8,MATCH(order_items!$F$1,categories!$A$1:$B$1,0),FALSE)</f>
        <v>Children Bicycles</v>
      </c>
      <c r="G3433">
        <v>2</v>
      </c>
      <c r="H3433">
        <v>349.99</v>
      </c>
      <c r="I3433" s="5">
        <v>0.2</v>
      </c>
      <c r="J3433">
        <f t="shared" si="106"/>
        <v>559.98400000000004</v>
      </c>
      <c r="K3433" s="9">
        <f t="shared" si="107"/>
        <v>-0.63779594069443424</v>
      </c>
    </row>
    <row r="3434" spans="1:11" x14ac:dyDescent="0.3">
      <c r="A3434">
        <v>1188</v>
      </c>
      <c r="B3434">
        <v>3</v>
      </c>
      <c r="C3434">
        <v>87</v>
      </c>
      <c r="D3434" t="str">
        <f>VLOOKUP($C3434,products!$A$1:$F$322,MATCH(order_items!$D$1,products!$A$1:$F$1,0),FALSE)</f>
        <v>Trek Precaliber 12 Boys - 2017</v>
      </c>
      <c r="E3434">
        <f>VLOOKUP($C3434,products!$A$1:$F$322,MATCH(order_items!$E$1,products!$A$1:$F$1,0),FALSE)</f>
        <v>1</v>
      </c>
      <c r="F3434" t="str">
        <f>VLOOKUP($E3434,categories!$A$1:$B$8,MATCH(order_items!$F$1,categories!$A$1:$B$1,0),FALSE)</f>
        <v>Children Bicycles</v>
      </c>
      <c r="G3434">
        <v>2</v>
      </c>
      <c r="H3434">
        <v>189.99</v>
      </c>
      <c r="I3434" s="5">
        <v>0.1</v>
      </c>
      <c r="J3434">
        <f t="shared" si="106"/>
        <v>341.98200000000003</v>
      </c>
      <c r="K3434" s="9">
        <f t="shared" si="107"/>
        <v>-0.75608182981621919</v>
      </c>
    </row>
    <row r="3435" spans="1:11" x14ac:dyDescent="0.3">
      <c r="A3435">
        <v>1189</v>
      </c>
      <c r="B3435">
        <v>1</v>
      </c>
      <c r="C3435">
        <v>55</v>
      </c>
      <c r="D3435" t="str">
        <f>VLOOKUP($C3435,products!$A$1:$F$322,MATCH(order_items!$D$1,products!$A$1:$F$1,0),FALSE)</f>
        <v>Trek Domane S 6 - 2017</v>
      </c>
      <c r="E3435">
        <f>VLOOKUP($C3435,products!$A$1:$F$322,MATCH(order_items!$E$1,products!$A$1:$F$1,0),FALSE)</f>
        <v>7</v>
      </c>
      <c r="F3435" t="str">
        <f>VLOOKUP($E3435,categories!$A$1:$B$8,MATCH(order_items!$F$1,categories!$A$1:$B$1,0),FALSE)</f>
        <v>Road Bikes</v>
      </c>
      <c r="G3435">
        <v>1</v>
      </c>
      <c r="H3435">
        <v>2699.99</v>
      </c>
      <c r="I3435" s="5">
        <v>7.0000000000000007E-2</v>
      </c>
      <c r="J3435">
        <f t="shared" si="106"/>
        <v>2510.9906999999998</v>
      </c>
      <c r="K3435" s="9">
        <f t="shared" si="107"/>
        <v>1.0995280557817817</v>
      </c>
    </row>
    <row r="3436" spans="1:11" x14ac:dyDescent="0.3">
      <c r="A3436">
        <v>1189</v>
      </c>
      <c r="B3436">
        <v>2</v>
      </c>
      <c r="C3436">
        <v>102</v>
      </c>
      <c r="D3436" t="str">
        <f>VLOOKUP($C3436,products!$A$1:$F$322,MATCH(order_items!$D$1,products!$A$1:$F$1,0),FALSE)</f>
        <v>Electra Townie Original 7D - 2017</v>
      </c>
      <c r="E3436">
        <f>VLOOKUP($C3436,products!$A$1:$F$322,MATCH(order_items!$E$1,products!$A$1:$F$1,0),FALSE)</f>
        <v>2</v>
      </c>
      <c r="F3436" t="str">
        <f>VLOOKUP($E3436,categories!$A$1:$B$8,MATCH(order_items!$F$1,categories!$A$1:$B$1,0),FALSE)</f>
        <v>Comfort Bicycles</v>
      </c>
      <c r="G3436">
        <v>2</v>
      </c>
      <c r="H3436">
        <v>489.99</v>
      </c>
      <c r="I3436" s="5">
        <v>0.1</v>
      </c>
      <c r="J3436">
        <f t="shared" si="106"/>
        <v>881.98200000000008</v>
      </c>
      <c r="K3436" s="9">
        <f t="shared" si="107"/>
        <v>-0.53429578771287245</v>
      </c>
    </row>
    <row r="3437" spans="1:11" x14ac:dyDescent="0.3">
      <c r="A3437">
        <v>1189</v>
      </c>
      <c r="B3437">
        <v>3</v>
      </c>
      <c r="C3437">
        <v>40</v>
      </c>
      <c r="D3437" t="str">
        <f>VLOOKUP($C3437,products!$A$1:$F$322,MATCH(order_items!$D$1,products!$A$1:$F$1,0),FALSE)</f>
        <v>Trek Fuel EX 9.8 29 - 2017</v>
      </c>
      <c r="E3437">
        <f>VLOOKUP($C3437,products!$A$1:$F$322,MATCH(order_items!$E$1,products!$A$1:$F$1,0),FALSE)</f>
        <v>6</v>
      </c>
      <c r="F3437" t="str">
        <f>VLOOKUP($E3437,categories!$A$1:$B$8,MATCH(order_items!$F$1,categories!$A$1:$B$1,0),FALSE)</f>
        <v>Mountain Bikes</v>
      </c>
      <c r="G3437">
        <v>2</v>
      </c>
      <c r="H3437">
        <v>4999.99</v>
      </c>
      <c r="I3437" s="5">
        <v>0.1</v>
      </c>
      <c r="J3437">
        <f t="shared" si="106"/>
        <v>8999.982</v>
      </c>
      <c r="K3437" s="9">
        <f t="shared" si="107"/>
        <v>2.7998877119074401</v>
      </c>
    </row>
    <row r="3438" spans="1:11" x14ac:dyDescent="0.3">
      <c r="A3438">
        <v>1190</v>
      </c>
      <c r="B3438">
        <v>1</v>
      </c>
      <c r="C3438">
        <v>71</v>
      </c>
      <c r="D3438" t="str">
        <f>VLOOKUP($C3438,products!$A$1:$F$322,MATCH(order_items!$D$1,products!$A$1:$F$1,0),FALSE)</f>
        <v>Sun Bicycles Atlas X-Type - 2017</v>
      </c>
      <c r="E3438">
        <f>VLOOKUP($C3438,products!$A$1:$F$322,MATCH(order_items!$E$1,products!$A$1:$F$1,0),FALSE)</f>
        <v>3</v>
      </c>
      <c r="F3438" t="str">
        <f>VLOOKUP($E3438,categories!$A$1:$B$8,MATCH(order_items!$F$1,categories!$A$1:$B$1,0),FALSE)</f>
        <v>Cruisers Bicycles</v>
      </c>
      <c r="G3438">
        <v>1</v>
      </c>
      <c r="H3438">
        <v>416.99</v>
      </c>
      <c r="I3438" s="5">
        <v>7.0000000000000007E-2</v>
      </c>
      <c r="J3438">
        <f t="shared" si="106"/>
        <v>387.80070000000001</v>
      </c>
      <c r="K3438" s="9">
        <f t="shared" si="107"/>
        <v>-0.58826372462468679</v>
      </c>
    </row>
    <row r="3439" spans="1:11" x14ac:dyDescent="0.3">
      <c r="A3439">
        <v>1191</v>
      </c>
      <c r="B3439">
        <v>1</v>
      </c>
      <c r="C3439">
        <v>40</v>
      </c>
      <c r="D3439" t="str">
        <f>VLOOKUP($C3439,products!$A$1:$F$322,MATCH(order_items!$D$1,products!$A$1:$F$1,0),FALSE)</f>
        <v>Trek Fuel EX 9.8 29 - 2017</v>
      </c>
      <c r="E3439">
        <f>VLOOKUP($C3439,products!$A$1:$F$322,MATCH(order_items!$E$1,products!$A$1:$F$1,0),FALSE)</f>
        <v>6</v>
      </c>
      <c r="F3439" t="str">
        <f>VLOOKUP($E3439,categories!$A$1:$B$8,MATCH(order_items!$F$1,categories!$A$1:$B$1,0),FALSE)</f>
        <v>Mountain Bikes</v>
      </c>
      <c r="G3439">
        <v>2</v>
      </c>
      <c r="H3439">
        <v>4999.99</v>
      </c>
      <c r="I3439" s="5">
        <v>0.1</v>
      </c>
      <c r="J3439">
        <f t="shared" si="106"/>
        <v>8999.982</v>
      </c>
      <c r="K3439" s="9">
        <f t="shared" si="107"/>
        <v>2.7998877119074401</v>
      </c>
    </row>
    <row r="3440" spans="1:11" x14ac:dyDescent="0.3">
      <c r="A3440">
        <v>1191</v>
      </c>
      <c r="B3440">
        <v>2</v>
      </c>
      <c r="C3440">
        <v>89</v>
      </c>
      <c r="D3440" t="str">
        <f>VLOOKUP($C3440,products!$A$1:$F$322,MATCH(order_items!$D$1,products!$A$1:$F$1,0),FALSE)</f>
        <v>Trek Precaliber 16 Boys - 2017</v>
      </c>
      <c r="E3440">
        <f>VLOOKUP($C3440,products!$A$1:$F$322,MATCH(order_items!$E$1,products!$A$1:$F$1,0),FALSE)</f>
        <v>1</v>
      </c>
      <c r="F3440" t="str">
        <f>VLOOKUP($E3440,categories!$A$1:$B$8,MATCH(order_items!$F$1,categories!$A$1:$B$1,0),FALSE)</f>
        <v>Children Bicycles</v>
      </c>
      <c r="G3440">
        <v>2</v>
      </c>
      <c r="H3440">
        <v>209.99</v>
      </c>
      <c r="I3440" s="5">
        <v>0.1</v>
      </c>
      <c r="J3440">
        <f t="shared" si="106"/>
        <v>377.98200000000003</v>
      </c>
      <c r="K3440" s="9">
        <f t="shared" si="107"/>
        <v>-0.74129609367599603</v>
      </c>
    </row>
    <row r="3441" spans="1:11" x14ac:dyDescent="0.3">
      <c r="A3441">
        <v>1191</v>
      </c>
      <c r="B3441">
        <v>3</v>
      </c>
      <c r="C3441">
        <v>100</v>
      </c>
      <c r="D3441" t="str">
        <f>VLOOKUP($C3441,products!$A$1:$F$322,MATCH(order_items!$D$1,products!$A$1:$F$1,0),FALSE)</f>
        <v>Electra Townie 3i EQ (20-inch) - Boys' - 2017</v>
      </c>
      <c r="E3441">
        <f>VLOOKUP($C3441,products!$A$1:$F$322,MATCH(order_items!$E$1,products!$A$1:$F$1,0),FALSE)</f>
        <v>1</v>
      </c>
      <c r="F3441" t="str">
        <f>VLOOKUP($E3441,categories!$A$1:$B$8,MATCH(order_items!$F$1,categories!$A$1:$B$1,0),FALSE)</f>
        <v>Children Bicycles</v>
      </c>
      <c r="G3441">
        <v>1</v>
      </c>
      <c r="H3441">
        <v>489.99</v>
      </c>
      <c r="I3441" s="5">
        <v>7.0000000000000007E-2</v>
      </c>
      <c r="J3441">
        <f t="shared" si="106"/>
        <v>455.69069999999999</v>
      </c>
      <c r="K3441" s="9">
        <f t="shared" si="107"/>
        <v>-0.53429578771287245</v>
      </c>
    </row>
    <row r="3442" spans="1:11" x14ac:dyDescent="0.3">
      <c r="A3442">
        <v>1192</v>
      </c>
      <c r="B3442">
        <v>1</v>
      </c>
      <c r="C3442">
        <v>24</v>
      </c>
      <c r="D3442" t="str">
        <f>VLOOKUP($C3442,products!$A$1:$F$322,MATCH(order_items!$D$1,products!$A$1:$F$1,0),FALSE)</f>
        <v>Electra Townie Original 21D - 2016</v>
      </c>
      <c r="E3442">
        <f>VLOOKUP($C3442,products!$A$1:$F$322,MATCH(order_items!$E$1,products!$A$1:$F$1,0),FALSE)</f>
        <v>2</v>
      </c>
      <c r="F3442" t="str">
        <f>VLOOKUP($E3442,categories!$A$1:$B$8,MATCH(order_items!$F$1,categories!$A$1:$B$1,0),FALSE)</f>
        <v>Comfort Bicycles</v>
      </c>
      <c r="G3442">
        <v>2</v>
      </c>
      <c r="H3442">
        <v>549.99</v>
      </c>
      <c r="I3442" s="5">
        <v>0.1</v>
      </c>
      <c r="J3442">
        <f t="shared" si="106"/>
        <v>989.98200000000008</v>
      </c>
      <c r="K3442" s="9">
        <f t="shared" si="107"/>
        <v>-0.48993857929220308</v>
      </c>
    </row>
    <row r="3443" spans="1:11" x14ac:dyDescent="0.3">
      <c r="A3443">
        <v>1192</v>
      </c>
      <c r="B3443">
        <v>2</v>
      </c>
      <c r="C3443">
        <v>88</v>
      </c>
      <c r="D3443" t="str">
        <f>VLOOKUP($C3443,products!$A$1:$F$322,MATCH(order_items!$D$1,products!$A$1:$F$1,0),FALSE)</f>
        <v>Trek Precaliber 12 Girls - 2017</v>
      </c>
      <c r="E3443">
        <f>VLOOKUP($C3443,products!$A$1:$F$322,MATCH(order_items!$E$1,products!$A$1:$F$1,0),FALSE)</f>
        <v>1</v>
      </c>
      <c r="F3443" t="str">
        <f>VLOOKUP($E3443,categories!$A$1:$B$8,MATCH(order_items!$F$1,categories!$A$1:$B$1,0),FALSE)</f>
        <v>Children Bicycles</v>
      </c>
      <c r="G3443">
        <v>2</v>
      </c>
      <c r="H3443">
        <v>189.99</v>
      </c>
      <c r="I3443" s="5">
        <v>7.0000000000000007E-2</v>
      </c>
      <c r="J3443">
        <f t="shared" si="106"/>
        <v>353.38139999999999</v>
      </c>
      <c r="K3443" s="9">
        <f t="shared" si="107"/>
        <v>-0.75608182981621919</v>
      </c>
    </row>
    <row r="3444" spans="1:11" x14ac:dyDescent="0.3">
      <c r="A3444">
        <v>1192</v>
      </c>
      <c r="B3444">
        <v>3</v>
      </c>
      <c r="C3444">
        <v>37</v>
      </c>
      <c r="D3444" t="str">
        <f>VLOOKUP($C3444,products!$A$1:$F$322,MATCH(order_items!$D$1,products!$A$1:$F$1,0),FALSE)</f>
        <v>Haro Flightline One ST - 2017</v>
      </c>
      <c r="E3444">
        <f>VLOOKUP($C3444,products!$A$1:$F$322,MATCH(order_items!$E$1,products!$A$1:$F$1,0),FALSE)</f>
        <v>6</v>
      </c>
      <c r="F3444" t="str">
        <f>VLOOKUP($E3444,categories!$A$1:$B$8,MATCH(order_items!$F$1,categories!$A$1:$B$1,0),FALSE)</f>
        <v>Mountain Bikes</v>
      </c>
      <c r="G3444">
        <v>2</v>
      </c>
      <c r="H3444">
        <v>379.99</v>
      </c>
      <c r="I3444" s="5">
        <v>0.2</v>
      </c>
      <c r="J3444">
        <f t="shared" si="106"/>
        <v>607.98400000000004</v>
      </c>
      <c r="K3444" s="9">
        <f t="shared" si="107"/>
        <v>-0.61561733648409955</v>
      </c>
    </row>
    <row r="3445" spans="1:11" x14ac:dyDescent="0.3">
      <c r="A3445">
        <v>1193</v>
      </c>
      <c r="B3445">
        <v>1</v>
      </c>
      <c r="C3445">
        <v>83</v>
      </c>
      <c r="D3445" t="str">
        <f>VLOOKUP($C3445,products!$A$1:$F$322,MATCH(order_items!$D$1,products!$A$1:$F$1,0),FALSE)</f>
        <v>Trek Boy's Kickster - 2015/2017</v>
      </c>
      <c r="E3445">
        <f>VLOOKUP($C3445,products!$A$1:$F$322,MATCH(order_items!$E$1,products!$A$1:$F$1,0),FALSE)</f>
        <v>1</v>
      </c>
      <c r="F3445" t="str">
        <f>VLOOKUP($E3445,categories!$A$1:$B$8,MATCH(order_items!$F$1,categories!$A$1:$B$1,0),FALSE)</f>
        <v>Children Bicycles</v>
      </c>
      <c r="G3445">
        <v>2</v>
      </c>
      <c r="H3445">
        <v>149.99</v>
      </c>
      <c r="I3445" s="5">
        <v>0.05</v>
      </c>
      <c r="J3445">
        <f t="shared" si="106"/>
        <v>284.98099999999999</v>
      </c>
      <c r="K3445" s="9">
        <f t="shared" si="107"/>
        <v>-0.7856533020966654</v>
      </c>
    </row>
    <row r="3446" spans="1:11" x14ac:dyDescent="0.3">
      <c r="A3446">
        <v>1193</v>
      </c>
      <c r="B3446">
        <v>2</v>
      </c>
      <c r="C3446">
        <v>27</v>
      </c>
      <c r="D3446" t="str">
        <f>VLOOKUP($C3446,products!$A$1:$F$322,MATCH(order_items!$D$1,products!$A$1:$F$1,0),FALSE)</f>
        <v>Surly Big Dummy Frameset - 2017</v>
      </c>
      <c r="E3446">
        <f>VLOOKUP($C3446,products!$A$1:$F$322,MATCH(order_items!$E$1,products!$A$1:$F$1,0),FALSE)</f>
        <v>6</v>
      </c>
      <c r="F3446" t="str">
        <f>VLOOKUP($E3446,categories!$A$1:$B$8,MATCH(order_items!$F$1,categories!$A$1:$B$1,0),FALSE)</f>
        <v>Mountain Bikes</v>
      </c>
      <c r="G3446">
        <v>1</v>
      </c>
      <c r="H3446">
        <v>999.99</v>
      </c>
      <c r="I3446" s="5">
        <v>0.05</v>
      </c>
      <c r="J3446">
        <f t="shared" si="106"/>
        <v>949.9905</v>
      </c>
      <c r="K3446" s="9">
        <f t="shared" si="107"/>
        <v>-0.15725951613718298</v>
      </c>
    </row>
    <row r="3447" spans="1:11" x14ac:dyDescent="0.3">
      <c r="A3447">
        <v>1194</v>
      </c>
      <c r="B3447">
        <v>1</v>
      </c>
      <c r="C3447">
        <v>71</v>
      </c>
      <c r="D3447" t="str">
        <f>VLOOKUP($C3447,products!$A$1:$F$322,MATCH(order_items!$D$1,products!$A$1:$F$1,0),FALSE)</f>
        <v>Sun Bicycles Atlas X-Type - 2017</v>
      </c>
      <c r="E3447">
        <f>VLOOKUP($C3447,products!$A$1:$F$322,MATCH(order_items!$E$1,products!$A$1:$F$1,0),FALSE)</f>
        <v>3</v>
      </c>
      <c r="F3447" t="str">
        <f>VLOOKUP($E3447,categories!$A$1:$B$8,MATCH(order_items!$F$1,categories!$A$1:$B$1,0),FALSE)</f>
        <v>Cruisers Bicycles</v>
      </c>
      <c r="G3447">
        <v>1</v>
      </c>
      <c r="H3447">
        <v>416.99</v>
      </c>
      <c r="I3447" s="5">
        <v>0.05</v>
      </c>
      <c r="J3447">
        <f t="shared" si="106"/>
        <v>396.14049999999997</v>
      </c>
      <c r="K3447" s="9">
        <f t="shared" si="107"/>
        <v>-0.58826372462468679</v>
      </c>
    </row>
    <row r="3448" spans="1:11" x14ac:dyDescent="0.3">
      <c r="A3448">
        <v>1194</v>
      </c>
      <c r="B3448">
        <v>2</v>
      </c>
      <c r="C3448">
        <v>7</v>
      </c>
      <c r="D3448" t="str">
        <f>VLOOKUP($C3448,products!$A$1:$F$322,MATCH(order_items!$D$1,products!$A$1:$F$1,0),FALSE)</f>
        <v>Trek Slash 8 27.5 - 2016</v>
      </c>
      <c r="E3448">
        <f>VLOOKUP($C3448,products!$A$1:$F$322,MATCH(order_items!$E$1,products!$A$1:$F$1,0),FALSE)</f>
        <v>6</v>
      </c>
      <c r="F3448" t="str">
        <f>VLOOKUP($E3448,categories!$A$1:$B$8,MATCH(order_items!$F$1,categories!$A$1:$B$1,0),FALSE)</f>
        <v>Mountain Bikes</v>
      </c>
      <c r="G3448">
        <v>2</v>
      </c>
      <c r="H3448">
        <v>3999.99</v>
      </c>
      <c r="I3448" s="5">
        <v>7.0000000000000007E-2</v>
      </c>
      <c r="J3448">
        <f t="shared" si="106"/>
        <v>7439.9813999999988</v>
      </c>
      <c r="K3448" s="9">
        <f t="shared" si="107"/>
        <v>2.0606009048962846</v>
      </c>
    </row>
    <row r="3449" spans="1:11" x14ac:dyDescent="0.3">
      <c r="A3449">
        <v>1194</v>
      </c>
      <c r="B3449">
        <v>3</v>
      </c>
      <c r="C3449">
        <v>105</v>
      </c>
      <c r="D3449" t="str">
        <f>VLOOKUP($C3449,products!$A$1:$F$322,MATCH(order_items!$D$1,products!$A$1:$F$1,0),FALSE)</f>
        <v>Sun Bicycles Streamway 7 - 2017</v>
      </c>
      <c r="E3449">
        <f>VLOOKUP($C3449,products!$A$1:$F$322,MATCH(order_items!$E$1,products!$A$1:$F$1,0),FALSE)</f>
        <v>2</v>
      </c>
      <c r="F3449" t="str">
        <f>VLOOKUP($E3449,categories!$A$1:$B$8,MATCH(order_items!$F$1,categories!$A$1:$B$1,0),FALSE)</f>
        <v>Comfort Bicycles</v>
      </c>
      <c r="G3449">
        <v>2</v>
      </c>
      <c r="H3449">
        <v>533.99</v>
      </c>
      <c r="I3449" s="5">
        <v>0.1</v>
      </c>
      <c r="J3449">
        <f t="shared" si="106"/>
        <v>961.18200000000002</v>
      </c>
      <c r="K3449" s="9">
        <f t="shared" si="107"/>
        <v>-0.50176716820438161</v>
      </c>
    </row>
    <row r="3450" spans="1:11" x14ac:dyDescent="0.3">
      <c r="A3450">
        <v>1194</v>
      </c>
      <c r="B3450">
        <v>4</v>
      </c>
      <c r="C3450">
        <v>84</v>
      </c>
      <c r="D3450" t="str">
        <f>VLOOKUP($C3450,products!$A$1:$F$322,MATCH(order_items!$D$1,products!$A$1:$F$1,0),FALSE)</f>
        <v>Sun Bicycles Lil Kitt'n - 2017</v>
      </c>
      <c r="E3450">
        <f>VLOOKUP($C3450,products!$A$1:$F$322,MATCH(order_items!$E$1,products!$A$1:$F$1,0),FALSE)</f>
        <v>1</v>
      </c>
      <c r="F3450" t="str">
        <f>VLOOKUP($E3450,categories!$A$1:$B$8,MATCH(order_items!$F$1,categories!$A$1:$B$1,0),FALSE)</f>
        <v>Children Bicycles</v>
      </c>
      <c r="G3450">
        <v>1</v>
      </c>
      <c r="H3450">
        <v>109.99</v>
      </c>
      <c r="I3450" s="5">
        <v>0.05</v>
      </c>
      <c r="J3450">
        <f t="shared" si="106"/>
        <v>104.4905</v>
      </c>
      <c r="K3450" s="9">
        <f t="shared" si="107"/>
        <v>-0.81522477437711161</v>
      </c>
    </row>
    <row r="3451" spans="1:11" x14ac:dyDescent="0.3">
      <c r="A3451">
        <v>1195</v>
      </c>
      <c r="B3451">
        <v>1</v>
      </c>
      <c r="C3451">
        <v>52</v>
      </c>
      <c r="D3451" t="str">
        <f>VLOOKUP($C3451,products!$A$1:$F$322,MATCH(order_items!$D$1,products!$A$1:$F$1,0),FALSE)</f>
        <v>Surly Steamroller - 2017</v>
      </c>
      <c r="E3451">
        <f>VLOOKUP($C3451,products!$A$1:$F$322,MATCH(order_items!$E$1,products!$A$1:$F$1,0),FALSE)</f>
        <v>7</v>
      </c>
      <c r="F3451" t="str">
        <f>VLOOKUP($E3451,categories!$A$1:$B$8,MATCH(order_items!$F$1,categories!$A$1:$B$1,0),FALSE)</f>
        <v>Road Bikes</v>
      </c>
      <c r="G3451">
        <v>1</v>
      </c>
      <c r="H3451">
        <v>875.99</v>
      </c>
      <c r="I3451" s="5">
        <v>7.0000000000000007E-2</v>
      </c>
      <c r="J3451">
        <f t="shared" si="106"/>
        <v>814.67070000000001</v>
      </c>
      <c r="K3451" s="9">
        <f t="shared" si="107"/>
        <v>-0.24893108020656629</v>
      </c>
    </row>
    <row r="3452" spans="1:11" x14ac:dyDescent="0.3">
      <c r="A3452">
        <v>1196</v>
      </c>
      <c r="B3452">
        <v>1</v>
      </c>
      <c r="C3452">
        <v>53</v>
      </c>
      <c r="D3452" t="str">
        <f>VLOOKUP($C3452,products!$A$1:$F$322,MATCH(order_items!$D$1,products!$A$1:$F$1,0),FALSE)</f>
        <v>Surly Ogre Frameset - 2017</v>
      </c>
      <c r="E3452">
        <f>VLOOKUP($C3452,products!$A$1:$F$322,MATCH(order_items!$E$1,products!$A$1:$F$1,0),FALSE)</f>
        <v>7</v>
      </c>
      <c r="F3452" t="str">
        <f>VLOOKUP($E3452,categories!$A$1:$B$8,MATCH(order_items!$F$1,categories!$A$1:$B$1,0),FALSE)</f>
        <v>Road Bikes</v>
      </c>
      <c r="G3452">
        <v>1</v>
      </c>
      <c r="H3452">
        <v>749.99</v>
      </c>
      <c r="I3452" s="5">
        <v>7.0000000000000007E-2</v>
      </c>
      <c r="J3452">
        <f t="shared" si="106"/>
        <v>697.49069999999995</v>
      </c>
      <c r="K3452" s="9">
        <f t="shared" si="107"/>
        <v>-0.34208121788997192</v>
      </c>
    </row>
    <row r="3453" spans="1:11" x14ac:dyDescent="0.3">
      <c r="A3453">
        <v>1197</v>
      </c>
      <c r="B3453">
        <v>1</v>
      </c>
      <c r="C3453">
        <v>13</v>
      </c>
      <c r="D3453" t="str">
        <f>VLOOKUP($C3453,products!$A$1:$F$322,MATCH(order_items!$D$1,products!$A$1:$F$1,0),FALSE)</f>
        <v>Electra Cruiser 1 (24-Inch) - 2016</v>
      </c>
      <c r="E3453">
        <f>VLOOKUP($C3453,products!$A$1:$F$322,MATCH(order_items!$E$1,products!$A$1:$F$1,0),FALSE)</f>
        <v>3</v>
      </c>
      <c r="F3453" t="str">
        <f>VLOOKUP($E3453,categories!$A$1:$B$8,MATCH(order_items!$F$1,categories!$A$1:$B$1,0),FALSE)</f>
        <v>Cruisers Bicycles</v>
      </c>
      <c r="G3453">
        <v>1</v>
      </c>
      <c r="H3453">
        <v>269.99</v>
      </c>
      <c r="I3453" s="5">
        <v>7.0000000000000007E-2</v>
      </c>
      <c r="J3453">
        <f t="shared" si="106"/>
        <v>251.0907</v>
      </c>
      <c r="K3453" s="9">
        <f t="shared" si="107"/>
        <v>-0.69693888525532666</v>
      </c>
    </row>
    <row r="3454" spans="1:11" x14ac:dyDescent="0.3">
      <c r="A3454">
        <v>1197</v>
      </c>
      <c r="B3454">
        <v>2</v>
      </c>
      <c r="C3454">
        <v>108</v>
      </c>
      <c r="D3454" t="str">
        <f>VLOOKUP($C3454,products!$A$1:$F$322,MATCH(order_items!$D$1,products!$A$1:$F$1,0),FALSE)</f>
        <v>Sun Bicycles Cruz 3 - Women's - 2017</v>
      </c>
      <c r="E3454">
        <f>VLOOKUP($C3454,products!$A$1:$F$322,MATCH(order_items!$E$1,products!$A$1:$F$1,0),FALSE)</f>
        <v>2</v>
      </c>
      <c r="F3454" t="str">
        <f>VLOOKUP($E3454,categories!$A$1:$B$8,MATCH(order_items!$F$1,categories!$A$1:$B$1,0),FALSE)</f>
        <v>Comfort Bicycles</v>
      </c>
      <c r="G3454">
        <v>2</v>
      </c>
      <c r="H3454">
        <v>449.99</v>
      </c>
      <c r="I3454" s="5">
        <v>0.05</v>
      </c>
      <c r="J3454">
        <f t="shared" si="106"/>
        <v>854.98099999999999</v>
      </c>
      <c r="K3454" s="9">
        <f t="shared" si="107"/>
        <v>-0.56386725999331866</v>
      </c>
    </row>
    <row r="3455" spans="1:11" x14ac:dyDescent="0.3">
      <c r="A3455">
        <v>1197</v>
      </c>
      <c r="B3455">
        <v>3</v>
      </c>
      <c r="C3455">
        <v>9</v>
      </c>
      <c r="D3455" t="str">
        <f>VLOOKUP($C3455,products!$A$1:$F$322,MATCH(order_items!$D$1,products!$A$1:$F$1,0),FALSE)</f>
        <v>Trek Conduit+ - 2016</v>
      </c>
      <c r="E3455">
        <f>VLOOKUP($C3455,products!$A$1:$F$322,MATCH(order_items!$E$1,products!$A$1:$F$1,0),FALSE)</f>
        <v>5</v>
      </c>
      <c r="F3455" t="str">
        <f>VLOOKUP($E3455,categories!$A$1:$B$8,MATCH(order_items!$F$1,categories!$A$1:$B$1,0),FALSE)</f>
        <v>Electric Bikes</v>
      </c>
      <c r="G3455">
        <v>2</v>
      </c>
      <c r="H3455">
        <v>2999.99</v>
      </c>
      <c r="I3455" s="5">
        <v>0.05</v>
      </c>
      <c r="J3455">
        <f t="shared" si="106"/>
        <v>5699.9809999999998</v>
      </c>
      <c r="K3455" s="9">
        <f t="shared" si="107"/>
        <v>1.3213140978851283</v>
      </c>
    </row>
    <row r="3456" spans="1:11" x14ac:dyDescent="0.3">
      <c r="A3456">
        <v>1197</v>
      </c>
      <c r="B3456">
        <v>4</v>
      </c>
      <c r="C3456">
        <v>106</v>
      </c>
      <c r="D3456" t="str">
        <f>VLOOKUP($C3456,products!$A$1:$F$322,MATCH(order_items!$D$1,products!$A$1:$F$1,0),FALSE)</f>
        <v>Sun Bicycles Cruz 3 - 2017</v>
      </c>
      <c r="E3456">
        <f>VLOOKUP($C3456,products!$A$1:$F$322,MATCH(order_items!$E$1,products!$A$1:$F$1,0),FALSE)</f>
        <v>2</v>
      </c>
      <c r="F3456" t="str">
        <f>VLOOKUP($E3456,categories!$A$1:$B$8,MATCH(order_items!$F$1,categories!$A$1:$B$1,0),FALSE)</f>
        <v>Comfort Bicycles</v>
      </c>
      <c r="G3456">
        <v>2</v>
      </c>
      <c r="H3456">
        <v>449.99</v>
      </c>
      <c r="I3456" s="5">
        <v>0.2</v>
      </c>
      <c r="J3456">
        <f t="shared" si="106"/>
        <v>719.98400000000004</v>
      </c>
      <c r="K3456" s="9">
        <f t="shared" si="107"/>
        <v>-0.56386725999331866</v>
      </c>
    </row>
    <row r="3457" spans="1:11" x14ac:dyDescent="0.3">
      <c r="A3457">
        <v>1198</v>
      </c>
      <c r="B3457">
        <v>1</v>
      </c>
      <c r="C3457">
        <v>105</v>
      </c>
      <c r="D3457" t="str">
        <f>VLOOKUP($C3457,products!$A$1:$F$322,MATCH(order_items!$D$1,products!$A$1:$F$1,0),FALSE)</f>
        <v>Sun Bicycles Streamway 7 - 2017</v>
      </c>
      <c r="E3457">
        <f>VLOOKUP($C3457,products!$A$1:$F$322,MATCH(order_items!$E$1,products!$A$1:$F$1,0),FALSE)</f>
        <v>2</v>
      </c>
      <c r="F3457" t="str">
        <f>VLOOKUP($E3457,categories!$A$1:$B$8,MATCH(order_items!$F$1,categories!$A$1:$B$1,0),FALSE)</f>
        <v>Comfort Bicycles</v>
      </c>
      <c r="G3457">
        <v>1</v>
      </c>
      <c r="H3457">
        <v>533.99</v>
      </c>
      <c r="I3457" s="5">
        <v>0.05</v>
      </c>
      <c r="J3457">
        <f t="shared" si="106"/>
        <v>507.29050000000001</v>
      </c>
      <c r="K3457" s="9">
        <f t="shared" si="107"/>
        <v>-0.50176716820438161</v>
      </c>
    </row>
    <row r="3458" spans="1:11" x14ac:dyDescent="0.3">
      <c r="A3458">
        <v>1199</v>
      </c>
      <c r="B3458">
        <v>1</v>
      </c>
      <c r="C3458">
        <v>32</v>
      </c>
      <c r="D3458" t="str">
        <f>VLOOKUP($C3458,products!$A$1:$F$322,MATCH(order_items!$D$1,products!$A$1:$F$1,0),FALSE)</f>
        <v>Trek Farley Alloy Frameset - 2017</v>
      </c>
      <c r="E3458">
        <f>VLOOKUP($C3458,products!$A$1:$F$322,MATCH(order_items!$E$1,products!$A$1:$F$1,0),FALSE)</f>
        <v>6</v>
      </c>
      <c r="F3458" t="str">
        <f>VLOOKUP($E3458,categories!$A$1:$B$8,MATCH(order_items!$F$1,categories!$A$1:$B$1,0),FALSE)</f>
        <v>Mountain Bikes</v>
      </c>
      <c r="G3458">
        <v>1</v>
      </c>
      <c r="H3458">
        <v>469.99</v>
      </c>
      <c r="I3458" s="5">
        <v>0.05</v>
      </c>
      <c r="J3458">
        <f t="shared" ref="J3458:J3521" si="108">G3458*H3458*(1-I3458)</f>
        <v>446.4905</v>
      </c>
      <c r="K3458" s="9">
        <f t="shared" ref="K3458:K3521" si="109">($H3458-$M$7)/$M$9</f>
        <v>-0.5490815238530955</v>
      </c>
    </row>
    <row r="3459" spans="1:11" x14ac:dyDescent="0.3">
      <c r="A3459">
        <v>1199</v>
      </c>
      <c r="B3459">
        <v>2</v>
      </c>
      <c r="C3459">
        <v>94</v>
      </c>
      <c r="D3459" t="str">
        <f>VLOOKUP($C3459,products!$A$1:$F$322,MATCH(order_items!$D$1,products!$A$1:$F$1,0),FALSE)</f>
        <v>Haro Shredder Pro 20 - 2017</v>
      </c>
      <c r="E3459">
        <f>VLOOKUP($C3459,products!$A$1:$F$322,MATCH(order_items!$E$1,products!$A$1:$F$1,0),FALSE)</f>
        <v>1</v>
      </c>
      <c r="F3459" t="str">
        <f>VLOOKUP($E3459,categories!$A$1:$B$8,MATCH(order_items!$F$1,categories!$A$1:$B$1,0),FALSE)</f>
        <v>Children Bicycles</v>
      </c>
      <c r="G3459">
        <v>2</v>
      </c>
      <c r="H3459">
        <v>249.99</v>
      </c>
      <c r="I3459" s="5">
        <v>7.0000000000000007E-2</v>
      </c>
      <c r="J3459">
        <f t="shared" si="108"/>
        <v>464.98140000000001</v>
      </c>
      <c r="K3459" s="9">
        <f t="shared" si="109"/>
        <v>-0.71172462139554982</v>
      </c>
    </row>
    <row r="3460" spans="1:11" x14ac:dyDescent="0.3">
      <c r="A3460">
        <v>1199</v>
      </c>
      <c r="B3460">
        <v>3</v>
      </c>
      <c r="C3460">
        <v>109</v>
      </c>
      <c r="D3460" t="str">
        <f>VLOOKUP($C3460,products!$A$1:$F$322,MATCH(order_items!$D$1,products!$A$1:$F$1,0),FALSE)</f>
        <v>Sun Bicycles Cruz 7 - Women's - 2017</v>
      </c>
      <c r="E3460">
        <f>VLOOKUP($C3460,products!$A$1:$F$322,MATCH(order_items!$E$1,products!$A$1:$F$1,0),FALSE)</f>
        <v>2</v>
      </c>
      <c r="F3460" t="str">
        <f>VLOOKUP($E3460,categories!$A$1:$B$8,MATCH(order_items!$F$1,categories!$A$1:$B$1,0),FALSE)</f>
        <v>Comfort Bicycles</v>
      </c>
      <c r="G3460">
        <v>2</v>
      </c>
      <c r="H3460">
        <v>416.99</v>
      </c>
      <c r="I3460" s="5">
        <v>0.1</v>
      </c>
      <c r="J3460">
        <f t="shared" si="108"/>
        <v>750.58199999999999</v>
      </c>
      <c r="K3460" s="9">
        <f t="shared" si="109"/>
        <v>-0.58826372462468679</v>
      </c>
    </row>
    <row r="3461" spans="1:11" x14ac:dyDescent="0.3">
      <c r="A3461">
        <v>1200</v>
      </c>
      <c r="B3461">
        <v>1</v>
      </c>
      <c r="C3461">
        <v>42</v>
      </c>
      <c r="D3461" t="str">
        <f>VLOOKUP($C3461,products!$A$1:$F$322,MATCH(order_items!$D$1,products!$A$1:$F$1,0),FALSE)</f>
        <v>Trek Fuel EX 5 27.5 Plus - 2017</v>
      </c>
      <c r="E3461">
        <f>VLOOKUP($C3461,products!$A$1:$F$322,MATCH(order_items!$E$1,products!$A$1:$F$1,0),FALSE)</f>
        <v>6</v>
      </c>
      <c r="F3461" t="str">
        <f>VLOOKUP($E3461,categories!$A$1:$B$8,MATCH(order_items!$F$1,categories!$A$1:$B$1,0),FALSE)</f>
        <v>Mountain Bikes</v>
      </c>
      <c r="G3461">
        <v>2</v>
      </c>
      <c r="H3461">
        <v>2299.9899999999998</v>
      </c>
      <c r="I3461" s="5">
        <v>0.2</v>
      </c>
      <c r="J3461">
        <f t="shared" si="108"/>
        <v>3679.9839999999999</v>
      </c>
      <c r="K3461" s="9">
        <f t="shared" si="109"/>
        <v>0.80381333297731938</v>
      </c>
    </row>
    <row r="3462" spans="1:11" x14ac:dyDescent="0.3">
      <c r="A3462">
        <v>1201</v>
      </c>
      <c r="B3462">
        <v>1</v>
      </c>
      <c r="C3462">
        <v>95</v>
      </c>
      <c r="D3462" t="str">
        <f>VLOOKUP($C3462,products!$A$1:$F$322,MATCH(order_items!$D$1,products!$A$1:$F$1,0),FALSE)</f>
        <v>Electra Girl's Hawaii 1 16" - 2017</v>
      </c>
      <c r="E3462">
        <f>VLOOKUP($C3462,products!$A$1:$F$322,MATCH(order_items!$E$1,products!$A$1:$F$1,0),FALSE)</f>
        <v>1</v>
      </c>
      <c r="F3462" t="str">
        <f>VLOOKUP($E3462,categories!$A$1:$B$8,MATCH(order_items!$F$1,categories!$A$1:$B$1,0),FALSE)</f>
        <v>Children Bicycles</v>
      </c>
      <c r="G3462">
        <v>1</v>
      </c>
      <c r="H3462">
        <v>299.99</v>
      </c>
      <c r="I3462" s="5">
        <v>7.0000000000000007E-2</v>
      </c>
      <c r="J3462">
        <f t="shared" si="108"/>
        <v>278.9907</v>
      </c>
      <c r="K3462" s="9">
        <f t="shared" si="109"/>
        <v>-0.67476028104499197</v>
      </c>
    </row>
    <row r="3463" spans="1:11" x14ac:dyDescent="0.3">
      <c r="A3463">
        <v>1201</v>
      </c>
      <c r="B3463">
        <v>2</v>
      </c>
      <c r="C3463">
        <v>13</v>
      </c>
      <c r="D3463" t="str">
        <f>VLOOKUP($C3463,products!$A$1:$F$322,MATCH(order_items!$D$1,products!$A$1:$F$1,0),FALSE)</f>
        <v>Electra Cruiser 1 (24-Inch) - 2016</v>
      </c>
      <c r="E3463">
        <f>VLOOKUP($C3463,products!$A$1:$F$322,MATCH(order_items!$E$1,products!$A$1:$F$1,0),FALSE)</f>
        <v>3</v>
      </c>
      <c r="F3463" t="str">
        <f>VLOOKUP($E3463,categories!$A$1:$B$8,MATCH(order_items!$F$1,categories!$A$1:$B$1,0),FALSE)</f>
        <v>Cruisers Bicycles</v>
      </c>
      <c r="G3463">
        <v>1</v>
      </c>
      <c r="H3463">
        <v>269.99</v>
      </c>
      <c r="I3463" s="5">
        <v>0.05</v>
      </c>
      <c r="J3463">
        <f t="shared" si="108"/>
        <v>256.4905</v>
      </c>
      <c r="K3463" s="9">
        <f t="shared" si="109"/>
        <v>-0.69693888525532666</v>
      </c>
    </row>
    <row r="3464" spans="1:11" x14ac:dyDescent="0.3">
      <c r="A3464">
        <v>1201</v>
      </c>
      <c r="B3464">
        <v>3</v>
      </c>
      <c r="C3464">
        <v>26</v>
      </c>
      <c r="D3464" t="str">
        <f>VLOOKUP($C3464,products!$A$1:$F$322,MATCH(order_items!$D$1,products!$A$1:$F$1,0),FALSE)</f>
        <v>Electra Townie Original 7D EQ - 2016</v>
      </c>
      <c r="E3464">
        <f>VLOOKUP($C3464,products!$A$1:$F$322,MATCH(order_items!$E$1,products!$A$1:$F$1,0),FALSE)</f>
        <v>2</v>
      </c>
      <c r="F3464" t="str">
        <f>VLOOKUP($E3464,categories!$A$1:$B$8,MATCH(order_items!$F$1,categories!$A$1:$B$1,0),FALSE)</f>
        <v>Comfort Bicycles</v>
      </c>
      <c r="G3464">
        <v>1</v>
      </c>
      <c r="H3464">
        <v>599.99</v>
      </c>
      <c r="I3464" s="5">
        <v>0.2</v>
      </c>
      <c r="J3464">
        <f t="shared" si="108"/>
        <v>479.99200000000002</v>
      </c>
      <c r="K3464" s="9">
        <f t="shared" si="109"/>
        <v>-0.45297423894164529</v>
      </c>
    </row>
    <row r="3465" spans="1:11" x14ac:dyDescent="0.3">
      <c r="A3465">
        <v>1201</v>
      </c>
      <c r="B3465">
        <v>4</v>
      </c>
      <c r="C3465">
        <v>17</v>
      </c>
      <c r="D3465" t="str">
        <f>VLOOKUP($C3465,products!$A$1:$F$322,MATCH(order_items!$D$1,products!$A$1:$F$1,0),FALSE)</f>
        <v>Pure Cycles Vine 8-Speed - 2016</v>
      </c>
      <c r="E3465">
        <f>VLOOKUP($C3465,products!$A$1:$F$322,MATCH(order_items!$E$1,products!$A$1:$F$1,0),FALSE)</f>
        <v>3</v>
      </c>
      <c r="F3465" t="str">
        <f>VLOOKUP($E3465,categories!$A$1:$B$8,MATCH(order_items!$F$1,categories!$A$1:$B$1,0),FALSE)</f>
        <v>Cruisers Bicycles</v>
      </c>
      <c r="G3465">
        <v>2</v>
      </c>
      <c r="H3465">
        <v>429</v>
      </c>
      <c r="I3465" s="5">
        <v>0.05</v>
      </c>
      <c r="J3465">
        <f t="shared" si="108"/>
        <v>815.09999999999991</v>
      </c>
      <c r="K3465" s="9">
        <f t="shared" si="109"/>
        <v>-0.57938489007248284</v>
      </c>
    </row>
    <row r="3466" spans="1:11" x14ac:dyDescent="0.3">
      <c r="A3466">
        <v>1201</v>
      </c>
      <c r="B3466">
        <v>5</v>
      </c>
      <c r="C3466">
        <v>19</v>
      </c>
      <c r="D3466" t="str">
        <f>VLOOKUP($C3466,products!$A$1:$F$322,MATCH(order_items!$D$1,products!$A$1:$F$1,0),FALSE)</f>
        <v>Pure Cycles William 3-Speed - 2016</v>
      </c>
      <c r="E3466">
        <f>VLOOKUP($C3466,products!$A$1:$F$322,MATCH(order_items!$E$1,products!$A$1:$F$1,0),FALSE)</f>
        <v>3</v>
      </c>
      <c r="F3466" t="str">
        <f>VLOOKUP($E3466,categories!$A$1:$B$8,MATCH(order_items!$F$1,categories!$A$1:$B$1,0),FALSE)</f>
        <v>Cruisers Bicycles</v>
      </c>
      <c r="G3466">
        <v>2</v>
      </c>
      <c r="H3466">
        <v>449</v>
      </c>
      <c r="I3466" s="5">
        <v>0.2</v>
      </c>
      <c r="J3466">
        <f t="shared" si="108"/>
        <v>718.40000000000009</v>
      </c>
      <c r="K3466" s="9">
        <f t="shared" si="109"/>
        <v>-0.56459915393225968</v>
      </c>
    </row>
    <row r="3467" spans="1:11" x14ac:dyDescent="0.3">
      <c r="A3467">
        <v>1202</v>
      </c>
      <c r="B3467">
        <v>1</v>
      </c>
      <c r="C3467">
        <v>84</v>
      </c>
      <c r="D3467" t="str">
        <f>VLOOKUP($C3467,products!$A$1:$F$322,MATCH(order_items!$D$1,products!$A$1:$F$1,0),FALSE)</f>
        <v>Sun Bicycles Lil Kitt'n - 2017</v>
      </c>
      <c r="E3467">
        <f>VLOOKUP($C3467,products!$A$1:$F$322,MATCH(order_items!$E$1,products!$A$1:$F$1,0),FALSE)</f>
        <v>1</v>
      </c>
      <c r="F3467" t="str">
        <f>VLOOKUP($E3467,categories!$A$1:$B$8,MATCH(order_items!$F$1,categories!$A$1:$B$1,0),FALSE)</f>
        <v>Children Bicycles</v>
      </c>
      <c r="G3467">
        <v>2</v>
      </c>
      <c r="H3467">
        <v>109.99</v>
      </c>
      <c r="I3467" s="5">
        <v>0.05</v>
      </c>
      <c r="J3467">
        <f t="shared" si="108"/>
        <v>208.98099999999999</v>
      </c>
      <c r="K3467" s="9">
        <f t="shared" si="109"/>
        <v>-0.81522477437711161</v>
      </c>
    </row>
    <row r="3468" spans="1:11" x14ac:dyDescent="0.3">
      <c r="A3468">
        <v>1203</v>
      </c>
      <c r="B3468">
        <v>1</v>
      </c>
      <c r="C3468">
        <v>6</v>
      </c>
      <c r="D3468" t="str">
        <f>VLOOKUP($C3468,products!$A$1:$F$322,MATCH(order_items!$D$1,products!$A$1:$F$1,0),FALSE)</f>
        <v>Surly Ice Cream Truck Frameset - 2016</v>
      </c>
      <c r="E3468">
        <f>VLOOKUP($C3468,products!$A$1:$F$322,MATCH(order_items!$E$1,products!$A$1:$F$1,0),FALSE)</f>
        <v>6</v>
      </c>
      <c r="F3468" t="str">
        <f>VLOOKUP($E3468,categories!$A$1:$B$8,MATCH(order_items!$F$1,categories!$A$1:$B$1,0),FALSE)</f>
        <v>Mountain Bikes</v>
      </c>
      <c r="G3468">
        <v>2</v>
      </c>
      <c r="H3468">
        <v>469.99</v>
      </c>
      <c r="I3468" s="5">
        <v>7.0000000000000007E-2</v>
      </c>
      <c r="J3468">
        <f t="shared" si="108"/>
        <v>874.18139999999994</v>
      </c>
      <c r="K3468" s="9">
        <f t="shared" si="109"/>
        <v>-0.5490815238530955</v>
      </c>
    </row>
    <row r="3469" spans="1:11" x14ac:dyDescent="0.3">
      <c r="A3469">
        <v>1203</v>
      </c>
      <c r="B3469">
        <v>2</v>
      </c>
      <c r="C3469">
        <v>55</v>
      </c>
      <c r="D3469" t="str">
        <f>VLOOKUP($C3469,products!$A$1:$F$322,MATCH(order_items!$D$1,products!$A$1:$F$1,0),FALSE)</f>
        <v>Trek Domane S 6 - 2017</v>
      </c>
      <c r="E3469">
        <f>VLOOKUP($C3469,products!$A$1:$F$322,MATCH(order_items!$E$1,products!$A$1:$F$1,0),FALSE)</f>
        <v>7</v>
      </c>
      <c r="F3469" t="str">
        <f>VLOOKUP($E3469,categories!$A$1:$B$8,MATCH(order_items!$F$1,categories!$A$1:$B$1,0),FALSE)</f>
        <v>Road Bikes</v>
      </c>
      <c r="G3469">
        <v>1</v>
      </c>
      <c r="H3469">
        <v>2699.99</v>
      </c>
      <c r="I3469" s="5">
        <v>0.05</v>
      </c>
      <c r="J3469">
        <f t="shared" si="108"/>
        <v>2564.9904999999999</v>
      </c>
      <c r="K3469" s="9">
        <f t="shared" si="109"/>
        <v>1.0995280557817817</v>
      </c>
    </row>
    <row r="3470" spans="1:11" x14ac:dyDescent="0.3">
      <c r="A3470">
        <v>1204</v>
      </c>
      <c r="B3470">
        <v>1</v>
      </c>
      <c r="C3470">
        <v>37</v>
      </c>
      <c r="D3470" t="str">
        <f>VLOOKUP($C3470,products!$A$1:$F$322,MATCH(order_items!$D$1,products!$A$1:$F$1,0),FALSE)</f>
        <v>Haro Flightline One ST - 2017</v>
      </c>
      <c r="E3470">
        <f>VLOOKUP($C3470,products!$A$1:$F$322,MATCH(order_items!$E$1,products!$A$1:$F$1,0),FALSE)</f>
        <v>6</v>
      </c>
      <c r="F3470" t="str">
        <f>VLOOKUP($E3470,categories!$A$1:$B$8,MATCH(order_items!$F$1,categories!$A$1:$B$1,0),FALSE)</f>
        <v>Mountain Bikes</v>
      </c>
      <c r="G3470">
        <v>2</v>
      </c>
      <c r="H3470">
        <v>379.99</v>
      </c>
      <c r="I3470" s="5">
        <v>7.0000000000000007E-2</v>
      </c>
      <c r="J3470">
        <f t="shared" si="108"/>
        <v>706.78139999999996</v>
      </c>
      <c r="K3470" s="9">
        <f t="shared" si="109"/>
        <v>-0.61561733648409955</v>
      </c>
    </row>
    <row r="3471" spans="1:11" x14ac:dyDescent="0.3">
      <c r="A3471">
        <v>1205</v>
      </c>
      <c r="B3471">
        <v>1</v>
      </c>
      <c r="C3471">
        <v>105</v>
      </c>
      <c r="D3471" t="str">
        <f>VLOOKUP($C3471,products!$A$1:$F$322,MATCH(order_items!$D$1,products!$A$1:$F$1,0),FALSE)</f>
        <v>Sun Bicycles Streamway 7 - 2017</v>
      </c>
      <c r="E3471">
        <f>VLOOKUP($C3471,products!$A$1:$F$322,MATCH(order_items!$E$1,products!$A$1:$F$1,0),FALSE)</f>
        <v>2</v>
      </c>
      <c r="F3471" t="str">
        <f>VLOOKUP($E3471,categories!$A$1:$B$8,MATCH(order_items!$F$1,categories!$A$1:$B$1,0),FALSE)</f>
        <v>Comfort Bicycles</v>
      </c>
      <c r="G3471">
        <v>2</v>
      </c>
      <c r="H3471">
        <v>533.99</v>
      </c>
      <c r="I3471" s="5">
        <v>0.2</v>
      </c>
      <c r="J3471">
        <f t="shared" si="108"/>
        <v>854.38400000000001</v>
      </c>
      <c r="K3471" s="9">
        <f t="shared" si="109"/>
        <v>-0.50176716820438161</v>
      </c>
    </row>
    <row r="3472" spans="1:11" x14ac:dyDescent="0.3">
      <c r="A3472">
        <v>1205</v>
      </c>
      <c r="B3472">
        <v>2</v>
      </c>
      <c r="C3472">
        <v>46</v>
      </c>
      <c r="D3472" t="str">
        <f>VLOOKUP($C3472,products!$A$1:$F$322,MATCH(order_items!$D$1,products!$A$1:$F$1,0),FALSE)</f>
        <v>Haro SR 1.3 - 2017</v>
      </c>
      <c r="E3472">
        <f>VLOOKUP($C3472,products!$A$1:$F$322,MATCH(order_items!$E$1,products!$A$1:$F$1,0),FALSE)</f>
        <v>6</v>
      </c>
      <c r="F3472" t="str">
        <f>VLOOKUP($E3472,categories!$A$1:$B$8,MATCH(order_items!$F$1,categories!$A$1:$B$1,0),FALSE)</f>
        <v>Mountain Bikes</v>
      </c>
      <c r="G3472">
        <v>2</v>
      </c>
      <c r="H3472">
        <v>1409.99</v>
      </c>
      <c r="I3472" s="5">
        <v>0.2</v>
      </c>
      <c r="J3472">
        <f t="shared" si="108"/>
        <v>2255.9839999999999</v>
      </c>
      <c r="K3472" s="9">
        <f t="shared" si="109"/>
        <v>0.14584807473739089</v>
      </c>
    </row>
    <row r="3473" spans="1:11" x14ac:dyDescent="0.3">
      <c r="A3473">
        <v>1205</v>
      </c>
      <c r="B3473">
        <v>3</v>
      </c>
      <c r="C3473">
        <v>71</v>
      </c>
      <c r="D3473" t="str">
        <f>VLOOKUP($C3473,products!$A$1:$F$322,MATCH(order_items!$D$1,products!$A$1:$F$1,0),FALSE)</f>
        <v>Sun Bicycles Atlas X-Type - 2017</v>
      </c>
      <c r="E3473">
        <f>VLOOKUP($C3473,products!$A$1:$F$322,MATCH(order_items!$E$1,products!$A$1:$F$1,0),FALSE)</f>
        <v>3</v>
      </c>
      <c r="F3473" t="str">
        <f>VLOOKUP($E3473,categories!$A$1:$B$8,MATCH(order_items!$F$1,categories!$A$1:$B$1,0),FALSE)</f>
        <v>Cruisers Bicycles</v>
      </c>
      <c r="G3473">
        <v>1</v>
      </c>
      <c r="H3473">
        <v>416.99</v>
      </c>
      <c r="I3473" s="5">
        <v>0.05</v>
      </c>
      <c r="J3473">
        <f t="shared" si="108"/>
        <v>396.14049999999997</v>
      </c>
      <c r="K3473" s="9">
        <f t="shared" si="109"/>
        <v>-0.58826372462468679</v>
      </c>
    </row>
    <row r="3474" spans="1:11" x14ac:dyDescent="0.3">
      <c r="A3474">
        <v>1205</v>
      </c>
      <c r="B3474">
        <v>4</v>
      </c>
      <c r="C3474">
        <v>79</v>
      </c>
      <c r="D3474" t="str">
        <f>VLOOKUP($C3474,products!$A$1:$F$322,MATCH(order_items!$D$1,products!$A$1:$F$1,0),FALSE)</f>
        <v>Sun Bicycles Boardwalk (24-inch Wheels) - 2017</v>
      </c>
      <c r="E3474">
        <f>VLOOKUP($C3474,products!$A$1:$F$322,MATCH(order_items!$E$1,products!$A$1:$F$1,0),FALSE)</f>
        <v>3</v>
      </c>
      <c r="F3474" t="str">
        <f>VLOOKUP($E3474,categories!$A$1:$B$8,MATCH(order_items!$F$1,categories!$A$1:$B$1,0),FALSE)</f>
        <v>Cruisers Bicycles</v>
      </c>
      <c r="G3474">
        <v>2</v>
      </c>
      <c r="H3474">
        <v>402.99</v>
      </c>
      <c r="I3474" s="5">
        <v>7.0000000000000007E-2</v>
      </c>
      <c r="J3474">
        <f t="shared" si="108"/>
        <v>749.56139999999994</v>
      </c>
      <c r="K3474" s="9">
        <f t="shared" si="109"/>
        <v>-0.59861373992284295</v>
      </c>
    </row>
    <row r="3475" spans="1:11" x14ac:dyDescent="0.3">
      <c r="A3475">
        <v>1205</v>
      </c>
      <c r="B3475">
        <v>5</v>
      </c>
      <c r="C3475">
        <v>92</v>
      </c>
      <c r="D3475" t="str">
        <f>VLOOKUP($C3475,products!$A$1:$F$322,MATCH(order_items!$D$1,products!$A$1:$F$1,0),FALSE)</f>
        <v>Haro Shredder 20 - 2017</v>
      </c>
      <c r="E3475">
        <f>VLOOKUP($C3475,products!$A$1:$F$322,MATCH(order_items!$E$1,products!$A$1:$F$1,0),FALSE)</f>
        <v>1</v>
      </c>
      <c r="F3475" t="str">
        <f>VLOOKUP($E3475,categories!$A$1:$B$8,MATCH(order_items!$F$1,categories!$A$1:$B$1,0),FALSE)</f>
        <v>Children Bicycles</v>
      </c>
      <c r="G3475">
        <v>1</v>
      </c>
      <c r="H3475">
        <v>209.99</v>
      </c>
      <c r="I3475" s="5">
        <v>0.1</v>
      </c>
      <c r="J3475">
        <f t="shared" si="108"/>
        <v>188.99100000000001</v>
      </c>
      <c r="K3475" s="9">
        <f t="shared" si="109"/>
        <v>-0.74129609367599603</v>
      </c>
    </row>
    <row r="3476" spans="1:11" x14ac:dyDescent="0.3">
      <c r="A3476">
        <v>1206</v>
      </c>
      <c r="B3476">
        <v>1</v>
      </c>
      <c r="C3476">
        <v>73</v>
      </c>
      <c r="D3476" t="str">
        <f>VLOOKUP($C3476,products!$A$1:$F$322,MATCH(order_items!$D$1,products!$A$1:$F$1,0),FALSE)</f>
        <v>Sun Bicycles Brickell Tandem 7 - 2017</v>
      </c>
      <c r="E3476">
        <f>VLOOKUP($C3476,products!$A$1:$F$322,MATCH(order_items!$E$1,products!$A$1:$F$1,0),FALSE)</f>
        <v>3</v>
      </c>
      <c r="F3476" t="str">
        <f>VLOOKUP($E3476,categories!$A$1:$B$8,MATCH(order_items!$F$1,categories!$A$1:$B$1,0),FALSE)</f>
        <v>Cruisers Bicycles</v>
      </c>
      <c r="G3476">
        <v>1</v>
      </c>
      <c r="H3476">
        <v>749.99</v>
      </c>
      <c r="I3476" s="5">
        <v>7.0000000000000007E-2</v>
      </c>
      <c r="J3476">
        <f t="shared" si="108"/>
        <v>697.49069999999995</v>
      </c>
      <c r="K3476" s="9">
        <f t="shared" si="109"/>
        <v>-0.34208121788997192</v>
      </c>
    </row>
    <row r="3477" spans="1:11" x14ac:dyDescent="0.3">
      <c r="A3477">
        <v>1206</v>
      </c>
      <c r="B3477">
        <v>2</v>
      </c>
      <c r="C3477">
        <v>29</v>
      </c>
      <c r="D3477" t="str">
        <f>VLOOKUP($C3477,products!$A$1:$F$322,MATCH(order_items!$D$1,products!$A$1:$F$1,0),FALSE)</f>
        <v>Trek X-Caliber 8 - 2017</v>
      </c>
      <c r="E3477">
        <f>VLOOKUP($C3477,products!$A$1:$F$322,MATCH(order_items!$E$1,products!$A$1:$F$1,0),FALSE)</f>
        <v>6</v>
      </c>
      <c r="F3477" t="str">
        <f>VLOOKUP($E3477,categories!$A$1:$B$8,MATCH(order_items!$F$1,categories!$A$1:$B$1,0),FALSE)</f>
        <v>Mountain Bikes</v>
      </c>
      <c r="G3477">
        <v>1</v>
      </c>
      <c r="H3477">
        <v>999.99</v>
      </c>
      <c r="I3477" s="5">
        <v>0.2</v>
      </c>
      <c r="J3477">
        <f t="shared" si="108"/>
        <v>799.99200000000008</v>
      </c>
      <c r="K3477" s="9">
        <f t="shared" si="109"/>
        <v>-0.15725951613718298</v>
      </c>
    </row>
    <row r="3478" spans="1:11" x14ac:dyDescent="0.3">
      <c r="A3478">
        <v>1207</v>
      </c>
      <c r="B3478">
        <v>1</v>
      </c>
      <c r="C3478">
        <v>104</v>
      </c>
      <c r="D3478" t="str">
        <f>VLOOKUP($C3478,products!$A$1:$F$322,MATCH(order_items!$D$1,products!$A$1:$F$1,0),FALSE)</f>
        <v>Sun Bicycles Streamway - 2017</v>
      </c>
      <c r="E3478">
        <f>VLOOKUP($C3478,products!$A$1:$F$322,MATCH(order_items!$E$1,products!$A$1:$F$1,0),FALSE)</f>
        <v>2</v>
      </c>
      <c r="F3478" t="str">
        <f>VLOOKUP($E3478,categories!$A$1:$B$8,MATCH(order_items!$F$1,categories!$A$1:$B$1,0),FALSE)</f>
        <v>Comfort Bicycles</v>
      </c>
      <c r="G3478">
        <v>1</v>
      </c>
      <c r="H3478">
        <v>481.99</v>
      </c>
      <c r="I3478" s="5">
        <v>0.05</v>
      </c>
      <c r="J3478">
        <f t="shared" si="108"/>
        <v>457.89049999999997</v>
      </c>
      <c r="K3478" s="9">
        <f t="shared" si="109"/>
        <v>-0.54021008216896171</v>
      </c>
    </row>
    <row r="3479" spans="1:11" x14ac:dyDescent="0.3">
      <c r="A3479">
        <v>1207</v>
      </c>
      <c r="B3479">
        <v>2</v>
      </c>
      <c r="C3479">
        <v>103</v>
      </c>
      <c r="D3479" t="str">
        <f>VLOOKUP($C3479,products!$A$1:$F$322,MATCH(order_items!$D$1,products!$A$1:$F$1,0),FALSE)</f>
        <v>Sun Bicycles Streamway 3 - 2017</v>
      </c>
      <c r="E3479">
        <f>VLOOKUP($C3479,products!$A$1:$F$322,MATCH(order_items!$E$1,products!$A$1:$F$1,0),FALSE)</f>
        <v>2</v>
      </c>
      <c r="F3479" t="str">
        <f>VLOOKUP($E3479,categories!$A$1:$B$8,MATCH(order_items!$F$1,categories!$A$1:$B$1,0),FALSE)</f>
        <v>Comfort Bicycles</v>
      </c>
      <c r="G3479">
        <v>1</v>
      </c>
      <c r="H3479">
        <v>551.99</v>
      </c>
      <c r="I3479" s="5">
        <v>0.1</v>
      </c>
      <c r="J3479">
        <f t="shared" si="108"/>
        <v>496.791</v>
      </c>
      <c r="K3479" s="9">
        <f t="shared" si="109"/>
        <v>-0.48846000567818076</v>
      </c>
    </row>
    <row r="3480" spans="1:11" x14ac:dyDescent="0.3">
      <c r="A3480">
        <v>1207</v>
      </c>
      <c r="B3480">
        <v>3</v>
      </c>
      <c r="C3480">
        <v>23</v>
      </c>
      <c r="D3480" t="str">
        <f>VLOOKUP($C3480,products!$A$1:$F$322,MATCH(order_items!$D$1,products!$A$1:$F$1,0),FALSE)</f>
        <v>Electra Girl's Hawaii 1 (20-inch) - 2015/2016</v>
      </c>
      <c r="E3480">
        <f>VLOOKUP($C3480,products!$A$1:$F$322,MATCH(order_items!$E$1,products!$A$1:$F$1,0),FALSE)</f>
        <v>1</v>
      </c>
      <c r="F3480" t="str">
        <f>VLOOKUP($E3480,categories!$A$1:$B$8,MATCH(order_items!$F$1,categories!$A$1:$B$1,0),FALSE)</f>
        <v>Children Bicycles</v>
      </c>
      <c r="G3480">
        <v>1</v>
      </c>
      <c r="H3480">
        <v>299.99</v>
      </c>
      <c r="I3480" s="5">
        <v>7.0000000000000007E-2</v>
      </c>
      <c r="J3480">
        <f t="shared" si="108"/>
        <v>278.9907</v>
      </c>
      <c r="K3480" s="9">
        <f t="shared" si="109"/>
        <v>-0.67476028104499197</v>
      </c>
    </row>
    <row r="3481" spans="1:11" x14ac:dyDescent="0.3">
      <c r="A3481">
        <v>1208</v>
      </c>
      <c r="B3481">
        <v>1</v>
      </c>
      <c r="C3481">
        <v>12</v>
      </c>
      <c r="D3481" t="str">
        <f>VLOOKUP($C3481,products!$A$1:$F$322,MATCH(order_items!$D$1,products!$A$1:$F$1,0),FALSE)</f>
        <v>Electra Townie Original 21D - 2016</v>
      </c>
      <c r="E3481">
        <f>VLOOKUP($C3481,products!$A$1:$F$322,MATCH(order_items!$E$1,products!$A$1:$F$1,0),FALSE)</f>
        <v>3</v>
      </c>
      <c r="F3481" t="str">
        <f>VLOOKUP($E3481,categories!$A$1:$B$8,MATCH(order_items!$F$1,categories!$A$1:$B$1,0),FALSE)</f>
        <v>Cruisers Bicycles</v>
      </c>
      <c r="G3481">
        <v>1</v>
      </c>
      <c r="H3481">
        <v>549.99</v>
      </c>
      <c r="I3481" s="5">
        <v>0.2</v>
      </c>
      <c r="J3481">
        <f t="shared" si="108"/>
        <v>439.99200000000002</v>
      </c>
      <c r="K3481" s="9">
        <f t="shared" si="109"/>
        <v>-0.48993857929220308</v>
      </c>
    </row>
    <row r="3482" spans="1:11" x14ac:dyDescent="0.3">
      <c r="A3482">
        <v>1208</v>
      </c>
      <c r="B3482">
        <v>2</v>
      </c>
      <c r="C3482">
        <v>65</v>
      </c>
      <c r="D3482" t="str">
        <f>VLOOKUP($C3482,products!$A$1:$F$322,MATCH(order_items!$D$1,products!$A$1:$F$1,0),FALSE)</f>
        <v>Sun Bicycles Lil Bolt Type-R - 2017</v>
      </c>
      <c r="E3482">
        <f>VLOOKUP($C3482,products!$A$1:$F$322,MATCH(order_items!$E$1,products!$A$1:$F$1,0),FALSE)</f>
        <v>3</v>
      </c>
      <c r="F3482" t="str">
        <f>VLOOKUP($E3482,categories!$A$1:$B$8,MATCH(order_items!$F$1,categories!$A$1:$B$1,0),FALSE)</f>
        <v>Cruisers Bicycles</v>
      </c>
      <c r="G3482">
        <v>2</v>
      </c>
      <c r="H3482">
        <v>346.99</v>
      </c>
      <c r="I3482" s="5">
        <v>7.0000000000000007E-2</v>
      </c>
      <c r="J3482">
        <f t="shared" si="108"/>
        <v>645.40139999999997</v>
      </c>
      <c r="K3482" s="9">
        <f t="shared" si="109"/>
        <v>-0.64001380111546768</v>
      </c>
    </row>
    <row r="3483" spans="1:11" x14ac:dyDescent="0.3">
      <c r="A3483">
        <v>1208</v>
      </c>
      <c r="B3483">
        <v>3</v>
      </c>
      <c r="C3483">
        <v>86</v>
      </c>
      <c r="D3483" t="str">
        <f>VLOOKUP($C3483,products!$A$1:$F$322,MATCH(order_items!$D$1,products!$A$1:$F$1,0),FALSE)</f>
        <v>Trek Girl's Kickster - 2017</v>
      </c>
      <c r="E3483">
        <f>VLOOKUP($C3483,products!$A$1:$F$322,MATCH(order_items!$E$1,products!$A$1:$F$1,0),FALSE)</f>
        <v>1</v>
      </c>
      <c r="F3483" t="str">
        <f>VLOOKUP($E3483,categories!$A$1:$B$8,MATCH(order_items!$F$1,categories!$A$1:$B$1,0),FALSE)</f>
        <v>Children Bicycles</v>
      </c>
      <c r="G3483">
        <v>2</v>
      </c>
      <c r="H3483">
        <v>149.99</v>
      </c>
      <c r="I3483" s="5">
        <v>0.2</v>
      </c>
      <c r="J3483">
        <f t="shared" si="108"/>
        <v>239.98400000000004</v>
      </c>
      <c r="K3483" s="9">
        <f t="shared" si="109"/>
        <v>-0.7856533020966654</v>
      </c>
    </row>
    <row r="3484" spans="1:11" x14ac:dyDescent="0.3">
      <c r="A3484">
        <v>1208</v>
      </c>
      <c r="B3484">
        <v>4</v>
      </c>
      <c r="C3484">
        <v>13</v>
      </c>
      <c r="D3484" t="str">
        <f>VLOOKUP($C3484,products!$A$1:$F$322,MATCH(order_items!$D$1,products!$A$1:$F$1,0),FALSE)</f>
        <v>Electra Cruiser 1 (24-Inch) - 2016</v>
      </c>
      <c r="E3484">
        <f>VLOOKUP($C3484,products!$A$1:$F$322,MATCH(order_items!$E$1,products!$A$1:$F$1,0),FALSE)</f>
        <v>3</v>
      </c>
      <c r="F3484" t="str">
        <f>VLOOKUP($E3484,categories!$A$1:$B$8,MATCH(order_items!$F$1,categories!$A$1:$B$1,0),FALSE)</f>
        <v>Cruisers Bicycles</v>
      </c>
      <c r="G3484">
        <v>2</v>
      </c>
      <c r="H3484">
        <v>269.99</v>
      </c>
      <c r="I3484" s="5">
        <v>0.1</v>
      </c>
      <c r="J3484">
        <f t="shared" si="108"/>
        <v>485.98200000000003</v>
      </c>
      <c r="K3484" s="9">
        <f t="shared" si="109"/>
        <v>-0.69693888525532666</v>
      </c>
    </row>
    <row r="3485" spans="1:11" x14ac:dyDescent="0.3">
      <c r="A3485">
        <v>1208</v>
      </c>
      <c r="B3485">
        <v>5</v>
      </c>
      <c r="C3485">
        <v>87</v>
      </c>
      <c r="D3485" t="str">
        <f>VLOOKUP($C3485,products!$A$1:$F$322,MATCH(order_items!$D$1,products!$A$1:$F$1,0),FALSE)</f>
        <v>Trek Precaliber 12 Boys - 2017</v>
      </c>
      <c r="E3485">
        <f>VLOOKUP($C3485,products!$A$1:$F$322,MATCH(order_items!$E$1,products!$A$1:$F$1,0),FALSE)</f>
        <v>1</v>
      </c>
      <c r="F3485" t="str">
        <f>VLOOKUP($E3485,categories!$A$1:$B$8,MATCH(order_items!$F$1,categories!$A$1:$B$1,0),FALSE)</f>
        <v>Children Bicycles</v>
      </c>
      <c r="G3485">
        <v>1</v>
      </c>
      <c r="H3485">
        <v>189.99</v>
      </c>
      <c r="I3485" s="5">
        <v>7.0000000000000007E-2</v>
      </c>
      <c r="J3485">
        <f t="shared" si="108"/>
        <v>176.69069999999999</v>
      </c>
      <c r="K3485" s="9">
        <f t="shared" si="109"/>
        <v>-0.75608182981621919</v>
      </c>
    </row>
    <row r="3486" spans="1:11" x14ac:dyDescent="0.3">
      <c r="A3486">
        <v>1209</v>
      </c>
      <c r="B3486">
        <v>1</v>
      </c>
      <c r="C3486">
        <v>89</v>
      </c>
      <c r="D3486" t="str">
        <f>VLOOKUP($C3486,products!$A$1:$F$322,MATCH(order_items!$D$1,products!$A$1:$F$1,0),FALSE)</f>
        <v>Trek Precaliber 16 Boys - 2017</v>
      </c>
      <c r="E3486">
        <f>VLOOKUP($C3486,products!$A$1:$F$322,MATCH(order_items!$E$1,products!$A$1:$F$1,0),FALSE)</f>
        <v>1</v>
      </c>
      <c r="F3486" t="str">
        <f>VLOOKUP($E3486,categories!$A$1:$B$8,MATCH(order_items!$F$1,categories!$A$1:$B$1,0),FALSE)</f>
        <v>Children Bicycles</v>
      </c>
      <c r="G3486">
        <v>1</v>
      </c>
      <c r="H3486">
        <v>209.99</v>
      </c>
      <c r="I3486" s="5">
        <v>7.0000000000000007E-2</v>
      </c>
      <c r="J3486">
        <f t="shared" si="108"/>
        <v>195.29069999999999</v>
      </c>
      <c r="K3486" s="9">
        <f t="shared" si="109"/>
        <v>-0.74129609367599603</v>
      </c>
    </row>
    <row r="3487" spans="1:11" x14ac:dyDescent="0.3">
      <c r="A3487">
        <v>1209</v>
      </c>
      <c r="B3487">
        <v>2</v>
      </c>
      <c r="C3487">
        <v>97</v>
      </c>
      <c r="D3487" t="str">
        <f>VLOOKUP($C3487,products!$A$1:$F$322,MATCH(order_items!$D$1,products!$A$1:$F$1,0),FALSE)</f>
        <v>Electra Savannah 3i (20-inch) - Girl's - 2017</v>
      </c>
      <c r="E3487">
        <f>VLOOKUP($C3487,products!$A$1:$F$322,MATCH(order_items!$E$1,products!$A$1:$F$1,0),FALSE)</f>
        <v>1</v>
      </c>
      <c r="F3487" t="str">
        <f>VLOOKUP($E3487,categories!$A$1:$B$8,MATCH(order_items!$F$1,categories!$A$1:$B$1,0),FALSE)</f>
        <v>Children Bicycles</v>
      </c>
      <c r="G3487">
        <v>1</v>
      </c>
      <c r="H3487">
        <v>349.99</v>
      </c>
      <c r="I3487" s="5">
        <v>0.05</v>
      </c>
      <c r="J3487">
        <f t="shared" si="108"/>
        <v>332.4905</v>
      </c>
      <c r="K3487" s="9">
        <f t="shared" si="109"/>
        <v>-0.63779594069443424</v>
      </c>
    </row>
    <row r="3488" spans="1:11" x14ac:dyDescent="0.3">
      <c r="A3488">
        <v>1210</v>
      </c>
      <c r="B3488">
        <v>1</v>
      </c>
      <c r="C3488">
        <v>26</v>
      </c>
      <c r="D3488" t="str">
        <f>VLOOKUP($C3488,products!$A$1:$F$322,MATCH(order_items!$D$1,products!$A$1:$F$1,0),FALSE)</f>
        <v>Electra Townie Original 7D EQ - 2016</v>
      </c>
      <c r="E3488">
        <f>VLOOKUP($C3488,products!$A$1:$F$322,MATCH(order_items!$E$1,products!$A$1:$F$1,0),FALSE)</f>
        <v>2</v>
      </c>
      <c r="F3488" t="str">
        <f>VLOOKUP($E3488,categories!$A$1:$B$8,MATCH(order_items!$F$1,categories!$A$1:$B$1,0),FALSE)</f>
        <v>Comfort Bicycles</v>
      </c>
      <c r="G3488">
        <v>1</v>
      </c>
      <c r="H3488">
        <v>599.99</v>
      </c>
      <c r="I3488" s="5">
        <v>0.1</v>
      </c>
      <c r="J3488">
        <f t="shared" si="108"/>
        <v>539.99099999999999</v>
      </c>
      <c r="K3488" s="9">
        <f t="shared" si="109"/>
        <v>-0.45297423894164529</v>
      </c>
    </row>
    <row r="3489" spans="1:11" x14ac:dyDescent="0.3">
      <c r="A3489">
        <v>1210</v>
      </c>
      <c r="B3489">
        <v>2</v>
      </c>
      <c r="C3489">
        <v>6</v>
      </c>
      <c r="D3489" t="str">
        <f>VLOOKUP($C3489,products!$A$1:$F$322,MATCH(order_items!$D$1,products!$A$1:$F$1,0),FALSE)</f>
        <v>Surly Ice Cream Truck Frameset - 2016</v>
      </c>
      <c r="E3489">
        <f>VLOOKUP($C3489,products!$A$1:$F$322,MATCH(order_items!$E$1,products!$A$1:$F$1,0),FALSE)</f>
        <v>6</v>
      </c>
      <c r="F3489" t="str">
        <f>VLOOKUP($E3489,categories!$A$1:$B$8,MATCH(order_items!$F$1,categories!$A$1:$B$1,0),FALSE)</f>
        <v>Mountain Bikes</v>
      </c>
      <c r="G3489">
        <v>2</v>
      </c>
      <c r="H3489">
        <v>469.99</v>
      </c>
      <c r="I3489" s="5">
        <v>7.0000000000000007E-2</v>
      </c>
      <c r="J3489">
        <f t="shared" si="108"/>
        <v>874.18139999999994</v>
      </c>
      <c r="K3489" s="9">
        <f t="shared" si="109"/>
        <v>-0.5490815238530955</v>
      </c>
    </row>
    <row r="3490" spans="1:11" x14ac:dyDescent="0.3">
      <c r="A3490">
        <v>1210</v>
      </c>
      <c r="B3490">
        <v>3</v>
      </c>
      <c r="C3490">
        <v>78</v>
      </c>
      <c r="D3490" t="str">
        <f>VLOOKUP($C3490,products!$A$1:$F$322,MATCH(order_items!$D$1,products!$A$1:$F$1,0),FALSE)</f>
        <v>Sun Bicycles Biscayne Tandem CB - 2017</v>
      </c>
      <c r="E3490">
        <f>VLOOKUP($C3490,products!$A$1:$F$322,MATCH(order_items!$E$1,products!$A$1:$F$1,0),FALSE)</f>
        <v>3</v>
      </c>
      <c r="F3490" t="str">
        <f>VLOOKUP($E3490,categories!$A$1:$B$8,MATCH(order_items!$F$1,categories!$A$1:$B$1,0),FALSE)</f>
        <v>Cruisers Bicycles</v>
      </c>
      <c r="G3490">
        <v>2</v>
      </c>
      <c r="H3490">
        <v>647.99</v>
      </c>
      <c r="I3490" s="5">
        <v>0.05</v>
      </c>
      <c r="J3490">
        <f t="shared" si="108"/>
        <v>1231.181</v>
      </c>
      <c r="K3490" s="9">
        <f t="shared" si="109"/>
        <v>-0.41748847220510982</v>
      </c>
    </row>
    <row r="3491" spans="1:11" x14ac:dyDescent="0.3">
      <c r="A3491">
        <v>1210</v>
      </c>
      <c r="B3491">
        <v>4</v>
      </c>
      <c r="C3491">
        <v>84</v>
      </c>
      <c r="D3491" t="str">
        <f>VLOOKUP($C3491,products!$A$1:$F$322,MATCH(order_items!$D$1,products!$A$1:$F$1,0),FALSE)</f>
        <v>Sun Bicycles Lil Kitt'n - 2017</v>
      </c>
      <c r="E3491">
        <f>VLOOKUP($C3491,products!$A$1:$F$322,MATCH(order_items!$E$1,products!$A$1:$F$1,0),FALSE)</f>
        <v>1</v>
      </c>
      <c r="F3491" t="str">
        <f>VLOOKUP($E3491,categories!$A$1:$B$8,MATCH(order_items!$F$1,categories!$A$1:$B$1,0),FALSE)</f>
        <v>Children Bicycles</v>
      </c>
      <c r="G3491">
        <v>1</v>
      </c>
      <c r="H3491">
        <v>109.99</v>
      </c>
      <c r="I3491" s="5">
        <v>0.1</v>
      </c>
      <c r="J3491">
        <f t="shared" si="108"/>
        <v>98.991</v>
      </c>
      <c r="K3491" s="9">
        <f t="shared" si="109"/>
        <v>-0.81522477437711161</v>
      </c>
    </row>
    <row r="3492" spans="1:11" x14ac:dyDescent="0.3">
      <c r="A3492">
        <v>1210</v>
      </c>
      <c r="B3492">
        <v>5</v>
      </c>
      <c r="C3492">
        <v>35</v>
      </c>
      <c r="D3492" t="str">
        <f>VLOOKUP($C3492,products!$A$1:$F$322,MATCH(order_items!$D$1,products!$A$1:$F$1,0),FALSE)</f>
        <v>Sun Bicycles Spider 3i - 2017</v>
      </c>
      <c r="E3492">
        <f>VLOOKUP($C3492,products!$A$1:$F$322,MATCH(order_items!$E$1,products!$A$1:$F$1,0),FALSE)</f>
        <v>6</v>
      </c>
      <c r="F3492" t="str">
        <f>VLOOKUP($E3492,categories!$A$1:$B$8,MATCH(order_items!$F$1,categories!$A$1:$B$1,0),FALSE)</f>
        <v>Mountain Bikes</v>
      </c>
      <c r="G3492">
        <v>2</v>
      </c>
      <c r="H3492">
        <v>832.99</v>
      </c>
      <c r="I3492" s="5">
        <v>0.05</v>
      </c>
      <c r="J3492">
        <f t="shared" si="108"/>
        <v>1582.681</v>
      </c>
      <c r="K3492" s="9">
        <f t="shared" si="109"/>
        <v>-0.280720412908046</v>
      </c>
    </row>
    <row r="3493" spans="1:11" x14ac:dyDescent="0.3">
      <c r="A3493">
        <v>1211</v>
      </c>
      <c r="B3493">
        <v>1</v>
      </c>
      <c r="C3493">
        <v>15</v>
      </c>
      <c r="D3493" t="str">
        <f>VLOOKUP($C3493,products!$A$1:$F$322,MATCH(order_items!$D$1,products!$A$1:$F$1,0),FALSE)</f>
        <v>Electra Moto 1 - 2016</v>
      </c>
      <c r="E3493">
        <f>VLOOKUP($C3493,products!$A$1:$F$322,MATCH(order_items!$E$1,products!$A$1:$F$1,0),FALSE)</f>
        <v>3</v>
      </c>
      <c r="F3493" t="str">
        <f>VLOOKUP($E3493,categories!$A$1:$B$8,MATCH(order_items!$F$1,categories!$A$1:$B$1,0),FALSE)</f>
        <v>Cruisers Bicycles</v>
      </c>
      <c r="G3493">
        <v>2</v>
      </c>
      <c r="H3493">
        <v>529.99</v>
      </c>
      <c r="I3493" s="5">
        <v>0.2</v>
      </c>
      <c r="J3493">
        <f t="shared" si="108"/>
        <v>847.98400000000004</v>
      </c>
      <c r="K3493" s="9">
        <f t="shared" si="109"/>
        <v>-0.50472431543242624</v>
      </c>
    </row>
    <row r="3494" spans="1:11" x14ac:dyDescent="0.3">
      <c r="A3494">
        <v>1211</v>
      </c>
      <c r="B3494">
        <v>2</v>
      </c>
      <c r="C3494">
        <v>59</v>
      </c>
      <c r="D3494" t="str">
        <f>VLOOKUP($C3494,products!$A$1:$F$322,MATCH(order_items!$D$1,products!$A$1:$F$1,0),FALSE)</f>
        <v>Trek Domane S 5 Disc - 2017</v>
      </c>
      <c r="E3494">
        <f>VLOOKUP($C3494,products!$A$1:$F$322,MATCH(order_items!$E$1,products!$A$1:$F$1,0),FALSE)</f>
        <v>7</v>
      </c>
      <c r="F3494" t="str">
        <f>VLOOKUP($E3494,categories!$A$1:$B$8,MATCH(order_items!$F$1,categories!$A$1:$B$1,0),FALSE)</f>
        <v>Road Bikes</v>
      </c>
      <c r="G3494">
        <v>1</v>
      </c>
      <c r="H3494">
        <v>2599.9899999999998</v>
      </c>
      <c r="I3494" s="5">
        <v>0.05</v>
      </c>
      <c r="J3494">
        <f t="shared" si="108"/>
        <v>2469.9904999999999</v>
      </c>
      <c r="K3494" s="9">
        <f t="shared" si="109"/>
        <v>1.025599375080666</v>
      </c>
    </row>
    <row r="3495" spans="1:11" x14ac:dyDescent="0.3">
      <c r="A3495">
        <v>1211</v>
      </c>
      <c r="B3495">
        <v>3</v>
      </c>
      <c r="C3495">
        <v>92</v>
      </c>
      <c r="D3495" t="str">
        <f>VLOOKUP($C3495,products!$A$1:$F$322,MATCH(order_items!$D$1,products!$A$1:$F$1,0),FALSE)</f>
        <v>Haro Shredder 20 - 2017</v>
      </c>
      <c r="E3495">
        <f>VLOOKUP($C3495,products!$A$1:$F$322,MATCH(order_items!$E$1,products!$A$1:$F$1,0),FALSE)</f>
        <v>1</v>
      </c>
      <c r="F3495" t="str">
        <f>VLOOKUP($E3495,categories!$A$1:$B$8,MATCH(order_items!$F$1,categories!$A$1:$B$1,0),FALSE)</f>
        <v>Children Bicycles</v>
      </c>
      <c r="G3495">
        <v>1</v>
      </c>
      <c r="H3495">
        <v>209.99</v>
      </c>
      <c r="I3495" s="5">
        <v>0.2</v>
      </c>
      <c r="J3495">
        <f t="shared" si="108"/>
        <v>167.99200000000002</v>
      </c>
      <c r="K3495" s="9">
        <f t="shared" si="109"/>
        <v>-0.74129609367599603</v>
      </c>
    </row>
    <row r="3496" spans="1:11" x14ac:dyDescent="0.3">
      <c r="A3496">
        <v>1211</v>
      </c>
      <c r="B3496">
        <v>4</v>
      </c>
      <c r="C3496">
        <v>93</v>
      </c>
      <c r="D3496" t="str">
        <f>VLOOKUP($C3496,products!$A$1:$F$322,MATCH(order_items!$D$1,products!$A$1:$F$1,0),FALSE)</f>
        <v>Haro Shredder 20 Girls - 2017</v>
      </c>
      <c r="E3496">
        <f>VLOOKUP($C3496,products!$A$1:$F$322,MATCH(order_items!$E$1,products!$A$1:$F$1,0),FALSE)</f>
        <v>1</v>
      </c>
      <c r="F3496" t="str">
        <f>VLOOKUP($E3496,categories!$A$1:$B$8,MATCH(order_items!$F$1,categories!$A$1:$B$1,0),FALSE)</f>
        <v>Children Bicycles</v>
      </c>
      <c r="G3496">
        <v>1</v>
      </c>
      <c r="H3496">
        <v>209.99</v>
      </c>
      <c r="I3496" s="5">
        <v>0.1</v>
      </c>
      <c r="J3496">
        <f t="shared" si="108"/>
        <v>188.99100000000001</v>
      </c>
      <c r="K3496" s="9">
        <f t="shared" si="109"/>
        <v>-0.74129609367599603</v>
      </c>
    </row>
    <row r="3497" spans="1:11" x14ac:dyDescent="0.3">
      <c r="A3497">
        <v>1211</v>
      </c>
      <c r="B3497">
        <v>5</v>
      </c>
      <c r="C3497">
        <v>108</v>
      </c>
      <c r="D3497" t="str">
        <f>VLOOKUP($C3497,products!$A$1:$F$322,MATCH(order_items!$D$1,products!$A$1:$F$1,0),FALSE)</f>
        <v>Sun Bicycles Cruz 3 - Women's - 2017</v>
      </c>
      <c r="E3497">
        <f>VLOOKUP($C3497,products!$A$1:$F$322,MATCH(order_items!$E$1,products!$A$1:$F$1,0),FALSE)</f>
        <v>2</v>
      </c>
      <c r="F3497" t="str">
        <f>VLOOKUP($E3497,categories!$A$1:$B$8,MATCH(order_items!$F$1,categories!$A$1:$B$1,0),FALSE)</f>
        <v>Comfort Bicycles</v>
      </c>
      <c r="G3497">
        <v>2</v>
      </c>
      <c r="H3497">
        <v>449.99</v>
      </c>
      <c r="I3497" s="5">
        <v>0.2</v>
      </c>
      <c r="J3497">
        <f t="shared" si="108"/>
        <v>719.98400000000004</v>
      </c>
      <c r="K3497" s="9">
        <f t="shared" si="109"/>
        <v>-0.56386725999331866</v>
      </c>
    </row>
    <row r="3498" spans="1:11" x14ac:dyDescent="0.3">
      <c r="A3498">
        <v>1212</v>
      </c>
      <c r="B3498">
        <v>1</v>
      </c>
      <c r="C3498">
        <v>74</v>
      </c>
      <c r="D3498" t="str">
        <f>VLOOKUP($C3498,products!$A$1:$F$322,MATCH(order_items!$D$1,products!$A$1:$F$1,0),FALSE)</f>
        <v>Electra Cruiser Lux 1 - 2017</v>
      </c>
      <c r="E3498">
        <f>VLOOKUP($C3498,products!$A$1:$F$322,MATCH(order_items!$E$1,products!$A$1:$F$1,0),FALSE)</f>
        <v>3</v>
      </c>
      <c r="F3498" t="str">
        <f>VLOOKUP($E3498,categories!$A$1:$B$8,MATCH(order_items!$F$1,categories!$A$1:$B$1,0),FALSE)</f>
        <v>Cruisers Bicycles</v>
      </c>
      <c r="G3498">
        <v>1</v>
      </c>
      <c r="H3498">
        <v>439.99</v>
      </c>
      <c r="I3498" s="5">
        <v>0.1</v>
      </c>
      <c r="J3498">
        <f t="shared" si="108"/>
        <v>395.99100000000004</v>
      </c>
      <c r="K3498" s="9">
        <f t="shared" si="109"/>
        <v>-0.57126012806343018</v>
      </c>
    </row>
    <row r="3499" spans="1:11" x14ac:dyDescent="0.3">
      <c r="A3499">
        <v>1212</v>
      </c>
      <c r="B3499">
        <v>2</v>
      </c>
      <c r="C3499">
        <v>37</v>
      </c>
      <c r="D3499" t="str">
        <f>VLOOKUP($C3499,products!$A$1:$F$322,MATCH(order_items!$D$1,products!$A$1:$F$1,0),FALSE)</f>
        <v>Haro Flightline One ST - 2017</v>
      </c>
      <c r="E3499">
        <f>VLOOKUP($C3499,products!$A$1:$F$322,MATCH(order_items!$E$1,products!$A$1:$F$1,0),FALSE)</f>
        <v>6</v>
      </c>
      <c r="F3499" t="str">
        <f>VLOOKUP($E3499,categories!$A$1:$B$8,MATCH(order_items!$F$1,categories!$A$1:$B$1,0),FALSE)</f>
        <v>Mountain Bikes</v>
      </c>
      <c r="G3499">
        <v>2</v>
      </c>
      <c r="H3499">
        <v>379.99</v>
      </c>
      <c r="I3499" s="5">
        <v>7.0000000000000007E-2</v>
      </c>
      <c r="J3499">
        <f t="shared" si="108"/>
        <v>706.78139999999996</v>
      </c>
      <c r="K3499" s="9">
        <f t="shared" si="109"/>
        <v>-0.61561733648409955</v>
      </c>
    </row>
    <row r="3500" spans="1:11" x14ac:dyDescent="0.3">
      <c r="A3500">
        <v>1212</v>
      </c>
      <c r="B3500">
        <v>3</v>
      </c>
      <c r="C3500">
        <v>39</v>
      </c>
      <c r="D3500" t="str">
        <f>VLOOKUP($C3500,products!$A$1:$F$322,MATCH(order_items!$D$1,products!$A$1:$F$1,0),FALSE)</f>
        <v>Trek Stache 5 - 2017</v>
      </c>
      <c r="E3500">
        <f>VLOOKUP($C3500,products!$A$1:$F$322,MATCH(order_items!$E$1,products!$A$1:$F$1,0),FALSE)</f>
        <v>6</v>
      </c>
      <c r="F3500" t="str">
        <f>VLOOKUP($E3500,categories!$A$1:$B$8,MATCH(order_items!$F$1,categories!$A$1:$B$1,0),FALSE)</f>
        <v>Mountain Bikes</v>
      </c>
      <c r="G3500">
        <v>2</v>
      </c>
      <c r="H3500">
        <v>1499.99</v>
      </c>
      <c r="I3500" s="5">
        <v>0.05</v>
      </c>
      <c r="J3500">
        <f t="shared" si="108"/>
        <v>2849.9809999999998</v>
      </c>
      <c r="K3500" s="9">
        <f t="shared" si="109"/>
        <v>0.21238388736839492</v>
      </c>
    </row>
    <row r="3501" spans="1:11" x14ac:dyDescent="0.3">
      <c r="A3501">
        <v>1212</v>
      </c>
      <c r="B3501">
        <v>4</v>
      </c>
      <c r="C3501">
        <v>68</v>
      </c>
      <c r="D3501" t="str">
        <f>VLOOKUP($C3501,products!$A$1:$F$322,MATCH(order_items!$D$1,products!$A$1:$F$1,0),FALSE)</f>
        <v>Sun Bicycles Cruz 3 - 2017</v>
      </c>
      <c r="E3501">
        <f>VLOOKUP($C3501,products!$A$1:$F$322,MATCH(order_items!$E$1,products!$A$1:$F$1,0),FALSE)</f>
        <v>3</v>
      </c>
      <c r="F3501" t="str">
        <f>VLOOKUP($E3501,categories!$A$1:$B$8,MATCH(order_items!$F$1,categories!$A$1:$B$1,0),FALSE)</f>
        <v>Cruisers Bicycles</v>
      </c>
      <c r="G3501">
        <v>2</v>
      </c>
      <c r="H3501">
        <v>449.99</v>
      </c>
      <c r="I3501" s="5">
        <v>7.0000000000000007E-2</v>
      </c>
      <c r="J3501">
        <f t="shared" si="108"/>
        <v>836.98140000000001</v>
      </c>
      <c r="K3501" s="9">
        <f t="shared" si="109"/>
        <v>-0.56386725999331866</v>
      </c>
    </row>
    <row r="3502" spans="1:11" x14ac:dyDescent="0.3">
      <c r="A3502">
        <v>1213</v>
      </c>
      <c r="B3502">
        <v>1</v>
      </c>
      <c r="C3502">
        <v>64</v>
      </c>
      <c r="D3502" t="str">
        <f>VLOOKUP($C3502,products!$A$1:$F$322,MATCH(order_items!$D$1,products!$A$1:$F$1,0),FALSE)</f>
        <v>Electra Townie Original 7D - 2017</v>
      </c>
      <c r="E3502">
        <f>VLOOKUP($C3502,products!$A$1:$F$322,MATCH(order_items!$E$1,products!$A$1:$F$1,0),FALSE)</f>
        <v>3</v>
      </c>
      <c r="F3502" t="str">
        <f>VLOOKUP($E3502,categories!$A$1:$B$8,MATCH(order_items!$F$1,categories!$A$1:$B$1,0),FALSE)</f>
        <v>Cruisers Bicycles</v>
      </c>
      <c r="G3502">
        <v>2</v>
      </c>
      <c r="H3502">
        <v>489.99</v>
      </c>
      <c r="I3502" s="5">
        <v>7.0000000000000007E-2</v>
      </c>
      <c r="J3502">
        <f t="shared" si="108"/>
        <v>911.38139999999999</v>
      </c>
      <c r="K3502" s="9">
        <f t="shared" si="109"/>
        <v>-0.53429578771287245</v>
      </c>
    </row>
    <row r="3503" spans="1:11" x14ac:dyDescent="0.3">
      <c r="A3503">
        <v>1213</v>
      </c>
      <c r="B3503">
        <v>2</v>
      </c>
      <c r="C3503">
        <v>78</v>
      </c>
      <c r="D3503" t="str">
        <f>VLOOKUP($C3503,products!$A$1:$F$322,MATCH(order_items!$D$1,products!$A$1:$F$1,0),FALSE)</f>
        <v>Sun Bicycles Biscayne Tandem CB - 2017</v>
      </c>
      <c r="E3503">
        <f>VLOOKUP($C3503,products!$A$1:$F$322,MATCH(order_items!$E$1,products!$A$1:$F$1,0),FALSE)</f>
        <v>3</v>
      </c>
      <c r="F3503" t="str">
        <f>VLOOKUP($E3503,categories!$A$1:$B$8,MATCH(order_items!$F$1,categories!$A$1:$B$1,0),FALSE)</f>
        <v>Cruisers Bicycles</v>
      </c>
      <c r="G3503">
        <v>1</v>
      </c>
      <c r="H3503">
        <v>647.99</v>
      </c>
      <c r="I3503" s="5">
        <v>7.0000000000000007E-2</v>
      </c>
      <c r="J3503">
        <f t="shared" si="108"/>
        <v>602.63069999999993</v>
      </c>
      <c r="K3503" s="9">
        <f t="shared" si="109"/>
        <v>-0.41748847220510982</v>
      </c>
    </row>
    <row r="3504" spans="1:11" x14ac:dyDescent="0.3">
      <c r="A3504">
        <v>1213</v>
      </c>
      <c r="B3504">
        <v>3</v>
      </c>
      <c r="C3504">
        <v>102</v>
      </c>
      <c r="D3504" t="str">
        <f>VLOOKUP($C3504,products!$A$1:$F$322,MATCH(order_items!$D$1,products!$A$1:$F$1,0),FALSE)</f>
        <v>Electra Townie Original 7D - 2017</v>
      </c>
      <c r="E3504">
        <f>VLOOKUP($C3504,products!$A$1:$F$322,MATCH(order_items!$E$1,products!$A$1:$F$1,0),FALSE)</f>
        <v>2</v>
      </c>
      <c r="F3504" t="str">
        <f>VLOOKUP($E3504,categories!$A$1:$B$8,MATCH(order_items!$F$1,categories!$A$1:$B$1,0),FALSE)</f>
        <v>Comfort Bicycles</v>
      </c>
      <c r="G3504">
        <v>2</v>
      </c>
      <c r="H3504">
        <v>489.99</v>
      </c>
      <c r="I3504" s="5">
        <v>0.1</v>
      </c>
      <c r="J3504">
        <f t="shared" si="108"/>
        <v>881.98200000000008</v>
      </c>
      <c r="K3504" s="9">
        <f t="shared" si="109"/>
        <v>-0.53429578771287245</v>
      </c>
    </row>
    <row r="3505" spans="1:11" x14ac:dyDescent="0.3">
      <c r="A3505">
        <v>1213</v>
      </c>
      <c r="B3505">
        <v>4</v>
      </c>
      <c r="C3505">
        <v>15</v>
      </c>
      <c r="D3505" t="str">
        <f>VLOOKUP($C3505,products!$A$1:$F$322,MATCH(order_items!$D$1,products!$A$1:$F$1,0),FALSE)</f>
        <v>Electra Moto 1 - 2016</v>
      </c>
      <c r="E3505">
        <f>VLOOKUP($C3505,products!$A$1:$F$322,MATCH(order_items!$E$1,products!$A$1:$F$1,0),FALSE)</f>
        <v>3</v>
      </c>
      <c r="F3505" t="str">
        <f>VLOOKUP($E3505,categories!$A$1:$B$8,MATCH(order_items!$F$1,categories!$A$1:$B$1,0),FALSE)</f>
        <v>Cruisers Bicycles</v>
      </c>
      <c r="G3505">
        <v>1</v>
      </c>
      <c r="H3505">
        <v>529.99</v>
      </c>
      <c r="I3505" s="5">
        <v>0.05</v>
      </c>
      <c r="J3505">
        <f t="shared" si="108"/>
        <v>503.4905</v>
      </c>
      <c r="K3505" s="9">
        <f t="shared" si="109"/>
        <v>-0.50472431543242624</v>
      </c>
    </row>
    <row r="3506" spans="1:11" x14ac:dyDescent="0.3">
      <c r="A3506">
        <v>1214</v>
      </c>
      <c r="B3506">
        <v>1</v>
      </c>
      <c r="C3506">
        <v>9</v>
      </c>
      <c r="D3506" t="str">
        <f>VLOOKUP($C3506,products!$A$1:$F$322,MATCH(order_items!$D$1,products!$A$1:$F$1,0),FALSE)</f>
        <v>Trek Conduit+ - 2016</v>
      </c>
      <c r="E3506">
        <f>VLOOKUP($C3506,products!$A$1:$F$322,MATCH(order_items!$E$1,products!$A$1:$F$1,0),FALSE)</f>
        <v>5</v>
      </c>
      <c r="F3506" t="str">
        <f>VLOOKUP($E3506,categories!$A$1:$B$8,MATCH(order_items!$F$1,categories!$A$1:$B$1,0),FALSE)</f>
        <v>Electric Bikes</v>
      </c>
      <c r="G3506">
        <v>2</v>
      </c>
      <c r="H3506">
        <v>2999.99</v>
      </c>
      <c r="I3506" s="5">
        <v>0.05</v>
      </c>
      <c r="J3506">
        <f t="shared" si="108"/>
        <v>5699.9809999999998</v>
      </c>
      <c r="K3506" s="9">
        <f t="shared" si="109"/>
        <v>1.3213140978851283</v>
      </c>
    </row>
    <row r="3507" spans="1:11" x14ac:dyDescent="0.3">
      <c r="A3507">
        <v>1214</v>
      </c>
      <c r="B3507">
        <v>2</v>
      </c>
      <c r="C3507">
        <v>7</v>
      </c>
      <c r="D3507" t="str">
        <f>VLOOKUP($C3507,products!$A$1:$F$322,MATCH(order_items!$D$1,products!$A$1:$F$1,0),FALSE)</f>
        <v>Trek Slash 8 27.5 - 2016</v>
      </c>
      <c r="E3507">
        <f>VLOOKUP($C3507,products!$A$1:$F$322,MATCH(order_items!$E$1,products!$A$1:$F$1,0),FALSE)</f>
        <v>6</v>
      </c>
      <c r="F3507" t="str">
        <f>VLOOKUP($E3507,categories!$A$1:$B$8,MATCH(order_items!$F$1,categories!$A$1:$B$1,0),FALSE)</f>
        <v>Mountain Bikes</v>
      </c>
      <c r="G3507">
        <v>1</v>
      </c>
      <c r="H3507">
        <v>3999.99</v>
      </c>
      <c r="I3507" s="5">
        <v>0.2</v>
      </c>
      <c r="J3507">
        <f t="shared" si="108"/>
        <v>3199.9920000000002</v>
      </c>
      <c r="K3507" s="9">
        <f t="shared" si="109"/>
        <v>2.0606009048962846</v>
      </c>
    </row>
    <row r="3508" spans="1:11" x14ac:dyDescent="0.3">
      <c r="A3508">
        <v>1214</v>
      </c>
      <c r="B3508">
        <v>3</v>
      </c>
      <c r="C3508">
        <v>22</v>
      </c>
      <c r="D3508" t="str">
        <f>VLOOKUP($C3508,products!$A$1:$F$322,MATCH(order_items!$D$1,products!$A$1:$F$1,0),FALSE)</f>
        <v>Electra Girl's Hawaii 1 (16-inch) - 2015/2016</v>
      </c>
      <c r="E3508">
        <f>VLOOKUP($C3508,products!$A$1:$F$322,MATCH(order_items!$E$1,products!$A$1:$F$1,0),FALSE)</f>
        <v>1</v>
      </c>
      <c r="F3508" t="str">
        <f>VLOOKUP($E3508,categories!$A$1:$B$8,MATCH(order_items!$F$1,categories!$A$1:$B$1,0),FALSE)</f>
        <v>Children Bicycles</v>
      </c>
      <c r="G3508">
        <v>1</v>
      </c>
      <c r="H3508">
        <v>269.99</v>
      </c>
      <c r="I3508" s="5">
        <v>0.05</v>
      </c>
      <c r="J3508">
        <f t="shared" si="108"/>
        <v>256.4905</v>
      </c>
      <c r="K3508" s="9">
        <f t="shared" si="109"/>
        <v>-0.69693888525532666</v>
      </c>
    </row>
    <row r="3509" spans="1:11" x14ac:dyDescent="0.3">
      <c r="A3509">
        <v>1214</v>
      </c>
      <c r="B3509">
        <v>4</v>
      </c>
      <c r="C3509">
        <v>77</v>
      </c>
      <c r="D3509" t="str">
        <f>VLOOKUP($C3509,products!$A$1:$F$322,MATCH(order_items!$D$1,products!$A$1:$F$1,0),FALSE)</f>
        <v>Electra Glam Punk 3i Ladies' - 2017</v>
      </c>
      <c r="E3509">
        <f>VLOOKUP($C3509,products!$A$1:$F$322,MATCH(order_items!$E$1,products!$A$1:$F$1,0),FALSE)</f>
        <v>3</v>
      </c>
      <c r="F3509" t="str">
        <f>VLOOKUP($E3509,categories!$A$1:$B$8,MATCH(order_items!$F$1,categories!$A$1:$B$1,0),FALSE)</f>
        <v>Cruisers Bicycles</v>
      </c>
      <c r="G3509">
        <v>2</v>
      </c>
      <c r="H3509">
        <v>799.99</v>
      </c>
      <c r="I3509" s="5">
        <v>0.1</v>
      </c>
      <c r="J3509">
        <f t="shared" si="108"/>
        <v>1439.982</v>
      </c>
      <c r="K3509" s="9">
        <f t="shared" si="109"/>
        <v>-0.30511687753941413</v>
      </c>
    </row>
    <row r="3510" spans="1:11" x14ac:dyDescent="0.3">
      <c r="A3510">
        <v>1214</v>
      </c>
      <c r="B3510">
        <v>5</v>
      </c>
      <c r="C3510">
        <v>67</v>
      </c>
      <c r="D3510" t="str">
        <f>VLOOKUP($C3510,products!$A$1:$F$322,MATCH(order_items!$D$1,products!$A$1:$F$1,0),FALSE)</f>
        <v>Sun Bicycles Revolutions 24 - Girl's - 2017</v>
      </c>
      <c r="E3510">
        <f>VLOOKUP($C3510,products!$A$1:$F$322,MATCH(order_items!$E$1,products!$A$1:$F$1,0),FALSE)</f>
        <v>3</v>
      </c>
      <c r="F3510" t="str">
        <f>VLOOKUP($E3510,categories!$A$1:$B$8,MATCH(order_items!$F$1,categories!$A$1:$B$1,0),FALSE)</f>
        <v>Cruisers Bicycles</v>
      </c>
      <c r="G3510">
        <v>2</v>
      </c>
      <c r="H3510">
        <v>250.99</v>
      </c>
      <c r="I3510" s="5">
        <v>0.2</v>
      </c>
      <c r="J3510">
        <f t="shared" si="108"/>
        <v>401.58400000000006</v>
      </c>
      <c r="K3510" s="9">
        <f t="shared" si="109"/>
        <v>-0.71098533458853863</v>
      </c>
    </row>
    <row r="3511" spans="1:11" x14ac:dyDescent="0.3">
      <c r="A3511">
        <v>1215</v>
      </c>
      <c r="B3511">
        <v>1</v>
      </c>
      <c r="C3511">
        <v>73</v>
      </c>
      <c r="D3511" t="str">
        <f>VLOOKUP($C3511,products!$A$1:$F$322,MATCH(order_items!$D$1,products!$A$1:$F$1,0),FALSE)</f>
        <v>Sun Bicycles Brickell Tandem 7 - 2017</v>
      </c>
      <c r="E3511">
        <f>VLOOKUP($C3511,products!$A$1:$F$322,MATCH(order_items!$E$1,products!$A$1:$F$1,0),FALSE)</f>
        <v>3</v>
      </c>
      <c r="F3511" t="str">
        <f>VLOOKUP($E3511,categories!$A$1:$B$8,MATCH(order_items!$F$1,categories!$A$1:$B$1,0),FALSE)</f>
        <v>Cruisers Bicycles</v>
      </c>
      <c r="G3511">
        <v>2</v>
      </c>
      <c r="H3511">
        <v>749.99</v>
      </c>
      <c r="I3511" s="5">
        <v>0.1</v>
      </c>
      <c r="J3511">
        <f t="shared" si="108"/>
        <v>1349.982</v>
      </c>
      <c r="K3511" s="9">
        <f t="shared" si="109"/>
        <v>-0.34208121788997192</v>
      </c>
    </row>
    <row r="3512" spans="1:11" x14ac:dyDescent="0.3">
      <c r="A3512">
        <v>1215</v>
      </c>
      <c r="B3512">
        <v>2</v>
      </c>
      <c r="C3512">
        <v>10</v>
      </c>
      <c r="D3512" t="str">
        <f>VLOOKUP($C3512,products!$A$1:$F$322,MATCH(order_items!$D$1,products!$A$1:$F$1,0),FALSE)</f>
        <v>Surly Straggler - 2016</v>
      </c>
      <c r="E3512">
        <f>VLOOKUP($C3512,products!$A$1:$F$322,MATCH(order_items!$E$1,products!$A$1:$F$1,0),FALSE)</f>
        <v>4</v>
      </c>
      <c r="F3512" t="str">
        <f>VLOOKUP($E3512,categories!$A$1:$B$8,MATCH(order_items!$F$1,categories!$A$1:$B$1,0),FALSE)</f>
        <v>Cyclocross Bicycles</v>
      </c>
      <c r="G3512">
        <v>2</v>
      </c>
      <c r="H3512">
        <v>1549</v>
      </c>
      <c r="I3512" s="5">
        <v>7.0000000000000007E-2</v>
      </c>
      <c r="J3512">
        <f t="shared" si="108"/>
        <v>2881.14</v>
      </c>
      <c r="K3512" s="9">
        <f t="shared" si="109"/>
        <v>0.24861633378001166</v>
      </c>
    </row>
    <row r="3513" spans="1:11" x14ac:dyDescent="0.3">
      <c r="A3513">
        <v>1216</v>
      </c>
      <c r="B3513">
        <v>1</v>
      </c>
      <c r="C3513">
        <v>64</v>
      </c>
      <c r="D3513" t="str">
        <f>VLOOKUP($C3513,products!$A$1:$F$322,MATCH(order_items!$D$1,products!$A$1:$F$1,0),FALSE)</f>
        <v>Electra Townie Original 7D - 2017</v>
      </c>
      <c r="E3513">
        <f>VLOOKUP($C3513,products!$A$1:$F$322,MATCH(order_items!$E$1,products!$A$1:$F$1,0),FALSE)</f>
        <v>3</v>
      </c>
      <c r="F3513" t="str">
        <f>VLOOKUP($E3513,categories!$A$1:$B$8,MATCH(order_items!$F$1,categories!$A$1:$B$1,0),FALSE)</f>
        <v>Cruisers Bicycles</v>
      </c>
      <c r="G3513">
        <v>2</v>
      </c>
      <c r="H3513">
        <v>489.99</v>
      </c>
      <c r="I3513" s="5">
        <v>0.1</v>
      </c>
      <c r="J3513">
        <f t="shared" si="108"/>
        <v>881.98200000000008</v>
      </c>
      <c r="K3513" s="9">
        <f t="shared" si="109"/>
        <v>-0.53429578771287245</v>
      </c>
    </row>
    <row r="3514" spans="1:11" x14ac:dyDescent="0.3">
      <c r="A3514">
        <v>1216</v>
      </c>
      <c r="B3514">
        <v>2</v>
      </c>
      <c r="C3514">
        <v>54</v>
      </c>
      <c r="D3514" t="str">
        <f>VLOOKUP($C3514,products!$A$1:$F$322,MATCH(order_items!$D$1,products!$A$1:$F$1,0),FALSE)</f>
        <v>Trek Domane SL Disc Frameset - 2017</v>
      </c>
      <c r="E3514">
        <f>VLOOKUP($C3514,products!$A$1:$F$322,MATCH(order_items!$E$1,products!$A$1:$F$1,0),FALSE)</f>
        <v>7</v>
      </c>
      <c r="F3514" t="str">
        <f>VLOOKUP($E3514,categories!$A$1:$B$8,MATCH(order_items!$F$1,categories!$A$1:$B$1,0),FALSE)</f>
        <v>Road Bikes</v>
      </c>
      <c r="G3514">
        <v>1</v>
      </c>
      <c r="H3514">
        <v>3199.99</v>
      </c>
      <c r="I3514" s="5">
        <v>0.05</v>
      </c>
      <c r="J3514">
        <f t="shared" si="108"/>
        <v>3039.9904999999994</v>
      </c>
      <c r="K3514" s="9">
        <f t="shared" si="109"/>
        <v>1.4691714592873595</v>
      </c>
    </row>
    <row r="3515" spans="1:11" x14ac:dyDescent="0.3">
      <c r="A3515">
        <v>1216</v>
      </c>
      <c r="B3515">
        <v>3</v>
      </c>
      <c r="C3515">
        <v>19</v>
      </c>
      <c r="D3515" t="str">
        <f>VLOOKUP($C3515,products!$A$1:$F$322,MATCH(order_items!$D$1,products!$A$1:$F$1,0),FALSE)</f>
        <v>Pure Cycles William 3-Speed - 2016</v>
      </c>
      <c r="E3515">
        <f>VLOOKUP($C3515,products!$A$1:$F$322,MATCH(order_items!$E$1,products!$A$1:$F$1,0),FALSE)</f>
        <v>3</v>
      </c>
      <c r="F3515" t="str">
        <f>VLOOKUP($E3515,categories!$A$1:$B$8,MATCH(order_items!$F$1,categories!$A$1:$B$1,0),FALSE)</f>
        <v>Cruisers Bicycles</v>
      </c>
      <c r="G3515">
        <v>1</v>
      </c>
      <c r="H3515">
        <v>449</v>
      </c>
      <c r="I3515" s="5">
        <v>0.2</v>
      </c>
      <c r="J3515">
        <f t="shared" si="108"/>
        <v>359.20000000000005</v>
      </c>
      <c r="K3515" s="9">
        <f t="shared" si="109"/>
        <v>-0.56459915393225968</v>
      </c>
    </row>
    <row r="3516" spans="1:11" x14ac:dyDescent="0.3">
      <c r="A3516">
        <v>1216</v>
      </c>
      <c r="B3516">
        <v>4</v>
      </c>
      <c r="C3516">
        <v>110</v>
      </c>
      <c r="D3516" t="str">
        <f>VLOOKUP($C3516,products!$A$1:$F$322,MATCH(order_items!$D$1,products!$A$1:$F$1,0),FALSE)</f>
        <v>Sun Bicycles Drifter 7 - 2017</v>
      </c>
      <c r="E3516">
        <f>VLOOKUP($C3516,products!$A$1:$F$322,MATCH(order_items!$E$1,products!$A$1:$F$1,0),FALSE)</f>
        <v>2</v>
      </c>
      <c r="F3516" t="str">
        <f>VLOOKUP($E3516,categories!$A$1:$B$8,MATCH(order_items!$F$1,categories!$A$1:$B$1,0),FALSE)</f>
        <v>Comfort Bicycles</v>
      </c>
      <c r="G3516">
        <v>2</v>
      </c>
      <c r="H3516">
        <v>470.99</v>
      </c>
      <c r="I3516" s="5">
        <v>7.0000000000000007E-2</v>
      </c>
      <c r="J3516">
        <f t="shared" si="108"/>
        <v>876.04139999999995</v>
      </c>
      <c r="K3516" s="9">
        <f t="shared" si="109"/>
        <v>-0.54834223704608442</v>
      </c>
    </row>
    <row r="3517" spans="1:11" x14ac:dyDescent="0.3">
      <c r="A3517">
        <v>1216</v>
      </c>
      <c r="B3517">
        <v>5</v>
      </c>
      <c r="C3517">
        <v>43</v>
      </c>
      <c r="D3517" t="str">
        <f>VLOOKUP($C3517,products!$A$1:$F$322,MATCH(order_items!$D$1,products!$A$1:$F$1,0),FALSE)</f>
        <v>Trek Fuel EX 9.8 27.5 Plus - 2017</v>
      </c>
      <c r="E3517">
        <f>VLOOKUP($C3517,products!$A$1:$F$322,MATCH(order_items!$E$1,products!$A$1:$F$1,0),FALSE)</f>
        <v>6</v>
      </c>
      <c r="F3517" t="str">
        <f>VLOOKUP($E3517,categories!$A$1:$B$8,MATCH(order_items!$F$1,categories!$A$1:$B$1,0),FALSE)</f>
        <v>Mountain Bikes</v>
      </c>
      <c r="G3517">
        <v>1</v>
      </c>
      <c r="H3517">
        <v>5299.99</v>
      </c>
      <c r="I3517" s="5">
        <v>0.1</v>
      </c>
      <c r="J3517">
        <f t="shared" si="108"/>
        <v>4769.991</v>
      </c>
      <c r="K3517" s="9">
        <f t="shared" si="109"/>
        <v>3.021673754010787</v>
      </c>
    </row>
    <row r="3518" spans="1:11" x14ac:dyDescent="0.3">
      <c r="A3518">
        <v>1217</v>
      </c>
      <c r="B3518">
        <v>1</v>
      </c>
      <c r="C3518">
        <v>73</v>
      </c>
      <c r="D3518" t="str">
        <f>VLOOKUP($C3518,products!$A$1:$F$322,MATCH(order_items!$D$1,products!$A$1:$F$1,0),FALSE)</f>
        <v>Sun Bicycles Brickell Tandem 7 - 2017</v>
      </c>
      <c r="E3518">
        <f>VLOOKUP($C3518,products!$A$1:$F$322,MATCH(order_items!$E$1,products!$A$1:$F$1,0),FALSE)</f>
        <v>3</v>
      </c>
      <c r="F3518" t="str">
        <f>VLOOKUP($E3518,categories!$A$1:$B$8,MATCH(order_items!$F$1,categories!$A$1:$B$1,0),FALSE)</f>
        <v>Cruisers Bicycles</v>
      </c>
      <c r="G3518">
        <v>1</v>
      </c>
      <c r="H3518">
        <v>749.99</v>
      </c>
      <c r="I3518" s="5">
        <v>0.05</v>
      </c>
      <c r="J3518">
        <f t="shared" si="108"/>
        <v>712.4905</v>
      </c>
      <c r="K3518" s="9">
        <f t="shared" si="109"/>
        <v>-0.34208121788997192</v>
      </c>
    </row>
    <row r="3519" spans="1:11" x14ac:dyDescent="0.3">
      <c r="A3519">
        <v>1217</v>
      </c>
      <c r="B3519">
        <v>2</v>
      </c>
      <c r="C3519">
        <v>106</v>
      </c>
      <c r="D3519" t="str">
        <f>VLOOKUP($C3519,products!$A$1:$F$322,MATCH(order_items!$D$1,products!$A$1:$F$1,0),FALSE)</f>
        <v>Sun Bicycles Cruz 3 - 2017</v>
      </c>
      <c r="E3519">
        <f>VLOOKUP($C3519,products!$A$1:$F$322,MATCH(order_items!$E$1,products!$A$1:$F$1,0),FALSE)</f>
        <v>2</v>
      </c>
      <c r="F3519" t="str">
        <f>VLOOKUP($E3519,categories!$A$1:$B$8,MATCH(order_items!$F$1,categories!$A$1:$B$1,0),FALSE)</f>
        <v>Comfort Bicycles</v>
      </c>
      <c r="G3519">
        <v>2</v>
      </c>
      <c r="H3519">
        <v>449.99</v>
      </c>
      <c r="I3519" s="5">
        <v>0.05</v>
      </c>
      <c r="J3519">
        <f t="shared" si="108"/>
        <v>854.98099999999999</v>
      </c>
      <c r="K3519" s="9">
        <f t="shared" si="109"/>
        <v>-0.56386725999331866</v>
      </c>
    </row>
    <row r="3520" spans="1:11" x14ac:dyDescent="0.3">
      <c r="A3520">
        <v>1218</v>
      </c>
      <c r="B3520">
        <v>1</v>
      </c>
      <c r="C3520">
        <v>32</v>
      </c>
      <c r="D3520" t="str">
        <f>VLOOKUP($C3520,products!$A$1:$F$322,MATCH(order_items!$D$1,products!$A$1:$F$1,0),FALSE)</f>
        <v>Trek Farley Alloy Frameset - 2017</v>
      </c>
      <c r="E3520">
        <f>VLOOKUP($C3520,products!$A$1:$F$322,MATCH(order_items!$E$1,products!$A$1:$F$1,0),FALSE)</f>
        <v>6</v>
      </c>
      <c r="F3520" t="str">
        <f>VLOOKUP($E3520,categories!$A$1:$B$8,MATCH(order_items!$F$1,categories!$A$1:$B$1,0),FALSE)</f>
        <v>Mountain Bikes</v>
      </c>
      <c r="G3520">
        <v>1</v>
      </c>
      <c r="H3520">
        <v>469.99</v>
      </c>
      <c r="I3520" s="5">
        <v>7.0000000000000007E-2</v>
      </c>
      <c r="J3520">
        <f t="shared" si="108"/>
        <v>437.09069999999997</v>
      </c>
      <c r="K3520" s="9">
        <f t="shared" si="109"/>
        <v>-0.5490815238530955</v>
      </c>
    </row>
    <row r="3521" spans="1:11" x14ac:dyDescent="0.3">
      <c r="A3521">
        <v>1218</v>
      </c>
      <c r="B3521">
        <v>2</v>
      </c>
      <c r="C3521">
        <v>102</v>
      </c>
      <c r="D3521" t="str">
        <f>VLOOKUP($C3521,products!$A$1:$F$322,MATCH(order_items!$D$1,products!$A$1:$F$1,0),FALSE)</f>
        <v>Electra Townie Original 7D - 2017</v>
      </c>
      <c r="E3521">
        <f>VLOOKUP($C3521,products!$A$1:$F$322,MATCH(order_items!$E$1,products!$A$1:$F$1,0),FALSE)</f>
        <v>2</v>
      </c>
      <c r="F3521" t="str">
        <f>VLOOKUP($E3521,categories!$A$1:$B$8,MATCH(order_items!$F$1,categories!$A$1:$B$1,0),FALSE)</f>
        <v>Comfort Bicycles</v>
      </c>
      <c r="G3521">
        <v>2</v>
      </c>
      <c r="H3521">
        <v>489.99</v>
      </c>
      <c r="I3521" s="5">
        <v>0.05</v>
      </c>
      <c r="J3521">
        <f t="shared" si="108"/>
        <v>930.98099999999999</v>
      </c>
      <c r="K3521" s="9">
        <f t="shared" si="109"/>
        <v>-0.53429578771287245</v>
      </c>
    </row>
    <row r="3522" spans="1:11" x14ac:dyDescent="0.3">
      <c r="A3522">
        <v>1219</v>
      </c>
      <c r="B3522">
        <v>1</v>
      </c>
      <c r="C3522">
        <v>17</v>
      </c>
      <c r="D3522" t="str">
        <f>VLOOKUP($C3522,products!$A$1:$F$322,MATCH(order_items!$D$1,products!$A$1:$F$1,0),FALSE)</f>
        <v>Pure Cycles Vine 8-Speed - 2016</v>
      </c>
      <c r="E3522">
        <f>VLOOKUP($C3522,products!$A$1:$F$322,MATCH(order_items!$E$1,products!$A$1:$F$1,0),FALSE)</f>
        <v>3</v>
      </c>
      <c r="F3522" t="str">
        <f>VLOOKUP($E3522,categories!$A$1:$B$8,MATCH(order_items!$F$1,categories!$A$1:$B$1,0),FALSE)</f>
        <v>Cruisers Bicycles</v>
      </c>
      <c r="G3522">
        <v>2</v>
      </c>
      <c r="H3522">
        <v>429</v>
      </c>
      <c r="I3522" s="5">
        <v>7.0000000000000007E-2</v>
      </c>
      <c r="J3522">
        <f t="shared" ref="J3522:J3585" si="110">G3522*H3522*(1-I3522)</f>
        <v>797.93999999999994</v>
      </c>
      <c r="K3522" s="9">
        <f t="shared" ref="K3522:K3585" si="111">($H3522-$M$7)/$M$9</f>
        <v>-0.57938489007248284</v>
      </c>
    </row>
    <row r="3523" spans="1:11" x14ac:dyDescent="0.3">
      <c r="A3523">
        <v>1219</v>
      </c>
      <c r="B3523">
        <v>2</v>
      </c>
      <c r="C3523">
        <v>62</v>
      </c>
      <c r="D3523" t="str">
        <f>VLOOKUP($C3523,products!$A$1:$F$322,MATCH(order_items!$D$1,products!$A$1:$F$1,0),FALSE)</f>
        <v>Trek Boone 7 - 2017</v>
      </c>
      <c r="E3523">
        <f>VLOOKUP($C3523,products!$A$1:$F$322,MATCH(order_items!$E$1,products!$A$1:$F$1,0),FALSE)</f>
        <v>4</v>
      </c>
      <c r="F3523" t="str">
        <f>VLOOKUP($E3523,categories!$A$1:$B$8,MATCH(order_items!$F$1,categories!$A$1:$B$1,0),FALSE)</f>
        <v>Cyclocross Bicycles</v>
      </c>
      <c r="G3523">
        <v>2</v>
      </c>
      <c r="H3523">
        <v>3499.99</v>
      </c>
      <c r="I3523" s="5">
        <v>0.1</v>
      </c>
      <c r="J3523">
        <f t="shared" si="110"/>
        <v>6299.982</v>
      </c>
      <c r="K3523" s="9">
        <f t="shared" si="111"/>
        <v>1.6909575013907066</v>
      </c>
    </row>
    <row r="3524" spans="1:11" x14ac:dyDescent="0.3">
      <c r="A3524">
        <v>1219</v>
      </c>
      <c r="B3524">
        <v>3</v>
      </c>
      <c r="C3524">
        <v>40</v>
      </c>
      <c r="D3524" t="str">
        <f>VLOOKUP($C3524,products!$A$1:$F$322,MATCH(order_items!$D$1,products!$A$1:$F$1,0),FALSE)</f>
        <v>Trek Fuel EX 9.8 29 - 2017</v>
      </c>
      <c r="E3524">
        <f>VLOOKUP($C3524,products!$A$1:$F$322,MATCH(order_items!$E$1,products!$A$1:$F$1,0),FALSE)</f>
        <v>6</v>
      </c>
      <c r="F3524" t="str">
        <f>VLOOKUP($E3524,categories!$A$1:$B$8,MATCH(order_items!$F$1,categories!$A$1:$B$1,0),FALSE)</f>
        <v>Mountain Bikes</v>
      </c>
      <c r="G3524">
        <v>2</v>
      </c>
      <c r="H3524">
        <v>4999.99</v>
      </c>
      <c r="I3524" s="5">
        <v>0.2</v>
      </c>
      <c r="J3524">
        <f t="shared" si="110"/>
        <v>7999.9840000000004</v>
      </c>
      <c r="K3524" s="9">
        <f t="shared" si="111"/>
        <v>2.7998877119074401</v>
      </c>
    </row>
    <row r="3525" spans="1:11" x14ac:dyDescent="0.3">
      <c r="A3525">
        <v>1220</v>
      </c>
      <c r="B3525">
        <v>1</v>
      </c>
      <c r="C3525">
        <v>47</v>
      </c>
      <c r="D3525" t="str">
        <f>VLOOKUP($C3525,products!$A$1:$F$322,MATCH(order_items!$D$1,products!$A$1:$F$1,0),FALSE)</f>
        <v>Trek Remedy 9.8 - 2017</v>
      </c>
      <c r="E3525">
        <f>VLOOKUP($C3525,products!$A$1:$F$322,MATCH(order_items!$E$1,products!$A$1:$F$1,0),FALSE)</f>
        <v>6</v>
      </c>
      <c r="F3525" t="str">
        <f>VLOOKUP($E3525,categories!$A$1:$B$8,MATCH(order_items!$F$1,categories!$A$1:$B$1,0),FALSE)</f>
        <v>Mountain Bikes</v>
      </c>
      <c r="G3525">
        <v>2</v>
      </c>
      <c r="H3525">
        <v>5299.99</v>
      </c>
      <c r="I3525" s="5">
        <v>0.1</v>
      </c>
      <c r="J3525">
        <f t="shared" si="110"/>
        <v>9539.982</v>
      </c>
      <c r="K3525" s="9">
        <f t="shared" si="111"/>
        <v>3.021673754010787</v>
      </c>
    </row>
    <row r="3526" spans="1:11" x14ac:dyDescent="0.3">
      <c r="A3526">
        <v>1220</v>
      </c>
      <c r="B3526">
        <v>2</v>
      </c>
      <c r="C3526">
        <v>49</v>
      </c>
      <c r="D3526" t="str">
        <f>VLOOKUP($C3526,products!$A$1:$F$322,MATCH(order_items!$D$1,products!$A$1:$F$1,0),FALSE)</f>
        <v>Trek Domane SL 6 - 2017</v>
      </c>
      <c r="E3526">
        <f>VLOOKUP($C3526,products!$A$1:$F$322,MATCH(order_items!$E$1,products!$A$1:$F$1,0),FALSE)</f>
        <v>7</v>
      </c>
      <c r="F3526" t="str">
        <f>VLOOKUP($E3526,categories!$A$1:$B$8,MATCH(order_items!$F$1,categories!$A$1:$B$1,0),FALSE)</f>
        <v>Road Bikes</v>
      </c>
      <c r="G3526">
        <v>1</v>
      </c>
      <c r="H3526">
        <v>3499.99</v>
      </c>
      <c r="I3526" s="5">
        <v>0.2</v>
      </c>
      <c r="J3526">
        <f t="shared" si="110"/>
        <v>2799.9920000000002</v>
      </c>
      <c r="K3526" s="9">
        <f t="shared" si="111"/>
        <v>1.6909575013907066</v>
      </c>
    </row>
    <row r="3527" spans="1:11" x14ac:dyDescent="0.3">
      <c r="A3527">
        <v>1220</v>
      </c>
      <c r="B3527">
        <v>3</v>
      </c>
      <c r="C3527">
        <v>85</v>
      </c>
      <c r="D3527" t="str">
        <f>VLOOKUP($C3527,products!$A$1:$F$322,MATCH(order_items!$D$1,products!$A$1:$F$1,0),FALSE)</f>
        <v>Haro Downtown 16 - 2017</v>
      </c>
      <c r="E3527">
        <f>VLOOKUP($C3527,products!$A$1:$F$322,MATCH(order_items!$E$1,products!$A$1:$F$1,0),FALSE)</f>
        <v>1</v>
      </c>
      <c r="F3527" t="str">
        <f>VLOOKUP($E3527,categories!$A$1:$B$8,MATCH(order_items!$F$1,categories!$A$1:$B$1,0),FALSE)</f>
        <v>Children Bicycles</v>
      </c>
      <c r="G3527">
        <v>2</v>
      </c>
      <c r="H3527">
        <v>329.99</v>
      </c>
      <c r="I3527" s="5">
        <v>0.2</v>
      </c>
      <c r="J3527">
        <f t="shared" si="110"/>
        <v>527.98400000000004</v>
      </c>
      <c r="K3527" s="9">
        <f t="shared" si="111"/>
        <v>-0.6525816768346574</v>
      </c>
    </row>
    <row r="3528" spans="1:11" x14ac:dyDescent="0.3">
      <c r="A3528">
        <v>1221</v>
      </c>
      <c r="B3528">
        <v>1</v>
      </c>
      <c r="C3528">
        <v>100</v>
      </c>
      <c r="D3528" t="str">
        <f>VLOOKUP($C3528,products!$A$1:$F$322,MATCH(order_items!$D$1,products!$A$1:$F$1,0),FALSE)</f>
        <v>Electra Townie 3i EQ (20-inch) - Boys' - 2017</v>
      </c>
      <c r="E3528">
        <f>VLOOKUP($C3528,products!$A$1:$F$322,MATCH(order_items!$E$1,products!$A$1:$F$1,0),FALSE)</f>
        <v>1</v>
      </c>
      <c r="F3528" t="str">
        <f>VLOOKUP($E3528,categories!$A$1:$B$8,MATCH(order_items!$F$1,categories!$A$1:$B$1,0),FALSE)</f>
        <v>Children Bicycles</v>
      </c>
      <c r="G3528">
        <v>1</v>
      </c>
      <c r="H3528">
        <v>489.99</v>
      </c>
      <c r="I3528" s="5">
        <v>0.05</v>
      </c>
      <c r="J3528">
        <f t="shared" si="110"/>
        <v>465.4905</v>
      </c>
      <c r="K3528" s="9">
        <f t="shared" si="111"/>
        <v>-0.53429578771287245</v>
      </c>
    </row>
    <row r="3529" spans="1:11" x14ac:dyDescent="0.3">
      <c r="A3529">
        <v>1221</v>
      </c>
      <c r="B3529">
        <v>2</v>
      </c>
      <c r="C3529">
        <v>81</v>
      </c>
      <c r="D3529" t="str">
        <f>VLOOKUP($C3529,products!$A$1:$F$322,MATCH(order_items!$D$1,products!$A$1:$F$1,0),FALSE)</f>
        <v>Electra Amsterdam Fashion 7i Ladies' - 2017</v>
      </c>
      <c r="E3529">
        <f>VLOOKUP($C3529,products!$A$1:$F$322,MATCH(order_items!$E$1,products!$A$1:$F$1,0),FALSE)</f>
        <v>3</v>
      </c>
      <c r="F3529" t="str">
        <f>VLOOKUP($E3529,categories!$A$1:$B$8,MATCH(order_items!$F$1,categories!$A$1:$B$1,0),FALSE)</f>
        <v>Cruisers Bicycles</v>
      </c>
      <c r="G3529">
        <v>2</v>
      </c>
      <c r="H3529">
        <v>1099.99</v>
      </c>
      <c r="I3529" s="5">
        <v>0.05</v>
      </c>
      <c r="J3529">
        <f t="shared" si="110"/>
        <v>2089.9809999999998</v>
      </c>
      <c r="K3529" s="9">
        <f t="shared" si="111"/>
        <v>-8.3330835436067396E-2</v>
      </c>
    </row>
    <row r="3530" spans="1:11" x14ac:dyDescent="0.3">
      <c r="A3530">
        <v>1221</v>
      </c>
      <c r="B3530">
        <v>3</v>
      </c>
      <c r="C3530">
        <v>42</v>
      </c>
      <c r="D3530" t="str">
        <f>VLOOKUP($C3530,products!$A$1:$F$322,MATCH(order_items!$D$1,products!$A$1:$F$1,0),FALSE)</f>
        <v>Trek Fuel EX 5 27.5 Plus - 2017</v>
      </c>
      <c r="E3530">
        <f>VLOOKUP($C3530,products!$A$1:$F$322,MATCH(order_items!$E$1,products!$A$1:$F$1,0),FALSE)</f>
        <v>6</v>
      </c>
      <c r="F3530" t="str">
        <f>VLOOKUP($E3530,categories!$A$1:$B$8,MATCH(order_items!$F$1,categories!$A$1:$B$1,0),FALSE)</f>
        <v>Mountain Bikes</v>
      </c>
      <c r="G3530">
        <v>2</v>
      </c>
      <c r="H3530">
        <v>2299.9899999999998</v>
      </c>
      <c r="I3530" s="5">
        <v>0.1</v>
      </c>
      <c r="J3530">
        <f t="shared" si="110"/>
        <v>4139.982</v>
      </c>
      <c r="K3530" s="9">
        <f t="shared" si="111"/>
        <v>0.80381333297731938</v>
      </c>
    </row>
    <row r="3531" spans="1:11" x14ac:dyDescent="0.3">
      <c r="A3531">
        <v>1221</v>
      </c>
      <c r="B3531">
        <v>4</v>
      </c>
      <c r="C3531">
        <v>38</v>
      </c>
      <c r="D3531" t="str">
        <f>VLOOKUP($C3531,products!$A$1:$F$322,MATCH(order_items!$D$1,products!$A$1:$F$1,0),FALSE)</f>
        <v>Haro Flightline Two 26 Plus - 2017</v>
      </c>
      <c r="E3531">
        <f>VLOOKUP($C3531,products!$A$1:$F$322,MATCH(order_items!$E$1,products!$A$1:$F$1,0),FALSE)</f>
        <v>6</v>
      </c>
      <c r="F3531" t="str">
        <f>VLOOKUP($E3531,categories!$A$1:$B$8,MATCH(order_items!$F$1,categories!$A$1:$B$1,0),FALSE)</f>
        <v>Mountain Bikes</v>
      </c>
      <c r="G3531">
        <v>2</v>
      </c>
      <c r="H3531">
        <v>549.99</v>
      </c>
      <c r="I3531" s="5">
        <v>0.1</v>
      </c>
      <c r="J3531">
        <f t="shared" si="110"/>
        <v>989.98200000000008</v>
      </c>
      <c r="K3531" s="9">
        <f t="shared" si="111"/>
        <v>-0.48993857929220308</v>
      </c>
    </row>
    <row r="3532" spans="1:11" x14ac:dyDescent="0.3">
      <c r="A3532">
        <v>1221</v>
      </c>
      <c r="B3532">
        <v>5</v>
      </c>
      <c r="C3532">
        <v>97</v>
      </c>
      <c r="D3532" t="str">
        <f>VLOOKUP($C3532,products!$A$1:$F$322,MATCH(order_items!$D$1,products!$A$1:$F$1,0),FALSE)</f>
        <v>Electra Savannah 3i (20-inch) - Girl's - 2017</v>
      </c>
      <c r="E3532">
        <f>VLOOKUP($C3532,products!$A$1:$F$322,MATCH(order_items!$E$1,products!$A$1:$F$1,0),FALSE)</f>
        <v>1</v>
      </c>
      <c r="F3532" t="str">
        <f>VLOOKUP($E3532,categories!$A$1:$B$8,MATCH(order_items!$F$1,categories!$A$1:$B$1,0),FALSE)</f>
        <v>Children Bicycles</v>
      </c>
      <c r="G3532">
        <v>2</v>
      </c>
      <c r="H3532">
        <v>349.99</v>
      </c>
      <c r="I3532" s="5">
        <v>7.0000000000000007E-2</v>
      </c>
      <c r="J3532">
        <f t="shared" si="110"/>
        <v>650.98140000000001</v>
      </c>
      <c r="K3532" s="9">
        <f t="shared" si="111"/>
        <v>-0.63779594069443424</v>
      </c>
    </row>
    <row r="3533" spans="1:11" x14ac:dyDescent="0.3">
      <c r="A3533">
        <v>1222</v>
      </c>
      <c r="B3533">
        <v>1</v>
      </c>
      <c r="C3533">
        <v>97</v>
      </c>
      <c r="D3533" t="str">
        <f>VLOOKUP($C3533,products!$A$1:$F$322,MATCH(order_items!$D$1,products!$A$1:$F$1,0),FALSE)</f>
        <v>Electra Savannah 3i (20-inch) - Girl's - 2017</v>
      </c>
      <c r="E3533">
        <f>VLOOKUP($C3533,products!$A$1:$F$322,MATCH(order_items!$E$1,products!$A$1:$F$1,0),FALSE)</f>
        <v>1</v>
      </c>
      <c r="F3533" t="str">
        <f>VLOOKUP($E3533,categories!$A$1:$B$8,MATCH(order_items!$F$1,categories!$A$1:$B$1,0),FALSE)</f>
        <v>Children Bicycles</v>
      </c>
      <c r="G3533">
        <v>1</v>
      </c>
      <c r="H3533">
        <v>349.99</v>
      </c>
      <c r="I3533" s="5">
        <v>0.2</v>
      </c>
      <c r="J3533">
        <f t="shared" si="110"/>
        <v>279.99200000000002</v>
      </c>
      <c r="K3533" s="9">
        <f t="shared" si="111"/>
        <v>-0.63779594069443424</v>
      </c>
    </row>
    <row r="3534" spans="1:11" x14ac:dyDescent="0.3">
      <c r="A3534">
        <v>1223</v>
      </c>
      <c r="B3534">
        <v>1</v>
      </c>
      <c r="C3534">
        <v>103</v>
      </c>
      <c r="D3534" t="str">
        <f>VLOOKUP($C3534,products!$A$1:$F$322,MATCH(order_items!$D$1,products!$A$1:$F$1,0),FALSE)</f>
        <v>Sun Bicycles Streamway 3 - 2017</v>
      </c>
      <c r="E3534">
        <f>VLOOKUP($C3534,products!$A$1:$F$322,MATCH(order_items!$E$1,products!$A$1:$F$1,0),FALSE)</f>
        <v>2</v>
      </c>
      <c r="F3534" t="str">
        <f>VLOOKUP($E3534,categories!$A$1:$B$8,MATCH(order_items!$F$1,categories!$A$1:$B$1,0),FALSE)</f>
        <v>Comfort Bicycles</v>
      </c>
      <c r="G3534">
        <v>1</v>
      </c>
      <c r="H3534">
        <v>551.99</v>
      </c>
      <c r="I3534" s="5">
        <v>0.05</v>
      </c>
      <c r="J3534">
        <f t="shared" si="110"/>
        <v>524.39049999999997</v>
      </c>
      <c r="K3534" s="9">
        <f t="shared" si="111"/>
        <v>-0.48846000567818076</v>
      </c>
    </row>
    <row r="3535" spans="1:11" x14ac:dyDescent="0.3">
      <c r="A3535">
        <v>1224</v>
      </c>
      <c r="B3535">
        <v>1</v>
      </c>
      <c r="C3535">
        <v>62</v>
      </c>
      <c r="D3535" t="str">
        <f>VLOOKUP($C3535,products!$A$1:$F$322,MATCH(order_items!$D$1,products!$A$1:$F$1,0),FALSE)</f>
        <v>Trek Boone 7 - 2017</v>
      </c>
      <c r="E3535">
        <f>VLOOKUP($C3535,products!$A$1:$F$322,MATCH(order_items!$E$1,products!$A$1:$F$1,0),FALSE)</f>
        <v>4</v>
      </c>
      <c r="F3535" t="str">
        <f>VLOOKUP($E3535,categories!$A$1:$B$8,MATCH(order_items!$F$1,categories!$A$1:$B$1,0),FALSE)</f>
        <v>Cyclocross Bicycles</v>
      </c>
      <c r="G3535">
        <v>1</v>
      </c>
      <c r="H3535">
        <v>3499.99</v>
      </c>
      <c r="I3535" s="5">
        <v>7.0000000000000007E-2</v>
      </c>
      <c r="J3535">
        <f t="shared" si="110"/>
        <v>3254.9906999999994</v>
      </c>
      <c r="K3535" s="9">
        <f t="shared" si="111"/>
        <v>1.6909575013907066</v>
      </c>
    </row>
    <row r="3536" spans="1:11" x14ac:dyDescent="0.3">
      <c r="A3536">
        <v>1224</v>
      </c>
      <c r="B3536">
        <v>2</v>
      </c>
      <c r="C3536">
        <v>51</v>
      </c>
      <c r="D3536" t="str">
        <f>VLOOKUP($C3536,products!$A$1:$F$322,MATCH(order_items!$D$1,products!$A$1:$F$1,0),FALSE)</f>
        <v>Trek Silque SLR 8 Women's - 2017</v>
      </c>
      <c r="E3536">
        <f>VLOOKUP($C3536,products!$A$1:$F$322,MATCH(order_items!$E$1,products!$A$1:$F$1,0),FALSE)</f>
        <v>7</v>
      </c>
      <c r="F3536" t="str">
        <f>VLOOKUP($E3536,categories!$A$1:$B$8,MATCH(order_items!$F$1,categories!$A$1:$B$1,0),FALSE)</f>
        <v>Road Bikes</v>
      </c>
      <c r="G3536">
        <v>1</v>
      </c>
      <c r="H3536">
        <v>6499.99</v>
      </c>
      <c r="I3536" s="5">
        <v>0.1</v>
      </c>
      <c r="J3536">
        <f t="shared" si="110"/>
        <v>5849.991</v>
      </c>
      <c r="K3536" s="9">
        <f t="shared" si="111"/>
        <v>3.9088179224241739</v>
      </c>
    </row>
    <row r="3537" spans="1:11" x14ac:dyDescent="0.3">
      <c r="A3537">
        <v>1224</v>
      </c>
      <c r="B3537">
        <v>3</v>
      </c>
      <c r="C3537">
        <v>108</v>
      </c>
      <c r="D3537" t="str">
        <f>VLOOKUP($C3537,products!$A$1:$F$322,MATCH(order_items!$D$1,products!$A$1:$F$1,0),FALSE)</f>
        <v>Sun Bicycles Cruz 3 - Women's - 2017</v>
      </c>
      <c r="E3537">
        <f>VLOOKUP($C3537,products!$A$1:$F$322,MATCH(order_items!$E$1,products!$A$1:$F$1,0),FALSE)</f>
        <v>2</v>
      </c>
      <c r="F3537" t="str">
        <f>VLOOKUP($E3537,categories!$A$1:$B$8,MATCH(order_items!$F$1,categories!$A$1:$B$1,0),FALSE)</f>
        <v>Comfort Bicycles</v>
      </c>
      <c r="G3537">
        <v>1</v>
      </c>
      <c r="H3537">
        <v>449.99</v>
      </c>
      <c r="I3537" s="5">
        <v>0.05</v>
      </c>
      <c r="J3537">
        <f t="shared" si="110"/>
        <v>427.4905</v>
      </c>
      <c r="K3537" s="9">
        <f t="shared" si="111"/>
        <v>-0.56386725999331866</v>
      </c>
    </row>
    <row r="3538" spans="1:11" x14ac:dyDescent="0.3">
      <c r="A3538">
        <v>1224</v>
      </c>
      <c r="B3538">
        <v>4</v>
      </c>
      <c r="C3538">
        <v>32</v>
      </c>
      <c r="D3538" t="str">
        <f>VLOOKUP($C3538,products!$A$1:$F$322,MATCH(order_items!$D$1,products!$A$1:$F$1,0),FALSE)</f>
        <v>Trek Farley Alloy Frameset - 2017</v>
      </c>
      <c r="E3538">
        <f>VLOOKUP($C3538,products!$A$1:$F$322,MATCH(order_items!$E$1,products!$A$1:$F$1,0),FALSE)</f>
        <v>6</v>
      </c>
      <c r="F3538" t="str">
        <f>VLOOKUP($E3538,categories!$A$1:$B$8,MATCH(order_items!$F$1,categories!$A$1:$B$1,0),FALSE)</f>
        <v>Mountain Bikes</v>
      </c>
      <c r="G3538">
        <v>1</v>
      </c>
      <c r="H3538">
        <v>469.99</v>
      </c>
      <c r="I3538" s="5">
        <v>0.2</v>
      </c>
      <c r="J3538">
        <f t="shared" si="110"/>
        <v>375.99200000000002</v>
      </c>
      <c r="K3538" s="9">
        <f t="shared" si="111"/>
        <v>-0.5490815238530955</v>
      </c>
    </row>
    <row r="3539" spans="1:11" x14ac:dyDescent="0.3">
      <c r="A3539">
        <v>1225</v>
      </c>
      <c r="B3539">
        <v>1</v>
      </c>
      <c r="C3539">
        <v>81</v>
      </c>
      <c r="D3539" t="str">
        <f>VLOOKUP($C3539,products!$A$1:$F$322,MATCH(order_items!$D$1,products!$A$1:$F$1,0),FALSE)</f>
        <v>Electra Amsterdam Fashion 7i Ladies' - 2017</v>
      </c>
      <c r="E3539">
        <f>VLOOKUP($C3539,products!$A$1:$F$322,MATCH(order_items!$E$1,products!$A$1:$F$1,0),FALSE)</f>
        <v>3</v>
      </c>
      <c r="F3539" t="str">
        <f>VLOOKUP($E3539,categories!$A$1:$B$8,MATCH(order_items!$F$1,categories!$A$1:$B$1,0),FALSE)</f>
        <v>Cruisers Bicycles</v>
      </c>
      <c r="G3539">
        <v>1</v>
      </c>
      <c r="H3539">
        <v>1099.99</v>
      </c>
      <c r="I3539" s="5">
        <v>0.1</v>
      </c>
      <c r="J3539">
        <f t="shared" si="110"/>
        <v>989.99099999999999</v>
      </c>
      <c r="K3539" s="9">
        <f t="shared" si="111"/>
        <v>-8.3330835436067396E-2</v>
      </c>
    </row>
    <row r="3540" spans="1:11" x14ac:dyDescent="0.3">
      <c r="A3540">
        <v>1225</v>
      </c>
      <c r="B3540">
        <v>2</v>
      </c>
      <c r="C3540">
        <v>59</v>
      </c>
      <c r="D3540" t="str">
        <f>VLOOKUP($C3540,products!$A$1:$F$322,MATCH(order_items!$D$1,products!$A$1:$F$1,0),FALSE)</f>
        <v>Trek Domane S 5 Disc - 2017</v>
      </c>
      <c r="E3540">
        <f>VLOOKUP($C3540,products!$A$1:$F$322,MATCH(order_items!$E$1,products!$A$1:$F$1,0),FALSE)</f>
        <v>7</v>
      </c>
      <c r="F3540" t="str">
        <f>VLOOKUP($E3540,categories!$A$1:$B$8,MATCH(order_items!$F$1,categories!$A$1:$B$1,0),FALSE)</f>
        <v>Road Bikes</v>
      </c>
      <c r="G3540">
        <v>2</v>
      </c>
      <c r="H3540">
        <v>2599.9899999999998</v>
      </c>
      <c r="I3540" s="5">
        <v>0.1</v>
      </c>
      <c r="J3540">
        <f t="shared" si="110"/>
        <v>4679.982</v>
      </c>
      <c r="K3540" s="9">
        <f t="shared" si="111"/>
        <v>1.025599375080666</v>
      </c>
    </row>
    <row r="3541" spans="1:11" x14ac:dyDescent="0.3">
      <c r="A3541">
        <v>1225</v>
      </c>
      <c r="B3541">
        <v>3</v>
      </c>
      <c r="C3541">
        <v>6</v>
      </c>
      <c r="D3541" t="str">
        <f>VLOOKUP($C3541,products!$A$1:$F$322,MATCH(order_items!$D$1,products!$A$1:$F$1,0),FALSE)</f>
        <v>Surly Ice Cream Truck Frameset - 2016</v>
      </c>
      <c r="E3541">
        <f>VLOOKUP($C3541,products!$A$1:$F$322,MATCH(order_items!$E$1,products!$A$1:$F$1,0),FALSE)</f>
        <v>6</v>
      </c>
      <c r="F3541" t="str">
        <f>VLOOKUP($E3541,categories!$A$1:$B$8,MATCH(order_items!$F$1,categories!$A$1:$B$1,0),FALSE)</f>
        <v>Mountain Bikes</v>
      </c>
      <c r="G3541">
        <v>2</v>
      </c>
      <c r="H3541">
        <v>469.99</v>
      </c>
      <c r="I3541" s="5">
        <v>0.1</v>
      </c>
      <c r="J3541">
        <f t="shared" si="110"/>
        <v>845.98200000000008</v>
      </c>
      <c r="K3541" s="9">
        <f t="shared" si="111"/>
        <v>-0.5490815238530955</v>
      </c>
    </row>
    <row r="3542" spans="1:11" x14ac:dyDescent="0.3">
      <c r="A3542">
        <v>1226</v>
      </c>
      <c r="B3542">
        <v>1</v>
      </c>
      <c r="C3542">
        <v>77</v>
      </c>
      <c r="D3542" t="str">
        <f>VLOOKUP($C3542,products!$A$1:$F$322,MATCH(order_items!$D$1,products!$A$1:$F$1,0),FALSE)</f>
        <v>Electra Glam Punk 3i Ladies' - 2017</v>
      </c>
      <c r="E3542">
        <f>VLOOKUP($C3542,products!$A$1:$F$322,MATCH(order_items!$E$1,products!$A$1:$F$1,0),FALSE)</f>
        <v>3</v>
      </c>
      <c r="F3542" t="str">
        <f>VLOOKUP($E3542,categories!$A$1:$B$8,MATCH(order_items!$F$1,categories!$A$1:$B$1,0),FALSE)</f>
        <v>Cruisers Bicycles</v>
      </c>
      <c r="G3542">
        <v>2</v>
      </c>
      <c r="H3542">
        <v>799.99</v>
      </c>
      <c r="I3542" s="5">
        <v>0.05</v>
      </c>
      <c r="J3542">
        <f t="shared" si="110"/>
        <v>1519.981</v>
      </c>
      <c r="K3542" s="9">
        <f t="shared" si="111"/>
        <v>-0.30511687753941413</v>
      </c>
    </row>
    <row r="3543" spans="1:11" x14ac:dyDescent="0.3">
      <c r="A3543">
        <v>1226</v>
      </c>
      <c r="B3543">
        <v>2</v>
      </c>
      <c r="C3543">
        <v>101</v>
      </c>
      <c r="D3543" t="str">
        <f>VLOOKUP($C3543,products!$A$1:$F$322,MATCH(order_items!$D$1,products!$A$1:$F$1,0),FALSE)</f>
        <v>Electra Townie 7D (20-inch) - Boys' - 2017</v>
      </c>
      <c r="E3543">
        <f>VLOOKUP($C3543,products!$A$1:$F$322,MATCH(order_items!$E$1,products!$A$1:$F$1,0),FALSE)</f>
        <v>1</v>
      </c>
      <c r="F3543" t="str">
        <f>VLOOKUP($E3543,categories!$A$1:$B$8,MATCH(order_items!$F$1,categories!$A$1:$B$1,0),FALSE)</f>
        <v>Children Bicycles</v>
      </c>
      <c r="G3543">
        <v>1</v>
      </c>
      <c r="H3543">
        <v>339.99</v>
      </c>
      <c r="I3543" s="5">
        <v>0.2</v>
      </c>
      <c r="J3543">
        <f t="shared" si="110"/>
        <v>271.99200000000002</v>
      </c>
      <c r="K3543" s="9">
        <f t="shared" si="111"/>
        <v>-0.64518880876454576</v>
      </c>
    </row>
    <row r="3544" spans="1:11" x14ac:dyDescent="0.3">
      <c r="A3544">
        <v>1226</v>
      </c>
      <c r="B3544">
        <v>3</v>
      </c>
      <c r="C3544">
        <v>11</v>
      </c>
      <c r="D3544" t="str">
        <f>VLOOKUP($C3544,products!$A$1:$F$322,MATCH(order_items!$D$1,products!$A$1:$F$1,0),FALSE)</f>
        <v>Surly Straggler 650b - 2016</v>
      </c>
      <c r="E3544">
        <f>VLOOKUP($C3544,products!$A$1:$F$322,MATCH(order_items!$E$1,products!$A$1:$F$1,0),FALSE)</f>
        <v>4</v>
      </c>
      <c r="F3544" t="str">
        <f>VLOOKUP($E3544,categories!$A$1:$B$8,MATCH(order_items!$F$1,categories!$A$1:$B$1,0),FALSE)</f>
        <v>Cyclocross Bicycles</v>
      </c>
      <c r="G3544">
        <v>2</v>
      </c>
      <c r="H3544">
        <v>1680.99</v>
      </c>
      <c r="I3544" s="5">
        <v>7.0000000000000007E-2</v>
      </c>
      <c r="J3544">
        <f t="shared" si="110"/>
        <v>3126.6414</v>
      </c>
      <c r="K3544" s="9">
        <f t="shared" si="111"/>
        <v>0.3461947994374141</v>
      </c>
    </row>
    <row r="3545" spans="1:11" x14ac:dyDescent="0.3">
      <c r="A3545">
        <v>1226</v>
      </c>
      <c r="B3545">
        <v>4</v>
      </c>
      <c r="C3545">
        <v>51</v>
      </c>
      <c r="D3545" t="str">
        <f>VLOOKUP($C3545,products!$A$1:$F$322,MATCH(order_items!$D$1,products!$A$1:$F$1,0),FALSE)</f>
        <v>Trek Silque SLR 8 Women's - 2017</v>
      </c>
      <c r="E3545">
        <f>VLOOKUP($C3545,products!$A$1:$F$322,MATCH(order_items!$E$1,products!$A$1:$F$1,0),FALSE)</f>
        <v>7</v>
      </c>
      <c r="F3545" t="str">
        <f>VLOOKUP($E3545,categories!$A$1:$B$8,MATCH(order_items!$F$1,categories!$A$1:$B$1,0),FALSE)</f>
        <v>Road Bikes</v>
      </c>
      <c r="G3545">
        <v>1</v>
      </c>
      <c r="H3545">
        <v>6499.99</v>
      </c>
      <c r="I3545" s="5">
        <v>7.0000000000000007E-2</v>
      </c>
      <c r="J3545">
        <f t="shared" si="110"/>
        <v>6044.9906999999994</v>
      </c>
      <c r="K3545" s="9">
        <f t="shared" si="111"/>
        <v>3.9088179224241739</v>
      </c>
    </row>
    <row r="3546" spans="1:11" x14ac:dyDescent="0.3">
      <c r="A3546">
        <v>1226</v>
      </c>
      <c r="B3546">
        <v>5</v>
      </c>
      <c r="C3546">
        <v>42</v>
      </c>
      <c r="D3546" t="str">
        <f>VLOOKUP($C3546,products!$A$1:$F$322,MATCH(order_items!$D$1,products!$A$1:$F$1,0),FALSE)</f>
        <v>Trek Fuel EX 5 27.5 Plus - 2017</v>
      </c>
      <c r="E3546">
        <f>VLOOKUP($C3546,products!$A$1:$F$322,MATCH(order_items!$E$1,products!$A$1:$F$1,0),FALSE)</f>
        <v>6</v>
      </c>
      <c r="F3546" t="str">
        <f>VLOOKUP($E3546,categories!$A$1:$B$8,MATCH(order_items!$F$1,categories!$A$1:$B$1,0),FALSE)</f>
        <v>Mountain Bikes</v>
      </c>
      <c r="G3546">
        <v>1</v>
      </c>
      <c r="H3546">
        <v>2299.9899999999998</v>
      </c>
      <c r="I3546" s="5">
        <v>0.1</v>
      </c>
      <c r="J3546">
        <f t="shared" si="110"/>
        <v>2069.991</v>
      </c>
      <c r="K3546" s="9">
        <f t="shared" si="111"/>
        <v>0.80381333297731938</v>
      </c>
    </row>
    <row r="3547" spans="1:11" x14ac:dyDescent="0.3">
      <c r="A3547">
        <v>1227</v>
      </c>
      <c r="B3547">
        <v>1</v>
      </c>
      <c r="C3547">
        <v>90</v>
      </c>
      <c r="D3547" t="str">
        <f>VLOOKUP($C3547,products!$A$1:$F$322,MATCH(order_items!$D$1,products!$A$1:$F$1,0),FALSE)</f>
        <v>Trek Precaliber 16 Girls - 2017</v>
      </c>
      <c r="E3547">
        <f>VLOOKUP($C3547,products!$A$1:$F$322,MATCH(order_items!$E$1,products!$A$1:$F$1,0),FALSE)</f>
        <v>1</v>
      </c>
      <c r="F3547" t="str">
        <f>VLOOKUP($E3547,categories!$A$1:$B$8,MATCH(order_items!$F$1,categories!$A$1:$B$1,0),FALSE)</f>
        <v>Children Bicycles</v>
      </c>
      <c r="G3547">
        <v>2</v>
      </c>
      <c r="H3547">
        <v>209.99</v>
      </c>
      <c r="I3547" s="5">
        <v>0.2</v>
      </c>
      <c r="J3547">
        <f t="shared" si="110"/>
        <v>335.98400000000004</v>
      </c>
      <c r="K3547" s="9">
        <f t="shared" si="111"/>
        <v>-0.74129609367599603</v>
      </c>
    </row>
    <row r="3548" spans="1:11" x14ac:dyDescent="0.3">
      <c r="A3548">
        <v>1227</v>
      </c>
      <c r="B3548">
        <v>2</v>
      </c>
      <c r="C3548">
        <v>44</v>
      </c>
      <c r="D3548" t="str">
        <f>VLOOKUP($C3548,products!$A$1:$F$322,MATCH(order_items!$D$1,products!$A$1:$F$1,0),FALSE)</f>
        <v>Haro SR 1.1 - 2017</v>
      </c>
      <c r="E3548">
        <f>VLOOKUP($C3548,products!$A$1:$F$322,MATCH(order_items!$E$1,products!$A$1:$F$1,0),FALSE)</f>
        <v>6</v>
      </c>
      <c r="F3548" t="str">
        <f>VLOOKUP($E3548,categories!$A$1:$B$8,MATCH(order_items!$F$1,categories!$A$1:$B$1,0),FALSE)</f>
        <v>Mountain Bikes</v>
      </c>
      <c r="G3548">
        <v>1</v>
      </c>
      <c r="H3548">
        <v>539.99</v>
      </c>
      <c r="I3548" s="5">
        <v>7.0000000000000007E-2</v>
      </c>
      <c r="J3548">
        <f t="shared" si="110"/>
        <v>502.19069999999999</v>
      </c>
      <c r="K3548" s="9">
        <f t="shared" si="111"/>
        <v>-0.49733144736231466</v>
      </c>
    </row>
    <row r="3549" spans="1:11" x14ac:dyDescent="0.3">
      <c r="A3549">
        <v>1227</v>
      </c>
      <c r="B3549">
        <v>3</v>
      </c>
      <c r="C3549">
        <v>26</v>
      </c>
      <c r="D3549" t="str">
        <f>VLOOKUP($C3549,products!$A$1:$F$322,MATCH(order_items!$D$1,products!$A$1:$F$1,0),FALSE)</f>
        <v>Electra Townie Original 7D EQ - 2016</v>
      </c>
      <c r="E3549">
        <f>VLOOKUP($C3549,products!$A$1:$F$322,MATCH(order_items!$E$1,products!$A$1:$F$1,0),FALSE)</f>
        <v>2</v>
      </c>
      <c r="F3549" t="str">
        <f>VLOOKUP($E3549,categories!$A$1:$B$8,MATCH(order_items!$F$1,categories!$A$1:$B$1,0),FALSE)</f>
        <v>Comfort Bicycles</v>
      </c>
      <c r="G3549">
        <v>1</v>
      </c>
      <c r="H3549">
        <v>599.99</v>
      </c>
      <c r="I3549" s="5">
        <v>0.05</v>
      </c>
      <c r="J3549">
        <f t="shared" si="110"/>
        <v>569.9905</v>
      </c>
      <c r="K3549" s="9">
        <f t="shared" si="111"/>
        <v>-0.45297423894164529</v>
      </c>
    </row>
    <row r="3550" spans="1:11" x14ac:dyDescent="0.3">
      <c r="A3550">
        <v>1227</v>
      </c>
      <c r="B3550">
        <v>4</v>
      </c>
      <c r="C3550">
        <v>8</v>
      </c>
      <c r="D3550" t="str">
        <f>VLOOKUP($C3550,products!$A$1:$F$322,MATCH(order_items!$D$1,products!$A$1:$F$1,0),FALSE)</f>
        <v>Trek Remedy 29 Carbon Frameset - 2016</v>
      </c>
      <c r="E3550">
        <f>VLOOKUP($C3550,products!$A$1:$F$322,MATCH(order_items!$E$1,products!$A$1:$F$1,0),FALSE)</f>
        <v>6</v>
      </c>
      <c r="F3550" t="str">
        <f>VLOOKUP($E3550,categories!$A$1:$B$8,MATCH(order_items!$F$1,categories!$A$1:$B$1,0),FALSE)</f>
        <v>Mountain Bikes</v>
      </c>
      <c r="G3550">
        <v>1</v>
      </c>
      <c r="H3550">
        <v>1799.99</v>
      </c>
      <c r="I3550" s="5">
        <v>7.0000000000000007E-2</v>
      </c>
      <c r="J3550">
        <f t="shared" si="110"/>
        <v>1673.9906999999998</v>
      </c>
      <c r="K3550" s="9">
        <f t="shared" si="111"/>
        <v>0.43416992947174166</v>
      </c>
    </row>
    <row r="3551" spans="1:11" x14ac:dyDescent="0.3">
      <c r="A3551">
        <v>1227</v>
      </c>
      <c r="B3551">
        <v>5</v>
      </c>
      <c r="C3551">
        <v>42</v>
      </c>
      <c r="D3551" t="str">
        <f>VLOOKUP($C3551,products!$A$1:$F$322,MATCH(order_items!$D$1,products!$A$1:$F$1,0),FALSE)</f>
        <v>Trek Fuel EX 5 27.5 Plus - 2017</v>
      </c>
      <c r="E3551">
        <f>VLOOKUP($C3551,products!$A$1:$F$322,MATCH(order_items!$E$1,products!$A$1:$F$1,0),FALSE)</f>
        <v>6</v>
      </c>
      <c r="F3551" t="str">
        <f>VLOOKUP($E3551,categories!$A$1:$B$8,MATCH(order_items!$F$1,categories!$A$1:$B$1,0),FALSE)</f>
        <v>Mountain Bikes</v>
      </c>
      <c r="G3551">
        <v>2</v>
      </c>
      <c r="H3551">
        <v>2299.9899999999998</v>
      </c>
      <c r="I3551" s="5">
        <v>0.2</v>
      </c>
      <c r="J3551">
        <f t="shared" si="110"/>
        <v>3679.9839999999999</v>
      </c>
      <c r="K3551" s="9">
        <f t="shared" si="111"/>
        <v>0.80381333297731938</v>
      </c>
    </row>
    <row r="3552" spans="1:11" x14ac:dyDescent="0.3">
      <c r="A3552">
        <v>1228</v>
      </c>
      <c r="B3552">
        <v>1</v>
      </c>
      <c r="C3552">
        <v>92</v>
      </c>
      <c r="D3552" t="str">
        <f>VLOOKUP($C3552,products!$A$1:$F$322,MATCH(order_items!$D$1,products!$A$1:$F$1,0),FALSE)</f>
        <v>Haro Shredder 20 - 2017</v>
      </c>
      <c r="E3552">
        <f>VLOOKUP($C3552,products!$A$1:$F$322,MATCH(order_items!$E$1,products!$A$1:$F$1,0),FALSE)</f>
        <v>1</v>
      </c>
      <c r="F3552" t="str">
        <f>VLOOKUP($E3552,categories!$A$1:$B$8,MATCH(order_items!$F$1,categories!$A$1:$B$1,0),FALSE)</f>
        <v>Children Bicycles</v>
      </c>
      <c r="G3552">
        <v>1</v>
      </c>
      <c r="H3552">
        <v>209.99</v>
      </c>
      <c r="I3552" s="5">
        <v>0.2</v>
      </c>
      <c r="J3552">
        <f t="shared" si="110"/>
        <v>167.99200000000002</v>
      </c>
      <c r="K3552" s="9">
        <f t="shared" si="111"/>
        <v>-0.74129609367599603</v>
      </c>
    </row>
    <row r="3553" spans="1:11" x14ac:dyDescent="0.3">
      <c r="A3553">
        <v>1228</v>
      </c>
      <c r="B3553">
        <v>2</v>
      </c>
      <c r="C3553">
        <v>55</v>
      </c>
      <c r="D3553" t="str">
        <f>VLOOKUP($C3553,products!$A$1:$F$322,MATCH(order_items!$D$1,products!$A$1:$F$1,0),FALSE)</f>
        <v>Trek Domane S 6 - 2017</v>
      </c>
      <c r="E3553">
        <f>VLOOKUP($C3553,products!$A$1:$F$322,MATCH(order_items!$E$1,products!$A$1:$F$1,0),FALSE)</f>
        <v>7</v>
      </c>
      <c r="F3553" t="str">
        <f>VLOOKUP($E3553,categories!$A$1:$B$8,MATCH(order_items!$F$1,categories!$A$1:$B$1,0),FALSE)</f>
        <v>Road Bikes</v>
      </c>
      <c r="G3553">
        <v>2</v>
      </c>
      <c r="H3553">
        <v>2699.99</v>
      </c>
      <c r="I3553" s="5">
        <v>0.2</v>
      </c>
      <c r="J3553">
        <f t="shared" si="110"/>
        <v>4319.9839999999995</v>
      </c>
      <c r="K3553" s="9">
        <f t="shared" si="111"/>
        <v>1.0995280557817817</v>
      </c>
    </row>
    <row r="3554" spans="1:11" x14ac:dyDescent="0.3">
      <c r="A3554">
        <v>1228</v>
      </c>
      <c r="B3554">
        <v>3</v>
      </c>
      <c r="C3554">
        <v>20</v>
      </c>
      <c r="D3554" t="str">
        <f>VLOOKUP($C3554,products!$A$1:$F$322,MATCH(order_items!$D$1,products!$A$1:$F$1,0),FALSE)</f>
        <v>Electra Townie Original 7D EQ - Women's - 2016</v>
      </c>
      <c r="E3554">
        <f>VLOOKUP($C3554,products!$A$1:$F$322,MATCH(order_items!$E$1,products!$A$1:$F$1,0),FALSE)</f>
        <v>3</v>
      </c>
      <c r="F3554" t="str">
        <f>VLOOKUP($E3554,categories!$A$1:$B$8,MATCH(order_items!$F$1,categories!$A$1:$B$1,0),FALSE)</f>
        <v>Cruisers Bicycles</v>
      </c>
      <c r="G3554">
        <v>2</v>
      </c>
      <c r="H3554">
        <v>599.99</v>
      </c>
      <c r="I3554" s="5">
        <v>0.05</v>
      </c>
      <c r="J3554">
        <f t="shared" si="110"/>
        <v>1139.981</v>
      </c>
      <c r="K3554" s="9">
        <f t="shared" si="111"/>
        <v>-0.45297423894164529</v>
      </c>
    </row>
    <row r="3555" spans="1:11" x14ac:dyDescent="0.3">
      <c r="A3555">
        <v>1229</v>
      </c>
      <c r="B3555">
        <v>1</v>
      </c>
      <c r="C3555">
        <v>36</v>
      </c>
      <c r="D3555" t="str">
        <f>VLOOKUP($C3555,products!$A$1:$F$322,MATCH(order_items!$D$1,products!$A$1:$F$1,0),FALSE)</f>
        <v>Surly Troll Frameset - 2017</v>
      </c>
      <c r="E3555">
        <f>VLOOKUP($C3555,products!$A$1:$F$322,MATCH(order_items!$E$1,products!$A$1:$F$1,0),FALSE)</f>
        <v>6</v>
      </c>
      <c r="F3555" t="str">
        <f>VLOOKUP($E3555,categories!$A$1:$B$8,MATCH(order_items!$F$1,categories!$A$1:$B$1,0),FALSE)</f>
        <v>Mountain Bikes</v>
      </c>
      <c r="G3555">
        <v>2</v>
      </c>
      <c r="H3555">
        <v>832.99</v>
      </c>
      <c r="I3555" s="5">
        <v>7.0000000000000007E-2</v>
      </c>
      <c r="J3555">
        <f t="shared" si="110"/>
        <v>1549.3614</v>
      </c>
      <c r="K3555" s="9">
        <f t="shared" si="111"/>
        <v>-0.280720412908046</v>
      </c>
    </row>
    <row r="3556" spans="1:11" x14ac:dyDescent="0.3">
      <c r="A3556">
        <v>1229</v>
      </c>
      <c r="B3556">
        <v>2</v>
      </c>
      <c r="C3556">
        <v>61</v>
      </c>
      <c r="D3556" t="str">
        <f>VLOOKUP($C3556,products!$A$1:$F$322,MATCH(order_items!$D$1,products!$A$1:$F$1,0),FALSE)</f>
        <v>Trek Powerfly 8 FS Plus - 2017</v>
      </c>
      <c r="E3556">
        <f>VLOOKUP($C3556,products!$A$1:$F$322,MATCH(order_items!$E$1,products!$A$1:$F$1,0),FALSE)</f>
        <v>5</v>
      </c>
      <c r="F3556" t="str">
        <f>VLOOKUP($E3556,categories!$A$1:$B$8,MATCH(order_items!$F$1,categories!$A$1:$B$1,0),FALSE)</f>
        <v>Electric Bikes</v>
      </c>
      <c r="G3556">
        <v>2</v>
      </c>
      <c r="H3556">
        <v>4999.99</v>
      </c>
      <c r="I3556" s="5">
        <v>0.1</v>
      </c>
      <c r="J3556">
        <f t="shared" si="110"/>
        <v>8999.982</v>
      </c>
      <c r="K3556" s="9">
        <f t="shared" si="111"/>
        <v>2.7998877119074401</v>
      </c>
    </row>
    <row r="3557" spans="1:11" x14ac:dyDescent="0.3">
      <c r="A3557">
        <v>1230</v>
      </c>
      <c r="B3557">
        <v>1</v>
      </c>
      <c r="C3557">
        <v>32</v>
      </c>
      <c r="D3557" t="str">
        <f>VLOOKUP($C3557,products!$A$1:$F$322,MATCH(order_items!$D$1,products!$A$1:$F$1,0),FALSE)</f>
        <v>Trek Farley Alloy Frameset - 2017</v>
      </c>
      <c r="E3557">
        <f>VLOOKUP($C3557,products!$A$1:$F$322,MATCH(order_items!$E$1,products!$A$1:$F$1,0),FALSE)</f>
        <v>6</v>
      </c>
      <c r="F3557" t="str">
        <f>VLOOKUP($E3557,categories!$A$1:$B$8,MATCH(order_items!$F$1,categories!$A$1:$B$1,0),FALSE)</f>
        <v>Mountain Bikes</v>
      </c>
      <c r="G3557">
        <v>2</v>
      </c>
      <c r="H3557">
        <v>469.99</v>
      </c>
      <c r="I3557" s="5">
        <v>0.1</v>
      </c>
      <c r="J3557">
        <f t="shared" si="110"/>
        <v>845.98200000000008</v>
      </c>
      <c r="K3557" s="9">
        <f t="shared" si="111"/>
        <v>-0.5490815238530955</v>
      </c>
    </row>
    <row r="3558" spans="1:11" x14ac:dyDescent="0.3">
      <c r="A3558">
        <v>1230</v>
      </c>
      <c r="B3558">
        <v>2</v>
      </c>
      <c r="C3558">
        <v>38</v>
      </c>
      <c r="D3558" t="str">
        <f>VLOOKUP($C3558,products!$A$1:$F$322,MATCH(order_items!$D$1,products!$A$1:$F$1,0),FALSE)</f>
        <v>Haro Flightline Two 26 Plus - 2017</v>
      </c>
      <c r="E3558">
        <f>VLOOKUP($C3558,products!$A$1:$F$322,MATCH(order_items!$E$1,products!$A$1:$F$1,0),FALSE)</f>
        <v>6</v>
      </c>
      <c r="F3558" t="str">
        <f>VLOOKUP($E3558,categories!$A$1:$B$8,MATCH(order_items!$F$1,categories!$A$1:$B$1,0),FALSE)</f>
        <v>Mountain Bikes</v>
      </c>
      <c r="G3558">
        <v>2</v>
      </c>
      <c r="H3558">
        <v>549.99</v>
      </c>
      <c r="I3558" s="5">
        <v>7.0000000000000007E-2</v>
      </c>
      <c r="J3558">
        <f t="shared" si="110"/>
        <v>1022.9813999999999</v>
      </c>
      <c r="K3558" s="9">
        <f t="shared" si="111"/>
        <v>-0.48993857929220308</v>
      </c>
    </row>
    <row r="3559" spans="1:11" x14ac:dyDescent="0.3">
      <c r="A3559">
        <v>1231</v>
      </c>
      <c r="B3559">
        <v>1</v>
      </c>
      <c r="C3559">
        <v>75</v>
      </c>
      <c r="D3559" t="str">
        <f>VLOOKUP($C3559,products!$A$1:$F$322,MATCH(order_items!$D$1,products!$A$1:$F$1,0),FALSE)</f>
        <v>Electra Cruiser Lux Fat Tire 1 Ladies - 2017</v>
      </c>
      <c r="E3559">
        <f>VLOOKUP($C3559,products!$A$1:$F$322,MATCH(order_items!$E$1,products!$A$1:$F$1,0),FALSE)</f>
        <v>3</v>
      </c>
      <c r="F3559" t="str">
        <f>VLOOKUP($E3559,categories!$A$1:$B$8,MATCH(order_items!$F$1,categories!$A$1:$B$1,0),FALSE)</f>
        <v>Cruisers Bicycles</v>
      </c>
      <c r="G3559">
        <v>2</v>
      </c>
      <c r="H3559">
        <v>599.99</v>
      </c>
      <c r="I3559" s="5">
        <v>0.05</v>
      </c>
      <c r="J3559">
        <f t="shared" si="110"/>
        <v>1139.981</v>
      </c>
      <c r="K3559" s="9">
        <f t="shared" si="111"/>
        <v>-0.45297423894164529</v>
      </c>
    </row>
    <row r="3560" spans="1:11" x14ac:dyDescent="0.3">
      <c r="A3560">
        <v>1231</v>
      </c>
      <c r="B3560">
        <v>2</v>
      </c>
      <c r="C3560">
        <v>70</v>
      </c>
      <c r="D3560" t="str">
        <f>VLOOKUP($C3560,products!$A$1:$F$322,MATCH(order_items!$D$1,products!$A$1:$F$1,0),FALSE)</f>
        <v>Electra Amsterdam Original 3i - 2015/2017</v>
      </c>
      <c r="E3560">
        <f>VLOOKUP($C3560,products!$A$1:$F$322,MATCH(order_items!$E$1,products!$A$1:$F$1,0),FALSE)</f>
        <v>3</v>
      </c>
      <c r="F3560" t="str">
        <f>VLOOKUP($E3560,categories!$A$1:$B$8,MATCH(order_items!$F$1,categories!$A$1:$B$1,0),FALSE)</f>
        <v>Cruisers Bicycles</v>
      </c>
      <c r="G3560">
        <v>1</v>
      </c>
      <c r="H3560">
        <v>659.99</v>
      </c>
      <c r="I3560" s="5">
        <v>7.0000000000000007E-2</v>
      </c>
      <c r="J3560">
        <f t="shared" si="110"/>
        <v>613.79070000000002</v>
      </c>
      <c r="K3560" s="9">
        <f t="shared" si="111"/>
        <v>-0.40861703052097592</v>
      </c>
    </row>
    <row r="3561" spans="1:11" x14ac:dyDescent="0.3">
      <c r="A3561">
        <v>1232</v>
      </c>
      <c r="B3561">
        <v>1</v>
      </c>
      <c r="C3561">
        <v>4</v>
      </c>
      <c r="D3561" t="str">
        <f>VLOOKUP($C3561,products!$A$1:$F$322,MATCH(order_items!$D$1,products!$A$1:$F$1,0),FALSE)</f>
        <v>Trek Fuel EX 8 29 - 2016</v>
      </c>
      <c r="E3561">
        <f>VLOOKUP($C3561,products!$A$1:$F$322,MATCH(order_items!$E$1,products!$A$1:$F$1,0),FALSE)</f>
        <v>6</v>
      </c>
      <c r="F3561" t="str">
        <f>VLOOKUP($E3561,categories!$A$1:$B$8,MATCH(order_items!$F$1,categories!$A$1:$B$1,0),FALSE)</f>
        <v>Mountain Bikes</v>
      </c>
      <c r="G3561">
        <v>2</v>
      </c>
      <c r="H3561">
        <v>2899.99</v>
      </c>
      <c r="I3561" s="5">
        <v>7.0000000000000007E-2</v>
      </c>
      <c r="J3561">
        <f t="shared" si="110"/>
        <v>5393.9813999999997</v>
      </c>
      <c r="K3561" s="9">
        <f t="shared" si="111"/>
        <v>1.2473854171840129</v>
      </c>
    </row>
    <row r="3562" spans="1:11" x14ac:dyDescent="0.3">
      <c r="A3562">
        <v>1232</v>
      </c>
      <c r="B3562">
        <v>2</v>
      </c>
      <c r="C3562">
        <v>110</v>
      </c>
      <c r="D3562" t="str">
        <f>VLOOKUP($C3562,products!$A$1:$F$322,MATCH(order_items!$D$1,products!$A$1:$F$1,0),FALSE)</f>
        <v>Sun Bicycles Drifter 7 - 2017</v>
      </c>
      <c r="E3562">
        <f>VLOOKUP($C3562,products!$A$1:$F$322,MATCH(order_items!$E$1,products!$A$1:$F$1,0),FALSE)</f>
        <v>2</v>
      </c>
      <c r="F3562" t="str">
        <f>VLOOKUP($E3562,categories!$A$1:$B$8,MATCH(order_items!$F$1,categories!$A$1:$B$1,0),FALSE)</f>
        <v>Comfort Bicycles</v>
      </c>
      <c r="G3562">
        <v>2</v>
      </c>
      <c r="H3562">
        <v>470.99</v>
      </c>
      <c r="I3562" s="5">
        <v>0.05</v>
      </c>
      <c r="J3562">
        <f t="shared" si="110"/>
        <v>894.88099999999997</v>
      </c>
      <c r="K3562" s="9">
        <f t="shared" si="111"/>
        <v>-0.54834223704608442</v>
      </c>
    </row>
    <row r="3563" spans="1:11" x14ac:dyDescent="0.3">
      <c r="A3563">
        <v>1232</v>
      </c>
      <c r="B3563">
        <v>3</v>
      </c>
      <c r="C3563">
        <v>6</v>
      </c>
      <c r="D3563" t="str">
        <f>VLOOKUP($C3563,products!$A$1:$F$322,MATCH(order_items!$D$1,products!$A$1:$F$1,0),FALSE)</f>
        <v>Surly Ice Cream Truck Frameset - 2016</v>
      </c>
      <c r="E3563">
        <f>VLOOKUP($C3563,products!$A$1:$F$322,MATCH(order_items!$E$1,products!$A$1:$F$1,0),FALSE)</f>
        <v>6</v>
      </c>
      <c r="F3563" t="str">
        <f>VLOOKUP($E3563,categories!$A$1:$B$8,MATCH(order_items!$F$1,categories!$A$1:$B$1,0),FALSE)</f>
        <v>Mountain Bikes</v>
      </c>
      <c r="G3563">
        <v>2</v>
      </c>
      <c r="H3563">
        <v>469.99</v>
      </c>
      <c r="I3563" s="5">
        <v>0.2</v>
      </c>
      <c r="J3563">
        <f t="shared" si="110"/>
        <v>751.98400000000004</v>
      </c>
      <c r="K3563" s="9">
        <f t="shared" si="111"/>
        <v>-0.5490815238530955</v>
      </c>
    </row>
    <row r="3564" spans="1:11" x14ac:dyDescent="0.3">
      <c r="A3564">
        <v>1233</v>
      </c>
      <c r="B3564">
        <v>1</v>
      </c>
      <c r="C3564">
        <v>87</v>
      </c>
      <c r="D3564" t="str">
        <f>VLOOKUP($C3564,products!$A$1:$F$322,MATCH(order_items!$D$1,products!$A$1:$F$1,0),FALSE)</f>
        <v>Trek Precaliber 12 Boys - 2017</v>
      </c>
      <c r="E3564">
        <f>VLOOKUP($C3564,products!$A$1:$F$322,MATCH(order_items!$E$1,products!$A$1:$F$1,0),FALSE)</f>
        <v>1</v>
      </c>
      <c r="F3564" t="str">
        <f>VLOOKUP($E3564,categories!$A$1:$B$8,MATCH(order_items!$F$1,categories!$A$1:$B$1,0),FALSE)</f>
        <v>Children Bicycles</v>
      </c>
      <c r="G3564">
        <v>2</v>
      </c>
      <c r="H3564">
        <v>189.99</v>
      </c>
      <c r="I3564" s="5">
        <v>0.2</v>
      </c>
      <c r="J3564">
        <f t="shared" si="110"/>
        <v>303.98400000000004</v>
      </c>
      <c r="K3564" s="9">
        <f t="shared" si="111"/>
        <v>-0.75608182981621919</v>
      </c>
    </row>
    <row r="3565" spans="1:11" x14ac:dyDescent="0.3">
      <c r="A3565">
        <v>1233</v>
      </c>
      <c r="B3565">
        <v>2</v>
      </c>
      <c r="C3565">
        <v>61</v>
      </c>
      <c r="D3565" t="str">
        <f>VLOOKUP($C3565,products!$A$1:$F$322,MATCH(order_items!$D$1,products!$A$1:$F$1,0),FALSE)</f>
        <v>Trek Powerfly 8 FS Plus - 2017</v>
      </c>
      <c r="E3565">
        <f>VLOOKUP($C3565,products!$A$1:$F$322,MATCH(order_items!$E$1,products!$A$1:$F$1,0),FALSE)</f>
        <v>5</v>
      </c>
      <c r="F3565" t="str">
        <f>VLOOKUP($E3565,categories!$A$1:$B$8,MATCH(order_items!$F$1,categories!$A$1:$B$1,0),FALSE)</f>
        <v>Electric Bikes</v>
      </c>
      <c r="G3565">
        <v>2</v>
      </c>
      <c r="H3565">
        <v>4999.99</v>
      </c>
      <c r="I3565" s="5">
        <v>0.1</v>
      </c>
      <c r="J3565">
        <f t="shared" si="110"/>
        <v>8999.982</v>
      </c>
      <c r="K3565" s="9">
        <f t="shared" si="111"/>
        <v>2.7998877119074401</v>
      </c>
    </row>
    <row r="3566" spans="1:11" x14ac:dyDescent="0.3">
      <c r="A3566">
        <v>1233</v>
      </c>
      <c r="B3566">
        <v>3</v>
      </c>
      <c r="C3566">
        <v>55</v>
      </c>
      <c r="D3566" t="str">
        <f>VLOOKUP($C3566,products!$A$1:$F$322,MATCH(order_items!$D$1,products!$A$1:$F$1,0),FALSE)</f>
        <v>Trek Domane S 6 - 2017</v>
      </c>
      <c r="E3566">
        <f>VLOOKUP($C3566,products!$A$1:$F$322,MATCH(order_items!$E$1,products!$A$1:$F$1,0),FALSE)</f>
        <v>7</v>
      </c>
      <c r="F3566" t="str">
        <f>VLOOKUP($E3566,categories!$A$1:$B$8,MATCH(order_items!$F$1,categories!$A$1:$B$1,0),FALSE)</f>
        <v>Road Bikes</v>
      </c>
      <c r="G3566">
        <v>1</v>
      </c>
      <c r="H3566">
        <v>2699.99</v>
      </c>
      <c r="I3566" s="5">
        <v>0.2</v>
      </c>
      <c r="J3566">
        <f t="shared" si="110"/>
        <v>2159.9919999999997</v>
      </c>
      <c r="K3566" s="9">
        <f t="shared" si="111"/>
        <v>1.0995280557817817</v>
      </c>
    </row>
    <row r="3567" spans="1:11" x14ac:dyDescent="0.3">
      <c r="A3567">
        <v>1234</v>
      </c>
      <c r="B3567">
        <v>1</v>
      </c>
      <c r="C3567">
        <v>56</v>
      </c>
      <c r="D3567" t="str">
        <f>VLOOKUP($C3567,products!$A$1:$F$322,MATCH(order_items!$D$1,products!$A$1:$F$1,0),FALSE)</f>
        <v>Trek Domane SLR 6 Disc - 2017</v>
      </c>
      <c r="E3567">
        <f>VLOOKUP($C3567,products!$A$1:$F$322,MATCH(order_items!$E$1,products!$A$1:$F$1,0),FALSE)</f>
        <v>7</v>
      </c>
      <c r="F3567" t="str">
        <f>VLOOKUP($E3567,categories!$A$1:$B$8,MATCH(order_items!$F$1,categories!$A$1:$B$1,0),FALSE)</f>
        <v>Road Bikes</v>
      </c>
      <c r="G3567">
        <v>2</v>
      </c>
      <c r="H3567">
        <v>5499.99</v>
      </c>
      <c r="I3567" s="5">
        <v>7.0000000000000007E-2</v>
      </c>
      <c r="J3567">
        <f t="shared" si="110"/>
        <v>10229.981399999999</v>
      </c>
      <c r="K3567" s="9">
        <f t="shared" si="111"/>
        <v>3.1695311154130179</v>
      </c>
    </row>
    <row r="3568" spans="1:11" x14ac:dyDescent="0.3">
      <c r="A3568">
        <v>1234</v>
      </c>
      <c r="B3568">
        <v>2</v>
      </c>
      <c r="C3568">
        <v>71</v>
      </c>
      <c r="D3568" t="str">
        <f>VLOOKUP($C3568,products!$A$1:$F$322,MATCH(order_items!$D$1,products!$A$1:$F$1,0),FALSE)</f>
        <v>Sun Bicycles Atlas X-Type - 2017</v>
      </c>
      <c r="E3568">
        <f>VLOOKUP($C3568,products!$A$1:$F$322,MATCH(order_items!$E$1,products!$A$1:$F$1,0),FALSE)</f>
        <v>3</v>
      </c>
      <c r="F3568" t="str">
        <f>VLOOKUP($E3568,categories!$A$1:$B$8,MATCH(order_items!$F$1,categories!$A$1:$B$1,0),FALSE)</f>
        <v>Cruisers Bicycles</v>
      </c>
      <c r="G3568">
        <v>2</v>
      </c>
      <c r="H3568">
        <v>416.99</v>
      </c>
      <c r="I3568" s="5">
        <v>7.0000000000000007E-2</v>
      </c>
      <c r="J3568">
        <f t="shared" si="110"/>
        <v>775.60140000000001</v>
      </c>
      <c r="K3568" s="9">
        <f t="shared" si="111"/>
        <v>-0.58826372462468679</v>
      </c>
    </row>
    <row r="3569" spans="1:11" x14ac:dyDescent="0.3">
      <c r="A3569">
        <v>1235</v>
      </c>
      <c r="B3569">
        <v>1</v>
      </c>
      <c r="C3569">
        <v>7</v>
      </c>
      <c r="D3569" t="str">
        <f>VLOOKUP($C3569,products!$A$1:$F$322,MATCH(order_items!$D$1,products!$A$1:$F$1,0),FALSE)</f>
        <v>Trek Slash 8 27.5 - 2016</v>
      </c>
      <c r="E3569">
        <f>VLOOKUP($C3569,products!$A$1:$F$322,MATCH(order_items!$E$1,products!$A$1:$F$1,0),FALSE)</f>
        <v>6</v>
      </c>
      <c r="F3569" t="str">
        <f>VLOOKUP($E3569,categories!$A$1:$B$8,MATCH(order_items!$F$1,categories!$A$1:$B$1,0),FALSE)</f>
        <v>Mountain Bikes</v>
      </c>
      <c r="G3569">
        <v>1</v>
      </c>
      <c r="H3569">
        <v>3999.99</v>
      </c>
      <c r="I3569" s="5">
        <v>0.1</v>
      </c>
      <c r="J3569">
        <f t="shared" si="110"/>
        <v>3599.991</v>
      </c>
      <c r="K3569" s="9">
        <f t="shared" si="111"/>
        <v>2.0606009048962846</v>
      </c>
    </row>
    <row r="3570" spans="1:11" x14ac:dyDescent="0.3">
      <c r="A3570">
        <v>1236</v>
      </c>
      <c r="B3570">
        <v>1</v>
      </c>
      <c r="C3570">
        <v>60</v>
      </c>
      <c r="D3570" t="str">
        <f>VLOOKUP($C3570,products!$A$1:$F$322,MATCH(order_items!$D$1,products!$A$1:$F$1,0),FALSE)</f>
        <v>Sun Bicycles ElectroLite - 2017</v>
      </c>
      <c r="E3570">
        <f>VLOOKUP($C3570,products!$A$1:$F$322,MATCH(order_items!$E$1,products!$A$1:$F$1,0),FALSE)</f>
        <v>5</v>
      </c>
      <c r="F3570" t="str">
        <f>VLOOKUP($E3570,categories!$A$1:$B$8,MATCH(order_items!$F$1,categories!$A$1:$B$1,0),FALSE)</f>
        <v>Electric Bikes</v>
      </c>
      <c r="G3570">
        <v>1</v>
      </c>
      <c r="H3570">
        <v>1559.99</v>
      </c>
      <c r="I3570" s="5">
        <v>7.0000000000000007E-2</v>
      </c>
      <c r="J3570">
        <f t="shared" si="110"/>
        <v>1450.7907</v>
      </c>
      <c r="K3570" s="9">
        <f t="shared" si="111"/>
        <v>0.25674109578906423</v>
      </c>
    </row>
    <row r="3571" spans="1:11" x14ac:dyDescent="0.3">
      <c r="A3571">
        <v>1236</v>
      </c>
      <c r="B3571">
        <v>2</v>
      </c>
      <c r="C3571">
        <v>32</v>
      </c>
      <c r="D3571" t="str">
        <f>VLOOKUP($C3571,products!$A$1:$F$322,MATCH(order_items!$D$1,products!$A$1:$F$1,0),FALSE)</f>
        <v>Trek Farley Alloy Frameset - 2017</v>
      </c>
      <c r="E3571">
        <f>VLOOKUP($C3571,products!$A$1:$F$322,MATCH(order_items!$E$1,products!$A$1:$F$1,0),FALSE)</f>
        <v>6</v>
      </c>
      <c r="F3571" t="str">
        <f>VLOOKUP($E3571,categories!$A$1:$B$8,MATCH(order_items!$F$1,categories!$A$1:$B$1,0),FALSE)</f>
        <v>Mountain Bikes</v>
      </c>
      <c r="G3571">
        <v>2</v>
      </c>
      <c r="H3571">
        <v>469.99</v>
      </c>
      <c r="I3571" s="5">
        <v>0.05</v>
      </c>
      <c r="J3571">
        <f t="shared" si="110"/>
        <v>892.98099999999999</v>
      </c>
      <c r="K3571" s="9">
        <f t="shared" si="111"/>
        <v>-0.5490815238530955</v>
      </c>
    </row>
    <row r="3572" spans="1:11" x14ac:dyDescent="0.3">
      <c r="A3572">
        <v>1236</v>
      </c>
      <c r="B3572">
        <v>3</v>
      </c>
      <c r="C3572">
        <v>91</v>
      </c>
      <c r="D3572" t="str">
        <f>VLOOKUP($C3572,products!$A$1:$F$322,MATCH(order_items!$D$1,products!$A$1:$F$1,0),FALSE)</f>
        <v>Trek Precaliber 24 (21-Speed) - Girls - 2017</v>
      </c>
      <c r="E3572">
        <f>VLOOKUP($C3572,products!$A$1:$F$322,MATCH(order_items!$E$1,products!$A$1:$F$1,0),FALSE)</f>
        <v>1</v>
      </c>
      <c r="F3572" t="str">
        <f>VLOOKUP($E3572,categories!$A$1:$B$8,MATCH(order_items!$F$1,categories!$A$1:$B$1,0),FALSE)</f>
        <v>Children Bicycles</v>
      </c>
      <c r="G3572">
        <v>1</v>
      </c>
      <c r="H3572">
        <v>349.99</v>
      </c>
      <c r="I3572" s="5">
        <v>0.1</v>
      </c>
      <c r="J3572">
        <f t="shared" si="110"/>
        <v>314.99100000000004</v>
      </c>
      <c r="K3572" s="9">
        <f t="shared" si="111"/>
        <v>-0.63779594069443424</v>
      </c>
    </row>
    <row r="3573" spans="1:11" x14ac:dyDescent="0.3">
      <c r="A3573">
        <v>1237</v>
      </c>
      <c r="B3573">
        <v>1</v>
      </c>
      <c r="C3573">
        <v>23</v>
      </c>
      <c r="D3573" t="str">
        <f>VLOOKUP($C3573,products!$A$1:$F$322,MATCH(order_items!$D$1,products!$A$1:$F$1,0),FALSE)</f>
        <v>Electra Girl's Hawaii 1 (20-inch) - 2015/2016</v>
      </c>
      <c r="E3573">
        <f>VLOOKUP($C3573,products!$A$1:$F$322,MATCH(order_items!$E$1,products!$A$1:$F$1,0),FALSE)</f>
        <v>1</v>
      </c>
      <c r="F3573" t="str">
        <f>VLOOKUP($E3573,categories!$A$1:$B$8,MATCH(order_items!$F$1,categories!$A$1:$B$1,0),FALSE)</f>
        <v>Children Bicycles</v>
      </c>
      <c r="G3573">
        <v>1</v>
      </c>
      <c r="H3573">
        <v>299.99</v>
      </c>
      <c r="I3573" s="5">
        <v>0.1</v>
      </c>
      <c r="J3573">
        <f t="shared" si="110"/>
        <v>269.99100000000004</v>
      </c>
      <c r="K3573" s="9">
        <f t="shared" si="111"/>
        <v>-0.67476028104499197</v>
      </c>
    </row>
    <row r="3574" spans="1:11" x14ac:dyDescent="0.3">
      <c r="A3574">
        <v>1237</v>
      </c>
      <c r="B3574">
        <v>2</v>
      </c>
      <c r="C3574">
        <v>87</v>
      </c>
      <c r="D3574" t="str">
        <f>VLOOKUP($C3574,products!$A$1:$F$322,MATCH(order_items!$D$1,products!$A$1:$F$1,0),FALSE)</f>
        <v>Trek Precaliber 12 Boys - 2017</v>
      </c>
      <c r="E3574">
        <f>VLOOKUP($C3574,products!$A$1:$F$322,MATCH(order_items!$E$1,products!$A$1:$F$1,0),FALSE)</f>
        <v>1</v>
      </c>
      <c r="F3574" t="str">
        <f>VLOOKUP($E3574,categories!$A$1:$B$8,MATCH(order_items!$F$1,categories!$A$1:$B$1,0),FALSE)</f>
        <v>Children Bicycles</v>
      </c>
      <c r="G3574">
        <v>2</v>
      </c>
      <c r="H3574">
        <v>189.99</v>
      </c>
      <c r="I3574" s="5">
        <v>0.1</v>
      </c>
      <c r="J3574">
        <f t="shared" si="110"/>
        <v>341.98200000000003</v>
      </c>
      <c r="K3574" s="9">
        <f t="shared" si="111"/>
        <v>-0.75608182981621919</v>
      </c>
    </row>
    <row r="3575" spans="1:11" x14ac:dyDescent="0.3">
      <c r="A3575">
        <v>1237</v>
      </c>
      <c r="B3575">
        <v>3</v>
      </c>
      <c r="C3575">
        <v>95</v>
      </c>
      <c r="D3575" t="str">
        <f>VLOOKUP($C3575,products!$A$1:$F$322,MATCH(order_items!$D$1,products!$A$1:$F$1,0),FALSE)</f>
        <v>Electra Girl's Hawaii 1 16" - 2017</v>
      </c>
      <c r="E3575">
        <f>VLOOKUP($C3575,products!$A$1:$F$322,MATCH(order_items!$E$1,products!$A$1:$F$1,0),FALSE)</f>
        <v>1</v>
      </c>
      <c r="F3575" t="str">
        <f>VLOOKUP($E3575,categories!$A$1:$B$8,MATCH(order_items!$F$1,categories!$A$1:$B$1,0),FALSE)</f>
        <v>Children Bicycles</v>
      </c>
      <c r="G3575">
        <v>2</v>
      </c>
      <c r="H3575">
        <v>299.99</v>
      </c>
      <c r="I3575" s="5">
        <v>0.2</v>
      </c>
      <c r="J3575">
        <f t="shared" si="110"/>
        <v>479.98400000000004</v>
      </c>
      <c r="K3575" s="9">
        <f t="shared" si="111"/>
        <v>-0.67476028104499197</v>
      </c>
    </row>
    <row r="3576" spans="1:11" x14ac:dyDescent="0.3">
      <c r="A3576">
        <v>1237</v>
      </c>
      <c r="B3576">
        <v>4</v>
      </c>
      <c r="C3576">
        <v>55</v>
      </c>
      <c r="D3576" t="str">
        <f>VLOOKUP($C3576,products!$A$1:$F$322,MATCH(order_items!$D$1,products!$A$1:$F$1,0),FALSE)</f>
        <v>Trek Domane S 6 - 2017</v>
      </c>
      <c r="E3576">
        <f>VLOOKUP($C3576,products!$A$1:$F$322,MATCH(order_items!$E$1,products!$A$1:$F$1,0),FALSE)</f>
        <v>7</v>
      </c>
      <c r="F3576" t="str">
        <f>VLOOKUP($E3576,categories!$A$1:$B$8,MATCH(order_items!$F$1,categories!$A$1:$B$1,0),FALSE)</f>
        <v>Road Bikes</v>
      </c>
      <c r="G3576">
        <v>2</v>
      </c>
      <c r="H3576">
        <v>2699.99</v>
      </c>
      <c r="I3576" s="5">
        <v>7.0000000000000007E-2</v>
      </c>
      <c r="J3576">
        <f t="shared" si="110"/>
        <v>5021.9813999999997</v>
      </c>
      <c r="K3576" s="9">
        <f t="shared" si="111"/>
        <v>1.0995280557817817</v>
      </c>
    </row>
    <row r="3577" spans="1:11" x14ac:dyDescent="0.3">
      <c r="A3577">
        <v>1237</v>
      </c>
      <c r="B3577">
        <v>5</v>
      </c>
      <c r="C3577">
        <v>25</v>
      </c>
      <c r="D3577" t="str">
        <f>VLOOKUP($C3577,products!$A$1:$F$322,MATCH(order_items!$D$1,products!$A$1:$F$1,0),FALSE)</f>
        <v>Electra Townie Original 7D - 2015/2016</v>
      </c>
      <c r="E3577">
        <f>VLOOKUP($C3577,products!$A$1:$F$322,MATCH(order_items!$E$1,products!$A$1:$F$1,0),FALSE)</f>
        <v>2</v>
      </c>
      <c r="F3577" t="str">
        <f>VLOOKUP($E3577,categories!$A$1:$B$8,MATCH(order_items!$F$1,categories!$A$1:$B$1,0),FALSE)</f>
        <v>Comfort Bicycles</v>
      </c>
      <c r="G3577">
        <v>1</v>
      </c>
      <c r="H3577">
        <v>499.99</v>
      </c>
      <c r="I3577" s="5">
        <v>7.0000000000000007E-2</v>
      </c>
      <c r="J3577">
        <f t="shared" si="110"/>
        <v>464.9907</v>
      </c>
      <c r="K3577" s="9">
        <f t="shared" si="111"/>
        <v>-0.52690291964276081</v>
      </c>
    </row>
    <row r="3578" spans="1:11" x14ac:dyDescent="0.3">
      <c r="A3578">
        <v>1238</v>
      </c>
      <c r="B3578">
        <v>1</v>
      </c>
      <c r="C3578">
        <v>40</v>
      </c>
      <c r="D3578" t="str">
        <f>VLOOKUP($C3578,products!$A$1:$F$322,MATCH(order_items!$D$1,products!$A$1:$F$1,0),FALSE)</f>
        <v>Trek Fuel EX 9.8 29 - 2017</v>
      </c>
      <c r="E3578">
        <f>VLOOKUP($C3578,products!$A$1:$F$322,MATCH(order_items!$E$1,products!$A$1:$F$1,0),FALSE)</f>
        <v>6</v>
      </c>
      <c r="F3578" t="str">
        <f>VLOOKUP($E3578,categories!$A$1:$B$8,MATCH(order_items!$F$1,categories!$A$1:$B$1,0),FALSE)</f>
        <v>Mountain Bikes</v>
      </c>
      <c r="G3578">
        <v>1</v>
      </c>
      <c r="H3578">
        <v>4999.99</v>
      </c>
      <c r="I3578" s="5">
        <v>0.1</v>
      </c>
      <c r="J3578">
        <f t="shared" si="110"/>
        <v>4499.991</v>
      </c>
      <c r="K3578" s="9">
        <f t="shared" si="111"/>
        <v>2.7998877119074401</v>
      </c>
    </row>
    <row r="3579" spans="1:11" x14ac:dyDescent="0.3">
      <c r="A3579">
        <v>1238</v>
      </c>
      <c r="B3579">
        <v>2</v>
      </c>
      <c r="C3579">
        <v>14</v>
      </c>
      <c r="D3579" t="str">
        <f>VLOOKUP($C3579,products!$A$1:$F$322,MATCH(order_items!$D$1,products!$A$1:$F$1,0),FALSE)</f>
        <v>Electra Girl's Hawaii 1 (16-inch) - 2015/2016</v>
      </c>
      <c r="E3579">
        <f>VLOOKUP($C3579,products!$A$1:$F$322,MATCH(order_items!$E$1,products!$A$1:$F$1,0),FALSE)</f>
        <v>3</v>
      </c>
      <c r="F3579" t="str">
        <f>VLOOKUP($E3579,categories!$A$1:$B$8,MATCH(order_items!$F$1,categories!$A$1:$B$1,0),FALSE)</f>
        <v>Cruisers Bicycles</v>
      </c>
      <c r="G3579">
        <v>1</v>
      </c>
      <c r="H3579">
        <v>269.99</v>
      </c>
      <c r="I3579" s="5">
        <v>0.1</v>
      </c>
      <c r="J3579">
        <f t="shared" si="110"/>
        <v>242.99100000000001</v>
      </c>
      <c r="K3579" s="9">
        <f t="shared" si="111"/>
        <v>-0.69693888525532666</v>
      </c>
    </row>
    <row r="3580" spans="1:11" x14ac:dyDescent="0.3">
      <c r="A3580">
        <v>1238</v>
      </c>
      <c r="B3580">
        <v>3</v>
      </c>
      <c r="C3580">
        <v>99</v>
      </c>
      <c r="D3580" t="str">
        <f>VLOOKUP($C3580,products!$A$1:$F$322,MATCH(order_items!$D$1,products!$A$1:$F$1,0),FALSE)</f>
        <v>Electra Sugar Skulls 1 (20-inch) - Girl's - 2017</v>
      </c>
      <c r="E3580">
        <f>VLOOKUP($C3580,products!$A$1:$F$322,MATCH(order_items!$E$1,products!$A$1:$F$1,0),FALSE)</f>
        <v>1</v>
      </c>
      <c r="F3580" t="str">
        <f>VLOOKUP($E3580,categories!$A$1:$B$8,MATCH(order_items!$F$1,categories!$A$1:$B$1,0),FALSE)</f>
        <v>Children Bicycles</v>
      </c>
      <c r="G3580">
        <v>2</v>
      </c>
      <c r="H3580">
        <v>299.99</v>
      </c>
      <c r="I3580" s="5">
        <v>0.2</v>
      </c>
      <c r="J3580">
        <f t="shared" si="110"/>
        <v>479.98400000000004</v>
      </c>
      <c r="K3580" s="9">
        <f t="shared" si="111"/>
        <v>-0.67476028104499197</v>
      </c>
    </row>
    <row r="3581" spans="1:11" x14ac:dyDescent="0.3">
      <c r="A3581">
        <v>1238</v>
      </c>
      <c r="B3581">
        <v>4</v>
      </c>
      <c r="C3581">
        <v>101</v>
      </c>
      <c r="D3581" t="str">
        <f>VLOOKUP($C3581,products!$A$1:$F$322,MATCH(order_items!$D$1,products!$A$1:$F$1,0),FALSE)</f>
        <v>Electra Townie 7D (20-inch) - Boys' - 2017</v>
      </c>
      <c r="E3581">
        <f>VLOOKUP($C3581,products!$A$1:$F$322,MATCH(order_items!$E$1,products!$A$1:$F$1,0),FALSE)</f>
        <v>1</v>
      </c>
      <c r="F3581" t="str">
        <f>VLOOKUP($E3581,categories!$A$1:$B$8,MATCH(order_items!$F$1,categories!$A$1:$B$1,0),FALSE)</f>
        <v>Children Bicycles</v>
      </c>
      <c r="G3581">
        <v>1</v>
      </c>
      <c r="H3581">
        <v>339.99</v>
      </c>
      <c r="I3581" s="5">
        <v>0.1</v>
      </c>
      <c r="J3581">
        <f t="shared" si="110"/>
        <v>305.99100000000004</v>
      </c>
      <c r="K3581" s="9">
        <f t="shared" si="111"/>
        <v>-0.64518880876454576</v>
      </c>
    </row>
    <row r="3582" spans="1:11" x14ac:dyDescent="0.3">
      <c r="A3582">
        <v>1239</v>
      </c>
      <c r="B3582">
        <v>1</v>
      </c>
      <c r="C3582">
        <v>15</v>
      </c>
      <c r="D3582" t="str">
        <f>VLOOKUP($C3582,products!$A$1:$F$322,MATCH(order_items!$D$1,products!$A$1:$F$1,0),FALSE)</f>
        <v>Electra Moto 1 - 2016</v>
      </c>
      <c r="E3582">
        <f>VLOOKUP($C3582,products!$A$1:$F$322,MATCH(order_items!$E$1,products!$A$1:$F$1,0),FALSE)</f>
        <v>3</v>
      </c>
      <c r="F3582" t="str">
        <f>VLOOKUP($E3582,categories!$A$1:$B$8,MATCH(order_items!$F$1,categories!$A$1:$B$1,0),FALSE)</f>
        <v>Cruisers Bicycles</v>
      </c>
      <c r="G3582">
        <v>2</v>
      </c>
      <c r="H3582">
        <v>529.99</v>
      </c>
      <c r="I3582" s="5">
        <v>0.2</v>
      </c>
      <c r="J3582">
        <f t="shared" si="110"/>
        <v>847.98400000000004</v>
      </c>
      <c r="K3582" s="9">
        <f t="shared" si="111"/>
        <v>-0.50472431543242624</v>
      </c>
    </row>
    <row r="3583" spans="1:11" x14ac:dyDescent="0.3">
      <c r="A3583">
        <v>1239</v>
      </c>
      <c r="B3583">
        <v>2</v>
      </c>
      <c r="C3583">
        <v>91</v>
      </c>
      <c r="D3583" t="str">
        <f>VLOOKUP($C3583,products!$A$1:$F$322,MATCH(order_items!$D$1,products!$A$1:$F$1,0),FALSE)</f>
        <v>Trek Precaliber 24 (21-Speed) - Girls - 2017</v>
      </c>
      <c r="E3583">
        <f>VLOOKUP($C3583,products!$A$1:$F$322,MATCH(order_items!$E$1,products!$A$1:$F$1,0),FALSE)</f>
        <v>1</v>
      </c>
      <c r="F3583" t="str">
        <f>VLOOKUP($E3583,categories!$A$1:$B$8,MATCH(order_items!$F$1,categories!$A$1:$B$1,0),FALSE)</f>
        <v>Children Bicycles</v>
      </c>
      <c r="G3583">
        <v>1</v>
      </c>
      <c r="H3583">
        <v>349.99</v>
      </c>
      <c r="I3583" s="5">
        <v>0.1</v>
      </c>
      <c r="J3583">
        <f t="shared" si="110"/>
        <v>314.99100000000004</v>
      </c>
      <c r="K3583" s="9">
        <f t="shared" si="111"/>
        <v>-0.63779594069443424</v>
      </c>
    </row>
    <row r="3584" spans="1:11" x14ac:dyDescent="0.3">
      <c r="A3584">
        <v>1239</v>
      </c>
      <c r="B3584">
        <v>3</v>
      </c>
      <c r="C3584">
        <v>34</v>
      </c>
      <c r="D3584" t="str">
        <f>VLOOKUP($C3584,products!$A$1:$F$322,MATCH(order_items!$D$1,products!$A$1:$F$1,0),FALSE)</f>
        <v>Trek Session DH 27.5 Carbon Frameset - 2017</v>
      </c>
      <c r="E3584">
        <f>VLOOKUP($C3584,products!$A$1:$F$322,MATCH(order_items!$E$1,products!$A$1:$F$1,0),FALSE)</f>
        <v>6</v>
      </c>
      <c r="F3584" t="str">
        <f>VLOOKUP($E3584,categories!$A$1:$B$8,MATCH(order_items!$F$1,categories!$A$1:$B$1,0),FALSE)</f>
        <v>Mountain Bikes</v>
      </c>
      <c r="G3584">
        <v>2</v>
      </c>
      <c r="H3584">
        <v>469.99</v>
      </c>
      <c r="I3584" s="5">
        <v>0.1</v>
      </c>
      <c r="J3584">
        <f t="shared" si="110"/>
        <v>845.98200000000008</v>
      </c>
      <c r="K3584" s="9">
        <f t="shared" si="111"/>
        <v>-0.5490815238530955</v>
      </c>
    </row>
    <row r="3585" spans="1:11" x14ac:dyDescent="0.3">
      <c r="A3585">
        <v>1239</v>
      </c>
      <c r="B3585">
        <v>4</v>
      </c>
      <c r="C3585">
        <v>36</v>
      </c>
      <c r="D3585" t="str">
        <f>VLOOKUP($C3585,products!$A$1:$F$322,MATCH(order_items!$D$1,products!$A$1:$F$1,0),FALSE)</f>
        <v>Surly Troll Frameset - 2017</v>
      </c>
      <c r="E3585">
        <f>VLOOKUP($C3585,products!$A$1:$F$322,MATCH(order_items!$E$1,products!$A$1:$F$1,0),FALSE)</f>
        <v>6</v>
      </c>
      <c r="F3585" t="str">
        <f>VLOOKUP($E3585,categories!$A$1:$B$8,MATCH(order_items!$F$1,categories!$A$1:$B$1,0),FALSE)</f>
        <v>Mountain Bikes</v>
      </c>
      <c r="G3585">
        <v>1</v>
      </c>
      <c r="H3585">
        <v>832.99</v>
      </c>
      <c r="I3585" s="5">
        <v>0.05</v>
      </c>
      <c r="J3585">
        <f t="shared" si="110"/>
        <v>791.34050000000002</v>
      </c>
      <c r="K3585" s="9">
        <f t="shared" si="111"/>
        <v>-0.280720412908046</v>
      </c>
    </row>
    <row r="3586" spans="1:11" x14ac:dyDescent="0.3">
      <c r="A3586">
        <v>1240</v>
      </c>
      <c r="B3586">
        <v>1</v>
      </c>
      <c r="C3586">
        <v>107</v>
      </c>
      <c r="D3586" t="str">
        <f>VLOOKUP($C3586,products!$A$1:$F$322,MATCH(order_items!$D$1,products!$A$1:$F$1,0),FALSE)</f>
        <v>Sun Bicycles Cruz 7 - 2017</v>
      </c>
      <c r="E3586">
        <f>VLOOKUP($C3586,products!$A$1:$F$322,MATCH(order_items!$E$1,products!$A$1:$F$1,0),FALSE)</f>
        <v>2</v>
      </c>
      <c r="F3586" t="str">
        <f>VLOOKUP($E3586,categories!$A$1:$B$8,MATCH(order_items!$F$1,categories!$A$1:$B$1,0),FALSE)</f>
        <v>Comfort Bicycles</v>
      </c>
      <c r="G3586">
        <v>2</v>
      </c>
      <c r="H3586">
        <v>416.99</v>
      </c>
      <c r="I3586" s="5">
        <v>0.1</v>
      </c>
      <c r="J3586">
        <f t="shared" ref="J3586:J3649" si="112">G3586*H3586*(1-I3586)</f>
        <v>750.58199999999999</v>
      </c>
      <c r="K3586" s="9">
        <f t="shared" ref="K3586:K3649" si="113">($H3586-$M$7)/$M$9</f>
        <v>-0.58826372462468679</v>
      </c>
    </row>
    <row r="3587" spans="1:11" x14ac:dyDescent="0.3">
      <c r="A3587">
        <v>1240</v>
      </c>
      <c r="B3587">
        <v>2</v>
      </c>
      <c r="C3587">
        <v>23</v>
      </c>
      <c r="D3587" t="str">
        <f>VLOOKUP($C3587,products!$A$1:$F$322,MATCH(order_items!$D$1,products!$A$1:$F$1,0),FALSE)</f>
        <v>Electra Girl's Hawaii 1 (20-inch) - 2015/2016</v>
      </c>
      <c r="E3587">
        <f>VLOOKUP($C3587,products!$A$1:$F$322,MATCH(order_items!$E$1,products!$A$1:$F$1,0),FALSE)</f>
        <v>1</v>
      </c>
      <c r="F3587" t="str">
        <f>VLOOKUP($E3587,categories!$A$1:$B$8,MATCH(order_items!$F$1,categories!$A$1:$B$1,0),FALSE)</f>
        <v>Children Bicycles</v>
      </c>
      <c r="G3587">
        <v>2</v>
      </c>
      <c r="H3587">
        <v>299.99</v>
      </c>
      <c r="I3587" s="5">
        <v>0.05</v>
      </c>
      <c r="J3587">
        <f t="shared" si="112"/>
        <v>569.98099999999999</v>
      </c>
      <c r="K3587" s="9">
        <f t="shared" si="113"/>
        <v>-0.67476028104499197</v>
      </c>
    </row>
    <row r="3588" spans="1:11" x14ac:dyDescent="0.3">
      <c r="A3588">
        <v>1240</v>
      </c>
      <c r="B3588">
        <v>3</v>
      </c>
      <c r="C3588">
        <v>15</v>
      </c>
      <c r="D3588" t="str">
        <f>VLOOKUP($C3588,products!$A$1:$F$322,MATCH(order_items!$D$1,products!$A$1:$F$1,0),FALSE)</f>
        <v>Electra Moto 1 - 2016</v>
      </c>
      <c r="E3588">
        <f>VLOOKUP($C3588,products!$A$1:$F$322,MATCH(order_items!$E$1,products!$A$1:$F$1,0),FALSE)</f>
        <v>3</v>
      </c>
      <c r="F3588" t="str">
        <f>VLOOKUP($E3588,categories!$A$1:$B$8,MATCH(order_items!$F$1,categories!$A$1:$B$1,0),FALSE)</f>
        <v>Cruisers Bicycles</v>
      </c>
      <c r="G3588">
        <v>2</v>
      </c>
      <c r="H3588">
        <v>529.99</v>
      </c>
      <c r="I3588" s="5">
        <v>0.2</v>
      </c>
      <c r="J3588">
        <f t="shared" si="112"/>
        <v>847.98400000000004</v>
      </c>
      <c r="K3588" s="9">
        <f t="shared" si="113"/>
        <v>-0.50472431543242624</v>
      </c>
    </row>
    <row r="3589" spans="1:11" x14ac:dyDescent="0.3">
      <c r="A3589">
        <v>1240</v>
      </c>
      <c r="B3589">
        <v>4</v>
      </c>
      <c r="C3589">
        <v>77</v>
      </c>
      <c r="D3589" t="str">
        <f>VLOOKUP($C3589,products!$A$1:$F$322,MATCH(order_items!$D$1,products!$A$1:$F$1,0),FALSE)</f>
        <v>Electra Glam Punk 3i Ladies' - 2017</v>
      </c>
      <c r="E3589">
        <f>VLOOKUP($C3589,products!$A$1:$F$322,MATCH(order_items!$E$1,products!$A$1:$F$1,0),FALSE)</f>
        <v>3</v>
      </c>
      <c r="F3589" t="str">
        <f>VLOOKUP($E3589,categories!$A$1:$B$8,MATCH(order_items!$F$1,categories!$A$1:$B$1,0),FALSE)</f>
        <v>Cruisers Bicycles</v>
      </c>
      <c r="G3589">
        <v>2</v>
      </c>
      <c r="H3589">
        <v>799.99</v>
      </c>
      <c r="I3589" s="5">
        <v>0.05</v>
      </c>
      <c r="J3589">
        <f t="shared" si="112"/>
        <v>1519.981</v>
      </c>
      <c r="K3589" s="9">
        <f t="shared" si="113"/>
        <v>-0.30511687753941413</v>
      </c>
    </row>
    <row r="3590" spans="1:11" x14ac:dyDescent="0.3">
      <c r="A3590">
        <v>1240</v>
      </c>
      <c r="B3590">
        <v>5</v>
      </c>
      <c r="C3590">
        <v>57</v>
      </c>
      <c r="D3590" t="str">
        <f>VLOOKUP($C3590,products!$A$1:$F$322,MATCH(order_items!$D$1,products!$A$1:$F$1,0),FALSE)</f>
        <v>Trek Emonda S 5 - 2017</v>
      </c>
      <c r="E3590">
        <f>VLOOKUP($C3590,products!$A$1:$F$322,MATCH(order_items!$E$1,products!$A$1:$F$1,0),FALSE)</f>
        <v>7</v>
      </c>
      <c r="F3590" t="str">
        <f>VLOOKUP($E3590,categories!$A$1:$B$8,MATCH(order_items!$F$1,categories!$A$1:$B$1,0),FALSE)</f>
        <v>Road Bikes</v>
      </c>
      <c r="G3590">
        <v>1</v>
      </c>
      <c r="H3590">
        <v>1999.99</v>
      </c>
      <c r="I3590" s="5">
        <v>0.05</v>
      </c>
      <c r="J3590">
        <f t="shared" si="112"/>
        <v>1899.9904999999999</v>
      </c>
      <c r="K3590" s="9">
        <f t="shared" si="113"/>
        <v>0.58202729087397276</v>
      </c>
    </row>
    <row r="3591" spans="1:11" x14ac:dyDescent="0.3">
      <c r="A3591">
        <v>1241</v>
      </c>
      <c r="B3591">
        <v>1</v>
      </c>
      <c r="C3591">
        <v>74</v>
      </c>
      <c r="D3591" t="str">
        <f>VLOOKUP($C3591,products!$A$1:$F$322,MATCH(order_items!$D$1,products!$A$1:$F$1,0),FALSE)</f>
        <v>Electra Cruiser Lux 1 - 2017</v>
      </c>
      <c r="E3591">
        <f>VLOOKUP($C3591,products!$A$1:$F$322,MATCH(order_items!$E$1,products!$A$1:$F$1,0),FALSE)</f>
        <v>3</v>
      </c>
      <c r="F3591" t="str">
        <f>VLOOKUP($E3591,categories!$A$1:$B$8,MATCH(order_items!$F$1,categories!$A$1:$B$1,0),FALSE)</f>
        <v>Cruisers Bicycles</v>
      </c>
      <c r="G3591">
        <v>1</v>
      </c>
      <c r="H3591">
        <v>439.99</v>
      </c>
      <c r="I3591" s="5">
        <v>0.05</v>
      </c>
      <c r="J3591">
        <f t="shared" si="112"/>
        <v>417.9905</v>
      </c>
      <c r="K3591" s="9">
        <f t="shared" si="113"/>
        <v>-0.57126012806343018</v>
      </c>
    </row>
    <row r="3592" spans="1:11" x14ac:dyDescent="0.3">
      <c r="A3592">
        <v>1241</v>
      </c>
      <c r="B3592">
        <v>2</v>
      </c>
      <c r="C3592">
        <v>71</v>
      </c>
      <c r="D3592" t="str">
        <f>VLOOKUP($C3592,products!$A$1:$F$322,MATCH(order_items!$D$1,products!$A$1:$F$1,0),FALSE)</f>
        <v>Sun Bicycles Atlas X-Type - 2017</v>
      </c>
      <c r="E3592">
        <f>VLOOKUP($C3592,products!$A$1:$F$322,MATCH(order_items!$E$1,products!$A$1:$F$1,0),FALSE)</f>
        <v>3</v>
      </c>
      <c r="F3592" t="str">
        <f>VLOOKUP($E3592,categories!$A$1:$B$8,MATCH(order_items!$F$1,categories!$A$1:$B$1,0),FALSE)</f>
        <v>Cruisers Bicycles</v>
      </c>
      <c r="G3592">
        <v>2</v>
      </c>
      <c r="H3592">
        <v>416.99</v>
      </c>
      <c r="I3592" s="5">
        <v>0.05</v>
      </c>
      <c r="J3592">
        <f t="shared" si="112"/>
        <v>792.28099999999995</v>
      </c>
      <c r="K3592" s="9">
        <f t="shared" si="113"/>
        <v>-0.58826372462468679</v>
      </c>
    </row>
    <row r="3593" spans="1:11" x14ac:dyDescent="0.3">
      <c r="A3593">
        <v>1242</v>
      </c>
      <c r="B3593">
        <v>1</v>
      </c>
      <c r="C3593">
        <v>94</v>
      </c>
      <c r="D3593" t="str">
        <f>VLOOKUP($C3593,products!$A$1:$F$322,MATCH(order_items!$D$1,products!$A$1:$F$1,0),FALSE)</f>
        <v>Haro Shredder Pro 20 - 2017</v>
      </c>
      <c r="E3593">
        <f>VLOOKUP($C3593,products!$A$1:$F$322,MATCH(order_items!$E$1,products!$A$1:$F$1,0),FALSE)</f>
        <v>1</v>
      </c>
      <c r="F3593" t="str">
        <f>VLOOKUP($E3593,categories!$A$1:$B$8,MATCH(order_items!$F$1,categories!$A$1:$B$1,0),FALSE)</f>
        <v>Children Bicycles</v>
      </c>
      <c r="G3593">
        <v>1</v>
      </c>
      <c r="H3593">
        <v>249.99</v>
      </c>
      <c r="I3593" s="5">
        <v>0.05</v>
      </c>
      <c r="J3593">
        <f t="shared" si="112"/>
        <v>237.4905</v>
      </c>
      <c r="K3593" s="9">
        <f t="shared" si="113"/>
        <v>-0.71172462139554982</v>
      </c>
    </row>
    <row r="3594" spans="1:11" x14ac:dyDescent="0.3">
      <c r="A3594">
        <v>1242</v>
      </c>
      <c r="B3594">
        <v>2</v>
      </c>
      <c r="C3594">
        <v>27</v>
      </c>
      <c r="D3594" t="str">
        <f>VLOOKUP($C3594,products!$A$1:$F$322,MATCH(order_items!$D$1,products!$A$1:$F$1,0),FALSE)</f>
        <v>Surly Big Dummy Frameset - 2017</v>
      </c>
      <c r="E3594">
        <f>VLOOKUP($C3594,products!$A$1:$F$322,MATCH(order_items!$E$1,products!$A$1:$F$1,0),FALSE)</f>
        <v>6</v>
      </c>
      <c r="F3594" t="str">
        <f>VLOOKUP($E3594,categories!$A$1:$B$8,MATCH(order_items!$F$1,categories!$A$1:$B$1,0),FALSE)</f>
        <v>Mountain Bikes</v>
      </c>
      <c r="G3594">
        <v>1</v>
      </c>
      <c r="H3594">
        <v>999.99</v>
      </c>
      <c r="I3594" s="5">
        <v>7.0000000000000007E-2</v>
      </c>
      <c r="J3594">
        <f t="shared" si="112"/>
        <v>929.99069999999995</v>
      </c>
      <c r="K3594" s="9">
        <f t="shared" si="113"/>
        <v>-0.15725951613718298</v>
      </c>
    </row>
    <row r="3595" spans="1:11" x14ac:dyDescent="0.3">
      <c r="A3595">
        <v>1242</v>
      </c>
      <c r="B3595">
        <v>3</v>
      </c>
      <c r="C3595">
        <v>10</v>
      </c>
      <c r="D3595" t="str">
        <f>VLOOKUP($C3595,products!$A$1:$F$322,MATCH(order_items!$D$1,products!$A$1:$F$1,0),FALSE)</f>
        <v>Surly Straggler - 2016</v>
      </c>
      <c r="E3595">
        <f>VLOOKUP($C3595,products!$A$1:$F$322,MATCH(order_items!$E$1,products!$A$1:$F$1,0),FALSE)</f>
        <v>4</v>
      </c>
      <c r="F3595" t="str">
        <f>VLOOKUP($E3595,categories!$A$1:$B$8,MATCH(order_items!$F$1,categories!$A$1:$B$1,0),FALSE)</f>
        <v>Cyclocross Bicycles</v>
      </c>
      <c r="G3595">
        <v>1</v>
      </c>
      <c r="H3595">
        <v>1549</v>
      </c>
      <c r="I3595" s="5">
        <v>7.0000000000000007E-2</v>
      </c>
      <c r="J3595">
        <f t="shared" si="112"/>
        <v>1440.57</v>
      </c>
      <c r="K3595" s="9">
        <f t="shared" si="113"/>
        <v>0.24861633378001166</v>
      </c>
    </row>
    <row r="3596" spans="1:11" x14ac:dyDescent="0.3">
      <c r="A3596">
        <v>1242</v>
      </c>
      <c r="B3596">
        <v>4</v>
      </c>
      <c r="C3596">
        <v>70</v>
      </c>
      <c r="D3596" t="str">
        <f>VLOOKUP($C3596,products!$A$1:$F$322,MATCH(order_items!$D$1,products!$A$1:$F$1,0),FALSE)</f>
        <v>Electra Amsterdam Original 3i - 2015/2017</v>
      </c>
      <c r="E3596">
        <f>VLOOKUP($C3596,products!$A$1:$F$322,MATCH(order_items!$E$1,products!$A$1:$F$1,0),FALSE)</f>
        <v>3</v>
      </c>
      <c r="F3596" t="str">
        <f>VLOOKUP($E3596,categories!$A$1:$B$8,MATCH(order_items!$F$1,categories!$A$1:$B$1,0),FALSE)</f>
        <v>Cruisers Bicycles</v>
      </c>
      <c r="G3596">
        <v>1</v>
      </c>
      <c r="H3596">
        <v>659.99</v>
      </c>
      <c r="I3596" s="5">
        <v>0.2</v>
      </c>
      <c r="J3596">
        <f t="shared" si="112"/>
        <v>527.99200000000008</v>
      </c>
      <c r="K3596" s="9">
        <f t="shared" si="113"/>
        <v>-0.40861703052097592</v>
      </c>
    </row>
    <row r="3597" spans="1:11" x14ac:dyDescent="0.3">
      <c r="A3597">
        <v>1243</v>
      </c>
      <c r="B3597">
        <v>1</v>
      </c>
      <c r="C3597">
        <v>44</v>
      </c>
      <c r="D3597" t="str">
        <f>VLOOKUP($C3597,products!$A$1:$F$322,MATCH(order_items!$D$1,products!$A$1:$F$1,0),FALSE)</f>
        <v>Haro SR 1.1 - 2017</v>
      </c>
      <c r="E3597">
        <f>VLOOKUP($C3597,products!$A$1:$F$322,MATCH(order_items!$E$1,products!$A$1:$F$1,0),FALSE)</f>
        <v>6</v>
      </c>
      <c r="F3597" t="str">
        <f>VLOOKUP($E3597,categories!$A$1:$B$8,MATCH(order_items!$F$1,categories!$A$1:$B$1,0),FALSE)</f>
        <v>Mountain Bikes</v>
      </c>
      <c r="G3597">
        <v>1</v>
      </c>
      <c r="H3597">
        <v>539.99</v>
      </c>
      <c r="I3597" s="5">
        <v>7.0000000000000007E-2</v>
      </c>
      <c r="J3597">
        <f t="shared" si="112"/>
        <v>502.19069999999999</v>
      </c>
      <c r="K3597" s="9">
        <f t="shared" si="113"/>
        <v>-0.49733144736231466</v>
      </c>
    </row>
    <row r="3598" spans="1:11" x14ac:dyDescent="0.3">
      <c r="A3598">
        <v>1244</v>
      </c>
      <c r="B3598">
        <v>1</v>
      </c>
      <c r="C3598">
        <v>45</v>
      </c>
      <c r="D3598" t="str">
        <f>VLOOKUP($C3598,products!$A$1:$F$322,MATCH(order_items!$D$1,products!$A$1:$F$1,0),FALSE)</f>
        <v>Haro SR 1.2 - 2017</v>
      </c>
      <c r="E3598">
        <f>VLOOKUP($C3598,products!$A$1:$F$322,MATCH(order_items!$E$1,products!$A$1:$F$1,0),FALSE)</f>
        <v>6</v>
      </c>
      <c r="F3598" t="str">
        <f>VLOOKUP($E3598,categories!$A$1:$B$8,MATCH(order_items!$F$1,categories!$A$1:$B$1,0),FALSE)</f>
        <v>Mountain Bikes</v>
      </c>
      <c r="G3598">
        <v>1</v>
      </c>
      <c r="H3598">
        <v>869.99</v>
      </c>
      <c r="I3598" s="5">
        <v>0.2</v>
      </c>
      <c r="J3598">
        <f t="shared" si="112"/>
        <v>695.99200000000008</v>
      </c>
      <c r="K3598" s="9">
        <f t="shared" si="113"/>
        <v>-0.25336680104863324</v>
      </c>
    </row>
    <row r="3599" spans="1:11" x14ac:dyDescent="0.3">
      <c r="A3599">
        <v>1244</v>
      </c>
      <c r="B3599">
        <v>2</v>
      </c>
      <c r="C3599">
        <v>38</v>
      </c>
      <c r="D3599" t="str">
        <f>VLOOKUP($C3599,products!$A$1:$F$322,MATCH(order_items!$D$1,products!$A$1:$F$1,0),FALSE)</f>
        <v>Haro Flightline Two 26 Plus - 2017</v>
      </c>
      <c r="E3599">
        <f>VLOOKUP($C3599,products!$A$1:$F$322,MATCH(order_items!$E$1,products!$A$1:$F$1,0),FALSE)</f>
        <v>6</v>
      </c>
      <c r="F3599" t="str">
        <f>VLOOKUP($E3599,categories!$A$1:$B$8,MATCH(order_items!$F$1,categories!$A$1:$B$1,0),FALSE)</f>
        <v>Mountain Bikes</v>
      </c>
      <c r="G3599">
        <v>2</v>
      </c>
      <c r="H3599">
        <v>549.99</v>
      </c>
      <c r="I3599" s="5">
        <v>7.0000000000000007E-2</v>
      </c>
      <c r="J3599">
        <f t="shared" si="112"/>
        <v>1022.9813999999999</v>
      </c>
      <c r="K3599" s="9">
        <f t="shared" si="113"/>
        <v>-0.48993857929220308</v>
      </c>
    </row>
    <row r="3600" spans="1:11" x14ac:dyDescent="0.3">
      <c r="A3600">
        <v>1244</v>
      </c>
      <c r="B3600">
        <v>3</v>
      </c>
      <c r="C3600">
        <v>33</v>
      </c>
      <c r="D3600" t="str">
        <f>VLOOKUP($C3600,products!$A$1:$F$322,MATCH(order_items!$D$1,products!$A$1:$F$1,0),FALSE)</f>
        <v>Surly Wednesday Frameset - 2017</v>
      </c>
      <c r="E3600">
        <f>VLOOKUP($C3600,products!$A$1:$F$322,MATCH(order_items!$E$1,products!$A$1:$F$1,0),FALSE)</f>
        <v>6</v>
      </c>
      <c r="F3600" t="str">
        <f>VLOOKUP($E3600,categories!$A$1:$B$8,MATCH(order_items!$F$1,categories!$A$1:$B$1,0),FALSE)</f>
        <v>Mountain Bikes</v>
      </c>
      <c r="G3600">
        <v>1</v>
      </c>
      <c r="H3600">
        <v>469.99</v>
      </c>
      <c r="I3600" s="5">
        <v>7.0000000000000007E-2</v>
      </c>
      <c r="J3600">
        <f t="shared" si="112"/>
        <v>437.09069999999997</v>
      </c>
      <c r="K3600" s="9">
        <f t="shared" si="113"/>
        <v>-0.5490815238530955</v>
      </c>
    </row>
    <row r="3601" spans="1:11" x14ac:dyDescent="0.3">
      <c r="A3601">
        <v>1244</v>
      </c>
      <c r="B3601">
        <v>4</v>
      </c>
      <c r="C3601">
        <v>37</v>
      </c>
      <c r="D3601" t="str">
        <f>VLOOKUP($C3601,products!$A$1:$F$322,MATCH(order_items!$D$1,products!$A$1:$F$1,0),FALSE)</f>
        <v>Haro Flightline One ST - 2017</v>
      </c>
      <c r="E3601">
        <f>VLOOKUP($C3601,products!$A$1:$F$322,MATCH(order_items!$E$1,products!$A$1:$F$1,0),FALSE)</f>
        <v>6</v>
      </c>
      <c r="F3601" t="str">
        <f>VLOOKUP($E3601,categories!$A$1:$B$8,MATCH(order_items!$F$1,categories!$A$1:$B$1,0),FALSE)</f>
        <v>Mountain Bikes</v>
      </c>
      <c r="G3601">
        <v>2</v>
      </c>
      <c r="H3601">
        <v>379.99</v>
      </c>
      <c r="I3601" s="5">
        <v>0.1</v>
      </c>
      <c r="J3601">
        <f t="shared" si="112"/>
        <v>683.98200000000008</v>
      </c>
      <c r="K3601" s="9">
        <f t="shared" si="113"/>
        <v>-0.61561733648409955</v>
      </c>
    </row>
    <row r="3602" spans="1:11" x14ac:dyDescent="0.3">
      <c r="A3602">
        <v>1245</v>
      </c>
      <c r="B3602">
        <v>1</v>
      </c>
      <c r="C3602">
        <v>13</v>
      </c>
      <c r="D3602" t="str">
        <f>VLOOKUP($C3602,products!$A$1:$F$322,MATCH(order_items!$D$1,products!$A$1:$F$1,0),FALSE)</f>
        <v>Electra Cruiser 1 (24-Inch) - 2016</v>
      </c>
      <c r="E3602">
        <f>VLOOKUP($C3602,products!$A$1:$F$322,MATCH(order_items!$E$1,products!$A$1:$F$1,0),FALSE)</f>
        <v>3</v>
      </c>
      <c r="F3602" t="str">
        <f>VLOOKUP($E3602,categories!$A$1:$B$8,MATCH(order_items!$F$1,categories!$A$1:$B$1,0),FALSE)</f>
        <v>Cruisers Bicycles</v>
      </c>
      <c r="G3602">
        <v>1</v>
      </c>
      <c r="H3602">
        <v>269.99</v>
      </c>
      <c r="I3602" s="5">
        <v>0.1</v>
      </c>
      <c r="J3602">
        <f t="shared" si="112"/>
        <v>242.99100000000001</v>
      </c>
      <c r="K3602" s="9">
        <f t="shared" si="113"/>
        <v>-0.69693888525532666</v>
      </c>
    </row>
    <row r="3603" spans="1:11" x14ac:dyDescent="0.3">
      <c r="A3603">
        <v>1246</v>
      </c>
      <c r="B3603">
        <v>1</v>
      </c>
      <c r="C3603">
        <v>78</v>
      </c>
      <c r="D3603" t="str">
        <f>VLOOKUP($C3603,products!$A$1:$F$322,MATCH(order_items!$D$1,products!$A$1:$F$1,0),FALSE)</f>
        <v>Sun Bicycles Biscayne Tandem CB - 2017</v>
      </c>
      <c r="E3603">
        <f>VLOOKUP($C3603,products!$A$1:$F$322,MATCH(order_items!$E$1,products!$A$1:$F$1,0),FALSE)</f>
        <v>3</v>
      </c>
      <c r="F3603" t="str">
        <f>VLOOKUP($E3603,categories!$A$1:$B$8,MATCH(order_items!$F$1,categories!$A$1:$B$1,0),FALSE)</f>
        <v>Cruisers Bicycles</v>
      </c>
      <c r="G3603">
        <v>2</v>
      </c>
      <c r="H3603">
        <v>647.99</v>
      </c>
      <c r="I3603" s="5">
        <v>0.2</v>
      </c>
      <c r="J3603">
        <f t="shared" si="112"/>
        <v>1036.7840000000001</v>
      </c>
      <c r="K3603" s="9">
        <f t="shared" si="113"/>
        <v>-0.41748847220510982</v>
      </c>
    </row>
    <row r="3604" spans="1:11" x14ac:dyDescent="0.3">
      <c r="A3604">
        <v>1246</v>
      </c>
      <c r="B3604">
        <v>2</v>
      </c>
      <c r="C3604">
        <v>46</v>
      </c>
      <c r="D3604" t="str">
        <f>VLOOKUP($C3604,products!$A$1:$F$322,MATCH(order_items!$D$1,products!$A$1:$F$1,0),FALSE)</f>
        <v>Haro SR 1.3 - 2017</v>
      </c>
      <c r="E3604">
        <f>VLOOKUP($C3604,products!$A$1:$F$322,MATCH(order_items!$E$1,products!$A$1:$F$1,0),FALSE)</f>
        <v>6</v>
      </c>
      <c r="F3604" t="str">
        <f>VLOOKUP($E3604,categories!$A$1:$B$8,MATCH(order_items!$F$1,categories!$A$1:$B$1,0),FALSE)</f>
        <v>Mountain Bikes</v>
      </c>
      <c r="G3604">
        <v>1</v>
      </c>
      <c r="H3604">
        <v>1409.99</v>
      </c>
      <c r="I3604" s="5">
        <v>0.05</v>
      </c>
      <c r="J3604">
        <f t="shared" si="112"/>
        <v>1339.4904999999999</v>
      </c>
      <c r="K3604" s="9">
        <f t="shared" si="113"/>
        <v>0.14584807473739089</v>
      </c>
    </row>
    <row r="3605" spans="1:11" x14ac:dyDescent="0.3">
      <c r="A3605">
        <v>1246</v>
      </c>
      <c r="B3605">
        <v>3</v>
      </c>
      <c r="C3605">
        <v>45</v>
      </c>
      <c r="D3605" t="str">
        <f>VLOOKUP($C3605,products!$A$1:$F$322,MATCH(order_items!$D$1,products!$A$1:$F$1,0),FALSE)</f>
        <v>Haro SR 1.2 - 2017</v>
      </c>
      <c r="E3605">
        <f>VLOOKUP($C3605,products!$A$1:$F$322,MATCH(order_items!$E$1,products!$A$1:$F$1,0),FALSE)</f>
        <v>6</v>
      </c>
      <c r="F3605" t="str">
        <f>VLOOKUP($E3605,categories!$A$1:$B$8,MATCH(order_items!$F$1,categories!$A$1:$B$1,0),FALSE)</f>
        <v>Mountain Bikes</v>
      </c>
      <c r="G3605">
        <v>2</v>
      </c>
      <c r="H3605">
        <v>869.99</v>
      </c>
      <c r="I3605" s="5">
        <v>7.0000000000000007E-2</v>
      </c>
      <c r="J3605">
        <f t="shared" si="112"/>
        <v>1618.1813999999999</v>
      </c>
      <c r="K3605" s="9">
        <f t="shared" si="113"/>
        <v>-0.25336680104863324</v>
      </c>
    </row>
    <row r="3606" spans="1:11" x14ac:dyDescent="0.3">
      <c r="A3606">
        <v>1247</v>
      </c>
      <c r="B3606">
        <v>1</v>
      </c>
      <c r="C3606">
        <v>15</v>
      </c>
      <c r="D3606" t="str">
        <f>VLOOKUP($C3606,products!$A$1:$F$322,MATCH(order_items!$D$1,products!$A$1:$F$1,0),FALSE)</f>
        <v>Electra Moto 1 - 2016</v>
      </c>
      <c r="E3606">
        <f>VLOOKUP($C3606,products!$A$1:$F$322,MATCH(order_items!$E$1,products!$A$1:$F$1,0),FALSE)</f>
        <v>3</v>
      </c>
      <c r="F3606" t="str">
        <f>VLOOKUP($E3606,categories!$A$1:$B$8,MATCH(order_items!$F$1,categories!$A$1:$B$1,0),FALSE)</f>
        <v>Cruisers Bicycles</v>
      </c>
      <c r="G3606">
        <v>2</v>
      </c>
      <c r="H3606">
        <v>529.99</v>
      </c>
      <c r="I3606" s="5">
        <v>0.1</v>
      </c>
      <c r="J3606">
        <f t="shared" si="112"/>
        <v>953.98200000000008</v>
      </c>
      <c r="K3606" s="9">
        <f t="shared" si="113"/>
        <v>-0.50472431543242624</v>
      </c>
    </row>
    <row r="3607" spans="1:11" x14ac:dyDescent="0.3">
      <c r="A3607">
        <v>1247</v>
      </c>
      <c r="B3607">
        <v>2</v>
      </c>
      <c r="C3607">
        <v>28</v>
      </c>
      <c r="D3607" t="str">
        <f>VLOOKUP($C3607,products!$A$1:$F$322,MATCH(order_items!$D$1,products!$A$1:$F$1,0),FALSE)</f>
        <v>Surly Karate Monkey 27.5+ Frameset - 2017</v>
      </c>
      <c r="E3607">
        <f>VLOOKUP($C3607,products!$A$1:$F$322,MATCH(order_items!$E$1,products!$A$1:$F$1,0),FALSE)</f>
        <v>6</v>
      </c>
      <c r="F3607" t="str">
        <f>VLOOKUP($E3607,categories!$A$1:$B$8,MATCH(order_items!$F$1,categories!$A$1:$B$1,0),FALSE)</f>
        <v>Mountain Bikes</v>
      </c>
      <c r="G3607">
        <v>2</v>
      </c>
      <c r="H3607">
        <v>2499.9899999999998</v>
      </c>
      <c r="I3607" s="5">
        <v>0.1</v>
      </c>
      <c r="J3607">
        <f t="shared" si="112"/>
        <v>4499.982</v>
      </c>
      <c r="K3607" s="9">
        <f t="shared" si="113"/>
        <v>0.95167069437955054</v>
      </c>
    </row>
    <row r="3608" spans="1:11" x14ac:dyDescent="0.3">
      <c r="A3608">
        <v>1247</v>
      </c>
      <c r="B3608">
        <v>3</v>
      </c>
      <c r="C3608">
        <v>26</v>
      </c>
      <c r="D3608" t="str">
        <f>VLOOKUP($C3608,products!$A$1:$F$322,MATCH(order_items!$D$1,products!$A$1:$F$1,0),FALSE)</f>
        <v>Electra Townie Original 7D EQ - 2016</v>
      </c>
      <c r="E3608">
        <f>VLOOKUP($C3608,products!$A$1:$F$322,MATCH(order_items!$E$1,products!$A$1:$F$1,0),FALSE)</f>
        <v>2</v>
      </c>
      <c r="F3608" t="str">
        <f>VLOOKUP($E3608,categories!$A$1:$B$8,MATCH(order_items!$F$1,categories!$A$1:$B$1,0),FALSE)</f>
        <v>Comfort Bicycles</v>
      </c>
      <c r="G3608">
        <v>1</v>
      </c>
      <c r="H3608">
        <v>599.99</v>
      </c>
      <c r="I3608" s="5">
        <v>0.05</v>
      </c>
      <c r="J3608">
        <f t="shared" si="112"/>
        <v>569.9905</v>
      </c>
      <c r="K3608" s="9">
        <f t="shared" si="113"/>
        <v>-0.45297423894164529</v>
      </c>
    </row>
    <row r="3609" spans="1:11" x14ac:dyDescent="0.3">
      <c r="A3609">
        <v>1248</v>
      </c>
      <c r="B3609">
        <v>1</v>
      </c>
      <c r="C3609">
        <v>94</v>
      </c>
      <c r="D3609" t="str">
        <f>VLOOKUP($C3609,products!$A$1:$F$322,MATCH(order_items!$D$1,products!$A$1:$F$1,0),FALSE)</f>
        <v>Haro Shredder Pro 20 - 2017</v>
      </c>
      <c r="E3609">
        <f>VLOOKUP($C3609,products!$A$1:$F$322,MATCH(order_items!$E$1,products!$A$1:$F$1,0),FALSE)</f>
        <v>1</v>
      </c>
      <c r="F3609" t="str">
        <f>VLOOKUP($E3609,categories!$A$1:$B$8,MATCH(order_items!$F$1,categories!$A$1:$B$1,0),FALSE)</f>
        <v>Children Bicycles</v>
      </c>
      <c r="G3609">
        <v>2</v>
      </c>
      <c r="H3609">
        <v>249.99</v>
      </c>
      <c r="I3609" s="5">
        <v>0.05</v>
      </c>
      <c r="J3609">
        <f t="shared" si="112"/>
        <v>474.98099999999999</v>
      </c>
      <c r="K3609" s="9">
        <f t="shared" si="113"/>
        <v>-0.71172462139554982</v>
      </c>
    </row>
    <row r="3610" spans="1:11" x14ac:dyDescent="0.3">
      <c r="A3610">
        <v>1248</v>
      </c>
      <c r="B3610">
        <v>2</v>
      </c>
      <c r="C3610">
        <v>33</v>
      </c>
      <c r="D3610" t="str">
        <f>VLOOKUP($C3610,products!$A$1:$F$322,MATCH(order_items!$D$1,products!$A$1:$F$1,0),FALSE)</f>
        <v>Surly Wednesday Frameset - 2017</v>
      </c>
      <c r="E3610">
        <f>VLOOKUP($C3610,products!$A$1:$F$322,MATCH(order_items!$E$1,products!$A$1:$F$1,0),FALSE)</f>
        <v>6</v>
      </c>
      <c r="F3610" t="str">
        <f>VLOOKUP($E3610,categories!$A$1:$B$8,MATCH(order_items!$F$1,categories!$A$1:$B$1,0),FALSE)</f>
        <v>Mountain Bikes</v>
      </c>
      <c r="G3610">
        <v>2</v>
      </c>
      <c r="H3610">
        <v>469.99</v>
      </c>
      <c r="I3610" s="5">
        <v>0.1</v>
      </c>
      <c r="J3610">
        <f t="shared" si="112"/>
        <v>845.98200000000008</v>
      </c>
      <c r="K3610" s="9">
        <f t="shared" si="113"/>
        <v>-0.5490815238530955</v>
      </c>
    </row>
    <row r="3611" spans="1:11" x14ac:dyDescent="0.3">
      <c r="A3611">
        <v>1248</v>
      </c>
      <c r="B3611">
        <v>3</v>
      </c>
      <c r="C3611">
        <v>92</v>
      </c>
      <c r="D3611" t="str">
        <f>VLOOKUP($C3611,products!$A$1:$F$322,MATCH(order_items!$D$1,products!$A$1:$F$1,0),FALSE)</f>
        <v>Haro Shredder 20 - 2017</v>
      </c>
      <c r="E3611">
        <f>VLOOKUP($C3611,products!$A$1:$F$322,MATCH(order_items!$E$1,products!$A$1:$F$1,0),FALSE)</f>
        <v>1</v>
      </c>
      <c r="F3611" t="str">
        <f>VLOOKUP($E3611,categories!$A$1:$B$8,MATCH(order_items!$F$1,categories!$A$1:$B$1,0),FALSE)</f>
        <v>Children Bicycles</v>
      </c>
      <c r="G3611">
        <v>1</v>
      </c>
      <c r="H3611">
        <v>209.99</v>
      </c>
      <c r="I3611" s="5">
        <v>0.1</v>
      </c>
      <c r="J3611">
        <f t="shared" si="112"/>
        <v>188.99100000000001</v>
      </c>
      <c r="K3611" s="9">
        <f t="shared" si="113"/>
        <v>-0.74129609367599603</v>
      </c>
    </row>
    <row r="3612" spans="1:11" x14ac:dyDescent="0.3">
      <c r="A3612">
        <v>1248</v>
      </c>
      <c r="B3612">
        <v>4</v>
      </c>
      <c r="C3612">
        <v>12</v>
      </c>
      <c r="D3612" t="str">
        <f>VLOOKUP($C3612,products!$A$1:$F$322,MATCH(order_items!$D$1,products!$A$1:$F$1,0),FALSE)</f>
        <v>Electra Townie Original 21D - 2016</v>
      </c>
      <c r="E3612">
        <f>VLOOKUP($C3612,products!$A$1:$F$322,MATCH(order_items!$E$1,products!$A$1:$F$1,0),FALSE)</f>
        <v>3</v>
      </c>
      <c r="F3612" t="str">
        <f>VLOOKUP($E3612,categories!$A$1:$B$8,MATCH(order_items!$F$1,categories!$A$1:$B$1,0),FALSE)</f>
        <v>Cruisers Bicycles</v>
      </c>
      <c r="G3612">
        <v>1</v>
      </c>
      <c r="H3612">
        <v>549.99</v>
      </c>
      <c r="I3612" s="5">
        <v>0.05</v>
      </c>
      <c r="J3612">
        <f t="shared" si="112"/>
        <v>522.4905</v>
      </c>
      <c r="K3612" s="9">
        <f t="shared" si="113"/>
        <v>-0.48993857929220308</v>
      </c>
    </row>
    <row r="3613" spans="1:11" x14ac:dyDescent="0.3">
      <c r="A3613">
        <v>1249</v>
      </c>
      <c r="B3613">
        <v>1</v>
      </c>
      <c r="C3613">
        <v>62</v>
      </c>
      <c r="D3613" t="str">
        <f>VLOOKUP($C3613,products!$A$1:$F$322,MATCH(order_items!$D$1,products!$A$1:$F$1,0),FALSE)</f>
        <v>Trek Boone 7 - 2017</v>
      </c>
      <c r="E3613">
        <f>VLOOKUP($C3613,products!$A$1:$F$322,MATCH(order_items!$E$1,products!$A$1:$F$1,0),FALSE)</f>
        <v>4</v>
      </c>
      <c r="F3613" t="str">
        <f>VLOOKUP($E3613,categories!$A$1:$B$8,MATCH(order_items!$F$1,categories!$A$1:$B$1,0),FALSE)</f>
        <v>Cyclocross Bicycles</v>
      </c>
      <c r="G3613">
        <v>1</v>
      </c>
      <c r="H3613">
        <v>3499.99</v>
      </c>
      <c r="I3613" s="5">
        <v>0.05</v>
      </c>
      <c r="J3613">
        <f t="shared" si="112"/>
        <v>3324.9904999999994</v>
      </c>
      <c r="K3613" s="9">
        <f t="shared" si="113"/>
        <v>1.6909575013907066</v>
      </c>
    </row>
    <row r="3614" spans="1:11" x14ac:dyDescent="0.3">
      <c r="A3614">
        <v>1249</v>
      </c>
      <c r="B3614">
        <v>2</v>
      </c>
      <c r="C3614">
        <v>104</v>
      </c>
      <c r="D3614" t="str">
        <f>VLOOKUP($C3614,products!$A$1:$F$322,MATCH(order_items!$D$1,products!$A$1:$F$1,0),FALSE)</f>
        <v>Sun Bicycles Streamway - 2017</v>
      </c>
      <c r="E3614">
        <f>VLOOKUP($C3614,products!$A$1:$F$322,MATCH(order_items!$E$1,products!$A$1:$F$1,0),FALSE)</f>
        <v>2</v>
      </c>
      <c r="F3614" t="str">
        <f>VLOOKUP($E3614,categories!$A$1:$B$8,MATCH(order_items!$F$1,categories!$A$1:$B$1,0),FALSE)</f>
        <v>Comfort Bicycles</v>
      </c>
      <c r="G3614">
        <v>1</v>
      </c>
      <c r="H3614">
        <v>481.99</v>
      </c>
      <c r="I3614" s="5">
        <v>0.05</v>
      </c>
      <c r="J3614">
        <f t="shared" si="112"/>
        <v>457.89049999999997</v>
      </c>
      <c r="K3614" s="9">
        <f t="shared" si="113"/>
        <v>-0.54021008216896171</v>
      </c>
    </row>
    <row r="3615" spans="1:11" x14ac:dyDescent="0.3">
      <c r="A3615">
        <v>1249</v>
      </c>
      <c r="B3615">
        <v>3</v>
      </c>
      <c r="C3615">
        <v>61</v>
      </c>
      <c r="D3615" t="str">
        <f>VLOOKUP($C3615,products!$A$1:$F$322,MATCH(order_items!$D$1,products!$A$1:$F$1,0),FALSE)</f>
        <v>Trek Powerfly 8 FS Plus - 2017</v>
      </c>
      <c r="E3615">
        <f>VLOOKUP($C3615,products!$A$1:$F$322,MATCH(order_items!$E$1,products!$A$1:$F$1,0),FALSE)</f>
        <v>5</v>
      </c>
      <c r="F3615" t="str">
        <f>VLOOKUP($E3615,categories!$A$1:$B$8,MATCH(order_items!$F$1,categories!$A$1:$B$1,0),FALSE)</f>
        <v>Electric Bikes</v>
      </c>
      <c r="G3615">
        <v>1</v>
      </c>
      <c r="H3615">
        <v>4999.99</v>
      </c>
      <c r="I3615" s="5">
        <v>0.2</v>
      </c>
      <c r="J3615">
        <f t="shared" si="112"/>
        <v>3999.9920000000002</v>
      </c>
      <c r="K3615" s="9">
        <f t="shared" si="113"/>
        <v>2.7998877119074401</v>
      </c>
    </row>
    <row r="3616" spans="1:11" x14ac:dyDescent="0.3">
      <c r="A3616">
        <v>1250</v>
      </c>
      <c r="B3616">
        <v>1</v>
      </c>
      <c r="C3616">
        <v>78</v>
      </c>
      <c r="D3616" t="str">
        <f>VLOOKUP($C3616,products!$A$1:$F$322,MATCH(order_items!$D$1,products!$A$1:$F$1,0),FALSE)</f>
        <v>Sun Bicycles Biscayne Tandem CB - 2017</v>
      </c>
      <c r="E3616">
        <f>VLOOKUP($C3616,products!$A$1:$F$322,MATCH(order_items!$E$1,products!$A$1:$F$1,0),FALSE)</f>
        <v>3</v>
      </c>
      <c r="F3616" t="str">
        <f>VLOOKUP($E3616,categories!$A$1:$B$8,MATCH(order_items!$F$1,categories!$A$1:$B$1,0),FALSE)</f>
        <v>Cruisers Bicycles</v>
      </c>
      <c r="G3616">
        <v>2</v>
      </c>
      <c r="H3616">
        <v>647.99</v>
      </c>
      <c r="I3616" s="5">
        <v>0.05</v>
      </c>
      <c r="J3616">
        <f t="shared" si="112"/>
        <v>1231.181</v>
      </c>
      <c r="K3616" s="9">
        <f t="shared" si="113"/>
        <v>-0.41748847220510982</v>
      </c>
    </row>
    <row r="3617" spans="1:11" x14ac:dyDescent="0.3">
      <c r="A3617">
        <v>1250</v>
      </c>
      <c r="B3617">
        <v>2</v>
      </c>
      <c r="C3617">
        <v>66</v>
      </c>
      <c r="D3617" t="str">
        <f>VLOOKUP($C3617,products!$A$1:$F$322,MATCH(order_items!$D$1,products!$A$1:$F$1,0),FALSE)</f>
        <v>Sun Bicycles Revolutions 24 - 2017</v>
      </c>
      <c r="E3617">
        <f>VLOOKUP($C3617,products!$A$1:$F$322,MATCH(order_items!$E$1,products!$A$1:$F$1,0),FALSE)</f>
        <v>3</v>
      </c>
      <c r="F3617" t="str">
        <f>VLOOKUP($E3617,categories!$A$1:$B$8,MATCH(order_items!$F$1,categories!$A$1:$B$1,0),FALSE)</f>
        <v>Cruisers Bicycles</v>
      </c>
      <c r="G3617">
        <v>2</v>
      </c>
      <c r="H3617">
        <v>250.99</v>
      </c>
      <c r="I3617" s="5">
        <v>0.1</v>
      </c>
      <c r="J3617">
        <f t="shared" si="112"/>
        <v>451.78200000000004</v>
      </c>
      <c r="K3617" s="9">
        <f t="shared" si="113"/>
        <v>-0.71098533458853863</v>
      </c>
    </row>
    <row r="3618" spans="1:11" x14ac:dyDescent="0.3">
      <c r="A3618">
        <v>1250</v>
      </c>
      <c r="B3618">
        <v>3</v>
      </c>
      <c r="C3618">
        <v>20</v>
      </c>
      <c r="D3618" t="str">
        <f>VLOOKUP($C3618,products!$A$1:$F$322,MATCH(order_items!$D$1,products!$A$1:$F$1,0),FALSE)</f>
        <v>Electra Townie Original 7D EQ - Women's - 2016</v>
      </c>
      <c r="E3618">
        <f>VLOOKUP($C3618,products!$A$1:$F$322,MATCH(order_items!$E$1,products!$A$1:$F$1,0),FALSE)</f>
        <v>3</v>
      </c>
      <c r="F3618" t="str">
        <f>VLOOKUP($E3618,categories!$A$1:$B$8,MATCH(order_items!$F$1,categories!$A$1:$B$1,0),FALSE)</f>
        <v>Cruisers Bicycles</v>
      </c>
      <c r="G3618">
        <v>2</v>
      </c>
      <c r="H3618">
        <v>599.99</v>
      </c>
      <c r="I3618" s="5">
        <v>0.05</v>
      </c>
      <c r="J3618">
        <f t="shared" si="112"/>
        <v>1139.981</v>
      </c>
      <c r="K3618" s="9">
        <f t="shared" si="113"/>
        <v>-0.45297423894164529</v>
      </c>
    </row>
    <row r="3619" spans="1:11" x14ac:dyDescent="0.3">
      <c r="A3619">
        <v>1250</v>
      </c>
      <c r="B3619">
        <v>4</v>
      </c>
      <c r="C3619">
        <v>6</v>
      </c>
      <c r="D3619" t="str">
        <f>VLOOKUP($C3619,products!$A$1:$F$322,MATCH(order_items!$D$1,products!$A$1:$F$1,0),FALSE)</f>
        <v>Surly Ice Cream Truck Frameset - 2016</v>
      </c>
      <c r="E3619">
        <f>VLOOKUP($C3619,products!$A$1:$F$322,MATCH(order_items!$E$1,products!$A$1:$F$1,0),FALSE)</f>
        <v>6</v>
      </c>
      <c r="F3619" t="str">
        <f>VLOOKUP($E3619,categories!$A$1:$B$8,MATCH(order_items!$F$1,categories!$A$1:$B$1,0),FALSE)</f>
        <v>Mountain Bikes</v>
      </c>
      <c r="G3619">
        <v>2</v>
      </c>
      <c r="H3619">
        <v>469.99</v>
      </c>
      <c r="I3619" s="5">
        <v>0.1</v>
      </c>
      <c r="J3619">
        <f t="shared" si="112"/>
        <v>845.98200000000008</v>
      </c>
      <c r="K3619" s="9">
        <f t="shared" si="113"/>
        <v>-0.5490815238530955</v>
      </c>
    </row>
    <row r="3620" spans="1:11" x14ac:dyDescent="0.3">
      <c r="A3620">
        <v>1251</v>
      </c>
      <c r="B3620">
        <v>1</v>
      </c>
      <c r="C3620">
        <v>40</v>
      </c>
      <c r="D3620" t="str">
        <f>VLOOKUP($C3620,products!$A$1:$F$322,MATCH(order_items!$D$1,products!$A$1:$F$1,0),FALSE)</f>
        <v>Trek Fuel EX 9.8 29 - 2017</v>
      </c>
      <c r="E3620">
        <f>VLOOKUP($C3620,products!$A$1:$F$322,MATCH(order_items!$E$1,products!$A$1:$F$1,0),FALSE)</f>
        <v>6</v>
      </c>
      <c r="F3620" t="str">
        <f>VLOOKUP($E3620,categories!$A$1:$B$8,MATCH(order_items!$F$1,categories!$A$1:$B$1,0),FALSE)</f>
        <v>Mountain Bikes</v>
      </c>
      <c r="G3620">
        <v>2</v>
      </c>
      <c r="H3620">
        <v>4999.99</v>
      </c>
      <c r="I3620" s="5">
        <v>0.1</v>
      </c>
      <c r="J3620">
        <f t="shared" si="112"/>
        <v>8999.982</v>
      </c>
      <c r="K3620" s="9">
        <f t="shared" si="113"/>
        <v>2.7998877119074401</v>
      </c>
    </row>
    <row r="3621" spans="1:11" x14ac:dyDescent="0.3">
      <c r="A3621">
        <v>1251</v>
      </c>
      <c r="B3621">
        <v>2</v>
      </c>
      <c r="C3621">
        <v>56</v>
      </c>
      <c r="D3621" t="str">
        <f>VLOOKUP($C3621,products!$A$1:$F$322,MATCH(order_items!$D$1,products!$A$1:$F$1,0),FALSE)</f>
        <v>Trek Domane SLR 6 Disc - 2017</v>
      </c>
      <c r="E3621">
        <f>VLOOKUP($C3621,products!$A$1:$F$322,MATCH(order_items!$E$1,products!$A$1:$F$1,0),FALSE)</f>
        <v>7</v>
      </c>
      <c r="F3621" t="str">
        <f>VLOOKUP($E3621,categories!$A$1:$B$8,MATCH(order_items!$F$1,categories!$A$1:$B$1,0),FALSE)</f>
        <v>Road Bikes</v>
      </c>
      <c r="G3621">
        <v>1</v>
      </c>
      <c r="H3621">
        <v>5499.99</v>
      </c>
      <c r="I3621" s="5">
        <v>7.0000000000000007E-2</v>
      </c>
      <c r="J3621">
        <f t="shared" si="112"/>
        <v>5114.9906999999994</v>
      </c>
      <c r="K3621" s="9">
        <f t="shared" si="113"/>
        <v>3.1695311154130179</v>
      </c>
    </row>
    <row r="3622" spans="1:11" x14ac:dyDescent="0.3">
      <c r="A3622">
        <v>1251</v>
      </c>
      <c r="B3622">
        <v>3</v>
      </c>
      <c r="C3622">
        <v>7</v>
      </c>
      <c r="D3622" t="str">
        <f>VLOOKUP($C3622,products!$A$1:$F$322,MATCH(order_items!$D$1,products!$A$1:$F$1,0),FALSE)</f>
        <v>Trek Slash 8 27.5 - 2016</v>
      </c>
      <c r="E3622">
        <f>VLOOKUP($C3622,products!$A$1:$F$322,MATCH(order_items!$E$1,products!$A$1:$F$1,0),FALSE)</f>
        <v>6</v>
      </c>
      <c r="F3622" t="str">
        <f>VLOOKUP($E3622,categories!$A$1:$B$8,MATCH(order_items!$F$1,categories!$A$1:$B$1,0),FALSE)</f>
        <v>Mountain Bikes</v>
      </c>
      <c r="G3622">
        <v>1</v>
      </c>
      <c r="H3622">
        <v>3999.99</v>
      </c>
      <c r="I3622" s="5">
        <v>7.0000000000000007E-2</v>
      </c>
      <c r="J3622">
        <f t="shared" si="112"/>
        <v>3719.9906999999994</v>
      </c>
      <c r="K3622" s="9">
        <f t="shared" si="113"/>
        <v>2.0606009048962846</v>
      </c>
    </row>
    <row r="3623" spans="1:11" x14ac:dyDescent="0.3">
      <c r="A3623">
        <v>1252</v>
      </c>
      <c r="B3623">
        <v>1</v>
      </c>
      <c r="C3623">
        <v>79</v>
      </c>
      <c r="D3623" t="str">
        <f>VLOOKUP($C3623,products!$A$1:$F$322,MATCH(order_items!$D$1,products!$A$1:$F$1,0),FALSE)</f>
        <v>Sun Bicycles Boardwalk (24-inch Wheels) - 2017</v>
      </c>
      <c r="E3623">
        <f>VLOOKUP($C3623,products!$A$1:$F$322,MATCH(order_items!$E$1,products!$A$1:$F$1,0),FALSE)</f>
        <v>3</v>
      </c>
      <c r="F3623" t="str">
        <f>VLOOKUP($E3623,categories!$A$1:$B$8,MATCH(order_items!$F$1,categories!$A$1:$B$1,0),FALSE)</f>
        <v>Cruisers Bicycles</v>
      </c>
      <c r="G3623">
        <v>1</v>
      </c>
      <c r="H3623">
        <v>402.99</v>
      </c>
      <c r="I3623" s="5">
        <v>0.2</v>
      </c>
      <c r="J3623">
        <f t="shared" si="112"/>
        <v>322.39200000000005</v>
      </c>
      <c r="K3623" s="9">
        <f t="shared" si="113"/>
        <v>-0.59861373992284295</v>
      </c>
    </row>
    <row r="3624" spans="1:11" x14ac:dyDescent="0.3">
      <c r="A3624">
        <v>1252</v>
      </c>
      <c r="B3624">
        <v>2</v>
      </c>
      <c r="C3624">
        <v>84</v>
      </c>
      <c r="D3624" t="str">
        <f>VLOOKUP($C3624,products!$A$1:$F$322,MATCH(order_items!$D$1,products!$A$1:$F$1,0),FALSE)</f>
        <v>Sun Bicycles Lil Kitt'n - 2017</v>
      </c>
      <c r="E3624">
        <f>VLOOKUP($C3624,products!$A$1:$F$322,MATCH(order_items!$E$1,products!$A$1:$F$1,0),FALSE)</f>
        <v>1</v>
      </c>
      <c r="F3624" t="str">
        <f>VLOOKUP($E3624,categories!$A$1:$B$8,MATCH(order_items!$F$1,categories!$A$1:$B$1,0),FALSE)</f>
        <v>Children Bicycles</v>
      </c>
      <c r="G3624">
        <v>1</v>
      </c>
      <c r="H3624">
        <v>109.99</v>
      </c>
      <c r="I3624" s="5">
        <v>0.2</v>
      </c>
      <c r="J3624">
        <f t="shared" si="112"/>
        <v>87.992000000000004</v>
      </c>
      <c r="K3624" s="9">
        <f t="shared" si="113"/>
        <v>-0.81522477437711161</v>
      </c>
    </row>
    <row r="3625" spans="1:11" x14ac:dyDescent="0.3">
      <c r="A3625">
        <v>1252</v>
      </c>
      <c r="B3625">
        <v>3</v>
      </c>
      <c r="C3625">
        <v>57</v>
      </c>
      <c r="D3625" t="str">
        <f>VLOOKUP($C3625,products!$A$1:$F$322,MATCH(order_items!$D$1,products!$A$1:$F$1,0),FALSE)</f>
        <v>Trek Emonda S 5 - 2017</v>
      </c>
      <c r="E3625">
        <f>VLOOKUP($C3625,products!$A$1:$F$322,MATCH(order_items!$E$1,products!$A$1:$F$1,0),FALSE)</f>
        <v>7</v>
      </c>
      <c r="F3625" t="str">
        <f>VLOOKUP($E3625,categories!$A$1:$B$8,MATCH(order_items!$F$1,categories!$A$1:$B$1,0),FALSE)</f>
        <v>Road Bikes</v>
      </c>
      <c r="G3625">
        <v>2</v>
      </c>
      <c r="H3625">
        <v>1999.99</v>
      </c>
      <c r="I3625" s="5">
        <v>0.05</v>
      </c>
      <c r="J3625">
        <f t="shared" si="112"/>
        <v>3799.9809999999998</v>
      </c>
      <c r="K3625" s="9">
        <f t="shared" si="113"/>
        <v>0.58202729087397276</v>
      </c>
    </row>
    <row r="3626" spans="1:11" x14ac:dyDescent="0.3">
      <c r="A3626">
        <v>1253</v>
      </c>
      <c r="B3626">
        <v>1</v>
      </c>
      <c r="C3626">
        <v>25</v>
      </c>
      <c r="D3626" t="str">
        <f>VLOOKUP($C3626,products!$A$1:$F$322,MATCH(order_items!$D$1,products!$A$1:$F$1,0),FALSE)</f>
        <v>Electra Townie Original 7D - 2015/2016</v>
      </c>
      <c r="E3626">
        <f>VLOOKUP($C3626,products!$A$1:$F$322,MATCH(order_items!$E$1,products!$A$1:$F$1,0),FALSE)</f>
        <v>2</v>
      </c>
      <c r="F3626" t="str">
        <f>VLOOKUP($E3626,categories!$A$1:$B$8,MATCH(order_items!$F$1,categories!$A$1:$B$1,0),FALSE)</f>
        <v>Comfort Bicycles</v>
      </c>
      <c r="G3626">
        <v>2</v>
      </c>
      <c r="H3626">
        <v>499.99</v>
      </c>
      <c r="I3626" s="5">
        <v>0.1</v>
      </c>
      <c r="J3626">
        <f t="shared" si="112"/>
        <v>899.98200000000008</v>
      </c>
      <c r="K3626" s="9">
        <f t="shared" si="113"/>
        <v>-0.52690291964276081</v>
      </c>
    </row>
    <row r="3627" spans="1:11" x14ac:dyDescent="0.3">
      <c r="A3627">
        <v>1253</v>
      </c>
      <c r="B3627">
        <v>2</v>
      </c>
      <c r="C3627">
        <v>21</v>
      </c>
      <c r="D3627" t="str">
        <f>VLOOKUP($C3627,products!$A$1:$F$322,MATCH(order_items!$D$1,products!$A$1:$F$1,0),FALSE)</f>
        <v>Electra Cruiser 1 (24-Inch) - 2016</v>
      </c>
      <c r="E3627">
        <f>VLOOKUP($C3627,products!$A$1:$F$322,MATCH(order_items!$E$1,products!$A$1:$F$1,0),FALSE)</f>
        <v>1</v>
      </c>
      <c r="F3627" t="str">
        <f>VLOOKUP($E3627,categories!$A$1:$B$8,MATCH(order_items!$F$1,categories!$A$1:$B$1,0),FALSE)</f>
        <v>Children Bicycles</v>
      </c>
      <c r="G3627">
        <v>1</v>
      </c>
      <c r="H3627">
        <v>269.99</v>
      </c>
      <c r="I3627" s="5">
        <v>7.0000000000000007E-2</v>
      </c>
      <c r="J3627">
        <f t="shared" si="112"/>
        <v>251.0907</v>
      </c>
      <c r="K3627" s="9">
        <f t="shared" si="113"/>
        <v>-0.69693888525532666</v>
      </c>
    </row>
    <row r="3628" spans="1:11" x14ac:dyDescent="0.3">
      <c r="A3628">
        <v>1253</v>
      </c>
      <c r="B3628">
        <v>3</v>
      </c>
      <c r="C3628">
        <v>88</v>
      </c>
      <c r="D3628" t="str">
        <f>VLOOKUP($C3628,products!$A$1:$F$322,MATCH(order_items!$D$1,products!$A$1:$F$1,0),FALSE)</f>
        <v>Trek Precaliber 12 Girls - 2017</v>
      </c>
      <c r="E3628">
        <f>VLOOKUP($C3628,products!$A$1:$F$322,MATCH(order_items!$E$1,products!$A$1:$F$1,0),FALSE)</f>
        <v>1</v>
      </c>
      <c r="F3628" t="str">
        <f>VLOOKUP($E3628,categories!$A$1:$B$8,MATCH(order_items!$F$1,categories!$A$1:$B$1,0),FALSE)</f>
        <v>Children Bicycles</v>
      </c>
      <c r="G3628">
        <v>1</v>
      </c>
      <c r="H3628">
        <v>189.99</v>
      </c>
      <c r="I3628" s="5">
        <v>0.2</v>
      </c>
      <c r="J3628">
        <f t="shared" si="112"/>
        <v>151.99200000000002</v>
      </c>
      <c r="K3628" s="9">
        <f t="shared" si="113"/>
        <v>-0.75608182981621919</v>
      </c>
    </row>
    <row r="3629" spans="1:11" x14ac:dyDescent="0.3">
      <c r="A3629">
        <v>1254</v>
      </c>
      <c r="B3629">
        <v>1</v>
      </c>
      <c r="C3629">
        <v>80</v>
      </c>
      <c r="D3629" t="str">
        <f>VLOOKUP($C3629,products!$A$1:$F$322,MATCH(order_items!$D$1,products!$A$1:$F$1,0),FALSE)</f>
        <v>Sun Bicycles Brickell Tandem CB - 2017</v>
      </c>
      <c r="E3629">
        <f>VLOOKUP($C3629,products!$A$1:$F$322,MATCH(order_items!$E$1,products!$A$1:$F$1,0),FALSE)</f>
        <v>3</v>
      </c>
      <c r="F3629" t="str">
        <f>VLOOKUP($E3629,categories!$A$1:$B$8,MATCH(order_items!$F$1,categories!$A$1:$B$1,0),FALSE)</f>
        <v>Cruisers Bicycles</v>
      </c>
      <c r="G3629">
        <v>1</v>
      </c>
      <c r="H3629">
        <v>761.99</v>
      </c>
      <c r="I3629" s="5">
        <v>0.2</v>
      </c>
      <c r="J3629">
        <f t="shared" si="112"/>
        <v>609.59199999999998</v>
      </c>
      <c r="K3629" s="9">
        <f t="shared" si="113"/>
        <v>-0.33320977620583803</v>
      </c>
    </row>
    <row r="3630" spans="1:11" x14ac:dyDescent="0.3">
      <c r="A3630">
        <v>1254</v>
      </c>
      <c r="B3630">
        <v>2</v>
      </c>
      <c r="C3630">
        <v>91</v>
      </c>
      <c r="D3630" t="str">
        <f>VLOOKUP($C3630,products!$A$1:$F$322,MATCH(order_items!$D$1,products!$A$1:$F$1,0),FALSE)</f>
        <v>Trek Precaliber 24 (21-Speed) - Girls - 2017</v>
      </c>
      <c r="E3630">
        <f>VLOOKUP($C3630,products!$A$1:$F$322,MATCH(order_items!$E$1,products!$A$1:$F$1,0),FALSE)</f>
        <v>1</v>
      </c>
      <c r="F3630" t="str">
        <f>VLOOKUP($E3630,categories!$A$1:$B$8,MATCH(order_items!$F$1,categories!$A$1:$B$1,0),FALSE)</f>
        <v>Children Bicycles</v>
      </c>
      <c r="G3630">
        <v>1</v>
      </c>
      <c r="H3630">
        <v>349.99</v>
      </c>
      <c r="I3630" s="5">
        <v>0.2</v>
      </c>
      <c r="J3630">
        <f t="shared" si="112"/>
        <v>279.99200000000002</v>
      </c>
      <c r="K3630" s="9">
        <f t="shared" si="113"/>
        <v>-0.63779594069443424</v>
      </c>
    </row>
    <row r="3631" spans="1:11" x14ac:dyDescent="0.3">
      <c r="A3631">
        <v>1255</v>
      </c>
      <c r="B3631">
        <v>1</v>
      </c>
      <c r="C3631">
        <v>43</v>
      </c>
      <c r="D3631" t="str">
        <f>VLOOKUP($C3631,products!$A$1:$F$322,MATCH(order_items!$D$1,products!$A$1:$F$1,0),FALSE)</f>
        <v>Trek Fuel EX 9.8 27.5 Plus - 2017</v>
      </c>
      <c r="E3631">
        <f>VLOOKUP($C3631,products!$A$1:$F$322,MATCH(order_items!$E$1,products!$A$1:$F$1,0),FALSE)</f>
        <v>6</v>
      </c>
      <c r="F3631" t="str">
        <f>VLOOKUP($E3631,categories!$A$1:$B$8,MATCH(order_items!$F$1,categories!$A$1:$B$1,0),FALSE)</f>
        <v>Mountain Bikes</v>
      </c>
      <c r="G3631">
        <v>2</v>
      </c>
      <c r="H3631">
        <v>5299.99</v>
      </c>
      <c r="I3631" s="5">
        <v>0.2</v>
      </c>
      <c r="J3631">
        <f t="shared" si="112"/>
        <v>8479.9840000000004</v>
      </c>
      <c r="K3631" s="9">
        <f t="shared" si="113"/>
        <v>3.021673754010787</v>
      </c>
    </row>
    <row r="3632" spans="1:11" x14ac:dyDescent="0.3">
      <c r="A3632">
        <v>1255</v>
      </c>
      <c r="B3632">
        <v>2</v>
      </c>
      <c r="C3632">
        <v>53</v>
      </c>
      <c r="D3632" t="str">
        <f>VLOOKUP($C3632,products!$A$1:$F$322,MATCH(order_items!$D$1,products!$A$1:$F$1,0),FALSE)</f>
        <v>Surly Ogre Frameset - 2017</v>
      </c>
      <c r="E3632">
        <f>VLOOKUP($C3632,products!$A$1:$F$322,MATCH(order_items!$E$1,products!$A$1:$F$1,0),FALSE)</f>
        <v>7</v>
      </c>
      <c r="F3632" t="str">
        <f>VLOOKUP($E3632,categories!$A$1:$B$8,MATCH(order_items!$F$1,categories!$A$1:$B$1,0),FALSE)</f>
        <v>Road Bikes</v>
      </c>
      <c r="G3632">
        <v>1</v>
      </c>
      <c r="H3632">
        <v>749.99</v>
      </c>
      <c r="I3632" s="5">
        <v>0.05</v>
      </c>
      <c r="J3632">
        <f t="shared" si="112"/>
        <v>712.4905</v>
      </c>
      <c r="K3632" s="9">
        <f t="shared" si="113"/>
        <v>-0.34208121788997192</v>
      </c>
    </row>
    <row r="3633" spans="1:11" x14ac:dyDescent="0.3">
      <c r="A3633">
        <v>1255</v>
      </c>
      <c r="B3633">
        <v>3</v>
      </c>
      <c r="C3633">
        <v>14</v>
      </c>
      <c r="D3633" t="str">
        <f>VLOOKUP($C3633,products!$A$1:$F$322,MATCH(order_items!$D$1,products!$A$1:$F$1,0),FALSE)</f>
        <v>Electra Girl's Hawaii 1 (16-inch) - 2015/2016</v>
      </c>
      <c r="E3633">
        <f>VLOOKUP($C3633,products!$A$1:$F$322,MATCH(order_items!$E$1,products!$A$1:$F$1,0),FALSE)</f>
        <v>3</v>
      </c>
      <c r="F3633" t="str">
        <f>VLOOKUP($E3633,categories!$A$1:$B$8,MATCH(order_items!$F$1,categories!$A$1:$B$1,0),FALSE)</f>
        <v>Cruisers Bicycles</v>
      </c>
      <c r="G3633">
        <v>2</v>
      </c>
      <c r="H3633">
        <v>269.99</v>
      </c>
      <c r="I3633" s="5">
        <v>0.2</v>
      </c>
      <c r="J3633">
        <f t="shared" si="112"/>
        <v>431.98400000000004</v>
      </c>
      <c r="K3633" s="9">
        <f t="shared" si="113"/>
        <v>-0.69693888525532666</v>
      </c>
    </row>
    <row r="3634" spans="1:11" x14ac:dyDescent="0.3">
      <c r="A3634">
        <v>1255</v>
      </c>
      <c r="B3634">
        <v>4</v>
      </c>
      <c r="C3634">
        <v>26</v>
      </c>
      <c r="D3634" t="str">
        <f>VLOOKUP($C3634,products!$A$1:$F$322,MATCH(order_items!$D$1,products!$A$1:$F$1,0),FALSE)</f>
        <v>Electra Townie Original 7D EQ - 2016</v>
      </c>
      <c r="E3634">
        <f>VLOOKUP($C3634,products!$A$1:$F$322,MATCH(order_items!$E$1,products!$A$1:$F$1,0),FALSE)</f>
        <v>2</v>
      </c>
      <c r="F3634" t="str">
        <f>VLOOKUP($E3634,categories!$A$1:$B$8,MATCH(order_items!$F$1,categories!$A$1:$B$1,0),FALSE)</f>
        <v>Comfort Bicycles</v>
      </c>
      <c r="G3634">
        <v>2</v>
      </c>
      <c r="H3634">
        <v>599.99</v>
      </c>
      <c r="I3634" s="5">
        <v>0.05</v>
      </c>
      <c r="J3634">
        <f t="shared" si="112"/>
        <v>1139.981</v>
      </c>
      <c r="K3634" s="9">
        <f t="shared" si="113"/>
        <v>-0.45297423894164529</v>
      </c>
    </row>
    <row r="3635" spans="1:11" x14ac:dyDescent="0.3">
      <c r="A3635">
        <v>1255</v>
      </c>
      <c r="B3635">
        <v>5</v>
      </c>
      <c r="C3635">
        <v>82</v>
      </c>
      <c r="D3635" t="str">
        <f>VLOOKUP($C3635,products!$A$1:$F$322,MATCH(order_items!$D$1,products!$A$1:$F$1,0),FALSE)</f>
        <v>Electra Amsterdam Original 3i Ladies' - 2017</v>
      </c>
      <c r="E3635">
        <f>VLOOKUP($C3635,products!$A$1:$F$322,MATCH(order_items!$E$1,products!$A$1:$F$1,0),FALSE)</f>
        <v>3</v>
      </c>
      <c r="F3635" t="str">
        <f>VLOOKUP($E3635,categories!$A$1:$B$8,MATCH(order_items!$F$1,categories!$A$1:$B$1,0),FALSE)</f>
        <v>Cruisers Bicycles</v>
      </c>
      <c r="G3635">
        <v>1</v>
      </c>
      <c r="H3635">
        <v>659.99</v>
      </c>
      <c r="I3635" s="5">
        <v>0.05</v>
      </c>
      <c r="J3635">
        <f t="shared" si="112"/>
        <v>626.9905</v>
      </c>
      <c r="K3635" s="9">
        <f t="shared" si="113"/>
        <v>-0.40861703052097592</v>
      </c>
    </row>
    <row r="3636" spans="1:11" x14ac:dyDescent="0.3">
      <c r="A3636">
        <v>1256</v>
      </c>
      <c r="B3636">
        <v>1</v>
      </c>
      <c r="C3636">
        <v>44</v>
      </c>
      <c r="D3636" t="str">
        <f>VLOOKUP($C3636,products!$A$1:$F$322,MATCH(order_items!$D$1,products!$A$1:$F$1,0),FALSE)</f>
        <v>Haro SR 1.1 - 2017</v>
      </c>
      <c r="E3636">
        <f>VLOOKUP($C3636,products!$A$1:$F$322,MATCH(order_items!$E$1,products!$A$1:$F$1,0),FALSE)</f>
        <v>6</v>
      </c>
      <c r="F3636" t="str">
        <f>VLOOKUP($E3636,categories!$A$1:$B$8,MATCH(order_items!$F$1,categories!$A$1:$B$1,0),FALSE)</f>
        <v>Mountain Bikes</v>
      </c>
      <c r="G3636">
        <v>2</v>
      </c>
      <c r="H3636">
        <v>539.99</v>
      </c>
      <c r="I3636" s="5">
        <v>0.2</v>
      </c>
      <c r="J3636">
        <f t="shared" si="112"/>
        <v>863.98400000000004</v>
      </c>
      <c r="K3636" s="9">
        <f t="shared" si="113"/>
        <v>-0.49733144736231466</v>
      </c>
    </row>
    <row r="3637" spans="1:11" x14ac:dyDescent="0.3">
      <c r="A3637">
        <v>1256</v>
      </c>
      <c r="B3637">
        <v>2</v>
      </c>
      <c r="C3637">
        <v>100</v>
      </c>
      <c r="D3637" t="str">
        <f>VLOOKUP($C3637,products!$A$1:$F$322,MATCH(order_items!$D$1,products!$A$1:$F$1,0),FALSE)</f>
        <v>Electra Townie 3i EQ (20-inch) - Boys' - 2017</v>
      </c>
      <c r="E3637">
        <f>VLOOKUP($C3637,products!$A$1:$F$322,MATCH(order_items!$E$1,products!$A$1:$F$1,0),FALSE)</f>
        <v>1</v>
      </c>
      <c r="F3637" t="str">
        <f>VLOOKUP($E3637,categories!$A$1:$B$8,MATCH(order_items!$F$1,categories!$A$1:$B$1,0),FALSE)</f>
        <v>Children Bicycles</v>
      </c>
      <c r="G3637">
        <v>1</v>
      </c>
      <c r="H3637">
        <v>489.99</v>
      </c>
      <c r="I3637" s="5">
        <v>0.1</v>
      </c>
      <c r="J3637">
        <f t="shared" si="112"/>
        <v>440.99100000000004</v>
      </c>
      <c r="K3637" s="9">
        <f t="shared" si="113"/>
        <v>-0.53429578771287245</v>
      </c>
    </row>
    <row r="3638" spans="1:11" x14ac:dyDescent="0.3">
      <c r="A3638">
        <v>1257</v>
      </c>
      <c r="B3638">
        <v>1</v>
      </c>
      <c r="C3638">
        <v>30</v>
      </c>
      <c r="D3638" t="str">
        <f>VLOOKUP($C3638,products!$A$1:$F$322,MATCH(order_items!$D$1,products!$A$1:$F$1,0),FALSE)</f>
        <v>Surly Ice Cream Truck Frameset - 2017</v>
      </c>
      <c r="E3638">
        <f>VLOOKUP($C3638,products!$A$1:$F$322,MATCH(order_items!$E$1,products!$A$1:$F$1,0),FALSE)</f>
        <v>6</v>
      </c>
      <c r="F3638" t="str">
        <f>VLOOKUP($E3638,categories!$A$1:$B$8,MATCH(order_items!$F$1,categories!$A$1:$B$1,0),FALSE)</f>
        <v>Mountain Bikes</v>
      </c>
      <c r="G3638">
        <v>2</v>
      </c>
      <c r="H3638">
        <v>999.99</v>
      </c>
      <c r="I3638" s="5">
        <v>0.05</v>
      </c>
      <c r="J3638">
        <f t="shared" si="112"/>
        <v>1899.981</v>
      </c>
      <c r="K3638" s="9">
        <f t="shared" si="113"/>
        <v>-0.15725951613718298</v>
      </c>
    </row>
    <row r="3639" spans="1:11" x14ac:dyDescent="0.3">
      <c r="A3639">
        <v>1257</v>
      </c>
      <c r="B3639">
        <v>2</v>
      </c>
      <c r="C3639">
        <v>61</v>
      </c>
      <c r="D3639" t="str">
        <f>VLOOKUP($C3639,products!$A$1:$F$322,MATCH(order_items!$D$1,products!$A$1:$F$1,0),FALSE)</f>
        <v>Trek Powerfly 8 FS Plus - 2017</v>
      </c>
      <c r="E3639">
        <f>VLOOKUP($C3639,products!$A$1:$F$322,MATCH(order_items!$E$1,products!$A$1:$F$1,0),FALSE)</f>
        <v>5</v>
      </c>
      <c r="F3639" t="str">
        <f>VLOOKUP($E3639,categories!$A$1:$B$8,MATCH(order_items!$F$1,categories!$A$1:$B$1,0),FALSE)</f>
        <v>Electric Bikes</v>
      </c>
      <c r="G3639">
        <v>1</v>
      </c>
      <c r="H3639">
        <v>4999.99</v>
      </c>
      <c r="I3639" s="5">
        <v>0.05</v>
      </c>
      <c r="J3639">
        <f t="shared" si="112"/>
        <v>4749.9904999999999</v>
      </c>
      <c r="K3639" s="9">
        <f t="shared" si="113"/>
        <v>2.7998877119074401</v>
      </c>
    </row>
    <row r="3640" spans="1:11" x14ac:dyDescent="0.3">
      <c r="A3640">
        <v>1257</v>
      </c>
      <c r="B3640">
        <v>3</v>
      </c>
      <c r="C3640">
        <v>17</v>
      </c>
      <c r="D3640" t="str">
        <f>VLOOKUP($C3640,products!$A$1:$F$322,MATCH(order_items!$D$1,products!$A$1:$F$1,0),FALSE)</f>
        <v>Pure Cycles Vine 8-Speed - 2016</v>
      </c>
      <c r="E3640">
        <f>VLOOKUP($C3640,products!$A$1:$F$322,MATCH(order_items!$E$1,products!$A$1:$F$1,0),FALSE)</f>
        <v>3</v>
      </c>
      <c r="F3640" t="str">
        <f>VLOOKUP($E3640,categories!$A$1:$B$8,MATCH(order_items!$F$1,categories!$A$1:$B$1,0),FALSE)</f>
        <v>Cruisers Bicycles</v>
      </c>
      <c r="G3640">
        <v>2</v>
      </c>
      <c r="H3640">
        <v>429</v>
      </c>
      <c r="I3640" s="5">
        <v>0.1</v>
      </c>
      <c r="J3640">
        <f t="shared" si="112"/>
        <v>772.2</v>
      </c>
      <c r="K3640" s="9">
        <f t="shared" si="113"/>
        <v>-0.57938489007248284</v>
      </c>
    </row>
    <row r="3641" spans="1:11" x14ac:dyDescent="0.3">
      <c r="A3641">
        <v>1257</v>
      </c>
      <c r="B3641">
        <v>4</v>
      </c>
      <c r="C3641">
        <v>41</v>
      </c>
      <c r="D3641" t="str">
        <f>VLOOKUP($C3641,products!$A$1:$F$322,MATCH(order_items!$D$1,products!$A$1:$F$1,0),FALSE)</f>
        <v>Haro Shift R3 - 2017</v>
      </c>
      <c r="E3641">
        <f>VLOOKUP($C3641,products!$A$1:$F$322,MATCH(order_items!$E$1,products!$A$1:$F$1,0),FALSE)</f>
        <v>6</v>
      </c>
      <c r="F3641" t="str">
        <f>VLOOKUP($E3641,categories!$A$1:$B$8,MATCH(order_items!$F$1,categories!$A$1:$B$1,0),FALSE)</f>
        <v>Mountain Bikes</v>
      </c>
      <c r="G3641">
        <v>1</v>
      </c>
      <c r="H3641">
        <v>1469.99</v>
      </c>
      <c r="I3641" s="5">
        <v>0.05</v>
      </c>
      <c r="J3641">
        <f t="shared" si="112"/>
        <v>1396.4904999999999</v>
      </c>
      <c r="K3641" s="9">
        <f t="shared" si="113"/>
        <v>0.19020528315806023</v>
      </c>
    </row>
    <row r="3642" spans="1:11" x14ac:dyDescent="0.3">
      <c r="A3642">
        <v>1257</v>
      </c>
      <c r="B3642">
        <v>5</v>
      </c>
      <c r="C3642">
        <v>4</v>
      </c>
      <c r="D3642" t="str">
        <f>VLOOKUP($C3642,products!$A$1:$F$322,MATCH(order_items!$D$1,products!$A$1:$F$1,0),FALSE)</f>
        <v>Trek Fuel EX 8 29 - 2016</v>
      </c>
      <c r="E3642">
        <f>VLOOKUP($C3642,products!$A$1:$F$322,MATCH(order_items!$E$1,products!$A$1:$F$1,0),FALSE)</f>
        <v>6</v>
      </c>
      <c r="F3642" t="str">
        <f>VLOOKUP($E3642,categories!$A$1:$B$8,MATCH(order_items!$F$1,categories!$A$1:$B$1,0),FALSE)</f>
        <v>Mountain Bikes</v>
      </c>
      <c r="G3642">
        <v>1</v>
      </c>
      <c r="H3642">
        <v>2899.99</v>
      </c>
      <c r="I3642" s="5">
        <v>0.1</v>
      </c>
      <c r="J3642">
        <f t="shared" si="112"/>
        <v>2609.991</v>
      </c>
      <c r="K3642" s="9">
        <f t="shared" si="113"/>
        <v>1.2473854171840129</v>
      </c>
    </row>
    <row r="3643" spans="1:11" x14ac:dyDescent="0.3">
      <c r="A3643">
        <v>1258</v>
      </c>
      <c r="B3643">
        <v>1</v>
      </c>
      <c r="C3643">
        <v>94</v>
      </c>
      <c r="D3643" t="str">
        <f>VLOOKUP($C3643,products!$A$1:$F$322,MATCH(order_items!$D$1,products!$A$1:$F$1,0),FALSE)</f>
        <v>Haro Shredder Pro 20 - 2017</v>
      </c>
      <c r="E3643">
        <f>VLOOKUP($C3643,products!$A$1:$F$322,MATCH(order_items!$E$1,products!$A$1:$F$1,0),FALSE)</f>
        <v>1</v>
      </c>
      <c r="F3643" t="str">
        <f>VLOOKUP($E3643,categories!$A$1:$B$8,MATCH(order_items!$F$1,categories!$A$1:$B$1,0),FALSE)</f>
        <v>Children Bicycles</v>
      </c>
      <c r="G3643">
        <v>2</v>
      </c>
      <c r="H3643">
        <v>249.99</v>
      </c>
      <c r="I3643" s="5">
        <v>0.1</v>
      </c>
      <c r="J3643">
        <f t="shared" si="112"/>
        <v>449.98200000000003</v>
      </c>
      <c r="K3643" s="9">
        <f t="shared" si="113"/>
        <v>-0.71172462139554982</v>
      </c>
    </row>
    <row r="3644" spans="1:11" x14ac:dyDescent="0.3">
      <c r="A3644">
        <v>1258</v>
      </c>
      <c r="B3644">
        <v>2</v>
      </c>
      <c r="C3644">
        <v>99</v>
      </c>
      <c r="D3644" t="str">
        <f>VLOOKUP($C3644,products!$A$1:$F$322,MATCH(order_items!$D$1,products!$A$1:$F$1,0),FALSE)</f>
        <v>Electra Sugar Skulls 1 (20-inch) - Girl's - 2017</v>
      </c>
      <c r="E3644">
        <f>VLOOKUP($C3644,products!$A$1:$F$322,MATCH(order_items!$E$1,products!$A$1:$F$1,0),FALSE)</f>
        <v>1</v>
      </c>
      <c r="F3644" t="str">
        <f>VLOOKUP($E3644,categories!$A$1:$B$8,MATCH(order_items!$F$1,categories!$A$1:$B$1,0),FALSE)</f>
        <v>Children Bicycles</v>
      </c>
      <c r="G3644">
        <v>2</v>
      </c>
      <c r="H3644">
        <v>299.99</v>
      </c>
      <c r="I3644" s="5">
        <v>0.05</v>
      </c>
      <c r="J3644">
        <f t="shared" si="112"/>
        <v>569.98099999999999</v>
      </c>
      <c r="K3644" s="9">
        <f t="shared" si="113"/>
        <v>-0.67476028104499197</v>
      </c>
    </row>
    <row r="3645" spans="1:11" x14ac:dyDescent="0.3">
      <c r="A3645">
        <v>1259</v>
      </c>
      <c r="B3645">
        <v>1</v>
      </c>
      <c r="C3645">
        <v>60</v>
      </c>
      <c r="D3645" t="str">
        <f>VLOOKUP($C3645,products!$A$1:$F$322,MATCH(order_items!$D$1,products!$A$1:$F$1,0),FALSE)</f>
        <v>Sun Bicycles ElectroLite - 2017</v>
      </c>
      <c r="E3645">
        <f>VLOOKUP($C3645,products!$A$1:$F$322,MATCH(order_items!$E$1,products!$A$1:$F$1,0),FALSE)</f>
        <v>5</v>
      </c>
      <c r="F3645" t="str">
        <f>VLOOKUP($E3645,categories!$A$1:$B$8,MATCH(order_items!$F$1,categories!$A$1:$B$1,0),FALSE)</f>
        <v>Electric Bikes</v>
      </c>
      <c r="G3645">
        <v>1</v>
      </c>
      <c r="H3645">
        <v>1559.99</v>
      </c>
      <c r="I3645" s="5">
        <v>0.1</v>
      </c>
      <c r="J3645">
        <f t="shared" si="112"/>
        <v>1403.991</v>
      </c>
      <c r="K3645" s="9">
        <f t="shared" si="113"/>
        <v>0.25674109578906423</v>
      </c>
    </row>
    <row r="3646" spans="1:11" x14ac:dyDescent="0.3">
      <c r="A3646">
        <v>1259</v>
      </c>
      <c r="B3646">
        <v>2</v>
      </c>
      <c r="C3646">
        <v>19</v>
      </c>
      <c r="D3646" t="str">
        <f>VLOOKUP($C3646,products!$A$1:$F$322,MATCH(order_items!$D$1,products!$A$1:$F$1,0),FALSE)</f>
        <v>Pure Cycles William 3-Speed - 2016</v>
      </c>
      <c r="E3646">
        <f>VLOOKUP($C3646,products!$A$1:$F$322,MATCH(order_items!$E$1,products!$A$1:$F$1,0),FALSE)</f>
        <v>3</v>
      </c>
      <c r="F3646" t="str">
        <f>VLOOKUP($E3646,categories!$A$1:$B$8,MATCH(order_items!$F$1,categories!$A$1:$B$1,0),FALSE)</f>
        <v>Cruisers Bicycles</v>
      </c>
      <c r="G3646">
        <v>1</v>
      </c>
      <c r="H3646">
        <v>449</v>
      </c>
      <c r="I3646" s="5">
        <v>0.2</v>
      </c>
      <c r="J3646">
        <f t="shared" si="112"/>
        <v>359.20000000000005</v>
      </c>
      <c r="K3646" s="9">
        <f t="shared" si="113"/>
        <v>-0.56459915393225968</v>
      </c>
    </row>
    <row r="3647" spans="1:11" x14ac:dyDescent="0.3">
      <c r="A3647">
        <v>1260</v>
      </c>
      <c r="B3647">
        <v>1</v>
      </c>
      <c r="C3647">
        <v>8</v>
      </c>
      <c r="D3647" t="str">
        <f>VLOOKUP($C3647,products!$A$1:$F$322,MATCH(order_items!$D$1,products!$A$1:$F$1,0),FALSE)</f>
        <v>Trek Remedy 29 Carbon Frameset - 2016</v>
      </c>
      <c r="E3647">
        <f>VLOOKUP($C3647,products!$A$1:$F$322,MATCH(order_items!$E$1,products!$A$1:$F$1,0),FALSE)</f>
        <v>6</v>
      </c>
      <c r="F3647" t="str">
        <f>VLOOKUP($E3647,categories!$A$1:$B$8,MATCH(order_items!$F$1,categories!$A$1:$B$1,0),FALSE)</f>
        <v>Mountain Bikes</v>
      </c>
      <c r="G3647">
        <v>1</v>
      </c>
      <c r="H3647">
        <v>1799.99</v>
      </c>
      <c r="I3647" s="5">
        <v>0.1</v>
      </c>
      <c r="J3647">
        <f t="shared" si="112"/>
        <v>1619.991</v>
      </c>
      <c r="K3647" s="9">
        <f t="shared" si="113"/>
        <v>0.43416992947174166</v>
      </c>
    </row>
    <row r="3648" spans="1:11" x14ac:dyDescent="0.3">
      <c r="A3648">
        <v>1260</v>
      </c>
      <c r="B3648">
        <v>2</v>
      </c>
      <c r="C3648">
        <v>66</v>
      </c>
      <c r="D3648" t="str">
        <f>VLOOKUP($C3648,products!$A$1:$F$322,MATCH(order_items!$D$1,products!$A$1:$F$1,0),FALSE)</f>
        <v>Sun Bicycles Revolutions 24 - 2017</v>
      </c>
      <c r="E3648">
        <f>VLOOKUP($C3648,products!$A$1:$F$322,MATCH(order_items!$E$1,products!$A$1:$F$1,0),FALSE)</f>
        <v>3</v>
      </c>
      <c r="F3648" t="str">
        <f>VLOOKUP($E3648,categories!$A$1:$B$8,MATCH(order_items!$F$1,categories!$A$1:$B$1,0),FALSE)</f>
        <v>Cruisers Bicycles</v>
      </c>
      <c r="G3648">
        <v>1</v>
      </c>
      <c r="H3648">
        <v>250.99</v>
      </c>
      <c r="I3648" s="5">
        <v>0.1</v>
      </c>
      <c r="J3648">
        <f t="shared" si="112"/>
        <v>225.89100000000002</v>
      </c>
      <c r="K3648" s="9">
        <f t="shared" si="113"/>
        <v>-0.71098533458853863</v>
      </c>
    </row>
    <row r="3649" spans="1:11" x14ac:dyDescent="0.3">
      <c r="A3649">
        <v>1261</v>
      </c>
      <c r="B3649">
        <v>1</v>
      </c>
      <c r="C3649">
        <v>73</v>
      </c>
      <c r="D3649" t="str">
        <f>VLOOKUP($C3649,products!$A$1:$F$322,MATCH(order_items!$D$1,products!$A$1:$F$1,0),FALSE)</f>
        <v>Sun Bicycles Brickell Tandem 7 - 2017</v>
      </c>
      <c r="E3649">
        <f>VLOOKUP($C3649,products!$A$1:$F$322,MATCH(order_items!$E$1,products!$A$1:$F$1,0),FALSE)</f>
        <v>3</v>
      </c>
      <c r="F3649" t="str">
        <f>VLOOKUP($E3649,categories!$A$1:$B$8,MATCH(order_items!$F$1,categories!$A$1:$B$1,0),FALSE)</f>
        <v>Cruisers Bicycles</v>
      </c>
      <c r="G3649">
        <v>1</v>
      </c>
      <c r="H3649">
        <v>749.99</v>
      </c>
      <c r="I3649" s="5">
        <v>0.2</v>
      </c>
      <c r="J3649">
        <f t="shared" si="112"/>
        <v>599.99200000000008</v>
      </c>
      <c r="K3649" s="9">
        <f t="shared" si="113"/>
        <v>-0.34208121788997192</v>
      </c>
    </row>
    <row r="3650" spans="1:11" x14ac:dyDescent="0.3">
      <c r="A3650">
        <v>1261</v>
      </c>
      <c r="B3650">
        <v>2</v>
      </c>
      <c r="C3650">
        <v>88</v>
      </c>
      <c r="D3650" t="str">
        <f>VLOOKUP($C3650,products!$A$1:$F$322,MATCH(order_items!$D$1,products!$A$1:$F$1,0),FALSE)</f>
        <v>Trek Precaliber 12 Girls - 2017</v>
      </c>
      <c r="E3650">
        <f>VLOOKUP($C3650,products!$A$1:$F$322,MATCH(order_items!$E$1,products!$A$1:$F$1,0),FALSE)</f>
        <v>1</v>
      </c>
      <c r="F3650" t="str">
        <f>VLOOKUP($E3650,categories!$A$1:$B$8,MATCH(order_items!$F$1,categories!$A$1:$B$1,0),FALSE)</f>
        <v>Children Bicycles</v>
      </c>
      <c r="G3650">
        <v>2</v>
      </c>
      <c r="H3650">
        <v>189.99</v>
      </c>
      <c r="I3650" s="5">
        <v>0.2</v>
      </c>
      <c r="J3650">
        <f t="shared" ref="J3650:J3713" si="114">G3650*H3650*(1-I3650)</f>
        <v>303.98400000000004</v>
      </c>
      <c r="K3650" s="9">
        <f t="shared" ref="K3650:K3713" si="115">($H3650-$M$7)/$M$9</f>
        <v>-0.75608182981621919</v>
      </c>
    </row>
    <row r="3651" spans="1:11" x14ac:dyDescent="0.3">
      <c r="A3651">
        <v>1261</v>
      </c>
      <c r="B3651">
        <v>3</v>
      </c>
      <c r="C3651">
        <v>100</v>
      </c>
      <c r="D3651" t="str">
        <f>VLOOKUP($C3651,products!$A$1:$F$322,MATCH(order_items!$D$1,products!$A$1:$F$1,0),FALSE)</f>
        <v>Electra Townie 3i EQ (20-inch) - Boys' - 2017</v>
      </c>
      <c r="E3651">
        <f>VLOOKUP($C3651,products!$A$1:$F$322,MATCH(order_items!$E$1,products!$A$1:$F$1,0),FALSE)</f>
        <v>1</v>
      </c>
      <c r="F3651" t="str">
        <f>VLOOKUP($E3651,categories!$A$1:$B$8,MATCH(order_items!$F$1,categories!$A$1:$B$1,0),FALSE)</f>
        <v>Children Bicycles</v>
      </c>
      <c r="G3651">
        <v>1</v>
      </c>
      <c r="H3651">
        <v>489.99</v>
      </c>
      <c r="I3651" s="5">
        <v>0.05</v>
      </c>
      <c r="J3651">
        <f t="shared" si="114"/>
        <v>465.4905</v>
      </c>
      <c r="K3651" s="9">
        <f t="shared" si="115"/>
        <v>-0.53429578771287245</v>
      </c>
    </row>
    <row r="3652" spans="1:11" x14ac:dyDescent="0.3">
      <c r="A3652">
        <v>1261</v>
      </c>
      <c r="B3652">
        <v>4</v>
      </c>
      <c r="C3652">
        <v>42</v>
      </c>
      <c r="D3652" t="str">
        <f>VLOOKUP($C3652,products!$A$1:$F$322,MATCH(order_items!$D$1,products!$A$1:$F$1,0),FALSE)</f>
        <v>Trek Fuel EX 5 27.5 Plus - 2017</v>
      </c>
      <c r="E3652">
        <f>VLOOKUP($C3652,products!$A$1:$F$322,MATCH(order_items!$E$1,products!$A$1:$F$1,0),FALSE)</f>
        <v>6</v>
      </c>
      <c r="F3652" t="str">
        <f>VLOOKUP($E3652,categories!$A$1:$B$8,MATCH(order_items!$F$1,categories!$A$1:$B$1,0),FALSE)</f>
        <v>Mountain Bikes</v>
      </c>
      <c r="G3652">
        <v>1</v>
      </c>
      <c r="H3652">
        <v>2299.9899999999998</v>
      </c>
      <c r="I3652" s="5">
        <v>0.1</v>
      </c>
      <c r="J3652">
        <f t="shared" si="114"/>
        <v>2069.991</v>
      </c>
      <c r="K3652" s="9">
        <f t="shared" si="115"/>
        <v>0.80381333297731938</v>
      </c>
    </row>
    <row r="3653" spans="1:11" x14ac:dyDescent="0.3">
      <c r="A3653">
        <v>1262</v>
      </c>
      <c r="B3653">
        <v>1</v>
      </c>
      <c r="C3653">
        <v>37</v>
      </c>
      <c r="D3653" t="str">
        <f>VLOOKUP($C3653,products!$A$1:$F$322,MATCH(order_items!$D$1,products!$A$1:$F$1,0),FALSE)</f>
        <v>Haro Flightline One ST - 2017</v>
      </c>
      <c r="E3653">
        <f>VLOOKUP($C3653,products!$A$1:$F$322,MATCH(order_items!$E$1,products!$A$1:$F$1,0),FALSE)</f>
        <v>6</v>
      </c>
      <c r="F3653" t="str">
        <f>VLOOKUP($E3653,categories!$A$1:$B$8,MATCH(order_items!$F$1,categories!$A$1:$B$1,0),FALSE)</f>
        <v>Mountain Bikes</v>
      </c>
      <c r="G3653">
        <v>1</v>
      </c>
      <c r="H3653">
        <v>379.99</v>
      </c>
      <c r="I3653" s="5">
        <v>7.0000000000000007E-2</v>
      </c>
      <c r="J3653">
        <f t="shared" si="114"/>
        <v>353.39069999999998</v>
      </c>
      <c r="K3653" s="9">
        <f t="shared" si="115"/>
        <v>-0.61561733648409955</v>
      </c>
    </row>
    <row r="3654" spans="1:11" x14ac:dyDescent="0.3">
      <c r="A3654">
        <v>1262</v>
      </c>
      <c r="B3654">
        <v>2</v>
      </c>
      <c r="C3654">
        <v>52</v>
      </c>
      <c r="D3654" t="str">
        <f>VLOOKUP($C3654,products!$A$1:$F$322,MATCH(order_items!$D$1,products!$A$1:$F$1,0),FALSE)</f>
        <v>Surly Steamroller - 2017</v>
      </c>
      <c r="E3654">
        <f>VLOOKUP($C3654,products!$A$1:$F$322,MATCH(order_items!$E$1,products!$A$1:$F$1,0),FALSE)</f>
        <v>7</v>
      </c>
      <c r="F3654" t="str">
        <f>VLOOKUP($E3654,categories!$A$1:$B$8,MATCH(order_items!$F$1,categories!$A$1:$B$1,0),FALSE)</f>
        <v>Road Bikes</v>
      </c>
      <c r="G3654">
        <v>1</v>
      </c>
      <c r="H3654">
        <v>875.99</v>
      </c>
      <c r="I3654" s="5">
        <v>0.05</v>
      </c>
      <c r="J3654">
        <f t="shared" si="114"/>
        <v>832.19049999999993</v>
      </c>
      <c r="K3654" s="9">
        <f t="shared" si="115"/>
        <v>-0.24893108020656629</v>
      </c>
    </row>
    <row r="3655" spans="1:11" x14ac:dyDescent="0.3">
      <c r="A3655">
        <v>1262</v>
      </c>
      <c r="B3655">
        <v>3</v>
      </c>
      <c r="C3655">
        <v>43</v>
      </c>
      <c r="D3655" t="str">
        <f>VLOOKUP($C3655,products!$A$1:$F$322,MATCH(order_items!$D$1,products!$A$1:$F$1,0),FALSE)</f>
        <v>Trek Fuel EX 9.8 27.5 Plus - 2017</v>
      </c>
      <c r="E3655">
        <f>VLOOKUP($C3655,products!$A$1:$F$322,MATCH(order_items!$E$1,products!$A$1:$F$1,0),FALSE)</f>
        <v>6</v>
      </c>
      <c r="F3655" t="str">
        <f>VLOOKUP($E3655,categories!$A$1:$B$8,MATCH(order_items!$F$1,categories!$A$1:$B$1,0),FALSE)</f>
        <v>Mountain Bikes</v>
      </c>
      <c r="G3655">
        <v>2</v>
      </c>
      <c r="H3655">
        <v>5299.99</v>
      </c>
      <c r="I3655" s="5">
        <v>7.0000000000000007E-2</v>
      </c>
      <c r="J3655">
        <f t="shared" si="114"/>
        <v>9857.9813999999988</v>
      </c>
      <c r="K3655" s="9">
        <f t="shared" si="115"/>
        <v>3.021673754010787</v>
      </c>
    </row>
    <row r="3656" spans="1:11" x14ac:dyDescent="0.3">
      <c r="A3656">
        <v>1262</v>
      </c>
      <c r="B3656">
        <v>4</v>
      </c>
      <c r="C3656">
        <v>77</v>
      </c>
      <c r="D3656" t="str">
        <f>VLOOKUP($C3656,products!$A$1:$F$322,MATCH(order_items!$D$1,products!$A$1:$F$1,0),FALSE)</f>
        <v>Electra Glam Punk 3i Ladies' - 2017</v>
      </c>
      <c r="E3656">
        <f>VLOOKUP($C3656,products!$A$1:$F$322,MATCH(order_items!$E$1,products!$A$1:$F$1,0),FALSE)</f>
        <v>3</v>
      </c>
      <c r="F3656" t="str">
        <f>VLOOKUP($E3656,categories!$A$1:$B$8,MATCH(order_items!$F$1,categories!$A$1:$B$1,0),FALSE)</f>
        <v>Cruisers Bicycles</v>
      </c>
      <c r="G3656">
        <v>1</v>
      </c>
      <c r="H3656">
        <v>799.99</v>
      </c>
      <c r="I3656" s="5">
        <v>7.0000000000000007E-2</v>
      </c>
      <c r="J3656">
        <f t="shared" si="114"/>
        <v>743.99069999999995</v>
      </c>
      <c r="K3656" s="9">
        <f t="shared" si="115"/>
        <v>-0.30511687753941413</v>
      </c>
    </row>
    <row r="3657" spans="1:11" x14ac:dyDescent="0.3">
      <c r="A3657">
        <v>1263</v>
      </c>
      <c r="B3657">
        <v>1</v>
      </c>
      <c r="C3657">
        <v>45</v>
      </c>
      <c r="D3657" t="str">
        <f>VLOOKUP($C3657,products!$A$1:$F$322,MATCH(order_items!$D$1,products!$A$1:$F$1,0),FALSE)</f>
        <v>Haro SR 1.2 - 2017</v>
      </c>
      <c r="E3657">
        <f>VLOOKUP($C3657,products!$A$1:$F$322,MATCH(order_items!$E$1,products!$A$1:$F$1,0),FALSE)</f>
        <v>6</v>
      </c>
      <c r="F3657" t="str">
        <f>VLOOKUP($E3657,categories!$A$1:$B$8,MATCH(order_items!$F$1,categories!$A$1:$B$1,0),FALSE)</f>
        <v>Mountain Bikes</v>
      </c>
      <c r="G3657">
        <v>1</v>
      </c>
      <c r="H3657">
        <v>869.99</v>
      </c>
      <c r="I3657" s="5">
        <v>0.2</v>
      </c>
      <c r="J3657">
        <f t="shared" si="114"/>
        <v>695.99200000000008</v>
      </c>
      <c r="K3657" s="9">
        <f t="shared" si="115"/>
        <v>-0.25336680104863324</v>
      </c>
    </row>
    <row r="3658" spans="1:11" x14ac:dyDescent="0.3">
      <c r="A3658">
        <v>1263</v>
      </c>
      <c r="B3658">
        <v>2</v>
      </c>
      <c r="C3658">
        <v>62</v>
      </c>
      <c r="D3658" t="str">
        <f>VLOOKUP($C3658,products!$A$1:$F$322,MATCH(order_items!$D$1,products!$A$1:$F$1,0),FALSE)</f>
        <v>Trek Boone 7 - 2017</v>
      </c>
      <c r="E3658">
        <f>VLOOKUP($C3658,products!$A$1:$F$322,MATCH(order_items!$E$1,products!$A$1:$F$1,0),FALSE)</f>
        <v>4</v>
      </c>
      <c r="F3658" t="str">
        <f>VLOOKUP($E3658,categories!$A$1:$B$8,MATCH(order_items!$F$1,categories!$A$1:$B$1,0),FALSE)</f>
        <v>Cyclocross Bicycles</v>
      </c>
      <c r="G3658">
        <v>1</v>
      </c>
      <c r="H3658">
        <v>3499.99</v>
      </c>
      <c r="I3658" s="5">
        <v>0.05</v>
      </c>
      <c r="J3658">
        <f t="shared" si="114"/>
        <v>3324.9904999999994</v>
      </c>
      <c r="K3658" s="9">
        <f t="shared" si="115"/>
        <v>1.6909575013907066</v>
      </c>
    </row>
    <row r="3659" spans="1:11" x14ac:dyDescent="0.3">
      <c r="A3659">
        <v>1263</v>
      </c>
      <c r="B3659">
        <v>3</v>
      </c>
      <c r="C3659">
        <v>19</v>
      </c>
      <c r="D3659" t="str">
        <f>VLOOKUP($C3659,products!$A$1:$F$322,MATCH(order_items!$D$1,products!$A$1:$F$1,0),FALSE)</f>
        <v>Pure Cycles William 3-Speed - 2016</v>
      </c>
      <c r="E3659">
        <f>VLOOKUP($C3659,products!$A$1:$F$322,MATCH(order_items!$E$1,products!$A$1:$F$1,0),FALSE)</f>
        <v>3</v>
      </c>
      <c r="F3659" t="str">
        <f>VLOOKUP($E3659,categories!$A$1:$B$8,MATCH(order_items!$F$1,categories!$A$1:$B$1,0),FALSE)</f>
        <v>Cruisers Bicycles</v>
      </c>
      <c r="G3659">
        <v>2</v>
      </c>
      <c r="H3659">
        <v>449</v>
      </c>
      <c r="I3659" s="5">
        <v>0.1</v>
      </c>
      <c r="J3659">
        <f t="shared" si="114"/>
        <v>808.2</v>
      </c>
      <c r="K3659" s="9">
        <f t="shared" si="115"/>
        <v>-0.56459915393225968</v>
      </c>
    </row>
    <row r="3660" spans="1:11" x14ac:dyDescent="0.3">
      <c r="A3660">
        <v>1264</v>
      </c>
      <c r="B3660">
        <v>1</v>
      </c>
      <c r="C3660">
        <v>101</v>
      </c>
      <c r="D3660" t="str">
        <f>VLOOKUP($C3660,products!$A$1:$F$322,MATCH(order_items!$D$1,products!$A$1:$F$1,0),FALSE)</f>
        <v>Electra Townie 7D (20-inch) - Boys' - 2017</v>
      </c>
      <c r="E3660">
        <f>VLOOKUP($C3660,products!$A$1:$F$322,MATCH(order_items!$E$1,products!$A$1:$F$1,0),FALSE)</f>
        <v>1</v>
      </c>
      <c r="F3660" t="str">
        <f>VLOOKUP($E3660,categories!$A$1:$B$8,MATCH(order_items!$F$1,categories!$A$1:$B$1,0),FALSE)</f>
        <v>Children Bicycles</v>
      </c>
      <c r="G3660">
        <v>1</v>
      </c>
      <c r="H3660">
        <v>339.99</v>
      </c>
      <c r="I3660" s="5">
        <v>7.0000000000000007E-2</v>
      </c>
      <c r="J3660">
        <f t="shared" si="114"/>
        <v>316.19069999999999</v>
      </c>
      <c r="K3660" s="9">
        <f t="shared" si="115"/>
        <v>-0.64518880876454576</v>
      </c>
    </row>
    <row r="3661" spans="1:11" x14ac:dyDescent="0.3">
      <c r="A3661">
        <v>1264</v>
      </c>
      <c r="B3661">
        <v>2</v>
      </c>
      <c r="C3661">
        <v>77</v>
      </c>
      <c r="D3661" t="str">
        <f>VLOOKUP($C3661,products!$A$1:$F$322,MATCH(order_items!$D$1,products!$A$1:$F$1,0),FALSE)</f>
        <v>Electra Glam Punk 3i Ladies' - 2017</v>
      </c>
      <c r="E3661">
        <f>VLOOKUP($C3661,products!$A$1:$F$322,MATCH(order_items!$E$1,products!$A$1:$F$1,0),FALSE)</f>
        <v>3</v>
      </c>
      <c r="F3661" t="str">
        <f>VLOOKUP($E3661,categories!$A$1:$B$8,MATCH(order_items!$F$1,categories!$A$1:$B$1,0),FALSE)</f>
        <v>Cruisers Bicycles</v>
      </c>
      <c r="G3661">
        <v>2</v>
      </c>
      <c r="H3661">
        <v>799.99</v>
      </c>
      <c r="I3661" s="5">
        <v>7.0000000000000007E-2</v>
      </c>
      <c r="J3661">
        <f t="shared" si="114"/>
        <v>1487.9813999999999</v>
      </c>
      <c r="K3661" s="9">
        <f t="shared" si="115"/>
        <v>-0.30511687753941413</v>
      </c>
    </row>
    <row r="3662" spans="1:11" x14ac:dyDescent="0.3">
      <c r="A3662">
        <v>1264</v>
      </c>
      <c r="B3662">
        <v>3</v>
      </c>
      <c r="C3662">
        <v>29</v>
      </c>
      <c r="D3662" t="str">
        <f>VLOOKUP($C3662,products!$A$1:$F$322,MATCH(order_items!$D$1,products!$A$1:$F$1,0),FALSE)</f>
        <v>Trek X-Caliber 8 - 2017</v>
      </c>
      <c r="E3662">
        <f>VLOOKUP($C3662,products!$A$1:$F$322,MATCH(order_items!$E$1,products!$A$1:$F$1,0),FALSE)</f>
        <v>6</v>
      </c>
      <c r="F3662" t="str">
        <f>VLOOKUP($E3662,categories!$A$1:$B$8,MATCH(order_items!$F$1,categories!$A$1:$B$1,0),FALSE)</f>
        <v>Mountain Bikes</v>
      </c>
      <c r="G3662">
        <v>2</v>
      </c>
      <c r="H3662">
        <v>999.99</v>
      </c>
      <c r="I3662" s="5">
        <v>0.2</v>
      </c>
      <c r="J3662">
        <f t="shared" si="114"/>
        <v>1599.9840000000002</v>
      </c>
      <c r="K3662" s="9">
        <f t="shared" si="115"/>
        <v>-0.15725951613718298</v>
      </c>
    </row>
    <row r="3663" spans="1:11" x14ac:dyDescent="0.3">
      <c r="A3663">
        <v>1264</v>
      </c>
      <c r="B3663">
        <v>4</v>
      </c>
      <c r="C3663">
        <v>52</v>
      </c>
      <c r="D3663" t="str">
        <f>VLOOKUP($C3663,products!$A$1:$F$322,MATCH(order_items!$D$1,products!$A$1:$F$1,0),FALSE)</f>
        <v>Surly Steamroller - 2017</v>
      </c>
      <c r="E3663">
        <f>VLOOKUP($C3663,products!$A$1:$F$322,MATCH(order_items!$E$1,products!$A$1:$F$1,0),FALSE)</f>
        <v>7</v>
      </c>
      <c r="F3663" t="str">
        <f>VLOOKUP($E3663,categories!$A$1:$B$8,MATCH(order_items!$F$1,categories!$A$1:$B$1,0),FALSE)</f>
        <v>Road Bikes</v>
      </c>
      <c r="G3663">
        <v>1</v>
      </c>
      <c r="H3663">
        <v>875.99</v>
      </c>
      <c r="I3663" s="5">
        <v>0.05</v>
      </c>
      <c r="J3663">
        <f t="shared" si="114"/>
        <v>832.19049999999993</v>
      </c>
      <c r="K3663" s="9">
        <f t="shared" si="115"/>
        <v>-0.24893108020656629</v>
      </c>
    </row>
    <row r="3664" spans="1:11" x14ac:dyDescent="0.3">
      <c r="A3664">
        <v>1265</v>
      </c>
      <c r="B3664">
        <v>1</v>
      </c>
      <c r="C3664">
        <v>41</v>
      </c>
      <c r="D3664" t="str">
        <f>VLOOKUP($C3664,products!$A$1:$F$322,MATCH(order_items!$D$1,products!$A$1:$F$1,0),FALSE)</f>
        <v>Haro Shift R3 - 2017</v>
      </c>
      <c r="E3664">
        <f>VLOOKUP($C3664,products!$A$1:$F$322,MATCH(order_items!$E$1,products!$A$1:$F$1,0),FALSE)</f>
        <v>6</v>
      </c>
      <c r="F3664" t="str">
        <f>VLOOKUP($E3664,categories!$A$1:$B$8,MATCH(order_items!$F$1,categories!$A$1:$B$1,0),FALSE)</f>
        <v>Mountain Bikes</v>
      </c>
      <c r="G3664">
        <v>2</v>
      </c>
      <c r="H3664">
        <v>1469.99</v>
      </c>
      <c r="I3664" s="5">
        <v>0.1</v>
      </c>
      <c r="J3664">
        <f t="shared" si="114"/>
        <v>2645.982</v>
      </c>
      <c r="K3664" s="9">
        <f t="shared" si="115"/>
        <v>0.19020528315806023</v>
      </c>
    </row>
    <row r="3665" spans="1:11" x14ac:dyDescent="0.3">
      <c r="A3665">
        <v>1265</v>
      </c>
      <c r="B3665">
        <v>2</v>
      </c>
      <c r="C3665">
        <v>72</v>
      </c>
      <c r="D3665" t="str">
        <f>VLOOKUP($C3665,products!$A$1:$F$322,MATCH(order_items!$D$1,products!$A$1:$F$1,0),FALSE)</f>
        <v>Sun Bicycles Biscayne Tandem 7 - 2017</v>
      </c>
      <c r="E3665">
        <f>VLOOKUP($C3665,products!$A$1:$F$322,MATCH(order_items!$E$1,products!$A$1:$F$1,0),FALSE)</f>
        <v>3</v>
      </c>
      <c r="F3665" t="str">
        <f>VLOOKUP($E3665,categories!$A$1:$B$8,MATCH(order_items!$F$1,categories!$A$1:$B$1,0),FALSE)</f>
        <v>Cruisers Bicycles</v>
      </c>
      <c r="G3665">
        <v>2</v>
      </c>
      <c r="H3665">
        <v>619.99</v>
      </c>
      <c r="I3665" s="5">
        <v>7.0000000000000007E-2</v>
      </c>
      <c r="J3665">
        <f t="shared" si="114"/>
        <v>1153.1813999999999</v>
      </c>
      <c r="K3665" s="9">
        <f t="shared" si="115"/>
        <v>-0.43818850280142219</v>
      </c>
    </row>
    <row r="3666" spans="1:11" x14ac:dyDescent="0.3">
      <c r="A3666">
        <v>1266</v>
      </c>
      <c r="B3666">
        <v>1</v>
      </c>
      <c r="C3666">
        <v>90</v>
      </c>
      <c r="D3666" t="str">
        <f>VLOOKUP($C3666,products!$A$1:$F$322,MATCH(order_items!$D$1,products!$A$1:$F$1,0),FALSE)</f>
        <v>Trek Precaliber 16 Girls - 2017</v>
      </c>
      <c r="E3666">
        <f>VLOOKUP($C3666,products!$A$1:$F$322,MATCH(order_items!$E$1,products!$A$1:$F$1,0),FALSE)</f>
        <v>1</v>
      </c>
      <c r="F3666" t="str">
        <f>VLOOKUP($E3666,categories!$A$1:$B$8,MATCH(order_items!$F$1,categories!$A$1:$B$1,0),FALSE)</f>
        <v>Children Bicycles</v>
      </c>
      <c r="G3666">
        <v>1</v>
      </c>
      <c r="H3666">
        <v>209.99</v>
      </c>
      <c r="I3666" s="5">
        <v>0.2</v>
      </c>
      <c r="J3666">
        <f t="shared" si="114"/>
        <v>167.99200000000002</v>
      </c>
      <c r="K3666" s="9">
        <f t="shared" si="115"/>
        <v>-0.74129609367599603</v>
      </c>
    </row>
    <row r="3667" spans="1:11" x14ac:dyDescent="0.3">
      <c r="A3667">
        <v>1266</v>
      </c>
      <c r="B3667">
        <v>2</v>
      </c>
      <c r="C3667">
        <v>48</v>
      </c>
      <c r="D3667" t="str">
        <f>VLOOKUP($C3667,products!$A$1:$F$322,MATCH(order_items!$D$1,products!$A$1:$F$1,0),FALSE)</f>
        <v>Trek Emonda S 4 - 2017</v>
      </c>
      <c r="E3667">
        <f>VLOOKUP($C3667,products!$A$1:$F$322,MATCH(order_items!$E$1,products!$A$1:$F$1,0),FALSE)</f>
        <v>7</v>
      </c>
      <c r="F3667" t="str">
        <f>VLOOKUP($E3667,categories!$A$1:$B$8,MATCH(order_items!$F$1,categories!$A$1:$B$1,0),FALSE)</f>
        <v>Road Bikes</v>
      </c>
      <c r="G3667">
        <v>1</v>
      </c>
      <c r="H3667">
        <v>1499.99</v>
      </c>
      <c r="I3667" s="5">
        <v>0.2</v>
      </c>
      <c r="J3667">
        <f t="shared" si="114"/>
        <v>1199.992</v>
      </c>
      <c r="K3667" s="9">
        <f t="shared" si="115"/>
        <v>0.21238388736839492</v>
      </c>
    </row>
    <row r="3668" spans="1:11" x14ac:dyDescent="0.3">
      <c r="A3668">
        <v>1267</v>
      </c>
      <c r="B3668">
        <v>1</v>
      </c>
      <c r="C3668">
        <v>45</v>
      </c>
      <c r="D3668" t="str">
        <f>VLOOKUP($C3668,products!$A$1:$F$322,MATCH(order_items!$D$1,products!$A$1:$F$1,0),FALSE)</f>
        <v>Haro SR 1.2 - 2017</v>
      </c>
      <c r="E3668">
        <f>VLOOKUP($C3668,products!$A$1:$F$322,MATCH(order_items!$E$1,products!$A$1:$F$1,0),FALSE)</f>
        <v>6</v>
      </c>
      <c r="F3668" t="str">
        <f>VLOOKUP($E3668,categories!$A$1:$B$8,MATCH(order_items!$F$1,categories!$A$1:$B$1,0),FALSE)</f>
        <v>Mountain Bikes</v>
      </c>
      <c r="G3668">
        <v>1</v>
      </c>
      <c r="H3668">
        <v>869.99</v>
      </c>
      <c r="I3668" s="5">
        <v>0.1</v>
      </c>
      <c r="J3668">
        <f t="shared" si="114"/>
        <v>782.99099999999999</v>
      </c>
      <c r="K3668" s="9">
        <f t="shared" si="115"/>
        <v>-0.25336680104863324</v>
      </c>
    </row>
    <row r="3669" spans="1:11" x14ac:dyDescent="0.3">
      <c r="A3669">
        <v>1267</v>
      </c>
      <c r="B3669">
        <v>2</v>
      </c>
      <c r="C3669">
        <v>27</v>
      </c>
      <c r="D3669" t="str">
        <f>VLOOKUP($C3669,products!$A$1:$F$322,MATCH(order_items!$D$1,products!$A$1:$F$1,0),FALSE)</f>
        <v>Surly Big Dummy Frameset - 2017</v>
      </c>
      <c r="E3669">
        <f>VLOOKUP($C3669,products!$A$1:$F$322,MATCH(order_items!$E$1,products!$A$1:$F$1,0),FALSE)</f>
        <v>6</v>
      </c>
      <c r="F3669" t="str">
        <f>VLOOKUP($E3669,categories!$A$1:$B$8,MATCH(order_items!$F$1,categories!$A$1:$B$1,0),FALSE)</f>
        <v>Mountain Bikes</v>
      </c>
      <c r="G3669">
        <v>1</v>
      </c>
      <c r="H3669">
        <v>999.99</v>
      </c>
      <c r="I3669" s="5">
        <v>7.0000000000000007E-2</v>
      </c>
      <c r="J3669">
        <f t="shared" si="114"/>
        <v>929.99069999999995</v>
      </c>
      <c r="K3669" s="9">
        <f t="shared" si="115"/>
        <v>-0.15725951613718298</v>
      </c>
    </row>
    <row r="3670" spans="1:11" x14ac:dyDescent="0.3">
      <c r="A3670">
        <v>1267</v>
      </c>
      <c r="B3670">
        <v>3</v>
      </c>
      <c r="C3670">
        <v>108</v>
      </c>
      <c r="D3670" t="str">
        <f>VLOOKUP($C3670,products!$A$1:$F$322,MATCH(order_items!$D$1,products!$A$1:$F$1,0),FALSE)</f>
        <v>Sun Bicycles Cruz 3 - Women's - 2017</v>
      </c>
      <c r="E3670">
        <f>VLOOKUP($C3670,products!$A$1:$F$322,MATCH(order_items!$E$1,products!$A$1:$F$1,0),FALSE)</f>
        <v>2</v>
      </c>
      <c r="F3670" t="str">
        <f>VLOOKUP($E3670,categories!$A$1:$B$8,MATCH(order_items!$F$1,categories!$A$1:$B$1,0),FALSE)</f>
        <v>Comfort Bicycles</v>
      </c>
      <c r="G3670">
        <v>1</v>
      </c>
      <c r="H3670">
        <v>449.99</v>
      </c>
      <c r="I3670" s="5">
        <v>0.2</v>
      </c>
      <c r="J3670">
        <f t="shared" si="114"/>
        <v>359.99200000000002</v>
      </c>
      <c r="K3670" s="9">
        <f t="shared" si="115"/>
        <v>-0.56386725999331866</v>
      </c>
    </row>
    <row r="3671" spans="1:11" x14ac:dyDescent="0.3">
      <c r="A3671">
        <v>1267</v>
      </c>
      <c r="B3671">
        <v>4</v>
      </c>
      <c r="C3671">
        <v>95</v>
      </c>
      <c r="D3671" t="str">
        <f>VLOOKUP($C3671,products!$A$1:$F$322,MATCH(order_items!$D$1,products!$A$1:$F$1,0),FALSE)</f>
        <v>Electra Girl's Hawaii 1 16" - 2017</v>
      </c>
      <c r="E3671">
        <f>VLOOKUP($C3671,products!$A$1:$F$322,MATCH(order_items!$E$1,products!$A$1:$F$1,0),FALSE)</f>
        <v>1</v>
      </c>
      <c r="F3671" t="str">
        <f>VLOOKUP($E3671,categories!$A$1:$B$8,MATCH(order_items!$F$1,categories!$A$1:$B$1,0),FALSE)</f>
        <v>Children Bicycles</v>
      </c>
      <c r="G3671">
        <v>1</v>
      </c>
      <c r="H3671">
        <v>299.99</v>
      </c>
      <c r="I3671" s="5">
        <v>0.05</v>
      </c>
      <c r="J3671">
        <f t="shared" si="114"/>
        <v>284.9905</v>
      </c>
      <c r="K3671" s="9">
        <f t="shared" si="115"/>
        <v>-0.67476028104499197</v>
      </c>
    </row>
    <row r="3672" spans="1:11" x14ac:dyDescent="0.3">
      <c r="A3672">
        <v>1268</v>
      </c>
      <c r="B3672">
        <v>1</v>
      </c>
      <c r="C3672">
        <v>68</v>
      </c>
      <c r="D3672" t="str">
        <f>VLOOKUP($C3672,products!$A$1:$F$322,MATCH(order_items!$D$1,products!$A$1:$F$1,0),FALSE)</f>
        <v>Sun Bicycles Cruz 3 - 2017</v>
      </c>
      <c r="E3672">
        <f>VLOOKUP($C3672,products!$A$1:$F$322,MATCH(order_items!$E$1,products!$A$1:$F$1,0),FALSE)</f>
        <v>3</v>
      </c>
      <c r="F3672" t="str">
        <f>VLOOKUP($E3672,categories!$A$1:$B$8,MATCH(order_items!$F$1,categories!$A$1:$B$1,0),FALSE)</f>
        <v>Cruisers Bicycles</v>
      </c>
      <c r="G3672">
        <v>2</v>
      </c>
      <c r="H3672">
        <v>449.99</v>
      </c>
      <c r="I3672" s="5">
        <v>7.0000000000000007E-2</v>
      </c>
      <c r="J3672">
        <f t="shared" si="114"/>
        <v>836.98140000000001</v>
      </c>
      <c r="K3672" s="9">
        <f t="shared" si="115"/>
        <v>-0.56386725999331866</v>
      </c>
    </row>
    <row r="3673" spans="1:11" x14ac:dyDescent="0.3">
      <c r="A3673">
        <v>1268</v>
      </c>
      <c r="B3673">
        <v>2</v>
      </c>
      <c r="C3673">
        <v>87</v>
      </c>
      <c r="D3673" t="str">
        <f>VLOOKUP($C3673,products!$A$1:$F$322,MATCH(order_items!$D$1,products!$A$1:$F$1,0),FALSE)</f>
        <v>Trek Precaliber 12 Boys - 2017</v>
      </c>
      <c r="E3673">
        <f>VLOOKUP($C3673,products!$A$1:$F$322,MATCH(order_items!$E$1,products!$A$1:$F$1,0),FALSE)</f>
        <v>1</v>
      </c>
      <c r="F3673" t="str">
        <f>VLOOKUP($E3673,categories!$A$1:$B$8,MATCH(order_items!$F$1,categories!$A$1:$B$1,0),FALSE)</f>
        <v>Children Bicycles</v>
      </c>
      <c r="G3673">
        <v>2</v>
      </c>
      <c r="H3673">
        <v>189.99</v>
      </c>
      <c r="I3673" s="5">
        <v>7.0000000000000007E-2</v>
      </c>
      <c r="J3673">
        <f t="shared" si="114"/>
        <v>353.38139999999999</v>
      </c>
      <c r="K3673" s="9">
        <f t="shared" si="115"/>
        <v>-0.75608182981621919</v>
      </c>
    </row>
    <row r="3674" spans="1:11" x14ac:dyDescent="0.3">
      <c r="A3674">
        <v>1268</v>
      </c>
      <c r="B3674">
        <v>3</v>
      </c>
      <c r="C3674">
        <v>59</v>
      </c>
      <c r="D3674" t="str">
        <f>VLOOKUP($C3674,products!$A$1:$F$322,MATCH(order_items!$D$1,products!$A$1:$F$1,0),FALSE)</f>
        <v>Trek Domane S 5 Disc - 2017</v>
      </c>
      <c r="E3674">
        <f>VLOOKUP($C3674,products!$A$1:$F$322,MATCH(order_items!$E$1,products!$A$1:$F$1,0),FALSE)</f>
        <v>7</v>
      </c>
      <c r="F3674" t="str">
        <f>VLOOKUP($E3674,categories!$A$1:$B$8,MATCH(order_items!$F$1,categories!$A$1:$B$1,0),FALSE)</f>
        <v>Road Bikes</v>
      </c>
      <c r="G3674">
        <v>2</v>
      </c>
      <c r="H3674">
        <v>2599.9899999999998</v>
      </c>
      <c r="I3674" s="5">
        <v>0.2</v>
      </c>
      <c r="J3674">
        <f t="shared" si="114"/>
        <v>4159.9839999999995</v>
      </c>
      <c r="K3674" s="9">
        <f t="shared" si="115"/>
        <v>1.025599375080666</v>
      </c>
    </row>
    <row r="3675" spans="1:11" x14ac:dyDescent="0.3">
      <c r="A3675">
        <v>1268</v>
      </c>
      <c r="B3675">
        <v>4</v>
      </c>
      <c r="C3675">
        <v>100</v>
      </c>
      <c r="D3675" t="str">
        <f>VLOOKUP($C3675,products!$A$1:$F$322,MATCH(order_items!$D$1,products!$A$1:$F$1,0),FALSE)</f>
        <v>Electra Townie 3i EQ (20-inch) - Boys' - 2017</v>
      </c>
      <c r="E3675">
        <f>VLOOKUP($C3675,products!$A$1:$F$322,MATCH(order_items!$E$1,products!$A$1:$F$1,0),FALSE)</f>
        <v>1</v>
      </c>
      <c r="F3675" t="str">
        <f>VLOOKUP($E3675,categories!$A$1:$B$8,MATCH(order_items!$F$1,categories!$A$1:$B$1,0),FALSE)</f>
        <v>Children Bicycles</v>
      </c>
      <c r="G3675">
        <v>1</v>
      </c>
      <c r="H3675">
        <v>489.99</v>
      </c>
      <c r="I3675" s="5">
        <v>7.0000000000000007E-2</v>
      </c>
      <c r="J3675">
        <f t="shared" si="114"/>
        <v>455.69069999999999</v>
      </c>
      <c r="K3675" s="9">
        <f t="shared" si="115"/>
        <v>-0.53429578771287245</v>
      </c>
    </row>
    <row r="3676" spans="1:11" x14ac:dyDescent="0.3">
      <c r="A3676">
        <v>1269</v>
      </c>
      <c r="B3676">
        <v>1</v>
      </c>
      <c r="C3676">
        <v>4</v>
      </c>
      <c r="D3676" t="str">
        <f>VLOOKUP($C3676,products!$A$1:$F$322,MATCH(order_items!$D$1,products!$A$1:$F$1,0),FALSE)</f>
        <v>Trek Fuel EX 8 29 - 2016</v>
      </c>
      <c r="E3676">
        <f>VLOOKUP($C3676,products!$A$1:$F$322,MATCH(order_items!$E$1,products!$A$1:$F$1,0),FALSE)</f>
        <v>6</v>
      </c>
      <c r="F3676" t="str">
        <f>VLOOKUP($E3676,categories!$A$1:$B$8,MATCH(order_items!$F$1,categories!$A$1:$B$1,0),FALSE)</f>
        <v>Mountain Bikes</v>
      </c>
      <c r="G3676">
        <v>2</v>
      </c>
      <c r="H3676">
        <v>2899.99</v>
      </c>
      <c r="I3676" s="5">
        <v>0.2</v>
      </c>
      <c r="J3676">
        <f t="shared" si="114"/>
        <v>4639.9839999999995</v>
      </c>
      <c r="K3676" s="9">
        <f t="shared" si="115"/>
        <v>1.2473854171840129</v>
      </c>
    </row>
    <row r="3677" spans="1:11" x14ac:dyDescent="0.3">
      <c r="A3677">
        <v>1269</v>
      </c>
      <c r="B3677">
        <v>2</v>
      </c>
      <c r="C3677">
        <v>7</v>
      </c>
      <c r="D3677" t="str">
        <f>VLOOKUP($C3677,products!$A$1:$F$322,MATCH(order_items!$D$1,products!$A$1:$F$1,0),FALSE)</f>
        <v>Trek Slash 8 27.5 - 2016</v>
      </c>
      <c r="E3677">
        <f>VLOOKUP($C3677,products!$A$1:$F$322,MATCH(order_items!$E$1,products!$A$1:$F$1,0),FALSE)</f>
        <v>6</v>
      </c>
      <c r="F3677" t="str">
        <f>VLOOKUP($E3677,categories!$A$1:$B$8,MATCH(order_items!$F$1,categories!$A$1:$B$1,0),FALSE)</f>
        <v>Mountain Bikes</v>
      </c>
      <c r="G3677">
        <v>1</v>
      </c>
      <c r="H3677">
        <v>3999.99</v>
      </c>
      <c r="I3677" s="5">
        <v>0.2</v>
      </c>
      <c r="J3677">
        <f t="shared" si="114"/>
        <v>3199.9920000000002</v>
      </c>
      <c r="K3677" s="9">
        <f t="shared" si="115"/>
        <v>2.0606009048962846</v>
      </c>
    </row>
    <row r="3678" spans="1:11" x14ac:dyDescent="0.3">
      <c r="A3678">
        <v>1269</v>
      </c>
      <c r="B3678">
        <v>3</v>
      </c>
      <c r="C3678">
        <v>111</v>
      </c>
      <c r="D3678" t="str">
        <f>VLOOKUP($C3678,products!$A$1:$F$322,MATCH(order_items!$D$1,products!$A$1:$F$1,0),FALSE)</f>
        <v>Sun Bicycles Drifter 7 - Women's - 2017</v>
      </c>
      <c r="E3678">
        <f>VLOOKUP($C3678,products!$A$1:$F$322,MATCH(order_items!$E$1,products!$A$1:$F$1,0),FALSE)</f>
        <v>2</v>
      </c>
      <c r="F3678" t="str">
        <f>VLOOKUP($E3678,categories!$A$1:$B$8,MATCH(order_items!$F$1,categories!$A$1:$B$1,0),FALSE)</f>
        <v>Comfort Bicycles</v>
      </c>
      <c r="G3678">
        <v>1</v>
      </c>
      <c r="H3678">
        <v>470.99</v>
      </c>
      <c r="I3678" s="5">
        <v>0.1</v>
      </c>
      <c r="J3678">
        <f t="shared" si="114"/>
        <v>423.89100000000002</v>
      </c>
      <c r="K3678" s="9">
        <f t="shared" si="115"/>
        <v>-0.54834223704608442</v>
      </c>
    </row>
    <row r="3679" spans="1:11" x14ac:dyDescent="0.3">
      <c r="A3679">
        <v>1270</v>
      </c>
      <c r="B3679">
        <v>1</v>
      </c>
      <c r="C3679">
        <v>54</v>
      </c>
      <c r="D3679" t="str">
        <f>VLOOKUP($C3679,products!$A$1:$F$322,MATCH(order_items!$D$1,products!$A$1:$F$1,0),FALSE)</f>
        <v>Trek Domane SL Disc Frameset - 2017</v>
      </c>
      <c r="E3679">
        <f>VLOOKUP($C3679,products!$A$1:$F$322,MATCH(order_items!$E$1,products!$A$1:$F$1,0),FALSE)</f>
        <v>7</v>
      </c>
      <c r="F3679" t="str">
        <f>VLOOKUP($E3679,categories!$A$1:$B$8,MATCH(order_items!$F$1,categories!$A$1:$B$1,0),FALSE)</f>
        <v>Road Bikes</v>
      </c>
      <c r="G3679">
        <v>1</v>
      </c>
      <c r="H3679">
        <v>3199.99</v>
      </c>
      <c r="I3679" s="5">
        <v>0.2</v>
      </c>
      <c r="J3679">
        <f t="shared" si="114"/>
        <v>2559.9920000000002</v>
      </c>
      <c r="K3679" s="9">
        <f t="shared" si="115"/>
        <v>1.4691714592873595</v>
      </c>
    </row>
    <row r="3680" spans="1:11" x14ac:dyDescent="0.3">
      <c r="A3680">
        <v>1271</v>
      </c>
      <c r="B3680">
        <v>1</v>
      </c>
      <c r="C3680">
        <v>25</v>
      </c>
      <c r="D3680" t="str">
        <f>VLOOKUP($C3680,products!$A$1:$F$322,MATCH(order_items!$D$1,products!$A$1:$F$1,0),FALSE)</f>
        <v>Electra Townie Original 7D - 2015/2016</v>
      </c>
      <c r="E3680">
        <f>VLOOKUP($C3680,products!$A$1:$F$322,MATCH(order_items!$E$1,products!$A$1:$F$1,0),FALSE)</f>
        <v>2</v>
      </c>
      <c r="F3680" t="str">
        <f>VLOOKUP($E3680,categories!$A$1:$B$8,MATCH(order_items!$F$1,categories!$A$1:$B$1,0),FALSE)</f>
        <v>Comfort Bicycles</v>
      </c>
      <c r="G3680">
        <v>2</v>
      </c>
      <c r="H3680">
        <v>499.99</v>
      </c>
      <c r="I3680" s="5">
        <v>0.1</v>
      </c>
      <c r="J3680">
        <f t="shared" si="114"/>
        <v>899.98200000000008</v>
      </c>
      <c r="K3680" s="9">
        <f t="shared" si="115"/>
        <v>-0.52690291964276081</v>
      </c>
    </row>
    <row r="3681" spans="1:11" x14ac:dyDescent="0.3">
      <c r="A3681">
        <v>1271</v>
      </c>
      <c r="B3681">
        <v>2</v>
      </c>
      <c r="C3681">
        <v>50</v>
      </c>
      <c r="D3681" t="str">
        <f>VLOOKUP($C3681,products!$A$1:$F$322,MATCH(order_items!$D$1,products!$A$1:$F$1,0),FALSE)</f>
        <v>Trek Silque SLR 7 Women's - 2017</v>
      </c>
      <c r="E3681">
        <f>VLOOKUP($C3681,products!$A$1:$F$322,MATCH(order_items!$E$1,products!$A$1:$F$1,0),FALSE)</f>
        <v>7</v>
      </c>
      <c r="F3681" t="str">
        <f>VLOOKUP($E3681,categories!$A$1:$B$8,MATCH(order_items!$F$1,categories!$A$1:$B$1,0),FALSE)</f>
        <v>Road Bikes</v>
      </c>
      <c r="G3681">
        <v>2</v>
      </c>
      <c r="H3681">
        <v>5999.99</v>
      </c>
      <c r="I3681" s="5">
        <v>7.0000000000000007E-2</v>
      </c>
      <c r="J3681">
        <f t="shared" si="114"/>
        <v>11159.981399999999</v>
      </c>
      <c r="K3681" s="9">
        <f t="shared" si="115"/>
        <v>3.5391745189185961</v>
      </c>
    </row>
    <row r="3682" spans="1:11" x14ac:dyDescent="0.3">
      <c r="A3682">
        <v>1271</v>
      </c>
      <c r="B3682">
        <v>3</v>
      </c>
      <c r="C3682">
        <v>87</v>
      </c>
      <c r="D3682" t="str">
        <f>VLOOKUP($C3682,products!$A$1:$F$322,MATCH(order_items!$D$1,products!$A$1:$F$1,0),FALSE)</f>
        <v>Trek Precaliber 12 Boys - 2017</v>
      </c>
      <c r="E3682">
        <f>VLOOKUP($C3682,products!$A$1:$F$322,MATCH(order_items!$E$1,products!$A$1:$F$1,0),FALSE)</f>
        <v>1</v>
      </c>
      <c r="F3682" t="str">
        <f>VLOOKUP($E3682,categories!$A$1:$B$8,MATCH(order_items!$F$1,categories!$A$1:$B$1,0),FALSE)</f>
        <v>Children Bicycles</v>
      </c>
      <c r="G3682">
        <v>2</v>
      </c>
      <c r="H3682">
        <v>189.99</v>
      </c>
      <c r="I3682" s="5">
        <v>7.0000000000000007E-2</v>
      </c>
      <c r="J3682">
        <f t="shared" si="114"/>
        <v>353.38139999999999</v>
      </c>
      <c r="K3682" s="9">
        <f t="shared" si="115"/>
        <v>-0.75608182981621919</v>
      </c>
    </row>
    <row r="3683" spans="1:11" x14ac:dyDescent="0.3">
      <c r="A3683">
        <v>1271</v>
      </c>
      <c r="B3683">
        <v>4</v>
      </c>
      <c r="C3683">
        <v>32</v>
      </c>
      <c r="D3683" t="str">
        <f>VLOOKUP($C3683,products!$A$1:$F$322,MATCH(order_items!$D$1,products!$A$1:$F$1,0),FALSE)</f>
        <v>Trek Farley Alloy Frameset - 2017</v>
      </c>
      <c r="E3683">
        <f>VLOOKUP($C3683,products!$A$1:$F$322,MATCH(order_items!$E$1,products!$A$1:$F$1,0),FALSE)</f>
        <v>6</v>
      </c>
      <c r="F3683" t="str">
        <f>VLOOKUP($E3683,categories!$A$1:$B$8,MATCH(order_items!$F$1,categories!$A$1:$B$1,0),FALSE)</f>
        <v>Mountain Bikes</v>
      </c>
      <c r="G3683">
        <v>2</v>
      </c>
      <c r="H3683">
        <v>469.99</v>
      </c>
      <c r="I3683" s="5">
        <v>7.0000000000000007E-2</v>
      </c>
      <c r="J3683">
        <f t="shared" si="114"/>
        <v>874.18139999999994</v>
      </c>
      <c r="K3683" s="9">
        <f t="shared" si="115"/>
        <v>-0.5490815238530955</v>
      </c>
    </row>
    <row r="3684" spans="1:11" x14ac:dyDescent="0.3">
      <c r="A3684">
        <v>1272</v>
      </c>
      <c r="B3684">
        <v>1</v>
      </c>
      <c r="C3684">
        <v>16</v>
      </c>
      <c r="D3684" t="str">
        <f>VLOOKUP($C3684,products!$A$1:$F$322,MATCH(order_items!$D$1,products!$A$1:$F$1,0),FALSE)</f>
        <v>Electra Townie Original 7D EQ - 2016</v>
      </c>
      <c r="E3684">
        <f>VLOOKUP($C3684,products!$A$1:$F$322,MATCH(order_items!$E$1,products!$A$1:$F$1,0),FALSE)</f>
        <v>3</v>
      </c>
      <c r="F3684" t="str">
        <f>VLOOKUP($E3684,categories!$A$1:$B$8,MATCH(order_items!$F$1,categories!$A$1:$B$1,0),FALSE)</f>
        <v>Cruisers Bicycles</v>
      </c>
      <c r="G3684">
        <v>2</v>
      </c>
      <c r="H3684">
        <v>599.99</v>
      </c>
      <c r="I3684" s="5">
        <v>0.2</v>
      </c>
      <c r="J3684">
        <f t="shared" si="114"/>
        <v>959.98400000000004</v>
      </c>
      <c r="K3684" s="9">
        <f t="shared" si="115"/>
        <v>-0.45297423894164529</v>
      </c>
    </row>
    <row r="3685" spans="1:11" x14ac:dyDescent="0.3">
      <c r="A3685">
        <v>1272</v>
      </c>
      <c r="B3685">
        <v>2</v>
      </c>
      <c r="C3685">
        <v>71</v>
      </c>
      <c r="D3685" t="str">
        <f>VLOOKUP($C3685,products!$A$1:$F$322,MATCH(order_items!$D$1,products!$A$1:$F$1,0),FALSE)</f>
        <v>Sun Bicycles Atlas X-Type - 2017</v>
      </c>
      <c r="E3685">
        <f>VLOOKUP($C3685,products!$A$1:$F$322,MATCH(order_items!$E$1,products!$A$1:$F$1,0),FALSE)</f>
        <v>3</v>
      </c>
      <c r="F3685" t="str">
        <f>VLOOKUP($E3685,categories!$A$1:$B$8,MATCH(order_items!$F$1,categories!$A$1:$B$1,0),FALSE)</f>
        <v>Cruisers Bicycles</v>
      </c>
      <c r="G3685">
        <v>2</v>
      </c>
      <c r="H3685">
        <v>416.99</v>
      </c>
      <c r="I3685" s="5">
        <v>0.1</v>
      </c>
      <c r="J3685">
        <f t="shared" si="114"/>
        <v>750.58199999999999</v>
      </c>
      <c r="K3685" s="9">
        <f t="shared" si="115"/>
        <v>-0.58826372462468679</v>
      </c>
    </row>
    <row r="3686" spans="1:11" x14ac:dyDescent="0.3">
      <c r="A3686">
        <v>1272</v>
      </c>
      <c r="B3686">
        <v>3</v>
      </c>
      <c r="C3686">
        <v>86</v>
      </c>
      <c r="D3686" t="str">
        <f>VLOOKUP($C3686,products!$A$1:$F$322,MATCH(order_items!$D$1,products!$A$1:$F$1,0),FALSE)</f>
        <v>Trek Girl's Kickster - 2017</v>
      </c>
      <c r="E3686">
        <f>VLOOKUP($C3686,products!$A$1:$F$322,MATCH(order_items!$E$1,products!$A$1:$F$1,0),FALSE)</f>
        <v>1</v>
      </c>
      <c r="F3686" t="str">
        <f>VLOOKUP($E3686,categories!$A$1:$B$8,MATCH(order_items!$F$1,categories!$A$1:$B$1,0),FALSE)</f>
        <v>Children Bicycles</v>
      </c>
      <c r="G3686">
        <v>1</v>
      </c>
      <c r="H3686">
        <v>149.99</v>
      </c>
      <c r="I3686" s="5">
        <v>7.0000000000000007E-2</v>
      </c>
      <c r="J3686">
        <f t="shared" si="114"/>
        <v>139.4907</v>
      </c>
      <c r="K3686" s="9">
        <f t="shared" si="115"/>
        <v>-0.7856533020966654</v>
      </c>
    </row>
    <row r="3687" spans="1:11" x14ac:dyDescent="0.3">
      <c r="A3687">
        <v>1273</v>
      </c>
      <c r="B3687">
        <v>1</v>
      </c>
      <c r="C3687">
        <v>95</v>
      </c>
      <c r="D3687" t="str">
        <f>VLOOKUP($C3687,products!$A$1:$F$322,MATCH(order_items!$D$1,products!$A$1:$F$1,0),FALSE)</f>
        <v>Electra Girl's Hawaii 1 16" - 2017</v>
      </c>
      <c r="E3687">
        <f>VLOOKUP($C3687,products!$A$1:$F$322,MATCH(order_items!$E$1,products!$A$1:$F$1,0),FALSE)</f>
        <v>1</v>
      </c>
      <c r="F3687" t="str">
        <f>VLOOKUP($E3687,categories!$A$1:$B$8,MATCH(order_items!$F$1,categories!$A$1:$B$1,0),FALSE)</f>
        <v>Children Bicycles</v>
      </c>
      <c r="G3687">
        <v>2</v>
      </c>
      <c r="H3687">
        <v>299.99</v>
      </c>
      <c r="I3687" s="5">
        <v>7.0000000000000007E-2</v>
      </c>
      <c r="J3687">
        <f t="shared" si="114"/>
        <v>557.98140000000001</v>
      </c>
      <c r="K3687" s="9">
        <f t="shared" si="115"/>
        <v>-0.67476028104499197</v>
      </c>
    </row>
    <row r="3688" spans="1:11" x14ac:dyDescent="0.3">
      <c r="A3688">
        <v>1273</v>
      </c>
      <c r="B3688">
        <v>2</v>
      </c>
      <c r="C3688">
        <v>20</v>
      </c>
      <c r="D3688" t="str">
        <f>VLOOKUP($C3688,products!$A$1:$F$322,MATCH(order_items!$D$1,products!$A$1:$F$1,0),FALSE)</f>
        <v>Electra Townie Original 7D EQ - Women's - 2016</v>
      </c>
      <c r="E3688">
        <f>VLOOKUP($C3688,products!$A$1:$F$322,MATCH(order_items!$E$1,products!$A$1:$F$1,0),FALSE)</f>
        <v>3</v>
      </c>
      <c r="F3688" t="str">
        <f>VLOOKUP($E3688,categories!$A$1:$B$8,MATCH(order_items!$F$1,categories!$A$1:$B$1,0),FALSE)</f>
        <v>Cruisers Bicycles</v>
      </c>
      <c r="G3688">
        <v>1</v>
      </c>
      <c r="H3688">
        <v>599.99</v>
      </c>
      <c r="I3688" s="5">
        <v>7.0000000000000007E-2</v>
      </c>
      <c r="J3688">
        <f t="shared" si="114"/>
        <v>557.99069999999995</v>
      </c>
      <c r="K3688" s="9">
        <f t="shared" si="115"/>
        <v>-0.45297423894164529</v>
      </c>
    </row>
    <row r="3689" spans="1:11" x14ac:dyDescent="0.3">
      <c r="A3689">
        <v>1273</v>
      </c>
      <c r="B3689">
        <v>3</v>
      </c>
      <c r="C3689">
        <v>58</v>
      </c>
      <c r="D3689" t="str">
        <f>VLOOKUP($C3689,products!$A$1:$F$322,MATCH(order_items!$D$1,products!$A$1:$F$1,0),FALSE)</f>
        <v>Trek Madone 9.2 - 2017</v>
      </c>
      <c r="E3689">
        <f>VLOOKUP($C3689,products!$A$1:$F$322,MATCH(order_items!$E$1,products!$A$1:$F$1,0),FALSE)</f>
        <v>7</v>
      </c>
      <c r="F3689" t="str">
        <f>VLOOKUP($E3689,categories!$A$1:$B$8,MATCH(order_items!$F$1,categories!$A$1:$B$1,0),FALSE)</f>
        <v>Road Bikes</v>
      </c>
      <c r="G3689">
        <v>1</v>
      </c>
      <c r="H3689">
        <v>4999.99</v>
      </c>
      <c r="I3689" s="5">
        <v>0.2</v>
      </c>
      <c r="J3689">
        <f t="shared" si="114"/>
        <v>3999.9920000000002</v>
      </c>
      <c r="K3689" s="9">
        <f t="shared" si="115"/>
        <v>2.7998877119074401</v>
      </c>
    </row>
    <row r="3690" spans="1:11" x14ac:dyDescent="0.3">
      <c r="A3690">
        <v>1274</v>
      </c>
      <c r="B3690">
        <v>1</v>
      </c>
      <c r="C3690">
        <v>81</v>
      </c>
      <c r="D3690" t="str">
        <f>VLOOKUP($C3690,products!$A$1:$F$322,MATCH(order_items!$D$1,products!$A$1:$F$1,0),FALSE)</f>
        <v>Electra Amsterdam Fashion 7i Ladies' - 2017</v>
      </c>
      <c r="E3690">
        <f>VLOOKUP($C3690,products!$A$1:$F$322,MATCH(order_items!$E$1,products!$A$1:$F$1,0),FALSE)</f>
        <v>3</v>
      </c>
      <c r="F3690" t="str">
        <f>VLOOKUP($E3690,categories!$A$1:$B$8,MATCH(order_items!$F$1,categories!$A$1:$B$1,0),FALSE)</f>
        <v>Cruisers Bicycles</v>
      </c>
      <c r="G3690">
        <v>1</v>
      </c>
      <c r="H3690">
        <v>1099.99</v>
      </c>
      <c r="I3690" s="5">
        <v>0.1</v>
      </c>
      <c r="J3690">
        <f t="shared" si="114"/>
        <v>989.99099999999999</v>
      </c>
      <c r="K3690" s="9">
        <f t="shared" si="115"/>
        <v>-8.3330835436067396E-2</v>
      </c>
    </row>
    <row r="3691" spans="1:11" x14ac:dyDescent="0.3">
      <c r="A3691">
        <v>1275</v>
      </c>
      <c r="B3691">
        <v>1</v>
      </c>
      <c r="C3691">
        <v>58</v>
      </c>
      <c r="D3691" t="str">
        <f>VLOOKUP($C3691,products!$A$1:$F$322,MATCH(order_items!$D$1,products!$A$1:$F$1,0),FALSE)</f>
        <v>Trek Madone 9.2 - 2017</v>
      </c>
      <c r="E3691">
        <f>VLOOKUP($C3691,products!$A$1:$F$322,MATCH(order_items!$E$1,products!$A$1:$F$1,0),FALSE)</f>
        <v>7</v>
      </c>
      <c r="F3691" t="str">
        <f>VLOOKUP($E3691,categories!$A$1:$B$8,MATCH(order_items!$F$1,categories!$A$1:$B$1,0),FALSE)</f>
        <v>Road Bikes</v>
      </c>
      <c r="G3691">
        <v>1</v>
      </c>
      <c r="H3691">
        <v>4999.99</v>
      </c>
      <c r="I3691" s="5">
        <v>7.0000000000000007E-2</v>
      </c>
      <c r="J3691">
        <f t="shared" si="114"/>
        <v>4649.9906999999994</v>
      </c>
      <c r="K3691" s="9">
        <f t="shared" si="115"/>
        <v>2.7998877119074401</v>
      </c>
    </row>
    <row r="3692" spans="1:11" x14ac:dyDescent="0.3">
      <c r="A3692">
        <v>1275</v>
      </c>
      <c r="B3692">
        <v>2</v>
      </c>
      <c r="C3692">
        <v>30</v>
      </c>
      <c r="D3692" t="str">
        <f>VLOOKUP($C3692,products!$A$1:$F$322,MATCH(order_items!$D$1,products!$A$1:$F$1,0),FALSE)</f>
        <v>Surly Ice Cream Truck Frameset - 2017</v>
      </c>
      <c r="E3692">
        <f>VLOOKUP($C3692,products!$A$1:$F$322,MATCH(order_items!$E$1,products!$A$1:$F$1,0),FALSE)</f>
        <v>6</v>
      </c>
      <c r="F3692" t="str">
        <f>VLOOKUP($E3692,categories!$A$1:$B$8,MATCH(order_items!$F$1,categories!$A$1:$B$1,0),FALSE)</f>
        <v>Mountain Bikes</v>
      </c>
      <c r="G3692">
        <v>1</v>
      </c>
      <c r="H3692">
        <v>999.99</v>
      </c>
      <c r="I3692" s="5">
        <v>0.1</v>
      </c>
      <c r="J3692">
        <f t="shared" si="114"/>
        <v>899.99099999999999</v>
      </c>
      <c r="K3692" s="9">
        <f t="shared" si="115"/>
        <v>-0.15725951613718298</v>
      </c>
    </row>
    <row r="3693" spans="1:11" x14ac:dyDescent="0.3">
      <c r="A3693">
        <v>1276</v>
      </c>
      <c r="B3693">
        <v>1</v>
      </c>
      <c r="C3693">
        <v>18</v>
      </c>
      <c r="D3693" t="str">
        <f>VLOOKUP($C3693,products!$A$1:$F$322,MATCH(order_items!$D$1,products!$A$1:$F$1,0),FALSE)</f>
        <v>Pure Cycles Western 3-Speed - Women's - 2015/2016</v>
      </c>
      <c r="E3693">
        <f>VLOOKUP($C3693,products!$A$1:$F$322,MATCH(order_items!$E$1,products!$A$1:$F$1,0),FALSE)</f>
        <v>3</v>
      </c>
      <c r="F3693" t="str">
        <f>VLOOKUP($E3693,categories!$A$1:$B$8,MATCH(order_items!$F$1,categories!$A$1:$B$1,0),FALSE)</f>
        <v>Cruisers Bicycles</v>
      </c>
      <c r="G3693">
        <v>2</v>
      </c>
      <c r="H3693">
        <v>449</v>
      </c>
      <c r="I3693" s="5">
        <v>0.2</v>
      </c>
      <c r="J3693">
        <f t="shared" si="114"/>
        <v>718.40000000000009</v>
      </c>
      <c r="K3693" s="9">
        <f t="shared" si="115"/>
        <v>-0.56459915393225968</v>
      </c>
    </row>
    <row r="3694" spans="1:11" x14ac:dyDescent="0.3">
      <c r="A3694">
        <v>1276</v>
      </c>
      <c r="B3694">
        <v>2</v>
      </c>
      <c r="C3694">
        <v>58</v>
      </c>
      <c r="D3694" t="str">
        <f>VLOOKUP($C3694,products!$A$1:$F$322,MATCH(order_items!$D$1,products!$A$1:$F$1,0),FALSE)</f>
        <v>Trek Madone 9.2 - 2017</v>
      </c>
      <c r="E3694">
        <f>VLOOKUP($C3694,products!$A$1:$F$322,MATCH(order_items!$E$1,products!$A$1:$F$1,0),FALSE)</f>
        <v>7</v>
      </c>
      <c r="F3694" t="str">
        <f>VLOOKUP($E3694,categories!$A$1:$B$8,MATCH(order_items!$F$1,categories!$A$1:$B$1,0),FALSE)</f>
        <v>Road Bikes</v>
      </c>
      <c r="G3694">
        <v>1</v>
      </c>
      <c r="H3694">
        <v>4999.99</v>
      </c>
      <c r="I3694" s="5">
        <v>0.2</v>
      </c>
      <c r="J3694">
        <f t="shared" si="114"/>
        <v>3999.9920000000002</v>
      </c>
      <c r="K3694" s="9">
        <f t="shared" si="115"/>
        <v>2.7998877119074401</v>
      </c>
    </row>
    <row r="3695" spans="1:11" x14ac:dyDescent="0.3">
      <c r="A3695">
        <v>1276</v>
      </c>
      <c r="B3695">
        <v>3</v>
      </c>
      <c r="C3695">
        <v>42</v>
      </c>
      <c r="D3695" t="str">
        <f>VLOOKUP($C3695,products!$A$1:$F$322,MATCH(order_items!$D$1,products!$A$1:$F$1,0),FALSE)</f>
        <v>Trek Fuel EX 5 27.5 Plus - 2017</v>
      </c>
      <c r="E3695">
        <f>VLOOKUP($C3695,products!$A$1:$F$322,MATCH(order_items!$E$1,products!$A$1:$F$1,0),FALSE)</f>
        <v>6</v>
      </c>
      <c r="F3695" t="str">
        <f>VLOOKUP($E3695,categories!$A$1:$B$8,MATCH(order_items!$F$1,categories!$A$1:$B$1,0),FALSE)</f>
        <v>Mountain Bikes</v>
      </c>
      <c r="G3695">
        <v>1</v>
      </c>
      <c r="H3695">
        <v>2299.9899999999998</v>
      </c>
      <c r="I3695" s="5">
        <v>0.05</v>
      </c>
      <c r="J3695">
        <f t="shared" si="114"/>
        <v>2184.9904999999999</v>
      </c>
      <c r="K3695" s="9">
        <f t="shared" si="115"/>
        <v>0.80381333297731938</v>
      </c>
    </row>
    <row r="3696" spans="1:11" x14ac:dyDescent="0.3">
      <c r="A3696">
        <v>1276</v>
      </c>
      <c r="B3696">
        <v>4</v>
      </c>
      <c r="C3696">
        <v>24</v>
      </c>
      <c r="D3696" t="str">
        <f>VLOOKUP($C3696,products!$A$1:$F$322,MATCH(order_items!$D$1,products!$A$1:$F$1,0),FALSE)</f>
        <v>Electra Townie Original 21D - 2016</v>
      </c>
      <c r="E3696">
        <f>VLOOKUP($C3696,products!$A$1:$F$322,MATCH(order_items!$E$1,products!$A$1:$F$1,0),FALSE)</f>
        <v>2</v>
      </c>
      <c r="F3696" t="str">
        <f>VLOOKUP($E3696,categories!$A$1:$B$8,MATCH(order_items!$F$1,categories!$A$1:$B$1,0),FALSE)</f>
        <v>Comfort Bicycles</v>
      </c>
      <c r="G3696">
        <v>2</v>
      </c>
      <c r="H3696">
        <v>549.99</v>
      </c>
      <c r="I3696" s="5">
        <v>0.2</v>
      </c>
      <c r="J3696">
        <f t="shared" si="114"/>
        <v>879.98400000000004</v>
      </c>
      <c r="K3696" s="9">
        <f t="shared" si="115"/>
        <v>-0.48993857929220308</v>
      </c>
    </row>
    <row r="3697" spans="1:11" x14ac:dyDescent="0.3">
      <c r="A3697">
        <v>1276</v>
      </c>
      <c r="B3697">
        <v>5</v>
      </c>
      <c r="C3697">
        <v>78</v>
      </c>
      <c r="D3697" t="str">
        <f>VLOOKUP($C3697,products!$A$1:$F$322,MATCH(order_items!$D$1,products!$A$1:$F$1,0),FALSE)</f>
        <v>Sun Bicycles Biscayne Tandem CB - 2017</v>
      </c>
      <c r="E3697">
        <f>VLOOKUP($C3697,products!$A$1:$F$322,MATCH(order_items!$E$1,products!$A$1:$F$1,0),FALSE)</f>
        <v>3</v>
      </c>
      <c r="F3697" t="str">
        <f>VLOOKUP($E3697,categories!$A$1:$B$8,MATCH(order_items!$F$1,categories!$A$1:$B$1,0),FALSE)</f>
        <v>Cruisers Bicycles</v>
      </c>
      <c r="G3697">
        <v>2</v>
      </c>
      <c r="H3697">
        <v>647.99</v>
      </c>
      <c r="I3697" s="5">
        <v>0.2</v>
      </c>
      <c r="J3697">
        <f t="shared" si="114"/>
        <v>1036.7840000000001</v>
      </c>
      <c r="K3697" s="9">
        <f t="shared" si="115"/>
        <v>-0.41748847220510982</v>
      </c>
    </row>
    <row r="3698" spans="1:11" x14ac:dyDescent="0.3">
      <c r="A3698">
        <v>1277</v>
      </c>
      <c r="B3698">
        <v>1</v>
      </c>
      <c r="C3698">
        <v>56</v>
      </c>
      <c r="D3698" t="str">
        <f>VLOOKUP($C3698,products!$A$1:$F$322,MATCH(order_items!$D$1,products!$A$1:$F$1,0),FALSE)</f>
        <v>Trek Domane SLR 6 Disc - 2017</v>
      </c>
      <c r="E3698">
        <f>VLOOKUP($C3698,products!$A$1:$F$322,MATCH(order_items!$E$1,products!$A$1:$F$1,0),FALSE)</f>
        <v>7</v>
      </c>
      <c r="F3698" t="str">
        <f>VLOOKUP($E3698,categories!$A$1:$B$8,MATCH(order_items!$F$1,categories!$A$1:$B$1,0),FALSE)</f>
        <v>Road Bikes</v>
      </c>
      <c r="G3698">
        <v>2</v>
      </c>
      <c r="H3698">
        <v>5499.99</v>
      </c>
      <c r="I3698" s="5">
        <v>0.2</v>
      </c>
      <c r="J3698">
        <f t="shared" si="114"/>
        <v>8799.9840000000004</v>
      </c>
      <c r="K3698" s="9">
        <f t="shared" si="115"/>
        <v>3.1695311154130179</v>
      </c>
    </row>
    <row r="3699" spans="1:11" x14ac:dyDescent="0.3">
      <c r="A3699">
        <v>1277</v>
      </c>
      <c r="B3699">
        <v>2</v>
      </c>
      <c r="C3699">
        <v>93</v>
      </c>
      <c r="D3699" t="str">
        <f>VLOOKUP($C3699,products!$A$1:$F$322,MATCH(order_items!$D$1,products!$A$1:$F$1,0),FALSE)</f>
        <v>Haro Shredder 20 Girls - 2017</v>
      </c>
      <c r="E3699">
        <f>VLOOKUP($C3699,products!$A$1:$F$322,MATCH(order_items!$E$1,products!$A$1:$F$1,0),FALSE)</f>
        <v>1</v>
      </c>
      <c r="F3699" t="str">
        <f>VLOOKUP($E3699,categories!$A$1:$B$8,MATCH(order_items!$F$1,categories!$A$1:$B$1,0),FALSE)</f>
        <v>Children Bicycles</v>
      </c>
      <c r="G3699">
        <v>2</v>
      </c>
      <c r="H3699">
        <v>209.99</v>
      </c>
      <c r="I3699" s="5">
        <v>0.05</v>
      </c>
      <c r="J3699">
        <f t="shared" si="114"/>
        <v>398.98099999999999</v>
      </c>
      <c r="K3699" s="9">
        <f t="shared" si="115"/>
        <v>-0.74129609367599603</v>
      </c>
    </row>
    <row r="3700" spans="1:11" x14ac:dyDescent="0.3">
      <c r="A3700">
        <v>1277</v>
      </c>
      <c r="B3700">
        <v>3</v>
      </c>
      <c r="C3700">
        <v>9</v>
      </c>
      <c r="D3700" t="str">
        <f>VLOOKUP($C3700,products!$A$1:$F$322,MATCH(order_items!$D$1,products!$A$1:$F$1,0),FALSE)</f>
        <v>Trek Conduit+ - 2016</v>
      </c>
      <c r="E3700">
        <f>VLOOKUP($C3700,products!$A$1:$F$322,MATCH(order_items!$E$1,products!$A$1:$F$1,0),FALSE)</f>
        <v>5</v>
      </c>
      <c r="F3700" t="str">
        <f>VLOOKUP($E3700,categories!$A$1:$B$8,MATCH(order_items!$F$1,categories!$A$1:$B$1,0),FALSE)</f>
        <v>Electric Bikes</v>
      </c>
      <c r="G3700">
        <v>2</v>
      </c>
      <c r="H3700">
        <v>2999.99</v>
      </c>
      <c r="I3700" s="5">
        <v>0.1</v>
      </c>
      <c r="J3700">
        <f t="shared" si="114"/>
        <v>5399.982</v>
      </c>
      <c r="K3700" s="9">
        <f t="shared" si="115"/>
        <v>1.3213140978851283</v>
      </c>
    </row>
    <row r="3701" spans="1:11" x14ac:dyDescent="0.3">
      <c r="A3701">
        <v>1277</v>
      </c>
      <c r="B3701">
        <v>4</v>
      </c>
      <c r="C3701">
        <v>4</v>
      </c>
      <c r="D3701" t="str">
        <f>VLOOKUP($C3701,products!$A$1:$F$322,MATCH(order_items!$D$1,products!$A$1:$F$1,0),FALSE)</f>
        <v>Trek Fuel EX 8 29 - 2016</v>
      </c>
      <c r="E3701">
        <f>VLOOKUP($C3701,products!$A$1:$F$322,MATCH(order_items!$E$1,products!$A$1:$F$1,0),FALSE)</f>
        <v>6</v>
      </c>
      <c r="F3701" t="str">
        <f>VLOOKUP($E3701,categories!$A$1:$B$8,MATCH(order_items!$F$1,categories!$A$1:$B$1,0),FALSE)</f>
        <v>Mountain Bikes</v>
      </c>
      <c r="G3701">
        <v>1</v>
      </c>
      <c r="H3701">
        <v>2899.99</v>
      </c>
      <c r="I3701" s="5">
        <v>0.1</v>
      </c>
      <c r="J3701">
        <f t="shared" si="114"/>
        <v>2609.991</v>
      </c>
      <c r="K3701" s="9">
        <f t="shared" si="115"/>
        <v>1.2473854171840129</v>
      </c>
    </row>
    <row r="3702" spans="1:11" x14ac:dyDescent="0.3">
      <c r="A3702">
        <v>1277</v>
      </c>
      <c r="B3702">
        <v>5</v>
      </c>
      <c r="C3702">
        <v>11</v>
      </c>
      <c r="D3702" t="str">
        <f>VLOOKUP($C3702,products!$A$1:$F$322,MATCH(order_items!$D$1,products!$A$1:$F$1,0),FALSE)</f>
        <v>Surly Straggler 650b - 2016</v>
      </c>
      <c r="E3702">
        <f>VLOOKUP($C3702,products!$A$1:$F$322,MATCH(order_items!$E$1,products!$A$1:$F$1,0),FALSE)</f>
        <v>4</v>
      </c>
      <c r="F3702" t="str">
        <f>VLOOKUP($E3702,categories!$A$1:$B$8,MATCH(order_items!$F$1,categories!$A$1:$B$1,0),FALSE)</f>
        <v>Cyclocross Bicycles</v>
      </c>
      <c r="G3702">
        <v>1</v>
      </c>
      <c r="H3702">
        <v>1680.99</v>
      </c>
      <c r="I3702" s="5">
        <v>0.2</v>
      </c>
      <c r="J3702">
        <f t="shared" si="114"/>
        <v>1344.7920000000001</v>
      </c>
      <c r="K3702" s="9">
        <f t="shared" si="115"/>
        <v>0.3461947994374141</v>
      </c>
    </row>
    <row r="3703" spans="1:11" x14ac:dyDescent="0.3">
      <c r="A3703">
        <v>1278</v>
      </c>
      <c r="B3703">
        <v>1</v>
      </c>
      <c r="C3703">
        <v>103</v>
      </c>
      <c r="D3703" t="str">
        <f>VLOOKUP($C3703,products!$A$1:$F$322,MATCH(order_items!$D$1,products!$A$1:$F$1,0),FALSE)</f>
        <v>Sun Bicycles Streamway 3 - 2017</v>
      </c>
      <c r="E3703">
        <f>VLOOKUP($C3703,products!$A$1:$F$322,MATCH(order_items!$E$1,products!$A$1:$F$1,0),FALSE)</f>
        <v>2</v>
      </c>
      <c r="F3703" t="str">
        <f>VLOOKUP($E3703,categories!$A$1:$B$8,MATCH(order_items!$F$1,categories!$A$1:$B$1,0),FALSE)</f>
        <v>Comfort Bicycles</v>
      </c>
      <c r="G3703">
        <v>2</v>
      </c>
      <c r="H3703">
        <v>551.99</v>
      </c>
      <c r="I3703" s="5">
        <v>0.1</v>
      </c>
      <c r="J3703">
        <f t="shared" si="114"/>
        <v>993.58199999999999</v>
      </c>
      <c r="K3703" s="9">
        <f t="shared" si="115"/>
        <v>-0.48846000567818076</v>
      </c>
    </row>
    <row r="3704" spans="1:11" x14ac:dyDescent="0.3">
      <c r="A3704">
        <v>1278</v>
      </c>
      <c r="B3704">
        <v>2</v>
      </c>
      <c r="C3704">
        <v>32</v>
      </c>
      <c r="D3704" t="str">
        <f>VLOOKUP($C3704,products!$A$1:$F$322,MATCH(order_items!$D$1,products!$A$1:$F$1,0),FALSE)</f>
        <v>Trek Farley Alloy Frameset - 2017</v>
      </c>
      <c r="E3704">
        <f>VLOOKUP($C3704,products!$A$1:$F$322,MATCH(order_items!$E$1,products!$A$1:$F$1,0),FALSE)</f>
        <v>6</v>
      </c>
      <c r="F3704" t="str">
        <f>VLOOKUP($E3704,categories!$A$1:$B$8,MATCH(order_items!$F$1,categories!$A$1:$B$1,0),FALSE)</f>
        <v>Mountain Bikes</v>
      </c>
      <c r="G3704">
        <v>1</v>
      </c>
      <c r="H3704">
        <v>469.99</v>
      </c>
      <c r="I3704" s="5">
        <v>0.1</v>
      </c>
      <c r="J3704">
        <f t="shared" si="114"/>
        <v>422.99100000000004</v>
      </c>
      <c r="K3704" s="9">
        <f t="shared" si="115"/>
        <v>-0.5490815238530955</v>
      </c>
    </row>
    <row r="3705" spans="1:11" x14ac:dyDescent="0.3">
      <c r="A3705">
        <v>1279</v>
      </c>
      <c r="B3705">
        <v>1</v>
      </c>
      <c r="C3705">
        <v>9</v>
      </c>
      <c r="D3705" t="str">
        <f>VLOOKUP($C3705,products!$A$1:$F$322,MATCH(order_items!$D$1,products!$A$1:$F$1,0),FALSE)</f>
        <v>Trek Conduit+ - 2016</v>
      </c>
      <c r="E3705">
        <f>VLOOKUP($C3705,products!$A$1:$F$322,MATCH(order_items!$E$1,products!$A$1:$F$1,0),FALSE)</f>
        <v>5</v>
      </c>
      <c r="F3705" t="str">
        <f>VLOOKUP($E3705,categories!$A$1:$B$8,MATCH(order_items!$F$1,categories!$A$1:$B$1,0),FALSE)</f>
        <v>Electric Bikes</v>
      </c>
      <c r="G3705">
        <v>2</v>
      </c>
      <c r="H3705">
        <v>2999.99</v>
      </c>
      <c r="I3705" s="5">
        <v>0.05</v>
      </c>
      <c r="J3705">
        <f t="shared" si="114"/>
        <v>5699.9809999999998</v>
      </c>
      <c r="K3705" s="9">
        <f t="shared" si="115"/>
        <v>1.3213140978851283</v>
      </c>
    </row>
    <row r="3706" spans="1:11" x14ac:dyDescent="0.3">
      <c r="A3706">
        <v>1280</v>
      </c>
      <c r="B3706">
        <v>1</v>
      </c>
      <c r="C3706">
        <v>72</v>
      </c>
      <c r="D3706" t="str">
        <f>VLOOKUP($C3706,products!$A$1:$F$322,MATCH(order_items!$D$1,products!$A$1:$F$1,0),FALSE)</f>
        <v>Sun Bicycles Biscayne Tandem 7 - 2017</v>
      </c>
      <c r="E3706">
        <f>VLOOKUP($C3706,products!$A$1:$F$322,MATCH(order_items!$E$1,products!$A$1:$F$1,0),FALSE)</f>
        <v>3</v>
      </c>
      <c r="F3706" t="str">
        <f>VLOOKUP($E3706,categories!$A$1:$B$8,MATCH(order_items!$F$1,categories!$A$1:$B$1,0),FALSE)</f>
        <v>Cruisers Bicycles</v>
      </c>
      <c r="G3706">
        <v>2</v>
      </c>
      <c r="H3706">
        <v>619.99</v>
      </c>
      <c r="I3706" s="5">
        <v>7.0000000000000007E-2</v>
      </c>
      <c r="J3706">
        <f t="shared" si="114"/>
        <v>1153.1813999999999</v>
      </c>
      <c r="K3706" s="9">
        <f t="shared" si="115"/>
        <v>-0.43818850280142219</v>
      </c>
    </row>
    <row r="3707" spans="1:11" x14ac:dyDescent="0.3">
      <c r="A3707">
        <v>1280</v>
      </c>
      <c r="B3707">
        <v>2</v>
      </c>
      <c r="C3707">
        <v>74</v>
      </c>
      <c r="D3707" t="str">
        <f>VLOOKUP($C3707,products!$A$1:$F$322,MATCH(order_items!$D$1,products!$A$1:$F$1,0),FALSE)</f>
        <v>Electra Cruiser Lux 1 - 2017</v>
      </c>
      <c r="E3707">
        <f>VLOOKUP($C3707,products!$A$1:$F$322,MATCH(order_items!$E$1,products!$A$1:$F$1,0),FALSE)</f>
        <v>3</v>
      </c>
      <c r="F3707" t="str">
        <f>VLOOKUP($E3707,categories!$A$1:$B$8,MATCH(order_items!$F$1,categories!$A$1:$B$1,0),FALSE)</f>
        <v>Cruisers Bicycles</v>
      </c>
      <c r="G3707">
        <v>1</v>
      </c>
      <c r="H3707">
        <v>439.99</v>
      </c>
      <c r="I3707" s="5">
        <v>0.05</v>
      </c>
      <c r="J3707">
        <f t="shared" si="114"/>
        <v>417.9905</v>
      </c>
      <c r="K3707" s="9">
        <f t="shared" si="115"/>
        <v>-0.57126012806343018</v>
      </c>
    </row>
    <row r="3708" spans="1:11" x14ac:dyDescent="0.3">
      <c r="A3708">
        <v>1280</v>
      </c>
      <c r="B3708">
        <v>3</v>
      </c>
      <c r="C3708">
        <v>52</v>
      </c>
      <c r="D3708" t="str">
        <f>VLOOKUP($C3708,products!$A$1:$F$322,MATCH(order_items!$D$1,products!$A$1:$F$1,0),FALSE)</f>
        <v>Surly Steamroller - 2017</v>
      </c>
      <c r="E3708">
        <f>VLOOKUP($C3708,products!$A$1:$F$322,MATCH(order_items!$E$1,products!$A$1:$F$1,0),FALSE)</f>
        <v>7</v>
      </c>
      <c r="F3708" t="str">
        <f>VLOOKUP($E3708,categories!$A$1:$B$8,MATCH(order_items!$F$1,categories!$A$1:$B$1,0),FALSE)</f>
        <v>Road Bikes</v>
      </c>
      <c r="G3708">
        <v>1</v>
      </c>
      <c r="H3708">
        <v>875.99</v>
      </c>
      <c r="I3708" s="5">
        <v>7.0000000000000007E-2</v>
      </c>
      <c r="J3708">
        <f t="shared" si="114"/>
        <v>814.67070000000001</v>
      </c>
      <c r="K3708" s="9">
        <f t="shared" si="115"/>
        <v>-0.24893108020656629</v>
      </c>
    </row>
    <row r="3709" spans="1:11" x14ac:dyDescent="0.3">
      <c r="A3709">
        <v>1280</v>
      </c>
      <c r="B3709">
        <v>4</v>
      </c>
      <c r="C3709">
        <v>63</v>
      </c>
      <c r="D3709" t="str">
        <f>VLOOKUP($C3709,products!$A$1:$F$322,MATCH(order_items!$D$1,products!$A$1:$F$1,0),FALSE)</f>
        <v>Trek Boone Race Shop Limited - 2017</v>
      </c>
      <c r="E3709">
        <f>VLOOKUP($C3709,products!$A$1:$F$322,MATCH(order_items!$E$1,products!$A$1:$F$1,0),FALSE)</f>
        <v>4</v>
      </c>
      <c r="F3709" t="str">
        <f>VLOOKUP($E3709,categories!$A$1:$B$8,MATCH(order_items!$F$1,categories!$A$1:$B$1,0),FALSE)</f>
        <v>Cyclocross Bicycles</v>
      </c>
      <c r="G3709">
        <v>1</v>
      </c>
      <c r="H3709">
        <v>3499.99</v>
      </c>
      <c r="I3709" s="5">
        <v>0.2</v>
      </c>
      <c r="J3709">
        <f t="shared" si="114"/>
        <v>2799.9920000000002</v>
      </c>
      <c r="K3709" s="9">
        <f t="shared" si="115"/>
        <v>1.6909575013907066</v>
      </c>
    </row>
    <row r="3710" spans="1:11" x14ac:dyDescent="0.3">
      <c r="A3710">
        <v>1281</v>
      </c>
      <c r="B3710">
        <v>1</v>
      </c>
      <c r="C3710">
        <v>36</v>
      </c>
      <c r="D3710" t="str">
        <f>VLOOKUP($C3710,products!$A$1:$F$322,MATCH(order_items!$D$1,products!$A$1:$F$1,0),FALSE)</f>
        <v>Surly Troll Frameset - 2017</v>
      </c>
      <c r="E3710">
        <f>VLOOKUP($C3710,products!$A$1:$F$322,MATCH(order_items!$E$1,products!$A$1:$F$1,0),FALSE)</f>
        <v>6</v>
      </c>
      <c r="F3710" t="str">
        <f>VLOOKUP($E3710,categories!$A$1:$B$8,MATCH(order_items!$F$1,categories!$A$1:$B$1,0),FALSE)</f>
        <v>Mountain Bikes</v>
      </c>
      <c r="G3710">
        <v>1</v>
      </c>
      <c r="H3710">
        <v>832.99</v>
      </c>
      <c r="I3710" s="5">
        <v>0.05</v>
      </c>
      <c r="J3710">
        <f t="shared" si="114"/>
        <v>791.34050000000002</v>
      </c>
      <c r="K3710" s="9">
        <f t="shared" si="115"/>
        <v>-0.280720412908046</v>
      </c>
    </row>
    <row r="3711" spans="1:11" x14ac:dyDescent="0.3">
      <c r="A3711">
        <v>1281</v>
      </c>
      <c r="B3711">
        <v>2</v>
      </c>
      <c r="C3711">
        <v>49</v>
      </c>
      <c r="D3711" t="str">
        <f>VLOOKUP($C3711,products!$A$1:$F$322,MATCH(order_items!$D$1,products!$A$1:$F$1,0),FALSE)</f>
        <v>Trek Domane SL 6 - 2017</v>
      </c>
      <c r="E3711">
        <f>VLOOKUP($C3711,products!$A$1:$F$322,MATCH(order_items!$E$1,products!$A$1:$F$1,0),FALSE)</f>
        <v>7</v>
      </c>
      <c r="F3711" t="str">
        <f>VLOOKUP($E3711,categories!$A$1:$B$8,MATCH(order_items!$F$1,categories!$A$1:$B$1,0),FALSE)</f>
        <v>Road Bikes</v>
      </c>
      <c r="G3711">
        <v>2</v>
      </c>
      <c r="H3711">
        <v>3499.99</v>
      </c>
      <c r="I3711" s="5">
        <v>0.05</v>
      </c>
      <c r="J3711">
        <f t="shared" si="114"/>
        <v>6649.9809999999989</v>
      </c>
      <c r="K3711" s="9">
        <f t="shared" si="115"/>
        <v>1.6909575013907066</v>
      </c>
    </row>
    <row r="3712" spans="1:11" x14ac:dyDescent="0.3">
      <c r="A3712">
        <v>1281</v>
      </c>
      <c r="B3712">
        <v>3</v>
      </c>
      <c r="C3712">
        <v>75</v>
      </c>
      <c r="D3712" t="str">
        <f>VLOOKUP($C3712,products!$A$1:$F$322,MATCH(order_items!$D$1,products!$A$1:$F$1,0),FALSE)</f>
        <v>Electra Cruiser Lux Fat Tire 1 Ladies - 2017</v>
      </c>
      <c r="E3712">
        <f>VLOOKUP($C3712,products!$A$1:$F$322,MATCH(order_items!$E$1,products!$A$1:$F$1,0),FALSE)</f>
        <v>3</v>
      </c>
      <c r="F3712" t="str">
        <f>VLOOKUP($E3712,categories!$A$1:$B$8,MATCH(order_items!$F$1,categories!$A$1:$B$1,0),FALSE)</f>
        <v>Cruisers Bicycles</v>
      </c>
      <c r="G3712">
        <v>1</v>
      </c>
      <c r="H3712">
        <v>599.99</v>
      </c>
      <c r="I3712" s="5">
        <v>0.05</v>
      </c>
      <c r="J3712">
        <f t="shared" si="114"/>
        <v>569.9905</v>
      </c>
      <c r="K3712" s="9">
        <f t="shared" si="115"/>
        <v>-0.45297423894164529</v>
      </c>
    </row>
    <row r="3713" spans="1:11" x14ac:dyDescent="0.3">
      <c r="A3713">
        <v>1282</v>
      </c>
      <c r="B3713">
        <v>1</v>
      </c>
      <c r="C3713">
        <v>111</v>
      </c>
      <c r="D3713" t="str">
        <f>VLOOKUP($C3713,products!$A$1:$F$322,MATCH(order_items!$D$1,products!$A$1:$F$1,0),FALSE)</f>
        <v>Sun Bicycles Drifter 7 - Women's - 2017</v>
      </c>
      <c r="E3713">
        <f>VLOOKUP($C3713,products!$A$1:$F$322,MATCH(order_items!$E$1,products!$A$1:$F$1,0),FALSE)</f>
        <v>2</v>
      </c>
      <c r="F3713" t="str">
        <f>VLOOKUP($E3713,categories!$A$1:$B$8,MATCH(order_items!$F$1,categories!$A$1:$B$1,0),FALSE)</f>
        <v>Comfort Bicycles</v>
      </c>
      <c r="G3713">
        <v>1</v>
      </c>
      <c r="H3713">
        <v>470.99</v>
      </c>
      <c r="I3713" s="5">
        <v>0.05</v>
      </c>
      <c r="J3713">
        <f t="shared" si="114"/>
        <v>447.44049999999999</v>
      </c>
      <c r="K3713" s="9">
        <f t="shared" si="115"/>
        <v>-0.54834223704608442</v>
      </c>
    </row>
    <row r="3714" spans="1:11" x14ac:dyDescent="0.3">
      <c r="A3714">
        <v>1282</v>
      </c>
      <c r="B3714">
        <v>2</v>
      </c>
      <c r="C3714">
        <v>50</v>
      </c>
      <c r="D3714" t="str">
        <f>VLOOKUP($C3714,products!$A$1:$F$322,MATCH(order_items!$D$1,products!$A$1:$F$1,0),FALSE)</f>
        <v>Trek Silque SLR 7 Women's - 2017</v>
      </c>
      <c r="E3714">
        <f>VLOOKUP($C3714,products!$A$1:$F$322,MATCH(order_items!$E$1,products!$A$1:$F$1,0),FALSE)</f>
        <v>7</v>
      </c>
      <c r="F3714" t="str">
        <f>VLOOKUP($E3714,categories!$A$1:$B$8,MATCH(order_items!$F$1,categories!$A$1:$B$1,0),FALSE)</f>
        <v>Road Bikes</v>
      </c>
      <c r="G3714">
        <v>2</v>
      </c>
      <c r="H3714">
        <v>5999.99</v>
      </c>
      <c r="I3714" s="5">
        <v>0.2</v>
      </c>
      <c r="J3714">
        <f t="shared" ref="J3714:J3777" si="116">G3714*H3714*(1-I3714)</f>
        <v>9599.9840000000004</v>
      </c>
      <c r="K3714" s="9">
        <f t="shared" ref="K3714:K3777" si="117">($H3714-$M$7)/$M$9</f>
        <v>3.5391745189185961</v>
      </c>
    </row>
    <row r="3715" spans="1:11" x14ac:dyDescent="0.3">
      <c r="A3715">
        <v>1283</v>
      </c>
      <c r="B3715">
        <v>1</v>
      </c>
      <c r="C3715">
        <v>61</v>
      </c>
      <c r="D3715" t="str">
        <f>VLOOKUP($C3715,products!$A$1:$F$322,MATCH(order_items!$D$1,products!$A$1:$F$1,0),FALSE)</f>
        <v>Trek Powerfly 8 FS Plus - 2017</v>
      </c>
      <c r="E3715">
        <f>VLOOKUP($C3715,products!$A$1:$F$322,MATCH(order_items!$E$1,products!$A$1:$F$1,0),FALSE)</f>
        <v>5</v>
      </c>
      <c r="F3715" t="str">
        <f>VLOOKUP($E3715,categories!$A$1:$B$8,MATCH(order_items!$F$1,categories!$A$1:$B$1,0),FALSE)</f>
        <v>Electric Bikes</v>
      </c>
      <c r="G3715">
        <v>2</v>
      </c>
      <c r="H3715">
        <v>4999.99</v>
      </c>
      <c r="I3715" s="5">
        <v>0.05</v>
      </c>
      <c r="J3715">
        <f t="shared" si="116"/>
        <v>9499.9809999999998</v>
      </c>
      <c r="K3715" s="9">
        <f t="shared" si="117"/>
        <v>2.7998877119074401</v>
      </c>
    </row>
    <row r="3716" spans="1:11" x14ac:dyDescent="0.3">
      <c r="A3716">
        <v>1283</v>
      </c>
      <c r="B3716">
        <v>2</v>
      </c>
      <c r="C3716">
        <v>81</v>
      </c>
      <c r="D3716" t="str">
        <f>VLOOKUP($C3716,products!$A$1:$F$322,MATCH(order_items!$D$1,products!$A$1:$F$1,0),FALSE)</f>
        <v>Electra Amsterdam Fashion 7i Ladies' - 2017</v>
      </c>
      <c r="E3716">
        <f>VLOOKUP($C3716,products!$A$1:$F$322,MATCH(order_items!$E$1,products!$A$1:$F$1,0),FALSE)</f>
        <v>3</v>
      </c>
      <c r="F3716" t="str">
        <f>VLOOKUP($E3716,categories!$A$1:$B$8,MATCH(order_items!$F$1,categories!$A$1:$B$1,0),FALSE)</f>
        <v>Cruisers Bicycles</v>
      </c>
      <c r="G3716">
        <v>1</v>
      </c>
      <c r="H3716">
        <v>1099.99</v>
      </c>
      <c r="I3716" s="5">
        <v>0.2</v>
      </c>
      <c r="J3716">
        <f t="shared" si="116"/>
        <v>879.99200000000008</v>
      </c>
      <c r="K3716" s="9">
        <f t="shared" si="117"/>
        <v>-8.3330835436067396E-2</v>
      </c>
    </row>
    <row r="3717" spans="1:11" x14ac:dyDescent="0.3">
      <c r="A3717">
        <v>1283</v>
      </c>
      <c r="B3717">
        <v>3</v>
      </c>
      <c r="C3717">
        <v>7</v>
      </c>
      <c r="D3717" t="str">
        <f>VLOOKUP($C3717,products!$A$1:$F$322,MATCH(order_items!$D$1,products!$A$1:$F$1,0),FALSE)</f>
        <v>Trek Slash 8 27.5 - 2016</v>
      </c>
      <c r="E3717">
        <f>VLOOKUP($C3717,products!$A$1:$F$322,MATCH(order_items!$E$1,products!$A$1:$F$1,0),FALSE)</f>
        <v>6</v>
      </c>
      <c r="F3717" t="str">
        <f>VLOOKUP($E3717,categories!$A$1:$B$8,MATCH(order_items!$F$1,categories!$A$1:$B$1,0),FALSE)</f>
        <v>Mountain Bikes</v>
      </c>
      <c r="G3717">
        <v>1</v>
      </c>
      <c r="H3717">
        <v>3999.99</v>
      </c>
      <c r="I3717" s="5">
        <v>0.1</v>
      </c>
      <c r="J3717">
        <f t="shared" si="116"/>
        <v>3599.991</v>
      </c>
      <c r="K3717" s="9">
        <f t="shared" si="117"/>
        <v>2.0606009048962846</v>
      </c>
    </row>
    <row r="3718" spans="1:11" x14ac:dyDescent="0.3">
      <c r="A3718">
        <v>1283</v>
      </c>
      <c r="B3718">
        <v>4</v>
      </c>
      <c r="C3718">
        <v>32</v>
      </c>
      <c r="D3718" t="str">
        <f>VLOOKUP($C3718,products!$A$1:$F$322,MATCH(order_items!$D$1,products!$A$1:$F$1,0),FALSE)</f>
        <v>Trek Farley Alloy Frameset - 2017</v>
      </c>
      <c r="E3718">
        <f>VLOOKUP($C3718,products!$A$1:$F$322,MATCH(order_items!$E$1,products!$A$1:$F$1,0),FALSE)</f>
        <v>6</v>
      </c>
      <c r="F3718" t="str">
        <f>VLOOKUP($E3718,categories!$A$1:$B$8,MATCH(order_items!$F$1,categories!$A$1:$B$1,0),FALSE)</f>
        <v>Mountain Bikes</v>
      </c>
      <c r="G3718">
        <v>1</v>
      </c>
      <c r="H3718">
        <v>469.99</v>
      </c>
      <c r="I3718" s="5">
        <v>0.1</v>
      </c>
      <c r="J3718">
        <f t="shared" si="116"/>
        <v>422.99100000000004</v>
      </c>
      <c r="K3718" s="9">
        <f t="shared" si="117"/>
        <v>-0.5490815238530955</v>
      </c>
    </row>
    <row r="3719" spans="1:11" x14ac:dyDescent="0.3">
      <c r="A3719">
        <v>1283</v>
      </c>
      <c r="B3719">
        <v>5</v>
      </c>
      <c r="C3719">
        <v>11</v>
      </c>
      <c r="D3719" t="str">
        <f>VLOOKUP($C3719,products!$A$1:$F$322,MATCH(order_items!$D$1,products!$A$1:$F$1,0),FALSE)</f>
        <v>Surly Straggler 650b - 2016</v>
      </c>
      <c r="E3719">
        <f>VLOOKUP($C3719,products!$A$1:$F$322,MATCH(order_items!$E$1,products!$A$1:$F$1,0),FALSE)</f>
        <v>4</v>
      </c>
      <c r="F3719" t="str">
        <f>VLOOKUP($E3719,categories!$A$1:$B$8,MATCH(order_items!$F$1,categories!$A$1:$B$1,0),FALSE)</f>
        <v>Cyclocross Bicycles</v>
      </c>
      <c r="G3719">
        <v>1</v>
      </c>
      <c r="H3719">
        <v>1680.99</v>
      </c>
      <c r="I3719" s="5">
        <v>0.2</v>
      </c>
      <c r="J3719">
        <f t="shared" si="116"/>
        <v>1344.7920000000001</v>
      </c>
      <c r="K3719" s="9">
        <f t="shared" si="117"/>
        <v>0.3461947994374141</v>
      </c>
    </row>
    <row r="3720" spans="1:11" x14ac:dyDescent="0.3">
      <c r="A3720">
        <v>1284</v>
      </c>
      <c r="B3720">
        <v>1</v>
      </c>
      <c r="C3720">
        <v>101</v>
      </c>
      <c r="D3720" t="str">
        <f>VLOOKUP($C3720,products!$A$1:$F$322,MATCH(order_items!$D$1,products!$A$1:$F$1,0),FALSE)</f>
        <v>Electra Townie 7D (20-inch) - Boys' - 2017</v>
      </c>
      <c r="E3720">
        <f>VLOOKUP($C3720,products!$A$1:$F$322,MATCH(order_items!$E$1,products!$A$1:$F$1,0),FALSE)</f>
        <v>1</v>
      </c>
      <c r="F3720" t="str">
        <f>VLOOKUP($E3720,categories!$A$1:$B$8,MATCH(order_items!$F$1,categories!$A$1:$B$1,0),FALSE)</f>
        <v>Children Bicycles</v>
      </c>
      <c r="G3720">
        <v>1</v>
      </c>
      <c r="H3720">
        <v>339.99</v>
      </c>
      <c r="I3720" s="5">
        <v>7.0000000000000007E-2</v>
      </c>
      <c r="J3720">
        <f t="shared" si="116"/>
        <v>316.19069999999999</v>
      </c>
      <c r="K3720" s="9">
        <f t="shared" si="117"/>
        <v>-0.64518880876454576</v>
      </c>
    </row>
    <row r="3721" spans="1:11" x14ac:dyDescent="0.3">
      <c r="A3721">
        <v>1284</v>
      </c>
      <c r="B3721">
        <v>2</v>
      </c>
      <c r="C3721">
        <v>8</v>
      </c>
      <c r="D3721" t="str">
        <f>VLOOKUP($C3721,products!$A$1:$F$322,MATCH(order_items!$D$1,products!$A$1:$F$1,0),FALSE)</f>
        <v>Trek Remedy 29 Carbon Frameset - 2016</v>
      </c>
      <c r="E3721">
        <f>VLOOKUP($C3721,products!$A$1:$F$322,MATCH(order_items!$E$1,products!$A$1:$F$1,0),FALSE)</f>
        <v>6</v>
      </c>
      <c r="F3721" t="str">
        <f>VLOOKUP($E3721,categories!$A$1:$B$8,MATCH(order_items!$F$1,categories!$A$1:$B$1,0),FALSE)</f>
        <v>Mountain Bikes</v>
      </c>
      <c r="G3721">
        <v>1</v>
      </c>
      <c r="H3721">
        <v>1799.99</v>
      </c>
      <c r="I3721" s="5">
        <v>0.05</v>
      </c>
      <c r="J3721">
        <f t="shared" si="116"/>
        <v>1709.9904999999999</v>
      </c>
      <c r="K3721" s="9">
        <f t="shared" si="117"/>
        <v>0.43416992947174166</v>
      </c>
    </row>
    <row r="3722" spans="1:11" x14ac:dyDescent="0.3">
      <c r="A3722">
        <v>1284</v>
      </c>
      <c r="B3722">
        <v>3</v>
      </c>
      <c r="C3722">
        <v>4</v>
      </c>
      <c r="D3722" t="str">
        <f>VLOOKUP($C3722,products!$A$1:$F$322,MATCH(order_items!$D$1,products!$A$1:$F$1,0),FALSE)</f>
        <v>Trek Fuel EX 8 29 - 2016</v>
      </c>
      <c r="E3722">
        <f>VLOOKUP($C3722,products!$A$1:$F$322,MATCH(order_items!$E$1,products!$A$1:$F$1,0),FALSE)</f>
        <v>6</v>
      </c>
      <c r="F3722" t="str">
        <f>VLOOKUP($E3722,categories!$A$1:$B$8,MATCH(order_items!$F$1,categories!$A$1:$B$1,0),FALSE)</f>
        <v>Mountain Bikes</v>
      </c>
      <c r="G3722">
        <v>2</v>
      </c>
      <c r="H3722">
        <v>2899.99</v>
      </c>
      <c r="I3722" s="5">
        <v>0.05</v>
      </c>
      <c r="J3722">
        <f t="shared" si="116"/>
        <v>5509.9809999999998</v>
      </c>
      <c r="K3722" s="9">
        <f t="shared" si="117"/>
        <v>1.2473854171840129</v>
      </c>
    </row>
    <row r="3723" spans="1:11" x14ac:dyDescent="0.3">
      <c r="A3723">
        <v>1285</v>
      </c>
      <c r="B3723">
        <v>1</v>
      </c>
      <c r="C3723">
        <v>78</v>
      </c>
      <c r="D3723" t="str">
        <f>VLOOKUP($C3723,products!$A$1:$F$322,MATCH(order_items!$D$1,products!$A$1:$F$1,0),FALSE)</f>
        <v>Sun Bicycles Biscayne Tandem CB - 2017</v>
      </c>
      <c r="E3723">
        <f>VLOOKUP($C3723,products!$A$1:$F$322,MATCH(order_items!$E$1,products!$A$1:$F$1,0),FALSE)</f>
        <v>3</v>
      </c>
      <c r="F3723" t="str">
        <f>VLOOKUP($E3723,categories!$A$1:$B$8,MATCH(order_items!$F$1,categories!$A$1:$B$1,0),FALSE)</f>
        <v>Cruisers Bicycles</v>
      </c>
      <c r="G3723">
        <v>2</v>
      </c>
      <c r="H3723">
        <v>647.99</v>
      </c>
      <c r="I3723" s="5">
        <v>7.0000000000000007E-2</v>
      </c>
      <c r="J3723">
        <f t="shared" si="116"/>
        <v>1205.2613999999999</v>
      </c>
      <c r="K3723" s="9">
        <f t="shared" si="117"/>
        <v>-0.41748847220510982</v>
      </c>
    </row>
    <row r="3724" spans="1:11" x14ac:dyDescent="0.3">
      <c r="A3724">
        <v>1285</v>
      </c>
      <c r="B3724">
        <v>2</v>
      </c>
      <c r="C3724">
        <v>93</v>
      </c>
      <c r="D3724" t="str">
        <f>VLOOKUP($C3724,products!$A$1:$F$322,MATCH(order_items!$D$1,products!$A$1:$F$1,0),FALSE)</f>
        <v>Haro Shredder 20 Girls - 2017</v>
      </c>
      <c r="E3724">
        <f>VLOOKUP($C3724,products!$A$1:$F$322,MATCH(order_items!$E$1,products!$A$1:$F$1,0),FALSE)</f>
        <v>1</v>
      </c>
      <c r="F3724" t="str">
        <f>VLOOKUP($E3724,categories!$A$1:$B$8,MATCH(order_items!$F$1,categories!$A$1:$B$1,0),FALSE)</f>
        <v>Children Bicycles</v>
      </c>
      <c r="G3724">
        <v>1</v>
      </c>
      <c r="H3724">
        <v>209.99</v>
      </c>
      <c r="I3724" s="5">
        <v>0.1</v>
      </c>
      <c r="J3724">
        <f t="shared" si="116"/>
        <v>188.99100000000001</v>
      </c>
      <c r="K3724" s="9">
        <f t="shared" si="117"/>
        <v>-0.74129609367599603</v>
      </c>
    </row>
    <row r="3725" spans="1:11" x14ac:dyDescent="0.3">
      <c r="A3725">
        <v>1285</v>
      </c>
      <c r="B3725">
        <v>3</v>
      </c>
      <c r="C3725">
        <v>69</v>
      </c>
      <c r="D3725" t="str">
        <f>VLOOKUP($C3725,products!$A$1:$F$322,MATCH(order_items!$D$1,products!$A$1:$F$1,0),FALSE)</f>
        <v>Sun Bicycles Cruz 7 - 2017</v>
      </c>
      <c r="E3725">
        <f>VLOOKUP($C3725,products!$A$1:$F$322,MATCH(order_items!$E$1,products!$A$1:$F$1,0),FALSE)</f>
        <v>3</v>
      </c>
      <c r="F3725" t="str">
        <f>VLOOKUP($E3725,categories!$A$1:$B$8,MATCH(order_items!$F$1,categories!$A$1:$B$1,0),FALSE)</f>
        <v>Cruisers Bicycles</v>
      </c>
      <c r="G3725">
        <v>2</v>
      </c>
      <c r="H3725">
        <v>416.99</v>
      </c>
      <c r="I3725" s="5">
        <v>0.2</v>
      </c>
      <c r="J3725">
        <f t="shared" si="116"/>
        <v>667.18400000000008</v>
      </c>
      <c r="K3725" s="9">
        <f t="shared" si="117"/>
        <v>-0.58826372462468679</v>
      </c>
    </row>
    <row r="3726" spans="1:11" x14ac:dyDescent="0.3">
      <c r="A3726">
        <v>1285</v>
      </c>
      <c r="B3726">
        <v>4</v>
      </c>
      <c r="C3726">
        <v>6</v>
      </c>
      <c r="D3726" t="str">
        <f>VLOOKUP($C3726,products!$A$1:$F$322,MATCH(order_items!$D$1,products!$A$1:$F$1,0),FALSE)</f>
        <v>Surly Ice Cream Truck Frameset - 2016</v>
      </c>
      <c r="E3726">
        <f>VLOOKUP($C3726,products!$A$1:$F$322,MATCH(order_items!$E$1,products!$A$1:$F$1,0),FALSE)</f>
        <v>6</v>
      </c>
      <c r="F3726" t="str">
        <f>VLOOKUP($E3726,categories!$A$1:$B$8,MATCH(order_items!$F$1,categories!$A$1:$B$1,0),FALSE)</f>
        <v>Mountain Bikes</v>
      </c>
      <c r="G3726">
        <v>1</v>
      </c>
      <c r="H3726">
        <v>469.99</v>
      </c>
      <c r="I3726" s="5">
        <v>0.1</v>
      </c>
      <c r="J3726">
        <f t="shared" si="116"/>
        <v>422.99100000000004</v>
      </c>
      <c r="K3726" s="9">
        <f t="shared" si="117"/>
        <v>-0.5490815238530955</v>
      </c>
    </row>
    <row r="3727" spans="1:11" x14ac:dyDescent="0.3">
      <c r="A3727">
        <v>1286</v>
      </c>
      <c r="B3727">
        <v>1</v>
      </c>
      <c r="C3727">
        <v>109</v>
      </c>
      <c r="D3727" t="str">
        <f>VLOOKUP($C3727,products!$A$1:$F$322,MATCH(order_items!$D$1,products!$A$1:$F$1,0),FALSE)</f>
        <v>Sun Bicycles Cruz 7 - Women's - 2017</v>
      </c>
      <c r="E3727">
        <f>VLOOKUP($C3727,products!$A$1:$F$322,MATCH(order_items!$E$1,products!$A$1:$F$1,0),FALSE)</f>
        <v>2</v>
      </c>
      <c r="F3727" t="str">
        <f>VLOOKUP($E3727,categories!$A$1:$B$8,MATCH(order_items!$F$1,categories!$A$1:$B$1,0),FALSE)</f>
        <v>Comfort Bicycles</v>
      </c>
      <c r="G3727">
        <v>2</v>
      </c>
      <c r="H3727">
        <v>416.99</v>
      </c>
      <c r="I3727" s="5">
        <v>0.2</v>
      </c>
      <c r="J3727">
        <f t="shared" si="116"/>
        <v>667.18400000000008</v>
      </c>
      <c r="K3727" s="9">
        <f t="shared" si="117"/>
        <v>-0.58826372462468679</v>
      </c>
    </row>
    <row r="3728" spans="1:11" x14ac:dyDescent="0.3">
      <c r="A3728">
        <v>1286</v>
      </c>
      <c r="B3728">
        <v>2</v>
      </c>
      <c r="C3728">
        <v>81</v>
      </c>
      <c r="D3728" t="str">
        <f>VLOOKUP($C3728,products!$A$1:$F$322,MATCH(order_items!$D$1,products!$A$1:$F$1,0),FALSE)</f>
        <v>Electra Amsterdam Fashion 7i Ladies' - 2017</v>
      </c>
      <c r="E3728">
        <f>VLOOKUP($C3728,products!$A$1:$F$322,MATCH(order_items!$E$1,products!$A$1:$F$1,0),FALSE)</f>
        <v>3</v>
      </c>
      <c r="F3728" t="str">
        <f>VLOOKUP($E3728,categories!$A$1:$B$8,MATCH(order_items!$F$1,categories!$A$1:$B$1,0),FALSE)</f>
        <v>Cruisers Bicycles</v>
      </c>
      <c r="G3728">
        <v>2</v>
      </c>
      <c r="H3728">
        <v>1099.99</v>
      </c>
      <c r="I3728" s="5">
        <v>7.0000000000000007E-2</v>
      </c>
      <c r="J3728">
        <f t="shared" si="116"/>
        <v>2045.9813999999999</v>
      </c>
      <c r="K3728" s="9">
        <f t="shared" si="117"/>
        <v>-8.3330835436067396E-2</v>
      </c>
    </row>
    <row r="3729" spans="1:11" x14ac:dyDescent="0.3">
      <c r="A3729">
        <v>1286</v>
      </c>
      <c r="B3729">
        <v>3</v>
      </c>
      <c r="C3729">
        <v>87</v>
      </c>
      <c r="D3729" t="str">
        <f>VLOOKUP($C3729,products!$A$1:$F$322,MATCH(order_items!$D$1,products!$A$1:$F$1,0),FALSE)</f>
        <v>Trek Precaliber 12 Boys - 2017</v>
      </c>
      <c r="E3729">
        <f>VLOOKUP($C3729,products!$A$1:$F$322,MATCH(order_items!$E$1,products!$A$1:$F$1,0),FALSE)</f>
        <v>1</v>
      </c>
      <c r="F3729" t="str">
        <f>VLOOKUP($E3729,categories!$A$1:$B$8,MATCH(order_items!$F$1,categories!$A$1:$B$1,0),FALSE)</f>
        <v>Children Bicycles</v>
      </c>
      <c r="G3729">
        <v>1</v>
      </c>
      <c r="H3729">
        <v>189.99</v>
      </c>
      <c r="I3729" s="5">
        <v>7.0000000000000007E-2</v>
      </c>
      <c r="J3729">
        <f t="shared" si="116"/>
        <v>176.69069999999999</v>
      </c>
      <c r="K3729" s="9">
        <f t="shared" si="117"/>
        <v>-0.75608182981621919</v>
      </c>
    </row>
    <row r="3730" spans="1:11" x14ac:dyDescent="0.3">
      <c r="A3730">
        <v>1287</v>
      </c>
      <c r="B3730">
        <v>1</v>
      </c>
      <c r="C3730">
        <v>27</v>
      </c>
      <c r="D3730" t="str">
        <f>VLOOKUP($C3730,products!$A$1:$F$322,MATCH(order_items!$D$1,products!$A$1:$F$1,0),FALSE)</f>
        <v>Surly Big Dummy Frameset - 2017</v>
      </c>
      <c r="E3730">
        <f>VLOOKUP($C3730,products!$A$1:$F$322,MATCH(order_items!$E$1,products!$A$1:$F$1,0),FALSE)</f>
        <v>6</v>
      </c>
      <c r="F3730" t="str">
        <f>VLOOKUP($E3730,categories!$A$1:$B$8,MATCH(order_items!$F$1,categories!$A$1:$B$1,0),FALSE)</f>
        <v>Mountain Bikes</v>
      </c>
      <c r="G3730">
        <v>2</v>
      </c>
      <c r="H3730">
        <v>999.99</v>
      </c>
      <c r="I3730" s="5">
        <v>0.2</v>
      </c>
      <c r="J3730">
        <f t="shared" si="116"/>
        <v>1599.9840000000002</v>
      </c>
      <c r="K3730" s="9">
        <f t="shared" si="117"/>
        <v>-0.15725951613718298</v>
      </c>
    </row>
    <row r="3731" spans="1:11" x14ac:dyDescent="0.3">
      <c r="A3731">
        <v>1287</v>
      </c>
      <c r="B3731">
        <v>2</v>
      </c>
      <c r="C3731">
        <v>62</v>
      </c>
      <c r="D3731" t="str">
        <f>VLOOKUP($C3731,products!$A$1:$F$322,MATCH(order_items!$D$1,products!$A$1:$F$1,0),FALSE)</f>
        <v>Trek Boone 7 - 2017</v>
      </c>
      <c r="E3731">
        <f>VLOOKUP($C3731,products!$A$1:$F$322,MATCH(order_items!$E$1,products!$A$1:$F$1,0),FALSE)</f>
        <v>4</v>
      </c>
      <c r="F3731" t="str">
        <f>VLOOKUP($E3731,categories!$A$1:$B$8,MATCH(order_items!$F$1,categories!$A$1:$B$1,0),FALSE)</f>
        <v>Cyclocross Bicycles</v>
      </c>
      <c r="G3731">
        <v>2</v>
      </c>
      <c r="H3731">
        <v>3499.99</v>
      </c>
      <c r="I3731" s="5">
        <v>0.1</v>
      </c>
      <c r="J3731">
        <f t="shared" si="116"/>
        <v>6299.982</v>
      </c>
      <c r="K3731" s="9">
        <f t="shared" si="117"/>
        <v>1.6909575013907066</v>
      </c>
    </row>
    <row r="3732" spans="1:11" x14ac:dyDescent="0.3">
      <c r="A3732">
        <v>1287</v>
      </c>
      <c r="B3732">
        <v>3</v>
      </c>
      <c r="C3732">
        <v>103</v>
      </c>
      <c r="D3732" t="str">
        <f>VLOOKUP($C3732,products!$A$1:$F$322,MATCH(order_items!$D$1,products!$A$1:$F$1,0),FALSE)</f>
        <v>Sun Bicycles Streamway 3 - 2017</v>
      </c>
      <c r="E3732">
        <f>VLOOKUP($C3732,products!$A$1:$F$322,MATCH(order_items!$E$1,products!$A$1:$F$1,0),FALSE)</f>
        <v>2</v>
      </c>
      <c r="F3732" t="str">
        <f>VLOOKUP($E3732,categories!$A$1:$B$8,MATCH(order_items!$F$1,categories!$A$1:$B$1,0),FALSE)</f>
        <v>Comfort Bicycles</v>
      </c>
      <c r="G3732">
        <v>1</v>
      </c>
      <c r="H3732">
        <v>551.99</v>
      </c>
      <c r="I3732" s="5">
        <v>0.1</v>
      </c>
      <c r="J3732">
        <f t="shared" si="116"/>
        <v>496.791</v>
      </c>
      <c r="K3732" s="9">
        <f t="shared" si="117"/>
        <v>-0.48846000567818076</v>
      </c>
    </row>
    <row r="3733" spans="1:11" x14ac:dyDescent="0.3">
      <c r="A3733">
        <v>1287</v>
      </c>
      <c r="B3733">
        <v>4</v>
      </c>
      <c r="C3733">
        <v>100</v>
      </c>
      <c r="D3733" t="str">
        <f>VLOOKUP($C3733,products!$A$1:$F$322,MATCH(order_items!$D$1,products!$A$1:$F$1,0),FALSE)</f>
        <v>Electra Townie 3i EQ (20-inch) - Boys' - 2017</v>
      </c>
      <c r="E3733">
        <f>VLOOKUP($C3733,products!$A$1:$F$322,MATCH(order_items!$E$1,products!$A$1:$F$1,0),FALSE)</f>
        <v>1</v>
      </c>
      <c r="F3733" t="str">
        <f>VLOOKUP($E3733,categories!$A$1:$B$8,MATCH(order_items!$F$1,categories!$A$1:$B$1,0),FALSE)</f>
        <v>Children Bicycles</v>
      </c>
      <c r="G3733">
        <v>2</v>
      </c>
      <c r="H3733">
        <v>489.99</v>
      </c>
      <c r="I3733" s="5">
        <v>0.05</v>
      </c>
      <c r="J3733">
        <f t="shared" si="116"/>
        <v>930.98099999999999</v>
      </c>
      <c r="K3733" s="9">
        <f t="shared" si="117"/>
        <v>-0.53429578771287245</v>
      </c>
    </row>
    <row r="3734" spans="1:11" x14ac:dyDescent="0.3">
      <c r="A3734">
        <v>1288</v>
      </c>
      <c r="B3734">
        <v>1</v>
      </c>
      <c r="C3734">
        <v>73</v>
      </c>
      <c r="D3734" t="str">
        <f>VLOOKUP($C3734,products!$A$1:$F$322,MATCH(order_items!$D$1,products!$A$1:$F$1,0),FALSE)</f>
        <v>Sun Bicycles Brickell Tandem 7 - 2017</v>
      </c>
      <c r="E3734">
        <f>VLOOKUP($C3734,products!$A$1:$F$322,MATCH(order_items!$E$1,products!$A$1:$F$1,0),FALSE)</f>
        <v>3</v>
      </c>
      <c r="F3734" t="str">
        <f>VLOOKUP($E3734,categories!$A$1:$B$8,MATCH(order_items!$F$1,categories!$A$1:$B$1,0),FALSE)</f>
        <v>Cruisers Bicycles</v>
      </c>
      <c r="G3734">
        <v>1</v>
      </c>
      <c r="H3734">
        <v>749.99</v>
      </c>
      <c r="I3734" s="5">
        <v>0.2</v>
      </c>
      <c r="J3734">
        <f t="shared" si="116"/>
        <v>599.99200000000008</v>
      </c>
      <c r="K3734" s="9">
        <f t="shared" si="117"/>
        <v>-0.34208121788997192</v>
      </c>
    </row>
    <row r="3735" spans="1:11" x14ac:dyDescent="0.3">
      <c r="A3735">
        <v>1288</v>
      </c>
      <c r="B3735">
        <v>2</v>
      </c>
      <c r="C3735">
        <v>64</v>
      </c>
      <c r="D3735" t="str">
        <f>VLOOKUP($C3735,products!$A$1:$F$322,MATCH(order_items!$D$1,products!$A$1:$F$1,0),FALSE)</f>
        <v>Electra Townie Original 7D - 2017</v>
      </c>
      <c r="E3735">
        <f>VLOOKUP($C3735,products!$A$1:$F$322,MATCH(order_items!$E$1,products!$A$1:$F$1,0),FALSE)</f>
        <v>3</v>
      </c>
      <c r="F3735" t="str">
        <f>VLOOKUP($E3735,categories!$A$1:$B$8,MATCH(order_items!$F$1,categories!$A$1:$B$1,0),FALSE)</f>
        <v>Cruisers Bicycles</v>
      </c>
      <c r="G3735">
        <v>2</v>
      </c>
      <c r="H3735">
        <v>489.99</v>
      </c>
      <c r="I3735" s="5">
        <v>0.2</v>
      </c>
      <c r="J3735">
        <f t="shared" si="116"/>
        <v>783.98400000000004</v>
      </c>
      <c r="K3735" s="9">
        <f t="shared" si="117"/>
        <v>-0.53429578771287245</v>
      </c>
    </row>
    <row r="3736" spans="1:11" x14ac:dyDescent="0.3">
      <c r="A3736">
        <v>1288</v>
      </c>
      <c r="B3736">
        <v>3</v>
      </c>
      <c r="C3736">
        <v>62</v>
      </c>
      <c r="D3736" t="str">
        <f>VLOOKUP($C3736,products!$A$1:$F$322,MATCH(order_items!$D$1,products!$A$1:$F$1,0),FALSE)</f>
        <v>Trek Boone 7 - 2017</v>
      </c>
      <c r="E3736">
        <f>VLOOKUP($C3736,products!$A$1:$F$322,MATCH(order_items!$E$1,products!$A$1:$F$1,0),FALSE)</f>
        <v>4</v>
      </c>
      <c r="F3736" t="str">
        <f>VLOOKUP($E3736,categories!$A$1:$B$8,MATCH(order_items!$F$1,categories!$A$1:$B$1,0),FALSE)</f>
        <v>Cyclocross Bicycles</v>
      </c>
      <c r="G3736">
        <v>2</v>
      </c>
      <c r="H3736">
        <v>3499.99</v>
      </c>
      <c r="I3736" s="5">
        <v>0.1</v>
      </c>
      <c r="J3736">
        <f t="shared" si="116"/>
        <v>6299.982</v>
      </c>
      <c r="K3736" s="9">
        <f t="shared" si="117"/>
        <v>1.6909575013907066</v>
      </c>
    </row>
    <row r="3737" spans="1:11" x14ac:dyDescent="0.3">
      <c r="A3737">
        <v>1288</v>
      </c>
      <c r="B3737">
        <v>4</v>
      </c>
      <c r="C3737">
        <v>17</v>
      </c>
      <c r="D3737" t="str">
        <f>VLOOKUP($C3737,products!$A$1:$F$322,MATCH(order_items!$D$1,products!$A$1:$F$1,0),FALSE)</f>
        <v>Pure Cycles Vine 8-Speed - 2016</v>
      </c>
      <c r="E3737">
        <f>VLOOKUP($C3737,products!$A$1:$F$322,MATCH(order_items!$E$1,products!$A$1:$F$1,0),FALSE)</f>
        <v>3</v>
      </c>
      <c r="F3737" t="str">
        <f>VLOOKUP($E3737,categories!$A$1:$B$8,MATCH(order_items!$F$1,categories!$A$1:$B$1,0),FALSE)</f>
        <v>Cruisers Bicycles</v>
      </c>
      <c r="G3737">
        <v>2</v>
      </c>
      <c r="H3737">
        <v>429</v>
      </c>
      <c r="I3737" s="5">
        <v>7.0000000000000007E-2</v>
      </c>
      <c r="J3737">
        <f t="shared" si="116"/>
        <v>797.93999999999994</v>
      </c>
      <c r="K3737" s="9">
        <f t="shared" si="117"/>
        <v>-0.57938489007248284</v>
      </c>
    </row>
    <row r="3738" spans="1:11" x14ac:dyDescent="0.3">
      <c r="A3738">
        <v>1289</v>
      </c>
      <c r="B3738">
        <v>1</v>
      </c>
      <c r="C3738">
        <v>89</v>
      </c>
      <c r="D3738" t="str">
        <f>VLOOKUP($C3738,products!$A$1:$F$322,MATCH(order_items!$D$1,products!$A$1:$F$1,0),FALSE)</f>
        <v>Trek Precaliber 16 Boys - 2017</v>
      </c>
      <c r="E3738">
        <f>VLOOKUP($C3738,products!$A$1:$F$322,MATCH(order_items!$E$1,products!$A$1:$F$1,0),FALSE)</f>
        <v>1</v>
      </c>
      <c r="F3738" t="str">
        <f>VLOOKUP($E3738,categories!$A$1:$B$8,MATCH(order_items!$F$1,categories!$A$1:$B$1,0),FALSE)</f>
        <v>Children Bicycles</v>
      </c>
      <c r="G3738">
        <v>1</v>
      </c>
      <c r="H3738">
        <v>209.99</v>
      </c>
      <c r="I3738" s="5">
        <v>0.05</v>
      </c>
      <c r="J3738">
        <f t="shared" si="116"/>
        <v>199.4905</v>
      </c>
      <c r="K3738" s="9">
        <f t="shared" si="117"/>
        <v>-0.74129609367599603</v>
      </c>
    </row>
    <row r="3739" spans="1:11" x14ac:dyDescent="0.3">
      <c r="A3739">
        <v>1289</v>
      </c>
      <c r="B3739">
        <v>2</v>
      </c>
      <c r="C3739">
        <v>3</v>
      </c>
      <c r="D3739" t="str">
        <f>VLOOKUP($C3739,products!$A$1:$F$322,MATCH(order_items!$D$1,products!$A$1:$F$1,0),FALSE)</f>
        <v>Surly Wednesday Frameset - 2016</v>
      </c>
      <c r="E3739">
        <f>VLOOKUP($C3739,products!$A$1:$F$322,MATCH(order_items!$E$1,products!$A$1:$F$1,0),FALSE)</f>
        <v>6</v>
      </c>
      <c r="F3739" t="str">
        <f>VLOOKUP($E3739,categories!$A$1:$B$8,MATCH(order_items!$F$1,categories!$A$1:$B$1,0),FALSE)</f>
        <v>Mountain Bikes</v>
      </c>
      <c r="G3739">
        <v>1</v>
      </c>
      <c r="H3739">
        <v>999.99</v>
      </c>
      <c r="I3739" s="5">
        <v>0.1</v>
      </c>
      <c r="J3739">
        <f t="shared" si="116"/>
        <v>899.99099999999999</v>
      </c>
      <c r="K3739" s="9">
        <f t="shared" si="117"/>
        <v>-0.15725951613718298</v>
      </c>
    </row>
    <row r="3740" spans="1:11" x14ac:dyDescent="0.3">
      <c r="A3740">
        <v>1290</v>
      </c>
      <c r="B3740">
        <v>1</v>
      </c>
      <c r="C3740">
        <v>75</v>
      </c>
      <c r="D3740" t="str">
        <f>VLOOKUP($C3740,products!$A$1:$F$322,MATCH(order_items!$D$1,products!$A$1:$F$1,0),FALSE)</f>
        <v>Electra Cruiser Lux Fat Tire 1 Ladies - 2017</v>
      </c>
      <c r="E3740">
        <f>VLOOKUP($C3740,products!$A$1:$F$322,MATCH(order_items!$E$1,products!$A$1:$F$1,0),FALSE)</f>
        <v>3</v>
      </c>
      <c r="F3740" t="str">
        <f>VLOOKUP($E3740,categories!$A$1:$B$8,MATCH(order_items!$F$1,categories!$A$1:$B$1,0),FALSE)</f>
        <v>Cruisers Bicycles</v>
      </c>
      <c r="G3740">
        <v>2</v>
      </c>
      <c r="H3740">
        <v>599.99</v>
      </c>
      <c r="I3740" s="5">
        <v>0.05</v>
      </c>
      <c r="J3740">
        <f t="shared" si="116"/>
        <v>1139.981</v>
      </c>
      <c r="K3740" s="9">
        <f t="shared" si="117"/>
        <v>-0.45297423894164529</v>
      </c>
    </row>
    <row r="3741" spans="1:11" x14ac:dyDescent="0.3">
      <c r="A3741">
        <v>1290</v>
      </c>
      <c r="B3741">
        <v>2</v>
      </c>
      <c r="C3741">
        <v>36</v>
      </c>
      <c r="D3741" t="str">
        <f>VLOOKUP($C3741,products!$A$1:$F$322,MATCH(order_items!$D$1,products!$A$1:$F$1,0),FALSE)</f>
        <v>Surly Troll Frameset - 2017</v>
      </c>
      <c r="E3741">
        <f>VLOOKUP($C3741,products!$A$1:$F$322,MATCH(order_items!$E$1,products!$A$1:$F$1,0),FALSE)</f>
        <v>6</v>
      </c>
      <c r="F3741" t="str">
        <f>VLOOKUP($E3741,categories!$A$1:$B$8,MATCH(order_items!$F$1,categories!$A$1:$B$1,0),FALSE)</f>
        <v>Mountain Bikes</v>
      </c>
      <c r="G3741">
        <v>1</v>
      </c>
      <c r="H3741">
        <v>832.99</v>
      </c>
      <c r="I3741" s="5">
        <v>0.05</v>
      </c>
      <c r="J3741">
        <f t="shared" si="116"/>
        <v>791.34050000000002</v>
      </c>
      <c r="K3741" s="9">
        <f t="shared" si="117"/>
        <v>-0.280720412908046</v>
      </c>
    </row>
    <row r="3742" spans="1:11" x14ac:dyDescent="0.3">
      <c r="A3742">
        <v>1290</v>
      </c>
      <c r="B3742">
        <v>3</v>
      </c>
      <c r="C3742">
        <v>92</v>
      </c>
      <c r="D3742" t="str">
        <f>VLOOKUP($C3742,products!$A$1:$F$322,MATCH(order_items!$D$1,products!$A$1:$F$1,0),FALSE)</f>
        <v>Haro Shredder 20 - 2017</v>
      </c>
      <c r="E3742">
        <f>VLOOKUP($C3742,products!$A$1:$F$322,MATCH(order_items!$E$1,products!$A$1:$F$1,0),FALSE)</f>
        <v>1</v>
      </c>
      <c r="F3742" t="str">
        <f>VLOOKUP($E3742,categories!$A$1:$B$8,MATCH(order_items!$F$1,categories!$A$1:$B$1,0),FALSE)</f>
        <v>Children Bicycles</v>
      </c>
      <c r="G3742">
        <v>2</v>
      </c>
      <c r="H3742">
        <v>209.99</v>
      </c>
      <c r="I3742" s="5">
        <v>0.1</v>
      </c>
      <c r="J3742">
        <f t="shared" si="116"/>
        <v>377.98200000000003</v>
      </c>
      <c r="K3742" s="9">
        <f t="shared" si="117"/>
        <v>-0.74129609367599603</v>
      </c>
    </row>
    <row r="3743" spans="1:11" x14ac:dyDescent="0.3">
      <c r="A3743">
        <v>1291</v>
      </c>
      <c r="B3743">
        <v>1</v>
      </c>
      <c r="C3743">
        <v>57</v>
      </c>
      <c r="D3743" t="str">
        <f>VLOOKUP($C3743,products!$A$1:$F$322,MATCH(order_items!$D$1,products!$A$1:$F$1,0),FALSE)</f>
        <v>Trek Emonda S 5 - 2017</v>
      </c>
      <c r="E3743">
        <f>VLOOKUP($C3743,products!$A$1:$F$322,MATCH(order_items!$E$1,products!$A$1:$F$1,0),FALSE)</f>
        <v>7</v>
      </c>
      <c r="F3743" t="str">
        <f>VLOOKUP($E3743,categories!$A$1:$B$8,MATCH(order_items!$F$1,categories!$A$1:$B$1,0),FALSE)</f>
        <v>Road Bikes</v>
      </c>
      <c r="G3743">
        <v>1</v>
      </c>
      <c r="H3743">
        <v>1999.99</v>
      </c>
      <c r="I3743" s="5">
        <v>0.1</v>
      </c>
      <c r="J3743">
        <f t="shared" si="116"/>
        <v>1799.991</v>
      </c>
      <c r="K3743" s="9">
        <f t="shared" si="117"/>
        <v>0.58202729087397276</v>
      </c>
    </row>
    <row r="3744" spans="1:11" x14ac:dyDescent="0.3">
      <c r="A3744">
        <v>1291</v>
      </c>
      <c r="B3744">
        <v>2</v>
      </c>
      <c r="C3744">
        <v>58</v>
      </c>
      <c r="D3744" t="str">
        <f>VLOOKUP($C3744,products!$A$1:$F$322,MATCH(order_items!$D$1,products!$A$1:$F$1,0),FALSE)</f>
        <v>Trek Madone 9.2 - 2017</v>
      </c>
      <c r="E3744">
        <f>VLOOKUP($C3744,products!$A$1:$F$322,MATCH(order_items!$E$1,products!$A$1:$F$1,0),FALSE)</f>
        <v>7</v>
      </c>
      <c r="F3744" t="str">
        <f>VLOOKUP($E3744,categories!$A$1:$B$8,MATCH(order_items!$F$1,categories!$A$1:$B$1,0),FALSE)</f>
        <v>Road Bikes</v>
      </c>
      <c r="G3744">
        <v>2</v>
      </c>
      <c r="H3744">
        <v>4999.99</v>
      </c>
      <c r="I3744" s="5">
        <v>0.05</v>
      </c>
      <c r="J3744">
        <f t="shared" si="116"/>
        <v>9499.9809999999998</v>
      </c>
      <c r="K3744" s="9">
        <f t="shared" si="117"/>
        <v>2.7998877119074401</v>
      </c>
    </row>
    <row r="3745" spans="1:11" x14ac:dyDescent="0.3">
      <c r="A3745">
        <v>1292</v>
      </c>
      <c r="B3745">
        <v>1</v>
      </c>
      <c r="C3745">
        <v>70</v>
      </c>
      <c r="D3745" t="str">
        <f>VLOOKUP($C3745,products!$A$1:$F$322,MATCH(order_items!$D$1,products!$A$1:$F$1,0),FALSE)</f>
        <v>Electra Amsterdam Original 3i - 2015/2017</v>
      </c>
      <c r="E3745">
        <f>VLOOKUP($C3745,products!$A$1:$F$322,MATCH(order_items!$E$1,products!$A$1:$F$1,0),FALSE)</f>
        <v>3</v>
      </c>
      <c r="F3745" t="str">
        <f>VLOOKUP($E3745,categories!$A$1:$B$8,MATCH(order_items!$F$1,categories!$A$1:$B$1,0),FALSE)</f>
        <v>Cruisers Bicycles</v>
      </c>
      <c r="G3745">
        <v>1</v>
      </c>
      <c r="H3745">
        <v>659.99</v>
      </c>
      <c r="I3745" s="5">
        <v>7.0000000000000007E-2</v>
      </c>
      <c r="J3745">
        <f t="shared" si="116"/>
        <v>613.79070000000002</v>
      </c>
      <c r="K3745" s="9">
        <f t="shared" si="117"/>
        <v>-0.40861703052097592</v>
      </c>
    </row>
    <row r="3746" spans="1:11" x14ac:dyDescent="0.3">
      <c r="A3746">
        <v>1293</v>
      </c>
      <c r="B3746">
        <v>1</v>
      </c>
      <c r="C3746">
        <v>88</v>
      </c>
      <c r="D3746" t="str">
        <f>VLOOKUP($C3746,products!$A$1:$F$322,MATCH(order_items!$D$1,products!$A$1:$F$1,0),FALSE)</f>
        <v>Trek Precaliber 12 Girls - 2017</v>
      </c>
      <c r="E3746">
        <f>VLOOKUP($C3746,products!$A$1:$F$322,MATCH(order_items!$E$1,products!$A$1:$F$1,0),FALSE)</f>
        <v>1</v>
      </c>
      <c r="F3746" t="str">
        <f>VLOOKUP($E3746,categories!$A$1:$B$8,MATCH(order_items!$F$1,categories!$A$1:$B$1,0),FALSE)</f>
        <v>Children Bicycles</v>
      </c>
      <c r="G3746">
        <v>2</v>
      </c>
      <c r="H3746">
        <v>189.99</v>
      </c>
      <c r="I3746" s="5">
        <v>0.1</v>
      </c>
      <c r="J3746">
        <f t="shared" si="116"/>
        <v>341.98200000000003</v>
      </c>
      <c r="K3746" s="9">
        <f t="shared" si="117"/>
        <v>-0.75608182981621919</v>
      </c>
    </row>
    <row r="3747" spans="1:11" x14ac:dyDescent="0.3">
      <c r="A3747">
        <v>1293</v>
      </c>
      <c r="B3747">
        <v>2</v>
      </c>
      <c r="C3747">
        <v>74</v>
      </c>
      <c r="D3747" t="str">
        <f>VLOOKUP($C3747,products!$A$1:$F$322,MATCH(order_items!$D$1,products!$A$1:$F$1,0),FALSE)</f>
        <v>Electra Cruiser Lux 1 - 2017</v>
      </c>
      <c r="E3747">
        <f>VLOOKUP($C3747,products!$A$1:$F$322,MATCH(order_items!$E$1,products!$A$1:$F$1,0),FALSE)</f>
        <v>3</v>
      </c>
      <c r="F3747" t="str">
        <f>VLOOKUP($E3747,categories!$A$1:$B$8,MATCH(order_items!$F$1,categories!$A$1:$B$1,0),FALSE)</f>
        <v>Cruisers Bicycles</v>
      </c>
      <c r="G3747">
        <v>2</v>
      </c>
      <c r="H3747">
        <v>439.99</v>
      </c>
      <c r="I3747" s="5">
        <v>0.05</v>
      </c>
      <c r="J3747">
        <f t="shared" si="116"/>
        <v>835.98099999999999</v>
      </c>
      <c r="K3747" s="9">
        <f t="shared" si="117"/>
        <v>-0.57126012806343018</v>
      </c>
    </row>
    <row r="3748" spans="1:11" x14ac:dyDescent="0.3">
      <c r="A3748">
        <v>1293</v>
      </c>
      <c r="B3748">
        <v>3</v>
      </c>
      <c r="C3748">
        <v>38</v>
      </c>
      <c r="D3748" t="str">
        <f>VLOOKUP($C3748,products!$A$1:$F$322,MATCH(order_items!$D$1,products!$A$1:$F$1,0),FALSE)</f>
        <v>Haro Flightline Two 26 Plus - 2017</v>
      </c>
      <c r="E3748">
        <f>VLOOKUP($C3748,products!$A$1:$F$322,MATCH(order_items!$E$1,products!$A$1:$F$1,0),FALSE)</f>
        <v>6</v>
      </c>
      <c r="F3748" t="str">
        <f>VLOOKUP($E3748,categories!$A$1:$B$8,MATCH(order_items!$F$1,categories!$A$1:$B$1,0),FALSE)</f>
        <v>Mountain Bikes</v>
      </c>
      <c r="G3748">
        <v>2</v>
      </c>
      <c r="H3748">
        <v>549.99</v>
      </c>
      <c r="I3748" s="5">
        <v>7.0000000000000007E-2</v>
      </c>
      <c r="J3748">
        <f t="shared" si="116"/>
        <v>1022.9813999999999</v>
      </c>
      <c r="K3748" s="9">
        <f t="shared" si="117"/>
        <v>-0.48993857929220308</v>
      </c>
    </row>
    <row r="3749" spans="1:11" x14ac:dyDescent="0.3">
      <c r="A3749">
        <v>1294</v>
      </c>
      <c r="B3749">
        <v>1</v>
      </c>
      <c r="C3749">
        <v>95</v>
      </c>
      <c r="D3749" t="str">
        <f>VLOOKUP($C3749,products!$A$1:$F$322,MATCH(order_items!$D$1,products!$A$1:$F$1,0),FALSE)</f>
        <v>Electra Girl's Hawaii 1 16" - 2017</v>
      </c>
      <c r="E3749">
        <f>VLOOKUP($C3749,products!$A$1:$F$322,MATCH(order_items!$E$1,products!$A$1:$F$1,0),FALSE)</f>
        <v>1</v>
      </c>
      <c r="F3749" t="str">
        <f>VLOOKUP($E3749,categories!$A$1:$B$8,MATCH(order_items!$F$1,categories!$A$1:$B$1,0),FALSE)</f>
        <v>Children Bicycles</v>
      </c>
      <c r="G3749">
        <v>2</v>
      </c>
      <c r="H3749">
        <v>299.99</v>
      </c>
      <c r="I3749" s="5">
        <v>0.05</v>
      </c>
      <c r="J3749">
        <f t="shared" si="116"/>
        <v>569.98099999999999</v>
      </c>
      <c r="K3749" s="9">
        <f t="shared" si="117"/>
        <v>-0.67476028104499197</v>
      </c>
    </row>
    <row r="3750" spans="1:11" x14ac:dyDescent="0.3">
      <c r="A3750">
        <v>1294</v>
      </c>
      <c r="B3750">
        <v>2</v>
      </c>
      <c r="C3750">
        <v>44</v>
      </c>
      <c r="D3750" t="str">
        <f>VLOOKUP($C3750,products!$A$1:$F$322,MATCH(order_items!$D$1,products!$A$1:$F$1,0),FALSE)</f>
        <v>Haro SR 1.1 - 2017</v>
      </c>
      <c r="E3750">
        <f>VLOOKUP($C3750,products!$A$1:$F$322,MATCH(order_items!$E$1,products!$A$1:$F$1,0),FALSE)</f>
        <v>6</v>
      </c>
      <c r="F3750" t="str">
        <f>VLOOKUP($E3750,categories!$A$1:$B$8,MATCH(order_items!$F$1,categories!$A$1:$B$1,0),FALSE)</f>
        <v>Mountain Bikes</v>
      </c>
      <c r="G3750">
        <v>1</v>
      </c>
      <c r="H3750">
        <v>539.99</v>
      </c>
      <c r="I3750" s="5">
        <v>0.05</v>
      </c>
      <c r="J3750">
        <f t="shared" si="116"/>
        <v>512.9905</v>
      </c>
      <c r="K3750" s="9">
        <f t="shared" si="117"/>
        <v>-0.49733144736231466</v>
      </c>
    </row>
    <row r="3751" spans="1:11" x14ac:dyDescent="0.3">
      <c r="A3751">
        <v>1295</v>
      </c>
      <c r="B3751">
        <v>1</v>
      </c>
      <c r="C3751">
        <v>5</v>
      </c>
      <c r="D3751" t="str">
        <f>VLOOKUP($C3751,products!$A$1:$F$322,MATCH(order_items!$D$1,products!$A$1:$F$1,0),FALSE)</f>
        <v>Heller Shagamaw Frame - 2016</v>
      </c>
      <c r="E3751">
        <f>VLOOKUP($C3751,products!$A$1:$F$322,MATCH(order_items!$E$1,products!$A$1:$F$1,0),FALSE)</f>
        <v>6</v>
      </c>
      <c r="F3751" t="str">
        <f>VLOOKUP($E3751,categories!$A$1:$B$8,MATCH(order_items!$F$1,categories!$A$1:$B$1,0),FALSE)</f>
        <v>Mountain Bikes</v>
      </c>
      <c r="G3751">
        <v>2</v>
      </c>
      <c r="H3751">
        <v>1320.99</v>
      </c>
      <c r="I3751" s="5">
        <v>0.2</v>
      </c>
      <c r="J3751">
        <f t="shared" si="116"/>
        <v>2113.5840000000003</v>
      </c>
      <c r="K3751" s="9">
        <f t="shared" si="117"/>
        <v>8.0051548913398024E-2</v>
      </c>
    </row>
    <row r="3752" spans="1:11" x14ac:dyDescent="0.3">
      <c r="A3752">
        <v>1295</v>
      </c>
      <c r="B3752">
        <v>2</v>
      </c>
      <c r="C3752">
        <v>61</v>
      </c>
      <c r="D3752" t="str">
        <f>VLOOKUP($C3752,products!$A$1:$F$322,MATCH(order_items!$D$1,products!$A$1:$F$1,0),FALSE)</f>
        <v>Trek Powerfly 8 FS Plus - 2017</v>
      </c>
      <c r="E3752">
        <f>VLOOKUP($C3752,products!$A$1:$F$322,MATCH(order_items!$E$1,products!$A$1:$F$1,0),FALSE)</f>
        <v>5</v>
      </c>
      <c r="F3752" t="str">
        <f>VLOOKUP($E3752,categories!$A$1:$B$8,MATCH(order_items!$F$1,categories!$A$1:$B$1,0),FALSE)</f>
        <v>Electric Bikes</v>
      </c>
      <c r="G3752">
        <v>1</v>
      </c>
      <c r="H3752">
        <v>4999.99</v>
      </c>
      <c r="I3752" s="5">
        <v>0.2</v>
      </c>
      <c r="J3752">
        <f t="shared" si="116"/>
        <v>3999.9920000000002</v>
      </c>
      <c r="K3752" s="9">
        <f t="shared" si="117"/>
        <v>2.7998877119074401</v>
      </c>
    </row>
    <row r="3753" spans="1:11" x14ac:dyDescent="0.3">
      <c r="A3753">
        <v>1295</v>
      </c>
      <c r="B3753">
        <v>3</v>
      </c>
      <c r="C3753">
        <v>52</v>
      </c>
      <c r="D3753" t="str">
        <f>VLOOKUP($C3753,products!$A$1:$F$322,MATCH(order_items!$D$1,products!$A$1:$F$1,0),FALSE)</f>
        <v>Surly Steamroller - 2017</v>
      </c>
      <c r="E3753">
        <f>VLOOKUP($C3753,products!$A$1:$F$322,MATCH(order_items!$E$1,products!$A$1:$F$1,0),FALSE)</f>
        <v>7</v>
      </c>
      <c r="F3753" t="str">
        <f>VLOOKUP($E3753,categories!$A$1:$B$8,MATCH(order_items!$F$1,categories!$A$1:$B$1,0),FALSE)</f>
        <v>Road Bikes</v>
      </c>
      <c r="G3753">
        <v>1</v>
      </c>
      <c r="H3753">
        <v>875.99</v>
      </c>
      <c r="I3753" s="5">
        <v>0.05</v>
      </c>
      <c r="J3753">
        <f t="shared" si="116"/>
        <v>832.19049999999993</v>
      </c>
      <c r="K3753" s="9">
        <f t="shared" si="117"/>
        <v>-0.24893108020656629</v>
      </c>
    </row>
    <row r="3754" spans="1:11" x14ac:dyDescent="0.3">
      <c r="A3754">
        <v>1296</v>
      </c>
      <c r="B3754">
        <v>1</v>
      </c>
      <c r="C3754">
        <v>25</v>
      </c>
      <c r="D3754" t="str">
        <f>VLOOKUP($C3754,products!$A$1:$F$322,MATCH(order_items!$D$1,products!$A$1:$F$1,0),FALSE)</f>
        <v>Electra Townie Original 7D - 2015/2016</v>
      </c>
      <c r="E3754">
        <f>VLOOKUP($C3754,products!$A$1:$F$322,MATCH(order_items!$E$1,products!$A$1:$F$1,0),FALSE)</f>
        <v>2</v>
      </c>
      <c r="F3754" t="str">
        <f>VLOOKUP($E3754,categories!$A$1:$B$8,MATCH(order_items!$F$1,categories!$A$1:$B$1,0),FALSE)</f>
        <v>Comfort Bicycles</v>
      </c>
      <c r="G3754">
        <v>2</v>
      </c>
      <c r="H3754">
        <v>499.99</v>
      </c>
      <c r="I3754" s="5">
        <v>0.05</v>
      </c>
      <c r="J3754">
        <f t="shared" si="116"/>
        <v>949.98099999999999</v>
      </c>
      <c r="K3754" s="9">
        <f t="shared" si="117"/>
        <v>-0.52690291964276081</v>
      </c>
    </row>
    <row r="3755" spans="1:11" x14ac:dyDescent="0.3">
      <c r="A3755">
        <v>1296</v>
      </c>
      <c r="B3755">
        <v>2</v>
      </c>
      <c r="C3755">
        <v>90</v>
      </c>
      <c r="D3755" t="str">
        <f>VLOOKUP($C3755,products!$A$1:$F$322,MATCH(order_items!$D$1,products!$A$1:$F$1,0),FALSE)</f>
        <v>Trek Precaliber 16 Girls - 2017</v>
      </c>
      <c r="E3755">
        <f>VLOOKUP($C3755,products!$A$1:$F$322,MATCH(order_items!$E$1,products!$A$1:$F$1,0),FALSE)</f>
        <v>1</v>
      </c>
      <c r="F3755" t="str">
        <f>VLOOKUP($E3755,categories!$A$1:$B$8,MATCH(order_items!$F$1,categories!$A$1:$B$1,0),FALSE)</f>
        <v>Children Bicycles</v>
      </c>
      <c r="G3755">
        <v>1</v>
      </c>
      <c r="H3755">
        <v>209.99</v>
      </c>
      <c r="I3755" s="5">
        <v>0.1</v>
      </c>
      <c r="J3755">
        <f t="shared" si="116"/>
        <v>188.99100000000001</v>
      </c>
      <c r="K3755" s="9">
        <f t="shared" si="117"/>
        <v>-0.74129609367599603</v>
      </c>
    </row>
    <row r="3756" spans="1:11" x14ac:dyDescent="0.3">
      <c r="A3756">
        <v>1296</v>
      </c>
      <c r="B3756">
        <v>3</v>
      </c>
      <c r="C3756">
        <v>16</v>
      </c>
      <c r="D3756" t="str">
        <f>VLOOKUP($C3756,products!$A$1:$F$322,MATCH(order_items!$D$1,products!$A$1:$F$1,0),FALSE)</f>
        <v>Electra Townie Original 7D EQ - 2016</v>
      </c>
      <c r="E3756">
        <f>VLOOKUP($C3756,products!$A$1:$F$322,MATCH(order_items!$E$1,products!$A$1:$F$1,0),FALSE)</f>
        <v>3</v>
      </c>
      <c r="F3756" t="str">
        <f>VLOOKUP($E3756,categories!$A$1:$B$8,MATCH(order_items!$F$1,categories!$A$1:$B$1,0),FALSE)</f>
        <v>Cruisers Bicycles</v>
      </c>
      <c r="G3756">
        <v>1</v>
      </c>
      <c r="H3756">
        <v>599.99</v>
      </c>
      <c r="I3756" s="5">
        <v>0.05</v>
      </c>
      <c r="J3756">
        <f t="shared" si="116"/>
        <v>569.9905</v>
      </c>
      <c r="K3756" s="9">
        <f t="shared" si="117"/>
        <v>-0.45297423894164529</v>
      </c>
    </row>
    <row r="3757" spans="1:11" x14ac:dyDescent="0.3">
      <c r="A3757">
        <v>1296</v>
      </c>
      <c r="B3757">
        <v>4</v>
      </c>
      <c r="C3757">
        <v>2</v>
      </c>
      <c r="D3757" t="str">
        <f>VLOOKUP($C3757,products!$A$1:$F$322,MATCH(order_items!$D$1,products!$A$1:$F$1,0),FALSE)</f>
        <v>Ritchey Timberwolf Frameset - 2016</v>
      </c>
      <c r="E3757">
        <f>VLOOKUP($C3757,products!$A$1:$F$322,MATCH(order_items!$E$1,products!$A$1:$F$1,0),FALSE)</f>
        <v>6</v>
      </c>
      <c r="F3757" t="str">
        <f>VLOOKUP($E3757,categories!$A$1:$B$8,MATCH(order_items!$F$1,categories!$A$1:$B$1,0),FALSE)</f>
        <v>Mountain Bikes</v>
      </c>
      <c r="G3757">
        <v>2</v>
      </c>
      <c r="H3757">
        <v>749.99</v>
      </c>
      <c r="I3757" s="5">
        <v>0.1</v>
      </c>
      <c r="J3757">
        <f t="shared" si="116"/>
        <v>1349.982</v>
      </c>
      <c r="K3757" s="9">
        <f t="shared" si="117"/>
        <v>-0.34208121788997192</v>
      </c>
    </row>
    <row r="3758" spans="1:11" x14ac:dyDescent="0.3">
      <c r="A3758">
        <v>1297</v>
      </c>
      <c r="B3758">
        <v>1</v>
      </c>
      <c r="C3758">
        <v>104</v>
      </c>
      <c r="D3758" t="str">
        <f>VLOOKUP($C3758,products!$A$1:$F$322,MATCH(order_items!$D$1,products!$A$1:$F$1,0),FALSE)</f>
        <v>Sun Bicycles Streamway - 2017</v>
      </c>
      <c r="E3758">
        <f>VLOOKUP($C3758,products!$A$1:$F$322,MATCH(order_items!$E$1,products!$A$1:$F$1,0),FALSE)</f>
        <v>2</v>
      </c>
      <c r="F3758" t="str">
        <f>VLOOKUP($E3758,categories!$A$1:$B$8,MATCH(order_items!$F$1,categories!$A$1:$B$1,0),FALSE)</f>
        <v>Comfort Bicycles</v>
      </c>
      <c r="G3758">
        <v>2</v>
      </c>
      <c r="H3758">
        <v>481.99</v>
      </c>
      <c r="I3758" s="5">
        <v>7.0000000000000007E-2</v>
      </c>
      <c r="J3758">
        <f t="shared" si="116"/>
        <v>896.50139999999999</v>
      </c>
      <c r="K3758" s="9">
        <f t="shared" si="117"/>
        <v>-0.54021008216896171</v>
      </c>
    </row>
    <row r="3759" spans="1:11" x14ac:dyDescent="0.3">
      <c r="A3759">
        <v>1297</v>
      </c>
      <c r="B3759">
        <v>2</v>
      </c>
      <c r="C3759">
        <v>43</v>
      </c>
      <c r="D3759" t="str">
        <f>VLOOKUP($C3759,products!$A$1:$F$322,MATCH(order_items!$D$1,products!$A$1:$F$1,0),FALSE)</f>
        <v>Trek Fuel EX 9.8 27.5 Plus - 2017</v>
      </c>
      <c r="E3759">
        <f>VLOOKUP($C3759,products!$A$1:$F$322,MATCH(order_items!$E$1,products!$A$1:$F$1,0),FALSE)</f>
        <v>6</v>
      </c>
      <c r="F3759" t="str">
        <f>VLOOKUP($E3759,categories!$A$1:$B$8,MATCH(order_items!$F$1,categories!$A$1:$B$1,0),FALSE)</f>
        <v>Mountain Bikes</v>
      </c>
      <c r="G3759">
        <v>1</v>
      </c>
      <c r="H3759">
        <v>5299.99</v>
      </c>
      <c r="I3759" s="5">
        <v>0.05</v>
      </c>
      <c r="J3759">
        <f t="shared" si="116"/>
        <v>5034.9904999999999</v>
      </c>
      <c r="K3759" s="9">
        <f t="shared" si="117"/>
        <v>3.021673754010787</v>
      </c>
    </row>
    <row r="3760" spans="1:11" x14ac:dyDescent="0.3">
      <c r="A3760">
        <v>1297</v>
      </c>
      <c r="B3760">
        <v>3</v>
      </c>
      <c r="C3760">
        <v>51</v>
      </c>
      <c r="D3760" t="str">
        <f>VLOOKUP($C3760,products!$A$1:$F$322,MATCH(order_items!$D$1,products!$A$1:$F$1,0),FALSE)</f>
        <v>Trek Silque SLR 8 Women's - 2017</v>
      </c>
      <c r="E3760">
        <f>VLOOKUP($C3760,products!$A$1:$F$322,MATCH(order_items!$E$1,products!$A$1:$F$1,0),FALSE)</f>
        <v>7</v>
      </c>
      <c r="F3760" t="str">
        <f>VLOOKUP($E3760,categories!$A$1:$B$8,MATCH(order_items!$F$1,categories!$A$1:$B$1,0),FALSE)</f>
        <v>Road Bikes</v>
      </c>
      <c r="G3760">
        <v>2</v>
      </c>
      <c r="H3760">
        <v>6499.99</v>
      </c>
      <c r="I3760" s="5">
        <v>0.05</v>
      </c>
      <c r="J3760">
        <f t="shared" si="116"/>
        <v>12349.981</v>
      </c>
      <c r="K3760" s="9">
        <f t="shared" si="117"/>
        <v>3.9088179224241739</v>
      </c>
    </row>
    <row r="3761" spans="1:11" x14ac:dyDescent="0.3">
      <c r="A3761">
        <v>1298</v>
      </c>
      <c r="B3761">
        <v>1</v>
      </c>
      <c r="C3761">
        <v>59</v>
      </c>
      <c r="D3761" t="str">
        <f>VLOOKUP($C3761,products!$A$1:$F$322,MATCH(order_items!$D$1,products!$A$1:$F$1,0),FALSE)</f>
        <v>Trek Domane S 5 Disc - 2017</v>
      </c>
      <c r="E3761">
        <f>VLOOKUP($C3761,products!$A$1:$F$322,MATCH(order_items!$E$1,products!$A$1:$F$1,0),FALSE)</f>
        <v>7</v>
      </c>
      <c r="F3761" t="str">
        <f>VLOOKUP($E3761,categories!$A$1:$B$8,MATCH(order_items!$F$1,categories!$A$1:$B$1,0),FALSE)</f>
        <v>Road Bikes</v>
      </c>
      <c r="G3761">
        <v>1</v>
      </c>
      <c r="H3761">
        <v>2599.9899999999998</v>
      </c>
      <c r="I3761" s="5">
        <v>0.05</v>
      </c>
      <c r="J3761">
        <f t="shared" si="116"/>
        <v>2469.9904999999999</v>
      </c>
      <c r="K3761" s="9">
        <f t="shared" si="117"/>
        <v>1.025599375080666</v>
      </c>
    </row>
    <row r="3762" spans="1:11" x14ac:dyDescent="0.3">
      <c r="A3762">
        <v>1298</v>
      </c>
      <c r="B3762">
        <v>2</v>
      </c>
      <c r="C3762">
        <v>110</v>
      </c>
      <c r="D3762" t="str">
        <f>VLOOKUP($C3762,products!$A$1:$F$322,MATCH(order_items!$D$1,products!$A$1:$F$1,0),FALSE)</f>
        <v>Sun Bicycles Drifter 7 - 2017</v>
      </c>
      <c r="E3762">
        <f>VLOOKUP($C3762,products!$A$1:$F$322,MATCH(order_items!$E$1,products!$A$1:$F$1,0),FALSE)</f>
        <v>2</v>
      </c>
      <c r="F3762" t="str">
        <f>VLOOKUP($E3762,categories!$A$1:$B$8,MATCH(order_items!$F$1,categories!$A$1:$B$1,0),FALSE)</f>
        <v>Comfort Bicycles</v>
      </c>
      <c r="G3762">
        <v>2</v>
      </c>
      <c r="H3762">
        <v>470.99</v>
      </c>
      <c r="I3762" s="5">
        <v>7.0000000000000007E-2</v>
      </c>
      <c r="J3762">
        <f t="shared" si="116"/>
        <v>876.04139999999995</v>
      </c>
      <c r="K3762" s="9">
        <f t="shared" si="117"/>
        <v>-0.54834223704608442</v>
      </c>
    </row>
    <row r="3763" spans="1:11" x14ac:dyDescent="0.3">
      <c r="A3763">
        <v>1299</v>
      </c>
      <c r="B3763">
        <v>1</v>
      </c>
      <c r="C3763">
        <v>14</v>
      </c>
      <c r="D3763" t="str">
        <f>VLOOKUP($C3763,products!$A$1:$F$322,MATCH(order_items!$D$1,products!$A$1:$F$1,0),FALSE)</f>
        <v>Electra Girl's Hawaii 1 (16-inch) - 2015/2016</v>
      </c>
      <c r="E3763">
        <f>VLOOKUP($C3763,products!$A$1:$F$322,MATCH(order_items!$E$1,products!$A$1:$F$1,0),FALSE)</f>
        <v>3</v>
      </c>
      <c r="F3763" t="str">
        <f>VLOOKUP($E3763,categories!$A$1:$B$8,MATCH(order_items!$F$1,categories!$A$1:$B$1,0),FALSE)</f>
        <v>Cruisers Bicycles</v>
      </c>
      <c r="G3763">
        <v>2</v>
      </c>
      <c r="H3763">
        <v>269.99</v>
      </c>
      <c r="I3763" s="5">
        <v>0.1</v>
      </c>
      <c r="J3763">
        <f t="shared" si="116"/>
        <v>485.98200000000003</v>
      </c>
      <c r="K3763" s="9">
        <f t="shared" si="117"/>
        <v>-0.69693888525532666</v>
      </c>
    </row>
    <row r="3764" spans="1:11" x14ac:dyDescent="0.3">
      <c r="A3764">
        <v>1299</v>
      </c>
      <c r="B3764">
        <v>2</v>
      </c>
      <c r="C3764">
        <v>101</v>
      </c>
      <c r="D3764" t="str">
        <f>VLOOKUP($C3764,products!$A$1:$F$322,MATCH(order_items!$D$1,products!$A$1:$F$1,0),FALSE)</f>
        <v>Electra Townie 7D (20-inch) - Boys' - 2017</v>
      </c>
      <c r="E3764">
        <f>VLOOKUP($C3764,products!$A$1:$F$322,MATCH(order_items!$E$1,products!$A$1:$F$1,0),FALSE)</f>
        <v>1</v>
      </c>
      <c r="F3764" t="str">
        <f>VLOOKUP($E3764,categories!$A$1:$B$8,MATCH(order_items!$F$1,categories!$A$1:$B$1,0),FALSE)</f>
        <v>Children Bicycles</v>
      </c>
      <c r="G3764">
        <v>1</v>
      </c>
      <c r="H3764">
        <v>339.99</v>
      </c>
      <c r="I3764" s="5">
        <v>0.05</v>
      </c>
      <c r="J3764">
        <f t="shared" si="116"/>
        <v>322.9905</v>
      </c>
      <c r="K3764" s="9">
        <f t="shared" si="117"/>
        <v>-0.64518880876454576</v>
      </c>
    </row>
    <row r="3765" spans="1:11" x14ac:dyDescent="0.3">
      <c r="A3765">
        <v>1299</v>
      </c>
      <c r="B3765">
        <v>3</v>
      </c>
      <c r="C3765">
        <v>75</v>
      </c>
      <c r="D3765" t="str">
        <f>VLOOKUP($C3765,products!$A$1:$F$322,MATCH(order_items!$D$1,products!$A$1:$F$1,0),FALSE)</f>
        <v>Electra Cruiser Lux Fat Tire 1 Ladies - 2017</v>
      </c>
      <c r="E3765">
        <f>VLOOKUP($C3765,products!$A$1:$F$322,MATCH(order_items!$E$1,products!$A$1:$F$1,0),FALSE)</f>
        <v>3</v>
      </c>
      <c r="F3765" t="str">
        <f>VLOOKUP($E3765,categories!$A$1:$B$8,MATCH(order_items!$F$1,categories!$A$1:$B$1,0),FALSE)</f>
        <v>Cruisers Bicycles</v>
      </c>
      <c r="G3765">
        <v>1</v>
      </c>
      <c r="H3765">
        <v>599.99</v>
      </c>
      <c r="I3765" s="5">
        <v>0.05</v>
      </c>
      <c r="J3765">
        <f t="shared" si="116"/>
        <v>569.9905</v>
      </c>
      <c r="K3765" s="9">
        <f t="shared" si="117"/>
        <v>-0.45297423894164529</v>
      </c>
    </row>
    <row r="3766" spans="1:11" x14ac:dyDescent="0.3">
      <c r="A3766">
        <v>1299</v>
      </c>
      <c r="B3766">
        <v>4</v>
      </c>
      <c r="C3766">
        <v>52</v>
      </c>
      <c r="D3766" t="str">
        <f>VLOOKUP($C3766,products!$A$1:$F$322,MATCH(order_items!$D$1,products!$A$1:$F$1,0),FALSE)</f>
        <v>Surly Steamroller - 2017</v>
      </c>
      <c r="E3766">
        <f>VLOOKUP($C3766,products!$A$1:$F$322,MATCH(order_items!$E$1,products!$A$1:$F$1,0),FALSE)</f>
        <v>7</v>
      </c>
      <c r="F3766" t="str">
        <f>VLOOKUP($E3766,categories!$A$1:$B$8,MATCH(order_items!$F$1,categories!$A$1:$B$1,0),FALSE)</f>
        <v>Road Bikes</v>
      </c>
      <c r="G3766">
        <v>2</v>
      </c>
      <c r="H3766">
        <v>875.99</v>
      </c>
      <c r="I3766" s="5">
        <v>0.2</v>
      </c>
      <c r="J3766">
        <f t="shared" si="116"/>
        <v>1401.5840000000001</v>
      </c>
      <c r="K3766" s="9">
        <f t="shared" si="117"/>
        <v>-0.24893108020656629</v>
      </c>
    </row>
    <row r="3767" spans="1:11" x14ac:dyDescent="0.3">
      <c r="A3767">
        <v>1300</v>
      </c>
      <c r="B3767">
        <v>1</v>
      </c>
      <c r="C3767">
        <v>101</v>
      </c>
      <c r="D3767" t="str">
        <f>VLOOKUP($C3767,products!$A$1:$F$322,MATCH(order_items!$D$1,products!$A$1:$F$1,0),FALSE)</f>
        <v>Electra Townie 7D (20-inch) - Boys' - 2017</v>
      </c>
      <c r="E3767">
        <f>VLOOKUP($C3767,products!$A$1:$F$322,MATCH(order_items!$E$1,products!$A$1:$F$1,0),FALSE)</f>
        <v>1</v>
      </c>
      <c r="F3767" t="str">
        <f>VLOOKUP($E3767,categories!$A$1:$B$8,MATCH(order_items!$F$1,categories!$A$1:$B$1,0),FALSE)</f>
        <v>Children Bicycles</v>
      </c>
      <c r="G3767">
        <v>2</v>
      </c>
      <c r="H3767">
        <v>339.99</v>
      </c>
      <c r="I3767" s="5">
        <v>7.0000000000000007E-2</v>
      </c>
      <c r="J3767">
        <f t="shared" si="116"/>
        <v>632.38139999999999</v>
      </c>
      <c r="K3767" s="9">
        <f t="shared" si="117"/>
        <v>-0.64518880876454576</v>
      </c>
    </row>
    <row r="3768" spans="1:11" x14ac:dyDescent="0.3">
      <c r="A3768">
        <v>1300</v>
      </c>
      <c r="B3768">
        <v>2</v>
      </c>
      <c r="C3768">
        <v>58</v>
      </c>
      <c r="D3768" t="str">
        <f>VLOOKUP($C3768,products!$A$1:$F$322,MATCH(order_items!$D$1,products!$A$1:$F$1,0),FALSE)</f>
        <v>Trek Madone 9.2 - 2017</v>
      </c>
      <c r="E3768">
        <f>VLOOKUP($C3768,products!$A$1:$F$322,MATCH(order_items!$E$1,products!$A$1:$F$1,0),FALSE)</f>
        <v>7</v>
      </c>
      <c r="F3768" t="str">
        <f>VLOOKUP($E3768,categories!$A$1:$B$8,MATCH(order_items!$F$1,categories!$A$1:$B$1,0),FALSE)</f>
        <v>Road Bikes</v>
      </c>
      <c r="G3768">
        <v>2</v>
      </c>
      <c r="H3768">
        <v>4999.99</v>
      </c>
      <c r="I3768" s="5">
        <v>0.05</v>
      </c>
      <c r="J3768">
        <f t="shared" si="116"/>
        <v>9499.9809999999998</v>
      </c>
      <c r="K3768" s="9">
        <f t="shared" si="117"/>
        <v>2.7998877119074401</v>
      </c>
    </row>
    <row r="3769" spans="1:11" x14ac:dyDescent="0.3">
      <c r="A3769">
        <v>1301</v>
      </c>
      <c r="B3769">
        <v>1</v>
      </c>
      <c r="C3769">
        <v>45</v>
      </c>
      <c r="D3769" t="str">
        <f>VLOOKUP($C3769,products!$A$1:$F$322,MATCH(order_items!$D$1,products!$A$1:$F$1,0),FALSE)</f>
        <v>Haro SR 1.2 - 2017</v>
      </c>
      <c r="E3769">
        <f>VLOOKUP($C3769,products!$A$1:$F$322,MATCH(order_items!$E$1,products!$A$1:$F$1,0),FALSE)</f>
        <v>6</v>
      </c>
      <c r="F3769" t="str">
        <f>VLOOKUP($E3769,categories!$A$1:$B$8,MATCH(order_items!$F$1,categories!$A$1:$B$1,0),FALSE)</f>
        <v>Mountain Bikes</v>
      </c>
      <c r="G3769">
        <v>2</v>
      </c>
      <c r="H3769">
        <v>869.99</v>
      </c>
      <c r="I3769" s="5">
        <v>0.2</v>
      </c>
      <c r="J3769">
        <f t="shared" si="116"/>
        <v>1391.9840000000002</v>
      </c>
      <c r="K3769" s="9">
        <f t="shared" si="117"/>
        <v>-0.25336680104863324</v>
      </c>
    </row>
    <row r="3770" spans="1:11" x14ac:dyDescent="0.3">
      <c r="A3770">
        <v>1301</v>
      </c>
      <c r="B3770">
        <v>2</v>
      </c>
      <c r="C3770">
        <v>105</v>
      </c>
      <c r="D3770" t="str">
        <f>VLOOKUP($C3770,products!$A$1:$F$322,MATCH(order_items!$D$1,products!$A$1:$F$1,0),FALSE)</f>
        <v>Sun Bicycles Streamway 7 - 2017</v>
      </c>
      <c r="E3770">
        <f>VLOOKUP($C3770,products!$A$1:$F$322,MATCH(order_items!$E$1,products!$A$1:$F$1,0),FALSE)</f>
        <v>2</v>
      </c>
      <c r="F3770" t="str">
        <f>VLOOKUP($E3770,categories!$A$1:$B$8,MATCH(order_items!$F$1,categories!$A$1:$B$1,0),FALSE)</f>
        <v>Comfort Bicycles</v>
      </c>
      <c r="G3770">
        <v>2</v>
      </c>
      <c r="H3770">
        <v>533.99</v>
      </c>
      <c r="I3770" s="5">
        <v>0.1</v>
      </c>
      <c r="J3770">
        <f t="shared" si="116"/>
        <v>961.18200000000002</v>
      </c>
      <c r="K3770" s="9">
        <f t="shared" si="117"/>
        <v>-0.50176716820438161</v>
      </c>
    </row>
    <row r="3771" spans="1:11" x14ac:dyDescent="0.3">
      <c r="A3771">
        <v>1301</v>
      </c>
      <c r="B3771">
        <v>3</v>
      </c>
      <c r="C3771">
        <v>8</v>
      </c>
      <c r="D3771" t="str">
        <f>VLOOKUP($C3771,products!$A$1:$F$322,MATCH(order_items!$D$1,products!$A$1:$F$1,0),FALSE)</f>
        <v>Trek Remedy 29 Carbon Frameset - 2016</v>
      </c>
      <c r="E3771">
        <f>VLOOKUP($C3771,products!$A$1:$F$322,MATCH(order_items!$E$1,products!$A$1:$F$1,0),FALSE)</f>
        <v>6</v>
      </c>
      <c r="F3771" t="str">
        <f>VLOOKUP($E3771,categories!$A$1:$B$8,MATCH(order_items!$F$1,categories!$A$1:$B$1,0),FALSE)</f>
        <v>Mountain Bikes</v>
      </c>
      <c r="G3771">
        <v>1</v>
      </c>
      <c r="H3771">
        <v>1799.99</v>
      </c>
      <c r="I3771" s="5">
        <v>0.2</v>
      </c>
      <c r="J3771">
        <f t="shared" si="116"/>
        <v>1439.9920000000002</v>
      </c>
      <c r="K3771" s="9">
        <f t="shared" si="117"/>
        <v>0.43416992947174166</v>
      </c>
    </row>
    <row r="3772" spans="1:11" x14ac:dyDescent="0.3">
      <c r="A3772">
        <v>1302</v>
      </c>
      <c r="B3772">
        <v>1</v>
      </c>
      <c r="C3772">
        <v>38</v>
      </c>
      <c r="D3772" t="str">
        <f>VLOOKUP($C3772,products!$A$1:$F$322,MATCH(order_items!$D$1,products!$A$1:$F$1,0),FALSE)</f>
        <v>Haro Flightline Two 26 Plus - 2017</v>
      </c>
      <c r="E3772">
        <f>VLOOKUP($C3772,products!$A$1:$F$322,MATCH(order_items!$E$1,products!$A$1:$F$1,0),FALSE)</f>
        <v>6</v>
      </c>
      <c r="F3772" t="str">
        <f>VLOOKUP($E3772,categories!$A$1:$B$8,MATCH(order_items!$F$1,categories!$A$1:$B$1,0),FALSE)</f>
        <v>Mountain Bikes</v>
      </c>
      <c r="G3772">
        <v>1</v>
      </c>
      <c r="H3772">
        <v>549.99</v>
      </c>
      <c r="I3772" s="5">
        <v>0.05</v>
      </c>
      <c r="J3772">
        <f t="shared" si="116"/>
        <v>522.4905</v>
      </c>
      <c r="K3772" s="9">
        <f t="shared" si="117"/>
        <v>-0.48993857929220308</v>
      </c>
    </row>
    <row r="3773" spans="1:11" x14ac:dyDescent="0.3">
      <c r="A3773">
        <v>1302</v>
      </c>
      <c r="B3773">
        <v>2</v>
      </c>
      <c r="C3773">
        <v>20</v>
      </c>
      <c r="D3773" t="str">
        <f>VLOOKUP($C3773,products!$A$1:$F$322,MATCH(order_items!$D$1,products!$A$1:$F$1,0),FALSE)</f>
        <v>Electra Townie Original 7D EQ - Women's - 2016</v>
      </c>
      <c r="E3773">
        <f>VLOOKUP($C3773,products!$A$1:$F$322,MATCH(order_items!$E$1,products!$A$1:$F$1,0),FALSE)</f>
        <v>3</v>
      </c>
      <c r="F3773" t="str">
        <f>VLOOKUP($E3773,categories!$A$1:$B$8,MATCH(order_items!$F$1,categories!$A$1:$B$1,0),FALSE)</f>
        <v>Cruisers Bicycles</v>
      </c>
      <c r="G3773">
        <v>2</v>
      </c>
      <c r="H3773">
        <v>599.99</v>
      </c>
      <c r="I3773" s="5">
        <v>0.1</v>
      </c>
      <c r="J3773">
        <f t="shared" si="116"/>
        <v>1079.982</v>
      </c>
      <c r="K3773" s="9">
        <f t="shared" si="117"/>
        <v>-0.45297423894164529</v>
      </c>
    </row>
    <row r="3774" spans="1:11" x14ac:dyDescent="0.3">
      <c r="A3774">
        <v>1302</v>
      </c>
      <c r="B3774">
        <v>3</v>
      </c>
      <c r="C3774">
        <v>56</v>
      </c>
      <c r="D3774" t="str">
        <f>VLOOKUP($C3774,products!$A$1:$F$322,MATCH(order_items!$D$1,products!$A$1:$F$1,0),FALSE)</f>
        <v>Trek Domane SLR 6 Disc - 2017</v>
      </c>
      <c r="E3774">
        <f>VLOOKUP($C3774,products!$A$1:$F$322,MATCH(order_items!$E$1,products!$A$1:$F$1,0),FALSE)</f>
        <v>7</v>
      </c>
      <c r="F3774" t="str">
        <f>VLOOKUP($E3774,categories!$A$1:$B$8,MATCH(order_items!$F$1,categories!$A$1:$B$1,0),FALSE)</f>
        <v>Road Bikes</v>
      </c>
      <c r="G3774">
        <v>2</v>
      </c>
      <c r="H3774">
        <v>5499.99</v>
      </c>
      <c r="I3774" s="5">
        <v>7.0000000000000007E-2</v>
      </c>
      <c r="J3774">
        <f t="shared" si="116"/>
        <v>10229.981399999999</v>
      </c>
      <c r="K3774" s="9">
        <f t="shared" si="117"/>
        <v>3.1695311154130179</v>
      </c>
    </row>
    <row r="3775" spans="1:11" x14ac:dyDescent="0.3">
      <c r="A3775">
        <v>1303</v>
      </c>
      <c r="B3775">
        <v>1</v>
      </c>
      <c r="C3775">
        <v>96</v>
      </c>
      <c r="D3775" t="str">
        <f>VLOOKUP($C3775,products!$A$1:$F$322,MATCH(order_items!$D$1,products!$A$1:$F$1,0),FALSE)</f>
        <v>Electra Moto 3i (20-inch) - Boy's - 2017</v>
      </c>
      <c r="E3775">
        <f>VLOOKUP($C3775,products!$A$1:$F$322,MATCH(order_items!$E$1,products!$A$1:$F$1,0),FALSE)</f>
        <v>1</v>
      </c>
      <c r="F3775" t="str">
        <f>VLOOKUP($E3775,categories!$A$1:$B$8,MATCH(order_items!$F$1,categories!$A$1:$B$1,0),FALSE)</f>
        <v>Children Bicycles</v>
      </c>
      <c r="G3775">
        <v>1</v>
      </c>
      <c r="H3775">
        <v>349.99</v>
      </c>
      <c r="I3775" s="5">
        <v>0.1</v>
      </c>
      <c r="J3775">
        <f t="shared" si="116"/>
        <v>314.99100000000004</v>
      </c>
      <c r="K3775" s="9">
        <f t="shared" si="117"/>
        <v>-0.63779594069443424</v>
      </c>
    </row>
    <row r="3776" spans="1:11" x14ac:dyDescent="0.3">
      <c r="A3776">
        <v>1303</v>
      </c>
      <c r="B3776">
        <v>2</v>
      </c>
      <c r="C3776">
        <v>63</v>
      </c>
      <c r="D3776" t="str">
        <f>VLOOKUP($C3776,products!$A$1:$F$322,MATCH(order_items!$D$1,products!$A$1:$F$1,0),FALSE)</f>
        <v>Trek Boone Race Shop Limited - 2017</v>
      </c>
      <c r="E3776">
        <f>VLOOKUP($C3776,products!$A$1:$F$322,MATCH(order_items!$E$1,products!$A$1:$F$1,0),FALSE)</f>
        <v>4</v>
      </c>
      <c r="F3776" t="str">
        <f>VLOOKUP($E3776,categories!$A$1:$B$8,MATCH(order_items!$F$1,categories!$A$1:$B$1,0),FALSE)</f>
        <v>Cyclocross Bicycles</v>
      </c>
      <c r="G3776">
        <v>2</v>
      </c>
      <c r="H3776">
        <v>3499.99</v>
      </c>
      <c r="I3776" s="5">
        <v>0.2</v>
      </c>
      <c r="J3776">
        <f t="shared" si="116"/>
        <v>5599.9840000000004</v>
      </c>
      <c r="K3776" s="9">
        <f t="shared" si="117"/>
        <v>1.6909575013907066</v>
      </c>
    </row>
    <row r="3777" spans="1:11" x14ac:dyDescent="0.3">
      <c r="A3777">
        <v>1303</v>
      </c>
      <c r="B3777">
        <v>3</v>
      </c>
      <c r="C3777">
        <v>108</v>
      </c>
      <c r="D3777" t="str">
        <f>VLOOKUP($C3777,products!$A$1:$F$322,MATCH(order_items!$D$1,products!$A$1:$F$1,0),FALSE)</f>
        <v>Sun Bicycles Cruz 3 - Women's - 2017</v>
      </c>
      <c r="E3777">
        <f>VLOOKUP($C3777,products!$A$1:$F$322,MATCH(order_items!$E$1,products!$A$1:$F$1,0),FALSE)</f>
        <v>2</v>
      </c>
      <c r="F3777" t="str">
        <f>VLOOKUP($E3777,categories!$A$1:$B$8,MATCH(order_items!$F$1,categories!$A$1:$B$1,0),FALSE)</f>
        <v>Comfort Bicycles</v>
      </c>
      <c r="G3777">
        <v>1</v>
      </c>
      <c r="H3777">
        <v>449.99</v>
      </c>
      <c r="I3777" s="5">
        <v>0.1</v>
      </c>
      <c r="J3777">
        <f t="shared" si="116"/>
        <v>404.99100000000004</v>
      </c>
      <c r="K3777" s="9">
        <f t="shared" si="117"/>
        <v>-0.56386725999331866</v>
      </c>
    </row>
    <row r="3778" spans="1:11" x14ac:dyDescent="0.3">
      <c r="A3778">
        <v>1303</v>
      </c>
      <c r="B3778">
        <v>4</v>
      </c>
      <c r="C3778">
        <v>73</v>
      </c>
      <c r="D3778" t="str">
        <f>VLOOKUP($C3778,products!$A$1:$F$322,MATCH(order_items!$D$1,products!$A$1:$F$1,0),FALSE)</f>
        <v>Sun Bicycles Brickell Tandem 7 - 2017</v>
      </c>
      <c r="E3778">
        <f>VLOOKUP($C3778,products!$A$1:$F$322,MATCH(order_items!$E$1,products!$A$1:$F$1,0),FALSE)</f>
        <v>3</v>
      </c>
      <c r="F3778" t="str">
        <f>VLOOKUP($E3778,categories!$A$1:$B$8,MATCH(order_items!$F$1,categories!$A$1:$B$1,0),FALSE)</f>
        <v>Cruisers Bicycles</v>
      </c>
      <c r="G3778">
        <v>1</v>
      </c>
      <c r="H3778">
        <v>749.99</v>
      </c>
      <c r="I3778" s="5">
        <v>0.1</v>
      </c>
      <c r="J3778">
        <f t="shared" ref="J3778:J3841" si="118">G3778*H3778*(1-I3778)</f>
        <v>674.99099999999999</v>
      </c>
      <c r="K3778" s="9">
        <f t="shared" ref="K3778:K3841" si="119">($H3778-$M$7)/$M$9</f>
        <v>-0.34208121788997192</v>
      </c>
    </row>
    <row r="3779" spans="1:11" x14ac:dyDescent="0.3">
      <c r="A3779">
        <v>1303</v>
      </c>
      <c r="B3779">
        <v>5</v>
      </c>
      <c r="C3779">
        <v>24</v>
      </c>
      <c r="D3779" t="str">
        <f>VLOOKUP($C3779,products!$A$1:$F$322,MATCH(order_items!$D$1,products!$A$1:$F$1,0),FALSE)</f>
        <v>Electra Townie Original 21D - 2016</v>
      </c>
      <c r="E3779">
        <f>VLOOKUP($C3779,products!$A$1:$F$322,MATCH(order_items!$E$1,products!$A$1:$F$1,0),FALSE)</f>
        <v>2</v>
      </c>
      <c r="F3779" t="str">
        <f>VLOOKUP($E3779,categories!$A$1:$B$8,MATCH(order_items!$F$1,categories!$A$1:$B$1,0),FALSE)</f>
        <v>Comfort Bicycles</v>
      </c>
      <c r="G3779">
        <v>2</v>
      </c>
      <c r="H3779">
        <v>549.99</v>
      </c>
      <c r="I3779" s="5">
        <v>0.1</v>
      </c>
      <c r="J3779">
        <f t="shared" si="118"/>
        <v>989.98200000000008</v>
      </c>
      <c r="K3779" s="9">
        <f t="shared" si="119"/>
        <v>-0.48993857929220308</v>
      </c>
    </row>
    <row r="3780" spans="1:11" x14ac:dyDescent="0.3">
      <c r="A3780">
        <v>1304</v>
      </c>
      <c r="B3780">
        <v>1</v>
      </c>
      <c r="C3780">
        <v>80</v>
      </c>
      <c r="D3780" t="str">
        <f>VLOOKUP($C3780,products!$A$1:$F$322,MATCH(order_items!$D$1,products!$A$1:$F$1,0),FALSE)</f>
        <v>Sun Bicycles Brickell Tandem CB - 2017</v>
      </c>
      <c r="E3780">
        <f>VLOOKUP($C3780,products!$A$1:$F$322,MATCH(order_items!$E$1,products!$A$1:$F$1,0),FALSE)</f>
        <v>3</v>
      </c>
      <c r="F3780" t="str">
        <f>VLOOKUP($E3780,categories!$A$1:$B$8,MATCH(order_items!$F$1,categories!$A$1:$B$1,0),FALSE)</f>
        <v>Cruisers Bicycles</v>
      </c>
      <c r="G3780">
        <v>1</v>
      </c>
      <c r="H3780">
        <v>761.99</v>
      </c>
      <c r="I3780" s="5">
        <v>0.05</v>
      </c>
      <c r="J3780">
        <f t="shared" si="118"/>
        <v>723.89049999999997</v>
      </c>
      <c r="K3780" s="9">
        <f t="shared" si="119"/>
        <v>-0.33320977620583803</v>
      </c>
    </row>
    <row r="3781" spans="1:11" x14ac:dyDescent="0.3">
      <c r="A3781">
        <v>1304</v>
      </c>
      <c r="B3781">
        <v>2</v>
      </c>
      <c r="C3781">
        <v>99</v>
      </c>
      <c r="D3781" t="str">
        <f>VLOOKUP($C3781,products!$A$1:$F$322,MATCH(order_items!$D$1,products!$A$1:$F$1,0),FALSE)</f>
        <v>Electra Sugar Skulls 1 (20-inch) - Girl's - 2017</v>
      </c>
      <c r="E3781">
        <f>VLOOKUP($C3781,products!$A$1:$F$322,MATCH(order_items!$E$1,products!$A$1:$F$1,0),FALSE)</f>
        <v>1</v>
      </c>
      <c r="F3781" t="str">
        <f>VLOOKUP($E3781,categories!$A$1:$B$8,MATCH(order_items!$F$1,categories!$A$1:$B$1,0),FALSE)</f>
        <v>Children Bicycles</v>
      </c>
      <c r="G3781">
        <v>2</v>
      </c>
      <c r="H3781">
        <v>299.99</v>
      </c>
      <c r="I3781" s="5">
        <v>0.05</v>
      </c>
      <c r="J3781">
        <f t="shared" si="118"/>
        <v>569.98099999999999</v>
      </c>
      <c r="K3781" s="9">
        <f t="shared" si="119"/>
        <v>-0.67476028104499197</v>
      </c>
    </row>
    <row r="3782" spans="1:11" x14ac:dyDescent="0.3">
      <c r="A3782">
        <v>1304</v>
      </c>
      <c r="B3782">
        <v>3</v>
      </c>
      <c r="C3782">
        <v>102</v>
      </c>
      <c r="D3782" t="str">
        <f>VLOOKUP($C3782,products!$A$1:$F$322,MATCH(order_items!$D$1,products!$A$1:$F$1,0),FALSE)</f>
        <v>Electra Townie Original 7D - 2017</v>
      </c>
      <c r="E3782">
        <f>VLOOKUP($C3782,products!$A$1:$F$322,MATCH(order_items!$E$1,products!$A$1:$F$1,0),FALSE)</f>
        <v>2</v>
      </c>
      <c r="F3782" t="str">
        <f>VLOOKUP($E3782,categories!$A$1:$B$8,MATCH(order_items!$F$1,categories!$A$1:$B$1,0),FALSE)</f>
        <v>Comfort Bicycles</v>
      </c>
      <c r="G3782">
        <v>1</v>
      </c>
      <c r="H3782">
        <v>489.99</v>
      </c>
      <c r="I3782" s="5">
        <v>0.2</v>
      </c>
      <c r="J3782">
        <f t="shared" si="118"/>
        <v>391.99200000000002</v>
      </c>
      <c r="K3782" s="9">
        <f t="shared" si="119"/>
        <v>-0.53429578771287245</v>
      </c>
    </row>
    <row r="3783" spans="1:11" x14ac:dyDescent="0.3">
      <c r="A3783">
        <v>1304</v>
      </c>
      <c r="B3783">
        <v>4</v>
      </c>
      <c r="C3783">
        <v>17</v>
      </c>
      <c r="D3783" t="str">
        <f>VLOOKUP($C3783,products!$A$1:$F$322,MATCH(order_items!$D$1,products!$A$1:$F$1,0),FALSE)</f>
        <v>Pure Cycles Vine 8-Speed - 2016</v>
      </c>
      <c r="E3783">
        <f>VLOOKUP($C3783,products!$A$1:$F$322,MATCH(order_items!$E$1,products!$A$1:$F$1,0),FALSE)</f>
        <v>3</v>
      </c>
      <c r="F3783" t="str">
        <f>VLOOKUP($E3783,categories!$A$1:$B$8,MATCH(order_items!$F$1,categories!$A$1:$B$1,0),FALSE)</f>
        <v>Cruisers Bicycles</v>
      </c>
      <c r="G3783">
        <v>1</v>
      </c>
      <c r="H3783">
        <v>429</v>
      </c>
      <c r="I3783" s="5">
        <v>0.05</v>
      </c>
      <c r="J3783">
        <f t="shared" si="118"/>
        <v>407.54999999999995</v>
      </c>
      <c r="K3783" s="9">
        <f t="shared" si="119"/>
        <v>-0.57938489007248284</v>
      </c>
    </row>
    <row r="3784" spans="1:11" x14ac:dyDescent="0.3">
      <c r="A3784">
        <v>1305</v>
      </c>
      <c r="B3784">
        <v>1</v>
      </c>
      <c r="C3784">
        <v>85</v>
      </c>
      <c r="D3784" t="str">
        <f>VLOOKUP($C3784,products!$A$1:$F$322,MATCH(order_items!$D$1,products!$A$1:$F$1,0),FALSE)</f>
        <v>Haro Downtown 16 - 2017</v>
      </c>
      <c r="E3784">
        <f>VLOOKUP($C3784,products!$A$1:$F$322,MATCH(order_items!$E$1,products!$A$1:$F$1,0),FALSE)</f>
        <v>1</v>
      </c>
      <c r="F3784" t="str">
        <f>VLOOKUP($E3784,categories!$A$1:$B$8,MATCH(order_items!$F$1,categories!$A$1:$B$1,0),FALSE)</f>
        <v>Children Bicycles</v>
      </c>
      <c r="G3784">
        <v>1</v>
      </c>
      <c r="H3784">
        <v>329.99</v>
      </c>
      <c r="I3784" s="5">
        <v>0.2</v>
      </c>
      <c r="J3784">
        <f t="shared" si="118"/>
        <v>263.99200000000002</v>
      </c>
      <c r="K3784" s="9">
        <f t="shared" si="119"/>
        <v>-0.6525816768346574</v>
      </c>
    </row>
    <row r="3785" spans="1:11" x14ac:dyDescent="0.3">
      <c r="A3785">
        <v>1305</v>
      </c>
      <c r="B3785">
        <v>2</v>
      </c>
      <c r="C3785">
        <v>9</v>
      </c>
      <c r="D3785" t="str">
        <f>VLOOKUP($C3785,products!$A$1:$F$322,MATCH(order_items!$D$1,products!$A$1:$F$1,0),FALSE)</f>
        <v>Trek Conduit+ - 2016</v>
      </c>
      <c r="E3785">
        <f>VLOOKUP($C3785,products!$A$1:$F$322,MATCH(order_items!$E$1,products!$A$1:$F$1,0),FALSE)</f>
        <v>5</v>
      </c>
      <c r="F3785" t="str">
        <f>VLOOKUP($E3785,categories!$A$1:$B$8,MATCH(order_items!$F$1,categories!$A$1:$B$1,0),FALSE)</f>
        <v>Electric Bikes</v>
      </c>
      <c r="G3785">
        <v>1</v>
      </c>
      <c r="H3785">
        <v>2999.99</v>
      </c>
      <c r="I3785" s="5">
        <v>7.0000000000000007E-2</v>
      </c>
      <c r="J3785">
        <f t="shared" si="118"/>
        <v>2789.9906999999998</v>
      </c>
      <c r="K3785" s="9">
        <f t="shared" si="119"/>
        <v>1.3213140978851283</v>
      </c>
    </row>
    <row r="3786" spans="1:11" x14ac:dyDescent="0.3">
      <c r="A3786">
        <v>1305</v>
      </c>
      <c r="B3786">
        <v>3</v>
      </c>
      <c r="C3786">
        <v>11</v>
      </c>
      <c r="D3786" t="str">
        <f>VLOOKUP($C3786,products!$A$1:$F$322,MATCH(order_items!$D$1,products!$A$1:$F$1,0),FALSE)</f>
        <v>Surly Straggler 650b - 2016</v>
      </c>
      <c r="E3786">
        <f>VLOOKUP($C3786,products!$A$1:$F$322,MATCH(order_items!$E$1,products!$A$1:$F$1,0),FALSE)</f>
        <v>4</v>
      </c>
      <c r="F3786" t="str">
        <f>VLOOKUP($E3786,categories!$A$1:$B$8,MATCH(order_items!$F$1,categories!$A$1:$B$1,0),FALSE)</f>
        <v>Cyclocross Bicycles</v>
      </c>
      <c r="G3786">
        <v>1</v>
      </c>
      <c r="H3786">
        <v>1680.99</v>
      </c>
      <c r="I3786" s="5">
        <v>0.05</v>
      </c>
      <c r="J3786">
        <f t="shared" si="118"/>
        <v>1596.9404999999999</v>
      </c>
      <c r="K3786" s="9">
        <f t="shared" si="119"/>
        <v>0.3461947994374141</v>
      </c>
    </row>
    <row r="3787" spans="1:11" x14ac:dyDescent="0.3">
      <c r="A3787">
        <v>1305</v>
      </c>
      <c r="B3787">
        <v>4</v>
      </c>
      <c r="C3787">
        <v>91</v>
      </c>
      <c r="D3787" t="str">
        <f>VLOOKUP($C3787,products!$A$1:$F$322,MATCH(order_items!$D$1,products!$A$1:$F$1,0),FALSE)</f>
        <v>Trek Precaliber 24 (21-Speed) - Girls - 2017</v>
      </c>
      <c r="E3787">
        <f>VLOOKUP($C3787,products!$A$1:$F$322,MATCH(order_items!$E$1,products!$A$1:$F$1,0),FALSE)</f>
        <v>1</v>
      </c>
      <c r="F3787" t="str">
        <f>VLOOKUP($E3787,categories!$A$1:$B$8,MATCH(order_items!$F$1,categories!$A$1:$B$1,0),FALSE)</f>
        <v>Children Bicycles</v>
      </c>
      <c r="G3787">
        <v>2</v>
      </c>
      <c r="H3787">
        <v>349.99</v>
      </c>
      <c r="I3787" s="5">
        <v>0.05</v>
      </c>
      <c r="J3787">
        <f t="shared" si="118"/>
        <v>664.98099999999999</v>
      </c>
      <c r="K3787" s="9">
        <f t="shared" si="119"/>
        <v>-0.63779594069443424</v>
      </c>
    </row>
    <row r="3788" spans="1:11" x14ac:dyDescent="0.3">
      <c r="A3788">
        <v>1306</v>
      </c>
      <c r="B3788">
        <v>1</v>
      </c>
      <c r="C3788">
        <v>103</v>
      </c>
      <c r="D3788" t="str">
        <f>VLOOKUP($C3788,products!$A$1:$F$322,MATCH(order_items!$D$1,products!$A$1:$F$1,0),FALSE)</f>
        <v>Sun Bicycles Streamway 3 - 2017</v>
      </c>
      <c r="E3788">
        <f>VLOOKUP($C3788,products!$A$1:$F$322,MATCH(order_items!$E$1,products!$A$1:$F$1,0),FALSE)</f>
        <v>2</v>
      </c>
      <c r="F3788" t="str">
        <f>VLOOKUP($E3788,categories!$A$1:$B$8,MATCH(order_items!$F$1,categories!$A$1:$B$1,0),FALSE)</f>
        <v>Comfort Bicycles</v>
      </c>
      <c r="G3788">
        <v>2</v>
      </c>
      <c r="H3788">
        <v>551.99</v>
      </c>
      <c r="I3788" s="5">
        <v>0.05</v>
      </c>
      <c r="J3788">
        <f t="shared" si="118"/>
        <v>1048.7809999999999</v>
      </c>
      <c r="K3788" s="9">
        <f t="shared" si="119"/>
        <v>-0.48846000567818076</v>
      </c>
    </row>
    <row r="3789" spans="1:11" x14ac:dyDescent="0.3">
      <c r="A3789">
        <v>1306</v>
      </c>
      <c r="B3789">
        <v>2</v>
      </c>
      <c r="C3789">
        <v>81</v>
      </c>
      <c r="D3789" t="str">
        <f>VLOOKUP($C3789,products!$A$1:$F$322,MATCH(order_items!$D$1,products!$A$1:$F$1,0),FALSE)</f>
        <v>Electra Amsterdam Fashion 7i Ladies' - 2017</v>
      </c>
      <c r="E3789">
        <f>VLOOKUP($C3789,products!$A$1:$F$322,MATCH(order_items!$E$1,products!$A$1:$F$1,0),FALSE)</f>
        <v>3</v>
      </c>
      <c r="F3789" t="str">
        <f>VLOOKUP($E3789,categories!$A$1:$B$8,MATCH(order_items!$F$1,categories!$A$1:$B$1,0),FALSE)</f>
        <v>Cruisers Bicycles</v>
      </c>
      <c r="G3789">
        <v>2</v>
      </c>
      <c r="H3789">
        <v>1099.99</v>
      </c>
      <c r="I3789" s="5">
        <v>7.0000000000000007E-2</v>
      </c>
      <c r="J3789">
        <f t="shared" si="118"/>
        <v>2045.9813999999999</v>
      </c>
      <c r="K3789" s="9">
        <f t="shared" si="119"/>
        <v>-8.3330835436067396E-2</v>
      </c>
    </row>
    <row r="3790" spans="1:11" x14ac:dyDescent="0.3">
      <c r="A3790">
        <v>1306</v>
      </c>
      <c r="B3790">
        <v>3</v>
      </c>
      <c r="C3790">
        <v>45</v>
      </c>
      <c r="D3790" t="str">
        <f>VLOOKUP($C3790,products!$A$1:$F$322,MATCH(order_items!$D$1,products!$A$1:$F$1,0),FALSE)</f>
        <v>Haro SR 1.2 - 2017</v>
      </c>
      <c r="E3790">
        <f>VLOOKUP($C3790,products!$A$1:$F$322,MATCH(order_items!$E$1,products!$A$1:$F$1,0),FALSE)</f>
        <v>6</v>
      </c>
      <c r="F3790" t="str">
        <f>VLOOKUP($E3790,categories!$A$1:$B$8,MATCH(order_items!$F$1,categories!$A$1:$B$1,0),FALSE)</f>
        <v>Mountain Bikes</v>
      </c>
      <c r="G3790">
        <v>1</v>
      </c>
      <c r="H3790">
        <v>869.99</v>
      </c>
      <c r="I3790" s="5">
        <v>0.2</v>
      </c>
      <c r="J3790">
        <f t="shared" si="118"/>
        <v>695.99200000000008</v>
      </c>
      <c r="K3790" s="9">
        <f t="shared" si="119"/>
        <v>-0.25336680104863324</v>
      </c>
    </row>
    <row r="3791" spans="1:11" x14ac:dyDescent="0.3">
      <c r="A3791">
        <v>1306</v>
      </c>
      <c r="B3791">
        <v>4</v>
      </c>
      <c r="C3791">
        <v>42</v>
      </c>
      <c r="D3791" t="str">
        <f>VLOOKUP($C3791,products!$A$1:$F$322,MATCH(order_items!$D$1,products!$A$1:$F$1,0),FALSE)</f>
        <v>Trek Fuel EX 5 27.5 Plus - 2017</v>
      </c>
      <c r="E3791">
        <f>VLOOKUP($C3791,products!$A$1:$F$322,MATCH(order_items!$E$1,products!$A$1:$F$1,0),FALSE)</f>
        <v>6</v>
      </c>
      <c r="F3791" t="str">
        <f>VLOOKUP($E3791,categories!$A$1:$B$8,MATCH(order_items!$F$1,categories!$A$1:$B$1,0),FALSE)</f>
        <v>Mountain Bikes</v>
      </c>
      <c r="G3791">
        <v>1</v>
      </c>
      <c r="H3791">
        <v>2299.9899999999998</v>
      </c>
      <c r="I3791" s="5">
        <v>0.2</v>
      </c>
      <c r="J3791">
        <f t="shared" si="118"/>
        <v>1839.992</v>
      </c>
      <c r="K3791" s="9">
        <f t="shared" si="119"/>
        <v>0.80381333297731938</v>
      </c>
    </row>
    <row r="3792" spans="1:11" x14ac:dyDescent="0.3">
      <c r="A3792">
        <v>1306</v>
      </c>
      <c r="B3792">
        <v>5</v>
      </c>
      <c r="C3792">
        <v>9</v>
      </c>
      <c r="D3792" t="str">
        <f>VLOOKUP($C3792,products!$A$1:$F$322,MATCH(order_items!$D$1,products!$A$1:$F$1,0),FALSE)</f>
        <v>Trek Conduit+ - 2016</v>
      </c>
      <c r="E3792">
        <f>VLOOKUP($C3792,products!$A$1:$F$322,MATCH(order_items!$E$1,products!$A$1:$F$1,0),FALSE)</f>
        <v>5</v>
      </c>
      <c r="F3792" t="str">
        <f>VLOOKUP($E3792,categories!$A$1:$B$8,MATCH(order_items!$F$1,categories!$A$1:$B$1,0),FALSE)</f>
        <v>Electric Bikes</v>
      </c>
      <c r="G3792">
        <v>2</v>
      </c>
      <c r="H3792">
        <v>2999.99</v>
      </c>
      <c r="I3792" s="5">
        <v>7.0000000000000007E-2</v>
      </c>
      <c r="J3792">
        <f t="shared" si="118"/>
        <v>5579.9813999999997</v>
      </c>
      <c r="K3792" s="9">
        <f t="shared" si="119"/>
        <v>1.3213140978851283</v>
      </c>
    </row>
    <row r="3793" spans="1:11" x14ac:dyDescent="0.3">
      <c r="A3793">
        <v>1307</v>
      </c>
      <c r="B3793">
        <v>1</v>
      </c>
      <c r="C3793">
        <v>96</v>
      </c>
      <c r="D3793" t="str">
        <f>VLOOKUP($C3793,products!$A$1:$F$322,MATCH(order_items!$D$1,products!$A$1:$F$1,0),FALSE)</f>
        <v>Electra Moto 3i (20-inch) - Boy's - 2017</v>
      </c>
      <c r="E3793">
        <f>VLOOKUP($C3793,products!$A$1:$F$322,MATCH(order_items!$E$1,products!$A$1:$F$1,0),FALSE)</f>
        <v>1</v>
      </c>
      <c r="F3793" t="str">
        <f>VLOOKUP($E3793,categories!$A$1:$B$8,MATCH(order_items!$F$1,categories!$A$1:$B$1,0),FALSE)</f>
        <v>Children Bicycles</v>
      </c>
      <c r="G3793">
        <v>2</v>
      </c>
      <c r="H3793">
        <v>349.99</v>
      </c>
      <c r="I3793" s="5">
        <v>7.0000000000000007E-2</v>
      </c>
      <c r="J3793">
        <f t="shared" si="118"/>
        <v>650.98140000000001</v>
      </c>
      <c r="K3793" s="9">
        <f t="shared" si="119"/>
        <v>-0.63779594069443424</v>
      </c>
    </row>
    <row r="3794" spans="1:11" x14ac:dyDescent="0.3">
      <c r="A3794">
        <v>1307</v>
      </c>
      <c r="B3794">
        <v>2</v>
      </c>
      <c r="C3794">
        <v>53</v>
      </c>
      <c r="D3794" t="str">
        <f>VLOOKUP($C3794,products!$A$1:$F$322,MATCH(order_items!$D$1,products!$A$1:$F$1,0),FALSE)</f>
        <v>Surly Ogre Frameset - 2017</v>
      </c>
      <c r="E3794">
        <f>VLOOKUP($C3794,products!$A$1:$F$322,MATCH(order_items!$E$1,products!$A$1:$F$1,0),FALSE)</f>
        <v>7</v>
      </c>
      <c r="F3794" t="str">
        <f>VLOOKUP($E3794,categories!$A$1:$B$8,MATCH(order_items!$F$1,categories!$A$1:$B$1,0),FALSE)</f>
        <v>Road Bikes</v>
      </c>
      <c r="G3794">
        <v>2</v>
      </c>
      <c r="H3794">
        <v>749.99</v>
      </c>
      <c r="I3794" s="5">
        <v>0.2</v>
      </c>
      <c r="J3794">
        <f t="shared" si="118"/>
        <v>1199.9840000000002</v>
      </c>
      <c r="K3794" s="9">
        <f t="shared" si="119"/>
        <v>-0.34208121788997192</v>
      </c>
    </row>
    <row r="3795" spans="1:11" x14ac:dyDescent="0.3">
      <c r="A3795">
        <v>1307</v>
      </c>
      <c r="B3795">
        <v>3</v>
      </c>
      <c r="C3795">
        <v>69</v>
      </c>
      <c r="D3795" t="str">
        <f>VLOOKUP($C3795,products!$A$1:$F$322,MATCH(order_items!$D$1,products!$A$1:$F$1,0),FALSE)</f>
        <v>Sun Bicycles Cruz 7 - 2017</v>
      </c>
      <c r="E3795">
        <f>VLOOKUP($C3795,products!$A$1:$F$322,MATCH(order_items!$E$1,products!$A$1:$F$1,0),FALSE)</f>
        <v>3</v>
      </c>
      <c r="F3795" t="str">
        <f>VLOOKUP($E3795,categories!$A$1:$B$8,MATCH(order_items!$F$1,categories!$A$1:$B$1,0),FALSE)</f>
        <v>Cruisers Bicycles</v>
      </c>
      <c r="G3795">
        <v>2</v>
      </c>
      <c r="H3795">
        <v>416.99</v>
      </c>
      <c r="I3795" s="5">
        <v>0.2</v>
      </c>
      <c r="J3795">
        <f t="shared" si="118"/>
        <v>667.18400000000008</v>
      </c>
      <c r="K3795" s="9">
        <f t="shared" si="119"/>
        <v>-0.58826372462468679</v>
      </c>
    </row>
    <row r="3796" spans="1:11" x14ac:dyDescent="0.3">
      <c r="A3796">
        <v>1308</v>
      </c>
      <c r="B3796">
        <v>1</v>
      </c>
      <c r="C3796">
        <v>54</v>
      </c>
      <c r="D3796" t="str">
        <f>VLOOKUP($C3796,products!$A$1:$F$322,MATCH(order_items!$D$1,products!$A$1:$F$1,0),FALSE)</f>
        <v>Trek Domane SL Disc Frameset - 2017</v>
      </c>
      <c r="E3796">
        <f>VLOOKUP($C3796,products!$A$1:$F$322,MATCH(order_items!$E$1,products!$A$1:$F$1,0),FALSE)</f>
        <v>7</v>
      </c>
      <c r="F3796" t="str">
        <f>VLOOKUP($E3796,categories!$A$1:$B$8,MATCH(order_items!$F$1,categories!$A$1:$B$1,0),FALSE)</f>
        <v>Road Bikes</v>
      </c>
      <c r="G3796">
        <v>1</v>
      </c>
      <c r="H3796">
        <v>3199.99</v>
      </c>
      <c r="I3796" s="5">
        <v>0.05</v>
      </c>
      <c r="J3796">
        <f t="shared" si="118"/>
        <v>3039.9904999999994</v>
      </c>
      <c r="K3796" s="9">
        <f t="shared" si="119"/>
        <v>1.4691714592873595</v>
      </c>
    </row>
    <row r="3797" spans="1:11" x14ac:dyDescent="0.3">
      <c r="A3797">
        <v>1308</v>
      </c>
      <c r="B3797">
        <v>2</v>
      </c>
      <c r="C3797">
        <v>69</v>
      </c>
      <c r="D3797" t="str">
        <f>VLOOKUP($C3797,products!$A$1:$F$322,MATCH(order_items!$D$1,products!$A$1:$F$1,0),FALSE)</f>
        <v>Sun Bicycles Cruz 7 - 2017</v>
      </c>
      <c r="E3797">
        <f>VLOOKUP($C3797,products!$A$1:$F$322,MATCH(order_items!$E$1,products!$A$1:$F$1,0),FALSE)</f>
        <v>3</v>
      </c>
      <c r="F3797" t="str">
        <f>VLOOKUP($E3797,categories!$A$1:$B$8,MATCH(order_items!$F$1,categories!$A$1:$B$1,0),FALSE)</f>
        <v>Cruisers Bicycles</v>
      </c>
      <c r="G3797">
        <v>1</v>
      </c>
      <c r="H3797">
        <v>416.99</v>
      </c>
      <c r="I3797" s="5">
        <v>0.2</v>
      </c>
      <c r="J3797">
        <f t="shared" si="118"/>
        <v>333.59200000000004</v>
      </c>
      <c r="K3797" s="9">
        <f t="shared" si="119"/>
        <v>-0.58826372462468679</v>
      </c>
    </row>
    <row r="3798" spans="1:11" x14ac:dyDescent="0.3">
      <c r="A3798">
        <v>1308</v>
      </c>
      <c r="B3798">
        <v>3</v>
      </c>
      <c r="C3798">
        <v>14</v>
      </c>
      <c r="D3798" t="str">
        <f>VLOOKUP($C3798,products!$A$1:$F$322,MATCH(order_items!$D$1,products!$A$1:$F$1,0),FALSE)</f>
        <v>Electra Girl's Hawaii 1 (16-inch) - 2015/2016</v>
      </c>
      <c r="E3798">
        <f>VLOOKUP($C3798,products!$A$1:$F$322,MATCH(order_items!$E$1,products!$A$1:$F$1,0),FALSE)</f>
        <v>3</v>
      </c>
      <c r="F3798" t="str">
        <f>VLOOKUP($E3798,categories!$A$1:$B$8,MATCH(order_items!$F$1,categories!$A$1:$B$1,0),FALSE)</f>
        <v>Cruisers Bicycles</v>
      </c>
      <c r="G3798">
        <v>2</v>
      </c>
      <c r="H3798">
        <v>269.99</v>
      </c>
      <c r="I3798" s="5">
        <v>7.0000000000000007E-2</v>
      </c>
      <c r="J3798">
        <f t="shared" si="118"/>
        <v>502.1814</v>
      </c>
      <c r="K3798" s="9">
        <f t="shared" si="119"/>
        <v>-0.69693888525532666</v>
      </c>
    </row>
    <row r="3799" spans="1:11" x14ac:dyDescent="0.3">
      <c r="A3799">
        <v>1308</v>
      </c>
      <c r="B3799">
        <v>4</v>
      </c>
      <c r="C3799">
        <v>56</v>
      </c>
      <c r="D3799" t="str">
        <f>VLOOKUP($C3799,products!$A$1:$F$322,MATCH(order_items!$D$1,products!$A$1:$F$1,0),FALSE)</f>
        <v>Trek Domane SLR 6 Disc - 2017</v>
      </c>
      <c r="E3799">
        <f>VLOOKUP($C3799,products!$A$1:$F$322,MATCH(order_items!$E$1,products!$A$1:$F$1,0),FALSE)</f>
        <v>7</v>
      </c>
      <c r="F3799" t="str">
        <f>VLOOKUP($E3799,categories!$A$1:$B$8,MATCH(order_items!$F$1,categories!$A$1:$B$1,0),FALSE)</f>
        <v>Road Bikes</v>
      </c>
      <c r="G3799">
        <v>1</v>
      </c>
      <c r="H3799">
        <v>5499.99</v>
      </c>
      <c r="I3799" s="5">
        <v>0.2</v>
      </c>
      <c r="J3799">
        <f t="shared" si="118"/>
        <v>4399.9920000000002</v>
      </c>
      <c r="K3799" s="9">
        <f t="shared" si="119"/>
        <v>3.1695311154130179</v>
      </c>
    </row>
    <row r="3800" spans="1:11" x14ac:dyDescent="0.3">
      <c r="A3800">
        <v>1308</v>
      </c>
      <c r="B3800">
        <v>5</v>
      </c>
      <c r="C3800">
        <v>32</v>
      </c>
      <c r="D3800" t="str">
        <f>VLOOKUP($C3800,products!$A$1:$F$322,MATCH(order_items!$D$1,products!$A$1:$F$1,0),FALSE)</f>
        <v>Trek Farley Alloy Frameset - 2017</v>
      </c>
      <c r="E3800">
        <f>VLOOKUP($C3800,products!$A$1:$F$322,MATCH(order_items!$E$1,products!$A$1:$F$1,0),FALSE)</f>
        <v>6</v>
      </c>
      <c r="F3800" t="str">
        <f>VLOOKUP($E3800,categories!$A$1:$B$8,MATCH(order_items!$F$1,categories!$A$1:$B$1,0),FALSE)</f>
        <v>Mountain Bikes</v>
      </c>
      <c r="G3800">
        <v>1</v>
      </c>
      <c r="H3800">
        <v>469.99</v>
      </c>
      <c r="I3800" s="5">
        <v>7.0000000000000007E-2</v>
      </c>
      <c r="J3800">
        <f t="shared" si="118"/>
        <v>437.09069999999997</v>
      </c>
      <c r="K3800" s="9">
        <f t="shared" si="119"/>
        <v>-0.5490815238530955</v>
      </c>
    </row>
    <row r="3801" spans="1:11" x14ac:dyDescent="0.3">
      <c r="A3801">
        <v>1309</v>
      </c>
      <c r="B3801">
        <v>1</v>
      </c>
      <c r="C3801">
        <v>65</v>
      </c>
      <c r="D3801" t="str">
        <f>VLOOKUP($C3801,products!$A$1:$F$322,MATCH(order_items!$D$1,products!$A$1:$F$1,0),FALSE)</f>
        <v>Sun Bicycles Lil Bolt Type-R - 2017</v>
      </c>
      <c r="E3801">
        <f>VLOOKUP($C3801,products!$A$1:$F$322,MATCH(order_items!$E$1,products!$A$1:$F$1,0),FALSE)</f>
        <v>3</v>
      </c>
      <c r="F3801" t="str">
        <f>VLOOKUP($E3801,categories!$A$1:$B$8,MATCH(order_items!$F$1,categories!$A$1:$B$1,0),FALSE)</f>
        <v>Cruisers Bicycles</v>
      </c>
      <c r="G3801">
        <v>1</v>
      </c>
      <c r="H3801">
        <v>346.99</v>
      </c>
      <c r="I3801" s="5">
        <v>0.05</v>
      </c>
      <c r="J3801">
        <f t="shared" si="118"/>
        <v>329.64049999999997</v>
      </c>
      <c r="K3801" s="9">
        <f t="shared" si="119"/>
        <v>-0.64001380111546768</v>
      </c>
    </row>
    <row r="3802" spans="1:11" x14ac:dyDescent="0.3">
      <c r="A3802">
        <v>1309</v>
      </c>
      <c r="B3802">
        <v>2</v>
      </c>
      <c r="C3802">
        <v>87</v>
      </c>
      <c r="D3802" t="str">
        <f>VLOOKUP($C3802,products!$A$1:$F$322,MATCH(order_items!$D$1,products!$A$1:$F$1,0),FALSE)</f>
        <v>Trek Precaliber 12 Boys - 2017</v>
      </c>
      <c r="E3802">
        <f>VLOOKUP($C3802,products!$A$1:$F$322,MATCH(order_items!$E$1,products!$A$1:$F$1,0),FALSE)</f>
        <v>1</v>
      </c>
      <c r="F3802" t="str">
        <f>VLOOKUP($E3802,categories!$A$1:$B$8,MATCH(order_items!$F$1,categories!$A$1:$B$1,0),FALSE)</f>
        <v>Children Bicycles</v>
      </c>
      <c r="G3802">
        <v>2</v>
      </c>
      <c r="H3802">
        <v>189.99</v>
      </c>
      <c r="I3802" s="5">
        <v>0.2</v>
      </c>
      <c r="J3802">
        <f t="shared" si="118"/>
        <v>303.98400000000004</v>
      </c>
      <c r="K3802" s="9">
        <f t="shared" si="119"/>
        <v>-0.75608182981621919</v>
      </c>
    </row>
    <row r="3803" spans="1:11" x14ac:dyDescent="0.3">
      <c r="A3803">
        <v>1310</v>
      </c>
      <c r="B3803">
        <v>1</v>
      </c>
      <c r="C3803">
        <v>59</v>
      </c>
      <c r="D3803" t="str">
        <f>VLOOKUP($C3803,products!$A$1:$F$322,MATCH(order_items!$D$1,products!$A$1:$F$1,0),FALSE)</f>
        <v>Trek Domane S 5 Disc - 2017</v>
      </c>
      <c r="E3803">
        <f>VLOOKUP($C3803,products!$A$1:$F$322,MATCH(order_items!$E$1,products!$A$1:$F$1,0),FALSE)</f>
        <v>7</v>
      </c>
      <c r="F3803" t="str">
        <f>VLOOKUP($E3803,categories!$A$1:$B$8,MATCH(order_items!$F$1,categories!$A$1:$B$1,0),FALSE)</f>
        <v>Road Bikes</v>
      </c>
      <c r="G3803">
        <v>1</v>
      </c>
      <c r="H3803">
        <v>2599.9899999999998</v>
      </c>
      <c r="I3803" s="5">
        <v>0.2</v>
      </c>
      <c r="J3803">
        <f t="shared" si="118"/>
        <v>2079.9919999999997</v>
      </c>
      <c r="K3803" s="9">
        <f t="shared" si="119"/>
        <v>1.025599375080666</v>
      </c>
    </row>
    <row r="3804" spans="1:11" x14ac:dyDescent="0.3">
      <c r="A3804">
        <v>1310</v>
      </c>
      <c r="B3804">
        <v>2</v>
      </c>
      <c r="C3804">
        <v>77</v>
      </c>
      <c r="D3804" t="str">
        <f>VLOOKUP($C3804,products!$A$1:$F$322,MATCH(order_items!$D$1,products!$A$1:$F$1,0),FALSE)</f>
        <v>Electra Glam Punk 3i Ladies' - 2017</v>
      </c>
      <c r="E3804">
        <f>VLOOKUP($C3804,products!$A$1:$F$322,MATCH(order_items!$E$1,products!$A$1:$F$1,0),FALSE)</f>
        <v>3</v>
      </c>
      <c r="F3804" t="str">
        <f>VLOOKUP($E3804,categories!$A$1:$B$8,MATCH(order_items!$F$1,categories!$A$1:$B$1,0),FALSE)</f>
        <v>Cruisers Bicycles</v>
      </c>
      <c r="G3804">
        <v>2</v>
      </c>
      <c r="H3804">
        <v>799.99</v>
      </c>
      <c r="I3804" s="5">
        <v>0.2</v>
      </c>
      <c r="J3804">
        <f t="shared" si="118"/>
        <v>1279.9840000000002</v>
      </c>
      <c r="K3804" s="9">
        <f t="shared" si="119"/>
        <v>-0.30511687753941413</v>
      </c>
    </row>
    <row r="3805" spans="1:11" x14ac:dyDescent="0.3">
      <c r="A3805">
        <v>1310</v>
      </c>
      <c r="B3805">
        <v>3</v>
      </c>
      <c r="C3805">
        <v>11</v>
      </c>
      <c r="D3805" t="str">
        <f>VLOOKUP($C3805,products!$A$1:$F$322,MATCH(order_items!$D$1,products!$A$1:$F$1,0),FALSE)</f>
        <v>Surly Straggler 650b - 2016</v>
      </c>
      <c r="E3805">
        <f>VLOOKUP($C3805,products!$A$1:$F$322,MATCH(order_items!$E$1,products!$A$1:$F$1,0),FALSE)</f>
        <v>4</v>
      </c>
      <c r="F3805" t="str">
        <f>VLOOKUP($E3805,categories!$A$1:$B$8,MATCH(order_items!$F$1,categories!$A$1:$B$1,0),FALSE)</f>
        <v>Cyclocross Bicycles</v>
      </c>
      <c r="G3805">
        <v>2</v>
      </c>
      <c r="H3805">
        <v>1680.99</v>
      </c>
      <c r="I3805" s="5">
        <v>0.1</v>
      </c>
      <c r="J3805">
        <f t="shared" si="118"/>
        <v>3025.7820000000002</v>
      </c>
      <c r="K3805" s="9">
        <f t="shared" si="119"/>
        <v>0.3461947994374141</v>
      </c>
    </row>
    <row r="3806" spans="1:11" x14ac:dyDescent="0.3">
      <c r="A3806">
        <v>1310</v>
      </c>
      <c r="B3806">
        <v>4</v>
      </c>
      <c r="C3806">
        <v>54</v>
      </c>
      <c r="D3806" t="str">
        <f>VLOOKUP($C3806,products!$A$1:$F$322,MATCH(order_items!$D$1,products!$A$1:$F$1,0),FALSE)</f>
        <v>Trek Domane SL Disc Frameset - 2017</v>
      </c>
      <c r="E3806">
        <f>VLOOKUP($C3806,products!$A$1:$F$322,MATCH(order_items!$E$1,products!$A$1:$F$1,0),FALSE)</f>
        <v>7</v>
      </c>
      <c r="F3806" t="str">
        <f>VLOOKUP($E3806,categories!$A$1:$B$8,MATCH(order_items!$F$1,categories!$A$1:$B$1,0),FALSE)</f>
        <v>Road Bikes</v>
      </c>
      <c r="G3806">
        <v>1</v>
      </c>
      <c r="H3806">
        <v>3199.99</v>
      </c>
      <c r="I3806" s="5">
        <v>0.2</v>
      </c>
      <c r="J3806">
        <f t="shared" si="118"/>
        <v>2559.9920000000002</v>
      </c>
      <c r="K3806" s="9">
        <f t="shared" si="119"/>
        <v>1.4691714592873595</v>
      </c>
    </row>
    <row r="3807" spans="1:11" x14ac:dyDescent="0.3">
      <c r="A3807">
        <v>1311</v>
      </c>
      <c r="B3807">
        <v>1</v>
      </c>
      <c r="C3807">
        <v>69</v>
      </c>
      <c r="D3807" t="str">
        <f>VLOOKUP($C3807,products!$A$1:$F$322,MATCH(order_items!$D$1,products!$A$1:$F$1,0),FALSE)</f>
        <v>Sun Bicycles Cruz 7 - 2017</v>
      </c>
      <c r="E3807">
        <f>VLOOKUP($C3807,products!$A$1:$F$322,MATCH(order_items!$E$1,products!$A$1:$F$1,0),FALSE)</f>
        <v>3</v>
      </c>
      <c r="F3807" t="str">
        <f>VLOOKUP($E3807,categories!$A$1:$B$8,MATCH(order_items!$F$1,categories!$A$1:$B$1,0),FALSE)</f>
        <v>Cruisers Bicycles</v>
      </c>
      <c r="G3807">
        <v>1</v>
      </c>
      <c r="H3807">
        <v>416.99</v>
      </c>
      <c r="I3807" s="5">
        <v>0.1</v>
      </c>
      <c r="J3807">
        <f t="shared" si="118"/>
        <v>375.291</v>
      </c>
      <c r="K3807" s="9">
        <f t="shared" si="119"/>
        <v>-0.58826372462468679</v>
      </c>
    </row>
    <row r="3808" spans="1:11" x14ac:dyDescent="0.3">
      <c r="A3808">
        <v>1311</v>
      </c>
      <c r="B3808">
        <v>2</v>
      </c>
      <c r="C3808">
        <v>45</v>
      </c>
      <c r="D3808" t="str">
        <f>VLOOKUP($C3808,products!$A$1:$F$322,MATCH(order_items!$D$1,products!$A$1:$F$1,0),FALSE)</f>
        <v>Haro SR 1.2 - 2017</v>
      </c>
      <c r="E3808">
        <f>VLOOKUP($C3808,products!$A$1:$F$322,MATCH(order_items!$E$1,products!$A$1:$F$1,0),FALSE)</f>
        <v>6</v>
      </c>
      <c r="F3808" t="str">
        <f>VLOOKUP($E3808,categories!$A$1:$B$8,MATCH(order_items!$F$1,categories!$A$1:$B$1,0),FALSE)</f>
        <v>Mountain Bikes</v>
      </c>
      <c r="G3808">
        <v>2</v>
      </c>
      <c r="H3808">
        <v>869.99</v>
      </c>
      <c r="I3808" s="5">
        <v>7.0000000000000007E-2</v>
      </c>
      <c r="J3808">
        <f t="shared" si="118"/>
        <v>1618.1813999999999</v>
      </c>
      <c r="K3808" s="9">
        <f t="shared" si="119"/>
        <v>-0.25336680104863324</v>
      </c>
    </row>
    <row r="3809" spans="1:11" x14ac:dyDescent="0.3">
      <c r="A3809">
        <v>1311</v>
      </c>
      <c r="B3809">
        <v>3</v>
      </c>
      <c r="C3809">
        <v>27</v>
      </c>
      <c r="D3809" t="str">
        <f>VLOOKUP($C3809,products!$A$1:$F$322,MATCH(order_items!$D$1,products!$A$1:$F$1,0),FALSE)</f>
        <v>Surly Big Dummy Frameset - 2017</v>
      </c>
      <c r="E3809">
        <f>VLOOKUP($C3809,products!$A$1:$F$322,MATCH(order_items!$E$1,products!$A$1:$F$1,0),FALSE)</f>
        <v>6</v>
      </c>
      <c r="F3809" t="str">
        <f>VLOOKUP($E3809,categories!$A$1:$B$8,MATCH(order_items!$F$1,categories!$A$1:$B$1,0),FALSE)</f>
        <v>Mountain Bikes</v>
      </c>
      <c r="G3809">
        <v>2</v>
      </c>
      <c r="H3809">
        <v>999.99</v>
      </c>
      <c r="I3809" s="5">
        <v>0.1</v>
      </c>
      <c r="J3809">
        <f t="shared" si="118"/>
        <v>1799.982</v>
      </c>
      <c r="K3809" s="9">
        <f t="shared" si="119"/>
        <v>-0.15725951613718298</v>
      </c>
    </row>
    <row r="3810" spans="1:11" x14ac:dyDescent="0.3">
      <c r="A3810">
        <v>1311</v>
      </c>
      <c r="B3810">
        <v>4</v>
      </c>
      <c r="C3810">
        <v>42</v>
      </c>
      <c r="D3810" t="str">
        <f>VLOOKUP($C3810,products!$A$1:$F$322,MATCH(order_items!$D$1,products!$A$1:$F$1,0),FALSE)</f>
        <v>Trek Fuel EX 5 27.5 Plus - 2017</v>
      </c>
      <c r="E3810">
        <f>VLOOKUP($C3810,products!$A$1:$F$322,MATCH(order_items!$E$1,products!$A$1:$F$1,0),FALSE)</f>
        <v>6</v>
      </c>
      <c r="F3810" t="str">
        <f>VLOOKUP($E3810,categories!$A$1:$B$8,MATCH(order_items!$F$1,categories!$A$1:$B$1,0),FALSE)</f>
        <v>Mountain Bikes</v>
      </c>
      <c r="G3810">
        <v>1</v>
      </c>
      <c r="H3810">
        <v>2299.9899999999998</v>
      </c>
      <c r="I3810" s="5">
        <v>0.1</v>
      </c>
      <c r="J3810">
        <f t="shared" si="118"/>
        <v>2069.991</v>
      </c>
      <c r="K3810" s="9">
        <f t="shared" si="119"/>
        <v>0.80381333297731938</v>
      </c>
    </row>
    <row r="3811" spans="1:11" x14ac:dyDescent="0.3">
      <c r="A3811">
        <v>1312</v>
      </c>
      <c r="B3811">
        <v>1</v>
      </c>
      <c r="C3811">
        <v>67</v>
      </c>
      <c r="D3811" t="str">
        <f>VLOOKUP($C3811,products!$A$1:$F$322,MATCH(order_items!$D$1,products!$A$1:$F$1,0),FALSE)</f>
        <v>Sun Bicycles Revolutions 24 - Girl's - 2017</v>
      </c>
      <c r="E3811">
        <f>VLOOKUP($C3811,products!$A$1:$F$322,MATCH(order_items!$E$1,products!$A$1:$F$1,0),FALSE)</f>
        <v>3</v>
      </c>
      <c r="F3811" t="str">
        <f>VLOOKUP($E3811,categories!$A$1:$B$8,MATCH(order_items!$F$1,categories!$A$1:$B$1,0),FALSE)</f>
        <v>Cruisers Bicycles</v>
      </c>
      <c r="G3811">
        <v>2</v>
      </c>
      <c r="H3811">
        <v>250.99</v>
      </c>
      <c r="I3811" s="5">
        <v>0.05</v>
      </c>
      <c r="J3811">
        <f t="shared" si="118"/>
        <v>476.88099999999997</v>
      </c>
      <c r="K3811" s="9">
        <f t="shared" si="119"/>
        <v>-0.71098533458853863</v>
      </c>
    </row>
    <row r="3812" spans="1:11" x14ac:dyDescent="0.3">
      <c r="A3812">
        <v>1312</v>
      </c>
      <c r="B3812">
        <v>2</v>
      </c>
      <c r="C3812">
        <v>14</v>
      </c>
      <c r="D3812" t="str">
        <f>VLOOKUP($C3812,products!$A$1:$F$322,MATCH(order_items!$D$1,products!$A$1:$F$1,0),FALSE)</f>
        <v>Electra Girl's Hawaii 1 (16-inch) - 2015/2016</v>
      </c>
      <c r="E3812">
        <f>VLOOKUP($C3812,products!$A$1:$F$322,MATCH(order_items!$E$1,products!$A$1:$F$1,0),FALSE)</f>
        <v>3</v>
      </c>
      <c r="F3812" t="str">
        <f>VLOOKUP($E3812,categories!$A$1:$B$8,MATCH(order_items!$F$1,categories!$A$1:$B$1,0),FALSE)</f>
        <v>Cruisers Bicycles</v>
      </c>
      <c r="G3812">
        <v>1</v>
      </c>
      <c r="H3812">
        <v>269.99</v>
      </c>
      <c r="I3812" s="5">
        <v>0.2</v>
      </c>
      <c r="J3812">
        <f t="shared" si="118"/>
        <v>215.99200000000002</v>
      </c>
      <c r="K3812" s="9">
        <f t="shared" si="119"/>
        <v>-0.69693888525532666</v>
      </c>
    </row>
    <row r="3813" spans="1:11" x14ac:dyDescent="0.3">
      <c r="A3813">
        <v>1312</v>
      </c>
      <c r="B3813">
        <v>3</v>
      </c>
      <c r="C3813">
        <v>20</v>
      </c>
      <c r="D3813" t="str">
        <f>VLOOKUP($C3813,products!$A$1:$F$322,MATCH(order_items!$D$1,products!$A$1:$F$1,0),FALSE)</f>
        <v>Electra Townie Original 7D EQ - Women's - 2016</v>
      </c>
      <c r="E3813">
        <f>VLOOKUP($C3813,products!$A$1:$F$322,MATCH(order_items!$E$1,products!$A$1:$F$1,0),FALSE)</f>
        <v>3</v>
      </c>
      <c r="F3813" t="str">
        <f>VLOOKUP($E3813,categories!$A$1:$B$8,MATCH(order_items!$F$1,categories!$A$1:$B$1,0),FALSE)</f>
        <v>Cruisers Bicycles</v>
      </c>
      <c r="G3813">
        <v>1</v>
      </c>
      <c r="H3813">
        <v>599.99</v>
      </c>
      <c r="I3813" s="5">
        <v>7.0000000000000007E-2</v>
      </c>
      <c r="J3813">
        <f t="shared" si="118"/>
        <v>557.99069999999995</v>
      </c>
      <c r="K3813" s="9">
        <f t="shared" si="119"/>
        <v>-0.45297423894164529</v>
      </c>
    </row>
    <row r="3814" spans="1:11" x14ac:dyDescent="0.3">
      <c r="A3814">
        <v>1313</v>
      </c>
      <c r="B3814">
        <v>1</v>
      </c>
      <c r="C3814">
        <v>75</v>
      </c>
      <c r="D3814" t="str">
        <f>VLOOKUP($C3814,products!$A$1:$F$322,MATCH(order_items!$D$1,products!$A$1:$F$1,0),FALSE)</f>
        <v>Electra Cruiser Lux Fat Tire 1 Ladies - 2017</v>
      </c>
      <c r="E3814">
        <f>VLOOKUP($C3814,products!$A$1:$F$322,MATCH(order_items!$E$1,products!$A$1:$F$1,0),FALSE)</f>
        <v>3</v>
      </c>
      <c r="F3814" t="str">
        <f>VLOOKUP($E3814,categories!$A$1:$B$8,MATCH(order_items!$F$1,categories!$A$1:$B$1,0),FALSE)</f>
        <v>Cruisers Bicycles</v>
      </c>
      <c r="G3814">
        <v>1</v>
      </c>
      <c r="H3814">
        <v>599.99</v>
      </c>
      <c r="I3814" s="5">
        <v>0.2</v>
      </c>
      <c r="J3814">
        <f t="shared" si="118"/>
        <v>479.99200000000002</v>
      </c>
      <c r="K3814" s="9">
        <f t="shared" si="119"/>
        <v>-0.45297423894164529</v>
      </c>
    </row>
    <row r="3815" spans="1:11" x14ac:dyDescent="0.3">
      <c r="A3815">
        <v>1313</v>
      </c>
      <c r="B3815">
        <v>2</v>
      </c>
      <c r="C3815">
        <v>33</v>
      </c>
      <c r="D3815" t="str">
        <f>VLOOKUP($C3815,products!$A$1:$F$322,MATCH(order_items!$D$1,products!$A$1:$F$1,0),FALSE)</f>
        <v>Surly Wednesday Frameset - 2017</v>
      </c>
      <c r="E3815">
        <f>VLOOKUP($C3815,products!$A$1:$F$322,MATCH(order_items!$E$1,products!$A$1:$F$1,0),FALSE)</f>
        <v>6</v>
      </c>
      <c r="F3815" t="str">
        <f>VLOOKUP($E3815,categories!$A$1:$B$8,MATCH(order_items!$F$1,categories!$A$1:$B$1,0),FALSE)</f>
        <v>Mountain Bikes</v>
      </c>
      <c r="G3815">
        <v>1</v>
      </c>
      <c r="H3815">
        <v>469.99</v>
      </c>
      <c r="I3815" s="5">
        <v>0.2</v>
      </c>
      <c r="J3815">
        <f t="shared" si="118"/>
        <v>375.99200000000002</v>
      </c>
      <c r="K3815" s="9">
        <f t="shared" si="119"/>
        <v>-0.5490815238530955</v>
      </c>
    </row>
    <row r="3816" spans="1:11" x14ac:dyDescent="0.3">
      <c r="A3816">
        <v>1313</v>
      </c>
      <c r="B3816">
        <v>3</v>
      </c>
      <c r="C3816">
        <v>69</v>
      </c>
      <c r="D3816" t="str">
        <f>VLOOKUP($C3816,products!$A$1:$F$322,MATCH(order_items!$D$1,products!$A$1:$F$1,0),FALSE)</f>
        <v>Sun Bicycles Cruz 7 - 2017</v>
      </c>
      <c r="E3816">
        <f>VLOOKUP($C3816,products!$A$1:$F$322,MATCH(order_items!$E$1,products!$A$1:$F$1,0),FALSE)</f>
        <v>3</v>
      </c>
      <c r="F3816" t="str">
        <f>VLOOKUP($E3816,categories!$A$1:$B$8,MATCH(order_items!$F$1,categories!$A$1:$B$1,0),FALSE)</f>
        <v>Cruisers Bicycles</v>
      </c>
      <c r="G3816">
        <v>1</v>
      </c>
      <c r="H3816">
        <v>416.99</v>
      </c>
      <c r="I3816" s="5">
        <v>7.0000000000000007E-2</v>
      </c>
      <c r="J3816">
        <f t="shared" si="118"/>
        <v>387.80070000000001</v>
      </c>
      <c r="K3816" s="9">
        <f t="shared" si="119"/>
        <v>-0.58826372462468679</v>
      </c>
    </row>
    <row r="3817" spans="1:11" x14ac:dyDescent="0.3">
      <c r="A3817">
        <v>1314</v>
      </c>
      <c r="B3817">
        <v>1</v>
      </c>
      <c r="C3817">
        <v>52</v>
      </c>
      <c r="D3817" t="str">
        <f>VLOOKUP($C3817,products!$A$1:$F$322,MATCH(order_items!$D$1,products!$A$1:$F$1,0),FALSE)</f>
        <v>Surly Steamroller - 2017</v>
      </c>
      <c r="E3817">
        <f>VLOOKUP($C3817,products!$A$1:$F$322,MATCH(order_items!$E$1,products!$A$1:$F$1,0),FALSE)</f>
        <v>7</v>
      </c>
      <c r="F3817" t="str">
        <f>VLOOKUP($E3817,categories!$A$1:$B$8,MATCH(order_items!$F$1,categories!$A$1:$B$1,0),FALSE)</f>
        <v>Road Bikes</v>
      </c>
      <c r="G3817">
        <v>1</v>
      </c>
      <c r="H3817">
        <v>875.99</v>
      </c>
      <c r="I3817" s="5">
        <v>7.0000000000000007E-2</v>
      </c>
      <c r="J3817">
        <f t="shared" si="118"/>
        <v>814.67070000000001</v>
      </c>
      <c r="K3817" s="9">
        <f t="shared" si="119"/>
        <v>-0.24893108020656629</v>
      </c>
    </row>
    <row r="3818" spans="1:11" x14ac:dyDescent="0.3">
      <c r="A3818">
        <v>1314</v>
      </c>
      <c r="B3818">
        <v>2</v>
      </c>
      <c r="C3818">
        <v>72</v>
      </c>
      <c r="D3818" t="str">
        <f>VLOOKUP($C3818,products!$A$1:$F$322,MATCH(order_items!$D$1,products!$A$1:$F$1,0),FALSE)</f>
        <v>Sun Bicycles Biscayne Tandem 7 - 2017</v>
      </c>
      <c r="E3818">
        <f>VLOOKUP($C3818,products!$A$1:$F$322,MATCH(order_items!$E$1,products!$A$1:$F$1,0),FALSE)</f>
        <v>3</v>
      </c>
      <c r="F3818" t="str">
        <f>VLOOKUP($E3818,categories!$A$1:$B$8,MATCH(order_items!$F$1,categories!$A$1:$B$1,0),FALSE)</f>
        <v>Cruisers Bicycles</v>
      </c>
      <c r="G3818">
        <v>2</v>
      </c>
      <c r="H3818">
        <v>619.99</v>
      </c>
      <c r="I3818" s="5">
        <v>0.05</v>
      </c>
      <c r="J3818">
        <f t="shared" si="118"/>
        <v>1177.981</v>
      </c>
      <c r="K3818" s="9">
        <f t="shared" si="119"/>
        <v>-0.43818850280142219</v>
      </c>
    </row>
    <row r="3819" spans="1:11" x14ac:dyDescent="0.3">
      <c r="A3819">
        <v>1314</v>
      </c>
      <c r="B3819">
        <v>3</v>
      </c>
      <c r="C3819">
        <v>94</v>
      </c>
      <c r="D3819" t="str">
        <f>VLOOKUP($C3819,products!$A$1:$F$322,MATCH(order_items!$D$1,products!$A$1:$F$1,0),FALSE)</f>
        <v>Haro Shredder Pro 20 - 2017</v>
      </c>
      <c r="E3819">
        <f>VLOOKUP($C3819,products!$A$1:$F$322,MATCH(order_items!$E$1,products!$A$1:$F$1,0),FALSE)</f>
        <v>1</v>
      </c>
      <c r="F3819" t="str">
        <f>VLOOKUP($E3819,categories!$A$1:$B$8,MATCH(order_items!$F$1,categories!$A$1:$B$1,0),FALSE)</f>
        <v>Children Bicycles</v>
      </c>
      <c r="G3819">
        <v>1</v>
      </c>
      <c r="H3819">
        <v>249.99</v>
      </c>
      <c r="I3819" s="5">
        <v>0.1</v>
      </c>
      <c r="J3819">
        <f t="shared" si="118"/>
        <v>224.99100000000001</v>
      </c>
      <c r="K3819" s="9">
        <f t="shared" si="119"/>
        <v>-0.71172462139554982</v>
      </c>
    </row>
    <row r="3820" spans="1:11" x14ac:dyDescent="0.3">
      <c r="A3820">
        <v>1315</v>
      </c>
      <c r="B3820">
        <v>1</v>
      </c>
      <c r="C3820">
        <v>104</v>
      </c>
      <c r="D3820" t="str">
        <f>VLOOKUP($C3820,products!$A$1:$F$322,MATCH(order_items!$D$1,products!$A$1:$F$1,0),FALSE)</f>
        <v>Sun Bicycles Streamway - 2017</v>
      </c>
      <c r="E3820">
        <f>VLOOKUP($C3820,products!$A$1:$F$322,MATCH(order_items!$E$1,products!$A$1:$F$1,0),FALSE)</f>
        <v>2</v>
      </c>
      <c r="F3820" t="str">
        <f>VLOOKUP($E3820,categories!$A$1:$B$8,MATCH(order_items!$F$1,categories!$A$1:$B$1,0),FALSE)</f>
        <v>Comfort Bicycles</v>
      </c>
      <c r="G3820">
        <v>2</v>
      </c>
      <c r="H3820">
        <v>481.99</v>
      </c>
      <c r="I3820" s="5">
        <v>7.0000000000000007E-2</v>
      </c>
      <c r="J3820">
        <f t="shared" si="118"/>
        <v>896.50139999999999</v>
      </c>
      <c r="K3820" s="9">
        <f t="shared" si="119"/>
        <v>-0.54021008216896171</v>
      </c>
    </row>
    <row r="3821" spans="1:11" x14ac:dyDescent="0.3">
      <c r="A3821">
        <v>1315</v>
      </c>
      <c r="B3821">
        <v>2</v>
      </c>
      <c r="C3821">
        <v>41</v>
      </c>
      <c r="D3821" t="str">
        <f>VLOOKUP($C3821,products!$A$1:$F$322,MATCH(order_items!$D$1,products!$A$1:$F$1,0),FALSE)</f>
        <v>Haro Shift R3 - 2017</v>
      </c>
      <c r="E3821">
        <f>VLOOKUP($C3821,products!$A$1:$F$322,MATCH(order_items!$E$1,products!$A$1:$F$1,0),FALSE)</f>
        <v>6</v>
      </c>
      <c r="F3821" t="str">
        <f>VLOOKUP($E3821,categories!$A$1:$B$8,MATCH(order_items!$F$1,categories!$A$1:$B$1,0),FALSE)</f>
        <v>Mountain Bikes</v>
      </c>
      <c r="G3821">
        <v>1</v>
      </c>
      <c r="H3821">
        <v>1469.99</v>
      </c>
      <c r="I3821" s="5">
        <v>0.05</v>
      </c>
      <c r="J3821">
        <f t="shared" si="118"/>
        <v>1396.4904999999999</v>
      </c>
      <c r="K3821" s="9">
        <f t="shared" si="119"/>
        <v>0.19020528315806023</v>
      </c>
    </row>
    <row r="3822" spans="1:11" x14ac:dyDescent="0.3">
      <c r="A3822">
        <v>1315</v>
      </c>
      <c r="B3822">
        <v>3</v>
      </c>
      <c r="C3822">
        <v>24</v>
      </c>
      <c r="D3822" t="str">
        <f>VLOOKUP($C3822,products!$A$1:$F$322,MATCH(order_items!$D$1,products!$A$1:$F$1,0),FALSE)</f>
        <v>Electra Townie Original 21D - 2016</v>
      </c>
      <c r="E3822">
        <f>VLOOKUP($C3822,products!$A$1:$F$322,MATCH(order_items!$E$1,products!$A$1:$F$1,0),FALSE)</f>
        <v>2</v>
      </c>
      <c r="F3822" t="str">
        <f>VLOOKUP($E3822,categories!$A$1:$B$8,MATCH(order_items!$F$1,categories!$A$1:$B$1,0),FALSE)</f>
        <v>Comfort Bicycles</v>
      </c>
      <c r="G3822">
        <v>1</v>
      </c>
      <c r="H3822">
        <v>549.99</v>
      </c>
      <c r="I3822" s="5">
        <v>0.1</v>
      </c>
      <c r="J3822">
        <f t="shared" si="118"/>
        <v>494.99100000000004</v>
      </c>
      <c r="K3822" s="9">
        <f t="shared" si="119"/>
        <v>-0.48993857929220308</v>
      </c>
    </row>
    <row r="3823" spans="1:11" x14ac:dyDescent="0.3">
      <c r="A3823">
        <v>1315</v>
      </c>
      <c r="B3823">
        <v>4</v>
      </c>
      <c r="C3823">
        <v>26</v>
      </c>
      <c r="D3823" t="str">
        <f>VLOOKUP($C3823,products!$A$1:$F$322,MATCH(order_items!$D$1,products!$A$1:$F$1,0),FALSE)</f>
        <v>Electra Townie Original 7D EQ - 2016</v>
      </c>
      <c r="E3823">
        <f>VLOOKUP($C3823,products!$A$1:$F$322,MATCH(order_items!$E$1,products!$A$1:$F$1,0),FALSE)</f>
        <v>2</v>
      </c>
      <c r="F3823" t="str">
        <f>VLOOKUP($E3823,categories!$A$1:$B$8,MATCH(order_items!$F$1,categories!$A$1:$B$1,0),FALSE)</f>
        <v>Comfort Bicycles</v>
      </c>
      <c r="G3823">
        <v>1</v>
      </c>
      <c r="H3823">
        <v>599.99</v>
      </c>
      <c r="I3823" s="5">
        <v>7.0000000000000007E-2</v>
      </c>
      <c r="J3823">
        <f t="shared" si="118"/>
        <v>557.99069999999995</v>
      </c>
      <c r="K3823" s="9">
        <f t="shared" si="119"/>
        <v>-0.45297423894164529</v>
      </c>
    </row>
    <row r="3824" spans="1:11" x14ac:dyDescent="0.3">
      <c r="A3824">
        <v>1315</v>
      </c>
      <c r="B3824">
        <v>5</v>
      </c>
      <c r="C3824">
        <v>16</v>
      </c>
      <c r="D3824" t="str">
        <f>VLOOKUP($C3824,products!$A$1:$F$322,MATCH(order_items!$D$1,products!$A$1:$F$1,0),FALSE)</f>
        <v>Electra Townie Original 7D EQ - 2016</v>
      </c>
      <c r="E3824">
        <f>VLOOKUP($C3824,products!$A$1:$F$322,MATCH(order_items!$E$1,products!$A$1:$F$1,0),FALSE)</f>
        <v>3</v>
      </c>
      <c r="F3824" t="str">
        <f>VLOOKUP($E3824,categories!$A$1:$B$8,MATCH(order_items!$F$1,categories!$A$1:$B$1,0),FALSE)</f>
        <v>Cruisers Bicycles</v>
      </c>
      <c r="G3824">
        <v>2</v>
      </c>
      <c r="H3824">
        <v>599.99</v>
      </c>
      <c r="I3824" s="5">
        <v>0.2</v>
      </c>
      <c r="J3824">
        <f t="shared" si="118"/>
        <v>959.98400000000004</v>
      </c>
      <c r="K3824" s="9">
        <f t="shared" si="119"/>
        <v>-0.45297423894164529</v>
      </c>
    </row>
    <row r="3825" spans="1:11" x14ac:dyDescent="0.3">
      <c r="A3825">
        <v>1316</v>
      </c>
      <c r="B3825">
        <v>1</v>
      </c>
      <c r="C3825">
        <v>76</v>
      </c>
      <c r="D3825" t="str">
        <f>VLOOKUP($C3825,products!$A$1:$F$322,MATCH(order_items!$D$1,products!$A$1:$F$1,0),FALSE)</f>
        <v>Electra Girl's Hawaii 1 16" - 2017</v>
      </c>
      <c r="E3825">
        <f>VLOOKUP($C3825,products!$A$1:$F$322,MATCH(order_items!$E$1,products!$A$1:$F$1,0),FALSE)</f>
        <v>3</v>
      </c>
      <c r="F3825" t="str">
        <f>VLOOKUP($E3825,categories!$A$1:$B$8,MATCH(order_items!$F$1,categories!$A$1:$B$1,0),FALSE)</f>
        <v>Cruisers Bicycles</v>
      </c>
      <c r="G3825">
        <v>2</v>
      </c>
      <c r="H3825">
        <v>299.99</v>
      </c>
      <c r="I3825" s="5">
        <v>0.1</v>
      </c>
      <c r="J3825">
        <f t="shared" si="118"/>
        <v>539.98200000000008</v>
      </c>
      <c r="K3825" s="9">
        <f t="shared" si="119"/>
        <v>-0.67476028104499197</v>
      </c>
    </row>
    <row r="3826" spans="1:11" x14ac:dyDescent="0.3">
      <c r="A3826">
        <v>1316</v>
      </c>
      <c r="B3826">
        <v>2</v>
      </c>
      <c r="C3826">
        <v>90</v>
      </c>
      <c r="D3826" t="str">
        <f>VLOOKUP($C3826,products!$A$1:$F$322,MATCH(order_items!$D$1,products!$A$1:$F$1,0),FALSE)</f>
        <v>Trek Precaliber 16 Girls - 2017</v>
      </c>
      <c r="E3826">
        <f>VLOOKUP($C3826,products!$A$1:$F$322,MATCH(order_items!$E$1,products!$A$1:$F$1,0),FALSE)</f>
        <v>1</v>
      </c>
      <c r="F3826" t="str">
        <f>VLOOKUP($E3826,categories!$A$1:$B$8,MATCH(order_items!$F$1,categories!$A$1:$B$1,0),FALSE)</f>
        <v>Children Bicycles</v>
      </c>
      <c r="G3826">
        <v>1</v>
      </c>
      <c r="H3826">
        <v>209.99</v>
      </c>
      <c r="I3826" s="5">
        <v>0.1</v>
      </c>
      <c r="J3826">
        <f t="shared" si="118"/>
        <v>188.99100000000001</v>
      </c>
      <c r="K3826" s="9">
        <f t="shared" si="119"/>
        <v>-0.74129609367599603</v>
      </c>
    </row>
    <row r="3827" spans="1:11" x14ac:dyDescent="0.3">
      <c r="A3827">
        <v>1317</v>
      </c>
      <c r="B3827">
        <v>1</v>
      </c>
      <c r="C3827">
        <v>82</v>
      </c>
      <c r="D3827" t="str">
        <f>VLOOKUP($C3827,products!$A$1:$F$322,MATCH(order_items!$D$1,products!$A$1:$F$1,0),FALSE)</f>
        <v>Electra Amsterdam Original 3i Ladies' - 2017</v>
      </c>
      <c r="E3827">
        <f>VLOOKUP($C3827,products!$A$1:$F$322,MATCH(order_items!$E$1,products!$A$1:$F$1,0),FALSE)</f>
        <v>3</v>
      </c>
      <c r="F3827" t="str">
        <f>VLOOKUP($E3827,categories!$A$1:$B$8,MATCH(order_items!$F$1,categories!$A$1:$B$1,0),FALSE)</f>
        <v>Cruisers Bicycles</v>
      </c>
      <c r="G3827">
        <v>1</v>
      </c>
      <c r="H3827">
        <v>659.99</v>
      </c>
      <c r="I3827" s="5">
        <v>0.1</v>
      </c>
      <c r="J3827">
        <f t="shared" si="118"/>
        <v>593.99099999999999</v>
      </c>
      <c r="K3827" s="9">
        <f t="shared" si="119"/>
        <v>-0.40861703052097592</v>
      </c>
    </row>
    <row r="3828" spans="1:11" x14ac:dyDescent="0.3">
      <c r="A3828">
        <v>1318</v>
      </c>
      <c r="B3828">
        <v>1</v>
      </c>
      <c r="C3828">
        <v>82</v>
      </c>
      <c r="D3828" t="str">
        <f>VLOOKUP($C3828,products!$A$1:$F$322,MATCH(order_items!$D$1,products!$A$1:$F$1,0),FALSE)</f>
        <v>Electra Amsterdam Original 3i Ladies' - 2017</v>
      </c>
      <c r="E3828">
        <f>VLOOKUP($C3828,products!$A$1:$F$322,MATCH(order_items!$E$1,products!$A$1:$F$1,0),FALSE)</f>
        <v>3</v>
      </c>
      <c r="F3828" t="str">
        <f>VLOOKUP($E3828,categories!$A$1:$B$8,MATCH(order_items!$F$1,categories!$A$1:$B$1,0),FALSE)</f>
        <v>Cruisers Bicycles</v>
      </c>
      <c r="G3828">
        <v>2</v>
      </c>
      <c r="H3828">
        <v>659.99</v>
      </c>
      <c r="I3828" s="5">
        <v>0.2</v>
      </c>
      <c r="J3828">
        <f t="shared" si="118"/>
        <v>1055.9840000000002</v>
      </c>
      <c r="K3828" s="9">
        <f t="shared" si="119"/>
        <v>-0.40861703052097592</v>
      </c>
    </row>
    <row r="3829" spans="1:11" x14ac:dyDescent="0.3">
      <c r="A3829">
        <v>1318</v>
      </c>
      <c r="B3829">
        <v>2</v>
      </c>
      <c r="C3829">
        <v>62</v>
      </c>
      <c r="D3829" t="str">
        <f>VLOOKUP($C3829,products!$A$1:$F$322,MATCH(order_items!$D$1,products!$A$1:$F$1,0),FALSE)</f>
        <v>Trek Boone 7 - 2017</v>
      </c>
      <c r="E3829">
        <f>VLOOKUP($C3829,products!$A$1:$F$322,MATCH(order_items!$E$1,products!$A$1:$F$1,0),FALSE)</f>
        <v>4</v>
      </c>
      <c r="F3829" t="str">
        <f>VLOOKUP($E3829,categories!$A$1:$B$8,MATCH(order_items!$F$1,categories!$A$1:$B$1,0),FALSE)</f>
        <v>Cyclocross Bicycles</v>
      </c>
      <c r="G3829">
        <v>2</v>
      </c>
      <c r="H3829">
        <v>3499.99</v>
      </c>
      <c r="I3829" s="5">
        <v>0.2</v>
      </c>
      <c r="J3829">
        <f t="shared" si="118"/>
        <v>5599.9840000000004</v>
      </c>
      <c r="K3829" s="9">
        <f t="shared" si="119"/>
        <v>1.6909575013907066</v>
      </c>
    </row>
    <row r="3830" spans="1:11" x14ac:dyDescent="0.3">
      <c r="A3830">
        <v>1318</v>
      </c>
      <c r="B3830">
        <v>3</v>
      </c>
      <c r="C3830">
        <v>111</v>
      </c>
      <c r="D3830" t="str">
        <f>VLOOKUP($C3830,products!$A$1:$F$322,MATCH(order_items!$D$1,products!$A$1:$F$1,0),FALSE)</f>
        <v>Sun Bicycles Drifter 7 - Women's - 2017</v>
      </c>
      <c r="E3830">
        <f>VLOOKUP($C3830,products!$A$1:$F$322,MATCH(order_items!$E$1,products!$A$1:$F$1,0),FALSE)</f>
        <v>2</v>
      </c>
      <c r="F3830" t="str">
        <f>VLOOKUP($E3830,categories!$A$1:$B$8,MATCH(order_items!$F$1,categories!$A$1:$B$1,0),FALSE)</f>
        <v>Comfort Bicycles</v>
      </c>
      <c r="G3830">
        <v>1</v>
      </c>
      <c r="H3830">
        <v>470.99</v>
      </c>
      <c r="I3830" s="5">
        <v>0.2</v>
      </c>
      <c r="J3830">
        <f t="shared" si="118"/>
        <v>376.79200000000003</v>
      </c>
      <c r="K3830" s="9">
        <f t="shared" si="119"/>
        <v>-0.54834223704608442</v>
      </c>
    </row>
    <row r="3831" spans="1:11" x14ac:dyDescent="0.3">
      <c r="A3831">
        <v>1318</v>
      </c>
      <c r="B3831">
        <v>4</v>
      </c>
      <c r="C3831">
        <v>92</v>
      </c>
      <c r="D3831" t="str">
        <f>VLOOKUP($C3831,products!$A$1:$F$322,MATCH(order_items!$D$1,products!$A$1:$F$1,0),FALSE)</f>
        <v>Haro Shredder 20 - 2017</v>
      </c>
      <c r="E3831">
        <f>VLOOKUP($C3831,products!$A$1:$F$322,MATCH(order_items!$E$1,products!$A$1:$F$1,0),FALSE)</f>
        <v>1</v>
      </c>
      <c r="F3831" t="str">
        <f>VLOOKUP($E3831,categories!$A$1:$B$8,MATCH(order_items!$F$1,categories!$A$1:$B$1,0),FALSE)</f>
        <v>Children Bicycles</v>
      </c>
      <c r="G3831">
        <v>1</v>
      </c>
      <c r="H3831">
        <v>209.99</v>
      </c>
      <c r="I3831" s="5">
        <v>7.0000000000000007E-2</v>
      </c>
      <c r="J3831">
        <f t="shared" si="118"/>
        <v>195.29069999999999</v>
      </c>
      <c r="K3831" s="9">
        <f t="shared" si="119"/>
        <v>-0.74129609367599603</v>
      </c>
    </row>
    <row r="3832" spans="1:11" x14ac:dyDescent="0.3">
      <c r="A3832">
        <v>1319</v>
      </c>
      <c r="B3832">
        <v>1</v>
      </c>
      <c r="C3832">
        <v>75</v>
      </c>
      <c r="D3832" t="str">
        <f>VLOOKUP($C3832,products!$A$1:$F$322,MATCH(order_items!$D$1,products!$A$1:$F$1,0),FALSE)</f>
        <v>Electra Cruiser Lux Fat Tire 1 Ladies - 2017</v>
      </c>
      <c r="E3832">
        <f>VLOOKUP($C3832,products!$A$1:$F$322,MATCH(order_items!$E$1,products!$A$1:$F$1,0),FALSE)</f>
        <v>3</v>
      </c>
      <c r="F3832" t="str">
        <f>VLOOKUP($E3832,categories!$A$1:$B$8,MATCH(order_items!$F$1,categories!$A$1:$B$1,0),FALSE)</f>
        <v>Cruisers Bicycles</v>
      </c>
      <c r="G3832">
        <v>1</v>
      </c>
      <c r="H3832">
        <v>599.99</v>
      </c>
      <c r="I3832" s="5">
        <v>7.0000000000000007E-2</v>
      </c>
      <c r="J3832">
        <f t="shared" si="118"/>
        <v>557.99069999999995</v>
      </c>
      <c r="K3832" s="9">
        <f t="shared" si="119"/>
        <v>-0.45297423894164529</v>
      </c>
    </row>
    <row r="3833" spans="1:11" x14ac:dyDescent="0.3">
      <c r="A3833">
        <v>1319</v>
      </c>
      <c r="B3833">
        <v>2</v>
      </c>
      <c r="C3833">
        <v>91</v>
      </c>
      <c r="D3833" t="str">
        <f>VLOOKUP($C3833,products!$A$1:$F$322,MATCH(order_items!$D$1,products!$A$1:$F$1,0),FALSE)</f>
        <v>Trek Precaliber 24 (21-Speed) - Girls - 2017</v>
      </c>
      <c r="E3833">
        <f>VLOOKUP($C3833,products!$A$1:$F$322,MATCH(order_items!$E$1,products!$A$1:$F$1,0),FALSE)</f>
        <v>1</v>
      </c>
      <c r="F3833" t="str">
        <f>VLOOKUP($E3833,categories!$A$1:$B$8,MATCH(order_items!$F$1,categories!$A$1:$B$1,0),FALSE)</f>
        <v>Children Bicycles</v>
      </c>
      <c r="G3833">
        <v>1</v>
      </c>
      <c r="H3833">
        <v>349.99</v>
      </c>
      <c r="I3833" s="5">
        <v>0.2</v>
      </c>
      <c r="J3833">
        <f t="shared" si="118"/>
        <v>279.99200000000002</v>
      </c>
      <c r="K3833" s="9">
        <f t="shared" si="119"/>
        <v>-0.63779594069443424</v>
      </c>
    </row>
    <row r="3834" spans="1:11" x14ac:dyDescent="0.3">
      <c r="A3834">
        <v>1320</v>
      </c>
      <c r="B3834">
        <v>1</v>
      </c>
      <c r="C3834">
        <v>104</v>
      </c>
      <c r="D3834" t="str">
        <f>VLOOKUP($C3834,products!$A$1:$F$322,MATCH(order_items!$D$1,products!$A$1:$F$1,0),FALSE)</f>
        <v>Sun Bicycles Streamway - 2017</v>
      </c>
      <c r="E3834">
        <f>VLOOKUP($C3834,products!$A$1:$F$322,MATCH(order_items!$E$1,products!$A$1:$F$1,0),FALSE)</f>
        <v>2</v>
      </c>
      <c r="F3834" t="str">
        <f>VLOOKUP($E3834,categories!$A$1:$B$8,MATCH(order_items!$F$1,categories!$A$1:$B$1,0),FALSE)</f>
        <v>Comfort Bicycles</v>
      </c>
      <c r="G3834">
        <v>1</v>
      </c>
      <c r="H3834">
        <v>481.99</v>
      </c>
      <c r="I3834" s="5">
        <v>0.1</v>
      </c>
      <c r="J3834">
        <f t="shared" si="118"/>
        <v>433.791</v>
      </c>
      <c r="K3834" s="9">
        <f t="shared" si="119"/>
        <v>-0.54021008216896171</v>
      </c>
    </row>
    <row r="3835" spans="1:11" x14ac:dyDescent="0.3">
      <c r="A3835">
        <v>1320</v>
      </c>
      <c r="B3835">
        <v>2</v>
      </c>
      <c r="C3835">
        <v>93</v>
      </c>
      <c r="D3835" t="str">
        <f>VLOOKUP($C3835,products!$A$1:$F$322,MATCH(order_items!$D$1,products!$A$1:$F$1,0),FALSE)</f>
        <v>Haro Shredder 20 Girls - 2017</v>
      </c>
      <c r="E3835">
        <f>VLOOKUP($C3835,products!$A$1:$F$322,MATCH(order_items!$E$1,products!$A$1:$F$1,0),FALSE)</f>
        <v>1</v>
      </c>
      <c r="F3835" t="str">
        <f>VLOOKUP($E3835,categories!$A$1:$B$8,MATCH(order_items!$F$1,categories!$A$1:$B$1,0),FALSE)</f>
        <v>Children Bicycles</v>
      </c>
      <c r="G3835">
        <v>1</v>
      </c>
      <c r="H3835">
        <v>209.99</v>
      </c>
      <c r="I3835" s="5">
        <v>0.05</v>
      </c>
      <c r="J3835">
        <f t="shared" si="118"/>
        <v>199.4905</v>
      </c>
      <c r="K3835" s="9">
        <f t="shared" si="119"/>
        <v>-0.74129609367599603</v>
      </c>
    </row>
    <row r="3836" spans="1:11" x14ac:dyDescent="0.3">
      <c r="A3836">
        <v>1320</v>
      </c>
      <c r="B3836">
        <v>3</v>
      </c>
      <c r="C3836">
        <v>99</v>
      </c>
      <c r="D3836" t="str">
        <f>VLOOKUP($C3836,products!$A$1:$F$322,MATCH(order_items!$D$1,products!$A$1:$F$1,0),FALSE)</f>
        <v>Electra Sugar Skulls 1 (20-inch) - Girl's - 2017</v>
      </c>
      <c r="E3836">
        <f>VLOOKUP($C3836,products!$A$1:$F$322,MATCH(order_items!$E$1,products!$A$1:$F$1,0),FALSE)</f>
        <v>1</v>
      </c>
      <c r="F3836" t="str">
        <f>VLOOKUP($E3836,categories!$A$1:$B$8,MATCH(order_items!$F$1,categories!$A$1:$B$1,0),FALSE)</f>
        <v>Children Bicycles</v>
      </c>
      <c r="G3836">
        <v>2</v>
      </c>
      <c r="H3836">
        <v>299.99</v>
      </c>
      <c r="I3836" s="5">
        <v>0.2</v>
      </c>
      <c r="J3836">
        <f t="shared" si="118"/>
        <v>479.98400000000004</v>
      </c>
      <c r="K3836" s="9">
        <f t="shared" si="119"/>
        <v>-0.67476028104499197</v>
      </c>
    </row>
    <row r="3837" spans="1:11" x14ac:dyDescent="0.3">
      <c r="A3837">
        <v>1321</v>
      </c>
      <c r="B3837">
        <v>1</v>
      </c>
      <c r="C3837">
        <v>34</v>
      </c>
      <c r="D3837" t="str">
        <f>VLOOKUP($C3837,products!$A$1:$F$322,MATCH(order_items!$D$1,products!$A$1:$F$1,0),FALSE)</f>
        <v>Trek Session DH 27.5 Carbon Frameset - 2017</v>
      </c>
      <c r="E3837">
        <f>VLOOKUP($C3837,products!$A$1:$F$322,MATCH(order_items!$E$1,products!$A$1:$F$1,0),FALSE)</f>
        <v>6</v>
      </c>
      <c r="F3837" t="str">
        <f>VLOOKUP($E3837,categories!$A$1:$B$8,MATCH(order_items!$F$1,categories!$A$1:$B$1,0),FALSE)</f>
        <v>Mountain Bikes</v>
      </c>
      <c r="G3837">
        <v>1</v>
      </c>
      <c r="H3837">
        <v>469.99</v>
      </c>
      <c r="I3837" s="5">
        <v>0.1</v>
      </c>
      <c r="J3837">
        <f t="shared" si="118"/>
        <v>422.99100000000004</v>
      </c>
      <c r="K3837" s="9">
        <f t="shared" si="119"/>
        <v>-0.5490815238530955</v>
      </c>
    </row>
    <row r="3838" spans="1:11" x14ac:dyDescent="0.3">
      <c r="A3838">
        <v>1321</v>
      </c>
      <c r="B3838">
        <v>2</v>
      </c>
      <c r="C3838">
        <v>107</v>
      </c>
      <c r="D3838" t="str">
        <f>VLOOKUP($C3838,products!$A$1:$F$322,MATCH(order_items!$D$1,products!$A$1:$F$1,0),FALSE)</f>
        <v>Sun Bicycles Cruz 7 - 2017</v>
      </c>
      <c r="E3838">
        <f>VLOOKUP($C3838,products!$A$1:$F$322,MATCH(order_items!$E$1,products!$A$1:$F$1,0),FALSE)</f>
        <v>2</v>
      </c>
      <c r="F3838" t="str">
        <f>VLOOKUP($E3838,categories!$A$1:$B$8,MATCH(order_items!$F$1,categories!$A$1:$B$1,0),FALSE)</f>
        <v>Comfort Bicycles</v>
      </c>
      <c r="G3838">
        <v>1</v>
      </c>
      <c r="H3838">
        <v>416.99</v>
      </c>
      <c r="I3838" s="5">
        <v>0.1</v>
      </c>
      <c r="J3838">
        <f t="shared" si="118"/>
        <v>375.291</v>
      </c>
      <c r="K3838" s="9">
        <f t="shared" si="119"/>
        <v>-0.58826372462468679</v>
      </c>
    </row>
    <row r="3839" spans="1:11" x14ac:dyDescent="0.3">
      <c r="A3839">
        <v>1321</v>
      </c>
      <c r="B3839">
        <v>3</v>
      </c>
      <c r="C3839">
        <v>11</v>
      </c>
      <c r="D3839" t="str">
        <f>VLOOKUP($C3839,products!$A$1:$F$322,MATCH(order_items!$D$1,products!$A$1:$F$1,0),FALSE)</f>
        <v>Surly Straggler 650b - 2016</v>
      </c>
      <c r="E3839">
        <f>VLOOKUP($C3839,products!$A$1:$F$322,MATCH(order_items!$E$1,products!$A$1:$F$1,0),FALSE)</f>
        <v>4</v>
      </c>
      <c r="F3839" t="str">
        <f>VLOOKUP($E3839,categories!$A$1:$B$8,MATCH(order_items!$F$1,categories!$A$1:$B$1,0),FALSE)</f>
        <v>Cyclocross Bicycles</v>
      </c>
      <c r="G3839">
        <v>2</v>
      </c>
      <c r="H3839">
        <v>1680.99</v>
      </c>
      <c r="I3839" s="5">
        <v>0.1</v>
      </c>
      <c r="J3839">
        <f t="shared" si="118"/>
        <v>3025.7820000000002</v>
      </c>
      <c r="K3839" s="9">
        <f t="shared" si="119"/>
        <v>0.3461947994374141</v>
      </c>
    </row>
    <row r="3840" spans="1:11" x14ac:dyDescent="0.3">
      <c r="A3840">
        <v>1322</v>
      </c>
      <c r="B3840">
        <v>1</v>
      </c>
      <c r="C3840">
        <v>28</v>
      </c>
      <c r="D3840" t="str">
        <f>VLOOKUP($C3840,products!$A$1:$F$322,MATCH(order_items!$D$1,products!$A$1:$F$1,0),FALSE)</f>
        <v>Surly Karate Monkey 27.5+ Frameset - 2017</v>
      </c>
      <c r="E3840">
        <f>VLOOKUP($C3840,products!$A$1:$F$322,MATCH(order_items!$E$1,products!$A$1:$F$1,0),FALSE)</f>
        <v>6</v>
      </c>
      <c r="F3840" t="str">
        <f>VLOOKUP($E3840,categories!$A$1:$B$8,MATCH(order_items!$F$1,categories!$A$1:$B$1,0),FALSE)</f>
        <v>Mountain Bikes</v>
      </c>
      <c r="G3840">
        <v>2</v>
      </c>
      <c r="H3840">
        <v>2499.9899999999998</v>
      </c>
      <c r="I3840" s="5">
        <v>0.05</v>
      </c>
      <c r="J3840">
        <f t="shared" si="118"/>
        <v>4749.9809999999998</v>
      </c>
      <c r="K3840" s="9">
        <f t="shared" si="119"/>
        <v>0.95167069437955054</v>
      </c>
    </row>
    <row r="3841" spans="1:11" x14ac:dyDescent="0.3">
      <c r="A3841">
        <v>1322</v>
      </c>
      <c r="B3841">
        <v>2</v>
      </c>
      <c r="C3841">
        <v>104</v>
      </c>
      <c r="D3841" t="str">
        <f>VLOOKUP($C3841,products!$A$1:$F$322,MATCH(order_items!$D$1,products!$A$1:$F$1,0),FALSE)</f>
        <v>Sun Bicycles Streamway - 2017</v>
      </c>
      <c r="E3841">
        <f>VLOOKUP($C3841,products!$A$1:$F$322,MATCH(order_items!$E$1,products!$A$1:$F$1,0),FALSE)</f>
        <v>2</v>
      </c>
      <c r="F3841" t="str">
        <f>VLOOKUP($E3841,categories!$A$1:$B$8,MATCH(order_items!$F$1,categories!$A$1:$B$1,0),FALSE)</f>
        <v>Comfort Bicycles</v>
      </c>
      <c r="G3841">
        <v>2</v>
      </c>
      <c r="H3841">
        <v>481.99</v>
      </c>
      <c r="I3841" s="5">
        <v>0.05</v>
      </c>
      <c r="J3841">
        <f t="shared" si="118"/>
        <v>915.78099999999995</v>
      </c>
      <c r="K3841" s="9">
        <f t="shared" si="119"/>
        <v>-0.54021008216896171</v>
      </c>
    </row>
    <row r="3842" spans="1:11" x14ac:dyDescent="0.3">
      <c r="A3842">
        <v>1323</v>
      </c>
      <c r="B3842">
        <v>1</v>
      </c>
      <c r="C3842">
        <v>27</v>
      </c>
      <c r="D3842" t="str">
        <f>VLOOKUP($C3842,products!$A$1:$F$322,MATCH(order_items!$D$1,products!$A$1:$F$1,0),FALSE)</f>
        <v>Surly Big Dummy Frameset - 2017</v>
      </c>
      <c r="E3842">
        <f>VLOOKUP($C3842,products!$A$1:$F$322,MATCH(order_items!$E$1,products!$A$1:$F$1,0),FALSE)</f>
        <v>6</v>
      </c>
      <c r="F3842" t="str">
        <f>VLOOKUP($E3842,categories!$A$1:$B$8,MATCH(order_items!$F$1,categories!$A$1:$B$1,0),FALSE)</f>
        <v>Mountain Bikes</v>
      </c>
      <c r="G3842">
        <v>2</v>
      </c>
      <c r="H3842">
        <v>999.99</v>
      </c>
      <c r="I3842" s="5">
        <v>7.0000000000000007E-2</v>
      </c>
      <c r="J3842">
        <f t="shared" ref="J3842:J3905" si="120">G3842*H3842*(1-I3842)</f>
        <v>1859.9813999999999</v>
      </c>
      <c r="K3842" s="9">
        <f t="shared" ref="K3842:K3905" si="121">($H3842-$M$7)/$M$9</f>
        <v>-0.15725951613718298</v>
      </c>
    </row>
    <row r="3843" spans="1:11" x14ac:dyDescent="0.3">
      <c r="A3843">
        <v>1323</v>
      </c>
      <c r="B3843">
        <v>2</v>
      </c>
      <c r="C3843">
        <v>20</v>
      </c>
      <c r="D3843" t="str">
        <f>VLOOKUP($C3843,products!$A$1:$F$322,MATCH(order_items!$D$1,products!$A$1:$F$1,0),FALSE)</f>
        <v>Electra Townie Original 7D EQ - Women's - 2016</v>
      </c>
      <c r="E3843">
        <f>VLOOKUP($C3843,products!$A$1:$F$322,MATCH(order_items!$E$1,products!$A$1:$F$1,0),FALSE)</f>
        <v>3</v>
      </c>
      <c r="F3843" t="str">
        <f>VLOOKUP($E3843,categories!$A$1:$B$8,MATCH(order_items!$F$1,categories!$A$1:$B$1,0),FALSE)</f>
        <v>Cruisers Bicycles</v>
      </c>
      <c r="G3843">
        <v>1</v>
      </c>
      <c r="H3843">
        <v>599.99</v>
      </c>
      <c r="I3843" s="5">
        <v>0.05</v>
      </c>
      <c r="J3843">
        <f t="shared" si="120"/>
        <v>569.9905</v>
      </c>
      <c r="K3843" s="9">
        <f t="shared" si="121"/>
        <v>-0.45297423894164529</v>
      </c>
    </row>
    <row r="3844" spans="1:11" x14ac:dyDescent="0.3">
      <c r="A3844">
        <v>1323</v>
      </c>
      <c r="B3844">
        <v>3</v>
      </c>
      <c r="C3844">
        <v>70</v>
      </c>
      <c r="D3844" t="str">
        <f>VLOOKUP($C3844,products!$A$1:$F$322,MATCH(order_items!$D$1,products!$A$1:$F$1,0),FALSE)</f>
        <v>Electra Amsterdam Original 3i - 2015/2017</v>
      </c>
      <c r="E3844">
        <f>VLOOKUP($C3844,products!$A$1:$F$322,MATCH(order_items!$E$1,products!$A$1:$F$1,0),FALSE)</f>
        <v>3</v>
      </c>
      <c r="F3844" t="str">
        <f>VLOOKUP($E3844,categories!$A$1:$B$8,MATCH(order_items!$F$1,categories!$A$1:$B$1,0),FALSE)</f>
        <v>Cruisers Bicycles</v>
      </c>
      <c r="G3844">
        <v>1</v>
      </c>
      <c r="H3844">
        <v>659.99</v>
      </c>
      <c r="I3844" s="5">
        <v>0.05</v>
      </c>
      <c r="J3844">
        <f t="shared" si="120"/>
        <v>626.9905</v>
      </c>
      <c r="K3844" s="9">
        <f t="shared" si="121"/>
        <v>-0.40861703052097592</v>
      </c>
    </row>
    <row r="3845" spans="1:11" x14ac:dyDescent="0.3">
      <c r="A3845">
        <v>1324</v>
      </c>
      <c r="B3845">
        <v>1</v>
      </c>
      <c r="C3845">
        <v>66</v>
      </c>
      <c r="D3845" t="str">
        <f>VLOOKUP($C3845,products!$A$1:$F$322,MATCH(order_items!$D$1,products!$A$1:$F$1,0),FALSE)</f>
        <v>Sun Bicycles Revolutions 24 - 2017</v>
      </c>
      <c r="E3845">
        <f>VLOOKUP($C3845,products!$A$1:$F$322,MATCH(order_items!$E$1,products!$A$1:$F$1,0),FALSE)</f>
        <v>3</v>
      </c>
      <c r="F3845" t="str">
        <f>VLOOKUP($E3845,categories!$A$1:$B$8,MATCH(order_items!$F$1,categories!$A$1:$B$1,0),FALSE)</f>
        <v>Cruisers Bicycles</v>
      </c>
      <c r="G3845">
        <v>1</v>
      </c>
      <c r="H3845">
        <v>250.99</v>
      </c>
      <c r="I3845" s="5">
        <v>0.1</v>
      </c>
      <c r="J3845">
        <f t="shared" si="120"/>
        <v>225.89100000000002</v>
      </c>
      <c r="K3845" s="9">
        <f t="shared" si="121"/>
        <v>-0.71098533458853863</v>
      </c>
    </row>
    <row r="3846" spans="1:11" x14ac:dyDescent="0.3">
      <c r="A3846">
        <v>1324</v>
      </c>
      <c r="B3846">
        <v>2</v>
      </c>
      <c r="C3846">
        <v>120</v>
      </c>
      <c r="D3846" t="str">
        <f>VLOOKUP($C3846,products!$A$1:$F$322,MATCH(order_items!$D$1,products!$A$1:$F$1,0),FALSE)</f>
        <v>Trek Fuel EX 7 29 - 2018</v>
      </c>
      <c r="E3846">
        <f>VLOOKUP($C3846,products!$A$1:$F$322,MATCH(order_items!$E$1,products!$A$1:$F$1,0),FALSE)</f>
        <v>6</v>
      </c>
      <c r="F3846" t="str">
        <f>VLOOKUP($E3846,categories!$A$1:$B$8,MATCH(order_items!$F$1,categories!$A$1:$B$1,0),FALSE)</f>
        <v>Mountain Bikes</v>
      </c>
      <c r="G3846">
        <v>2</v>
      </c>
      <c r="H3846">
        <v>2499.9899999999998</v>
      </c>
      <c r="I3846" s="5">
        <v>0.2</v>
      </c>
      <c r="J3846">
        <f t="shared" si="120"/>
        <v>3999.9839999999999</v>
      </c>
      <c r="K3846" s="9">
        <f t="shared" si="121"/>
        <v>0.95167069437955054</v>
      </c>
    </row>
    <row r="3847" spans="1:11" x14ac:dyDescent="0.3">
      <c r="A3847">
        <v>1324</v>
      </c>
      <c r="B3847">
        <v>3</v>
      </c>
      <c r="C3847">
        <v>235</v>
      </c>
      <c r="D3847" t="str">
        <f>VLOOKUP($C3847,products!$A$1:$F$322,MATCH(order_items!$D$1,products!$A$1:$F$1,0),FALSE)</f>
        <v>Electra Koa 3i Ladies' - 2018</v>
      </c>
      <c r="E3847">
        <f>VLOOKUP($C3847,products!$A$1:$F$322,MATCH(order_items!$E$1,products!$A$1:$F$1,0),FALSE)</f>
        <v>3</v>
      </c>
      <c r="F3847" t="str">
        <f>VLOOKUP($E3847,categories!$A$1:$B$8,MATCH(order_items!$F$1,categories!$A$1:$B$1,0),FALSE)</f>
        <v>Cruisers Bicycles</v>
      </c>
      <c r="G3847">
        <v>1</v>
      </c>
      <c r="H3847">
        <v>899.99</v>
      </c>
      <c r="I3847" s="5">
        <v>0.1</v>
      </c>
      <c r="J3847">
        <f t="shared" si="120"/>
        <v>809.99099999999999</v>
      </c>
      <c r="K3847" s="9">
        <f t="shared" si="121"/>
        <v>-0.23118819683829855</v>
      </c>
    </row>
    <row r="3848" spans="1:11" x14ac:dyDescent="0.3">
      <c r="A3848">
        <v>1324</v>
      </c>
      <c r="B3848">
        <v>4</v>
      </c>
      <c r="C3848">
        <v>3</v>
      </c>
      <c r="D3848" t="str">
        <f>VLOOKUP($C3848,products!$A$1:$F$322,MATCH(order_items!$D$1,products!$A$1:$F$1,0),FALSE)</f>
        <v>Surly Wednesday Frameset - 2016</v>
      </c>
      <c r="E3848">
        <f>VLOOKUP($C3848,products!$A$1:$F$322,MATCH(order_items!$E$1,products!$A$1:$F$1,0),FALSE)</f>
        <v>6</v>
      </c>
      <c r="F3848" t="str">
        <f>VLOOKUP($E3848,categories!$A$1:$B$8,MATCH(order_items!$F$1,categories!$A$1:$B$1,0),FALSE)</f>
        <v>Mountain Bikes</v>
      </c>
      <c r="G3848">
        <v>1</v>
      </c>
      <c r="H3848">
        <v>999.99</v>
      </c>
      <c r="I3848" s="5">
        <v>0.2</v>
      </c>
      <c r="J3848">
        <f t="shared" si="120"/>
        <v>799.99200000000008</v>
      </c>
      <c r="K3848" s="9">
        <f t="shared" si="121"/>
        <v>-0.15725951613718298</v>
      </c>
    </row>
    <row r="3849" spans="1:11" x14ac:dyDescent="0.3">
      <c r="A3849">
        <v>1325</v>
      </c>
      <c r="B3849">
        <v>1</v>
      </c>
      <c r="C3849">
        <v>139</v>
      </c>
      <c r="D3849" t="str">
        <f>VLOOKUP($C3849,products!$A$1:$F$322,MATCH(order_items!$D$1,products!$A$1:$F$1,0),FALSE)</f>
        <v>Trek Remedy 7 27.5 - 2018</v>
      </c>
      <c r="E3849">
        <f>VLOOKUP($C3849,products!$A$1:$F$322,MATCH(order_items!$E$1,products!$A$1:$F$1,0),FALSE)</f>
        <v>6</v>
      </c>
      <c r="F3849" t="str">
        <f>VLOOKUP($E3849,categories!$A$1:$B$8,MATCH(order_items!$F$1,categories!$A$1:$B$1,0),FALSE)</f>
        <v>Mountain Bikes</v>
      </c>
      <c r="G3849">
        <v>1</v>
      </c>
      <c r="H3849">
        <v>2999.99</v>
      </c>
      <c r="I3849" s="5">
        <v>0.05</v>
      </c>
      <c r="J3849">
        <f t="shared" si="120"/>
        <v>2849.9904999999999</v>
      </c>
      <c r="K3849" s="9">
        <f t="shared" si="121"/>
        <v>1.3213140978851283</v>
      </c>
    </row>
    <row r="3850" spans="1:11" x14ac:dyDescent="0.3">
      <c r="A3850">
        <v>1325</v>
      </c>
      <c r="B3850">
        <v>2</v>
      </c>
      <c r="C3850">
        <v>257</v>
      </c>
      <c r="D3850" t="str">
        <f>VLOOKUP($C3850,products!$A$1:$F$322,MATCH(order_items!$D$1,products!$A$1:$F$1,0),FALSE)</f>
        <v>Electra Amsterdam Fashion 3i Ladies' - 2017/2018</v>
      </c>
      <c r="E3850">
        <f>VLOOKUP($C3850,products!$A$1:$F$322,MATCH(order_items!$E$1,products!$A$1:$F$1,0),FALSE)</f>
        <v>3</v>
      </c>
      <c r="F3850" t="str">
        <f>VLOOKUP($E3850,categories!$A$1:$B$8,MATCH(order_items!$F$1,categories!$A$1:$B$1,0),FALSE)</f>
        <v>Cruisers Bicycles</v>
      </c>
      <c r="G3850">
        <v>1</v>
      </c>
      <c r="H3850">
        <v>899.99</v>
      </c>
      <c r="I3850" s="5">
        <v>0.05</v>
      </c>
      <c r="J3850">
        <f t="shared" si="120"/>
        <v>854.9905</v>
      </c>
      <c r="K3850" s="9">
        <f t="shared" si="121"/>
        <v>-0.23118819683829855</v>
      </c>
    </row>
    <row r="3851" spans="1:11" x14ac:dyDescent="0.3">
      <c r="A3851">
        <v>1325</v>
      </c>
      <c r="B3851">
        <v>3</v>
      </c>
      <c r="C3851">
        <v>209</v>
      </c>
      <c r="D3851" t="str">
        <f>VLOOKUP($C3851,products!$A$1:$F$322,MATCH(order_items!$D$1,products!$A$1:$F$1,0),FALSE)</f>
        <v>Trek Crockett 7 Disc - 2018</v>
      </c>
      <c r="E3851">
        <f>VLOOKUP($C3851,products!$A$1:$F$322,MATCH(order_items!$E$1,products!$A$1:$F$1,0),FALSE)</f>
        <v>4</v>
      </c>
      <c r="F3851" t="str">
        <f>VLOOKUP($E3851,categories!$A$1:$B$8,MATCH(order_items!$F$1,categories!$A$1:$B$1,0),FALSE)</f>
        <v>Cyclocross Bicycles</v>
      </c>
      <c r="G3851">
        <v>1</v>
      </c>
      <c r="H3851">
        <v>2999.99</v>
      </c>
      <c r="I3851" s="5">
        <v>0.1</v>
      </c>
      <c r="J3851">
        <f t="shared" si="120"/>
        <v>2699.991</v>
      </c>
      <c r="K3851" s="9">
        <f t="shared" si="121"/>
        <v>1.3213140978851283</v>
      </c>
    </row>
    <row r="3852" spans="1:11" x14ac:dyDescent="0.3">
      <c r="A3852">
        <v>1325</v>
      </c>
      <c r="B3852">
        <v>4</v>
      </c>
      <c r="C3852">
        <v>28</v>
      </c>
      <c r="D3852" t="str">
        <f>VLOOKUP($C3852,products!$A$1:$F$322,MATCH(order_items!$D$1,products!$A$1:$F$1,0),FALSE)</f>
        <v>Surly Karate Monkey 27.5+ Frameset - 2017</v>
      </c>
      <c r="E3852">
        <f>VLOOKUP($C3852,products!$A$1:$F$322,MATCH(order_items!$E$1,products!$A$1:$F$1,0),FALSE)</f>
        <v>6</v>
      </c>
      <c r="F3852" t="str">
        <f>VLOOKUP($E3852,categories!$A$1:$B$8,MATCH(order_items!$F$1,categories!$A$1:$B$1,0),FALSE)</f>
        <v>Mountain Bikes</v>
      </c>
      <c r="G3852">
        <v>1</v>
      </c>
      <c r="H3852">
        <v>2499.9899999999998</v>
      </c>
      <c r="I3852" s="5">
        <v>7.0000000000000007E-2</v>
      </c>
      <c r="J3852">
        <f t="shared" si="120"/>
        <v>2324.9906999999998</v>
      </c>
      <c r="K3852" s="9">
        <f t="shared" si="121"/>
        <v>0.95167069437955054</v>
      </c>
    </row>
    <row r="3853" spans="1:11" x14ac:dyDescent="0.3">
      <c r="A3853">
        <v>1326</v>
      </c>
      <c r="B3853">
        <v>1</v>
      </c>
      <c r="C3853">
        <v>190</v>
      </c>
      <c r="D3853" t="str">
        <f>VLOOKUP($C3853,products!$A$1:$F$322,MATCH(order_items!$D$1,products!$A$1:$F$1,0),FALSE)</f>
        <v>Trek Dual Sport+ - 2018</v>
      </c>
      <c r="E3853">
        <f>VLOOKUP($C3853,products!$A$1:$F$322,MATCH(order_items!$E$1,products!$A$1:$F$1,0),FALSE)</f>
        <v>5</v>
      </c>
      <c r="F3853" t="str">
        <f>VLOOKUP($E3853,categories!$A$1:$B$8,MATCH(order_items!$F$1,categories!$A$1:$B$1,0),FALSE)</f>
        <v>Electric Bikes</v>
      </c>
      <c r="G3853">
        <v>2</v>
      </c>
      <c r="H3853">
        <v>2799.99</v>
      </c>
      <c r="I3853" s="5">
        <v>7.0000000000000007E-2</v>
      </c>
      <c r="J3853">
        <f t="shared" si="120"/>
        <v>5207.9813999999997</v>
      </c>
      <c r="K3853" s="9">
        <f t="shared" si="121"/>
        <v>1.1734567364828972</v>
      </c>
    </row>
    <row r="3854" spans="1:11" x14ac:dyDescent="0.3">
      <c r="A3854">
        <v>1326</v>
      </c>
      <c r="B3854">
        <v>2</v>
      </c>
      <c r="C3854">
        <v>269</v>
      </c>
      <c r="D3854" t="str">
        <f>VLOOKUP($C3854,products!$A$1:$F$322,MATCH(order_items!$D$1,products!$A$1:$F$1,0),FALSE)</f>
        <v>Trek Precaliber 12 Boy's - 2018</v>
      </c>
      <c r="E3854">
        <f>VLOOKUP($C3854,products!$A$1:$F$322,MATCH(order_items!$E$1,products!$A$1:$F$1,0),FALSE)</f>
        <v>1</v>
      </c>
      <c r="F3854" t="str">
        <f>VLOOKUP($E3854,categories!$A$1:$B$8,MATCH(order_items!$F$1,categories!$A$1:$B$1,0),FALSE)</f>
        <v>Children Bicycles</v>
      </c>
      <c r="G3854">
        <v>2</v>
      </c>
      <c r="H3854">
        <v>199.99</v>
      </c>
      <c r="I3854" s="5">
        <v>7.0000000000000007E-2</v>
      </c>
      <c r="J3854">
        <f t="shared" si="120"/>
        <v>371.98140000000001</v>
      </c>
      <c r="K3854" s="9">
        <f t="shared" si="121"/>
        <v>-0.74868896174610755</v>
      </c>
    </row>
    <row r="3855" spans="1:11" x14ac:dyDescent="0.3">
      <c r="A3855">
        <v>1327</v>
      </c>
      <c r="B3855">
        <v>1</v>
      </c>
      <c r="C3855">
        <v>151</v>
      </c>
      <c r="D3855" t="str">
        <f>VLOOKUP($C3855,products!$A$1:$F$322,MATCH(order_items!$D$1,products!$A$1:$F$1,0),FALSE)</f>
        <v>Trek Domane ALR 4 Disc Women's - 2018</v>
      </c>
      <c r="E3855">
        <f>VLOOKUP($C3855,products!$A$1:$F$322,MATCH(order_items!$E$1,products!$A$1:$F$1,0),FALSE)</f>
        <v>7</v>
      </c>
      <c r="F3855" t="str">
        <f>VLOOKUP($E3855,categories!$A$1:$B$8,MATCH(order_items!$F$1,categories!$A$1:$B$1,0),FALSE)</f>
        <v>Road Bikes</v>
      </c>
      <c r="G3855">
        <v>2</v>
      </c>
      <c r="H3855">
        <v>1549.99</v>
      </c>
      <c r="I3855" s="5">
        <v>7.0000000000000007E-2</v>
      </c>
      <c r="J3855">
        <f t="shared" si="120"/>
        <v>2882.9813999999997</v>
      </c>
      <c r="K3855" s="9">
        <f t="shared" si="121"/>
        <v>0.24934822771895271</v>
      </c>
    </row>
    <row r="3856" spans="1:11" x14ac:dyDescent="0.3">
      <c r="A3856">
        <v>1327</v>
      </c>
      <c r="B3856">
        <v>2</v>
      </c>
      <c r="C3856">
        <v>235</v>
      </c>
      <c r="D3856" t="str">
        <f>VLOOKUP($C3856,products!$A$1:$F$322,MATCH(order_items!$D$1,products!$A$1:$F$1,0),FALSE)</f>
        <v>Electra Koa 3i Ladies' - 2018</v>
      </c>
      <c r="E3856">
        <f>VLOOKUP($C3856,products!$A$1:$F$322,MATCH(order_items!$E$1,products!$A$1:$F$1,0),FALSE)</f>
        <v>3</v>
      </c>
      <c r="F3856" t="str">
        <f>VLOOKUP($E3856,categories!$A$1:$B$8,MATCH(order_items!$F$1,categories!$A$1:$B$1,0),FALSE)</f>
        <v>Cruisers Bicycles</v>
      </c>
      <c r="G3856">
        <v>2</v>
      </c>
      <c r="H3856">
        <v>899.99</v>
      </c>
      <c r="I3856" s="5">
        <v>0.1</v>
      </c>
      <c r="J3856">
        <f t="shared" si="120"/>
        <v>1619.982</v>
      </c>
      <c r="K3856" s="9">
        <f t="shared" si="121"/>
        <v>-0.23118819683829855</v>
      </c>
    </row>
    <row r="3857" spans="1:11" x14ac:dyDescent="0.3">
      <c r="A3857">
        <v>1327</v>
      </c>
      <c r="B3857">
        <v>3</v>
      </c>
      <c r="C3857">
        <v>48</v>
      </c>
      <c r="D3857" t="str">
        <f>VLOOKUP($C3857,products!$A$1:$F$322,MATCH(order_items!$D$1,products!$A$1:$F$1,0),FALSE)</f>
        <v>Trek Emonda S 4 - 2017</v>
      </c>
      <c r="E3857">
        <f>VLOOKUP($C3857,products!$A$1:$F$322,MATCH(order_items!$E$1,products!$A$1:$F$1,0),FALSE)</f>
        <v>7</v>
      </c>
      <c r="F3857" t="str">
        <f>VLOOKUP($E3857,categories!$A$1:$B$8,MATCH(order_items!$F$1,categories!$A$1:$B$1,0),FALSE)</f>
        <v>Road Bikes</v>
      </c>
      <c r="G3857">
        <v>2</v>
      </c>
      <c r="H3857">
        <v>1499.99</v>
      </c>
      <c r="I3857" s="5">
        <v>0.1</v>
      </c>
      <c r="J3857">
        <f t="shared" si="120"/>
        <v>2699.982</v>
      </c>
      <c r="K3857" s="9">
        <f t="shared" si="121"/>
        <v>0.21238388736839492</v>
      </c>
    </row>
    <row r="3858" spans="1:11" x14ac:dyDescent="0.3">
      <c r="A3858">
        <v>1327</v>
      </c>
      <c r="B3858">
        <v>4</v>
      </c>
      <c r="C3858">
        <v>180</v>
      </c>
      <c r="D3858" t="str">
        <f>VLOOKUP($C3858,products!$A$1:$F$322,MATCH(order_items!$D$1,products!$A$1:$F$1,0),FALSE)</f>
        <v>Trek Domane AL 3 Women's - 2018</v>
      </c>
      <c r="E3858">
        <f>VLOOKUP($C3858,products!$A$1:$F$322,MATCH(order_items!$E$1,products!$A$1:$F$1,0),FALSE)</f>
        <v>7</v>
      </c>
      <c r="F3858" t="str">
        <f>VLOOKUP($E3858,categories!$A$1:$B$8,MATCH(order_items!$F$1,categories!$A$1:$B$1,0),FALSE)</f>
        <v>Road Bikes</v>
      </c>
      <c r="G3858">
        <v>1</v>
      </c>
      <c r="H3858">
        <v>919.99</v>
      </c>
      <c r="I3858" s="5">
        <v>0.2</v>
      </c>
      <c r="J3858">
        <f t="shared" si="120"/>
        <v>735.99200000000008</v>
      </c>
      <c r="K3858" s="9">
        <f t="shared" si="121"/>
        <v>-0.21640246069807545</v>
      </c>
    </row>
    <row r="3859" spans="1:11" x14ac:dyDescent="0.3">
      <c r="A3859">
        <v>1328</v>
      </c>
      <c r="B3859">
        <v>1</v>
      </c>
      <c r="C3859">
        <v>241</v>
      </c>
      <c r="D3859" t="str">
        <f>VLOOKUP($C3859,products!$A$1:$F$322,MATCH(order_items!$D$1,products!$A$1:$F$1,0),FALSE)</f>
        <v>Electra Townie Commute 8D - 2018</v>
      </c>
      <c r="E3859">
        <f>VLOOKUP($C3859,products!$A$1:$F$322,MATCH(order_items!$E$1,products!$A$1:$F$1,0),FALSE)</f>
        <v>3</v>
      </c>
      <c r="F3859" t="str">
        <f>VLOOKUP($E3859,categories!$A$1:$B$8,MATCH(order_items!$F$1,categories!$A$1:$B$1,0),FALSE)</f>
        <v>Cruisers Bicycles</v>
      </c>
      <c r="G3859">
        <v>1</v>
      </c>
      <c r="H3859">
        <v>749.99</v>
      </c>
      <c r="I3859" s="5">
        <v>7.0000000000000007E-2</v>
      </c>
      <c r="J3859">
        <f t="shared" si="120"/>
        <v>697.49069999999995</v>
      </c>
      <c r="K3859" s="9">
        <f t="shared" si="121"/>
        <v>-0.34208121788997192</v>
      </c>
    </row>
    <row r="3860" spans="1:11" x14ac:dyDescent="0.3">
      <c r="A3860">
        <v>1328</v>
      </c>
      <c r="B3860">
        <v>2</v>
      </c>
      <c r="C3860">
        <v>129</v>
      </c>
      <c r="D3860" t="str">
        <f>VLOOKUP($C3860,products!$A$1:$F$322,MATCH(order_items!$D$1,products!$A$1:$F$1,0),FALSE)</f>
        <v>Trek X-Caliber 7 - 2018</v>
      </c>
      <c r="E3860">
        <f>VLOOKUP($C3860,products!$A$1:$F$322,MATCH(order_items!$E$1,products!$A$1:$F$1,0),FALSE)</f>
        <v>6</v>
      </c>
      <c r="F3860" t="str">
        <f>VLOOKUP($E3860,categories!$A$1:$B$8,MATCH(order_items!$F$1,categories!$A$1:$B$1,0),FALSE)</f>
        <v>Mountain Bikes</v>
      </c>
      <c r="G3860">
        <v>2</v>
      </c>
      <c r="H3860">
        <v>919.99</v>
      </c>
      <c r="I3860" s="5">
        <v>0.1</v>
      </c>
      <c r="J3860">
        <f t="shared" si="120"/>
        <v>1655.982</v>
      </c>
      <c r="K3860" s="9">
        <f t="shared" si="121"/>
        <v>-0.21640246069807545</v>
      </c>
    </row>
    <row r="3861" spans="1:11" x14ac:dyDescent="0.3">
      <c r="A3861">
        <v>1328</v>
      </c>
      <c r="B3861">
        <v>3</v>
      </c>
      <c r="C3861">
        <v>228</v>
      </c>
      <c r="D3861" t="str">
        <f>VLOOKUP($C3861,products!$A$1:$F$322,MATCH(order_items!$D$1,products!$A$1:$F$1,0),FALSE)</f>
        <v>Electra Cruiser 7D Tall - 2016/2018</v>
      </c>
      <c r="E3861">
        <f>VLOOKUP($C3861,products!$A$1:$F$322,MATCH(order_items!$E$1,products!$A$1:$F$1,0),FALSE)</f>
        <v>3</v>
      </c>
      <c r="F3861" t="str">
        <f>VLOOKUP($E3861,categories!$A$1:$B$8,MATCH(order_items!$F$1,categories!$A$1:$B$1,0),FALSE)</f>
        <v>Cruisers Bicycles</v>
      </c>
      <c r="G3861">
        <v>1</v>
      </c>
      <c r="H3861">
        <v>319.99</v>
      </c>
      <c r="I3861" s="5">
        <v>7.0000000000000007E-2</v>
      </c>
      <c r="J3861">
        <f t="shared" si="120"/>
        <v>297.59069999999997</v>
      </c>
      <c r="K3861" s="9">
        <f t="shared" si="121"/>
        <v>-0.65997454490476892</v>
      </c>
    </row>
    <row r="3862" spans="1:11" x14ac:dyDescent="0.3">
      <c r="A3862">
        <v>1328</v>
      </c>
      <c r="B3862">
        <v>4</v>
      </c>
      <c r="C3862">
        <v>311</v>
      </c>
      <c r="D3862" t="str">
        <f>VLOOKUP($C3862,products!$A$1:$F$322,MATCH(order_items!$D$1,products!$A$1:$F$1,0),FALSE)</f>
        <v>Electra Townie Commute 8D - 2018</v>
      </c>
      <c r="E3862">
        <f>VLOOKUP($C3862,products!$A$1:$F$322,MATCH(order_items!$E$1,products!$A$1:$F$1,0),FALSE)</f>
        <v>2</v>
      </c>
      <c r="F3862" t="str">
        <f>VLOOKUP($E3862,categories!$A$1:$B$8,MATCH(order_items!$F$1,categories!$A$1:$B$1,0),FALSE)</f>
        <v>Comfort Bicycles</v>
      </c>
      <c r="G3862">
        <v>1</v>
      </c>
      <c r="H3862">
        <v>749.99</v>
      </c>
      <c r="I3862" s="5">
        <v>0.1</v>
      </c>
      <c r="J3862">
        <f t="shared" si="120"/>
        <v>674.99099999999999</v>
      </c>
      <c r="K3862" s="9">
        <f t="shared" si="121"/>
        <v>-0.34208121788997192</v>
      </c>
    </row>
    <row r="3863" spans="1:11" x14ac:dyDescent="0.3">
      <c r="A3863">
        <v>1328</v>
      </c>
      <c r="B3863">
        <v>5</v>
      </c>
      <c r="C3863">
        <v>247</v>
      </c>
      <c r="D3863" t="str">
        <f>VLOOKUP($C3863,products!$A$1:$F$322,MATCH(order_items!$D$1,products!$A$1:$F$1,0),FALSE)</f>
        <v>Electra Townie Original 7D EQ - 2018</v>
      </c>
      <c r="E3863">
        <f>VLOOKUP($C3863,products!$A$1:$F$322,MATCH(order_items!$E$1,products!$A$1:$F$1,0),FALSE)</f>
        <v>3</v>
      </c>
      <c r="F3863" t="str">
        <f>VLOOKUP($E3863,categories!$A$1:$B$8,MATCH(order_items!$F$1,categories!$A$1:$B$1,0),FALSE)</f>
        <v>Cruisers Bicycles</v>
      </c>
      <c r="G3863">
        <v>1</v>
      </c>
      <c r="H3863">
        <v>599.99</v>
      </c>
      <c r="I3863" s="5">
        <v>0.1</v>
      </c>
      <c r="J3863">
        <f t="shared" si="120"/>
        <v>539.99099999999999</v>
      </c>
      <c r="K3863" s="9">
        <f t="shared" si="121"/>
        <v>-0.45297423894164529</v>
      </c>
    </row>
    <row r="3864" spans="1:11" x14ac:dyDescent="0.3">
      <c r="A3864">
        <v>1329</v>
      </c>
      <c r="B3864">
        <v>1</v>
      </c>
      <c r="C3864">
        <v>143</v>
      </c>
      <c r="D3864" t="str">
        <f>VLOOKUP($C3864,products!$A$1:$F$322,MATCH(order_items!$D$1,products!$A$1:$F$1,0),FALSE)</f>
        <v>Trek Domane ALR 3 - 2018</v>
      </c>
      <c r="E3864">
        <f>VLOOKUP($C3864,products!$A$1:$F$322,MATCH(order_items!$E$1,products!$A$1:$F$1,0),FALSE)</f>
        <v>7</v>
      </c>
      <c r="F3864" t="str">
        <f>VLOOKUP($E3864,categories!$A$1:$B$8,MATCH(order_items!$F$1,categories!$A$1:$B$1,0),FALSE)</f>
        <v>Road Bikes</v>
      </c>
      <c r="G3864">
        <v>1</v>
      </c>
      <c r="H3864">
        <v>1099.99</v>
      </c>
      <c r="I3864" s="5">
        <v>7.0000000000000007E-2</v>
      </c>
      <c r="J3864">
        <f t="shared" si="120"/>
        <v>1022.9906999999999</v>
      </c>
      <c r="K3864" s="9">
        <f t="shared" si="121"/>
        <v>-8.3330835436067396E-2</v>
      </c>
    </row>
    <row r="3865" spans="1:11" x14ac:dyDescent="0.3">
      <c r="A3865">
        <v>1329</v>
      </c>
      <c r="B3865">
        <v>2</v>
      </c>
      <c r="C3865">
        <v>107</v>
      </c>
      <c r="D3865" t="str">
        <f>VLOOKUP($C3865,products!$A$1:$F$322,MATCH(order_items!$D$1,products!$A$1:$F$1,0),FALSE)</f>
        <v>Sun Bicycles Cruz 7 - 2017</v>
      </c>
      <c r="E3865">
        <f>VLOOKUP($C3865,products!$A$1:$F$322,MATCH(order_items!$E$1,products!$A$1:$F$1,0),FALSE)</f>
        <v>2</v>
      </c>
      <c r="F3865" t="str">
        <f>VLOOKUP($E3865,categories!$A$1:$B$8,MATCH(order_items!$F$1,categories!$A$1:$B$1,0),FALSE)</f>
        <v>Comfort Bicycles</v>
      </c>
      <c r="G3865">
        <v>1</v>
      </c>
      <c r="H3865">
        <v>416.99</v>
      </c>
      <c r="I3865" s="5">
        <v>0.05</v>
      </c>
      <c r="J3865">
        <f t="shared" si="120"/>
        <v>396.14049999999997</v>
      </c>
      <c r="K3865" s="9">
        <f t="shared" si="121"/>
        <v>-0.58826372462468679</v>
      </c>
    </row>
    <row r="3866" spans="1:11" x14ac:dyDescent="0.3">
      <c r="A3866">
        <v>1329</v>
      </c>
      <c r="B3866">
        <v>3</v>
      </c>
      <c r="C3866">
        <v>55</v>
      </c>
      <c r="D3866" t="str">
        <f>VLOOKUP($C3866,products!$A$1:$F$322,MATCH(order_items!$D$1,products!$A$1:$F$1,0),FALSE)</f>
        <v>Trek Domane S 6 - 2017</v>
      </c>
      <c r="E3866">
        <f>VLOOKUP($C3866,products!$A$1:$F$322,MATCH(order_items!$E$1,products!$A$1:$F$1,0),FALSE)</f>
        <v>7</v>
      </c>
      <c r="F3866" t="str">
        <f>VLOOKUP($E3866,categories!$A$1:$B$8,MATCH(order_items!$F$1,categories!$A$1:$B$1,0),FALSE)</f>
        <v>Road Bikes</v>
      </c>
      <c r="G3866">
        <v>1</v>
      </c>
      <c r="H3866">
        <v>2699.99</v>
      </c>
      <c r="I3866" s="5">
        <v>7.0000000000000007E-2</v>
      </c>
      <c r="J3866">
        <f t="shared" si="120"/>
        <v>2510.9906999999998</v>
      </c>
      <c r="K3866" s="9">
        <f t="shared" si="121"/>
        <v>1.0995280557817817</v>
      </c>
    </row>
    <row r="3867" spans="1:11" x14ac:dyDescent="0.3">
      <c r="A3867">
        <v>1329</v>
      </c>
      <c r="B3867">
        <v>4</v>
      </c>
      <c r="C3867">
        <v>283</v>
      </c>
      <c r="D3867" t="str">
        <f>VLOOKUP($C3867,products!$A$1:$F$322,MATCH(order_items!$D$1,products!$A$1:$F$1,0),FALSE)</f>
        <v>Electra Heartchya 1 (20-inch) - Girl's - 2018</v>
      </c>
      <c r="E3867">
        <f>VLOOKUP($C3867,products!$A$1:$F$322,MATCH(order_items!$E$1,products!$A$1:$F$1,0),FALSE)</f>
        <v>1</v>
      </c>
      <c r="F3867" t="str">
        <f>VLOOKUP($E3867,categories!$A$1:$B$8,MATCH(order_items!$F$1,categories!$A$1:$B$1,0),FALSE)</f>
        <v>Children Bicycles</v>
      </c>
      <c r="G3867">
        <v>2</v>
      </c>
      <c r="H3867">
        <v>319.99</v>
      </c>
      <c r="I3867" s="5">
        <v>0.2</v>
      </c>
      <c r="J3867">
        <f t="shared" si="120"/>
        <v>511.98400000000004</v>
      </c>
      <c r="K3867" s="9">
        <f t="shared" si="121"/>
        <v>-0.65997454490476892</v>
      </c>
    </row>
    <row r="3868" spans="1:11" x14ac:dyDescent="0.3">
      <c r="A3868">
        <v>1329</v>
      </c>
      <c r="B3868">
        <v>5</v>
      </c>
      <c r="C3868">
        <v>13</v>
      </c>
      <c r="D3868" t="str">
        <f>VLOOKUP($C3868,products!$A$1:$F$322,MATCH(order_items!$D$1,products!$A$1:$F$1,0),FALSE)</f>
        <v>Electra Cruiser 1 (24-Inch) - 2016</v>
      </c>
      <c r="E3868">
        <f>VLOOKUP($C3868,products!$A$1:$F$322,MATCH(order_items!$E$1,products!$A$1:$F$1,0),FALSE)</f>
        <v>3</v>
      </c>
      <c r="F3868" t="str">
        <f>VLOOKUP($E3868,categories!$A$1:$B$8,MATCH(order_items!$F$1,categories!$A$1:$B$1,0),FALSE)</f>
        <v>Cruisers Bicycles</v>
      </c>
      <c r="G3868">
        <v>1</v>
      </c>
      <c r="H3868">
        <v>269.99</v>
      </c>
      <c r="I3868" s="5">
        <v>0.1</v>
      </c>
      <c r="J3868">
        <f t="shared" si="120"/>
        <v>242.99100000000001</v>
      </c>
      <c r="K3868" s="9">
        <f t="shared" si="121"/>
        <v>-0.69693888525532666</v>
      </c>
    </row>
    <row r="3869" spans="1:11" x14ac:dyDescent="0.3">
      <c r="A3869">
        <v>1330</v>
      </c>
      <c r="B3869">
        <v>1</v>
      </c>
      <c r="C3869">
        <v>232</v>
      </c>
      <c r="D3869" t="str">
        <f>VLOOKUP($C3869,products!$A$1:$F$322,MATCH(order_items!$D$1,products!$A$1:$F$1,0),FALSE)</f>
        <v>Electra Cruiser Lux 7D Ladies' - 2018</v>
      </c>
      <c r="E3869">
        <f>VLOOKUP($C3869,products!$A$1:$F$322,MATCH(order_items!$E$1,products!$A$1:$F$1,0),FALSE)</f>
        <v>3</v>
      </c>
      <c r="F3869" t="str">
        <f>VLOOKUP($E3869,categories!$A$1:$B$8,MATCH(order_items!$F$1,categories!$A$1:$B$1,0),FALSE)</f>
        <v>Cruisers Bicycles</v>
      </c>
      <c r="G3869">
        <v>1</v>
      </c>
      <c r="H3869">
        <v>479.99</v>
      </c>
      <c r="I3869" s="5">
        <v>0.2</v>
      </c>
      <c r="J3869">
        <f t="shared" si="120"/>
        <v>383.99200000000002</v>
      </c>
      <c r="K3869" s="9">
        <f t="shared" si="121"/>
        <v>-0.54168865578298397</v>
      </c>
    </row>
    <row r="3870" spans="1:11" x14ac:dyDescent="0.3">
      <c r="A3870">
        <v>1330</v>
      </c>
      <c r="B3870">
        <v>2</v>
      </c>
      <c r="C3870">
        <v>243</v>
      </c>
      <c r="D3870" t="str">
        <f>VLOOKUP($C3870,products!$A$1:$F$322,MATCH(order_items!$D$1,products!$A$1:$F$1,0),FALSE)</f>
        <v>Electra Townie Original 21D EQ Ladies' - 2018</v>
      </c>
      <c r="E3870">
        <f>VLOOKUP($C3870,products!$A$1:$F$322,MATCH(order_items!$E$1,products!$A$1:$F$1,0),FALSE)</f>
        <v>3</v>
      </c>
      <c r="F3870" t="str">
        <f>VLOOKUP($E3870,categories!$A$1:$B$8,MATCH(order_items!$F$1,categories!$A$1:$B$1,0),FALSE)</f>
        <v>Cruisers Bicycles</v>
      </c>
      <c r="G3870">
        <v>2</v>
      </c>
      <c r="H3870">
        <v>679.99</v>
      </c>
      <c r="I3870" s="5">
        <v>0.05</v>
      </c>
      <c r="J3870">
        <f t="shared" si="120"/>
        <v>1291.981</v>
      </c>
      <c r="K3870" s="9">
        <f t="shared" si="121"/>
        <v>-0.39383129438075282</v>
      </c>
    </row>
    <row r="3871" spans="1:11" x14ac:dyDescent="0.3">
      <c r="A3871">
        <v>1330</v>
      </c>
      <c r="B3871">
        <v>3</v>
      </c>
      <c r="C3871">
        <v>230</v>
      </c>
      <c r="D3871" t="str">
        <f>VLOOKUP($C3871,products!$A$1:$F$322,MATCH(order_items!$D$1,products!$A$1:$F$1,0),FALSE)</f>
        <v>Electra Cruiser Lux 1 Ladies' - 2018</v>
      </c>
      <c r="E3871">
        <f>VLOOKUP($C3871,products!$A$1:$F$322,MATCH(order_items!$E$1,products!$A$1:$F$1,0),FALSE)</f>
        <v>3</v>
      </c>
      <c r="F3871" t="str">
        <f>VLOOKUP($E3871,categories!$A$1:$B$8,MATCH(order_items!$F$1,categories!$A$1:$B$1,0),FALSE)</f>
        <v>Cruisers Bicycles</v>
      </c>
      <c r="G3871">
        <v>2</v>
      </c>
      <c r="H3871">
        <v>429.99</v>
      </c>
      <c r="I3871" s="5">
        <v>0.2</v>
      </c>
      <c r="J3871">
        <f t="shared" si="120"/>
        <v>687.98400000000004</v>
      </c>
      <c r="K3871" s="9">
        <f t="shared" si="121"/>
        <v>-0.57865299613354182</v>
      </c>
    </row>
    <row r="3872" spans="1:11" x14ac:dyDescent="0.3">
      <c r="A3872">
        <v>1330</v>
      </c>
      <c r="B3872">
        <v>4</v>
      </c>
      <c r="C3872">
        <v>102</v>
      </c>
      <c r="D3872" t="str">
        <f>VLOOKUP($C3872,products!$A$1:$F$322,MATCH(order_items!$D$1,products!$A$1:$F$1,0),FALSE)</f>
        <v>Electra Townie Original 7D - 2017</v>
      </c>
      <c r="E3872">
        <f>VLOOKUP($C3872,products!$A$1:$F$322,MATCH(order_items!$E$1,products!$A$1:$F$1,0),FALSE)</f>
        <v>2</v>
      </c>
      <c r="F3872" t="str">
        <f>VLOOKUP($E3872,categories!$A$1:$B$8,MATCH(order_items!$F$1,categories!$A$1:$B$1,0),FALSE)</f>
        <v>Comfort Bicycles</v>
      </c>
      <c r="G3872">
        <v>2</v>
      </c>
      <c r="H3872">
        <v>489.99</v>
      </c>
      <c r="I3872" s="5">
        <v>0.05</v>
      </c>
      <c r="J3872">
        <f t="shared" si="120"/>
        <v>930.98099999999999</v>
      </c>
      <c r="K3872" s="9">
        <f t="shared" si="121"/>
        <v>-0.53429578771287245</v>
      </c>
    </row>
    <row r="3873" spans="1:11" x14ac:dyDescent="0.3">
      <c r="A3873">
        <v>1330</v>
      </c>
      <c r="B3873">
        <v>5</v>
      </c>
      <c r="C3873">
        <v>282</v>
      </c>
      <c r="D3873" t="str">
        <f>VLOOKUP($C3873,products!$A$1:$F$322,MATCH(order_items!$D$1,products!$A$1:$F$1,0),FALSE)</f>
        <v>Electra Cyclosaurus 1 (16-inch) - Boy's - 2018</v>
      </c>
      <c r="E3873">
        <f>VLOOKUP($C3873,products!$A$1:$F$322,MATCH(order_items!$E$1,products!$A$1:$F$1,0),FALSE)</f>
        <v>1</v>
      </c>
      <c r="F3873" t="str">
        <f>VLOOKUP($E3873,categories!$A$1:$B$8,MATCH(order_items!$F$1,categories!$A$1:$B$1,0),FALSE)</f>
        <v>Children Bicycles</v>
      </c>
      <c r="G3873">
        <v>1</v>
      </c>
      <c r="H3873">
        <v>279.99</v>
      </c>
      <c r="I3873" s="5">
        <v>0.1</v>
      </c>
      <c r="J3873">
        <f t="shared" si="120"/>
        <v>251.99100000000001</v>
      </c>
      <c r="K3873" s="9">
        <f t="shared" si="121"/>
        <v>-0.68954601718521513</v>
      </c>
    </row>
    <row r="3874" spans="1:11" x14ac:dyDescent="0.3">
      <c r="A3874">
        <v>1331</v>
      </c>
      <c r="B3874">
        <v>1</v>
      </c>
      <c r="C3874">
        <v>253</v>
      </c>
      <c r="D3874" t="str">
        <f>VLOOKUP($C3874,products!$A$1:$F$322,MATCH(order_items!$D$1,products!$A$1:$F$1,0),FALSE)</f>
        <v>Electra Townie Go! 8i Ladies' - 2018</v>
      </c>
      <c r="E3874">
        <f>VLOOKUP($C3874,products!$A$1:$F$322,MATCH(order_items!$E$1,products!$A$1:$F$1,0),FALSE)</f>
        <v>3</v>
      </c>
      <c r="F3874" t="str">
        <f>VLOOKUP($E3874,categories!$A$1:$B$8,MATCH(order_items!$F$1,categories!$A$1:$B$1,0),FALSE)</f>
        <v>Cruisers Bicycles</v>
      </c>
      <c r="G3874">
        <v>1</v>
      </c>
      <c r="H3874">
        <v>2599.9899999999998</v>
      </c>
      <c r="I3874" s="5">
        <v>0.05</v>
      </c>
      <c r="J3874">
        <f t="shared" si="120"/>
        <v>2469.9904999999999</v>
      </c>
      <c r="K3874" s="9">
        <f t="shared" si="121"/>
        <v>1.025599375080666</v>
      </c>
    </row>
    <row r="3875" spans="1:11" x14ac:dyDescent="0.3">
      <c r="A3875">
        <v>1331</v>
      </c>
      <c r="B3875">
        <v>2</v>
      </c>
      <c r="C3875">
        <v>290</v>
      </c>
      <c r="D3875" t="str">
        <f>VLOOKUP($C3875,products!$A$1:$F$322,MATCH(order_items!$D$1,products!$A$1:$F$1,0),FALSE)</f>
        <v>Electra Superbolt 3i 20" - 2018</v>
      </c>
      <c r="E3875">
        <f>VLOOKUP($C3875,products!$A$1:$F$322,MATCH(order_items!$E$1,products!$A$1:$F$1,0),FALSE)</f>
        <v>1</v>
      </c>
      <c r="F3875" t="str">
        <f>VLOOKUP($E3875,categories!$A$1:$B$8,MATCH(order_items!$F$1,categories!$A$1:$B$1,0),FALSE)</f>
        <v>Children Bicycles</v>
      </c>
      <c r="G3875">
        <v>1</v>
      </c>
      <c r="H3875">
        <v>369.99</v>
      </c>
      <c r="I3875" s="5">
        <v>0.05</v>
      </c>
      <c r="J3875">
        <f t="shared" si="120"/>
        <v>351.4905</v>
      </c>
      <c r="K3875" s="9">
        <f t="shared" si="121"/>
        <v>-0.62301020455421108</v>
      </c>
    </row>
    <row r="3876" spans="1:11" x14ac:dyDescent="0.3">
      <c r="A3876">
        <v>1331</v>
      </c>
      <c r="B3876">
        <v>3</v>
      </c>
      <c r="C3876">
        <v>145</v>
      </c>
      <c r="D3876" t="str">
        <f>VLOOKUP($C3876,products!$A$1:$F$322,MATCH(order_items!$D$1,products!$A$1:$F$1,0),FALSE)</f>
        <v>Trek Domane ALR 5 Disc - 2018</v>
      </c>
      <c r="E3876">
        <f>VLOOKUP($C3876,products!$A$1:$F$322,MATCH(order_items!$E$1,products!$A$1:$F$1,0),FALSE)</f>
        <v>7</v>
      </c>
      <c r="F3876" t="str">
        <f>VLOOKUP($E3876,categories!$A$1:$B$8,MATCH(order_items!$F$1,categories!$A$1:$B$1,0),FALSE)</f>
        <v>Road Bikes</v>
      </c>
      <c r="G3876">
        <v>2</v>
      </c>
      <c r="H3876">
        <v>1799.99</v>
      </c>
      <c r="I3876" s="5">
        <v>0.1</v>
      </c>
      <c r="J3876">
        <f t="shared" si="120"/>
        <v>3239.982</v>
      </c>
      <c r="K3876" s="9">
        <f t="shared" si="121"/>
        <v>0.43416992947174166</v>
      </c>
    </row>
    <row r="3877" spans="1:11" x14ac:dyDescent="0.3">
      <c r="A3877">
        <v>1331</v>
      </c>
      <c r="B3877">
        <v>4</v>
      </c>
      <c r="C3877">
        <v>300</v>
      </c>
      <c r="D3877" t="str">
        <f>VLOOKUP($C3877,products!$A$1:$F$322,MATCH(order_items!$D$1,products!$A$1:$F$1,0),FALSE)</f>
        <v>Electra Townie Balloon 3i EQ Ladies' - 2018</v>
      </c>
      <c r="E3877">
        <f>VLOOKUP($C3877,products!$A$1:$F$322,MATCH(order_items!$E$1,products!$A$1:$F$1,0),FALSE)</f>
        <v>2</v>
      </c>
      <c r="F3877" t="str">
        <f>VLOOKUP($E3877,categories!$A$1:$B$8,MATCH(order_items!$F$1,categories!$A$1:$B$1,0),FALSE)</f>
        <v>Comfort Bicycles</v>
      </c>
      <c r="G3877">
        <v>1</v>
      </c>
      <c r="H3877">
        <v>799.99</v>
      </c>
      <c r="I3877" s="5">
        <v>0.2</v>
      </c>
      <c r="J3877">
        <f t="shared" si="120"/>
        <v>639.99200000000008</v>
      </c>
      <c r="K3877" s="9">
        <f t="shared" si="121"/>
        <v>-0.30511687753941413</v>
      </c>
    </row>
    <row r="3878" spans="1:11" x14ac:dyDescent="0.3">
      <c r="A3878">
        <v>1332</v>
      </c>
      <c r="B3878">
        <v>1</v>
      </c>
      <c r="C3878">
        <v>296</v>
      </c>
      <c r="D3878" t="str">
        <f>VLOOKUP($C3878,products!$A$1:$F$322,MATCH(order_items!$D$1,products!$A$1:$F$1,0),FALSE)</f>
        <v>Electra Treasure 3i 20" - 2018</v>
      </c>
      <c r="E3878">
        <f>VLOOKUP($C3878,products!$A$1:$F$322,MATCH(order_items!$E$1,products!$A$1:$F$1,0),FALSE)</f>
        <v>1</v>
      </c>
      <c r="F3878" t="str">
        <f>VLOOKUP($E3878,categories!$A$1:$B$8,MATCH(order_items!$F$1,categories!$A$1:$B$1,0),FALSE)</f>
        <v>Children Bicycles</v>
      </c>
      <c r="G3878">
        <v>1</v>
      </c>
      <c r="H3878">
        <v>369.99</v>
      </c>
      <c r="I3878" s="5">
        <v>0.2</v>
      </c>
      <c r="J3878">
        <f t="shared" si="120"/>
        <v>295.99200000000002</v>
      </c>
      <c r="K3878" s="9">
        <f t="shared" si="121"/>
        <v>-0.62301020455421108</v>
      </c>
    </row>
    <row r="3879" spans="1:11" x14ac:dyDescent="0.3">
      <c r="A3879">
        <v>1332</v>
      </c>
      <c r="B3879">
        <v>2</v>
      </c>
      <c r="C3879">
        <v>93</v>
      </c>
      <c r="D3879" t="str">
        <f>VLOOKUP($C3879,products!$A$1:$F$322,MATCH(order_items!$D$1,products!$A$1:$F$1,0),FALSE)</f>
        <v>Haro Shredder 20 Girls - 2017</v>
      </c>
      <c r="E3879">
        <f>VLOOKUP($C3879,products!$A$1:$F$322,MATCH(order_items!$E$1,products!$A$1:$F$1,0),FALSE)</f>
        <v>1</v>
      </c>
      <c r="F3879" t="str">
        <f>VLOOKUP($E3879,categories!$A$1:$B$8,MATCH(order_items!$F$1,categories!$A$1:$B$1,0),FALSE)</f>
        <v>Children Bicycles</v>
      </c>
      <c r="G3879">
        <v>2</v>
      </c>
      <c r="H3879">
        <v>209.99</v>
      </c>
      <c r="I3879" s="5">
        <v>0.05</v>
      </c>
      <c r="J3879">
        <f t="shared" si="120"/>
        <v>398.98099999999999</v>
      </c>
      <c r="K3879" s="9">
        <f t="shared" si="121"/>
        <v>-0.74129609367599603</v>
      </c>
    </row>
    <row r="3880" spans="1:11" x14ac:dyDescent="0.3">
      <c r="A3880">
        <v>1332</v>
      </c>
      <c r="B3880">
        <v>3</v>
      </c>
      <c r="C3880">
        <v>179</v>
      </c>
      <c r="D3880" t="str">
        <f>VLOOKUP($C3880,products!$A$1:$F$322,MATCH(order_items!$D$1,products!$A$1:$F$1,0),FALSE)</f>
        <v>Trek Domane AL 3 - 2018</v>
      </c>
      <c r="E3880">
        <f>VLOOKUP($C3880,products!$A$1:$F$322,MATCH(order_items!$E$1,products!$A$1:$F$1,0),FALSE)</f>
        <v>7</v>
      </c>
      <c r="F3880" t="str">
        <f>VLOOKUP($E3880,categories!$A$1:$B$8,MATCH(order_items!$F$1,categories!$A$1:$B$1,0),FALSE)</f>
        <v>Road Bikes</v>
      </c>
      <c r="G3880">
        <v>2</v>
      </c>
      <c r="H3880">
        <v>919.99</v>
      </c>
      <c r="I3880" s="5">
        <v>7.0000000000000007E-2</v>
      </c>
      <c r="J3880">
        <f t="shared" si="120"/>
        <v>1711.1813999999999</v>
      </c>
      <c r="K3880" s="9">
        <f t="shared" si="121"/>
        <v>-0.21640246069807545</v>
      </c>
    </row>
    <row r="3881" spans="1:11" x14ac:dyDescent="0.3">
      <c r="A3881">
        <v>1332</v>
      </c>
      <c r="B3881">
        <v>4</v>
      </c>
      <c r="C3881">
        <v>298</v>
      </c>
      <c r="D3881" t="str">
        <f>VLOOKUP($C3881,products!$A$1:$F$322,MATCH(order_items!$D$1,products!$A$1:$F$1,0),FALSE)</f>
        <v>Electra Water Lily 1 (16-inch) - Girl's - 2018</v>
      </c>
      <c r="E3881">
        <f>VLOOKUP($C3881,products!$A$1:$F$322,MATCH(order_items!$E$1,products!$A$1:$F$1,0),FALSE)</f>
        <v>1</v>
      </c>
      <c r="F3881" t="str">
        <f>VLOOKUP($E3881,categories!$A$1:$B$8,MATCH(order_items!$F$1,categories!$A$1:$B$1,0),FALSE)</f>
        <v>Children Bicycles</v>
      </c>
      <c r="G3881">
        <v>1</v>
      </c>
      <c r="H3881">
        <v>279.99</v>
      </c>
      <c r="I3881" s="5">
        <v>0.1</v>
      </c>
      <c r="J3881">
        <f t="shared" si="120"/>
        <v>251.99100000000001</v>
      </c>
      <c r="K3881" s="9">
        <f t="shared" si="121"/>
        <v>-0.68954601718521513</v>
      </c>
    </row>
    <row r="3882" spans="1:11" x14ac:dyDescent="0.3">
      <c r="A3882">
        <v>1333</v>
      </c>
      <c r="B3882">
        <v>1</v>
      </c>
      <c r="C3882">
        <v>205</v>
      </c>
      <c r="D3882" t="str">
        <f>VLOOKUP($C3882,products!$A$1:$F$322,MATCH(order_items!$D$1,products!$A$1:$F$1,0),FALSE)</f>
        <v>Trek Super Commuter+ 8S - 2018</v>
      </c>
      <c r="E3882">
        <f>VLOOKUP($C3882,products!$A$1:$F$322,MATCH(order_items!$E$1,products!$A$1:$F$1,0),FALSE)</f>
        <v>5</v>
      </c>
      <c r="F3882" t="str">
        <f>VLOOKUP($E3882,categories!$A$1:$B$8,MATCH(order_items!$F$1,categories!$A$1:$B$1,0),FALSE)</f>
        <v>Electric Bikes</v>
      </c>
      <c r="G3882">
        <v>2</v>
      </c>
      <c r="H3882">
        <v>4999.99</v>
      </c>
      <c r="I3882" s="5">
        <v>0.05</v>
      </c>
      <c r="J3882">
        <f t="shared" si="120"/>
        <v>9499.9809999999998</v>
      </c>
      <c r="K3882" s="9">
        <f t="shared" si="121"/>
        <v>2.7998877119074401</v>
      </c>
    </row>
    <row r="3883" spans="1:11" x14ac:dyDescent="0.3">
      <c r="A3883">
        <v>1333</v>
      </c>
      <c r="B3883">
        <v>2</v>
      </c>
      <c r="C3883">
        <v>304</v>
      </c>
      <c r="D3883" t="str">
        <f>VLOOKUP($C3883,products!$A$1:$F$322,MATCH(order_items!$D$1,products!$A$1:$F$1,0),FALSE)</f>
        <v>Electra Townie Original 21D EQ - 2017/2018</v>
      </c>
      <c r="E3883">
        <f>VLOOKUP($C3883,products!$A$1:$F$322,MATCH(order_items!$E$1,products!$A$1:$F$1,0),FALSE)</f>
        <v>2</v>
      </c>
      <c r="F3883" t="str">
        <f>VLOOKUP($E3883,categories!$A$1:$B$8,MATCH(order_items!$F$1,categories!$A$1:$B$1,0),FALSE)</f>
        <v>Comfort Bicycles</v>
      </c>
      <c r="G3883">
        <v>2</v>
      </c>
      <c r="H3883">
        <v>679.99</v>
      </c>
      <c r="I3883" s="5">
        <v>0.1</v>
      </c>
      <c r="J3883">
        <f t="shared" si="120"/>
        <v>1223.982</v>
      </c>
      <c r="K3883" s="9">
        <f t="shared" si="121"/>
        <v>-0.39383129438075282</v>
      </c>
    </row>
    <row r="3884" spans="1:11" x14ac:dyDescent="0.3">
      <c r="A3884">
        <v>1333</v>
      </c>
      <c r="B3884">
        <v>3</v>
      </c>
      <c r="C3884">
        <v>99</v>
      </c>
      <c r="D3884" t="str">
        <f>VLOOKUP($C3884,products!$A$1:$F$322,MATCH(order_items!$D$1,products!$A$1:$F$1,0),FALSE)</f>
        <v>Electra Sugar Skulls 1 (20-inch) - Girl's - 2017</v>
      </c>
      <c r="E3884">
        <f>VLOOKUP($C3884,products!$A$1:$F$322,MATCH(order_items!$E$1,products!$A$1:$F$1,0),FALSE)</f>
        <v>1</v>
      </c>
      <c r="F3884" t="str">
        <f>VLOOKUP($E3884,categories!$A$1:$B$8,MATCH(order_items!$F$1,categories!$A$1:$B$1,0),FALSE)</f>
        <v>Children Bicycles</v>
      </c>
      <c r="G3884">
        <v>2</v>
      </c>
      <c r="H3884">
        <v>299.99</v>
      </c>
      <c r="I3884" s="5">
        <v>0.1</v>
      </c>
      <c r="J3884">
        <f t="shared" si="120"/>
        <v>539.98200000000008</v>
      </c>
      <c r="K3884" s="9">
        <f t="shared" si="121"/>
        <v>-0.67476028104499197</v>
      </c>
    </row>
    <row r="3885" spans="1:11" x14ac:dyDescent="0.3">
      <c r="A3885">
        <v>1333</v>
      </c>
      <c r="B3885">
        <v>4</v>
      </c>
      <c r="C3885">
        <v>12</v>
      </c>
      <c r="D3885" t="str">
        <f>VLOOKUP($C3885,products!$A$1:$F$322,MATCH(order_items!$D$1,products!$A$1:$F$1,0),FALSE)</f>
        <v>Electra Townie Original 21D - 2016</v>
      </c>
      <c r="E3885">
        <f>VLOOKUP($C3885,products!$A$1:$F$322,MATCH(order_items!$E$1,products!$A$1:$F$1,0),FALSE)</f>
        <v>3</v>
      </c>
      <c r="F3885" t="str">
        <f>VLOOKUP($E3885,categories!$A$1:$B$8,MATCH(order_items!$F$1,categories!$A$1:$B$1,0),FALSE)</f>
        <v>Cruisers Bicycles</v>
      </c>
      <c r="G3885">
        <v>1</v>
      </c>
      <c r="H3885">
        <v>549.99</v>
      </c>
      <c r="I3885" s="5">
        <v>0.05</v>
      </c>
      <c r="J3885">
        <f t="shared" si="120"/>
        <v>522.4905</v>
      </c>
      <c r="K3885" s="9">
        <f t="shared" si="121"/>
        <v>-0.48993857929220308</v>
      </c>
    </row>
    <row r="3886" spans="1:11" x14ac:dyDescent="0.3">
      <c r="A3886">
        <v>1333</v>
      </c>
      <c r="B3886">
        <v>5</v>
      </c>
      <c r="C3886">
        <v>78</v>
      </c>
      <c r="D3886" t="str">
        <f>VLOOKUP($C3886,products!$A$1:$F$322,MATCH(order_items!$D$1,products!$A$1:$F$1,0),FALSE)</f>
        <v>Sun Bicycles Biscayne Tandem CB - 2017</v>
      </c>
      <c r="E3886">
        <f>VLOOKUP($C3886,products!$A$1:$F$322,MATCH(order_items!$E$1,products!$A$1:$F$1,0),FALSE)</f>
        <v>3</v>
      </c>
      <c r="F3886" t="str">
        <f>VLOOKUP($E3886,categories!$A$1:$B$8,MATCH(order_items!$F$1,categories!$A$1:$B$1,0),FALSE)</f>
        <v>Cruisers Bicycles</v>
      </c>
      <c r="G3886">
        <v>1</v>
      </c>
      <c r="H3886">
        <v>647.99</v>
      </c>
      <c r="I3886" s="5">
        <v>0.1</v>
      </c>
      <c r="J3886">
        <f t="shared" si="120"/>
        <v>583.19100000000003</v>
      </c>
      <c r="K3886" s="9">
        <f t="shared" si="121"/>
        <v>-0.41748847220510982</v>
      </c>
    </row>
    <row r="3887" spans="1:11" x14ac:dyDescent="0.3">
      <c r="A3887">
        <v>1334</v>
      </c>
      <c r="B3887">
        <v>1</v>
      </c>
      <c r="C3887">
        <v>203</v>
      </c>
      <c r="D3887" t="str">
        <f>VLOOKUP($C3887,products!$A$1:$F$322,MATCH(order_items!$D$1,products!$A$1:$F$1,0),FALSE)</f>
        <v>Trek Powerfly 7 FS - 2018</v>
      </c>
      <c r="E3887">
        <f>VLOOKUP($C3887,products!$A$1:$F$322,MATCH(order_items!$E$1,products!$A$1:$F$1,0),FALSE)</f>
        <v>5</v>
      </c>
      <c r="F3887" t="str">
        <f>VLOOKUP($E3887,categories!$A$1:$B$8,MATCH(order_items!$F$1,categories!$A$1:$B$1,0),FALSE)</f>
        <v>Electric Bikes</v>
      </c>
      <c r="G3887">
        <v>2</v>
      </c>
      <c r="H3887">
        <v>4999.99</v>
      </c>
      <c r="I3887" s="5">
        <v>0.05</v>
      </c>
      <c r="J3887">
        <f t="shared" si="120"/>
        <v>9499.9809999999998</v>
      </c>
      <c r="K3887" s="9">
        <f t="shared" si="121"/>
        <v>2.7998877119074401</v>
      </c>
    </row>
    <row r="3888" spans="1:11" x14ac:dyDescent="0.3">
      <c r="A3888">
        <v>1334</v>
      </c>
      <c r="B3888">
        <v>2</v>
      </c>
      <c r="C3888">
        <v>160</v>
      </c>
      <c r="D3888" t="str">
        <f>VLOOKUP($C3888,products!$A$1:$F$322,MATCH(order_items!$D$1,products!$A$1:$F$1,0),FALSE)</f>
        <v>Trek Emonda SLR 6 - 2018</v>
      </c>
      <c r="E3888">
        <f>VLOOKUP($C3888,products!$A$1:$F$322,MATCH(order_items!$E$1,products!$A$1:$F$1,0),FALSE)</f>
        <v>7</v>
      </c>
      <c r="F3888" t="str">
        <f>VLOOKUP($E3888,categories!$A$1:$B$8,MATCH(order_items!$F$1,categories!$A$1:$B$1,0),FALSE)</f>
        <v>Road Bikes</v>
      </c>
      <c r="G3888">
        <v>2</v>
      </c>
      <c r="H3888">
        <v>4499.99</v>
      </c>
      <c r="I3888" s="5">
        <v>7.0000000000000007E-2</v>
      </c>
      <c r="J3888">
        <f t="shared" si="120"/>
        <v>8369.9813999999988</v>
      </c>
      <c r="K3888" s="9">
        <f t="shared" si="121"/>
        <v>2.4302443084018623</v>
      </c>
    </row>
    <row r="3889" spans="1:11" x14ac:dyDescent="0.3">
      <c r="A3889">
        <v>1334</v>
      </c>
      <c r="B3889">
        <v>3</v>
      </c>
      <c r="C3889">
        <v>84</v>
      </c>
      <c r="D3889" t="str">
        <f>VLOOKUP($C3889,products!$A$1:$F$322,MATCH(order_items!$D$1,products!$A$1:$F$1,0),FALSE)</f>
        <v>Sun Bicycles Lil Kitt'n - 2017</v>
      </c>
      <c r="E3889">
        <f>VLOOKUP($C3889,products!$A$1:$F$322,MATCH(order_items!$E$1,products!$A$1:$F$1,0),FALSE)</f>
        <v>1</v>
      </c>
      <c r="F3889" t="str">
        <f>VLOOKUP($E3889,categories!$A$1:$B$8,MATCH(order_items!$F$1,categories!$A$1:$B$1,0),FALSE)</f>
        <v>Children Bicycles</v>
      </c>
      <c r="G3889">
        <v>2</v>
      </c>
      <c r="H3889">
        <v>109.99</v>
      </c>
      <c r="I3889" s="5">
        <v>0.1</v>
      </c>
      <c r="J3889">
        <f t="shared" si="120"/>
        <v>197.982</v>
      </c>
      <c r="K3889" s="9">
        <f t="shared" si="121"/>
        <v>-0.81522477437711161</v>
      </c>
    </row>
    <row r="3890" spans="1:11" x14ac:dyDescent="0.3">
      <c r="A3890">
        <v>1334</v>
      </c>
      <c r="B3890">
        <v>4</v>
      </c>
      <c r="C3890">
        <v>13</v>
      </c>
      <c r="D3890" t="str">
        <f>VLOOKUP($C3890,products!$A$1:$F$322,MATCH(order_items!$D$1,products!$A$1:$F$1,0),FALSE)</f>
        <v>Electra Cruiser 1 (24-Inch) - 2016</v>
      </c>
      <c r="E3890">
        <f>VLOOKUP($C3890,products!$A$1:$F$322,MATCH(order_items!$E$1,products!$A$1:$F$1,0),FALSE)</f>
        <v>3</v>
      </c>
      <c r="F3890" t="str">
        <f>VLOOKUP($E3890,categories!$A$1:$B$8,MATCH(order_items!$F$1,categories!$A$1:$B$1,0),FALSE)</f>
        <v>Cruisers Bicycles</v>
      </c>
      <c r="G3890">
        <v>1</v>
      </c>
      <c r="H3890">
        <v>269.99</v>
      </c>
      <c r="I3890" s="5">
        <v>0.05</v>
      </c>
      <c r="J3890">
        <f t="shared" si="120"/>
        <v>256.4905</v>
      </c>
      <c r="K3890" s="9">
        <f t="shared" si="121"/>
        <v>-0.69693888525532666</v>
      </c>
    </row>
    <row r="3891" spans="1:11" x14ac:dyDescent="0.3">
      <c r="A3891">
        <v>1334</v>
      </c>
      <c r="B3891">
        <v>5</v>
      </c>
      <c r="C3891">
        <v>42</v>
      </c>
      <c r="D3891" t="str">
        <f>VLOOKUP($C3891,products!$A$1:$F$322,MATCH(order_items!$D$1,products!$A$1:$F$1,0),FALSE)</f>
        <v>Trek Fuel EX 5 27.5 Plus - 2017</v>
      </c>
      <c r="E3891">
        <f>VLOOKUP($C3891,products!$A$1:$F$322,MATCH(order_items!$E$1,products!$A$1:$F$1,0),FALSE)</f>
        <v>6</v>
      </c>
      <c r="F3891" t="str">
        <f>VLOOKUP($E3891,categories!$A$1:$B$8,MATCH(order_items!$F$1,categories!$A$1:$B$1,0),FALSE)</f>
        <v>Mountain Bikes</v>
      </c>
      <c r="G3891">
        <v>1</v>
      </c>
      <c r="H3891">
        <v>2299.9899999999998</v>
      </c>
      <c r="I3891" s="5">
        <v>0.05</v>
      </c>
      <c r="J3891">
        <f t="shared" si="120"/>
        <v>2184.9904999999999</v>
      </c>
      <c r="K3891" s="9">
        <f t="shared" si="121"/>
        <v>0.80381333297731938</v>
      </c>
    </row>
    <row r="3892" spans="1:11" x14ac:dyDescent="0.3">
      <c r="A3892">
        <v>1335</v>
      </c>
      <c r="B3892">
        <v>1</v>
      </c>
      <c r="C3892">
        <v>138</v>
      </c>
      <c r="D3892" t="str">
        <f>VLOOKUP($C3892,products!$A$1:$F$322,MATCH(order_items!$D$1,products!$A$1:$F$1,0),FALSE)</f>
        <v>Trek Fuel EX 5 Plus - 2018</v>
      </c>
      <c r="E3892">
        <f>VLOOKUP($C3892,products!$A$1:$F$322,MATCH(order_items!$E$1,products!$A$1:$F$1,0),FALSE)</f>
        <v>6</v>
      </c>
      <c r="F3892" t="str">
        <f>VLOOKUP($E3892,categories!$A$1:$B$8,MATCH(order_items!$F$1,categories!$A$1:$B$1,0),FALSE)</f>
        <v>Mountain Bikes</v>
      </c>
      <c r="G3892">
        <v>2</v>
      </c>
      <c r="H3892">
        <v>2249.9899999999998</v>
      </c>
      <c r="I3892" s="5">
        <v>0.05</v>
      </c>
      <c r="J3892">
        <f t="shared" si="120"/>
        <v>4274.9809999999998</v>
      </c>
      <c r="K3892" s="9">
        <f t="shared" si="121"/>
        <v>0.76684899262676154</v>
      </c>
    </row>
    <row r="3893" spans="1:11" x14ac:dyDescent="0.3">
      <c r="A3893">
        <v>1336</v>
      </c>
      <c r="B3893">
        <v>1</v>
      </c>
      <c r="C3893">
        <v>29</v>
      </c>
      <c r="D3893" t="str">
        <f>VLOOKUP($C3893,products!$A$1:$F$322,MATCH(order_items!$D$1,products!$A$1:$F$1,0),FALSE)</f>
        <v>Trek X-Caliber 8 - 2017</v>
      </c>
      <c r="E3893">
        <f>VLOOKUP($C3893,products!$A$1:$F$322,MATCH(order_items!$E$1,products!$A$1:$F$1,0),FALSE)</f>
        <v>6</v>
      </c>
      <c r="F3893" t="str">
        <f>VLOOKUP($E3893,categories!$A$1:$B$8,MATCH(order_items!$F$1,categories!$A$1:$B$1,0),FALSE)</f>
        <v>Mountain Bikes</v>
      </c>
      <c r="G3893">
        <v>2</v>
      </c>
      <c r="H3893">
        <v>999.99</v>
      </c>
      <c r="I3893" s="5">
        <v>0.2</v>
      </c>
      <c r="J3893">
        <f t="shared" si="120"/>
        <v>1599.9840000000002</v>
      </c>
      <c r="K3893" s="9">
        <f t="shared" si="121"/>
        <v>-0.15725951613718298</v>
      </c>
    </row>
    <row r="3894" spans="1:11" x14ac:dyDescent="0.3">
      <c r="A3894">
        <v>1336</v>
      </c>
      <c r="B3894">
        <v>2</v>
      </c>
      <c r="C3894">
        <v>157</v>
      </c>
      <c r="D3894" t="str">
        <f>VLOOKUP($C3894,products!$A$1:$F$322,MATCH(order_items!$D$1,products!$A$1:$F$1,0),FALSE)</f>
        <v>Trek Domane SL Frameset Women's - 2018</v>
      </c>
      <c r="E3894">
        <f>VLOOKUP($C3894,products!$A$1:$F$322,MATCH(order_items!$E$1,products!$A$1:$F$1,0),FALSE)</f>
        <v>7</v>
      </c>
      <c r="F3894" t="str">
        <f>VLOOKUP($E3894,categories!$A$1:$B$8,MATCH(order_items!$F$1,categories!$A$1:$B$1,0),FALSE)</f>
        <v>Road Bikes</v>
      </c>
      <c r="G3894">
        <v>1</v>
      </c>
      <c r="H3894">
        <v>6499.99</v>
      </c>
      <c r="I3894" s="5">
        <v>0.05</v>
      </c>
      <c r="J3894">
        <f t="shared" si="120"/>
        <v>6174.9904999999999</v>
      </c>
      <c r="K3894" s="9">
        <f t="shared" si="121"/>
        <v>3.9088179224241739</v>
      </c>
    </row>
    <row r="3895" spans="1:11" x14ac:dyDescent="0.3">
      <c r="A3895">
        <v>1336</v>
      </c>
      <c r="B3895">
        <v>3</v>
      </c>
      <c r="C3895">
        <v>21</v>
      </c>
      <c r="D3895" t="str">
        <f>VLOOKUP($C3895,products!$A$1:$F$322,MATCH(order_items!$D$1,products!$A$1:$F$1,0),FALSE)</f>
        <v>Electra Cruiser 1 (24-Inch) - 2016</v>
      </c>
      <c r="E3895">
        <f>VLOOKUP($C3895,products!$A$1:$F$322,MATCH(order_items!$E$1,products!$A$1:$F$1,0),FALSE)</f>
        <v>1</v>
      </c>
      <c r="F3895" t="str">
        <f>VLOOKUP($E3895,categories!$A$1:$B$8,MATCH(order_items!$F$1,categories!$A$1:$B$1,0),FALSE)</f>
        <v>Children Bicycles</v>
      </c>
      <c r="G3895">
        <v>2</v>
      </c>
      <c r="H3895">
        <v>269.99</v>
      </c>
      <c r="I3895" s="5">
        <v>7.0000000000000007E-2</v>
      </c>
      <c r="J3895">
        <f t="shared" si="120"/>
        <v>502.1814</v>
      </c>
      <c r="K3895" s="9">
        <f t="shared" si="121"/>
        <v>-0.69693888525532666</v>
      </c>
    </row>
    <row r="3896" spans="1:11" x14ac:dyDescent="0.3">
      <c r="A3896">
        <v>1336</v>
      </c>
      <c r="B3896">
        <v>4</v>
      </c>
      <c r="C3896">
        <v>207</v>
      </c>
      <c r="D3896" t="str">
        <f>VLOOKUP($C3896,products!$A$1:$F$322,MATCH(order_items!$D$1,products!$A$1:$F$1,0),FALSE)</f>
        <v>Trek Boone 7 Disc - 2018</v>
      </c>
      <c r="E3896">
        <f>VLOOKUP($C3896,products!$A$1:$F$322,MATCH(order_items!$E$1,products!$A$1:$F$1,0),FALSE)</f>
        <v>4</v>
      </c>
      <c r="F3896" t="str">
        <f>VLOOKUP($E3896,categories!$A$1:$B$8,MATCH(order_items!$F$1,categories!$A$1:$B$1,0),FALSE)</f>
        <v>Cyclocross Bicycles</v>
      </c>
      <c r="G3896">
        <v>1</v>
      </c>
      <c r="H3896">
        <v>3999.99</v>
      </c>
      <c r="I3896" s="5">
        <v>0.1</v>
      </c>
      <c r="J3896">
        <f t="shared" si="120"/>
        <v>3599.991</v>
      </c>
      <c r="K3896" s="9">
        <f t="shared" si="121"/>
        <v>2.0606009048962846</v>
      </c>
    </row>
    <row r="3897" spans="1:11" x14ac:dyDescent="0.3">
      <c r="A3897">
        <v>1336</v>
      </c>
      <c r="B3897">
        <v>5</v>
      </c>
      <c r="C3897">
        <v>185</v>
      </c>
      <c r="D3897" t="str">
        <f>VLOOKUP($C3897,products!$A$1:$F$322,MATCH(order_items!$D$1,products!$A$1:$F$1,0),FALSE)</f>
        <v>Trek Conduit+ - 2018</v>
      </c>
      <c r="E3897">
        <f>VLOOKUP($C3897,products!$A$1:$F$322,MATCH(order_items!$E$1,products!$A$1:$F$1,0),FALSE)</f>
        <v>5</v>
      </c>
      <c r="F3897" t="str">
        <f>VLOOKUP($E3897,categories!$A$1:$B$8,MATCH(order_items!$F$1,categories!$A$1:$B$1,0),FALSE)</f>
        <v>Electric Bikes</v>
      </c>
      <c r="G3897">
        <v>1</v>
      </c>
      <c r="H3897">
        <v>2799.99</v>
      </c>
      <c r="I3897" s="5">
        <v>0.1</v>
      </c>
      <c r="J3897">
        <f t="shared" si="120"/>
        <v>2519.991</v>
      </c>
      <c r="K3897" s="9">
        <f t="shared" si="121"/>
        <v>1.1734567364828972</v>
      </c>
    </row>
    <row r="3898" spans="1:11" x14ac:dyDescent="0.3">
      <c r="A3898">
        <v>1337</v>
      </c>
      <c r="B3898">
        <v>1</v>
      </c>
      <c r="C3898">
        <v>153</v>
      </c>
      <c r="D3898" t="str">
        <f>VLOOKUP($C3898,products!$A$1:$F$322,MATCH(order_items!$D$1,products!$A$1:$F$1,0),FALSE)</f>
        <v>Trek Domane SL 7 Women's - 2018</v>
      </c>
      <c r="E3898">
        <f>VLOOKUP($C3898,products!$A$1:$F$322,MATCH(order_items!$E$1,products!$A$1:$F$1,0),FALSE)</f>
        <v>7</v>
      </c>
      <c r="F3898" t="str">
        <f>VLOOKUP($E3898,categories!$A$1:$B$8,MATCH(order_items!$F$1,categories!$A$1:$B$1,0),FALSE)</f>
        <v>Road Bikes</v>
      </c>
      <c r="G3898">
        <v>1</v>
      </c>
      <c r="H3898">
        <v>4999.99</v>
      </c>
      <c r="I3898" s="5">
        <v>0.1</v>
      </c>
      <c r="J3898">
        <f t="shared" si="120"/>
        <v>4499.991</v>
      </c>
      <c r="K3898" s="9">
        <f t="shared" si="121"/>
        <v>2.7998877119074401</v>
      </c>
    </row>
    <row r="3899" spans="1:11" x14ac:dyDescent="0.3">
      <c r="A3899">
        <v>1338</v>
      </c>
      <c r="B3899">
        <v>1</v>
      </c>
      <c r="C3899">
        <v>169</v>
      </c>
      <c r="D3899" t="str">
        <f>VLOOKUP($C3899,products!$A$1:$F$322,MATCH(order_items!$D$1,products!$A$1:$F$1,0),FALSE)</f>
        <v>Trek Emonda SLR 8 - 2018</v>
      </c>
      <c r="E3899">
        <f>VLOOKUP($C3899,products!$A$1:$F$322,MATCH(order_items!$E$1,products!$A$1:$F$1,0),FALSE)</f>
        <v>7</v>
      </c>
      <c r="F3899" t="str">
        <f>VLOOKUP($E3899,categories!$A$1:$B$8,MATCH(order_items!$F$1,categories!$A$1:$B$1,0),FALSE)</f>
        <v>Road Bikes</v>
      </c>
      <c r="G3899">
        <v>2</v>
      </c>
      <c r="H3899">
        <v>6499.99</v>
      </c>
      <c r="I3899" s="5">
        <v>7.0000000000000007E-2</v>
      </c>
      <c r="J3899">
        <f t="shared" si="120"/>
        <v>12089.981399999999</v>
      </c>
      <c r="K3899" s="9">
        <f t="shared" si="121"/>
        <v>3.9088179224241739</v>
      </c>
    </row>
    <row r="3900" spans="1:11" x14ac:dyDescent="0.3">
      <c r="A3900">
        <v>1339</v>
      </c>
      <c r="B3900">
        <v>1</v>
      </c>
      <c r="C3900">
        <v>175</v>
      </c>
      <c r="D3900" t="str">
        <f>VLOOKUP($C3900,products!$A$1:$F$322,MATCH(order_items!$D$1,products!$A$1:$F$1,0),FALSE)</f>
        <v>Trek Domane SLR Frameset - 2018</v>
      </c>
      <c r="E3900">
        <f>VLOOKUP($C3900,products!$A$1:$F$322,MATCH(order_items!$E$1,products!$A$1:$F$1,0),FALSE)</f>
        <v>7</v>
      </c>
      <c r="F3900" t="str">
        <f>VLOOKUP($E3900,categories!$A$1:$B$8,MATCH(order_items!$F$1,categories!$A$1:$B$1,0),FALSE)</f>
        <v>Road Bikes</v>
      </c>
      <c r="G3900">
        <v>1</v>
      </c>
      <c r="H3900">
        <v>3199.99</v>
      </c>
      <c r="I3900" s="5">
        <v>7.0000000000000007E-2</v>
      </c>
      <c r="J3900">
        <f t="shared" si="120"/>
        <v>2975.9906999999994</v>
      </c>
      <c r="K3900" s="9">
        <f t="shared" si="121"/>
        <v>1.4691714592873595</v>
      </c>
    </row>
    <row r="3901" spans="1:11" x14ac:dyDescent="0.3">
      <c r="A3901">
        <v>1340</v>
      </c>
      <c r="B3901">
        <v>1</v>
      </c>
      <c r="C3901">
        <v>253</v>
      </c>
      <c r="D3901" t="str">
        <f>VLOOKUP($C3901,products!$A$1:$F$322,MATCH(order_items!$D$1,products!$A$1:$F$1,0),FALSE)</f>
        <v>Electra Townie Go! 8i Ladies' - 2018</v>
      </c>
      <c r="E3901">
        <f>VLOOKUP($C3901,products!$A$1:$F$322,MATCH(order_items!$E$1,products!$A$1:$F$1,0),FALSE)</f>
        <v>3</v>
      </c>
      <c r="F3901" t="str">
        <f>VLOOKUP($E3901,categories!$A$1:$B$8,MATCH(order_items!$F$1,categories!$A$1:$B$1,0),FALSE)</f>
        <v>Cruisers Bicycles</v>
      </c>
      <c r="G3901">
        <v>1</v>
      </c>
      <c r="H3901">
        <v>2599.9899999999998</v>
      </c>
      <c r="I3901" s="5">
        <v>0.2</v>
      </c>
      <c r="J3901">
        <f t="shared" si="120"/>
        <v>2079.9919999999997</v>
      </c>
      <c r="K3901" s="9">
        <f t="shared" si="121"/>
        <v>1.025599375080666</v>
      </c>
    </row>
    <row r="3902" spans="1:11" x14ac:dyDescent="0.3">
      <c r="A3902">
        <v>1340</v>
      </c>
      <c r="B3902">
        <v>2</v>
      </c>
      <c r="C3902">
        <v>92</v>
      </c>
      <c r="D3902" t="str">
        <f>VLOOKUP($C3902,products!$A$1:$F$322,MATCH(order_items!$D$1,products!$A$1:$F$1,0),FALSE)</f>
        <v>Haro Shredder 20 - 2017</v>
      </c>
      <c r="E3902">
        <f>VLOOKUP($C3902,products!$A$1:$F$322,MATCH(order_items!$E$1,products!$A$1:$F$1,0),FALSE)</f>
        <v>1</v>
      </c>
      <c r="F3902" t="str">
        <f>VLOOKUP($E3902,categories!$A$1:$B$8,MATCH(order_items!$F$1,categories!$A$1:$B$1,0),FALSE)</f>
        <v>Children Bicycles</v>
      </c>
      <c r="G3902">
        <v>2</v>
      </c>
      <c r="H3902">
        <v>209.99</v>
      </c>
      <c r="I3902" s="5">
        <v>0.2</v>
      </c>
      <c r="J3902">
        <f t="shared" si="120"/>
        <v>335.98400000000004</v>
      </c>
      <c r="K3902" s="9">
        <f t="shared" si="121"/>
        <v>-0.74129609367599603</v>
      </c>
    </row>
    <row r="3903" spans="1:11" x14ac:dyDescent="0.3">
      <c r="A3903">
        <v>1340</v>
      </c>
      <c r="B3903">
        <v>3</v>
      </c>
      <c r="C3903">
        <v>237</v>
      </c>
      <c r="D3903" t="str">
        <f>VLOOKUP($C3903,products!$A$1:$F$322,MATCH(order_items!$D$1,products!$A$1:$F$1,0),FALSE)</f>
        <v>Electra Relic 3i - 2018</v>
      </c>
      <c r="E3903">
        <f>VLOOKUP($C3903,products!$A$1:$F$322,MATCH(order_items!$E$1,products!$A$1:$F$1,0),FALSE)</f>
        <v>3</v>
      </c>
      <c r="F3903" t="str">
        <f>VLOOKUP($E3903,categories!$A$1:$B$8,MATCH(order_items!$F$1,categories!$A$1:$B$1,0),FALSE)</f>
        <v>Cruisers Bicycles</v>
      </c>
      <c r="G3903">
        <v>2</v>
      </c>
      <c r="H3903">
        <v>849.99</v>
      </c>
      <c r="I3903" s="5">
        <v>0.05</v>
      </c>
      <c r="J3903">
        <f t="shared" si="120"/>
        <v>1614.981</v>
      </c>
      <c r="K3903" s="9">
        <f t="shared" si="121"/>
        <v>-0.26815253718885634</v>
      </c>
    </row>
    <row r="3904" spans="1:11" x14ac:dyDescent="0.3">
      <c r="A3904">
        <v>1341</v>
      </c>
      <c r="B3904">
        <v>1</v>
      </c>
      <c r="C3904">
        <v>215</v>
      </c>
      <c r="D3904" t="str">
        <f>VLOOKUP($C3904,products!$A$1:$F$322,MATCH(order_items!$D$1,products!$A$1:$F$1,0),FALSE)</f>
        <v>Electra Queen of Hearts 3i - 2018</v>
      </c>
      <c r="E3904">
        <f>VLOOKUP($C3904,products!$A$1:$F$322,MATCH(order_items!$E$1,products!$A$1:$F$1,0),FALSE)</f>
        <v>3</v>
      </c>
      <c r="F3904" t="str">
        <f>VLOOKUP($E3904,categories!$A$1:$B$8,MATCH(order_items!$F$1,categories!$A$1:$B$1,0),FALSE)</f>
        <v>Cruisers Bicycles</v>
      </c>
      <c r="G3904">
        <v>2</v>
      </c>
      <c r="H3904">
        <v>749.99</v>
      </c>
      <c r="I3904" s="5">
        <v>7.0000000000000007E-2</v>
      </c>
      <c r="J3904">
        <f t="shared" si="120"/>
        <v>1394.9813999999999</v>
      </c>
      <c r="K3904" s="9">
        <f t="shared" si="121"/>
        <v>-0.34208121788997192</v>
      </c>
    </row>
    <row r="3905" spans="1:11" x14ac:dyDescent="0.3">
      <c r="A3905">
        <v>1341</v>
      </c>
      <c r="B3905">
        <v>2</v>
      </c>
      <c r="C3905">
        <v>56</v>
      </c>
      <c r="D3905" t="str">
        <f>VLOOKUP($C3905,products!$A$1:$F$322,MATCH(order_items!$D$1,products!$A$1:$F$1,0),FALSE)</f>
        <v>Trek Domane SLR 6 Disc - 2017</v>
      </c>
      <c r="E3905">
        <f>VLOOKUP($C3905,products!$A$1:$F$322,MATCH(order_items!$E$1,products!$A$1:$F$1,0),FALSE)</f>
        <v>7</v>
      </c>
      <c r="F3905" t="str">
        <f>VLOOKUP($E3905,categories!$A$1:$B$8,MATCH(order_items!$F$1,categories!$A$1:$B$1,0),FALSE)</f>
        <v>Road Bikes</v>
      </c>
      <c r="G3905">
        <v>2</v>
      </c>
      <c r="H3905">
        <v>5499.99</v>
      </c>
      <c r="I3905" s="5">
        <v>0.2</v>
      </c>
      <c r="J3905">
        <f t="shared" si="120"/>
        <v>8799.9840000000004</v>
      </c>
      <c r="K3905" s="9">
        <f t="shared" si="121"/>
        <v>3.1695311154130179</v>
      </c>
    </row>
    <row r="3906" spans="1:11" x14ac:dyDescent="0.3">
      <c r="A3906">
        <v>1341</v>
      </c>
      <c r="B3906">
        <v>3</v>
      </c>
      <c r="C3906">
        <v>234</v>
      </c>
      <c r="D3906" t="str">
        <f>VLOOKUP($C3906,products!$A$1:$F$322,MATCH(order_items!$D$1,products!$A$1:$F$1,0),FALSE)</f>
        <v>Electra Daydreamer 3i Ladies' - 2018</v>
      </c>
      <c r="E3906">
        <f>VLOOKUP($C3906,products!$A$1:$F$322,MATCH(order_items!$E$1,products!$A$1:$F$1,0),FALSE)</f>
        <v>3</v>
      </c>
      <c r="F3906" t="str">
        <f>VLOOKUP($E3906,categories!$A$1:$B$8,MATCH(order_items!$F$1,categories!$A$1:$B$1,0),FALSE)</f>
        <v>Cruisers Bicycles</v>
      </c>
      <c r="G3906">
        <v>2</v>
      </c>
      <c r="H3906">
        <v>899.99</v>
      </c>
      <c r="I3906" s="5">
        <v>0.05</v>
      </c>
      <c r="J3906">
        <f t="shared" ref="J3906:J3969" si="122">G3906*H3906*(1-I3906)</f>
        <v>1709.981</v>
      </c>
      <c r="K3906" s="9">
        <f t="shared" ref="K3906:K3969" si="123">($H3906-$M$7)/$M$9</f>
        <v>-0.23118819683829855</v>
      </c>
    </row>
    <row r="3907" spans="1:11" x14ac:dyDescent="0.3">
      <c r="A3907">
        <v>1341</v>
      </c>
      <c r="B3907">
        <v>4</v>
      </c>
      <c r="C3907">
        <v>66</v>
      </c>
      <c r="D3907" t="str">
        <f>VLOOKUP($C3907,products!$A$1:$F$322,MATCH(order_items!$D$1,products!$A$1:$F$1,0),FALSE)</f>
        <v>Sun Bicycles Revolutions 24 - 2017</v>
      </c>
      <c r="E3907">
        <f>VLOOKUP($C3907,products!$A$1:$F$322,MATCH(order_items!$E$1,products!$A$1:$F$1,0),FALSE)</f>
        <v>3</v>
      </c>
      <c r="F3907" t="str">
        <f>VLOOKUP($E3907,categories!$A$1:$B$8,MATCH(order_items!$F$1,categories!$A$1:$B$1,0),FALSE)</f>
        <v>Cruisers Bicycles</v>
      </c>
      <c r="G3907">
        <v>2</v>
      </c>
      <c r="H3907">
        <v>250.99</v>
      </c>
      <c r="I3907" s="5">
        <v>0.05</v>
      </c>
      <c r="J3907">
        <f t="shared" si="122"/>
        <v>476.88099999999997</v>
      </c>
      <c r="K3907" s="9">
        <f t="shared" si="123"/>
        <v>-0.71098533458853863</v>
      </c>
    </row>
    <row r="3908" spans="1:11" x14ac:dyDescent="0.3">
      <c r="A3908">
        <v>1342</v>
      </c>
      <c r="B3908">
        <v>1</v>
      </c>
      <c r="C3908">
        <v>60</v>
      </c>
      <c r="D3908" t="str">
        <f>VLOOKUP($C3908,products!$A$1:$F$322,MATCH(order_items!$D$1,products!$A$1:$F$1,0),FALSE)</f>
        <v>Sun Bicycles ElectroLite - 2017</v>
      </c>
      <c r="E3908">
        <f>VLOOKUP($C3908,products!$A$1:$F$322,MATCH(order_items!$E$1,products!$A$1:$F$1,0),FALSE)</f>
        <v>5</v>
      </c>
      <c r="F3908" t="str">
        <f>VLOOKUP($E3908,categories!$A$1:$B$8,MATCH(order_items!$F$1,categories!$A$1:$B$1,0),FALSE)</f>
        <v>Electric Bikes</v>
      </c>
      <c r="G3908">
        <v>1</v>
      </c>
      <c r="H3908">
        <v>1559.99</v>
      </c>
      <c r="I3908" s="5">
        <v>0.05</v>
      </c>
      <c r="J3908">
        <f t="shared" si="122"/>
        <v>1481.9904999999999</v>
      </c>
      <c r="K3908" s="9">
        <f t="shared" si="123"/>
        <v>0.25674109578906423</v>
      </c>
    </row>
    <row r="3909" spans="1:11" x14ac:dyDescent="0.3">
      <c r="A3909">
        <v>1342</v>
      </c>
      <c r="B3909">
        <v>2</v>
      </c>
      <c r="C3909">
        <v>270</v>
      </c>
      <c r="D3909" t="str">
        <f>VLOOKUP($C3909,products!$A$1:$F$322,MATCH(order_items!$D$1,products!$A$1:$F$1,0),FALSE)</f>
        <v>Trek Precaliber 16 Boy's - 2018</v>
      </c>
      <c r="E3909">
        <f>VLOOKUP($C3909,products!$A$1:$F$322,MATCH(order_items!$E$1,products!$A$1:$F$1,0),FALSE)</f>
        <v>1</v>
      </c>
      <c r="F3909" t="str">
        <f>VLOOKUP($E3909,categories!$A$1:$B$8,MATCH(order_items!$F$1,categories!$A$1:$B$1,0),FALSE)</f>
        <v>Children Bicycles</v>
      </c>
      <c r="G3909">
        <v>1</v>
      </c>
      <c r="H3909">
        <v>209.99</v>
      </c>
      <c r="I3909" s="5">
        <v>0.05</v>
      </c>
      <c r="J3909">
        <f t="shared" si="122"/>
        <v>199.4905</v>
      </c>
      <c r="K3909" s="9">
        <f t="shared" si="123"/>
        <v>-0.74129609367599603</v>
      </c>
    </row>
    <row r="3910" spans="1:11" x14ac:dyDescent="0.3">
      <c r="A3910">
        <v>1343</v>
      </c>
      <c r="B3910">
        <v>1</v>
      </c>
      <c r="C3910">
        <v>244</v>
      </c>
      <c r="D3910" t="str">
        <f>VLOOKUP($C3910,products!$A$1:$F$322,MATCH(order_items!$D$1,products!$A$1:$F$1,0),FALSE)</f>
        <v>Electra Townie Original 21D Ladies' - 2018</v>
      </c>
      <c r="E3910">
        <f>VLOOKUP($C3910,products!$A$1:$F$322,MATCH(order_items!$E$1,products!$A$1:$F$1,0),FALSE)</f>
        <v>3</v>
      </c>
      <c r="F3910" t="str">
        <f>VLOOKUP($E3910,categories!$A$1:$B$8,MATCH(order_items!$F$1,categories!$A$1:$B$1,0),FALSE)</f>
        <v>Cruisers Bicycles</v>
      </c>
      <c r="G3910">
        <v>1</v>
      </c>
      <c r="H3910">
        <v>559.99</v>
      </c>
      <c r="I3910" s="5">
        <v>0.05</v>
      </c>
      <c r="J3910">
        <f t="shared" si="122"/>
        <v>531.9905</v>
      </c>
      <c r="K3910" s="9">
        <f t="shared" si="123"/>
        <v>-0.4825457112220915</v>
      </c>
    </row>
    <row r="3911" spans="1:11" x14ac:dyDescent="0.3">
      <c r="A3911">
        <v>1343</v>
      </c>
      <c r="B3911">
        <v>2</v>
      </c>
      <c r="C3911">
        <v>99</v>
      </c>
      <c r="D3911" t="str">
        <f>VLOOKUP($C3911,products!$A$1:$F$322,MATCH(order_items!$D$1,products!$A$1:$F$1,0),FALSE)</f>
        <v>Electra Sugar Skulls 1 (20-inch) - Girl's - 2017</v>
      </c>
      <c r="E3911">
        <f>VLOOKUP($C3911,products!$A$1:$F$322,MATCH(order_items!$E$1,products!$A$1:$F$1,0),FALSE)</f>
        <v>1</v>
      </c>
      <c r="F3911" t="str">
        <f>VLOOKUP($E3911,categories!$A$1:$B$8,MATCH(order_items!$F$1,categories!$A$1:$B$1,0),FALSE)</f>
        <v>Children Bicycles</v>
      </c>
      <c r="G3911">
        <v>1</v>
      </c>
      <c r="H3911">
        <v>299.99</v>
      </c>
      <c r="I3911" s="5">
        <v>0.05</v>
      </c>
      <c r="J3911">
        <f t="shared" si="122"/>
        <v>284.9905</v>
      </c>
      <c r="K3911" s="9">
        <f t="shared" si="123"/>
        <v>-0.67476028104499197</v>
      </c>
    </row>
    <row r="3912" spans="1:11" x14ac:dyDescent="0.3">
      <c r="A3912">
        <v>1343</v>
      </c>
      <c r="B3912">
        <v>3</v>
      </c>
      <c r="C3912">
        <v>184</v>
      </c>
      <c r="D3912" t="str">
        <f>VLOOKUP($C3912,products!$A$1:$F$322,MATCH(order_items!$D$1,products!$A$1:$F$1,0),FALSE)</f>
        <v>Trek Domane SL 6 Disc - 2018</v>
      </c>
      <c r="E3912">
        <f>VLOOKUP($C3912,products!$A$1:$F$322,MATCH(order_items!$E$1,products!$A$1:$F$1,0),FALSE)</f>
        <v>7</v>
      </c>
      <c r="F3912" t="str">
        <f>VLOOKUP($E3912,categories!$A$1:$B$8,MATCH(order_items!$F$1,categories!$A$1:$B$1,0),FALSE)</f>
        <v>Road Bikes</v>
      </c>
      <c r="G3912">
        <v>2</v>
      </c>
      <c r="H3912">
        <v>3499.99</v>
      </c>
      <c r="I3912" s="5">
        <v>0.2</v>
      </c>
      <c r="J3912">
        <f t="shared" si="122"/>
        <v>5599.9840000000004</v>
      </c>
      <c r="K3912" s="9">
        <f t="shared" si="123"/>
        <v>1.6909575013907066</v>
      </c>
    </row>
    <row r="3913" spans="1:11" x14ac:dyDescent="0.3">
      <c r="A3913">
        <v>1343</v>
      </c>
      <c r="B3913">
        <v>4</v>
      </c>
      <c r="C3913">
        <v>65</v>
      </c>
      <c r="D3913" t="str">
        <f>VLOOKUP($C3913,products!$A$1:$F$322,MATCH(order_items!$D$1,products!$A$1:$F$1,0),FALSE)</f>
        <v>Sun Bicycles Lil Bolt Type-R - 2017</v>
      </c>
      <c r="E3913">
        <f>VLOOKUP($C3913,products!$A$1:$F$322,MATCH(order_items!$E$1,products!$A$1:$F$1,0),FALSE)</f>
        <v>3</v>
      </c>
      <c r="F3913" t="str">
        <f>VLOOKUP($E3913,categories!$A$1:$B$8,MATCH(order_items!$F$1,categories!$A$1:$B$1,0),FALSE)</f>
        <v>Cruisers Bicycles</v>
      </c>
      <c r="G3913">
        <v>2</v>
      </c>
      <c r="H3913">
        <v>346.99</v>
      </c>
      <c r="I3913" s="5">
        <v>0.2</v>
      </c>
      <c r="J3913">
        <f t="shared" si="122"/>
        <v>555.18400000000008</v>
      </c>
      <c r="K3913" s="9">
        <f t="shared" si="123"/>
        <v>-0.64001380111546768</v>
      </c>
    </row>
    <row r="3914" spans="1:11" x14ac:dyDescent="0.3">
      <c r="A3914">
        <v>1343</v>
      </c>
      <c r="B3914">
        <v>5</v>
      </c>
      <c r="C3914">
        <v>206</v>
      </c>
      <c r="D3914" t="str">
        <f>VLOOKUP($C3914,products!$A$1:$F$322,MATCH(order_items!$D$1,products!$A$1:$F$1,0),FALSE)</f>
        <v>Trek Boone 5 Disc - 2018</v>
      </c>
      <c r="E3914">
        <f>VLOOKUP($C3914,products!$A$1:$F$322,MATCH(order_items!$E$1,products!$A$1:$F$1,0),FALSE)</f>
        <v>4</v>
      </c>
      <c r="F3914" t="str">
        <f>VLOOKUP($E3914,categories!$A$1:$B$8,MATCH(order_items!$F$1,categories!$A$1:$B$1,0),FALSE)</f>
        <v>Cyclocross Bicycles</v>
      </c>
      <c r="G3914">
        <v>1</v>
      </c>
      <c r="H3914">
        <v>3299.99</v>
      </c>
      <c r="I3914" s="5">
        <v>0.1</v>
      </c>
      <c r="J3914">
        <f t="shared" si="122"/>
        <v>2969.991</v>
      </c>
      <c r="K3914" s="9">
        <f t="shared" si="123"/>
        <v>1.5431001399884754</v>
      </c>
    </row>
    <row r="3915" spans="1:11" x14ac:dyDescent="0.3">
      <c r="A3915">
        <v>1344</v>
      </c>
      <c r="B3915">
        <v>1</v>
      </c>
      <c r="C3915">
        <v>77</v>
      </c>
      <c r="D3915" t="str">
        <f>VLOOKUP($C3915,products!$A$1:$F$322,MATCH(order_items!$D$1,products!$A$1:$F$1,0),FALSE)</f>
        <v>Electra Glam Punk 3i Ladies' - 2017</v>
      </c>
      <c r="E3915">
        <f>VLOOKUP($C3915,products!$A$1:$F$322,MATCH(order_items!$E$1,products!$A$1:$F$1,0),FALSE)</f>
        <v>3</v>
      </c>
      <c r="F3915" t="str">
        <f>VLOOKUP($E3915,categories!$A$1:$B$8,MATCH(order_items!$F$1,categories!$A$1:$B$1,0),FALSE)</f>
        <v>Cruisers Bicycles</v>
      </c>
      <c r="G3915">
        <v>2</v>
      </c>
      <c r="H3915">
        <v>799.99</v>
      </c>
      <c r="I3915" s="5">
        <v>7.0000000000000007E-2</v>
      </c>
      <c r="J3915">
        <f t="shared" si="122"/>
        <v>1487.9813999999999</v>
      </c>
      <c r="K3915" s="9">
        <f t="shared" si="123"/>
        <v>-0.30511687753941413</v>
      </c>
    </row>
    <row r="3916" spans="1:11" x14ac:dyDescent="0.3">
      <c r="A3916">
        <v>1344</v>
      </c>
      <c r="B3916">
        <v>2</v>
      </c>
      <c r="C3916">
        <v>103</v>
      </c>
      <c r="D3916" t="str">
        <f>VLOOKUP($C3916,products!$A$1:$F$322,MATCH(order_items!$D$1,products!$A$1:$F$1,0),FALSE)</f>
        <v>Sun Bicycles Streamway 3 - 2017</v>
      </c>
      <c r="E3916">
        <f>VLOOKUP($C3916,products!$A$1:$F$322,MATCH(order_items!$E$1,products!$A$1:$F$1,0),FALSE)</f>
        <v>2</v>
      </c>
      <c r="F3916" t="str">
        <f>VLOOKUP($E3916,categories!$A$1:$B$8,MATCH(order_items!$F$1,categories!$A$1:$B$1,0),FALSE)</f>
        <v>Comfort Bicycles</v>
      </c>
      <c r="G3916">
        <v>2</v>
      </c>
      <c r="H3916">
        <v>551.99</v>
      </c>
      <c r="I3916" s="5">
        <v>0.2</v>
      </c>
      <c r="J3916">
        <f t="shared" si="122"/>
        <v>883.18400000000008</v>
      </c>
      <c r="K3916" s="9">
        <f t="shared" si="123"/>
        <v>-0.48846000567818076</v>
      </c>
    </row>
    <row r="3917" spans="1:11" x14ac:dyDescent="0.3">
      <c r="A3917">
        <v>1344</v>
      </c>
      <c r="B3917">
        <v>3</v>
      </c>
      <c r="C3917">
        <v>3</v>
      </c>
      <c r="D3917" t="str">
        <f>VLOOKUP($C3917,products!$A$1:$F$322,MATCH(order_items!$D$1,products!$A$1:$F$1,0),FALSE)</f>
        <v>Surly Wednesday Frameset - 2016</v>
      </c>
      <c r="E3917">
        <f>VLOOKUP($C3917,products!$A$1:$F$322,MATCH(order_items!$E$1,products!$A$1:$F$1,0),FALSE)</f>
        <v>6</v>
      </c>
      <c r="F3917" t="str">
        <f>VLOOKUP($E3917,categories!$A$1:$B$8,MATCH(order_items!$F$1,categories!$A$1:$B$1,0),FALSE)</f>
        <v>Mountain Bikes</v>
      </c>
      <c r="G3917">
        <v>1</v>
      </c>
      <c r="H3917">
        <v>999.99</v>
      </c>
      <c r="I3917" s="5">
        <v>7.0000000000000007E-2</v>
      </c>
      <c r="J3917">
        <f t="shared" si="122"/>
        <v>929.99069999999995</v>
      </c>
      <c r="K3917" s="9">
        <f t="shared" si="123"/>
        <v>-0.15725951613718298</v>
      </c>
    </row>
    <row r="3918" spans="1:11" x14ac:dyDescent="0.3">
      <c r="A3918">
        <v>1344</v>
      </c>
      <c r="B3918">
        <v>4</v>
      </c>
      <c r="C3918">
        <v>61</v>
      </c>
      <c r="D3918" t="str">
        <f>VLOOKUP($C3918,products!$A$1:$F$322,MATCH(order_items!$D$1,products!$A$1:$F$1,0),FALSE)</f>
        <v>Trek Powerfly 8 FS Plus - 2017</v>
      </c>
      <c r="E3918">
        <f>VLOOKUP($C3918,products!$A$1:$F$322,MATCH(order_items!$E$1,products!$A$1:$F$1,0),FALSE)</f>
        <v>5</v>
      </c>
      <c r="F3918" t="str">
        <f>VLOOKUP($E3918,categories!$A$1:$B$8,MATCH(order_items!$F$1,categories!$A$1:$B$1,0),FALSE)</f>
        <v>Electric Bikes</v>
      </c>
      <c r="G3918">
        <v>1</v>
      </c>
      <c r="H3918">
        <v>4999.99</v>
      </c>
      <c r="I3918" s="5">
        <v>7.0000000000000007E-2</v>
      </c>
      <c r="J3918">
        <f t="shared" si="122"/>
        <v>4649.9906999999994</v>
      </c>
      <c r="K3918" s="9">
        <f t="shared" si="123"/>
        <v>2.7998877119074401</v>
      </c>
    </row>
    <row r="3919" spans="1:11" x14ac:dyDescent="0.3">
      <c r="A3919">
        <v>1345</v>
      </c>
      <c r="B3919">
        <v>1</v>
      </c>
      <c r="C3919">
        <v>40</v>
      </c>
      <c r="D3919" t="str">
        <f>VLOOKUP($C3919,products!$A$1:$F$322,MATCH(order_items!$D$1,products!$A$1:$F$1,0),FALSE)</f>
        <v>Trek Fuel EX 9.8 29 - 2017</v>
      </c>
      <c r="E3919">
        <f>VLOOKUP($C3919,products!$A$1:$F$322,MATCH(order_items!$E$1,products!$A$1:$F$1,0),FALSE)</f>
        <v>6</v>
      </c>
      <c r="F3919" t="str">
        <f>VLOOKUP($E3919,categories!$A$1:$B$8,MATCH(order_items!$F$1,categories!$A$1:$B$1,0),FALSE)</f>
        <v>Mountain Bikes</v>
      </c>
      <c r="G3919">
        <v>2</v>
      </c>
      <c r="H3919">
        <v>4999.99</v>
      </c>
      <c r="I3919" s="5">
        <v>0.2</v>
      </c>
      <c r="J3919">
        <f t="shared" si="122"/>
        <v>7999.9840000000004</v>
      </c>
      <c r="K3919" s="9">
        <f t="shared" si="123"/>
        <v>2.7998877119074401</v>
      </c>
    </row>
    <row r="3920" spans="1:11" x14ac:dyDescent="0.3">
      <c r="A3920">
        <v>1345</v>
      </c>
      <c r="B3920">
        <v>2</v>
      </c>
      <c r="C3920">
        <v>172</v>
      </c>
      <c r="D3920" t="str">
        <f>VLOOKUP($C3920,products!$A$1:$F$322,MATCH(order_items!$D$1,products!$A$1:$F$1,0),FALSE)</f>
        <v>Trek Domane ALR Disc Frameset - 2018</v>
      </c>
      <c r="E3920">
        <f>VLOOKUP($C3920,products!$A$1:$F$322,MATCH(order_items!$E$1,products!$A$1:$F$1,0),FALSE)</f>
        <v>7</v>
      </c>
      <c r="F3920" t="str">
        <f>VLOOKUP($E3920,categories!$A$1:$B$8,MATCH(order_items!$F$1,categories!$A$1:$B$1,0),FALSE)</f>
        <v>Road Bikes</v>
      </c>
      <c r="G3920">
        <v>2</v>
      </c>
      <c r="H3920">
        <v>3199.99</v>
      </c>
      <c r="I3920" s="5">
        <v>0.05</v>
      </c>
      <c r="J3920">
        <f t="shared" si="122"/>
        <v>6079.9809999999989</v>
      </c>
      <c r="K3920" s="9">
        <f t="shared" si="123"/>
        <v>1.4691714592873595</v>
      </c>
    </row>
    <row r="3921" spans="1:11" x14ac:dyDescent="0.3">
      <c r="A3921">
        <v>1345</v>
      </c>
      <c r="B3921">
        <v>3</v>
      </c>
      <c r="C3921">
        <v>164</v>
      </c>
      <c r="D3921" t="str">
        <f>VLOOKUP($C3921,products!$A$1:$F$322,MATCH(order_items!$D$1,products!$A$1:$F$1,0),FALSE)</f>
        <v>Surly Straggler 650b - 2018</v>
      </c>
      <c r="E3921">
        <f>VLOOKUP($C3921,products!$A$1:$F$322,MATCH(order_items!$E$1,products!$A$1:$F$1,0),FALSE)</f>
        <v>7</v>
      </c>
      <c r="F3921" t="str">
        <f>VLOOKUP($E3921,categories!$A$1:$B$8,MATCH(order_items!$F$1,categories!$A$1:$B$1,0),FALSE)</f>
        <v>Road Bikes</v>
      </c>
      <c r="G3921">
        <v>2</v>
      </c>
      <c r="H3921">
        <v>1549</v>
      </c>
      <c r="I3921" s="5">
        <v>0.2</v>
      </c>
      <c r="J3921">
        <f t="shared" si="122"/>
        <v>2478.4</v>
      </c>
      <c r="K3921" s="9">
        <f t="shared" si="123"/>
        <v>0.24861633378001166</v>
      </c>
    </row>
    <row r="3922" spans="1:11" x14ac:dyDescent="0.3">
      <c r="A3922">
        <v>1345</v>
      </c>
      <c r="B3922">
        <v>4</v>
      </c>
      <c r="C3922">
        <v>2</v>
      </c>
      <c r="D3922" t="str">
        <f>VLOOKUP($C3922,products!$A$1:$F$322,MATCH(order_items!$D$1,products!$A$1:$F$1,0),FALSE)</f>
        <v>Ritchey Timberwolf Frameset - 2016</v>
      </c>
      <c r="E3922">
        <f>VLOOKUP($C3922,products!$A$1:$F$322,MATCH(order_items!$E$1,products!$A$1:$F$1,0),FALSE)</f>
        <v>6</v>
      </c>
      <c r="F3922" t="str">
        <f>VLOOKUP($E3922,categories!$A$1:$B$8,MATCH(order_items!$F$1,categories!$A$1:$B$1,0),FALSE)</f>
        <v>Mountain Bikes</v>
      </c>
      <c r="G3922">
        <v>2</v>
      </c>
      <c r="H3922">
        <v>749.99</v>
      </c>
      <c r="I3922" s="5">
        <v>0.2</v>
      </c>
      <c r="J3922">
        <f t="shared" si="122"/>
        <v>1199.9840000000002</v>
      </c>
      <c r="K3922" s="9">
        <f t="shared" si="123"/>
        <v>-0.34208121788997192</v>
      </c>
    </row>
    <row r="3923" spans="1:11" x14ac:dyDescent="0.3">
      <c r="A3923">
        <v>1346</v>
      </c>
      <c r="B3923">
        <v>1</v>
      </c>
      <c r="C3923">
        <v>134</v>
      </c>
      <c r="D3923" t="str">
        <f>VLOOKUP($C3923,products!$A$1:$F$322,MATCH(order_items!$D$1,products!$A$1:$F$1,0),FALSE)</f>
        <v>Trek Remedy 27.5 C Frameset - 2018</v>
      </c>
      <c r="E3923">
        <f>VLOOKUP($C3923,products!$A$1:$F$322,MATCH(order_items!$E$1,products!$A$1:$F$1,0),FALSE)</f>
        <v>6</v>
      </c>
      <c r="F3923" t="str">
        <f>VLOOKUP($E3923,categories!$A$1:$B$8,MATCH(order_items!$F$1,categories!$A$1:$B$1,0),FALSE)</f>
        <v>Mountain Bikes</v>
      </c>
      <c r="G3923">
        <v>2</v>
      </c>
      <c r="H3923">
        <v>1499.99</v>
      </c>
      <c r="I3923" s="5">
        <v>0.05</v>
      </c>
      <c r="J3923">
        <f t="shared" si="122"/>
        <v>2849.9809999999998</v>
      </c>
      <c r="K3923" s="9">
        <f t="shared" si="123"/>
        <v>0.21238388736839492</v>
      </c>
    </row>
    <row r="3924" spans="1:11" x14ac:dyDescent="0.3">
      <c r="A3924">
        <v>1346</v>
      </c>
      <c r="B3924">
        <v>2</v>
      </c>
      <c r="C3924">
        <v>150</v>
      </c>
      <c r="D3924" t="str">
        <f>VLOOKUP($C3924,products!$A$1:$F$322,MATCH(order_items!$D$1,products!$A$1:$F$1,0),FALSE)</f>
        <v>Trek Emonda SL 7 - 2018</v>
      </c>
      <c r="E3924">
        <f>VLOOKUP($C3924,products!$A$1:$F$322,MATCH(order_items!$E$1,products!$A$1:$F$1,0),FALSE)</f>
        <v>7</v>
      </c>
      <c r="F3924" t="str">
        <f>VLOOKUP($E3924,categories!$A$1:$B$8,MATCH(order_items!$F$1,categories!$A$1:$B$1,0),FALSE)</f>
        <v>Road Bikes</v>
      </c>
      <c r="G3924">
        <v>1</v>
      </c>
      <c r="H3924">
        <v>4499.99</v>
      </c>
      <c r="I3924" s="5">
        <v>0.05</v>
      </c>
      <c r="J3924">
        <f t="shared" si="122"/>
        <v>4274.9904999999999</v>
      </c>
      <c r="K3924" s="9">
        <f t="shared" si="123"/>
        <v>2.4302443084018623</v>
      </c>
    </row>
    <row r="3925" spans="1:11" x14ac:dyDescent="0.3">
      <c r="A3925">
        <v>1346</v>
      </c>
      <c r="B3925">
        <v>3</v>
      </c>
      <c r="C3925">
        <v>18</v>
      </c>
      <c r="D3925" t="str">
        <f>VLOOKUP($C3925,products!$A$1:$F$322,MATCH(order_items!$D$1,products!$A$1:$F$1,0),FALSE)</f>
        <v>Pure Cycles Western 3-Speed - Women's - 2015/2016</v>
      </c>
      <c r="E3925">
        <f>VLOOKUP($C3925,products!$A$1:$F$322,MATCH(order_items!$E$1,products!$A$1:$F$1,0),FALSE)</f>
        <v>3</v>
      </c>
      <c r="F3925" t="str">
        <f>VLOOKUP($E3925,categories!$A$1:$B$8,MATCH(order_items!$F$1,categories!$A$1:$B$1,0),FALSE)</f>
        <v>Cruisers Bicycles</v>
      </c>
      <c r="G3925">
        <v>2</v>
      </c>
      <c r="H3925">
        <v>449</v>
      </c>
      <c r="I3925" s="5">
        <v>0.05</v>
      </c>
      <c r="J3925">
        <f t="shared" si="122"/>
        <v>853.09999999999991</v>
      </c>
      <c r="K3925" s="9">
        <f t="shared" si="123"/>
        <v>-0.56459915393225968</v>
      </c>
    </row>
    <row r="3926" spans="1:11" x14ac:dyDescent="0.3">
      <c r="A3926">
        <v>1346</v>
      </c>
      <c r="B3926">
        <v>4</v>
      </c>
      <c r="C3926">
        <v>249</v>
      </c>
      <c r="D3926" t="str">
        <f>VLOOKUP($C3926,products!$A$1:$F$322,MATCH(order_items!$D$1,products!$A$1:$F$1,0),FALSE)</f>
        <v>Electra White Water 3i - 2018</v>
      </c>
      <c r="E3926">
        <f>VLOOKUP($C3926,products!$A$1:$F$322,MATCH(order_items!$E$1,products!$A$1:$F$1,0),FALSE)</f>
        <v>3</v>
      </c>
      <c r="F3926" t="str">
        <f>VLOOKUP($E3926,categories!$A$1:$B$8,MATCH(order_items!$F$1,categories!$A$1:$B$1,0),FALSE)</f>
        <v>Cruisers Bicycles</v>
      </c>
      <c r="G3926">
        <v>1</v>
      </c>
      <c r="H3926">
        <v>749.99</v>
      </c>
      <c r="I3926" s="5">
        <v>0.1</v>
      </c>
      <c r="J3926">
        <f t="shared" si="122"/>
        <v>674.99099999999999</v>
      </c>
      <c r="K3926" s="9">
        <f t="shared" si="123"/>
        <v>-0.34208121788997192</v>
      </c>
    </row>
    <row r="3927" spans="1:11" x14ac:dyDescent="0.3">
      <c r="A3927">
        <v>1346</v>
      </c>
      <c r="B3927">
        <v>5</v>
      </c>
      <c r="C3927">
        <v>263</v>
      </c>
      <c r="D3927" t="str">
        <f>VLOOKUP($C3927,products!$A$1:$F$322,MATCH(order_items!$D$1,products!$A$1:$F$1,0),FALSE)</f>
        <v>Strider Classic 12 Balance Bike - 2018</v>
      </c>
      <c r="E3927">
        <f>VLOOKUP($C3927,products!$A$1:$F$322,MATCH(order_items!$E$1,products!$A$1:$F$1,0),FALSE)</f>
        <v>1</v>
      </c>
      <c r="F3927" t="str">
        <f>VLOOKUP($E3927,categories!$A$1:$B$8,MATCH(order_items!$F$1,categories!$A$1:$B$1,0),FALSE)</f>
        <v>Children Bicycles</v>
      </c>
      <c r="G3927">
        <v>2</v>
      </c>
      <c r="H3927">
        <v>89.99</v>
      </c>
      <c r="I3927" s="5">
        <v>0.2</v>
      </c>
      <c r="J3927">
        <f t="shared" si="122"/>
        <v>143.98400000000001</v>
      </c>
      <c r="K3927" s="9">
        <f t="shared" si="123"/>
        <v>-0.83001051051733477</v>
      </c>
    </row>
    <row r="3928" spans="1:11" x14ac:dyDescent="0.3">
      <c r="A3928">
        <v>1347</v>
      </c>
      <c r="B3928">
        <v>1</v>
      </c>
      <c r="C3928">
        <v>43</v>
      </c>
      <c r="D3928" t="str">
        <f>VLOOKUP($C3928,products!$A$1:$F$322,MATCH(order_items!$D$1,products!$A$1:$F$1,0),FALSE)</f>
        <v>Trek Fuel EX 9.8 27.5 Plus - 2017</v>
      </c>
      <c r="E3928">
        <f>VLOOKUP($C3928,products!$A$1:$F$322,MATCH(order_items!$E$1,products!$A$1:$F$1,0),FALSE)</f>
        <v>6</v>
      </c>
      <c r="F3928" t="str">
        <f>VLOOKUP($E3928,categories!$A$1:$B$8,MATCH(order_items!$F$1,categories!$A$1:$B$1,0),FALSE)</f>
        <v>Mountain Bikes</v>
      </c>
      <c r="G3928">
        <v>2</v>
      </c>
      <c r="H3928">
        <v>5299.99</v>
      </c>
      <c r="I3928" s="5">
        <v>7.0000000000000007E-2</v>
      </c>
      <c r="J3928">
        <f t="shared" si="122"/>
        <v>9857.9813999999988</v>
      </c>
      <c r="K3928" s="9">
        <f t="shared" si="123"/>
        <v>3.021673754010787</v>
      </c>
    </row>
    <row r="3929" spans="1:11" x14ac:dyDescent="0.3">
      <c r="A3929">
        <v>1347</v>
      </c>
      <c r="B3929">
        <v>2</v>
      </c>
      <c r="C3929">
        <v>53</v>
      </c>
      <c r="D3929" t="str">
        <f>VLOOKUP($C3929,products!$A$1:$F$322,MATCH(order_items!$D$1,products!$A$1:$F$1,0),FALSE)</f>
        <v>Surly Ogre Frameset - 2017</v>
      </c>
      <c r="E3929">
        <f>VLOOKUP($C3929,products!$A$1:$F$322,MATCH(order_items!$E$1,products!$A$1:$F$1,0),FALSE)</f>
        <v>7</v>
      </c>
      <c r="F3929" t="str">
        <f>VLOOKUP($E3929,categories!$A$1:$B$8,MATCH(order_items!$F$1,categories!$A$1:$B$1,0),FALSE)</f>
        <v>Road Bikes</v>
      </c>
      <c r="G3929">
        <v>1</v>
      </c>
      <c r="H3929">
        <v>749.99</v>
      </c>
      <c r="I3929" s="5">
        <v>0.05</v>
      </c>
      <c r="J3929">
        <f t="shared" si="122"/>
        <v>712.4905</v>
      </c>
      <c r="K3929" s="9">
        <f t="shared" si="123"/>
        <v>-0.34208121788997192</v>
      </c>
    </row>
    <row r="3930" spans="1:11" x14ac:dyDescent="0.3">
      <c r="A3930">
        <v>1348</v>
      </c>
      <c r="B3930">
        <v>1</v>
      </c>
      <c r="C3930">
        <v>203</v>
      </c>
      <c r="D3930" t="str">
        <f>VLOOKUP($C3930,products!$A$1:$F$322,MATCH(order_items!$D$1,products!$A$1:$F$1,0),FALSE)</f>
        <v>Trek Powerfly 7 FS - 2018</v>
      </c>
      <c r="E3930">
        <f>VLOOKUP($C3930,products!$A$1:$F$322,MATCH(order_items!$E$1,products!$A$1:$F$1,0),FALSE)</f>
        <v>5</v>
      </c>
      <c r="F3930" t="str">
        <f>VLOOKUP($E3930,categories!$A$1:$B$8,MATCH(order_items!$F$1,categories!$A$1:$B$1,0),FALSE)</f>
        <v>Electric Bikes</v>
      </c>
      <c r="G3930">
        <v>1</v>
      </c>
      <c r="H3930">
        <v>4999.99</v>
      </c>
      <c r="I3930" s="5">
        <v>0.05</v>
      </c>
      <c r="J3930">
        <f t="shared" si="122"/>
        <v>4749.9904999999999</v>
      </c>
      <c r="K3930" s="9">
        <f t="shared" si="123"/>
        <v>2.7998877119074401</v>
      </c>
    </row>
    <row r="3931" spans="1:11" x14ac:dyDescent="0.3">
      <c r="A3931">
        <v>1348</v>
      </c>
      <c r="B3931">
        <v>2</v>
      </c>
      <c r="C3931">
        <v>148</v>
      </c>
      <c r="D3931" t="str">
        <f>VLOOKUP($C3931,products!$A$1:$F$322,MATCH(order_items!$D$1,products!$A$1:$F$1,0),FALSE)</f>
        <v>Trek Domane SL 8 Disc - 2018</v>
      </c>
      <c r="E3931">
        <f>VLOOKUP($C3931,products!$A$1:$F$322,MATCH(order_items!$E$1,products!$A$1:$F$1,0),FALSE)</f>
        <v>7</v>
      </c>
      <c r="F3931" t="str">
        <f>VLOOKUP($E3931,categories!$A$1:$B$8,MATCH(order_items!$F$1,categories!$A$1:$B$1,0),FALSE)</f>
        <v>Road Bikes</v>
      </c>
      <c r="G3931">
        <v>1</v>
      </c>
      <c r="H3931">
        <v>5499.99</v>
      </c>
      <c r="I3931" s="5">
        <v>0.05</v>
      </c>
      <c r="J3931">
        <f t="shared" si="122"/>
        <v>5224.9904999999999</v>
      </c>
      <c r="K3931" s="9">
        <f t="shared" si="123"/>
        <v>3.1695311154130179</v>
      </c>
    </row>
    <row r="3932" spans="1:11" x14ac:dyDescent="0.3">
      <c r="A3932">
        <v>1348</v>
      </c>
      <c r="B3932">
        <v>3</v>
      </c>
      <c r="C3932">
        <v>58</v>
      </c>
      <c r="D3932" t="str">
        <f>VLOOKUP($C3932,products!$A$1:$F$322,MATCH(order_items!$D$1,products!$A$1:$F$1,0),FALSE)</f>
        <v>Trek Madone 9.2 - 2017</v>
      </c>
      <c r="E3932">
        <f>VLOOKUP($C3932,products!$A$1:$F$322,MATCH(order_items!$E$1,products!$A$1:$F$1,0),FALSE)</f>
        <v>7</v>
      </c>
      <c r="F3932" t="str">
        <f>VLOOKUP($E3932,categories!$A$1:$B$8,MATCH(order_items!$F$1,categories!$A$1:$B$1,0),FALSE)</f>
        <v>Road Bikes</v>
      </c>
      <c r="G3932">
        <v>2</v>
      </c>
      <c r="H3932">
        <v>4999.99</v>
      </c>
      <c r="I3932" s="5">
        <v>0.1</v>
      </c>
      <c r="J3932">
        <f t="shared" si="122"/>
        <v>8999.982</v>
      </c>
      <c r="K3932" s="9">
        <f t="shared" si="123"/>
        <v>2.7998877119074401</v>
      </c>
    </row>
    <row r="3933" spans="1:11" x14ac:dyDescent="0.3">
      <c r="A3933">
        <v>1348</v>
      </c>
      <c r="B3933">
        <v>4</v>
      </c>
      <c r="C3933">
        <v>147</v>
      </c>
      <c r="D3933" t="str">
        <f>VLOOKUP($C3933,products!$A$1:$F$322,MATCH(order_items!$D$1,products!$A$1:$F$1,0),FALSE)</f>
        <v>Trek Domane ALR 5 Gravel - 2018</v>
      </c>
      <c r="E3933">
        <f>VLOOKUP($C3933,products!$A$1:$F$322,MATCH(order_items!$E$1,products!$A$1:$F$1,0),FALSE)</f>
        <v>7</v>
      </c>
      <c r="F3933" t="str">
        <f>VLOOKUP($E3933,categories!$A$1:$B$8,MATCH(order_items!$F$1,categories!$A$1:$B$1,0),FALSE)</f>
        <v>Road Bikes</v>
      </c>
      <c r="G3933">
        <v>1</v>
      </c>
      <c r="H3933">
        <v>1799.99</v>
      </c>
      <c r="I3933" s="5">
        <v>7.0000000000000007E-2</v>
      </c>
      <c r="J3933">
        <f t="shared" si="122"/>
        <v>1673.9906999999998</v>
      </c>
      <c r="K3933" s="9">
        <f t="shared" si="123"/>
        <v>0.43416992947174166</v>
      </c>
    </row>
    <row r="3934" spans="1:11" x14ac:dyDescent="0.3">
      <c r="A3934">
        <v>1349</v>
      </c>
      <c r="B3934">
        <v>1</v>
      </c>
      <c r="C3934">
        <v>138</v>
      </c>
      <c r="D3934" t="str">
        <f>VLOOKUP($C3934,products!$A$1:$F$322,MATCH(order_items!$D$1,products!$A$1:$F$1,0),FALSE)</f>
        <v>Trek Fuel EX 5 Plus - 2018</v>
      </c>
      <c r="E3934">
        <f>VLOOKUP($C3934,products!$A$1:$F$322,MATCH(order_items!$E$1,products!$A$1:$F$1,0),FALSE)</f>
        <v>6</v>
      </c>
      <c r="F3934" t="str">
        <f>VLOOKUP($E3934,categories!$A$1:$B$8,MATCH(order_items!$F$1,categories!$A$1:$B$1,0),FALSE)</f>
        <v>Mountain Bikes</v>
      </c>
      <c r="G3934">
        <v>2</v>
      </c>
      <c r="H3934">
        <v>2249.9899999999998</v>
      </c>
      <c r="I3934" s="5">
        <v>0.05</v>
      </c>
      <c r="J3934">
        <f t="shared" si="122"/>
        <v>4274.9809999999998</v>
      </c>
      <c r="K3934" s="9">
        <f t="shared" si="123"/>
        <v>0.76684899262676154</v>
      </c>
    </row>
    <row r="3935" spans="1:11" x14ac:dyDescent="0.3">
      <c r="A3935">
        <v>1349</v>
      </c>
      <c r="B3935">
        <v>2</v>
      </c>
      <c r="C3935">
        <v>205</v>
      </c>
      <c r="D3935" t="str">
        <f>VLOOKUP($C3935,products!$A$1:$F$322,MATCH(order_items!$D$1,products!$A$1:$F$1,0),FALSE)</f>
        <v>Trek Super Commuter+ 8S - 2018</v>
      </c>
      <c r="E3935">
        <f>VLOOKUP($C3935,products!$A$1:$F$322,MATCH(order_items!$E$1,products!$A$1:$F$1,0),FALSE)</f>
        <v>5</v>
      </c>
      <c r="F3935" t="str">
        <f>VLOOKUP($E3935,categories!$A$1:$B$8,MATCH(order_items!$F$1,categories!$A$1:$B$1,0),FALSE)</f>
        <v>Electric Bikes</v>
      </c>
      <c r="G3935">
        <v>2</v>
      </c>
      <c r="H3935">
        <v>4999.99</v>
      </c>
      <c r="I3935" s="5">
        <v>7.0000000000000007E-2</v>
      </c>
      <c r="J3935">
        <f t="shared" si="122"/>
        <v>9299.9813999999988</v>
      </c>
      <c r="K3935" s="9">
        <f t="shared" si="123"/>
        <v>2.7998877119074401</v>
      </c>
    </row>
    <row r="3936" spans="1:11" x14ac:dyDescent="0.3">
      <c r="A3936">
        <v>1349</v>
      </c>
      <c r="B3936">
        <v>3</v>
      </c>
      <c r="C3936">
        <v>168</v>
      </c>
      <c r="D3936" t="str">
        <f>VLOOKUP($C3936,products!$A$1:$F$322,MATCH(order_items!$D$1,products!$A$1:$F$1,0),FALSE)</f>
        <v>Surly Straggler - 2018</v>
      </c>
      <c r="E3936">
        <f>VLOOKUP($C3936,products!$A$1:$F$322,MATCH(order_items!$E$1,products!$A$1:$F$1,0),FALSE)</f>
        <v>7</v>
      </c>
      <c r="F3936" t="str">
        <f>VLOOKUP($E3936,categories!$A$1:$B$8,MATCH(order_items!$F$1,categories!$A$1:$B$1,0),FALSE)</f>
        <v>Road Bikes</v>
      </c>
      <c r="G3936">
        <v>2</v>
      </c>
      <c r="H3936">
        <v>1549</v>
      </c>
      <c r="I3936" s="5">
        <v>0.2</v>
      </c>
      <c r="J3936">
        <f t="shared" si="122"/>
        <v>2478.4</v>
      </c>
      <c r="K3936" s="9">
        <f t="shared" si="123"/>
        <v>0.24861633378001166</v>
      </c>
    </row>
    <row r="3937" spans="1:11" x14ac:dyDescent="0.3">
      <c r="A3937">
        <v>1349</v>
      </c>
      <c r="B3937">
        <v>4</v>
      </c>
      <c r="C3937">
        <v>184</v>
      </c>
      <c r="D3937" t="str">
        <f>VLOOKUP($C3937,products!$A$1:$F$322,MATCH(order_items!$D$1,products!$A$1:$F$1,0),FALSE)</f>
        <v>Trek Domane SL 6 Disc - 2018</v>
      </c>
      <c r="E3937">
        <f>VLOOKUP($C3937,products!$A$1:$F$322,MATCH(order_items!$E$1,products!$A$1:$F$1,0),FALSE)</f>
        <v>7</v>
      </c>
      <c r="F3937" t="str">
        <f>VLOOKUP($E3937,categories!$A$1:$B$8,MATCH(order_items!$F$1,categories!$A$1:$B$1,0),FALSE)</f>
        <v>Road Bikes</v>
      </c>
      <c r="G3937">
        <v>1</v>
      </c>
      <c r="H3937">
        <v>3499.99</v>
      </c>
      <c r="I3937" s="5">
        <v>0.2</v>
      </c>
      <c r="J3937">
        <f t="shared" si="122"/>
        <v>2799.9920000000002</v>
      </c>
      <c r="K3937" s="9">
        <f t="shared" si="123"/>
        <v>1.6909575013907066</v>
      </c>
    </row>
    <row r="3938" spans="1:11" x14ac:dyDescent="0.3">
      <c r="A3938">
        <v>1350</v>
      </c>
      <c r="B3938">
        <v>1</v>
      </c>
      <c r="C3938">
        <v>305</v>
      </c>
      <c r="D3938" t="str">
        <f>VLOOKUP($C3938,products!$A$1:$F$322,MATCH(order_items!$D$1,products!$A$1:$F$1,0),FALSE)</f>
        <v>Electra Townie Balloon 3i EQ - 2017/2018</v>
      </c>
      <c r="E3938">
        <f>VLOOKUP($C3938,products!$A$1:$F$322,MATCH(order_items!$E$1,products!$A$1:$F$1,0),FALSE)</f>
        <v>2</v>
      </c>
      <c r="F3938" t="str">
        <f>VLOOKUP($E3938,categories!$A$1:$B$8,MATCH(order_items!$F$1,categories!$A$1:$B$1,0),FALSE)</f>
        <v>Comfort Bicycles</v>
      </c>
      <c r="G3938">
        <v>1</v>
      </c>
      <c r="H3938">
        <v>749.99</v>
      </c>
      <c r="I3938" s="5">
        <v>0.1</v>
      </c>
      <c r="J3938">
        <f t="shared" si="122"/>
        <v>674.99099999999999</v>
      </c>
      <c r="K3938" s="9">
        <f t="shared" si="123"/>
        <v>-0.34208121788997192</v>
      </c>
    </row>
    <row r="3939" spans="1:11" x14ac:dyDescent="0.3">
      <c r="A3939">
        <v>1350</v>
      </c>
      <c r="B3939">
        <v>2</v>
      </c>
      <c r="C3939">
        <v>250</v>
      </c>
      <c r="D3939" t="str">
        <f>VLOOKUP($C3939,products!$A$1:$F$322,MATCH(order_items!$D$1,products!$A$1:$F$1,0),FALSE)</f>
        <v>Electra Townie Go! 8i - 2017/2018</v>
      </c>
      <c r="E3939">
        <f>VLOOKUP($C3939,products!$A$1:$F$322,MATCH(order_items!$E$1,products!$A$1:$F$1,0),FALSE)</f>
        <v>3</v>
      </c>
      <c r="F3939" t="str">
        <f>VLOOKUP($E3939,categories!$A$1:$B$8,MATCH(order_items!$F$1,categories!$A$1:$B$1,0),FALSE)</f>
        <v>Cruisers Bicycles</v>
      </c>
      <c r="G3939">
        <v>1</v>
      </c>
      <c r="H3939">
        <v>2599.9899999999998</v>
      </c>
      <c r="I3939" s="5">
        <v>7.0000000000000007E-2</v>
      </c>
      <c r="J3939">
        <f t="shared" si="122"/>
        <v>2417.9906999999998</v>
      </c>
      <c r="K3939" s="9">
        <f t="shared" si="123"/>
        <v>1.025599375080666</v>
      </c>
    </row>
    <row r="3940" spans="1:11" x14ac:dyDescent="0.3">
      <c r="A3940">
        <v>1350</v>
      </c>
      <c r="B3940">
        <v>3</v>
      </c>
      <c r="C3940">
        <v>253</v>
      </c>
      <c r="D3940" t="str">
        <f>VLOOKUP($C3940,products!$A$1:$F$322,MATCH(order_items!$D$1,products!$A$1:$F$1,0),FALSE)</f>
        <v>Electra Townie Go! 8i Ladies' - 2018</v>
      </c>
      <c r="E3940">
        <f>VLOOKUP($C3940,products!$A$1:$F$322,MATCH(order_items!$E$1,products!$A$1:$F$1,0),FALSE)</f>
        <v>3</v>
      </c>
      <c r="F3940" t="str">
        <f>VLOOKUP($E3940,categories!$A$1:$B$8,MATCH(order_items!$F$1,categories!$A$1:$B$1,0),FALSE)</f>
        <v>Cruisers Bicycles</v>
      </c>
      <c r="G3940">
        <v>1</v>
      </c>
      <c r="H3940">
        <v>2599.9899999999998</v>
      </c>
      <c r="I3940" s="5">
        <v>7.0000000000000007E-2</v>
      </c>
      <c r="J3940">
        <f t="shared" si="122"/>
        <v>2417.9906999999998</v>
      </c>
      <c r="K3940" s="9">
        <f t="shared" si="123"/>
        <v>1.025599375080666</v>
      </c>
    </row>
    <row r="3941" spans="1:11" x14ac:dyDescent="0.3">
      <c r="A3941">
        <v>1350</v>
      </c>
      <c r="B3941">
        <v>4</v>
      </c>
      <c r="C3941">
        <v>159</v>
      </c>
      <c r="D3941" t="str">
        <f>VLOOKUP($C3941,products!$A$1:$F$322,MATCH(order_items!$D$1,products!$A$1:$F$1,0),FALSE)</f>
        <v>Trek Emonda ALR 6 - 2018</v>
      </c>
      <c r="E3941">
        <f>VLOOKUP($C3941,products!$A$1:$F$322,MATCH(order_items!$E$1,products!$A$1:$F$1,0),FALSE)</f>
        <v>7</v>
      </c>
      <c r="F3941" t="str">
        <f>VLOOKUP($E3941,categories!$A$1:$B$8,MATCH(order_items!$F$1,categories!$A$1:$B$1,0),FALSE)</f>
        <v>Road Bikes</v>
      </c>
      <c r="G3941">
        <v>1</v>
      </c>
      <c r="H3941">
        <v>2299.9899999999998</v>
      </c>
      <c r="I3941" s="5">
        <v>0.05</v>
      </c>
      <c r="J3941">
        <f t="shared" si="122"/>
        <v>2184.9904999999999</v>
      </c>
      <c r="K3941" s="9">
        <f t="shared" si="123"/>
        <v>0.80381333297731938</v>
      </c>
    </row>
    <row r="3942" spans="1:11" x14ac:dyDescent="0.3">
      <c r="A3942">
        <v>1350</v>
      </c>
      <c r="B3942">
        <v>5</v>
      </c>
      <c r="C3942">
        <v>13</v>
      </c>
      <c r="D3942" t="str">
        <f>VLOOKUP($C3942,products!$A$1:$F$322,MATCH(order_items!$D$1,products!$A$1:$F$1,0),FALSE)</f>
        <v>Electra Cruiser 1 (24-Inch) - 2016</v>
      </c>
      <c r="E3942">
        <f>VLOOKUP($C3942,products!$A$1:$F$322,MATCH(order_items!$E$1,products!$A$1:$F$1,0),FALSE)</f>
        <v>3</v>
      </c>
      <c r="F3942" t="str">
        <f>VLOOKUP($E3942,categories!$A$1:$B$8,MATCH(order_items!$F$1,categories!$A$1:$B$1,0),FALSE)</f>
        <v>Cruisers Bicycles</v>
      </c>
      <c r="G3942">
        <v>2</v>
      </c>
      <c r="H3942">
        <v>269.99</v>
      </c>
      <c r="I3942" s="5">
        <v>0.2</v>
      </c>
      <c r="J3942">
        <f t="shared" si="122"/>
        <v>431.98400000000004</v>
      </c>
      <c r="K3942" s="9">
        <f t="shared" si="123"/>
        <v>-0.69693888525532666</v>
      </c>
    </row>
    <row r="3943" spans="1:11" x14ac:dyDescent="0.3">
      <c r="A3943">
        <v>1351</v>
      </c>
      <c r="B3943">
        <v>1</v>
      </c>
      <c r="C3943">
        <v>297</v>
      </c>
      <c r="D3943" t="str">
        <f>VLOOKUP($C3943,products!$A$1:$F$322,MATCH(order_items!$D$1,products!$A$1:$F$1,0),FALSE)</f>
        <v>Electra Under-The-Sea 1 16" - 2018</v>
      </c>
      <c r="E3943">
        <f>VLOOKUP($C3943,products!$A$1:$F$322,MATCH(order_items!$E$1,products!$A$1:$F$1,0),FALSE)</f>
        <v>1</v>
      </c>
      <c r="F3943" t="str">
        <f>VLOOKUP($E3943,categories!$A$1:$B$8,MATCH(order_items!$F$1,categories!$A$1:$B$1,0),FALSE)</f>
        <v>Children Bicycles</v>
      </c>
      <c r="G3943">
        <v>2</v>
      </c>
      <c r="H3943">
        <v>279.99</v>
      </c>
      <c r="I3943" s="5">
        <v>0.2</v>
      </c>
      <c r="J3943">
        <f t="shared" si="122"/>
        <v>447.98400000000004</v>
      </c>
      <c r="K3943" s="9">
        <f t="shared" si="123"/>
        <v>-0.68954601718521513</v>
      </c>
    </row>
    <row r="3944" spans="1:11" x14ac:dyDescent="0.3">
      <c r="A3944">
        <v>1351</v>
      </c>
      <c r="B3944">
        <v>2</v>
      </c>
      <c r="C3944">
        <v>133</v>
      </c>
      <c r="D3944" t="str">
        <f>VLOOKUP($C3944,products!$A$1:$F$322,MATCH(order_items!$D$1,products!$A$1:$F$1,0),FALSE)</f>
        <v>Trek Procaliber Frameset - 2018</v>
      </c>
      <c r="E3944">
        <f>VLOOKUP($C3944,products!$A$1:$F$322,MATCH(order_items!$E$1,products!$A$1:$F$1,0),FALSE)</f>
        <v>6</v>
      </c>
      <c r="F3944" t="str">
        <f>VLOOKUP($E3944,categories!$A$1:$B$8,MATCH(order_items!$F$1,categories!$A$1:$B$1,0),FALSE)</f>
        <v>Mountain Bikes</v>
      </c>
      <c r="G3944">
        <v>1</v>
      </c>
      <c r="H3944">
        <v>1499.99</v>
      </c>
      <c r="I3944" s="5">
        <v>0.1</v>
      </c>
      <c r="J3944">
        <f t="shared" si="122"/>
        <v>1349.991</v>
      </c>
      <c r="K3944" s="9">
        <f t="shared" si="123"/>
        <v>0.21238388736839492</v>
      </c>
    </row>
    <row r="3945" spans="1:11" x14ac:dyDescent="0.3">
      <c r="A3945">
        <v>1352</v>
      </c>
      <c r="B3945">
        <v>1</v>
      </c>
      <c r="C3945">
        <v>136</v>
      </c>
      <c r="D3945" t="str">
        <f>VLOOKUP($C3945,products!$A$1:$F$322,MATCH(order_items!$D$1,products!$A$1:$F$1,0),FALSE)</f>
        <v>Trek Procaliber 6 - 2018</v>
      </c>
      <c r="E3945">
        <f>VLOOKUP($C3945,products!$A$1:$F$322,MATCH(order_items!$E$1,products!$A$1:$F$1,0),FALSE)</f>
        <v>6</v>
      </c>
      <c r="F3945" t="str">
        <f>VLOOKUP($E3945,categories!$A$1:$B$8,MATCH(order_items!$F$1,categories!$A$1:$B$1,0),FALSE)</f>
        <v>Mountain Bikes</v>
      </c>
      <c r="G3945">
        <v>1</v>
      </c>
      <c r="H3945">
        <v>1799.99</v>
      </c>
      <c r="I3945" s="5">
        <v>0.2</v>
      </c>
      <c r="J3945">
        <f t="shared" si="122"/>
        <v>1439.9920000000002</v>
      </c>
      <c r="K3945" s="9">
        <f t="shared" si="123"/>
        <v>0.43416992947174166</v>
      </c>
    </row>
    <row r="3946" spans="1:11" x14ac:dyDescent="0.3">
      <c r="A3946">
        <v>1352</v>
      </c>
      <c r="B3946">
        <v>2</v>
      </c>
      <c r="C3946">
        <v>52</v>
      </c>
      <c r="D3946" t="str">
        <f>VLOOKUP($C3946,products!$A$1:$F$322,MATCH(order_items!$D$1,products!$A$1:$F$1,0),FALSE)</f>
        <v>Surly Steamroller - 2017</v>
      </c>
      <c r="E3946">
        <f>VLOOKUP($C3946,products!$A$1:$F$322,MATCH(order_items!$E$1,products!$A$1:$F$1,0),FALSE)</f>
        <v>7</v>
      </c>
      <c r="F3946" t="str">
        <f>VLOOKUP($E3946,categories!$A$1:$B$8,MATCH(order_items!$F$1,categories!$A$1:$B$1,0),FALSE)</f>
        <v>Road Bikes</v>
      </c>
      <c r="G3946">
        <v>2</v>
      </c>
      <c r="H3946">
        <v>875.99</v>
      </c>
      <c r="I3946" s="5">
        <v>0.1</v>
      </c>
      <c r="J3946">
        <f t="shared" si="122"/>
        <v>1576.7820000000002</v>
      </c>
      <c r="K3946" s="9">
        <f t="shared" si="123"/>
        <v>-0.24893108020656629</v>
      </c>
    </row>
    <row r="3947" spans="1:11" x14ac:dyDescent="0.3">
      <c r="A3947">
        <v>1352</v>
      </c>
      <c r="B3947">
        <v>3</v>
      </c>
      <c r="C3947">
        <v>282</v>
      </c>
      <c r="D3947" t="str">
        <f>VLOOKUP($C3947,products!$A$1:$F$322,MATCH(order_items!$D$1,products!$A$1:$F$1,0),FALSE)</f>
        <v>Electra Cyclosaurus 1 (16-inch) - Boy's - 2018</v>
      </c>
      <c r="E3947">
        <f>VLOOKUP($C3947,products!$A$1:$F$322,MATCH(order_items!$E$1,products!$A$1:$F$1,0),FALSE)</f>
        <v>1</v>
      </c>
      <c r="F3947" t="str">
        <f>VLOOKUP($E3947,categories!$A$1:$B$8,MATCH(order_items!$F$1,categories!$A$1:$B$1,0),FALSE)</f>
        <v>Children Bicycles</v>
      </c>
      <c r="G3947">
        <v>2</v>
      </c>
      <c r="H3947">
        <v>279.99</v>
      </c>
      <c r="I3947" s="5">
        <v>0.1</v>
      </c>
      <c r="J3947">
        <f t="shared" si="122"/>
        <v>503.98200000000003</v>
      </c>
      <c r="K3947" s="9">
        <f t="shared" si="123"/>
        <v>-0.68954601718521513</v>
      </c>
    </row>
    <row r="3948" spans="1:11" x14ac:dyDescent="0.3">
      <c r="A3948">
        <v>1352</v>
      </c>
      <c r="B3948">
        <v>4</v>
      </c>
      <c r="C3948">
        <v>86</v>
      </c>
      <c r="D3948" t="str">
        <f>VLOOKUP($C3948,products!$A$1:$F$322,MATCH(order_items!$D$1,products!$A$1:$F$1,0),FALSE)</f>
        <v>Trek Girl's Kickster - 2017</v>
      </c>
      <c r="E3948">
        <f>VLOOKUP($C3948,products!$A$1:$F$322,MATCH(order_items!$E$1,products!$A$1:$F$1,0),FALSE)</f>
        <v>1</v>
      </c>
      <c r="F3948" t="str">
        <f>VLOOKUP($E3948,categories!$A$1:$B$8,MATCH(order_items!$F$1,categories!$A$1:$B$1,0),FALSE)</f>
        <v>Children Bicycles</v>
      </c>
      <c r="G3948">
        <v>2</v>
      </c>
      <c r="H3948">
        <v>149.99</v>
      </c>
      <c r="I3948" s="5">
        <v>0.2</v>
      </c>
      <c r="J3948">
        <f t="shared" si="122"/>
        <v>239.98400000000004</v>
      </c>
      <c r="K3948" s="9">
        <f t="shared" si="123"/>
        <v>-0.7856533020966654</v>
      </c>
    </row>
    <row r="3949" spans="1:11" x14ac:dyDescent="0.3">
      <c r="A3949">
        <v>1352</v>
      </c>
      <c r="B3949">
        <v>5</v>
      </c>
      <c r="C3949">
        <v>100</v>
      </c>
      <c r="D3949" t="str">
        <f>VLOOKUP($C3949,products!$A$1:$F$322,MATCH(order_items!$D$1,products!$A$1:$F$1,0),FALSE)</f>
        <v>Electra Townie 3i EQ (20-inch) - Boys' - 2017</v>
      </c>
      <c r="E3949">
        <f>VLOOKUP($C3949,products!$A$1:$F$322,MATCH(order_items!$E$1,products!$A$1:$F$1,0),FALSE)</f>
        <v>1</v>
      </c>
      <c r="F3949" t="str">
        <f>VLOOKUP($E3949,categories!$A$1:$B$8,MATCH(order_items!$F$1,categories!$A$1:$B$1,0),FALSE)</f>
        <v>Children Bicycles</v>
      </c>
      <c r="G3949">
        <v>1</v>
      </c>
      <c r="H3949">
        <v>489.99</v>
      </c>
      <c r="I3949" s="5">
        <v>0.05</v>
      </c>
      <c r="J3949">
        <f t="shared" si="122"/>
        <v>465.4905</v>
      </c>
      <c r="K3949" s="9">
        <f t="shared" si="123"/>
        <v>-0.53429578771287245</v>
      </c>
    </row>
    <row r="3950" spans="1:11" x14ac:dyDescent="0.3">
      <c r="A3950">
        <v>1353</v>
      </c>
      <c r="B3950">
        <v>1</v>
      </c>
      <c r="C3950">
        <v>107</v>
      </c>
      <c r="D3950" t="str">
        <f>VLOOKUP($C3950,products!$A$1:$F$322,MATCH(order_items!$D$1,products!$A$1:$F$1,0),FALSE)</f>
        <v>Sun Bicycles Cruz 7 - 2017</v>
      </c>
      <c r="E3950">
        <f>VLOOKUP($C3950,products!$A$1:$F$322,MATCH(order_items!$E$1,products!$A$1:$F$1,0),FALSE)</f>
        <v>2</v>
      </c>
      <c r="F3950" t="str">
        <f>VLOOKUP($E3950,categories!$A$1:$B$8,MATCH(order_items!$F$1,categories!$A$1:$B$1,0),FALSE)</f>
        <v>Comfort Bicycles</v>
      </c>
      <c r="G3950">
        <v>2</v>
      </c>
      <c r="H3950">
        <v>416.99</v>
      </c>
      <c r="I3950" s="5">
        <v>0.05</v>
      </c>
      <c r="J3950">
        <f t="shared" si="122"/>
        <v>792.28099999999995</v>
      </c>
      <c r="K3950" s="9">
        <f t="shared" si="123"/>
        <v>-0.58826372462468679</v>
      </c>
    </row>
    <row r="3951" spans="1:11" x14ac:dyDescent="0.3">
      <c r="A3951">
        <v>1353</v>
      </c>
      <c r="B3951">
        <v>2</v>
      </c>
      <c r="C3951">
        <v>233</v>
      </c>
      <c r="D3951" t="str">
        <f>VLOOKUP($C3951,products!$A$1:$F$322,MATCH(order_items!$D$1,products!$A$1:$F$1,0),FALSE)</f>
        <v>Electra Cruiser Lux Fat Tire 7D - 2018</v>
      </c>
      <c r="E3951">
        <f>VLOOKUP($C3951,products!$A$1:$F$322,MATCH(order_items!$E$1,products!$A$1:$F$1,0),FALSE)</f>
        <v>3</v>
      </c>
      <c r="F3951" t="str">
        <f>VLOOKUP($E3951,categories!$A$1:$B$8,MATCH(order_items!$F$1,categories!$A$1:$B$1,0),FALSE)</f>
        <v>Cruisers Bicycles</v>
      </c>
      <c r="G3951">
        <v>1</v>
      </c>
      <c r="H3951">
        <v>639.99</v>
      </c>
      <c r="I3951" s="5">
        <v>7.0000000000000007E-2</v>
      </c>
      <c r="J3951">
        <f t="shared" si="122"/>
        <v>595.19069999999999</v>
      </c>
      <c r="K3951" s="9">
        <f t="shared" si="123"/>
        <v>-0.42340276666119908</v>
      </c>
    </row>
    <row r="3952" spans="1:11" x14ac:dyDescent="0.3">
      <c r="A3952">
        <v>1353</v>
      </c>
      <c r="B3952">
        <v>3</v>
      </c>
      <c r="C3952">
        <v>300</v>
      </c>
      <c r="D3952" t="str">
        <f>VLOOKUP($C3952,products!$A$1:$F$322,MATCH(order_items!$D$1,products!$A$1:$F$1,0),FALSE)</f>
        <v>Electra Townie Balloon 3i EQ Ladies' - 2018</v>
      </c>
      <c r="E3952">
        <f>VLOOKUP($C3952,products!$A$1:$F$322,MATCH(order_items!$E$1,products!$A$1:$F$1,0),FALSE)</f>
        <v>2</v>
      </c>
      <c r="F3952" t="str">
        <f>VLOOKUP($E3952,categories!$A$1:$B$8,MATCH(order_items!$F$1,categories!$A$1:$B$1,0),FALSE)</f>
        <v>Comfort Bicycles</v>
      </c>
      <c r="G3952">
        <v>1</v>
      </c>
      <c r="H3952">
        <v>799.99</v>
      </c>
      <c r="I3952" s="5">
        <v>0.2</v>
      </c>
      <c r="J3952">
        <f t="shared" si="122"/>
        <v>639.99200000000008</v>
      </c>
      <c r="K3952" s="9">
        <f t="shared" si="123"/>
        <v>-0.30511687753941413</v>
      </c>
    </row>
    <row r="3953" spans="1:11" x14ac:dyDescent="0.3">
      <c r="A3953">
        <v>1353</v>
      </c>
      <c r="B3953">
        <v>4</v>
      </c>
      <c r="C3953">
        <v>86</v>
      </c>
      <c r="D3953" t="str">
        <f>VLOOKUP($C3953,products!$A$1:$F$322,MATCH(order_items!$D$1,products!$A$1:$F$1,0),FALSE)</f>
        <v>Trek Girl's Kickster - 2017</v>
      </c>
      <c r="E3953">
        <f>VLOOKUP($C3953,products!$A$1:$F$322,MATCH(order_items!$E$1,products!$A$1:$F$1,0),FALSE)</f>
        <v>1</v>
      </c>
      <c r="F3953" t="str">
        <f>VLOOKUP($E3953,categories!$A$1:$B$8,MATCH(order_items!$F$1,categories!$A$1:$B$1,0),FALSE)</f>
        <v>Children Bicycles</v>
      </c>
      <c r="G3953">
        <v>2</v>
      </c>
      <c r="H3953">
        <v>149.99</v>
      </c>
      <c r="I3953" s="5">
        <v>0.05</v>
      </c>
      <c r="J3953">
        <f t="shared" si="122"/>
        <v>284.98099999999999</v>
      </c>
      <c r="K3953" s="9">
        <f t="shared" si="123"/>
        <v>-0.7856533020966654</v>
      </c>
    </row>
    <row r="3954" spans="1:11" x14ac:dyDescent="0.3">
      <c r="A3954">
        <v>1354</v>
      </c>
      <c r="B3954">
        <v>1</v>
      </c>
      <c r="C3954">
        <v>166</v>
      </c>
      <c r="D3954" t="str">
        <f>VLOOKUP($C3954,products!$A$1:$F$322,MATCH(order_items!$D$1,products!$A$1:$F$1,0),FALSE)</f>
        <v>Trek Domane AL 2 Women's - 2018</v>
      </c>
      <c r="E3954">
        <f>VLOOKUP($C3954,products!$A$1:$F$322,MATCH(order_items!$E$1,products!$A$1:$F$1,0),FALSE)</f>
        <v>7</v>
      </c>
      <c r="F3954" t="str">
        <f>VLOOKUP($E3954,categories!$A$1:$B$8,MATCH(order_items!$F$1,categories!$A$1:$B$1,0),FALSE)</f>
        <v>Road Bikes</v>
      </c>
      <c r="G3954">
        <v>2</v>
      </c>
      <c r="H3954">
        <v>749.99</v>
      </c>
      <c r="I3954" s="5">
        <v>7.0000000000000007E-2</v>
      </c>
      <c r="J3954">
        <f t="shared" si="122"/>
        <v>1394.9813999999999</v>
      </c>
      <c r="K3954" s="9">
        <f t="shared" si="123"/>
        <v>-0.34208121788997192</v>
      </c>
    </row>
    <row r="3955" spans="1:11" x14ac:dyDescent="0.3">
      <c r="A3955">
        <v>1355</v>
      </c>
      <c r="B3955">
        <v>1</v>
      </c>
      <c r="C3955">
        <v>297</v>
      </c>
      <c r="D3955" t="str">
        <f>VLOOKUP($C3955,products!$A$1:$F$322,MATCH(order_items!$D$1,products!$A$1:$F$1,0),FALSE)</f>
        <v>Electra Under-The-Sea 1 16" - 2018</v>
      </c>
      <c r="E3955">
        <f>VLOOKUP($C3955,products!$A$1:$F$322,MATCH(order_items!$E$1,products!$A$1:$F$1,0),FALSE)</f>
        <v>1</v>
      </c>
      <c r="F3955" t="str">
        <f>VLOOKUP($E3955,categories!$A$1:$B$8,MATCH(order_items!$F$1,categories!$A$1:$B$1,0),FALSE)</f>
        <v>Children Bicycles</v>
      </c>
      <c r="G3955">
        <v>1</v>
      </c>
      <c r="H3955">
        <v>279.99</v>
      </c>
      <c r="I3955" s="5">
        <v>0.1</v>
      </c>
      <c r="J3955">
        <f t="shared" si="122"/>
        <v>251.99100000000001</v>
      </c>
      <c r="K3955" s="9">
        <f t="shared" si="123"/>
        <v>-0.68954601718521513</v>
      </c>
    </row>
    <row r="3956" spans="1:11" x14ac:dyDescent="0.3">
      <c r="A3956">
        <v>1355</v>
      </c>
      <c r="B3956">
        <v>2</v>
      </c>
      <c r="C3956">
        <v>253</v>
      </c>
      <c r="D3956" t="str">
        <f>VLOOKUP($C3956,products!$A$1:$F$322,MATCH(order_items!$D$1,products!$A$1:$F$1,0),FALSE)</f>
        <v>Electra Townie Go! 8i Ladies' - 2018</v>
      </c>
      <c r="E3956">
        <f>VLOOKUP($C3956,products!$A$1:$F$322,MATCH(order_items!$E$1,products!$A$1:$F$1,0),FALSE)</f>
        <v>3</v>
      </c>
      <c r="F3956" t="str">
        <f>VLOOKUP($E3956,categories!$A$1:$B$8,MATCH(order_items!$F$1,categories!$A$1:$B$1,0),FALSE)</f>
        <v>Cruisers Bicycles</v>
      </c>
      <c r="G3956">
        <v>1</v>
      </c>
      <c r="H3956">
        <v>2599.9899999999998</v>
      </c>
      <c r="I3956" s="5">
        <v>7.0000000000000007E-2</v>
      </c>
      <c r="J3956">
        <f t="shared" si="122"/>
        <v>2417.9906999999998</v>
      </c>
      <c r="K3956" s="9">
        <f t="shared" si="123"/>
        <v>1.025599375080666</v>
      </c>
    </row>
    <row r="3957" spans="1:11" x14ac:dyDescent="0.3">
      <c r="A3957">
        <v>1355</v>
      </c>
      <c r="B3957">
        <v>3</v>
      </c>
      <c r="C3957">
        <v>149</v>
      </c>
      <c r="D3957" t="str">
        <f>VLOOKUP($C3957,products!$A$1:$F$322,MATCH(order_items!$D$1,products!$A$1:$F$1,0),FALSE)</f>
        <v>Trek Domane SLR 8 Disc - 2018</v>
      </c>
      <c r="E3957">
        <f>VLOOKUP($C3957,products!$A$1:$F$322,MATCH(order_items!$E$1,products!$A$1:$F$1,0),FALSE)</f>
        <v>7</v>
      </c>
      <c r="F3957" t="str">
        <f>VLOOKUP($E3957,categories!$A$1:$B$8,MATCH(order_items!$F$1,categories!$A$1:$B$1,0),FALSE)</f>
        <v>Road Bikes</v>
      </c>
      <c r="G3957">
        <v>1</v>
      </c>
      <c r="H3957">
        <v>7499.99</v>
      </c>
      <c r="I3957" s="5">
        <v>0.2</v>
      </c>
      <c r="J3957">
        <f t="shared" si="122"/>
        <v>5999.9920000000002</v>
      </c>
      <c r="K3957" s="9">
        <f t="shared" si="123"/>
        <v>4.6481047294353299</v>
      </c>
    </row>
    <row r="3958" spans="1:11" x14ac:dyDescent="0.3">
      <c r="A3958">
        <v>1355</v>
      </c>
      <c r="B3958">
        <v>4</v>
      </c>
      <c r="C3958">
        <v>313</v>
      </c>
      <c r="D3958" t="str">
        <f>VLOOKUP($C3958,products!$A$1:$F$322,MATCH(order_items!$D$1,products!$A$1:$F$1,0),FALSE)</f>
        <v>Electra Townie Original 1 Ladies' - 2018</v>
      </c>
      <c r="E3958">
        <f>VLOOKUP($C3958,products!$A$1:$F$322,MATCH(order_items!$E$1,products!$A$1:$F$1,0),FALSE)</f>
        <v>2</v>
      </c>
      <c r="F3958" t="str">
        <f>VLOOKUP($E3958,categories!$A$1:$B$8,MATCH(order_items!$F$1,categories!$A$1:$B$1,0),FALSE)</f>
        <v>Comfort Bicycles</v>
      </c>
      <c r="G3958">
        <v>2</v>
      </c>
      <c r="H3958">
        <v>449.99</v>
      </c>
      <c r="I3958" s="5">
        <v>0.1</v>
      </c>
      <c r="J3958">
        <f t="shared" si="122"/>
        <v>809.98200000000008</v>
      </c>
      <c r="K3958" s="9">
        <f t="shared" si="123"/>
        <v>-0.56386725999331866</v>
      </c>
    </row>
    <row r="3959" spans="1:11" x14ac:dyDescent="0.3">
      <c r="A3959">
        <v>1356</v>
      </c>
      <c r="B3959">
        <v>1</v>
      </c>
      <c r="C3959">
        <v>192</v>
      </c>
      <c r="D3959" t="str">
        <f>VLOOKUP($C3959,products!$A$1:$F$322,MATCH(order_items!$D$1,products!$A$1:$F$1,0),FALSE)</f>
        <v>Electra Townie Go! 8i - 2017/2018</v>
      </c>
      <c r="E3959">
        <f>VLOOKUP($C3959,products!$A$1:$F$322,MATCH(order_items!$E$1,products!$A$1:$F$1,0),FALSE)</f>
        <v>5</v>
      </c>
      <c r="F3959" t="str">
        <f>VLOOKUP($E3959,categories!$A$1:$B$8,MATCH(order_items!$F$1,categories!$A$1:$B$1,0),FALSE)</f>
        <v>Electric Bikes</v>
      </c>
      <c r="G3959">
        <v>1</v>
      </c>
      <c r="H3959">
        <v>2599.9899999999998</v>
      </c>
      <c r="I3959" s="5">
        <v>0.05</v>
      </c>
      <c r="J3959">
        <f t="shared" si="122"/>
        <v>2469.9904999999999</v>
      </c>
      <c r="K3959" s="9">
        <f t="shared" si="123"/>
        <v>1.025599375080666</v>
      </c>
    </row>
    <row r="3960" spans="1:11" x14ac:dyDescent="0.3">
      <c r="A3960">
        <v>1356</v>
      </c>
      <c r="B3960">
        <v>2</v>
      </c>
      <c r="C3960">
        <v>199</v>
      </c>
      <c r="D3960" t="str">
        <f>VLOOKUP($C3960,products!$A$1:$F$322,MATCH(order_items!$D$1,products!$A$1:$F$1,0),FALSE)</f>
        <v>Electra Townie Commute Go! Ladies' - 2018</v>
      </c>
      <c r="E3960">
        <f>VLOOKUP($C3960,products!$A$1:$F$322,MATCH(order_items!$E$1,products!$A$1:$F$1,0),FALSE)</f>
        <v>5</v>
      </c>
      <c r="F3960" t="str">
        <f>VLOOKUP($E3960,categories!$A$1:$B$8,MATCH(order_items!$F$1,categories!$A$1:$B$1,0),FALSE)</f>
        <v>Electric Bikes</v>
      </c>
      <c r="G3960">
        <v>2</v>
      </c>
      <c r="H3960">
        <v>2999.99</v>
      </c>
      <c r="I3960" s="5">
        <v>0.1</v>
      </c>
      <c r="J3960">
        <f t="shared" si="122"/>
        <v>5399.982</v>
      </c>
      <c r="K3960" s="9">
        <f t="shared" si="123"/>
        <v>1.3213140978851283</v>
      </c>
    </row>
    <row r="3961" spans="1:11" x14ac:dyDescent="0.3">
      <c r="A3961">
        <v>1356</v>
      </c>
      <c r="B3961">
        <v>3</v>
      </c>
      <c r="C3961">
        <v>276</v>
      </c>
      <c r="D3961" t="str">
        <f>VLOOKUP($C3961,products!$A$1:$F$322,MATCH(order_items!$D$1,products!$A$1:$F$1,0),FALSE)</f>
        <v>Trek Precaliber 24 (7-Speed) - Boys - 2018</v>
      </c>
      <c r="E3961">
        <f>VLOOKUP($C3961,products!$A$1:$F$322,MATCH(order_items!$E$1,products!$A$1:$F$1,0),FALSE)</f>
        <v>1</v>
      </c>
      <c r="F3961" t="str">
        <f>VLOOKUP($E3961,categories!$A$1:$B$8,MATCH(order_items!$F$1,categories!$A$1:$B$1,0),FALSE)</f>
        <v>Children Bicycles</v>
      </c>
      <c r="G3961">
        <v>2</v>
      </c>
      <c r="H3961">
        <v>319.99</v>
      </c>
      <c r="I3961" s="5">
        <v>0.1</v>
      </c>
      <c r="J3961">
        <f t="shared" si="122"/>
        <v>575.98200000000008</v>
      </c>
      <c r="K3961" s="9">
        <f t="shared" si="123"/>
        <v>-0.65997454490476892</v>
      </c>
    </row>
    <row r="3962" spans="1:11" x14ac:dyDescent="0.3">
      <c r="A3962">
        <v>1357</v>
      </c>
      <c r="B3962">
        <v>1</v>
      </c>
      <c r="C3962">
        <v>145</v>
      </c>
      <c r="D3962" t="str">
        <f>VLOOKUP($C3962,products!$A$1:$F$322,MATCH(order_items!$D$1,products!$A$1:$F$1,0),FALSE)</f>
        <v>Trek Domane ALR 5 Disc - 2018</v>
      </c>
      <c r="E3962">
        <f>VLOOKUP($C3962,products!$A$1:$F$322,MATCH(order_items!$E$1,products!$A$1:$F$1,0),FALSE)</f>
        <v>7</v>
      </c>
      <c r="F3962" t="str">
        <f>VLOOKUP($E3962,categories!$A$1:$B$8,MATCH(order_items!$F$1,categories!$A$1:$B$1,0),FALSE)</f>
        <v>Road Bikes</v>
      </c>
      <c r="G3962">
        <v>2</v>
      </c>
      <c r="H3962">
        <v>1799.99</v>
      </c>
      <c r="I3962" s="5">
        <v>0.2</v>
      </c>
      <c r="J3962">
        <f t="shared" si="122"/>
        <v>2879.9840000000004</v>
      </c>
      <c r="K3962" s="9">
        <f t="shared" si="123"/>
        <v>0.43416992947174166</v>
      </c>
    </row>
    <row r="3963" spans="1:11" x14ac:dyDescent="0.3">
      <c r="A3963">
        <v>1357</v>
      </c>
      <c r="B3963">
        <v>2</v>
      </c>
      <c r="C3963">
        <v>60</v>
      </c>
      <c r="D3963" t="str">
        <f>VLOOKUP($C3963,products!$A$1:$F$322,MATCH(order_items!$D$1,products!$A$1:$F$1,0),FALSE)</f>
        <v>Sun Bicycles ElectroLite - 2017</v>
      </c>
      <c r="E3963">
        <f>VLOOKUP($C3963,products!$A$1:$F$322,MATCH(order_items!$E$1,products!$A$1:$F$1,0),FALSE)</f>
        <v>5</v>
      </c>
      <c r="F3963" t="str">
        <f>VLOOKUP($E3963,categories!$A$1:$B$8,MATCH(order_items!$F$1,categories!$A$1:$B$1,0),FALSE)</f>
        <v>Electric Bikes</v>
      </c>
      <c r="G3963">
        <v>1</v>
      </c>
      <c r="H3963">
        <v>1559.99</v>
      </c>
      <c r="I3963" s="5">
        <v>0.2</v>
      </c>
      <c r="J3963">
        <f t="shared" si="122"/>
        <v>1247.9920000000002</v>
      </c>
      <c r="K3963" s="9">
        <f t="shared" si="123"/>
        <v>0.25674109578906423</v>
      </c>
    </row>
    <row r="3964" spans="1:11" x14ac:dyDescent="0.3">
      <c r="A3964">
        <v>1357</v>
      </c>
      <c r="B3964">
        <v>3</v>
      </c>
      <c r="C3964">
        <v>130</v>
      </c>
      <c r="D3964" t="str">
        <f>VLOOKUP($C3964,products!$A$1:$F$322,MATCH(order_items!$D$1,products!$A$1:$F$1,0),FALSE)</f>
        <v>Trek Stache Carbon Frameset - 2018</v>
      </c>
      <c r="E3964">
        <f>VLOOKUP($C3964,products!$A$1:$F$322,MATCH(order_items!$E$1,products!$A$1:$F$1,0),FALSE)</f>
        <v>6</v>
      </c>
      <c r="F3964" t="str">
        <f>VLOOKUP($E3964,categories!$A$1:$B$8,MATCH(order_items!$F$1,categories!$A$1:$B$1,0),FALSE)</f>
        <v>Mountain Bikes</v>
      </c>
      <c r="G3964">
        <v>1</v>
      </c>
      <c r="H3964">
        <v>919.99</v>
      </c>
      <c r="I3964" s="5">
        <v>0.2</v>
      </c>
      <c r="J3964">
        <f t="shared" si="122"/>
        <v>735.99200000000008</v>
      </c>
      <c r="K3964" s="9">
        <f t="shared" si="123"/>
        <v>-0.21640246069807545</v>
      </c>
    </row>
    <row r="3965" spans="1:11" x14ac:dyDescent="0.3">
      <c r="A3965">
        <v>1358</v>
      </c>
      <c r="B3965">
        <v>1</v>
      </c>
      <c r="C3965">
        <v>257</v>
      </c>
      <c r="D3965" t="str">
        <f>VLOOKUP($C3965,products!$A$1:$F$322,MATCH(order_items!$D$1,products!$A$1:$F$1,0),FALSE)</f>
        <v>Electra Amsterdam Fashion 3i Ladies' - 2017/2018</v>
      </c>
      <c r="E3965">
        <f>VLOOKUP($C3965,products!$A$1:$F$322,MATCH(order_items!$E$1,products!$A$1:$F$1,0),FALSE)</f>
        <v>3</v>
      </c>
      <c r="F3965" t="str">
        <f>VLOOKUP($E3965,categories!$A$1:$B$8,MATCH(order_items!$F$1,categories!$A$1:$B$1,0),FALSE)</f>
        <v>Cruisers Bicycles</v>
      </c>
      <c r="G3965">
        <v>2</v>
      </c>
      <c r="H3965">
        <v>899.99</v>
      </c>
      <c r="I3965" s="5">
        <v>0.2</v>
      </c>
      <c r="J3965">
        <f t="shared" si="122"/>
        <v>1439.9840000000002</v>
      </c>
      <c r="K3965" s="9">
        <f t="shared" si="123"/>
        <v>-0.23118819683829855</v>
      </c>
    </row>
    <row r="3966" spans="1:11" x14ac:dyDescent="0.3">
      <c r="A3966">
        <v>1359</v>
      </c>
      <c r="B3966">
        <v>1</v>
      </c>
      <c r="C3966">
        <v>282</v>
      </c>
      <c r="D3966" t="str">
        <f>VLOOKUP($C3966,products!$A$1:$F$322,MATCH(order_items!$D$1,products!$A$1:$F$1,0),FALSE)</f>
        <v>Electra Cyclosaurus 1 (16-inch) - Boy's - 2018</v>
      </c>
      <c r="E3966">
        <f>VLOOKUP($C3966,products!$A$1:$F$322,MATCH(order_items!$E$1,products!$A$1:$F$1,0),FALSE)</f>
        <v>1</v>
      </c>
      <c r="F3966" t="str">
        <f>VLOOKUP($E3966,categories!$A$1:$B$8,MATCH(order_items!$F$1,categories!$A$1:$B$1,0),FALSE)</f>
        <v>Children Bicycles</v>
      </c>
      <c r="G3966">
        <v>1</v>
      </c>
      <c r="H3966">
        <v>279.99</v>
      </c>
      <c r="I3966" s="5">
        <v>0.05</v>
      </c>
      <c r="J3966">
        <f t="shared" si="122"/>
        <v>265.9905</v>
      </c>
      <c r="K3966" s="9">
        <f t="shared" si="123"/>
        <v>-0.68954601718521513</v>
      </c>
    </row>
    <row r="3967" spans="1:11" x14ac:dyDescent="0.3">
      <c r="A3967">
        <v>1359</v>
      </c>
      <c r="B3967">
        <v>2</v>
      </c>
      <c r="C3967">
        <v>82</v>
      </c>
      <c r="D3967" t="str">
        <f>VLOOKUP($C3967,products!$A$1:$F$322,MATCH(order_items!$D$1,products!$A$1:$F$1,0),FALSE)</f>
        <v>Electra Amsterdam Original 3i Ladies' - 2017</v>
      </c>
      <c r="E3967">
        <f>VLOOKUP($C3967,products!$A$1:$F$322,MATCH(order_items!$E$1,products!$A$1:$F$1,0),FALSE)</f>
        <v>3</v>
      </c>
      <c r="F3967" t="str">
        <f>VLOOKUP($E3967,categories!$A$1:$B$8,MATCH(order_items!$F$1,categories!$A$1:$B$1,0),FALSE)</f>
        <v>Cruisers Bicycles</v>
      </c>
      <c r="G3967">
        <v>1</v>
      </c>
      <c r="H3967">
        <v>659.99</v>
      </c>
      <c r="I3967" s="5">
        <v>0.05</v>
      </c>
      <c r="J3967">
        <f t="shared" si="122"/>
        <v>626.9905</v>
      </c>
      <c r="K3967" s="9">
        <f t="shared" si="123"/>
        <v>-0.40861703052097592</v>
      </c>
    </row>
    <row r="3968" spans="1:11" x14ac:dyDescent="0.3">
      <c r="A3968">
        <v>1360</v>
      </c>
      <c r="B3968">
        <v>1</v>
      </c>
      <c r="C3968">
        <v>31</v>
      </c>
      <c r="D3968" t="str">
        <f>VLOOKUP($C3968,products!$A$1:$F$322,MATCH(order_items!$D$1,products!$A$1:$F$1,0),FALSE)</f>
        <v>Surly Wednesday - 2017</v>
      </c>
      <c r="E3968">
        <f>VLOOKUP($C3968,products!$A$1:$F$322,MATCH(order_items!$E$1,products!$A$1:$F$1,0),FALSE)</f>
        <v>6</v>
      </c>
      <c r="F3968" t="str">
        <f>VLOOKUP($E3968,categories!$A$1:$B$8,MATCH(order_items!$F$1,categories!$A$1:$B$1,0),FALSE)</f>
        <v>Mountain Bikes</v>
      </c>
      <c r="G3968">
        <v>1</v>
      </c>
      <c r="H3968">
        <v>1632.99</v>
      </c>
      <c r="I3968" s="5">
        <v>0.05</v>
      </c>
      <c r="J3968">
        <f t="shared" si="122"/>
        <v>1551.3405</v>
      </c>
      <c r="K3968" s="9">
        <f t="shared" si="123"/>
        <v>0.31070903270087863</v>
      </c>
    </row>
    <row r="3969" spans="1:11" x14ac:dyDescent="0.3">
      <c r="A3969">
        <v>1361</v>
      </c>
      <c r="B3969">
        <v>1</v>
      </c>
      <c r="C3969">
        <v>307</v>
      </c>
      <c r="D3969" t="str">
        <f>VLOOKUP($C3969,products!$A$1:$F$322,MATCH(order_items!$D$1,products!$A$1:$F$1,0),FALSE)</f>
        <v>Electra Townie Balloon 8D EQ - 2016/2017/2018</v>
      </c>
      <c r="E3969">
        <f>VLOOKUP($C3969,products!$A$1:$F$322,MATCH(order_items!$E$1,products!$A$1:$F$1,0),FALSE)</f>
        <v>2</v>
      </c>
      <c r="F3969" t="str">
        <f>VLOOKUP($E3969,categories!$A$1:$B$8,MATCH(order_items!$F$1,categories!$A$1:$B$1,0),FALSE)</f>
        <v>Comfort Bicycles</v>
      </c>
      <c r="G3969">
        <v>2</v>
      </c>
      <c r="H3969">
        <v>749.99</v>
      </c>
      <c r="I3969" s="5">
        <v>7.0000000000000007E-2</v>
      </c>
      <c r="J3969">
        <f t="shared" si="122"/>
        <v>1394.9813999999999</v>
      </c>
      <c r="K3969" s="9">
        <f t="shared" si="123"/>
        <v>-0.34208121788997192</v>
      </c>
    </row>
    <row r="3970" spans="1:11" x14ac:dyDescent="0.3">
      <c r="A3970">
        <v>1361</v>
      </c>
      <c r="B3970">
        <v>2</v>
      </c>
      <c r="C3970">
        <v>153</v>
      </c>
      <c r="D3970" t="str">
        <f>VLOOKUP($C3970,products!$A$1:$F$322,MATCH(order_items!$D$1,products!$A$1:$F$1,0),FALSE)</f>
        <v>Trek Domane SL 7 Women's - 2018</v>
      </c>
      <c r="E3970">
        <f>VLOOKUP($C3970,products!$A$1:$F$322,MATCH(order_items!$E$1,products!$A$1:$F$1,0),FALSE)</f>
        <v>7</v>
      </c>
      <c r="F3970" t="str">
        <f>VLOOKUP($E3970,categories!$A$1:$B$8,MATCH(order_items!$F$1,categories!$A$1:$B$1,0),FALSE)</f>
        <v>Road Bikes</v>
      </c>
      <c r="G3970">
        <v>1</v>
      </c>
      <c r="H3970">
        <v>4999.99</v>
      </c>
      <c r="I3970" s="5">
        <v>0.05</v>
      </c>
      <c r="J3970">
        <f t="shared" ref="J3970:J4033" si="124">G3970*H3970*(1-I3970)</f>
        <v>4749.9904999999999</v>
      </c>
      <c r="K3970" s="9">
        <f t="shared" ref="K3970:K4033" si="125">($H3970-$M$7)/$M$9</f>
        <v>2.7998877119074401</v>
      </c>
    </row>
    <row r="3971" spans="1:11" x14ac:dyDescent="0.3">
      <c r="A3971">
        <v>1361</v>
      </c>
      <c r="B3971">
        <v>3</v>
      </c>
      <c r="C3971">
        <v>163</v>
      </c>
      <c r="D3971" t="str">
        <f>VLOOKUP($C3971,products!$A$1:$F$322,MATCH(order_items!$D$1,products!$A$1:$F$1,0),FALSE)</f>
        <v>Surly Pack Rat - 2018</v>
      </c>
      <c r="E3971">
        <f>VLOOKUP($C3971,products!$A$1:$F$322,MATCH(order_items!$E$1,products!$A$1:$F$1,0),FALSE)</f>
        <v>7</v>
      </c>
      <c r="F3971" t="str">
        <f>VLOOKUP($E3971,categories!$A$1:$B$8,MATCH(order_items!$F$1,categories!$A$1:$B$1,0),FALSE)</f>
        <v>Road Bikes</v>
      </c>
      <c r="G3971">
        <v>2</v>
      </c>
      <c r="H3971">
        <v>1349</v>
      </c>
      <c r="I3971" s="5">
        <v>0.2</v>
      </c>
      <c r="J3971">
        <f t="shared" si="124"/>
        <v>2158.4</v>
      </c>
      <c r="K3971" s="9">
        <f t="shared" si="125"/>
        <v>0.10075897237778049</v>
      </c>
    </row>
    <row r="3972" spans="1:11" x14ac:dyDescent="0.3">
      <c r="A3972">
        <v>1362</v>
      </c>
      <c r="B3972">
        <v>1</v>
      </c>
      <c r="C3972">
        <v>27</v>
      </c>
      <c r="D3972" t="str">
        <f>VLOOKUP($C3972,products!$A$1:$F$322,MATCH(order_items!$D$1,products!$A$1:$F$1,0),FALSE)</f>
        <v>Surly Big Dummy Frameset - 2017</v>
      </c>
      <c r="E3972">
        <f>VLOOKUP($C3972,products!$A$1:$F$322,MATCH(order_items!$E$1,products!$A$1:$F$1,0),FALSE)</f>
        <v>6</v>
      </c>
      <c r="F3972" t="str">
        <f>VLOOKUP($E3972,categories!$A$1:$B$8,MATCH(order_items!$F$1,categories!$A$1:$B$1,0),FALSE)</f>
        <v>Mountain Bikes</v>
      </c>
      <c r="G3972">
        <v>2</v>
      </c>
      <c r="H3972">
        <v>999.99</v>
      </c>
      <c r="I3972" s="5">
        <v>0.2</v>
      </c>
      <c r="J3972">
        <f t="shared" si="124"/>
        <v>1599.9840000000002</v>
      </c>
      <c r="K3972" s="9">
        <f t="shared" si="125"/>
        <v>-0.15725951613718298</v>
      </c>
    </row>
    <row r="3973" spans="1:11" x14ac:dyDescent="0.3">
      <c r="A3973">
        <v>1362</v>
      </c>
      <c r="B3973">
        <v>2</v>
      </c>
      <c r="C3973">
        <v>204</v>
      </c>
      <c r="D3973" t="str">
        <f>VLOOKUP($C3973,products!$A$1:$F$322,MATCH(order_items!$D$1,products!$A$1:$F$1,0),FALSE)</f>
        <v>Trek Super Commuter+ 7 - 2018</v>
      </c>
      <c r="E3973">
        <f>VLOOKUP($C3973,products!$A$1:$F$322,MATCH(order_items!$E$1,products!$A$1:$F$1,0),FALSE)</f>
        <v>5</v>
      </c>
      <c r="F3973" t="str">
        <f>VLOOKUP($E3973,categories!$A$1:$B$8,MATCH(order_items!$F$1,categories!$A$1:$B$1,0),FALSE)</f>
        <v>Electric Bikes</v>
      </c>
      <c r="G3973">
        <v>2</v>
      </c>
      <c r="H3973">
        <v>3599.99</v>
      </c>
      <c r="I3973" s="5">
        <v>7.0000000000000007E-2</v>
      </c>
      <c r="J3973">
        <f t="shared" si="124"/>
        <v>6695.9813999999988</v>
      </c>
      <c r="K3973" s="9">
        <f t="shared" si="125"/>
        <v>1.764886182091822</v>
      </c>
    </row>
    <row r="3974" spans="1:11" x14ac:dyDescent="0.3">
      <c r="A3974">
        <v>1362</v>
      </c>
      <c r="B3974">
        <v>3</v>
      </c>
      <c r="C3974">
        <v>4</v>
      </c>
      <c r="D3974" t="str">
        <f>VLOOKUP($C3974,products!$A$1:$F$322,MATCH(order_items!$D$1,products!$A$1:$F$1,0),FALSE)</f>
        <v>Trek Fuel EX 8 29 - 2016</v>
      </c>
      <c r="E3974">
        <f>VLOOKUP($C3974,products!$A$1:$F$322,MATCH(order_items!$E$1,products!$A$1:$F$1,0),FALSE)</f>
        <v>6</v>
      </c>
      <c r="F3974" t="str">
        <f>VLOOKUP($E3974,categories!$A$1:$B$8,MATCH(order_items!$F$1,categories!$A$1:$B$1,0),FALSE)</f>
        <v>Mountain Bikes</v>
      </c>
      <c r="G3974">
        <v>2</v>
      </c>
      <c r="H3974">
        <v>2899.99</v>
      </c>
      <c r="I3974" s="5">
        <v>0.2</v>
      </c>
      <c r="J3974">
        <f t="shared" si="124"/>
        <v>4639.9839999999995</v>
      </c>
      <c r="K3974" s="9">
        <f t="shared" si="125"/>
        <v>1.2473854171840129</v>
      </c>
    </row>
    <row r="3975" spans="1:11" x14ac:dyDescent="0.3">
      <c r="A3975">
        <v>1363</v>
      </c>
      <c r="B3975">
        <v>1</v>
      </c>
      <c r="C3975">
        <v>66</v>
      </c>
      <c r="D3975" t="str">
        <f>VLOOKUP($C3975,products!$A$1:$F$322,MATCH(order_items!$D$1,products!$A$1:$F$1,0),FALSE)</f>
        <v>Sun Bicycles Revolutions 24 - 2017</v>
      </c>
      <c r="E3975">
        <f>VLOOKUP($C3975,products!$A$1:$F$322,MATCH(order_items!$E$1,products!$A$1:$F$1,0),FALSE)</f>
        <v>3</v>
      </c>
      <c r="F3975" t="str">
        <f>VLOOKUP($E3975,categories!$A$1:$B$8,MATCH(order_items!$F$1,categories!$A$1:$B$1,0),FALSE)</f>
        <v>Cruisers Bicycles</v>
      </c>
      <c r="G3975">
        <v>2</v>
      </c>
      <c r="H3975">
        <v>250.99</v>
      </c>
      <c r="I3975" s="5">
        <v>0.1</v>
      </c>
      <c r="J3975">
        <f t="shared" si="124"/>
        <v>451.78200000000004</v>
      </c>
      <c r="K3975" s="9">
        <f t="shared" si="125"/>
        <v>-0.71098533458853863</v>
      </c>
    </row>
    <row r="3976" spans="1:11" x14ac:dyDescent="0.3">
      <c r="A3976">
        <v>1364</v>
      </c>
      <c r="B3976">
        <v>1</v>
      </c>
      <c r="C3976">
        <v>78</v>
      </c>
      <c r="D3976" t="str">
        <f>VLOOKUP($C3976,products!$A$1:$F$322,MATCH(order_items!$D$1,products!$A$1:$F$1,0),FALSE)</f>
        <v>Sun Bicycles Biscayne Tandem CB - 2017</v>
      </c>
      <c r="E3976">
        <f>VLOOKUP($C3976,products!$A$1:$F$322,MATCH(order_items!$E$1,products!$A$1:$F$1,0),FALSE)</f>
        <v>3</v>
      </c>
      <c r="F3976" t="str">
        <f>VLOOKUP($E3976,categories!$A$1:$B$8,MATCH(order_items!$F$1,categories!$A$1:$B$1,0),FALSE)</f>
        <v>Cruisers Bicycles</v>
      </c>
      <c r="G3976">
        <v>1</v>
      </c>
      <c r="H3976">
        <v>647.99</v>
      </c>
      <c r="I3976" s="5">
        <v>7.0000000000000007E-2</v>
      </c>
      <c r="J3976">
        <f t="shared" si="124"/>
        <v>602.63069999999993</v>
      </c>
      <c r="K3976" s="9">
        <f t="shared" si="125"/>
        <v>-0.41748847220510982</v>
      </c>
    </row>
    <row r="3977" spans="1:11" x14ac:dyDescent="0.3">
      <c r="A3977">
        <v>1364</v>
      </c>
      <c r="B3977">
        <v>2</v>
      </c>
      <c r="C3977">
        <v>155</v>
      </c>
      <c r="D3977" t="str">
        <f>VLOOKUP($C3977,products!$A$1:$F$322,MATCH(order_items!$D$1,products!$A$1:$F$1,0),FALSE)</f>
        <v>Trek Domane SLR 9 Disc - 2018</v>
      </c>
      <c r="E3977">
        <f>VLOOKUP($C3977,products!$A$1:$F$322,MATCH(order_items!$E$1,products!$A$1:$F$1,0),FALSE)</f>
        <v>7</v>
      </c>
      <c r="F3977" t="str">
        <f>VLOOKUP($E3977,categories!$A$1:$B$8,MATCH(order_items!$F$1,categories!$A$1:$B$1,0),FALSE)</f>
        <v>Road Bikes</v>
      </c>
      <c r="G3977">
        <v>2</v>
      </c>
      <c r="H3977">
        <v>11999.99</v>
      </c>
      <c r="I3977" s="5">
        <v>0.1</v>
      </c>
      <c r="J3977">
        <f t="shared" si="124"/>
        <v>21599.982</v>
      </c>
      <c r="K3977" s="9">
        <f t="shared" si="125"/>
        <v>7.9748953609855304</v>
      </c>
    </row>
    <row r="3978" spans="1:11" x14ac:dyDescent="0.3">
      <c r="A3978">
        <v>1364</v>
      </c>
      <c r="B3978">
        <v>3</v>
      </c>
      <c r="C3978">
        <v>152</v>
      </c>
      <c r="D3978" t="str">
        <f>VLOOKUP($C3978,products!$A$1:$F$322,MATCH(order_items!$D$1,products!$A$1:$F$1,0),FALSE)</f>
        <v>Trek Domane SL 5 Disc Women's - 2018</v>
      </c>
      <c r="E3978">
        <f>VLOOKUP($C3978,products!$A$1:$F$322,MATCH(order_items!$E$1,products!$A$1:$F$1,0),FALSE)</f>
        <v>7</v>
      </c>
      <c r="F3978" t="str">
        <f>VLOOKUP($E3978,categories!$A$1:$B$8,MATCH(order_items!$F$1,categories!$A$1:$B$1,0),FALSE)</f>
        <v>Road Bikes</v>
      </c>
      <c r="G3978">
        <v>1</v>
      </c>
      <c r="H3978">
        <v>2499.9899999999998</v>
      </c>
      <c r="I3978" s="5">
        <v>0.1</v>
      </c>
      <c r="J3978">
        <f t="shared" si="124"/>
        <v>2249.991</v>
      </c>
      <c r="K3978" s="9">
        <f t="shared" si="125"/>
        <v>0.95167069437955054</v>
      </c>
    </row>
    <row r="3979" spans="1:11" x14ac:dyDescent="0.3">
      <c r="A3979">
        <v>1364</v>
      </c>
      <c r="B3979">
        <v>4</v>
      </c>
      <c r="C3979">
        <v>110</v>
      </c>
      <c r="D3979" t="str">
        <f>VLOOKUP($C3979,products!$A$1:$F$322,MATCH(order_items!$D$1,products!$A$1:$F$1,0),FALSE)</f>
        <v>Sun Bicycles Drifter 7 - 2017</v>
      </c>
      <c r="E3979">
        <f>VLOOKUP($C3979,products!$A$1:$F$322,MATCH(order_items!$E$1,products!$A$1:$F$1,0),FALSE)</f>
        <v>2</v>
      </c>
      <c r="F3979" t="str">
        <f>VLOOKUP($E3979,categories!$A$1:$B$8,MATCH(order_items!$F$1,categories!$A$1:$B$1,0),FALSE)</f>
        <v>Comfort Bicycles</v>
      </c>
      <c r="G3979">
        <v>1</v>
      </c>
      <c r="H3979">
        <v>470.99</v>
      </c>
      <c r="I3979" s="5">
        <v>7.0000000000000007E-2</v>
      </c>
      <c r="J3979">
        <f t="shared" si="124"/>
        <v>438.02069999999998</v>
      </c>
      <c r="K3979" s="9">
        <f t="shared" si="125"/>
        <v>-0.54834223704608442</v>
      </c>
    </row>
    <row r="3980" spans="1:11" x14ac:dyDescent="0.3">
      <c r="A3980">
        <v>1365</v>
      </c>
      <c r="B3980">
        <v>1</v>
      </c>
      <c r="C3980">
        <v>144</v>
      </c>
      <c r="D3980" t="str">
        <f>VLOOKUP($C3980,products!$A$1:$F$322,MATCH(order_items!$D$1,products!$A$1:$F$1,0),FALSE)</f>
        <v>Trek Domane ALR 4 Disc - 2018</v>
      </c>
      <c r="E3980">
        <f>VLOOKUP($C3980,products!$A$1:$F$322,MATCH(order_items!$E$1,products!$A$1:$F$1,0),FALSE)</f>
        <v>7</v>
      </c>
      <c r="F3980" t="str">
        <f>VLOOKUP($E3980,categories!$A$1:$B$8,MATCH(order_items!$F$1,categories!$A$1:$B$1,0),FALSE)</f>
        <v>Road Bikes</v>
      </c>
      <c r="G3980">
        <v>1</v>
      </c>
      <c r="H3980">
        <v>1549.99</v>
      </c>
      <c r="I3980" s="5">
        <v>7.0000000000000007E-2</v>
      </c>
      <c r="J3980">
        <f t="shared" si="124"/>
        <v>1441.4906999999998</v>
      </c>
      <c r="K3980" s="9">
        <f t="shared" si="125"/>
        <v>0.24934822771895271</v>
      </c>
    </row>
    <row r="3981" spans="1:11" x14ac:dyDescent="0.3">
      <c r="A3981">
        <v>1365</v>
      </c>
      <c r="B3981">
        <v>2</v>
      </c>
      <c r="C3981">
        <v>58</v>
      </c>
      <c r="D3981" t="str">
        <f>VLOOKUP($C3981,products!$A$1:$F$322,MATCH(order_items!$D$1,products!$A$1:$F$1,0),FALSE)</f>
        <v>Trek Madone 9.2 - 2017</v>
      </c>
      <c r="E3981">
        <f>VLOOKUP($C3981,products!$A$1:$F$322,MATCH(order_items!$E$1,products!$A$1:$F$1,0),FALSE)</f>
        <v>7</v>
      </c>
      <c r="F3981" t="str">
        <f>VLOOKUP($E3981,categories!$A$1:$B$8,MATCH(order_items!$F$1,categories!$A$1:$B$1,0),FALSE)</f>
        <v>Road Bikes</v>
      </c>
      <c r="G3981">
        <v>1</v>
      </c>
      <c r="H3981">
        <v>4999.99</v>
      </c>
      <c r="I3981" s="5">
        <v>7.0000000000000007E-2</v>
      </c>
      <c r="J3981">
        <f t="shared" si="124"/>
        <v>4649.9906999999994</v>
      </c>
      <c r="K3981" s="9">
        <f t="shared" si="125"/>
        <v>2.7998877119074401</v>
      </c>
    </row>
    <row r="3982" spans="1:11" x14ac:dyDescent="0.3">
      <c r="A3982">
        <v>1365</v>
      </c>
      <c r="B3982">
        <v>3</v>
      </c>
      <c r="C3982">
        <v>236</v>
      </c>
      <c r="D3982" t="str">
        <f>VLOOKUP($C3982,products!$A$1:$F$322,MATCH(order_items!$D$1,products!$A$1:$F$1,0),FALSE)</f>
        <v>Electra Morningstar 3i Ladies' - 2018</v>
      </c>
      <c r="E3982">
        <f>VLOOKUP($C3982,products!$A$1:$F$322,MATCH(order_items!$E$1,products!$A$1:$F$1,0),FALSE)</f>
        <v>3</v>
      </c>
      <c r="F3982" t="str">
        <f>VLOOKUP($E3982,categories!$A$1:$B$8,MATCH(order_items!$F$1,categories!$A$1:$B$1,0),FALSE)</f>
        <v>Cruisers Bicycles</v>
      </c>
      <c r="G3982">
        <v>1</v>
      </c>
      <c r="H3982">
        <v>749.99</v>
      </c>
      <c r="I3982" s="5">
        <v>0.05</v>
      </c>
      <c r="J3982">
        <f t="shared" si="124"/>
        <v>712.4905</v>
      </c>
      <c r="K3982" s="9">
        <f t="shared" si="125"/>
        <v>-0.34208121788997192</v>
      </c>
    </row>
    <row r="3983" spans="1:11" x14ac:dyDescent="0.3">
      <c r="A3983">
        <v>1366</v>
      </c>
      <c r="B3983">
        <v>1</v>
      </c>
      <c r="C3983">
        <v>115</v>
      </c>
      <c r="D3983" t="str">
        <f>VLOOKUP($C3983,products!$A$1:$F$322,MATCH(order_items!$D$1,products!$A$1:$F$1,0),FALSE)</f>
        <v>Trek Fuel EX 8 29 - 2018</v>
      </c>
      <c r="E3983">
        <f>VLOOKUP($C3983,products!$A$1:$F$322,MATCH(order_items!$E$1,products!$A$1:$F$1,0),FALSE)</f>
        <v>6</v>
      </c>
      <c r="F3983" t="str">
        <f>VLOOKUP($E3983,categories!$A$1:$B$8,MATCH(order_items!$F$1,categories!$A$1:$B$1,0),FALSE)</f>
        <v>Mountain Bikes</v>
      </c>
      <c r="G3983">
        <v>1</v>
      </c>
      <c r="H3983">
        <v>3199.99</v>
      </c>
      <c r="I3983" s="5">
        <v>0.1</v>
      </c>
      <c r="J3983">
        <f t="shared" si="124"/>
        <v>2879.991</v>
      </c>
      <c r="K3983" s="9">
        <f t="shared" si="125"/>
        <v>1.4691714592873595</v>
      </c>
    </row>
    <row r="3984" spans="1:11" x14ac:dyDescent="0.3">
      <c r="A3984">
        <v>1366</v>
      </c>
      <c r="B3984">
        <v>2</v>
      </c>
      <c r="C3984">
        <v>128</v>
      </c>
      <c r="D3984" t="str">
        <f>VLOOKUP($C3984,products!$A$1:$F$322,MATCH(order_items!$D$1,products!$A$1:$F$1,0),FALSE)</f>
        <v>Surly ECR 27.5 - 2018</v>
      </c>
      <c r="E3984">
        <f>VLOOKUP($C3984,products!$A$1:$F$322,MATCH(order_items!$E$1,products!$A$1:$F$1,0),FALSE)</f>
        <v>6</v>
      </c>
      <c r="F3984" t="str">
        <f>VLOOKUP($E3984,categories!$A$1:$B$8,MATCH(order_items!$F$1,categories!$A$1:$B$1,0),FALSE)</f>
        <v>Mountain Bikes</v>
      </c>
      <c r="G3984">
        <v>2</v>
      </c>
      <c r="H3984">
        <v>1899</v>
      </c>
      <c r="I3984" s="5">
        <v>0.2</v>
      </c>
      <c r="J3984">
        <f t="shared" si="124"/>
        <v>3038.4</v>
      </c>
      <c r="K3984" s="9">
        <f t="shared" si="125"/>
        <v>0.50736671623391616</v>
      </c>
    </row>
    <row r="3985" spans="1:11" x14ac:dyDescent="0.3">
      <c r="A3985">
        <v>1366</v>
      </c>
      <c r="B3985">
        <v>3</v>
      </c>
      <c r="C3985">
        <v>200</v>
      </c>
      <c r="D3985" t="str">
        <f>VLOOKUP($C3985,products!$A$1:$F$322,MATCH(order_items!$D$1,products!$A$1:$F$1,0),FALSE)</f>
        <v>Trek Powerfly 5 - 2018</v>
      </c>
      <c r="E3985">
        <f>VLOOKUP($C3985,products!$A$1:$F$322,MATCH(order_items!$E$1,products!$A$1:$F$1,0),FALSE)</f>
        <v>5</v>
      </c>
      <c r="F3985" t="str">
        <f>VLOOKUP($E3985,categories!$A$1:$B$8,MATCH(order_items!$F$1,categories!$A$1:$B$1,0),FALSE)</f>
        <v>Electric Bikes</v>
      </c>
      <c r="G3985">
        <v>1</v>
      </c>
      <c r="H3985">
        <v>3499.99</v>
      </c>
      <c r="I3985" s="5">
        <v>7.0000000000000007E-2</v>
      </c>
      <c r="J3985">
        <f t="shared" si="124"/>
        <v>3254.9906999999994</v>
      </c>
      <c r="K3985" s="9">
        <f t="shared" si="125"/>
        <v>1.6909575013907066</v>
      </c>
    </row>
    <row r="3986" spans="1:11" x14ac:dyDescent="0.3">
      <c r="A3986">
        <v>1367</v>
      </c>
      <c r="B3986">
        <v>1</v>
      </c>
      <c r="C3986">
        <v>132</v>
      </c>
      <c r="D3986" t="str">
        <f>VLOOKUP($C3986,products!$A$1:$F$322,MATCH(order_items!$D$1,products!$A$1:$F$1,0),FALSE)</f>
        <v>Trek Procal AL Frameset - 2018</v>
      </c>
      <c r="E3986">
        <f>VLOOKUP($C3986,products!$A$1:$F$322,MATCH(order_items!$E$1,products!$A$1:$F$1,0),FALSE)</f>
        <v>6</v>
      </c>
      <c r="F3986" t="str">
        <f>VLOOKUP($E3986,categories!$A$1:$B$8,MATCH(order_items!$F$1,categories!$A$1:$B$1,0),FALSE)</f>
        <v>Mountain Bikes</v>
      </c>
      <c r="G3986">
        <v>1</v>
      </c>
      <c r="H3986">
        <v>1499.99</v>
      </c>
      <c r="I3986" s="5">
        <v>0.1</v>
      </c>
      <c r="J3986">
        <f t="shared" si="124"/>
        <v>1349.991</v>
      </c>
      <c r="K3986" s="9">
        <f t="shared" si="125"/>
        <v>0.21238388736839492</v>
      </c>
    </row>
    <row r="3987" spans="1:11" x14ac:dyDescent="0.3">
      <c r="A3987">
        <v>1367</v>
      </c>
      <c r="B3987">
        <v>2</v>
      </c>
      <c r="C3987">
        <v>131</v>
      </c>
      <c r="D3987" t="str">
        <f>VLOOKUP($C3987,products!$A$1:$F$322,MATCH(order_items!$D$1,products!$A$1:$F$1,0),FALSE)</f>
        <v>Heller Bloodhound Trail - 2018</v>
      </c>
      <c r="E3987">
        <f>VLOOKUP($C3987,products!$A$1:$F$322,MATCH(order_items!$E$1,products!$A$1:$F$1,0),FALSE)</f>
        <v>6</v>
      </c>
      <c r="F3987" t="str">
        <f>VLOOKUP($E3987,categories!$A$1:$B$8,MATCH(order_items!$F$1,categories!$A$1:$B$1,0),FALSE)</f>
        <v>Mountain Bikes</v>
      </c>
      <c r="G3987">
        <v>2</v>
      </c>
      <c r="H3987">
        <v>2599</v>
      </c>
      <c r="I3987" s="5">
        <v>0.2</v>
      </c>
      <c r="J3987">
        <f t="shared" si="124"/>
        <v>4158.4000000000005</v>
      </c>
      <c r="K3987" s="9">
        <f t="shared" si="125"/>
        <v>1.0248674811417253</v>
      </c>
    </row>
    <row r="3988" spans="1:11" x14ac:dyDescent="0.3">
      <c r="A3988">
        <v>1367</v>
      </c>
      <c r="B3988">
        <v>3</v>
      </c>
      <c r="C3988">
        <v>124</v>
      </c>
      <c r="D3988" t="str">
        <f>VLOOKUP($C3988,products!$A$1:$F$322,MATCH(order_items!$D$1,products!$A$1:$F$1,0),FALSE)</f>
        <v>Surly Krampus - 2018</v>
      </c>
      <c r="E3988">
        <f>VLOOKUP($C3988,products!$A$1:$F$322,MATCH(order_items!$E$1,products!$A$1:$F$1,0),FALSE)</f>
        <v>6</v>
      </c>
      <c r="F3988" t="str">
        <f>VLOOKUP($E3988,categories!$A$1:$B$8,MATCH(order_items!$F$1,categories!$A$1:$B$1,0),FALSE)</f>
        <v>Mountain Bikes</v>
      </c>
      <c r="G3988">
        <v>1</v>
      </c>
      <c r="H3988">
        <v>1499</v>
      </c>
      <c r="I3988" s="5">
        <v>7.0000000000000007E-2</v>
      </c>
      <c r="J3988">
        <f t="shared" si="124"/>
        <v>1394.07</v>
      </c>
      <c r="K3988" s="9">
        <f t="shared" si="125"/>
        <v>0.21165199342945387</v>
      </c>
    </row>
    <row r="3989" spans="1:11" x14ac:dyDescent="0.3">
      <c r="A3989">
        <v>1367</v>
      </c>
      <c r="B3989">
        <v>4</v>
      </c>
      <c r="C3989">
        <v>24</v>
      </c>
      <c r="D3989" t="str">
        <f>VLOOKUP($C3989,products!$A$1:$F$322,MATCH(order_items!$D$1,products!$A$1:$F$1,0),FALSE)</f>
        <v>Electra Townie Original 21D - 2016</v>
      </c>
      <c r="E3989">
        <f>VLOOKUP($C3989,products!$A$1:$F$322,MATCH(order_items!$E$1,products!$A$1:$F$1,0),FALSE)</f>
        <v>2</v>
      </c>
      <c r="F3989" t="str">
        <f>VLOOKUP($E3989,categories!$A$1:$B$8,MATCH(order_items!$F$1,categories!$A$1:$B$1,0),FALSE)</f>
        <v>Comfort Bicycles</v>
      </c>
      <c r="G3989">
        <v>2</v>
      </c>
      <c r="H3989">
        <v>549.99</v>
      </c>
      <c r="I3989" s="5">
        <v>0.05</v>
      </c>
      <c r="J3989">
        <f t="shared" si="124"/>
        <v>1044.981</v>
      </c>
      <c r="K3989" s="9">
        <f t="shared" si="125"/>
        <v>-0.48993857929220308</v>
      </c>
    </row>
    <row r="3990" spans="1:11" x14ac:dyDescent="0.3">
      <c r="A3990">
        <v>1368</v>
      </c>
      <c r="B3990">
        <v>1</v>
      </c>
      <c r="C3990">
        <v>66</v>
      </c>
      <c r="D3990" t="str">
        <f>VLOOKUP($C3990,products!$A$1:$F$322,MATCH(order_items!$D$1,products!$A$1:$F$1,0),FALSE)</f>
        <v>Sun Bicycles Revolutions 24 - 2017</v>
      </c>
      <c r="E3990">
        <f>VLOOKUP($C3990,products!$A$1:$F$322,MATCH(order_items!$E$1,products!$A$1:$F$1,0),FALSE)</f>
        <v>3</v>
      </c>
      <c r="F3990" t="str">
        <f>VLOOKUP($E3990,categories!$A$1:$B$8,MATCH(order_items!$F$1,categories!$A$1:$B$1,0),FALSE)</f>
        <v>Cruisers Bicycles</v>
      </c>
      <c r="G3990">
        <v>1</v>
      </c>
      <c r="H3990">
        <v>250.99</v>
      </c>
      <c r="I3990" s="5">
        <v>0.1</v>
      </c>
      <c r="J3990">
        <f t="shared" si="124"/>
        <v>225.89100000000002</v>
      </c>
      <c r="K3990" s="9">
        <f t="shared" si="125"/>
        <v>-0.71098533458853863</v>
      </c>
    </row>
    <row r="3991" spans="1:11" x14ac:dyDescent="0.3">
      <c r="A3991">
        <v>1368</v>
      </c>
      <c r="B3991">
        <v>2</v>
      </c>
      <c r="C3991">
        <v>113</v>
      </c>
      <c r="D3991" t="str">
        <f>VLOOKUP($C3991,products!$A$1:$F$322,MATCH(order_items!$D$1,products!$A$1:$F$1,0),FALSE)</f>
        <v>Trek Marlin 5 - 2018</v>
      </c>
      <c r="E3991">
        <f>VLOOKUP($C3991,products!$A$1:$F$322,MATCH(order_items!$E$1,products!$A$1:$F$1,0),FALSE)</f>
        <v>6</v>
      </c>
      <c r="F3991" t="str">
        <f>VLOOKUP($E3991,categories!$A$1:$B$8,MATCH(order_items!$F$1,categories!$A$1:$B$1,0),FALSE)</f>
        <v>Mountain Bikes</v>
      </c>
      <c r="G3991">
        <v>2</v>
      </c>
      <c r="H3991">
        <v>489.99</v>
      </c>
      <c r="I3991" s="5">
        <v>7.0000000000000007E-2</v>
      </c>
      <c r="J3991">
        <f t="shared" si="124"/>
        <v>911.38139999999999</v>
      </c>
      <c r="K3991" s="9">
        <f t="shared" si="125"/>
        <v>-0.53429578771287245</v>
      </c>
    </row>
    <row r="3992" spans="1:11" x14ac:dyDescent="0.3">
      <c r="A3992">
        <v>1368</v>
      </c>
      <c r="B3992">
        <v>3</v>
      </c>
      <c r="C3992">
        <v>186</v>
      </c>
      <c r="D3992" t="str">
        <f>VLOOKUP($C3992,products!$A$1:$F$322,MATCH(order_items!$D$1,products!$A$1:$F$1,0),FALSE)</f>
        <v>Trek CrossRip+ - 2018</v>
      </c>
      <c r="E3992">
        <f>VLOOKUP($C3992,products!$A$1:$F$322,MATCH(order_items!$E$1,products!$A$1:$F$1,0),FALSE)</f>
        <v>5</v>
      </c>
      <c r="F3992" t="str">
        <f>VLOOKUP($E3992,categories!$A$1:$B$8,MATCH(order_items!$F$1,categories!$A$1:$B$1,0),FALSE)</f>
        <v>Electric Bikes</v>
      </c>
      <c r="G3992">
        <v>1</v>
      </c>
      <c r="H3992">
        <v>4499.99</v>
      </c>
      <c r="I3992" s="5">
        <v>0.2</v>
      </c>
      <c r="J3992">
        <f t="shared" si="124"/>
        <v>3599.9920000000002</v>
      </c>
      <c r="K3992" s="9">
        <f t="shared" si="125"/>
        <v>2.4302443084018623</v>
      </c>
    </row>
    <row r="3993" spans="1:11" x14ac:dyDescent="0.3">
      <c r="A3993">
        <v>1369</v>
      </c>
      <c r="B3993">
        <v>1</v>
      </c>
      <c r="C3993">
        <v>213</v>
      </c>
      <c r="D3993" t="str">
        <f>VLOOKUP($C3993,products!$A$1:$F$322,MATCH(order_items!$D$1,products!$A$1:$F$1,0),FALSE)</f>
        <v>Electra Cruiser 1 - 2016/2017/2018</v>
      </c>
      <c r="E3993">
        <f>VLOOKUP($C3993,products!$A$1:$F$322,MATCH(order_items!$E$1,products!$A$1:$F$1,0),FALSE)</f>
        <v>3</v>
      </c>
      <c r="F3993" t="str">
        <f>VLOOKUP($E3993,categories!$A$1:$B$8,MATCH(order_items!$F$1,categories!$A$1:$B$1,0),FALSE)</f>
        <v>Cruisers Bicycles</v>
      </c>
      <c r="G3993">
        <v>2</v>
      </c>
      <c r="H3993">
        <v>269.99</v>
      </c>
      <c r="I3993" s="5">
        <v>0.05</v>
      </c>
      <c r="J3993">
        <f t="shared" si="124"/>
        <v>512.98099999999999</v>
      </c>
      <c r="K3993" s="9">
        <f t="shared" si="125"/>
        <v>-0.69693888525532666</v>
      </c>
    </row>
    <row r="3994" spans="1:11" x14ac:dyDescent="0.3">
      <c r="A3994">
        <v>1370</v>
      </c>
      <c r="B3994">
        <v>1</v>
      </c>
      <c r="C3994">
        <v>7</v>
      </c>
      <c r="D3994" t="str">
        <f>VLOOKUP($C3994,products!$A$1:$F$322,MATCH(order_items!$D$1,products!$A$1:$F$1,0),FALSE)</f>
        <v>Trek Slash 8 27.5 - 2016</v>
      </c>
      <c r="E3994">
        <f>VLOOKUP($C3994,products!$A$1:$F$322,MATCH(order_items!$E$1,products!$A$1:$F$1,0),FALSE)</f>
        <v>6</v>
      </c>
      <c r="F3994" t="str">
        <f>VLOOKUP($E3994,categories!$A$1:$B$8,MATCH(order_items!$F$1,categories!$A$1:$B$1,0),FALSE)</f>
        <v>Mountain Bikes</v>
      </c>
      <c r="G3994">
        <v>1</v>
      </c>
      <c r="H3994">
        <v>3999.99</v>
      </c>
      <c r="I3994" s="5">
        <v>7.0000000000000007E-2</v>
      </c>
      <c r="J3994">
        <f t="shared" si="124"/>
        <v>3719.9906999999994</v>
      </c>
      <c r="K3994" s="9">
        <f t="shared" si="125"/>
        <v>2.0606009048962846</v>
      </c>
    </row>
    <row r="3995" spans="1:11" x14ac:dyDescent="0.3">
      <c r="A3995">
        <v>1370</v>
      </c>
      <c r="B3995">
        <v>2</v>
      </c>
      <c r="C3995">
        <v>89</v>
      </c>
      <c r="D3995" t="str">
        <f>VLOOKUP($C3995,products!$A$1:$F$322,MATCH(order_items!$D$1,products!$A$1:$F$1,0),FALSE)</f>
        <v>Trek Precaliber 16 Boys - 2017</v>
      </c>
      <c r="E3995">
        <f>VLOOKUP($C3995,products!$A$1:$F$322,MATCH(order_items!$E$1,products!$A$1:$F$1,0),FALSE)</f>
        <v>1</v>
      </c>
      <c r="F3995" t="str">
        <f>VLOOKUP($E3995,categories!$A$1:$B$8,MATCH(order_items!$F$1,categories!$A$1:$B$1,0),FALSE)</f>
        <v>Children Bicycles</v>
      </c>
      <c r="G3995">
        <v>2</v>
      </c>
      <c r="H3995">
        <v>209.99</v>
      </c>
      <c r="I3995" s="5">
        <v>0.1</v>
      </c>
      <c r="J3995">
        <f t="shared" si="124"/>
        <v>377.98200000000003</v>
      </c>
      <c r="K3995" s="9">
        <f t="shared" si="125"/>
        <v>-0.74129609367599603</v>
      </c>
    </row>
    <row r="3996" spans="1:11" x14ac:dyDescent="0.3">
      <c r="A3996">
        <v>1370</v>
      </c>
      <c r="B3996">
        <v>3</v>
      </c>
      <c r="C3996">
        <v>208</v>
      </c>
      <c r="D3996" t="str">
        <f>VLOOKUP($C3996,products!$A$1:$F$322,MATCH(order_items!$D$1,products!$A$1:$F$1,0),FALSE)</f>
        <v>Trek Crockett 5 Disc - 2018</v>
      </c>
      <c r="E3996">
        <f>VLOOKUP($C3996,products!$A$1:$F$322,MATCH(order_items!$E$1,products!$A$1:$F$1,0),FALSE)</f>
        <v>4</v>
      </c>
      <c r="F3996" t="str">
        <f>VLOOKUP($E3996,categories!$A$1:$B$8,MATCH(order_items!$F$1,categories!$A$1:$B$1,0),FALSE)</f>
        <v>Cyclocross Bicycles</v>
      </c>
      <c r="G3996">
        <v>2</v>
      </c>
      <c r="H3996">
        <v>1799.99</v>
      </c>
      <c r="I3996" s="5">
        <v>0.2</v>
      </c>
      <c r="J3996">
        <f t="shared" si="124"/>
        <v>2879.9840000000004</v>
      </c>
      <c r="K3996" s="9">
        <f t="shared" si="125"/>
        <v>0.43416992947174166</v>
      </c>
    </row>
    <row r="3997" spans="1:11" x14ac:dyDescent="0.3">
      <c r="A3997">
        <v>1370</v>
      </c>
      <c r="B3997">
        <v>4</v>
      </c>
      <c r="C3997">
        <v>134</v>
      </c>
      <c r="D3997" t="str">
        <f>VLOOKUP($C3997,products!$A$1:$F$322,MATCH(order_items!$D$1,products!$A$1:$F$1,0),FALSE)</f>
        <v>Trek Remedy 27.5 C Frameset - 2018</v>
      </c>
      <c r="E3997">
        <f>VLOOKUP($C3997,products!$A$1:$F$322,MATCH(order_items!$E$1,products!$A$1:$F$1,0),FALSE)</f>
        <v>6</v>
      </c>
      <c r="F3997" t="str">
        <f>VLOOKUP($E3997,categories!$A$1:$B$8,MATCH(order_items!$F$1,categories!$A$1:$B$1,0),FALSE)</f>
        <v>Mountain Bikes</v>
      </c>
      <c r="G3997">
        <v>1</v>
      </c>
      <c r="H3997">
        <v>1499.99</v>
      </c>
      <c r="I3997" s="5">
        <v>0.1</v>
      </c>
      <c r="J3997">
        <f t="shared" si="124"/>
        <v>1349.991</v>
      </c>
      <c r="K3997" s="9">
        <f t="shared" si="125"/>
        <v>0.21238388736839492</v>
      </c>
    </row>
    <row r="3998" spans="1:11" x14ac:dyDescent="0.3">
      <c r="A3998">
        <v>1371</v>
      </c>
      <c r="B3998">
        <v>1</v>
      </c>
      <c r="C3998">
        <v>223</v>
      </c>
      <c r="D3998" t="str">
        <f>VLOOKUP($C3998,products!$A$1:$F$322,MATCH(order_items!$D$1,products!$A$1:$F$1,0),FALSE)</f>
        <v>Electra Cruiser Lux 3i - 2018</v>
      </c>
      <c r="E3998">
        <f>VLOOKUP($C3998,products!$A$1:$F$322,MATCH(order_items!$E$1,products!$A$1:$F$1,0),FALSE)</f>
        <v>3</v>
      </c>
      <c r="F3998" t="str">
        <f>VLOOKUP($E3998,categories!$A$1:$B$8,MATCH(order_items!$F$1,categories!$A$1:$B$1,0),FALSE)</f>
        <v>Cruisers Bicycles</v>
      </c>
      <c r="G3998">
        <v>2</v>
      </c>
      <c r="H3998">
        <v>529.99</v>
      </c>
      <c r="I3998" s="5">
        <v>7.0000000000000007E-2</v>
      </c>
      <c r="J3998">
        <f t="shared" si="124"/>
        <v>985.78139999999996</v>
      </c>
      <c r="K3998" s="9">
        <f t="shared" si="125"/>
        <v>-0.50472431543242624</v>
      </c>
    </row>
    <row r="3999" spans="1:11" x14ac:dyDescent="0.3">
      <c r="A3999">
        <v>1371</v>
      </c>
      <c r="B3999">
        <v>2</v>
      </c>
      <c r="C3999">
        <v>8</v>
      </c>
      <c r="D3999" t="str">
        <f>VLOOKUP($C3999,products!$A$1:$F$322,MATCH(order_items!$D$1,products!$A$1:$F$1,0),FALSE)</f>
        <v>Trek Remedy 29 Carbon Frameset - 2016</v>
      </c>
      <c r="E3999">
        <f>VLOOKUP($C3999,products!$A$1:$F$322,MATCH(order_items!$E$1,products!$A$1:$F$1,0),FALSE)</f>
        <v>6</v>
      </c>
      <c r="F3999" t="str">
        <f>VLOOKUP($E3999,categories!$A$1:$B$8,MATCH(order_items!$F$1,categories!$A$1:$B$1,0),FALSE)</f>
        <v>Mountain Bikes</v>
      </c>
      <c r="G3999">
        <v>2</v>
      </c>
      <c r="H3999">
        <v>1799.99</v>
      </c>
      <c r="I3999" s="5">
        <v>0.2</v>
      </c>
      <c r="J3999">
        <f t="shared" si="124"/>
        <v>2879.9840000000004</v>
      </c>
      <c r="K3999" s="9">
        <f t="shared" si="125"/>
        <v>0.43416992947174166</v>
      </c>
    </row>
    <row r="4000" spans="1:11" x14ac:dyDescent="0.3">
      <c r="A4000">
        <v>1372</v>
      </c>
      <c r="B4000">
        <v>1</v>
      </c>
      <c r="C4000">
        <v>307</v>
      </c>
      <c r="D4000" t="str">
        <f>VLOOKUP($C4000,products!$A$1:$F$322,MATCH(order_items!$D$1,products!$A$1:$F$1,0),FALSE)</f>
        <v>Electra Townie Balloon 8D EQ - 2016/2017/2018</v>
      </c>
      <c r="E4000">
        <f>VLOOKUP($C4000,products!$A$1:$F$322,MATCH(order_items!$E$1,products!$A$1:$F$1,0),FALSE)</f>
        <v>2</v>
      </c>
      <c r="F4000" t="str">
        <f>VLOOKUP($E4000,categories!$A$1:$B$8,MATCH(order_items!$F$1,categories!$A$1:$B$1,0),FALSE)</f>
        <v>Comfort Bicycles</v>
      </c>
      <c r="G4000">
        <v>1</v>
      </c>
      <c r="H4000">
        <v>749.99</v>
      </c>
      <c r="I4000" s="5">
        <v>7.0000000000000007E-2</v>
      </c>
      <c r="J4000">
        <f t="shared" si="124"/>
        <v>697.49069999999995</v>
      </c>
      <c r="K4000" s="9">
        <f t="shared" si="125"/>
        <v>-0.34208121788997192</v>
      </c>
    </row>
    <row r="4001" spans="1:11" x14ac:dyDescent="0.3">
      <c r="A4001">
        <v>1372</v>
      </c>
      <c r="B4001">
        <v>2</v>
      </c>
      <c r="C4001">
        <v>283</v>
      </c>
      <c r="D4001" t="str">
        <f>VLOOKUP($C4001,products!$A$1:$F$322,MATCH(order_items!$D$1,products!$A$1:$F$1,0),FALSE)</f>
        <v>Electra Heartchya 1 (20-inch) - Girl's - 2018</v>
      </c>
      <c r="E4001">
        <f>VLOOKUP($C4001,products!$A$1:$F$322,MATCH(order_items!$E$1,products!$A$1:$F$1,0),FALSE)</f>
        <v>1</v>
      </c>
      <c r="F4001" t="str">
        <f>VLOOKUP($E4001,categories!$A$1:$B$8,MATCH(order_items!$F$1,categories!$A$1:$B$1,0),FALSE)</f>
        <v>Children Bicycles</v>
      </c>
      <c r="G4001">
        <v>2</v>
      </c>
      <c r="H4001">
        <v>319.99</v>
      </c>
      <c r="I4001" s="5">
        <v>0.2</v>
      </c>
      <c r="J4001">
        <f t="shared" si="124"/>
        <v>511.98400000000004</v>
      </c>
      <c r="K4001" s="9">
        <f t="shared" si="125"/>
        <v>-0.65997454490476892</v>
      </c>
    </row>
    <row r="4002" spans="1:11" x14ac:dyDescent="0.3">
      <c r="A4002">
        <v>1373</v>
      </c>
      <c r="B4002">
        <v>1</v>
      </c>
      <c r="C4002">
        <v>63</v>
      </c>
      <c r="D4002" t="str">
        <f>VLOOKUP($C4002,products!$A$1:$F$322,MATCH(order_items!$D$1,products!$A$1:$F$1,0),FALSE)</f>
        <v>Trek Boone Race Shop Limited - 2017</v>
      </c>
      <c r="E4002">
        <f>VLOOKUP($C4002,products!$A$1:$F$322,MATCH(order_items!$E$1,products!$A$1:$F$1,0),FALSE)</f>
        <v>4</v>
      </c>
      <c r="F4002" t="str">
        <f>VLOOKUP($E4002,categories!$A$1:$B$8,MATCH(order_items!$F$1,categories!$A$1:$B$1,0),FALSE)</f>
        <v>Cyclocross Bicycles</v>
      </c>
      <c r="G4002">
        <v>1</v>
      </c>
      <c r="H4002">
        <v>3499.99</v>
      </c>
      <c r="I4002" s="5">
        <v>0.1</v>
      </c>
      <c r="J4002">
        <f t="shared" si="124"/>
        <v>3149.991</v>
      </c>
      <c r="K4002" s="9">
        <f t="shared" si="125"/>
        <v>1.6909575013907066</v>
      </c>
    </row>
    <row r="4003" spans="1:11" x14ac:dyDescent="0.3">
      <c r="A4003">
        <v>1374</v>
      </c>
      <c r="B4003">
        <v>1</v>
      </c>
      <c r="C4003">
        <v>181</v>
      </c>
      <c r="D4003" t="str">
        <f>VLOOKUP($C4003,products!$A$1:$F$322,MATCH(order_items!$D$1,products!$A$1:$F$1,0),FALSE)</f>
        <v>Trek Domane SL 5 - 2018</v>
      </c>
      <c r="E4003">
        <f>VLOOKUP($C4003,products!$A$1:$F$322,MATCH(order_items!$E$1,products!$A$1:$F$1,0),FALSE)</f>
        <v>7</v>
      </c>
      <c r="F4003" t="str">
        <f>VLOOKUP($E4003,categories!$A$1:$B$8,MATCH(order_items!$F$1,categories!$A$1:$B$1,0),FALSE)</f>
        <v>Road Bikes</v>
      </c>
      <c r="G4003">
        <v>2</v>
      </c>
      <c r="H4003">
        <v>2199.9899999999998</v>
      </c>
      <c r="I4003" s="5">
        <v>0.05</v>
      </c>
      <c r="J4003">
        <f t="shared" si="124"/>
        <v>4179.9809999999998</v>
      </c>
      <c r="K4003" s="9">
        <f t="shared" si="125"/>
        <v>0.7298846522762038</v>
      </c>
    </row>
    <row r="4004" spans="1:11" x14ac:dyDescent="0.3">
      <c r="A4004">
        <v>1374</v>
      </c>
      <c r="B4004">
        <v>2</v>
      </c>
      <c r="C4004">
        <v>130</v>
      </c>
      <c r="D4004" t="str">
        <f>VLOOKUP($C4004,products!$A$1:$F$322,MATCH(order_items!$D$1,products!$A$1:$F$1,0),FALSE)</f>
        <v>Trek Stache Carbon Frameset - 2018</v>
      </c>
      <c r="E4004">
        <f>VLOOKUP($C4004,products!$A$1:$F$322,MATCH(order_items!$E$1,products!$A$1:$F$1,0),FALSE)</f>
        <v>6</v>
      </c>
      <c r="F4004" t="str">
        <f>VLOOKUP($E4004,categories!$A$1:$B$8,MATCH(order_items!$F$1,categories!$A$1:$B$1,0),FALSE)</f>
        <v>Mountain Bikes</v>
      </c>
      <c r="G4004">
        <v>2</v>
      </c>
      <c r="H4004">
        <v>919.99</v>
      </c>
      <c r="I4004" s="5">
        <v>7.0000000000000007E-2</v>
      </c>
      <c r="J4004">
        <f t="shared" si="124"/>
        <v>1711.1813999999999</v>
      </c>
      <c r="K4004" s="9">
        <f t="shared" si="125"/>
        <v>-0.21640246069807545</v>
      </c>
    </row>
    <row r="4005" spans="1:11" x14ac:dyDescent="0.3">
      <c r="A4005">
        <v>1375</v>
      </c>
      <c r="B4005">
        <v>1</v>
      </c>
      <c r="C4005">
        <v>147</v>
      </c>
      <c r="D4005" t="str">
        <f>VLOOKUP($C4005,products!$A$1:$F$322,MATCH(order_items!$D$1,products!$A$1:$F$1,0),FALSE)</f>
        <v>Trek Domane ALR 5 Gravel - 2018</v>
      </c>
      <c r="E4005">
        <f>VLOOKUP($C4005,products!$A$1:$F$322,MATCH(order_items!$E$1,products!$A$1:$F$1,0),FALSE)</f>
        <v>7</v>
      </c>
      <c r="F4005" t="str">
        <f>VLOOKUP($E4005,categories!$A$1:$B$8,MATCH(order_items!$F$1,categories!$A$1:$B$1,0),FALSE)</f>
        <v>Road Bikes</v>
      </c>
      <c r="G4005">
        <v>2</v>
      </c>
      <c r="H4005">
        <v>1799.99</v>
      </c>
      <c r="I4005" s="5">
        <v>0.05</v>
      </c>
      <c r="J4005">
        <f t="shared" si="124"/>
        <v>3419.9809999999998</v>
      </c>
      <c r="K4005" s="9">
        <f t="shared" si="125"/>
        <v>0.43416992947174166</v>
      </c>
    </row>
    <row r="4006" spans="1:11" x14ac:dyDescent="0.3">
      <c r="A4006">
        <v>1375</v>
      </c>
      <c r="B4006">
        <v>2</v>
      </c>
      <c r="C4006">
        <v>182</v>
      </c>
      <c r="D4006" t="str">
        <f>VLOOKUP($C4006,products!$A$1:$F$322,MATCH(order_items!$D$1,products!$A$1:$F$1,0),FALSE)</f>
        <v>Trek Domane SL 5 Disc - 2018</v>
      </c>
      <c r="E4006">
        <f>VLOOKUP($C4006,products!$A$1:$F$322,MATCH(order_items!$E$1,products!$A$1:$F$1,0),FALSE)</f>
        <v>7</v>
      </c>
      <c r="F4006" t="str">
        <f>VLOOKUP($E4006,categories!$A$1:$B$8,MATCH(order_items!$F$1,categories!$A$1:$B$1,0),FALSE)</f>
        <v>Road Bikes</v>
      </c>
      <c r="G4006">
        <v>1</v>
      </c>
      <c r="H4006">
        <v>2499.9899999999998</v>
      </c>
      <c r="I4006" s="5">
        <v>0.2</v>
      </c>
      <c r="J4006">
        <f t="shared" si="124"/>
        <v>1999.992</v>
      </c>
      <c r="K4006" s="9">
        <f t="shared" si="125"/>
        <v>0.95167069437955054</v>
      </c>
    </row>
    <row r="4007" spans="1:11" x14ac:dyDescent="0.3">
      <c r="A4007">
        <v>1376</v>
      </c>
      <c r="B4007">
        <v>1</v>
      </c>
      <c r="C4007">
        <v>5</v>
      </c>
      <c r="D4007" t="str">
        <f>VLOOKUP($C4007,products!$A$1:$F$322,MATCH(order_items!$D$1,products!$A$1:$F$1,0),FALSE)</f>
        <v>Heller Shagamaw Frame - 2016</v>
      </c>
      <c r="E4007">
        <f>VLOOKUP($C4007,products!$A$1:$F$322,MATCH(order_items!$E$1,products!$A$1:$F$1,0),FALSE)</f>
        <v>6</v>
      </c>
      <c r="F4007" t="str">
        <f>VLOOKUP($E4007,categories!$A$1:$B$8,MATCH(order_items!$F$1,categories!$A$1:$B$1,0),FALSE)</f>
        <v>Mountain Bikes</v>
      </c>
      <c r="G4007">
        <v>1</v>
      </c>
      <c r="H4007">
        <v>1320.99</v>
      </c>
      <c r="I4007" s="5">
        <v>7.0000000000000007E-2</v>
      </c>
      <c r="J4007">
        <f t="shared" si="124"/>
        <v>1228.5207</v>
      </c>
      <c r="K4007" s="9">
        <f t="shared" si="125"/>
        <v>8.0051548913398024E-2</v>
      </c>
    </row>
    <row r="4008" spans="1:11" x14ac:dyDescent="0.3">
      <c r="A4008">
        <v>1377</v>
      </c>
      <c r="B4008">
        <v>1</v>
      </c>
      <c r="C4008">
        <v>153</v>
      </c>
      <c r="D4008" t="str">
        <f>VLOOKUP($C4008,products!$A$1:$F$322,MATCH(order_items!$D$1,products!$A$1:$F$1,0),FALSE)</f>
        <v>Trek Domane SL 7 Women's - 2018</v>
      </c>
      <c r="E4008">
        <f>VLOOKUP($C4008,products!$A$1:$F$322,MATCH(order_items!$E$1,products!$A$1:$F$1,0),FALSE)</f>
        <v>7</v>
      </c>
      <c r="F4008" t="str">
        <f>VLOOKUP($E4008,categories!$A$1:$B$8,MATCH(order_items!$F$1,categories!$A$1:$B$1,0),FALSE)</f>
        <v>Road Bikes</v>
      </c>
      <c r="G4008">
        <v>2</v>
      </c>
      <c r="H4008">
        <v>4999.99</v>
      </c>
      <c r="I4008" s="5">
        <v>0.05</v>
      </c>
      <c r="J4008">
        <f t="shared" si="124"/>
        <v>9499.9809999999998</v>
      </c>
      <c r="K4008" s="9">
        <f t="shared" si="125"/>
        <v>2.7998877119074401</v>
      </c>
    </row>
    <row r="4009" spans="1:11" x14ac:dyDescent="0.3">
      <c r="A4009">
        <v>1377</v>
      </c>
      <c r="B4009">
        <v>2</v>
      </c>
      <c r="C4009">
        <v>130</v>
      </c>
      <c r="D4009" t="str">
        <f>VLOOKUP($C4009,products!$A$1:$F$322,MATCH(order_items!$D$1,products!$A$1:$F$1,0),FALSE)</f>
        <v>Trek Stache Carbon Frameset - 2018</v>
      </c>
      <c r="E4009">
        <f>VLOOKUP($C4009,products!$A$1:$F$322,MATCH(order_items!$E$1,products!$A$1:$F$1,0),FALSE)</f>
        <v>6</v>
      </c>
      <c r="F4009" t="str">
        <f>VLOOKUP($E4009,categories!$A$1:$B$8,MATCH(order_items!$F$1,categories!$A$1:$B$1,0),FALSE)</f>
        <v>Mountain Bikes</v>
      </c>
      <c r="G4009">
        <v>1</v>
      </c>
      <c r="H4009">
        <v>919.99</v>
      </c>
      <c r="I4009" s="5">
        <v>0.05</v>
      </c>
      <c r="J4009">
        <f t="shared" si="124"/>
        <v>873.9905</v>
      </c>
      <c r="K4009" s="9">
        <f t="shared" si="125"/>
        <v>-0.21640246069807545</v>
      </c>
    </row>
    <row r="4010" spans="1:11" x14ac:dyDescent="0.3">
      <c r="A4010">
        <v>1377</v>
      </c>
      <c r="B4010">
        <v>3</v>
      </c>
      <c r="C4010">
        <v>48</v>
      </c>
      <c r="D4010" t="str">
        <f>VLOOKUP($C4010,products!$A$1:$F$322,MATCH(order_items!$D$1,products!$A$1:$F$1,0),FALSE)</f>
        <v>Trek Emonda S 4 - 2017</v>
      </c>
      <c r="E4010">
        <f>VLOOKUP($C4010,products!$A$1:$F$322,MATCH(order_items!$E$1,products!$A$1:$F$1,0),FALSE)</f>
        <v>7</v>
      </c>
      <c r="F4010" t="str">
        <f>VLOOKUP($E4010,categories!$A$1:$B$8,MATCH(order_items!$F$1,categories!$A$1:$B$1,0),FALSE)</f>
        <v>Road Bikes</v>
      </c>
      <c r="G4010">
        <v>1</v>
      </c>
      <c r="H4010">
        <v>1499.99</v>
      </c>
      <c r="I4010" s="5">
        <v>7.0000000000000007E-2</v>
      </c>
      <c r="J4010">
        <f t="shared" si="124"/>
        <v>1394.9906999999998</v>
      </c>
      <c r="K4010" s="9">
        <f t="shared" si="125"/>
        <v>0.21238388736839492</v>
      </c>
    </row>
    <row r="4011" spans="1:11" x14ac:dyDescent="0.3">
      <c r="A4011">
        <v>1377</v>
      </c>
      <c r="B4011">
        <v>4</v>
      </c>
      <c r="C4011">
        <v>188</v>
      </c>
      <c r="D4011" t="str">
        <f>VLOOKUP($C4011,products!$A$1:$F$322,MATCH(order_items!$D$1,products!$A$1:$F$1,0),FALSE)</f>
        <v>Trek XM700+ Lowstep - 2018</v>
      </c>
      <c r="E4011">
        <f>VLOOKUP($C4011,products!$A$1:$F$322,MATCH(order_items!$E$1,products!$A$1:$F$1,0),FALSE)</f>
        <v>5</v>
      </c>
      <c r="F4011" t="str">
        <f>VLOOKUP($E4011,categories!$A$1:$B$8,MATCH(order_items!$F$1,categories!$A$1:$B$1,0),FALSE)</f>
        <v>Electric Bikes</v>
      </c>
      <c r="G4011">
        <v>2</v>
      </c>
      <c r="H4011">
        <v>3499.99</v>
      </c>
      <c r="I4011" s="5">
        <v>7.0000000000000007E-2</v>
      </c>
      <c r="J4011">
        <f t="shared" si="124"/>
        <v>6509.9813999999988</v>
      </c>
      <c r="K4011" s="9">
        <f t="shared" si="125"/>
        <v>1.6909575013907066</v>
      </c>
    </row>
    <row r="4012" spans="1:11" x14ac:dyDescent="0.3">
      <c r="A4012">
        <v>1378</v>
      </c>
      <c r="B4012">
        <v>1</v>
      </c>
      <c r="C4012">
        <v>96</v>
      </c>
      <c r="D4012" t="str">
        <f>VLOOKUP($C4012,products!$A$1:$F$322,MATCH(order_items!$D$1,products!$A$1:$F$1,0),FALSE)</f>
        <v>Electra Moto 3i (20-inch) - Boy's - 2017</v>
      </c>
      <c r="E4012">
        <f>VLOOKUP($C4012,products!$A$1:$F$322,MATCH(order_items!$E$1,products!$A$1:$F$1,0),FALSE)</f>
        <v>1</v>
      </c>
      <c r="F4012" t="str">
        <f>VLOOKUP($E4012,categories!$A$1:$B$8,MATCH(order_items!$F$1,categories!$A$1:$B$1,0),FALSE)</f>
        <v>Children Bicycles</v>
      </c>
      <c r="G4012">
        <v>2</v>
      </c>
      <c r="H4012">
        <v>349.99</v>
      </c>
      <c r="I4012" s="5">
        <v>7.0000000000000007E-2</v>
      </c>
      <c r="J4012">
        <f t="shared" si="124"/>
        <v>650.98140000000001</v>
      </c>
      <c r="K4012" s="9">
        <f t="shared" si="125"/>
        <v>-0.63779594069443424</v>
      </c>
    </row>
    <row r="4013" spans="1:11" x14ac:dyDescent="0.3">
      <c r="A4013">
        <v>1378</v>
      </c>
      <c r="B4013">
        <v>2</v>
      </c>
      <c r="C4013">
        <v>142</v>
      </c>
      <c r="D4013" t="str">
        <f>VLOOKUP($C4013,products!$A$1:$F$322,MATCH(order_items!$D$1,products!$A$1:$F$1,0),FALSE)</f>
        <v>Trek Fuel EX 8 29 XT - 2018</v>
      </c>
      <c r="E4013">
        <f>VLOOKUP($C4013,products!$A$1:$F$322,MATCH(order_items!$E$1,products!$A$1:$F$1,0),FALSE)</f>
        <v>6</v>
      </c>
      <c r="F4013" t="str">
        <f>VLOOKUP($E4013,categories!$A$1:$B$8,MATCH(order_items!$F$1,categories!$A$1:$B$1,0),FALSE)</f>
        <v>Mountain Bikes</v>
      </c>
      <c r="G4013">
        <v>2</v>
      </c>
      <c r="H4013">
        <v>3199.99</v>
      </c>
      <c r="I4013" s="5">
        <v>7.0000000000000007E-2</v>
      </c>
      <c r="J4013">
        <f t="shared" si="124"/>
        <v>5951.9813999999988</v>
      </c>
      <c r="K4013" s="9">
        <f t="shared" si="125"/>
        <v>1.4691714592873595</v>
      </c>
    </row>
    <row r="4014" spans="1:11" x14ac:dyDescent="0.3">
      <c r="A4014">
        <v>1378</v>
      </c>
      <c r="B4014">
        <v>3</v>
      </c>
      <c r="C4014">
        <v>2</v>
      </c>
      <c r="D4014" t="str">
        <f>VLOOKUP($C4014,products!$A$1:$F$322,MATCH(order_items!$D$1,products!$A$1:$F$1,0),FALSE)</f>
        <v>Ritchey Timberwolf Frameset - 2016</v>
      </c>
      <c r="E4014">
        <f>VLOOKUP($C4014,products!$A$1:$F$322,MATCH(order_items!$E$1,products!$A$1:$F$1,0),FALSE)</f>
        <v>6</v>
      </c>
      <c r="F4014" t="str">
        <f>VLOOKUP($E4014,categories!$A$1:$B$8,MATCH(order_items!$F$1,categories!$A$1:$B$1,0),FALSE)</f>
        <v>Mountain Bikes</v>
      </c>
      <c r="G4014">
        <v>2</v>
      </c>
      <c r="H4014">
        <v>749.99</v>
      </c>
      <c r="I4014" s="5">
        <v>0.2</v>
      </c>
      <c r="J4014">
        <f t="shared" si="124"/>
        <v>1199.9840000000002</v>
      </c>
      <c r="K4014" s="9">
        <f t="shared" si="125"/>
        <v>-0.34208121788997192</v>
      </c>
    </row>
    <row r="4015" spans="1:11" x14ac:dyDescent="0.3">
      <c r="A4015">
        <v>1378</v>
      </c>
      <c r="B4015">
        <v>4</v>
      </c>
      <c r="C4015">
        <v>110</v>
      </c>
      <c r="D4015" t="str">
        <f>VLOOKUP($C4015,products!$A$1:$F$322,MATCH(order_items!$D$1,products!$A$1:$F$1,0),FALSE)</f>
        <v>Sun Bicycles Drifter 7 - 2017</v>
      </c>
      <c r="E4015">
        <f>VLOOKUP($C4015,products!$A$1:$F$322,MATCH(order_items!$E$1,products!$A$1:$F$1,0),FALSE)</f>
        <v>2</v>
      </c>
      <c r="F4015" t="str">
        <f>VLOOKUP($E4015,categories!$A$1:$B$8,MATCH(order_items!$F$1,categories!$A$1:$B$1,0),FALSE)</f>
        <v>Comfort Bicycles</v>
      </c>
      <c r="G4015">
        <v>1</v>
      </c>
      <c r="H4015">
        <v>470.99</v>
      </c>
      <c r="I4015" s="5">
        <v>7.0000000000000007E-2</v>
      </c>
      <c r="J4015">
        <f t="shared" si="124"/>
        <v>438.02069999999998</v>
      </c>
      <c r="K4015" s="9">
        <f t="shared" si="125"/>
        <v>-0.54834223704608442</v>
      </c>
    </row>
    <row r="4016" spans="1:11" x14ac:dyDescent="0.3">
      <c r="A4016">
        <v>1378</v>
      </c>
      <c r="B4016">
        <v>5</v>
      </c>
      <c r="C4016">
        <v>129</v>
      </c>
      <c r="D4016" t="str">
        <f>VLOOKUP($C4016,products!$A$1:$F$322,MATCH(order_items!$D$1,products!$A$1:$F$1,0),FALSE)</f>
        <v>Trek X-Caliber 7 - 2018</v>
      </c>
      <c r="E4016">
        <f>VLOOKUP($C4016,products!$A$1:$F$322,MATCH(order_items!$E$1,products!$A$1:$F$1,0),FALSE)</f>
        <v>6</v>
      </c>
      <c r="F4016" t="str">
        <f>VLOOKUP($E4016,categories!$A$1:$B$8,MATCH(order_items!$F$1,categories!$A$1:$B$1,0),FALSE)</f>
        <v>Mountain Bikes</v>
      </c>
      <c r="G4016">
        <v>2</v>
      </c>
      <c r="H4016">
        <v>919.99</v>
      </c>
      <c r="I4016" s="5">
        <v>0.2</v>
      </c>
      <c r="J4016">
        <f t="shared" si="124"/>
        <v>1471.9840000000002</v>
      </c>
      <c r="K4016" s="9">
        <f t="shared" si="125"/>
        <v>-0.21640246069807545</v>
      </c>
    </row>
    <row r="4017" spans="1:11" x14ac:dyDescent="0.3">
      <c r="A4017">
        <v>1379</v>
      </c>
      <c r="B4017">
        <v>1</v>
      </c>
      <c r="C4017">
        <v>15</v>
      </c>
      <c r="D4017" t="str">
        <f>VLOOKUP($C4017,products!$A$1:$F$322,MATCH(order_items!$D$1,products!$A$1:$F$1,0),FALSE)</f>
        <v>Electra Moto 1 - 2016</v>
      </c>
      <c r="E4017">
        <f>VLOOKUP($C4017,products!$A$1:$F$322,MATCH(order_items!$E$1,products!$A$1:$F$1,0),FALSE)</f>
        <v>3</v>
      </c>
      <c r="F4017" t="str">
        <f>VLOOKUP($E4017,categories!$A$1:$B$8,MATCH(order_items!$F$1,categories!$A$1:$B$1,0),FALSE)</f>
        <v>Cruisers Bicycles</v>
      </c>
      <c r="G4017">
        <v>1</v>
      </c>
      <c r="H4017">
        <v>529.99</v>
      </c>
      <c r="I4017" s="5">
        <v>0.1</v>
      </c>
      <c r="J4017">
        <f t="shared" si="124"/>
        <v>476.99100000000004</v>
      </c>
      <c r="K4017" s="9">
        <f t="shared" si="125"/>
        <v>-0.50472431543242624</v>
      </c>
    </row>
    <row r="4018" spans="1:11" x14ac:dyDescent="0.3">
      <c r="A4018">
        <v>1379</v>
      </c>
      <c r="B4018">
        <v>2</v>
      </c>
      <c r="C4018">
        <v>118</v>
      </c>
      <c r="D4018" t="str">
        <f>VLOOKUP($C4018,products!$A$1:$F$322,MATCH(order_items!$D$1,products!$A$1:$F$1,0),FALSE)</f>
        <v>Trek X-Caliber 8 - 2018</v>
      </c>
      <c r="E4018">
        <f>VLOOKUP($C4018,products!$A$1:$F$322,MATCH(order_items!$E$1,products!$A$1:$F$1,0),FALSE)</f>
        <v>6</v>
      </c>
      <c r="F4018" t="str">
        <f>VLOOKUP($E4018,categories!$A$1:$B$8,MATCH(order_items!$F$1,categories!$A$1:$B$1,0),FALSE)</f>
        <v>Mountain Bikes</v>
      </c>
      <c r="G4018">
        <v>1</v>
      </c>
      <c r="H4018">
        <v>999.99</v>
      </c>
      <c r="I4018" s="5">
        <v>0.1</v>
      </c>
      <c r="J4018">
        <f t="shared" si="124"/>
        <v>899.99099999999999</v>
      </c>
      <c r="K4018" s="9">
        <f t="shared" si="125"/>
        <v>-0.15725951613718298</v>
      </c>
    </row>
    <row r="4019" spans="1:11" x14ac:dyDescent="0.3">
      <c r="A4019">
        <v>1379</v>
      </c>
      <c r="B4019">
        <v>3</v>
      </c>
      <c r="C4019">
        <v>263</v>
      </c>
      <c r="D4019" t="str">
        <f>VLOOKUP($C4019,products!$A$1:$F$322,MATCH(order_items!$D$1,products!$A$1:$F$1,0),FALSE)</f>
        <v>Strider Classic 12 Balance Bike - 2018</v>
      </c>
      <c r="E4019">
        <f>VLOOKUP($C4019,products!$A$1:$F$322,MATCH(order_items!$E$1,products!$A$1:$F$1,0),FALSE)</f>
        <v>1</v>
      </c>
      <c r="F4019" t="str">
        <f>VLOOKUP($E4019,categories!$A$1:$B$8,MATCH(order_items!$F$1,categories!$A$1:$B$1,0),FALSE)</f>
        <v>Children Bicycles</v>
      </c>
      <c r="G4019">
        <v>2</v>
      </c>
      <c r="H4019">
        <v>89.99</v>
      </c>
      <c r="I4019" s="5">
        <v>0.1</v>
      </c>
      <c r="J4019">
        <f t="shared" si="124"/>
        <v>161.982</v>
      </c>
      <c r="K4019" s="9">
        <f t="shared" si="125"/>
        <v>-0.83001051051733477</v>
      </c>
    </row>
    <row r="4020" spans="1:11" x14ac:dyDescent="0.3">
      <c r="A4020">
        <v>1380</v>
      </c>
      <c r="B4020">
        <v>1</v>
      </c>
      <c r="C4020">
        <v>255</v>
      </c>
      <c r="D4020" t="str">
        <f>VLOOKUP($C4020,products!$A$1:$F$322,MATCH(order_items!$D$1,products!$A$1:$F$1,0),FALSE)</f>
        <v>Electra Townie Balloon 7i EQ Ladies' - 2017/2018</v>
      </c>
      <c r="E4020">
        <f>VLOOKUP($C4020,products!$A$1:$F$322,MATCH(order_items!$E$1,products!$A$1:$F$1,0),FALSE)</f>
        <v>3</v>
      </c>
      <c r="F4020" t="str">
        <f>VLOOKUP($E4020,categories!$A$1:$B$8,MATCH(order_items!$F$1,categories!$A$1:$B$1,0),FALSE)</f>
        <v>Cruisers Bicycles</v>
      </c>
      <c r="G4020">
        <v>2</v>
      </c>
      <c r="H4020">
        <v>899.99</v>
      </c>
      <c r="I4020" s="5">
        <v>0.1</v>
      </c>
      <c r="J4020">
        <f t="shared" si="124"/>
        <v>1619.982</v>
      </c>
      <c r="K4020" s="9">
        <f t="shared" si="125"/>
        <v>-0.23118819683829855</v>
      </c>
    </row>
    <row r="4021" spans="1:11" x14ac:dyDescent="0.3">
      <c r="A4021">
        <v>1380</v>
      </c>
      <c r="B4021">
        <v>2</v>
      </c>
      <c r="C4021">
        <v>229</v>
      </c>
      <c r="D4021" t="str">
        <f>VLOOKUP($C4021,products!$A$1:$F$322,MATCH(order_items!$D$1,products!$A$1:$F$1,0),FALSE)</f>
        <v>Electra Cruiser Lux 1 - 2016/2018</v>
      </c>
      <c r="E4021">
        <f>VLOOKUP($C4021,products!$A$1:$F$322,MATCH(order_items!$E$1,products!$A$1:$F$1,0),FALSE)</f>
        <v>3</v>
      </c>
      <c r="F4021" t="str">
        <f>VLOOKUP($E4021,categories!$A$1:$B$8,MATCH(order_items!$F$1,categories!$A$1:$B$1,0),FALSE)</f>
        <v>Cruisers Bicycles</v>
      </c>
      <c r="G4021">
        <v>2</v>
      </c>
      <c r="H4021">
        <v>429.99</v>
      </c>
      <c r="I4021" s="5">
        <v>7.0000000000000007E-2</v>
      </c>
      <c r="J4021">
        <f t="shared" si="124"/>
        <v>799.78139999999996</v>
      </c>
      <c r="K4021" s="9">
        <f t="shared" si="125"/>
        <v>-0.57865299613354182</v>
      </c>
    </row>
    <row r="4022" spans="1:11" x14ac:dyDescent="0.3">
      <c r="A4022">
        <v>1381</v>
      </c>
      <c r="B4022">
        <v>1</v>
      </c>
      <c r="C4022">
        <v>274</v>
      </c>
      <c r="D4022" t="str">
        <f>VLOOKUP($C4022,products!$A$1:$F$322,MATCH(order_items!$D$1,products!$A$1:$F$1,0),FALSE)</f>
        <v>Trek Precaliber 20 Boy's - 2018</v>
      </c>
      <c r="E4022">
        <f>VLOOKUP($C4022,products!$A$1:$F$322,MATCH(order_items!$E$1,products!$A$1:$F$1,0),FALSE)</f>
        <v>1</v>
      </c>
      <c r="F4022" t="str">
        <f>VLOOKUP($E4022,categories!$A$1:$B$8,MATCH(order_items!$F$1,categories!$A$1:$B$1,0),FALSE)</f>
        <v>Children Bicycles</v>
      </c>
      <c r="G4022">
        <v>2</v>
      </c>
      <c r="H4022">
        <v>229.99</v>
      </c>
      <c r="I4022" s="5">
        <v>0.2</v>
      </c>
      <c r="J4022">
        <f t="shared" si="124"/>
        <v>367.98400000000004</v>
      </c>
      <c r="K4022" s="9">
        <f t="shared" si="125"/>
        <v>-0.72651035753577298</v>
      </c>
    </row>
    <row r="4023" spans="1:11" x14ac:dyDescent="0.3">
      <c r="A4023">
        <v>1381</v>
      </c>
      <c r="B4023">
        <v>2</v>
      </c>
      <c r="C4023">
        <v>214</v>
      </c>
      <c r="D4023" t="str">
        <f>VLOOKUP($C4023,products!$A$1:$F$322,MATCH(order_items!$D$1,products!$A$1:$F$1,0),FALSE)</f>
        <v>Electra Tiger Shark 3i - 2018</v>
      </c>
      <c r="E4023">
        <f>VLOOKUP($C4023,products!$A$1:$F$322,MATCH(order_items!$E$1,products!$A$1:$F$1,0),FALSE)</f>
        <v>3</v>
      </c>
      <c r="F4023" t="str">
        <f>VLOOKUP($E4023,categories!$A$1:$B$8,MATCH(order_items!$F$1,categories!$A$1:$B$1,0),FALSE)</f>
        <v>Cruisers Bicycles</v>
      </c>
      <c r="G4023">
        <v>2</v>
      </c>
      <c r="H4023">
        <v>899.99</v>
      </c>
      <c r="I4023" s="5">
        <v>0.1</v>
      </c>
      <c r="J4023">
        <f t="shared" si="124"/>
        <v>1619.982</v>
      </c>
      <c r="K4023" s="9">
        <f t="shared" si="125"/>
        <v>-0.23118819683829855</v>
      </c>
    </row>
    <row r="4024" spans="1:11" x14ac:dyDescent="0.3">
      <c r="A4024">
        <v>1382</v>
      </c>
      <c r="B4024">
        <v>1</v>
      </c>
      <c r="C4024">
        <v>232</v>
      </c>
      <c r="D4024" t="str">
        <f>VLOOKUP($C4024,products!$A$1:$F$322,MATCH(order_items!$D$1,products!$A$1:$F$1,0),FALSE)</f>
        <v>Electra Cruiser Lux 7D Ladies' - 2018</v>
      </c>
      <c r="E4024">
        <f>VLOOKUP($C4024,products!$A$1:$F$322,MATCH(order_items!$E$1,products!$A$1:$F$1,0),FALSE)</f>
        <v>3</v>
      </c>
      <c r="F4024" t="str">
        <f>VLOOKUP($E4024,categories!$A$1:$B$8,MATCH(order_items!$F$1,categories!$A$1:$B$1,0),FALSE)</f>
        <v>Cruisers Bicycles</v>
      </c>
      <c r="G4024">
        <v>1</v>
      </c>
      <c r="H4024">
        <v>479.99</v>
      </c>
      <c r="I4024" s="5">
        <v>0.2</v>
      </c>
      <c r="J4024">
        <f t="shared" si="124"/>
        <v>383.99200000000002</v>
      </c>
      <c r="K4024" s="9">
        <f t="shared" si="125"/>
        <v>-0.54168865578298397</v>
      </c>
    </row>
    <row r="4025" spans="1:11" x14ac:dyDescent="0.3">
      <c r="A4025">
        <v>1382</v>
      </c>
      <c r="B4025">
        <v>2</v>
      </c>
      <c r="C4025">
        <v>81</v>
      </c>
      <c r="D4025" t="str">
        <f>VLOOKUP($C4025,products!$A$1:$F$322,MATCH(order_items!$D$1,products!$A$1:$F$1,0),FALSE)</f>
        <v>Electra Amsterdam Fashion 7i Ladies' - 2017</v>
      </c>
      <c r="E4025">
        <f>VLOOKUP($C4025,products!$A$1:$F$322,MATCH(order_items!$E$1,products!$A$1:$F$1,0),FALSE)</f>
        <v>3</v>
      </c>
      <c r="F4025" t="str">
        <f>VLOOKUP($E4025,categories!$A$1:$B$8,MATCH(order_items!$F$1,categories!$A$1:$B$1,0),FALSE)</f>
        <v>Cruisers Bicycles</v>
      </c>
      <c r="G4025">
        <v>2</v>
      </c>
      <c r="H4025">
        <v>1099.99</v>
      </c>
      <c r="I4025" s="5">
        <v>0.05</v>
      </c>
      <c r="J4025">
        <f t="shared" si="124"/>
        <v>2089.9809999999998</v>
      </c>
      <c r="K4025" s="9">
        <f t="shared" si="125"/>
        <v>-8.3330835436067396E-2</v>
      </c>
    </row>
    <row r="4026" spans="1:11" x14ac:dyDescent="0.3">
      <c r="A4026">
        <v>1382</v>
      </c>
      <c r="B4026">
        <v>3</v>
      </c>
      <c r="C4026">
        <v>225</v>
      </c>
      <c r="D4026" t="str">
        <f>VLOOKUP($C4026,products!$A$1:$F$322,MATCH(order_items!$D$1,products!$A$1:$F$1,0),FALSE)</f>
        <v>Electra Delivery 3i - 2016/2017/2018</v>
      </c>
      <c r="E4026">
        <f>VLOOKUP($C4026,products!$A$1:$F$322,MATCH(order_items!$E$1,products!$A$1:$F$1,0),FALSE)</f>
        <v>3</v>
      </c>
      <c r="F4026" t="str">
        <f>VLOOKUP($E4026,categories!$A$1:$B$8,MATCH(order_items!$F$1,categories!$A$1:$B$1,0),FALSE)</f>
        <v>Cruisers Bicycles</v>
      </c>
      <c r="G4026">
        <v>1</v>
      </c>
      <c r="H4026">
        <v>959.99</v>
      </c>
      <c r="I4026" s="5">
        <v>0.1</v>
      </c>
      <c r="J4026">
        <f t="shared" si="124"/>
        <v>863.99099999999999</v>
      </c>
      <c r="K4026" s="9">
        <f t="shared" si="125"/>
        <v>-0.18683098841762921</v>
      </c>
    </row>
    <row r="4027" spans="1:11" x14ac:dyDescent="0.3">
      <c r="A4027">
        <v>1382</v>
      </c>
      <c r="B4027">
        <v>4</v>
      </c>
      <c r="C4027">
        <v>135</v>
      </c>
      <c r="D4027" t="str">
        <f>VLOOKUP($C4027,products!$A$1:$F$322,MATCH(order_items!$D$1,products!$A$1:$F$1,0),FALSE)</f>
        <v>Trek X-Caliber Frameset - 2018</v>
      </c>
      <c r="E4027">
        <f>VLOOKUP($C4027,products!$A$1:$F$322,MATCH(order_items!$E$1,products!$A$1:$F$1,0),FALSE)</f>
        <v>6</v>
      </c>
      <c r="F4027" t="str">
        <f>VLOOKUP($E4027,categories!$A$1:$B$8,MATCH(order_items!$F$1,categories!$A$1:$B$1,0),FALSE)</f>
        <v>Mountain Bikes</v>
      </c>
      <c r="G4027">
        <v>1</v>
      </c>
      <c r="H4027">
        <v>1499.99</v>
      </c>
      <c r="I4027" s="5">
        <v>7.0000000000000007E-2</v>
      </c>
      <c r="J4027">
        <f t="shared" si="124"/>
        <v>1394.9906999999998</v>
      </c>
      <c r="K4027" s="9">
        <f t="shared" si="125"/>
        <v>0.21238388736839492</v>
      </c>
    </row>
    <row r="4028" spans="1:11" x14ac:dyDescent="0.3">
      <c r="A4028">
        <v>1382</v>
      </c>
      <c r="B4028">
        <v>5</v>
      </c>
      <c r="C4028">
        <v>238</v>
      </c>
      <c r="D4028" t="str">
        <f>VLOOKUP($C4028,products!$A$1:$F$322,MATCH(order_items!$D$1,products!$A$1:$F$1,0),FALSE)</f>
        <v>Electra Townie Balloon 8D EQ - 2016/2017/2018</v>
      </c>
      <c r="E4028">
        <f>VLOOKUP($C4028,products!$A$1:$F$322,MATCH(order_items!$E$1,products!$A$1:$F$1,0),FALSE)</f>
        <v>3</v>
      </c>
      <c r="F4028" t="str">
        <f>VLOOKUP($E4028,categories!$A$1:$B$8,MATCH(order_items!$F$1,categories!$A$1:$B$1,0),FALSE)</f>
        <v>Cruisers Bicycles</v>
      </c>
      <c r="G4028">
        <v>1</v>
      </c>
      <c r="H4028">
        <v>749.99</v>
      </c>
      <c r="I4028" s="5">
        <v>0.2</v>
      </c>
      <c r="J4028">
        <f t="shared" si="124"/>
        <v>599.99200000000008</v>
      </c>
      <c r="K4028" s="9">
        <f t="shared" si="125"/>
        <v>-0.34208121788997192</v>
      </c>
    </row>
    <row r="4029" spans="1:11" x14ac:dyDescent="0.3">
      <c r="A4029">
        <v>1383</v>
      </c>
      <c r="B4029">
        <v>1</v>
      </c>
      <c r="C4029">
        <v>188</v>
      </c>
      <c r="D4029" t="str">
        <f>VLOOKUP($C4029,products!$A$1:$F$322,MATCH(order_items!$D$1,products!$A$1:$F$1,0),FALSE)</f>
        <v>Trek XM700+ Lowstep - 2018</v>
      </c>
      <c r="E4029">
        <f>VLOOKUP($C4029,products!$A$1:$F$322,MATCH(order_items!$E$1,products!$A$1:$F$1,0),FALSE)</f>
        <v>5</v>
      </c>
      <c r="F4029" t="str">
        <f>VLOOKUP($E4029,categories!$A$1:$B$8,MATCH(order_items!$F$1,categories!$A$1:$B$1,0),FALSE)</f>
        <v>Electric Bikes</v>
      </c>
      <c r="G4029">
        <v>2</v>
      </c>
      <c r="H4029">
        <v>3499.99</v>
      </c>
      <c r="I4029" s="5">
        <v>0.2</v>
      </c>
      <c r="J4029">
        <f t="shared" si="124"/>
        <v>5599.9840000000004</v>
      </c>
      <c r="K4029" s="9">
        <f t="shared" si="125"/>
        <v>1.6909575013907066</v>
      </c>
    </row>
    <row r="4030" spans="1:11" x14ac:dyDescent="0.3">
      <c r="A4030">
        <v>1383</v>
      </c>
      <c r="B4030">
        <v>2</v>
      </c>
      <c r="C4030">
        <v>65</v>
      </c>
      <c r="D4030" t="str">
        <f>VLOOKUP($C4030,products!$A$1:$F$322,MATCH(order_items!$D$1,products!$A$1:$F$1,0),FALSE)</f>
        <v>Sun Bicycles Lil Bolt Type-R - 2017</v>
      </c>
      <c r="E4030">
        <f>VLOOKUP($C4030,products!$A$1:$F$322,MATCH(order_items!$E$1,products!$A$1:$F$1,0),FALSE)</f>
        <v>3</v>
      </c>
      <c r="F4030" t="str">
        <f>VLOOKUP($E4030,categories!$A$1:$B$8,MATCH(order_items!$F$1,categories!$A$1:$B$1,0),FALSE)</f>
        <v>Cruisers Bicycles</v>
      </c>
      <c r="G4030">
        <v>2</v>
      </c>
      <c r="H4030">
        <v>346.99</v>
      </c>
      <c r="I4030" s="5">
        <v>0.05</v>
      </c>
      <c r="J4030">
        <f t="shared" si="124"/>
        <v>659.28099999999995</v>
      </c>
      <c r="K4030" s="9">
        <f t="shared" si="125"/>
        <v>-0.64001380111546768</v>
      </c>
    </row>
    <row r="4031" spans="1:11" x14ac:dyDescent="0.3">
      <c r="A4031">
        <v>1384</v>
      </c>
      <c r="B4031">
        <v>1</v>
      </c>
      <c r="C4031">
        <v>32</v>
      </c>
      <c r="D4031" t="str">
        <f>VLOOKUP($C4031,products!$A$1:$F$322,MATCH(order_items!$D$1,products!$A$1:$F$1,0),FALSE)</f>
        <v>Trek Farley Alloy Frameset - 2017</v>
      </c>
      <c r="E4031">
        <f>VLOOKUP($C4031,products!$A$1:$F$322,MATCH(order_items!$E$1,products!$A$1:$F$1,0),FALSE)</f>
        <v>6</v>
      </c>
      <c r="F4031" t="str">
        <f>VLOOKUP($E4031,categories!$A$1:$B$8,MATCH(order_items!$F$1,categories!$A$1:$B$1,0),FALSE)</f>
        <v>Mountain Bikes</v>
      </c>
      <c r="G4031">
        <v>1</v>
      </c>
      <c r="H4031">
        <v>469.99</v>
      </c>
      <c r="I4031" s="5">
        <v>7.0000000000000007E-2</v>
      </c>
      <c r="J4031">
        <f t="shared" si="124"/>
        <v>437.09069999999997</v>
      </c>
      <c r="K4031" s="9">
        <f t="shared" si="125"/>
        <v>-0.5490815238530955</v>
      </c>
    </row>
    <row r="4032" spans="1:11" x14ac:dyDescent="0.3">
      <c r="A4032">
        <v>1384</v>
      </c>
      <c r="B4032">
        <v>2</v>
      </c>
      <c r="C4032">
        <v>142</v>
      </c>
      <c r="D4032" t="str">
        <f>VLOOKUP($C4032,products!$A$1:$F$322,MATCH(order_items!$D$1,products!$A$1:$F$1,0),FALSE)</f>
        <v>Trek Fuel EX 8 29 XT - 2018</v>
      </c>
      <c r="E4032">
        <f>VLOOKUP($C4032,products!$A$1:$F$322,MATCH(order_items!$E$1,products!$A$1:$F$1,0),FALSE)</f>
        <v>6</v>
      </c>
      <c r="F4032" t="str">
        <f>VLOOKUP($E4032,categories!$A$1:$B$8,MATCH(order_items!$F$1,categories!$A$1:$B$1,0),FALSE)</f>
        <v>Mountain Bikes</v>
      </c>
      <c r="G4032">
        <v>2</v>
      </c>
      <c r="H4032">
        <v>3199.99</v>
      </c>
      <c r="I4032" s="5">
        <v>0.1</v>
      </c>
      <c r="J4032">
        <f t="shared" si="124"/>
        <v>5759.982</v>
      </c>
      <c r="K4032" s="9">
        <f t="shared" si="125"/>
        <v>1.4691714592873595</v>
      </c>
    </row>
    <row r="4033" spans="1:11" x14ac:dyDescent="0.3">
      <c r="A4033">
        <v>1384</v>
      </c>
      <c r="B4033">
        <v>3</v>
      </c>
      <c r="C4033">
        <v>89</v>
      </c>
      <c r="D4033" t="str">
        <f>VLOOKUP($C4033,products!$A$1:$F$322,MATCH(order_items!$D$1,products!$A$1:$F$1,0),FALSE)</f>
        <v>Trek Precaliber 16 Boys - 2017</v>
      </c>
      <c r="E4033">
        <f>VLOOKUP($C4033,products!$A$1:$F$322,MATCH(order_items!$E$1,products!$A$1:$F$1,0),FALSE)</f>
        <v>1</v>
      </c>
      <c r="F4033" t="str">
        <f>VLOOKUP($E4033,categories!$A$1:$B$8,MATCH(order_items!$F$1,categories!$A$1:$B$1,0),FALSE)</f>
        <v>Children Bicycles</v>
      </c>
      <c r="G4033">
        <v>1</v>
      </c>
      <c r="H4033">
        <v>209.99</v>
      </c>
      <c r="I4033" s="5">
        <v>0.1</v>
      </c>
      <c r="J4033">
        <f t="shared" si="124"/>
        <v>188.99100000000001</v>
      </c>
      <c r="K4033" s="9">
        <f t="shared" si="125"/>
        <v>-0.74129609367599603</v>
      </c>
    </row>
    <row r="4034" spans="1:11" x14ac:dyDescent="0.3">
      <c r="A4034">
        <v>1384</v>
      </c>
      <c r="B4034">
        <v>4</v>
      </c>
      <c r="C4034">
        <v>97</v>
      </c>
      <c r="D4034" t="str">
        <f>VLOOKUP($C4034,products!$A$1:$F$322,MATCH(order_items!$D$1,products!$A$1:$F$1,0),FALSE)</f>
        <v>Electra Savannah 3i (20-inch) - Girl's - 2017</v>
      </c>
      <c r="E4034">
        <f>VLOOKUP($C4034,products!$A$1:$F$322,MATCH(order_items!$E$1,products!$A$1:$F$1,0),FALSE)</f>
        <v>1</v>
      </c>
      <c r="F4034" t="str">
        <f>VLOOKUP($E4034,categories!$A$1:$B$8,MATCH(order_items!$F$1,categories!$A$1:$B$1,0),FALSE)</f>
        <v>Children Bicycles</v>
      </c>
      <c r="G4034">
        <v>1</v>
      </c>
      <c r="H4034">
        <v>349.99</v>
      </c>
      <c r="I4034" s="5">
        <v>0.05</v>
      </c>
      <c r="J4034">
        <f t="shared" ref="J4034:J4097" si="126">G4034*H4034*(1-I4034)</f>
        <v>332.4905</v>
      </c>
      <c r="K4034" s="9">
        <f t="shared" ref="K4034:K4097" si="127">($H4034-$M$7)/$M$9</f>
        <v>-0.63779594069443424</v>
      </c>
    </row>
    <row r="4035" spans="1:11" x14ac:dyDescent="0.3">
      <c r="A4035">
        <v>1385</v>
      </c>
      <c r="B4035">
        <v>1</v>
      </c>
      <c r="C4035">
        <v>24</v>
      </c>
      <c r="D4035" t="str">
        <f>VLOOKUP($C4035,products!$A$1:$F$322,MATCH(order_items!$D$1,products!$A$1:$F$1,0),FALSE)</f>
        <v>Electra Townie Original 21D - 2016</v>
      </c>
      <c r="E4035">
        <f>VLOOKUP($C4035,products!$A$1:$F$322,MATCH(order_items!$E$1,products!$A$1:$F$1,0),FALSE)</f>
        <v>2</v>
      </c>
      <c r="F4035" t="str">
        <f>VLOOKUP($E4035,categories!$A$1:$B$8,MATCH(order_items!$F$1,categories!$A$1:$B$1,0),FALSE)</f>
        <v>Comfort Bicycles</v>
      </c>
      <c r="G4035">
        <v>2</v>
      </c>
      <c r="H4035">
        <v>549.99</v>
      </c>
      <c r="I4035" s="5">
        <v>0.05</v>
      </c>
      <c r="J4035">
        <f t="shared" si="126"/>
        <v>1044.981</v>
      </c>
      <c r="K4035" s="9">
        <f t="shared" si="127"/>
        <v>-0.48993857929220308</v>
      </c>
    </row>
    <row r="4036" spans="1:11" x14ac:dyDescent="0.3">
      <c r="A4036">
        <v>1385</v>
      </c>
      <c r="B4036">
        <v>2</v>
      </c>
      <c r="C4036">
        <v>145</v>
      </c>
      <c r="D4036" t="str">
        <f>VLOOKUP($C4036,products!$A$1:$F$322,MATCH(order_items!$D$1,products!$A$1:$F$1,0),FALSE)</f>
        <v>Trek Domane ALR 5 Disc - 2018</v>
      </c>
      <c r="E4036">
        <f>VLOOKUP($C4036,products!$A$1:$F$322,MATCH(order_items!$E$1,products!$A$1:$F$1,0),FALSE)</f>
        <v>7</v>
      </c>
      <c r="F4036" t="str">
        <f>VLOOKUP($E4036,categories!$A$1:$B$8,MATCH(order_items!$F$1,categories!$A$1:$B$1,0),FALSE)</f>
        <v>Road Bikes</v>
      </c>
      <c r="G4036">
        <v>1</v>
      </c>
      <c r="H4036">
        <v>1799.99</v>
      </c>
      <c r="I4036" s="5">
        <v>7.0000000000000007E-2</v>
      </c>
      <c r="J4036">
        <f t="shared" si="126"/>
        <v>1673.9906999999998</v>
      </c>
      <c r="K4036" s="9">
        <f t="shared" si="127"/>
        <v>0.43416992947174166</v>
      </c>
    </row>
    <row r="4037" spans="1:11" x14ac:dyDescent="0.3">
      <c r="A4037">
        <v>1385</v>
      </c>
      <c r="B4037">
        <v>3</v>
      </c>
      <c r="C4037">
        <v>39</v>
      </c>
      <c r="D4037" t="str">
        <f>VLOOKUP($C4037,products!$A$1:$F$322,MATCH(order_items!$D$1,products!$A$1:$F$1,0),FALSE)</f>
        <v>Trek Stache 5 - 2017</v>
      </c>
      <c r="E4037">
        <f>VLOOKUP($C4037,products!$A$1:$F$322,MATCH(order_items!$E$1,products!$A$1:$F$1,0),FALSE)</f>
        <v>6</v>
      </c>
      <c r="F4037" t="str">
        <f>VLOOKUP($E4037,categories!$A$1:$B$8,MATCH(order_items!$F$1,categories!$A$1:$B$1,0),FALSE)</f>
        <v>Mountain Bikes</v>
      </c>
      <c r="G4037">
        <v>2</v>
      </c>
      <c r="H4037">
        <v>1499.99</v>
      </c>
      <c r="I4037" s="5">
        <v>0.1</v>
      </c>
      <c r="J4037">
        <f t="shared" si="126"/>
        <v>2699.982</v>
      </c>
      <c r="K4037" s="9">
        <f t="shared" si="127"/>
        <v>0.21238388736839492</v>
      </c>
    </row>
    <row r="4038" spans="1:11" x14ac:dyDescent="0.3">
      <c r="A4038">
        <v>1385</v>
      </c>
      <c r="B4038">
        <v>4</v>
      </c>
      <c r="C4038">
        <v>135</v>
      </c>
      <c r="D4038" t="str">
        <f>VLOOKUP($C4038,products!$A$1:$F$322,MATCH(order_items!$D$1,products!$A$1:$F$1,0),FALSE)</f>
        <v>Trek X-Caliber Frameset - 2018</v>
      </c>
      <c r="E4038">
        <f>VLOOKUP($C4038,products!$A$1:$F$322,MATCH(order_items!$E$1,products!$A$1:$F$1,0),FALSE)</f>
        <v>6</v>
      </c>
      <c r="F4038" t="str">
        <f>VLOOKUP($E4038,categories!$A$1:$B$8,MATCH(order_items!$F$1,categories!$A$1:$B$1,0),FALSE)</f>
        <v>Mountain Bikes</v>
      </c>
      <c r="G4038">
        <v>1</v>
      </c>
      <c r="H4038">
        <v>1499.99</v>
      </c>
      <c r="I4038" s="5">
        <v>0.05</v>
      </c>
      <c r="J4038">
        <f t="shared" si="126"/>
        <v>1424.9904999999999</v>
      </c>
      <c r="K4038" s="9">
        <f t="shared" si="127"/>
        <v>0.21238388736839492</v>
      </c>
    </row>
    <row r="4039" spans="1:11" x14ac:dyDescent="0.3">
      <c r="A4039">
        <v>1386</v>
      </c>
      <c r="B4039">
        <v>1</v>
      </c>
      <c r="C4039">
        <v>292</v>
      </c>
      <c r="D4039" t="str">
        <f>VLOOKUP($C4039,products!$A$1:$F$322,MATCH(order_items!$D$1,products!$A$1:$F$1,0),FALSE)</f>
        <v>Electra Sweet Ride 3i (20-inch) - Girls' - 2018</v>
      </c>
      <c r="E4039">
        <f>VLOOKUP($C4039,products!$A$1:$F$322,MATCH(order_items!$E$1,products!$A$1:$F$1,0),FALSE)</f>
        <v>1</v>
      </c>
      <c r="F4039" t="str">
        <f>VLOOKUP($E4039,categories!$A$1:$B$8,MATCH(order_items!$F$1,categories!$A$1:$B$1,0),FALSE)</f>
        <v>Children Bicycles</v>
      </c>
      <c r="G4039">
        <v>1</v>
      </c>
      <c r="H4039">
        <v>369.99</v>
      </c>
      <c r="I4039" s="5">
        <v>0.2</v>
      </c>
      <c r="J4039">
        <f t="shared" si="126"/>
        <v>295.99200000000002</v>
      </c>
      <c r="K4039" s="9">
        <f t="shared" si="127"/>
        <v>-0.62301020455421108</v>
      </c>
    </row>
    <row r="4040" spans="1:11" x14ac:dyDescent="0.3">
      <c r="A4040">
        <v>1386</v>
      </c>
      <c r="B4040">
        <v>2</v>
      </c>
      <c r="C4040">
        <v>262</v>
      </c>
      <c r="D4040" t="str">
        <f>VLOOKUP($C4040,products!$A$1:$F$322,MATCH(order_items!$D$1,products!$A$1:$F$1,0),FALSE)</f>
        <v>Trek MT 201 - 2018</v>
      </c>
      <c r="E4040">
        <f>VLOOKUP($C4040,products!$A$1:$F$322,MATCH(order_items!$E$1,products!$A$1:$F$1,0),FALSE)</f>
        <v>1</v>
      </c>
      <c r="F4040" t="str">
        <f>VLOOKUP($E4040,categories!$A$1:$B$8,MATCH(order_items!$F$1,categories!$A$1:$B$1,0),FALSE)</f>
        <v>Children Bicycles</v>
      </c>
      <c r="G4040">
        <v>1</v>
      </c>
      <c r="H4040">
        <v>249.99</v>
      </c>
      <c r="I4040" s="5">
        <v>0.1</v>
      </c>
      <c r="J4040">
        <f t="shared" si="126"/>
        <v>224.99100000000001</v>
      </c>
      <c r="K4040" s="9">
        <f t="shared" si="127"/>
        <v>-0.71172462139554982</v>
      </c>
    </row>
    <row r="4041" spans="1:11" x14ac:dyDescent="0.3">
      <c r="A4041">
        <v>1386</v>
      </c>
      <c r="B4041">
        <v>3</v>
      </c>
      <c r="C4041">
        <v>306</v>
      </c>
      <c r="D4041" t="str">
        <f>VLOOKUP($C4041,products!$A$1:$F$322,MATCH(order_items!$D$1,products!$A$1:$F$1,0),FALSE)</f>
        <v>Electra Townie Balloon 7i EQ Ladies' - 2017/2018</v>
      </c>
      <c r="E4041">
        <f>VLOOKUP($C4041,products!$A$1:$F$322,MATCH(order_items!$E$1,products!$A$1:$F$1,0),FALSE)</f>
        <v>2</v>
      </c>
      <c r="F4041" t="str">
        <f>VLOOKUP($E4041,categories!$A$1:$B$8,MATCH(order_items!$F$1,categories!$A$1:$B$1,0),FALSE)</f>
        <v>Comfort Bicycles</v>
      </c>
      <c r="G4041">
        <v>1</v>
      </c>
      <c r="H4041">
        <v>899.99</v>
      </c>
      <c r="I4041" s="5">
        <v>0.1</v>
      </c>
      <c r="J4041">
        <f t="shared" si="126"/>
        <v>809.99099999999999</v>
      </c>
      <c r="K4041" s="9">
        <f t="shared" si="127"/>
        <v>-0.23118819683829855</v>
      </c>
    </row>
    <row r="4042" spans="1:11" x14ac:dyDescent="0.3">
      <c r="A4042">
        <v>1386</v>
      </c>
      <c r="B4042">
        <v>4</v>
      </c>
      <c r="C4042">
        <v>150</v>
      </c>
      <c r="D4042" t="str">
        <f>VLOOKUP($C4042,products!$A$1:$F$322,MATCH(order_items!$D$1,products!$A$1:$F$1,0),FALSE)</f>
        <v>Trek Emonda SL 7 - 2018</v>
      </c>
      <c r="E4042">
        <f>VLOOKUP($C4042,products!$A$1:$F$322,MATCH(order_items!$E$1,products!$A$1:$F$1,0),FALSE)</f>
        <v>7</v>
      </c>
      <c r="F4042" t="str">
        <f>VLOOKUP($E4042,categories!$A$1:$B$8,MATCH(order_items!$F$1,categories!$A$1:$B$1,0),FALSE)</f>
        <v>Road Bikes</v>
      </c>
      <c r="G4042">
        <v>1</v>
      </c>
      <c r="H4042">
        <v>4499.99</v>
      </c>
      <c r="I4042" s="5">
        <v>7.0000000000000007E-2</v>
      </c>
      <c r="J4042">
        <f t="shared" si="126"/>
        <v>4184.9906999999994</v>
      </c>
      <c r="K4042" s="9">
        <f t="shared" si="127"/>
        <v>2.4302443084018623</v>
      </c>
    </row>
    <row r="4043" spans="1:11" x14ac:dyDescent="0.3">
      <c r="A4043">
        <v>1387</v>
      </c>
      <c r="B4043">
        <v>1</v>
      </c>
      <c r="C4043">
        <v>106</v>
      </c>
      <c r="D4043" t="str">
        <f>VLOOKUP($C4043,products!$A$1:$F$322,MATCH(order_items!$D$1,products!$A$1:$F$1,0),FALSE)</f>
        <v>Sun Bicycles Cruz 3 - 2017</v>
      </c>
      <c r="E4043">
        <f>VLOOKUP($C4043,products!$A$1:$F$322,MATCH(order_items!$E$1,products!$A$1:$F$1,0),FALSE)</f>
        <v>2</v>
      </c>
      <c r="F4043" t="str">
        <f>VLOOKUP($E4043,categories!$A$1:$B$8,MATCH(order_items!$F$1,categories!$A$1:$B$1,0),FALSE)</f>
        <v>Comfort Bicycles</v>
      </c>
      <c r="G4043">
        <v>1</v>
      </c>
      <c r="H4043">
        <v>449.99</v>
      </c>
      <c r="I4043" s="5">
        <v>0.1</v>
      </c>
      <c r="J4043">
        <f t="shared" si="126"/>
        <v>404.99100000000004</v>
      </c>
      <c r="K4043" s="9">
        <f t="shared" si="127"/>
        <v>-0.56386725999331866</v>
      </c>
    </row>
    <row r="4044" spans="1:11" x14ac:dyDescent="0.3">
      <c r="A4044">
        <v>1388</v>
      </c>
      <c r="B4044">
        <v>1</v>
      </c>
      <c r="C4044">
        <v>251</v>
      </c>
      <c r="D4044" t="str">
        <f>VLOOKUP($C4044,products!$A$1:$F$322,MATCH(order_items!$D$1,products!$A$1:$F$1,0),FALSE)</f>
        <v>Electra Townie Commute Go! - 2018</v>
      </c>
      <c r="E4044">
        <f>VLOOKUP($C4044,products!$A$1:$F$322,MATCH(order_items!$E$1,products!$A$1:$F$1,0),FALSE)</f>
        <v>3</v>
      </c>
      <c r="F4044" t="str">
        <f>VLOOKUP($E4044,categories!$A$1:$B$8,MATCH(order_items!$F$1,categories!$A$1:$B$1,0),FALSE)</f>
        <v>Cruisers Bicycles</v>
      </c>
      <c r="G4044">
        <v>1</v>
      </c>
      <c r="H4044">
        <v>2999.99</v>
      </c>
      <c r="I4044" s="5">
        <v>0.1</v>
      </c>
      <c r="J4044">
        <f t="shared" si="126"/>
        <v>2699.991</v>
      </c>
      <c r="K4044" s="9">
        <f t="shared" si="127"/>
        <v>1.3213140978851283</v>
      </c>
    </row>
    <row r="4045" spans="1:11" x14ac:dyDescent="0.3">
      <c r="A4045">
        <v>1389</v>
      </c>
      <c r="B4045">
        <v>1</v>
      </c>
      <c r="C4045">
        <v>85</v>
      </c>
      <c r="D4045" t="str">
        <f>VLOOKUP($C4045,products!$A$1:$F$322,MATCH(order_items!$D$1,products!$A$1:$F$1,0),FALSE)</f>
        <v>Haro Downtown 16 - 2017</v>
      </c>
      <c r="E4045">
        <f>VLOOKUP($C4045,products!$A$1:$F$322,MATCH(order_items!$E$1,products!$A$1:$F$1,0),FALSE)</f>
        <v>1</v>
      </c>
      <c r="F4045" t="str">
        <f>VLOOKUP($E4045,categories!$A$1:$B$8,MATCH(order_items!$F$1,categories!$A$1:$B$1,0),FALSE)</f>
        <v>Children Bicycles</v>
      </c>
      <c r="G4045">
        <v>2</v>
      </c>
      <c r="H4045">
        <v>329.99</v>
      </c>
      <c r="I4045" s="5">
        <v>0.1</v>
      </c>
      <c r="J4045">
        <f t="shared" si="126"/>
        <v>593.98200000000008</v>
      </c>
      <c r="K4045" s="9">
        <f t="shared" si="127"/>
        <v>-0.6525816768346574</v>
      </c>
    </row>
    <row r="4046" spans="1:11" x14ac:dyDescent="0.3">
      <c r="A4046">
        <v>1389</v>
      </c>
      <c r="B4046">
        <v>2</v>
      </c>
      <c r="C4046">
        <v>171</v>
      </c>
      <c r="D4046" t="str">
        <f>VLOOKUP($C4046,products!$A$1:$F$322,MATCH(order_items!$D$1,products!$A$1:$F$1,0),FALSE)</f>
        <v>Trek Domane SL 6 - 2018</v>
      </c>
      <c r="E4046">
        <f>VLOOKUP($C4046,products!$A$1:$F$322,MATCH(order_items!$E$1,products!$A$1:$F$1,0),FALSE)</f>
        <v>7</v>
      </c>
      <c r="F4046" t="str">
        <f>VLOOKUP($E4046,categories!$A$1:$B$8,MATCH(order_items!$F$1,categories!$A$1:$B$1,0),FALSE)</f>
        <v>Road Bikes</v>
      </c>
      <c r="G4046">
        <v>2</v>
      </c>
      <c r="H4046">
        <v>3199.99</v>
      </c>
      <c r="I4046" s="5">
        <v>0.05</v>
      </c>
      <c r="J4046">
        <f t="shared" si="126"/>
        <v>6079.9809999999989</v>
      </c>
      <c r="K4046" s="9">
        <f t="shared" si="127"/>
        <v>1.4691714592873595</v>
      </c>
    </row>
    <row r="4047" spans="1:11" x14ac:dyDescent="0.3">
      <c r="A4047">
        <v>1389</v>
      </c>
      <c r="B4047">
        <v>3</v>
      </c>
      <c r="C4047">
        <v>227</v>
      </c>
      <c r="D4047" t="str">
        <f>VLOOKUP($C4047,products!$A$1:$F$322,MATCH(order_items!$D$1,products!$A$1:$F$1,0),FALSE)</f>
        <v>Electra Cruiser 7D (24-Inch) Ladies' - 2016/2018</v>
      </c>
      <c r="E4047">
        <f>VLOOKUP($C4047,products!$A$1:$F$322,MATCH(order_items!$E$1,products!$A$1:$F$1,0),FALSE)</f>
        <v>3</v>
      </c>
      <c r="F4047" t="str">
        <f>VLOOKUP($E4047,categories!$A$1:$B$8,MATCH(order_items!$F$1,categories!$A$1:$B$1,0),FALSE)</f>
        <v>Cruisers Bicycles</v>
      </c>
      <c r="G4047">
        <v>1</v>
      </c>
      <c r="H4047">
        <v>319.99</v>
      </c>
      <c r="I4047" s="5">
        <v>7.0000000000000007E-2</v>
      </c>
      <c r="J4047">
        <f t="shared" si="126"/>
        <v>297.59069999999997</v>
      </c>
      <c r="K4047" s="9">
        <f t="shared" si="127"/>
        <v>-0.65997454490476892</v>
      </c>
    </row>
    <row r="4048" spans="1:11" x14ac:dyDescent="0.3">
      <c r="A4048">
        <v>1390</v>
      </c>
      <c r="B4048">
        <v>1</v>
      </c>
      <c r="C4048">
        <v>41</v>
      </c>
      <c r="D4048" t="str">
        <f>VLOOKUP($C4048,products!$A$1:$F$322,MATCH(order_items!$D$1,products!$A$1:$F$1,0),FALSE)</f>
        <v>Haro Shift R3 - 2017</v>
      </c>
      <c r="E4048">
        <f>VLOOKUP($C4048,products!$A$1:$F$322,MATCH(order_items!$E$1,products!$A$1:$F$1,0),FALSE)</f>
        <v>6</v>
      </c>
      <c r="F4048" t="str">
        <f>VLOOKUP($E4048,categories!$A$1:$B$8,MATCH(order_items!$F$1,categories!$A$1:$B$1,0),FALSE)</f>
        <v>Mountain Bikes</v>
      </c>
      <c r="G4048">
        <v>2</v>
      </c>
      <c r="H4048">
        <v>1469.99</v>
      </c>
      <c r="I4048" s="5">
        <v>0.05</v>
      </c>
      <c r="J4048">
        <f t="shared" si="126"/>
        <v>2792.9809999999998</v>
      </c>
      <c r="K4048" s="9">
        <f t="shared" si="127"/>
        <v>0.19020528315806023</v>
      </c>
    </row>
    <row r="4049" spans="1:11" x14ac:dyDescent="0.3">
      <c r="A4049">
        <v>1390</v>
      </c>
      <c r="B4049">
        <v>2</v>
      </c>
      <c r="C4049">
        <v>27</v>
      </c>
      <c r="D4049" t="str">
        <f>VLOOKUP($C4049,products!$A$1:$F$322,MATCH(order_items!$D$1,products!$A$1:$F$1,0),FALSE)</f>
        <v>Surly Big Dummy Frameset - 2017</v>
      </c>
      <c r="E4049">
        <f>VLOOKUP($C4049,products!$A$1:$F$322,MATCH(order_items!$E$1,products!$A$1:$F$1,0),FALSE)</f>
        <v>6</v>
      </c>
      <c r="F4049" t="str">
        <f>VLOOKUP($E4049,categories!$A$1:$B$8,MATCH(order_items!$F$1,categories!$A$1:$B$1,0),FALSE)</f>
        <v>Mountain Bikes</v>
      </c>
      <c r="G4049">
        <v>2</v>
      </c>
      <c r="H4049">
        <v>999.99</v>
      </c>
      <c r="I4049" s="5">
        <v>0.05</v>
      </c>
      <c r="J4049">
        <f t="shared" si="126"/>
        <v>1899.981</v>
      </c>
      <c r="K4049" s="9">
        <f t="shared" si="127"/>
        <v>-0.15725951613718298</v>
      </c>
    </row>
    <row r="4050" spans="1:11" x14ac:dyDescent="0.3">
      <c r="A4050">
        <v>1390</v>
      </c>
      <c r="B4050">
        <v>3</v>
      </c>
      <c r="C4050">
        <v>306</v>
      </c>
      <c r="D4050" t="str">
        <f>VLOOKUP($C4050,products!$A$1:$F$322,MATCH(order_items!$D$1,products!$A$1:$F$1,0),FALSE)</f>
        <v>Electra Townie Balloon 7i EQ Ladies' - 2017/2018</v>
      </c>
      <c r="E4050">
        <f>VLOOKUP($C4050,products!$A$1:$F$322,MATCH(order_items!$E$1,products!$A$1:$F$1,0),FALSE)</f>
        <v>2</v>
      </c>
      <c r="F4050" t="str">
        <f>VLOOKUP($E4050,categories!$A$1:$B$8,MATCH(order_items!$F$1,categories!$A$1:$B$1,0),FALSE)</f>
        <v>Comfort Bicycles</v>
      </c>
      <c r="G4050">
        <v>1</v>
      </c>
      <c r="H4050">
        <v>899.99</v>
      </c>
      <c r="I4050" s="5">
        <v>0.1</v>
      </c>
      <c r="J4050">
        <f t="shared" si="126"/>
        <v>809.99099999999999</v>
      </c>
      <c r="K4050" s="9">
        <f t="shared" si="127"/>
        <v>-0.23118819683829855</v>
      </c>
    </row>
    <row r="4051" spans="1:11" x14ac:dyDescent="0.3">
      <c r="A4051">
        <v>1390</v>
      </c>
      <c r="B4051">
        <v>4</v>
      </c>
      <c r="C4051">
        <v>104</v>
      </c>
      <c r="D4051" t="str">
        <f>VLOOKUP($C4051,products!$A$1:$F$322,MATCH(order_items!$D$1,products!$A$1:$F$1,0),FALSE)</f>
        <v>Sun Bicycles Streamway - 2017</v>
      </c>
      <c r="E4051">
        <f>VLOOKUP($C4051,products!$A$1:$F$322,MATCH(order_items!$E$1,products!$A$1:$F$1,0),FALSE)</f>
        <v>2</v>
      </c>
      <c r="F4051" t="str">
        <f>VLOOKUP($E4051,categories!$A$1:$B$8,MATCH(order_items!$F$1,categories!$A$1:$B$1,0),FALSE)</f>
        <v>Comfort Bicycles</v>
      </c>
      <c r="G4051">
        <v>1</v>
      </c>
      <c r="H4051">
        <v>481.99</v>
      </c>
      <c r="I4051" s="5">
        <v>0.05</v>
      </c>
      <c r="J4051">
        <f t="shared" si="126"/>
        <v>457.89049999999997</v>
      </c>
      <c r="K4051" s="9">
        <f t="shared" si="127"/>
        <v>-0.54021008216896171</v>
      </c>
    </row>
    <row r="4052" spans="1:11" x14ac:dyDescent="0.3">
      <c r="A4052">
        <v>1390</v>
      </c>
      <c r="B4052">
        <v>5</v>
      </c>
      <c r="C4052">
        <v>147</v>
      </c>
      <c r="D4052" t="str">
        <f>VLOOKUP($C4052,products!$A$1:$F$322,MATCH(order_items!$D$1,products!$A$1:$F$1,0),FALSE)</f>
        <v>Trek Domane ALR 5 Gravel - 2018</v>
      </c>
      <c r="E4052">
        <f>VLOOKUP($C4052,products!$A$1:$F$322,MATCH(order_items!$E$1,products!$A$1:$F$1,0),FALSE)</f>
        <v>7</v>
      </c>
      <c r="F4052" t="str">
        <f>VLOOKUP($E4052,categories!$A$1:$B$8,MATCH(order_items!$F$1,categories!$A$1:$B$1,0),FALSE)</f>
        <v>Road Bikes</v>
      </c>
      <c r="G4052">
        <v>2</v>
      </c>
      <c r="H4052">
        <v>1799.99</v>
      </c>
      <c r="I4052" s="5">
        <v>0.1</v>
      </c>
      <c r="J4052">
        <f t="shared" si="126"/>
        <v>3239.982</v>
      </c>
      <c r="K4052" s="9">
        <f t="shared" si="127"/>
        <v>0.43416992947174166</v>
      </c>
    </row>
    <row r="4053" spans="1:11" x14ac:dyDescent="0.3">
      <c r="A4053">
        <v>1391</v>
      </c>
      <c r="B4053">
        <v>1</v>
      </c>
      <c r="C4053">
        <v>223</v>
      </c>
      <c r="D4053" t="str">
        <f>VLOOKUP($C4053,products!$A$1:$F$322,MATCH(order_items!$D$1,products!$A$1:$F$1,0),FALSE)</f>
        <v>Electra Cruiser Lux 3i - 2018</v>
      </c>
      <c r="E4053">
        <f>VLOOKUP($C4053,products!$A$1:$F$322,MATCH(order_items!$E$1,products!$A$1:$F$1,0),FALSE)</f>
        <v>3</v>
      </c>
      <c r="F4053" t="str">
        <f>VLOOKUP($E4053,categories!$A$1:$B$8,MATCH(order_items!$F$1,categories!$A$1:$B$1,0),FALSE)</f>
        <v>Cruisers Bicycles</v>
      </c>
      <c r="G4053">
        <v>2</v>
      </c>
      <c r="H4053">
        <v>529.99</v>
      </c>
      <c r="I4053" s="5">
        <v>7.0000000000000007E-2</v>
      </c>
      <c r="J4053">
        <f t="shared" si="126"/>
        <v>985.78139999999996</v>
      </c>
      <c r="K4053" s="9">
        <f t="shared" si="127"/>
        <v>-0.50472431543242624</v>
      </c>
    </row>
    <row r="4054" spans="1:11" x14ac:dyDescent="0.3">
      <c r="A4054">
        <v>1391</v>
      </c>
      <c r="B4054">
        <v>2</v>
      </c>
      <c r="C4054">
        <v>295</v>
      </c>
      <c r="D4054" t="str">
        <f>VLOOKUP($C4054,products!$A$1:$F$322,MATCH(order_items!$D$1,products!$A$1:$F$1,0),FALSE)</f>
        <v>Electra Treasure 1 20" - 2018</v>
      </c>
      <c r="E4054">
        <f>VLOOKUP($C4054,products!$A$1:$F$322,MATCH(order_items!$E$1,products!$A$1:$F$1,0),FALSE)</f>
        <v>1</v>
      </c>
      <c r="F4054" t="str">
        <f>VLOOKUP($E4054,categories!$A$1:$B$8,MATCH(order_items!$F$1,categories!$A$1:$B$1,0),FALSE)</f>
        <v>Children Bicycles</v>
      </c>
      <c r="G4054">
        <v>2</v>
      </c>
      <c r="H4054">
        <v>319.99</v>
      </c>
      <c r="I4054" s="5">
        <v>0.2</v>
      </c>
      <c r="J4054">
        <f t="shared" si="126"/>
        <v>511.98400000000004</v>
      </c>
      <c r="K4054" s="9">
        <f t="shared" si="127"/>
        <v>-0.65997454490476892</v>
      </c>
    </row>
    <row r="4055" spans="1:11" x14ac:dyDescent="0.3">
      <c r="A4055">
        <v>1391</v>
      </c>
      <c r="B4055">
        <v>3</v>
      </c>
      <c r="C4055">
        <v>277</v>
      </c>
      <c r="D4055" t="str">
        <f>VLOOKUP($C4055,products!$A$1:$F$322,MATCH(order_items!$D$1,products!$A$1:$F$1,0),FALSE)</f>
        <v>Trek Precaliber 24 21-speed Boy's - 2018</v>
      </c>
      <c r="E4055">
        <f>VLOOKUP($C4055,products!$A$1:$F$322,MATCH(order_items!$E$1,products!$A$1:$F$1,0),FALSE)</f>
        <v>1</v>
      </c>
      <c r="F4055" t="str">
        <f>VLOOKUP($E4055,categories!$A$1:$B$8,MATCH(order_items!$F$1,categories!$A$1:$B$1,0),FALSE)</f>
        <v>Children Bicycles</v>
      </c>
      <c r="G4055">
        <v>1</v>
      </c>
      <c r="H4055">
        <v>369.99</v>
      </c>
      <c r="I4055" s="5">
        <v>0.2</v>
      </c>
      <c r="J4055">
        <f t="shared" si="126"/>
        <v>295.99200000000002</v>
      </c>
      <c r="K4055" s="9">
        <f t="shared" si="127"/>
        <v>-0.62301020455421108</v>
      </c>
    </row>
    <row r="4056" spans="1:11" x14ac:dyDescent="0.3">
      <c r="A4056">
        <v>1392</v>
      </c>
      <c r="B4056">
        <v>1</v>
      </c>
      <c r="C4056">
        <v>87</v>
      </c>
      <c r="D4056" t="str">
        <f>VLOOKUP($C4056,products!$A$1:$F$322,MATCH(order_items!$D$1,products!$A$1:$F$1,0),FALSE)</f>
        <v>Trek Precaliber 12 Boys - 2017</v>
      </c>
      <c r="E4056">
        <f>VLOOKUP($C4056,products!$A$1:$F$322,MATCH(order_items!$E$1,products!$A$1:$F$1,0),FALSE)</f>
        <v>1</v>
      </c>
      <c r="F4056" t="str">
        <f>VLOOKUP($E4056,categories!$A$1:$B$8,MATCH(order_items!$F$1,categories!$A$1:$B$1,0),FALSE)</f>
        <v>Children Bicycles</v>
      </c>
      <c r="G4056">
        <v>2</v>
      </c>
      <c r="H4056">
        <v>189.99</v>
      </c>
      <c r="I4056" s="5">
        <v>0.2</v>
      </c>
      <c r="J4056">
        <f t="shared" si="126"/>
        <v>303.98400000000004</v>
      </c>
      <c r="K4056" s="9">
        <f t="shared" si="127"/>
        <v>-0.75608182981621919</v>
      </c>
    </row>
    <row r="4057" spans="1:11" x14ac:dyDescent="0.3">
      <c r="A4057">
        <v>1392</v>
      </c>
      <c r="B4057">
        <v>2</v>
      </c>
      <c r="C4057">
        <v>240</v>
      </c>
      <c r="D4057" t="str">
        <f>VLOOKUP($C4057,products!$A$1:$F$322,MATCH(order_items!$D$1,products!$A$1:$F$1,0),FALSE)</f>
        <v>Electra Townie Commute 27D Ladies - 2018</v>
      </c>
      <c r="E4057">
        <f>VLOOKUP($C4057,products!$A$1:$F$322,MATCH(order_items!$E$1,products!$A$1:$F$1,0),FALSE)</f>
        <v>3</v>
      </c>
      <c r="F4057" t="str">
        <f>VLOOKUP($E4057,categories!$A$1:$B$8,MATCH(order_items!$F$1,categories!$A$1:$B$1,0),FALSE)</f>
        <v>Cruisers Bicycles</v>
      </c>
      <c r="G4057">
        <v>2</v>
      </c>
      <c r="H4057">
        <v>899.99</v>
      </c>
      <c r="I4057" s="5">
        <v>0.05</v>
      </c>
      <c r="J4057">
        <f t="shared" si="126"/>
        <v>1709.981</v>
      </c>
      <c r="K4057" s="9">
        <f t="shared" si="127"/>
        <v>-0.23118819683829855</v>
      </c>
    </row>
    <row r="4058" spans="1:11" x14ac:dyDescent="0.3">
      <c r="A4058">
        <v>1393</v>
      </c>
      <c r="B4058">
        <v>1</v>
      </c>
      <c r="C4058">
        <v>92</v>
      </c>
      <c r="D4058" t="str">
        <f>VLOOKUP($C4058,products!$A$1:$F$322,MATCH(order_items!$D$1,products!$A$1:$F$1,0),FALSE)</f>
        <v>Haro Shredder 20 - 2017</v>
      </c>
      <c r="E4058">
        <f>VLOOKUP($C4058,products!$A$1:$F$322,MATCH(order_items!$E$1,products!$A$1:$F$1,0),FALSE)</f>
        <v>1</v>
      </c>
      <c r="F4058" t="str">
        <f>VLOOKUP($E4058,categories!$A$1:$B$8,MATCH(order_items!$F$1,categories!$A$1:$B$1,0),FALSE)</f>
        <v>Children Bicycles</v>
      </c>
      <c r="G4058">
        <v>1</v>
      </c>
      <c r="H4058">
        <v>209.99</v>
      </c>
      <c r="I4058" s="5">
        <v>7.0000000000000007E-2</v>
      </c>
      <c r="J4058">
        <f t="shared" si="126"/>
        <v>195.29069999999999</v>
      </c>
      <c r="K4058" s="9">
        <f t="shared" si="127"/>
        <v>-0.74129609367599603</v>
      </c>
    </row>
    <row r="4059" spans="1:11" x14ac:dyDescent="0.3">
      <c r="A4059">
        <v>1393</v>
      </c>
      <c r="B4059">
        <v>2</v>
      </c>
      <c r="C4059">
        <v>82</v>
      </c>
      <c r="D4059" t="str">
        <f>VLOOKUP($C4059,products!$A$1:$F$322,MATCH(order_items!$D$1,products!$A$1:$F$1,0),FALSE)</f>
        <v>Electra Amsterdam Original 3i Ladies' - 2017</v>
      </c>
      <c r="E4059">
        <f>VLOOKUP($C4059,products!$A$1:$F$322,MATCH(order_items!$E$1,products!$A$1:$F$1,0),FALSE)</f>
        <v>3</v>
      </c>
      <c r="F4059" t="str">
        <f>VLOOKUP($E4059,categories!$A$1:$B$8,MATCH(order_items!$F$1,categories!$A$1:$B$1,0),FALSE)</f>
        <v>Cruisers Bicycles</v>
      </c>
      <c r="G4059">
        <v>1</v>
      </c>
      <c r="H4059">
        <v>659.99</v>
      </c>
      <c r="I4059" s="5">
        <v>7.0000000000000007E-2</v>
      </c>
      <c r="J4059">
        <f t="shared" si="126"/>
        <v>613.79070000000002</v>
      </c>
      <c r="K4059" s="9">
        <f t="shared" si="127"/>
        <v>-0.40861703052097592</v>
      </c>
    </row>
    <row r="4060" spans="1:11" x14ac:dyDescent="0.3">
      <c r="A4060">
        <v>1393</v>
      </c>
      <c r="B4060">
        <v>3</v>
      </c>
      <c r="C4060">
        <v>47</v>
      </c>
      <c r="D4060" t="str">
        <f>VLOOKUP($C4060,products!$A$1:$F$322,MATCH(order_items!$D$1,products!$A$1:$F$1,0),FALSE)</f>
        <v>Trek Remedy 9.8 - 2017</v>
      </c>
      <c r="E4060">
        <f>VLOOKUP($C4060,products!$A$1:$F$322,MATCH(order_items!$E$1,products!$A$1:$F$1,0),FALSE)</f>
        <v>6</v>
      </c>
      <c r="F4060" t="str">
        <f>VLOOKUP($E4060,categories!$A$1:$B$8,MATCH(order_items!$F$1,categories!$A$1:$B$1,0),FALSE)</f>
        <v>Mountain Bikes</v>
      </c>
      <c r="G4060">
        <v>2</v>
      </c>
      <c r="H4060">
        <v>5299.99</v>
      </c>
      <c r="I4060" s="5">
        <v>0.05</v>
      </c>
      <c r="J4060">
        <f t="shared" si="126"/>
        <v>10069.981</v>
      </c>
      <c r="K4060" s="9">
        <f t="shared" si="127"/>
        <v>3.021673754010787</v>
      </c>
    </row>
    <row r="4061" spans="1:11" x14ac:dyDescent="0.3">
      <c r="A4061">
        <v>1393</v>
      </c>
      <c r="B4061">
        <v>4</v>
      </c>
      <c r="C4061">
        <v>268</v>
      </c>
      <c r="D4061" t="str">
        <f>VLOOKUP($C4061,products!$A$1:$F$322,MATCH(order_items!$D$1,products!$A$1:$F$1,0),FALSE)</f>
        <v>Trek Kickster - 2018</v>
      </c>
      <c r="E4061">
        <f>VLOOKUP($C4061,products!$A$1:$F$322,MATCH(order_items!$E$1,products!$A$1:$F$1,0),FALSE)</f>
        <v>1</v>
      </c>
      <c r="F4061" t="str">
        <f>VLOOKUP($E4061,categories!$A$1:$B$8,MATCH(order_items!$F$1,categories!$A$1:$B$1,0),FALSE)</f>
        <v>Children Bicycles</v>
      </c>
      <c r="G4061">
        <v>2</v>
      </c>
      <c r="H4061">
        <v>159.99</v>
      </c>
      <c r="I4061" s="5">
        <v>0.05</v>
      </c>
      <c r="J4061">
        <f t="shared" si="126"/>
        <v>303.98099999999999</v>
      </c>
      <c r="K4061" s="9">
        <f t="shared" si="127"/>
        <v>-0.77826043402655387</v>
      </c>
    </row>
    <row r="4062" spans="1:11" x14ac:dyDescent="0.3">
      <c r="A4062">
        <v>1394</v>
      </c>
      <c r="B4062">
        <v>1</v>
      </c>
      <c r="C4062">
        <v>165</v>
      </c>
      <c r="D4062" t="str">
        <f>VLOOKUP($C4062,products!$A$1:$F$322,MATCH(order_items!$D$1,products!$A$1:$F$1,0),FALSE)</f>
        <v>Trek 1120 - 2018</v>
      </c>
      <c r="E4062">
        <f>VLOOKUP($C4062,products!$A$1:$F$322,MATCH(order_items!$E$1,products!$A$1:$F$1,0),FALSE)</f>
        <v>7</v>
      </c>
      <c r="F4062" t="str">
        <f>VLOOKUP($E4062,categories!$A$1:$B$8,MATCH(order_items!$F$1,categories!$A$1:$B$1,0),FALSE)</f>
        <v>Road Bikes</v>
      </c>
      <c r="G4062">
        <v>2</v>
      </c>
      <c r="H4062">
        <v>2499.9899999999998</v>
      </c>
      <c r="I4062" s="5">
        <v>0.05</v>
      </c>
      <c r="J4062">
        <f t="shared" si="126"/>
        <v>4749.9809999999998</v>
      </c>
      <c r="K4062" s="9">
        <f t="shared" si="127"/>
        <v>0.95167069437955054</v>
      </c>
    </row>
    <row r="4063" spans="1:11" x14ac:dyDescent="0.3">
      <c r="A4063">
        <v>1395</v>
      </c>
      <c r="B4063">
        <v>1</v>
      </c>
      <c r="C4063">
        <v>204</v>
      </c>
      <c r="D4063" t="str">
        <f>VLOOKUP($C4063,products!$A$1:$F$322,MATCH(order_items!$D$1,products!$A$1:$F$1,0),FALSE)</f>
        <v>Trek Super Commuter+ 7 - 2018</v>
      </c>
      <c r="E4063">
        <f>VLOOKUP($C4063,products!$A$1:$F$322,MATCH(order_items!$E$1,products!$A$1:$F$1,0),FALSE)</f>
        <v>5</v>
      </c>
      <c r="F4063" t="str">
        <f>VLOOKUP($E4063,categories!$A$1:$B$8,MATCH(order_items!$F$1,categories!$A$1:$B$1,0),FALSE)</f>
        <v>Electric Bikes</v>
      </c>
      <c r="G4063">
        <v>1</v>
      </c>
      <c r="H4063">
        <v>3599.99</v>
      </c>
      <c r="I4063" s="5">
        <v>0.2</v>
      </c>
      <c r="J4063">
        <f t="shared" si="126"/>
        <v>2879.9920000000002</v>
      </c>
      <c r="K4063" s="9">
        <f t="shared" si="127"/>
        <v>1.764886182091822</v>
      </c>
    </row>
    <row r="4064" spans="1:11" x14ac:dyDescent="0.3">
      <c r="A4064">
        <v>1395</v>
      </c>
      <c r="B4064">
        <v>2</v>
      </c>
      <c r="C4064">
        <v>48</v>
      </c>
      <c r="D4064" t="str">
        <f>VLOOKUP($C4064,products!$A$1:$F$322,MATCH(order_items!$D$1,products!$A$1:$F$1,0),FALSE)</f>
        <v>Trek Emonda S 4 - 2017</v>
      </c>
      <c r="E4064">
        <f>VLOOKUP($C4064,products!$A$1:$F$322,MATCH(order_items!$E$1,products!$A$1:$F$1,0),FALSE)</f>
        <v>7</v>
      </c>
      <c r="F4064" t="str">
        <f>VLOOKUP($E4064,categories!$A$1:$B$8,MATCH(order_items!$F$1,categories!$A$1:$B$1,0),FALSE)</f>
        <v>Road Bikes</v>
      </c>
      <c r="G4064">
        <v>2</v>
      </c>
      <c r="H4064">
        <v>1499.99</v>
      </c>
      <c r="I4064" s="5">
        <v>0.1</v>
      </c>
      <c r="J4064">
        <f t="shared" si="126"/>
        <v>2699.982</v>
      </c>
      <c r="K4064" s="9">
        <f t="shared" si="127"/>
        <v>0.21238388736839492</v>
      </c>
    </row>
    <row r="4065" spans="1:11" x14ac:dyDescent="0.3">
      <c r="A4065">
        <v>1395</v>
      </c>
      <c r="B4065">
        <v>3</v>
      </c>
      <c r="C4065">
        <v>180</v>
      </c>
      <c r="D4065" t="str">
        <f>VLOOKUP($C4065,products!$A$1:$F$322,MATCH(order_items!$D$1,products!$A$1:$F$1,0),FALSE)</f>
        <v>Trek Domane AL 3 Women's - 2018</v>
      </c>
      <c r="E4065">
        <f>VLOOKUP($C4065,products!$A$1:$F$322,MATCH(order_items!$E$1,products!$A$1:$F$1,0),FALSE)</f>
        <v>7</v>
      </c>
      <c r="F4065" t="str">
        <f>VLOOKUP($E4065,categories!$A$1:$B$8,MATCH(order_items!$F$1,categories!$A$1:$B$1,0),FALSE)</f>
        <v>Road Bikes</v>
      </c>
      <c r="G4065">
        <v>2</v>
      </c>
      <c r="H4065">
        <v>919.99</v>
      </c>
      <c r="I4065" s="5">
        <v>0.2</v>
      </c>
      <c r="J4065">
        <f t="shared" si="126"/>
        <v>1471.9840000000002</v>
      </c>
      <c r="K4065" s="9">
        <f t="shared" si="127"/>
        <v>-0.21640246069807545</v>
      </c>
    </row>
    <row r="4066" spans="1:11" x14ac:dyDescent="0.3">
      <c r="A4066">
        <v>1395</v>
      </c>
      <c r="B4066">
        <v>4</v>
      </c>
      <c r="C4066">
        <v>226</v>
      </c>
      <c r="D4066" t="str">
        <f>VLOOKUP($C4066,products!$A$1:$F$322,MATCH(order_items!$D$1,products!$A$1:$F$1,0),FALSE)</f>
        <v>Electra Townie Original 21D EQ - 2017/2018</v>
      </c>
      <c r="E4066">
        <f>VLOOKUP($C4066,products!$A$1:$F$322,MATCH(order_items!$E$1,products!$A$1:$F$1,0),FALSE)</f>
        <v>3</v>
      </c>
      <c r="F4066" t="str">
        <f>VLOOKUP($E4066,categories!$A$1:$B$8,MATCH(order_items!$F$1,categories!$A$1:$B$1,0),FALSE)</f>
        <v>Cruisers Bicycles</v>
      </c>
      <c r="G4066">
        <v>1</v>
      </c>
      <c r="H4066">
        <v>679.99</v>
      </c>
      <c r="I4066" s="5">
        <v>0.1</v>
      </c>
      <c r="J4066">
        <f t="shared" si="126"/>
        <v>611.99099999999999</v>
      </c>
      <c r="K4066" s="9">
        <f t="shared" si="127"/>
        <v>-0.39383129438075282</v>
      </c>
    </row>
    <row r="4067" spans="1:11" x14ac:dyDescent="0.3">
      <c r="A4067">
        <v>1396</v>
      </c>
      <c r="B4067">
        <v>1</v>
      </c>
      <c r="C4067">
        <v>57</v>
      </c>
      <c r="D4067" t="str">
        <f>VLOOKUP($C4067,products!$A$1:$F$322,MATCH(order_items!$D$1,products!$A$1:$F$1,0),FALSE)</f>
        <v>Trek Emonda S 5 - 2017</v>
      </c>
      <c r="E4067">
        <f>VLOOKUP($C4067,products!$A$1:$F$322,MATCH(order_items!$E$1,products!$A$1:$F$1,0),FALSE)</f>
        <v>7</v>
      </c>
      <c r="F4067" t="str">
        <f>VLOOKUP($E4067,categories!$A$1:$B$8,MATCH(order_items!$F$1,categories!$A$1:$B$1,0),FALSE)</f>
        <v>Road Bikes</v>
      </c>
      <c r="G4067">
        <v>1</v>
      </c>
      <c r="H4067">
        <v>1999.99</v>
      </c>
      <c r="I4067" s="5">
        <v>0.05</v>
      </c>
      <c r="J4067">
        <f t="shared" si="126"/>
        <v>1899.9904999999999</v>
      </c>
      <c r="K4067" s="9">
        <f t="shared" si="127"/>
        <v>0.58202729087397276</v>
      </c>
    </row>
    <row r="4068" spans="1:11" x14ac:dyDescent="0.3">
      <c r="A4068">
        <v>1396</v>
      </c>
      <c r="B4068">
        <v>2</v>
      </c>
      <c r="C4068">
        <v>181</v>
      </c>
      <c r="D4068" t="str">
        <f>VLOOKUP($C4068,products!$A$1:$F$322,MATCH(order_items!$D$1,products!$A$1:$F$1,0),FALSE)</f>
        <v>Trek Domane SL 5 - 2018</v>
      </c>
      <c r="E4068">
        <f>VLOOKUP($C4068,products!$A$1:$F$322,MATCH(order_items!$E$1,products!$A$1:$F$1,0),FALSE)</f>
        <v>7</v>
      </c>
      <c r="F4068" t="str">
        <f>VLOOKUP($E4068,categories!$A$1:$B$8,MATCH(order_items!$F$1,categories!$A$1:$B$1,0),FALSE)</f>
        <v>Road Bikes</v>
      </c>
      <c r="G4068">
        <v>1</v>
      </c>
      <c r="H4068">
        <v>2199.9899999999998</v>
      </c>
      <c r="I4068" s="5">
        <v>0.2</v>
      </c>
      <c r="J4068">
        <f t="shared" si="126"/>
        <v>1759.992</v>
      </c>
      <c r="K4068" s="9">
        <f t="shared" si="127"/>
        <v>0.7298846522762038</v>
      </c>
    </row>
    <row r="4069" spans="1:11" x14ac:dyDescent="0.3">
      <c r="A4069">
        <v>1397</v>
      </c>
      <c r="B4069">
        <v>1</v>
      </c>
      <c r="C4069">
        <v>127</v>
      </c>
      <c r="D4069" t="str">
        <f>VLOOKUP($C4069,products!$A$1:$F$322,MATCH(order_items!$D$1,products!$A$1:$F$1,0),FALSE)</f>
        <v>Surly Pack Rat Frameset - 2018</v>
      </c>
      <c r="E4069">
        <f>VLOOKUP($C4069,products!$A$1:$F$322,MATCH(order_items!$E$1,products!$A$1:$F$1,0),FALSE)</f>
        <v>6</v>
      </c>
      <c r="F4069" t="str">
        <f>VLOOKUP($E4069,categories!$A$1:$B$8,MATCH(order_items!$F$1,categories!$A$1:$B$1,0),FALSE)</f>
        <v>Mountain Bikes</v>
      </c>
      <c r="G4069">
        <v>2</v>
      </c>
      <c r="H4069">
        <v>469.99</v>
      </c>
      <c r="I4069" s="5">
        <v>0.1</v>
      </c>
      <c r="J4069">
        <f t="shared" si="126"/>
        <v>845.98200000000008</v>
      </c>
      <c r="K4069" s="9">
        <f t="shared" si="127"/>
        <v>-0.5490815238530955</v>
      </c>
    </row>
    <row r="4070" spans="1:11" x14ac:dyDescent="0.3">
      <c r="A4070">
        <v>1397</v>
      </c>
      <c r="B4070">
        <v>2</v>
      </c>
      <c r="C4070">
        <v>139</v>
      </c>
      <c r="D4070" t="str">
        <f>VLOOKUP($C4070,products!$A$1:$F$322,MATCH(order_items!$D$1,products!$A$1:$F$1,0),FALSE)</f>
        <v>Trek Remedy 7 27.5 - 2018</v>
      </c>
      <c r="E4070">
        <f>VLOOKUP($C4070,products!$A$1:$F$322,MATCH(order_items!$E$1,products!$A$1:$F$1,0),FALSE)</f>
        <v>6</v>
      </c>
      <c r="F4070" t="str">
        <f>VLOOKUP($E4070,categories!$A$1:$B$8,MATCH(order_items!$F$1,categories!$A$1:$B$1,0),FALSE)</f>
        <v>Mountain Bikes</v>
      </c>
      <c r="G4070">
        <v>1</v>
      </c>
      <c r="H4070">
        <v>2999.99</v>
      </c>
      <c r="I4070" s="5">
        <v>7.0000000000000007E-2</v>
      </c>
      <c r="J4070">
        <f t="shared" si="126"/>
        <v>2789.9906999999998</v>
      </c>
      <c r="K4070" s="9">
        <f t="shared" si="127"/>
        <v>1.3213140978851283</v>
      </c>
    </row>
    <row r="4071" spans="1:11" x14ac:dyDescent="0.3">
      <c r="A4071">
        <v>1397</v>
      </c>
      <c r="B4071">
        <v>3</v>
      </c>
      <c r="C4071">
        <v>7</v>
      </c>
      <c r="D4071" t="str">
        <f>VLOOKUP($C4071,products!$A$1:$F$322,MATCH(order_items!$D$1,products!$A$1:$F$1,0),FALSE)</f>
        <v>Trek Slash 8 27.5 - 2016</v>
      </c>
      <c r="E4071">
        <f>VLOOKUP($C4071,products!$A$1:$F$322,MATCH(order_items!$E$1,products!$A$1:$F$1,0),FALSE)</f>
        <v>6</v>
      </c>
      <c r="F4071" t="str">
        <f>VLOOKUP($E4071,categories!$A$1:$B$8,MATCH(order_items!$F$1,categories!$A$1:$B$1,0),FALSE)</f>
        <v>Mountain Bikes</v>
      </c>
      <c r="G4071">
        <v>1</v>
      </c>
      <c r="H4071">
        <v>3999.99</v>
      </c>
      <c r="I4071" s="5">
        <v>0.05</v>
      </c>
      <c r="J4071">
        <f t="shared" si="126"/>
        <v>3799.9904999999994</v>
      </c>
      <c r="K4071" s="9">
        <f t="shared" si="127"/>
        <v>2.0606009048962846</v>
      </c>
    </row>
    <row r="4072" spans="1:11" x14ac:dyDescent="0.3">
      <c r="A4072">
        <v>1397</v>
      </c>
      <c r="B4072">
        <v>4</v>
      </c>
      <c r="C4072">
        <v>249</v>
      </c>
      <c r="D4072" t="str">
        <f>VLOOKUP($C4072,products!$A$1:$F$322,MATCH(order_items!$D$1,products!$A$1:$F$1,0),FALSE)</f>
        <v>Electra White Water 3i - 2018</v>
      </c>
      <c r="E4072">
        <f>VLOOKUP($C4072,products!$A$1:$F$322,MATCH(order_items!$E$1,products!$A$1:$F$1,0),FALSE)</f>
        <v>3</v>
      </c>
      <c r="F4072" t="str">
        <f>VLOOKUP($E4072,categories!$A$1:$B$8,MATCH(order_items!$F$1,categories!$A$1:$B$1,0),FALSE)</f>
        <v>Cruisers Bicycles</v>
      </c>
      <c r="G4072">
        <v>1</v>
      </c>
      <c r="H4072">
        <v>749.99</v>
      </c>
      <c r="I4072" s="5">
        <v>0.05</v>
      </c>
      <c r="J4072">
        <f t="shared" si="126"/>
        <v>712.4905</v>
      </c>
      <c r="K4072" s="9">
        <f t="shared" si="127"/>
        <v>-0.34208121788997192</v>
      </c>
    </row>
    <row r="4073" spans="1:11" x14ac:dyDescent="0.3">
      <c r="A4073">
        <v>1397</v>
      </c>
      <c r="B4073">
        <v>5</v>
      </c>
      <c r="C4073">
        <v>78</v>
      </c>
      <c r="D4073" t="str">
        <f>VLOOKUP($C4073,products!$A$1:$F$322,MATCH(order_items!$D$1,products!$A$1:$F$1,0),FALSE)</f>
        <v>Sun Bicycles Biscayne Tandem CB - 2017</v>
      </c>
      <c r="E4073">
        <f>VLOOKUP($C4073,products!$A$1:$F$322,MATCH(order_items!$E$1,products!$A$1:$F$1,0),FALSE)</f>
        <v>3</v>
      </c>
      <c r="F4073" t="str">
        <f>VLOOKUP($E4073,categories!$A$1:$B$8,MATCH(order_items!$F$1,categories!$A$1:$B$1,0),FALSE)</f>
        <v>Cruisers Bicycles</v>
      </c>
      <c r="G4073">
        <v>2</v>
      </c>
      <c r="H4073">
        <v>647.99</v>
      </c>
      <c r="I4073" s="5">
        <v>0.1</v>
      </c>
      <c r="J4073">
        <f t="shared" si="126"/>
        <v>1166.3820000000001</v>
      </c>
      <c r="K4073" s="9">
        <f t="shared" si="127"/>
        <v>-0.41748847220510982</v>
      </c>
    </row>
    <row r="4074" spans="1:11" x14ac:dyDescent="0.3">
      <c r="A4074">
        <v>1398</v>
      </c>
      <c r="B4074">
        <v>1</v>
      </c>
      <c r="C4074">
        <v>69</v>
      </c>
      <c r="D4074" t="str">
        <f>VLOOKUP($C4074,products!$A$1:$F$322,MATCH(order_items!$D$1,products!$A$1:$F$1,0),FALSE)</f>
        <v>Sun Bicycles Cruz 7 - 2017</v>
      </c>
      <c r="E4074">
        <f>VLOOKUP($C4074,products!$A$1:$F$322,MATCH(order_items!$E$1,products!$A$1:$F$1,0),FALSE)</f>
        <v>3</v>
      </c>
      <c r="F4074" t="str">
        <f>VLOOKUP($E4074,categories!$A$1:$B$8,MATCH(order_items!$F$1,categories!$A$1:$B$1,0),FALSE)</f>
        <v>Cruisers Bicycles</v>
      </c>
      <c r="G4074">
        <v>2</v>
      </c>
      <c r="H4074">
        <v>416.99</v>
      </c>
      <c r="I4074" s="5">
        <v>0.05</v>
      </c>
      <c r="J4074">
        <f t="shared" si="126"/>
        <v>792.28099999999995</v>
      </c>
      <c r="K4074" s="9">
        <f t="shared" si="127"/>
        <v>-0.58826372462468679</v>
      </c>
    </row>
    <row r="4075" spans="1:11" x14ac:dyDescent="0.3">
      <c r="A4075">
        <v>1398</v>
      </c>
      <c r="B4075">
        <v>2</v>
      </c>
      <c r="C4075">
        <v>53</v>
      </c>
      <c r="D4075" t="str">
        <f>VLOOKUP($C4075,products!$A$1:$F$322,MATCH(order_items!$D$1,products!$A$1:$F$1,0),FALSE)</f>
        <v>Surly Ogre Frameset - 2017</v>
      </c>
      <c r="E4075">
        <f>VLOOKUP($C4075,products!$A$1:$F$322,MATCH(order_items!$E$1,products!$A$1:$F$1,0),FALSE)</f>
        <v>7</v>
      </c>
      <c r="F4075" t="str">
        <f>VLOOKUP($E4075,categories!$A$1:$B$8,MATCH(order_items!$F$1,categories!$A$1:$B$1,0),FALSE)</f>
        <v>Road Bikes</v>
      </c>
      <c r="G4075">
        <v>1</v>
      </c>
      <c r="H4075">
        <v>749.99</v>
      </c>
      <c r="I4075" s="5">
        <v>0.2</v>
      </c>
      <c r="J4075">
        <f t="shared" si="126"/>
        <v>599.99200000000008</v>
      </c>
      <c r="K4075" s="9">
        <f t="shared" si="127"/>
        <v>-0.34208121788997192</v>
      </c>
    </row>
    <row r="4076" spans="1:11" x14ac:dyDescent="0.3">
      <c r="A4076">
        <v>1399</v>
      </c>
      <c r="B4076">
        <v>1</v>
      </c>
      <c r="C4076">
        <v>210</v>
      </c>
      <c r="D4076" t="str">
        <f>VLOOKUP($C4076,products!$A$1:$F$322,MATCH(order_items!$D$1,products!$A$1:$F$1,0),FALSE)</f>
        <v>Surly Straggler - 2018</v>
      </c>
      <c r="E4076">
        <f>VLOOKUP($C4076,products!$A$1:$F$322,MATCH(order_items!$E$1,products!$A$1:$F$1,0),FALSE)</f>
        <v>4</v>
      </c>
      <c r="F4076" t="str">
        <f>VLOOKUP($E4076,categories!$A$1:$B$8,MATCH(order_items!$F$1,categories!$A$1:$B$1,0),FALSE)</f>
        <v>Cyclocross Bicycles</v>
      </c>
      <c r="G4076">
        <v>2</v>
      </c>
      <c r="H4076">
        <v>1549</v>
      </c>
      <c r="I4076" s="5">
        <v>0.2</v>
      </c>
      <c r="J4076">
        <f t="shared" si="126"/>
        <v>2478.4</v>
      </c>
      <c r="K4076" s="9">
        <f t="shared" si="127"/>
        <v>0.24861633378001166</v>
      </c>
    </row>
    <row r="4077" spans="1:11" x14ac:dyDescent="0.3">
      <c r="A4077">
        <v>1399</v>
      </c>
      <c r="B4077">
        <v>2</v>
      </c>
      <c r="C4077">
        <v>224</v>
      </c>
      <c r="D4077" t="str">
        <f>VLOOKUP($C4077,products!$A$1:$F$322,MATCH(order_items!$D$1,products!$A$1:$F$1,0),FALSE)</f>
        <v>Electra Cruiser Lux 7D - 2018</v>
      </c>
      <c r="E4077">
        <f>VLOOKUP($C4077,products!$A$1:$F$322,MATCH(order_items!$E$1,products!$A$1:$F$1,0),FALSE)</f>
        <v>3</v>
      </c>
      <c r="F4077" t="str">
        <f>VLOOKUP($E4077,categories!$A$1:$B$8,MATCH(order_items!$F$1,categories!$A$1:$B$1,0),FALSE)</f>
        <v>Cruisers Bicycles</v>
      </c>
      <c r="G4077">
        <v>1</v>
      </c>
      <c r="H4077">
        <v>479.99</v>
      </c>
      <c r="I4077" s="5">
        <v>0.05</v>
      </c>
      <c r="J4077">
        <f t="shared" si="126"/>
        <v>455.9905</v>
      </c>
      <c r="K4077" s="9">
        <f t="shared" si="127"/>
        <v>-0.54168865578298397</v>
      </c>
    </row>
    <row r="4078" spans="1:11" x14ac:dyDescent="0.3">
      <c r="A4078">
        <v>1399</v>
      </c>
      <c r="B4078">
        <v>3</v>
      </c>
      <c r="C4078">
        <v>127</v>
      </c>
      <c r="D4078" t="str">
        <f>VLOOKUP($C4078,products!$A$1:$F$322,MATCH(order_items!$D$1,products!$A$1:$F$1,0),FALSE)</f>
        <v>Surly Pack Rat Frameset - 2018</v>
      </c>
      <c r="E4078">
        <f>VLOOKUP($C4078,products!$A$1:$F$322,MATCH(order_items!$E$1,products!$A$1:$F$1,0),FALSE)</f>
        <v>6</v>
      </c>
      <c r="F4078" t="str">
        <f>VLOOKUP($E4078,categories!$A$1:$B$8,MATCH(order_items!$F$1,categories!$A$1:$B$1,0),FALSE)</f>
        <v>Mountain Bikes</v>
      </c>
      <c r="G4078">
        <v>2</v>
      </c>
      <c r="H4078">
        <v>469.99</v>
      </c>
      <c r="I4078" s="5">
        <v>7.0000000000000007E-2</v>
      </c>
      <c r="J4078">
        <f t="shared" si="126"/>
        <v>874.18139999999994</v>
      </c>
      <c r="K4078" s="9">
        <f t="shared" si="127"/>
        <v>-0.5490815238530955</v>
      </c>
    </row>
    <row r="4079" spans="1:11" x14ac:dyDescent="0.3">
      <c r="A4079">
        <v>1399</v>
      </c>
      <c r="B4079">
        <v>4</v>
      </c>
      <c r="C4079">
        <v>28</v>
      </c>
      <c r="D4079" t="str">
        <f>VLOOKUP($C4079,products!$A$1:$F$322,MATCH(order_items!$D$1,products!$A$1:$F$1,0),FALSE)</f>
        <v>Surly Karate Monkey 27.5+ Frameset - 2017</v>
      </c>
      <c r="E4079">
        <f>VLOOKUP($C4079,products!$A$1:$F$322,MATCH(order_items!$E$1,products!$A$1:$F$1,0),FALSE)</f>
        <v>6</v>
      </c>
      <c r="F4079" t="str">
        <f>VLOOKUP($E4079,categories!$A$1:$B$8,MATCH(order_items!$F$1,categories!$A$1:$B$1,0),FALSE)</f>
        <v>Mountain Bikes</v>
      </c>
      <c r="G4079">
        <v>1</v>
      </c>
      <c r="H4079">
        <v>2499.9899999999998</v>
      </c>
      <c r="I4079" s="5">
        <v>0.05</v>
      </c>
      <c r="J4079">
        <f t="shared" si="126"/>
        <v>2374.9904999999999</v>
      </c>
      <c r="K4079" s="9">
        <f t="shared" si="127"/>
        <v>0.95167069437955054</v>
      </c>
    </row>
    <row r="4080" spans="1:11" x14ac:dyDescent="0.3">
      <c r="A4080">
        <v>1400</v>
      </c>
      <c r="B4080">
        <v>1</v>
      </c>
      <c r="C4080">
        <v>24</v>
      </c>
      <c r="D4080" t="str">
        <f>VLOOKUP($C4080,products!$A$1:$F$322,MATCH(order_items!$D$1,products!$A$1:$F$1,0),FALSE)</f>
        <v>Electra Townie Original 21D - 2016</v>
      </c>
      <c r="E4080">
        <f>VLOOKUP($C4080,products!$A$1:$F$322,MATCH(order_items!$E$1,products!$A$1:$F$1,0),FALSE)</f>
        <v>2</v>
      </c>
      <c r="F4080" t="str">
        <f>VLOOKUP($E4080,categories!$A$1:$B$8,MATCH(order_items!$F$1,categories!$A$1:$B$1,0),FALSE)</f>
        <v>Comfort Bicycles</v>
      </c>
      <c r="G4080">
        <v>2</v>
      </c>
      <c r="H4080">
        <v>549.99</v>
      </c>
      <c r="I4080" s="5">
        <v>0.2</v>
      </c>
      <c r="J4080">
        <f t="shared" si="126"/>
        <v>879.98400000000004</v>
      </c>
      <c r="K4080" s="9">
        <f t="shared" si="127"/>
        <v>-0.48993857929220308</v>
      </c>
    </row>
    <row r="4081" spans="1:11" x14ac:dyDescent="0.3">
      <c r="A4081">
        <v>1400</v>
      </c>
      <c r="B4081">
        <v>2</v>
      </c>
      <c r="C4081">
        <v>217</v>
      </c>
      <c r="D4081" t="str">
        <f>VLOOKUP($C4081,products!$A$1:$F$322,MATCH(order_items!$D$1,products!$A$1:$F$1,0),FALSE)</f>
        <v>Electra Straight 8 3i - 2018</v>
      </c>
      <c r="E4081">
        <f>VLOOKUP($C4081,products!$A$1:$F$322,MATCH(order_items!$E$1,products!$A$1:$F$1,0),FALSE)</f>
        <v>3</v>
      </c>
      <c r="F4081" t="str">
        <f>VLOOKUP($E4081,categories!$A$1:$B$8,MATCH(order_items!$F$1,categories!$A$1:$B$1,0),FALSE)</f>
        <v>Cruisers Bicycles</v>
      </c>
      <c r="G4081">
        <v>2</v>
      </c>
      <c r="H4081">
        <v>909.99</v>
      </c>
      <c r="I4081" s="5">
        <v>0.2</v>
      </c>
      <c r="J4081">
        <f t="shared" si="126"/>
        <v>1455.9840000000002</v>
      </c>
      <c r="K4081" s="9">
        <f t="shared" si="127"/>
        <v>-0.223795328768187</v>
      </c>
    </row>
    <row r="4082" spans="1:11" x14ac:dyDescent="0.3">
      <c r="A4082">
        <v>1400</v>
      </c>
      <c r="B4082">
        <v>3</v>
      </c>
      <c r="C4082">
        <v>275</v>
      </c>
      <c r="D4082" t="str">
        <f>VLOOKUP($C4082,products!$A$1:$F$322,MATCH(order_items!$D$1,products!$A$1:$F$1,0),FALSE)</f>
        <v>Trek Precaliber 20 Girl's - 2018</v>
      </c>
      <c r="E4082">
        <f>VLOOKUP($C4082,products!$A$1:$F$322,MATCH(order_items!$E$1,products!$A$1:$F$1,0),FALSE)</f>
        <v>1</v>
      </c>
      <c r="F4082" t="str">
        <f>VLOOKUP($E4082,categories!$A$1:$B$8,MATCH(order_items!$F$1,categories!$A$1:$B$1,0),FALSE)</f>
        <v>Children Bicycles</v>
      </c>
      <c r="G4082">
        <v>1</v>
      </c>
      <c r="H4082">
        <v>229.99</v>
      </c>
      <c r="I4082" s="5">
        <v>0.1</v>
      </c>
      <c r="J4082">
        <f t="shared" si="126"/>
        <v>206.99100000000001</v>
      </c>
      <c r="K4082" s="9">
        <f t="shared" si="127"/>
        <v>-0.72651035753577298</v>
      </c>
    </row>
    <row r="4083" spans="1:11" x14ac:dyDescent="0.3">
      <c r="A4083">
        <v>1400</v>
      </c>
      <c r="B4083">
        <v>4</v>
      </c>
      <c r="C4083">
        <v>90</v>
      </c>
      <c r="D4083" t="str">
        <f>VLOOKUP($C4083,products!$A$1:$F$322,MATCH(order_items!$D$1,products!$A$1:$F$1,0),FALSE)</f>
        <v>Trek Precaliber 16 Girls - 2017</v>
      </c>
      <c r="E4083">
        <f>VLOOKUP($C4083,products!$A$1:$F$322,MATCH(order_items!$E$1,products!$A$1:$F$1,0),FALSE)</f>
        <v>1</v>
      </c>
      <c r="F4083" t="str">
        <f>VLOOKUP($E4083,categories!$A$1:$B$8,MATCH(order_items!$F$1,categories!$A$1:$B$1,0),FALSE)</f>
        <v>Children Bicycles</v>
      </c>
      <c r="G4083">
        <v>1</v>
      </c>
      <c r="H4083">
        <v>209.99</v>
      </c>
      <c r="I4083" s="5">
        <v>7.0000000000000007E-2</v>
      </c>
      <c r="J4083">
        <f t="shared" si="126"/>
        <v>195.29069999999999</v>
      </c>
      <c r="K4083" s="9">
        <f t="shared" si="127"/>
        <v>-0.74129609367599603</v>
      </c>
    </row>
    <row r="4084" spans="1:11" x14ac:dyDescent="0.3">
      <c r="A4084">
        <v>1401</v>
      </c>
      <c r="B4084">
        <v>1</v>
      </c>
      <c r="C4084">
        <v>112</v>
      </c>
      <c r="D4084" t="str">
        <f>VLOOKUP($C4084,products!$A$1:$F$322,MATCH(order_items!$D$1,products!$A$1:$F$1,0),FALSE)</f>
        <v>Trek 820 - 2018</v>
      </c>
      <c r="E4084">
        <f>VLOOKUP($C4084,products!$A$1:$F$322,MATCH(order_items!$E$1,products!$A$1:$F$1,0),FALSE)</f>
        <v>6</v>
      </c>
      <c r="F4084" t="str">
        <f>VLOOKUP($E4084,categories!$A$1:$B$8,MATCH(order_items!$F$1,categories!$A$1:$B$1,0),FALSE)</f>
        <v>Mountain Bikes</v>
      </c>
      <c r="G4084">
        <v>1</v>
      </c>
      <c r="H4084">
        <v>379.99</v>
      </c>
      <c r="I4084" s="5">
        <v>7.0000000000000007E-2</v>
      </c>
      <c r="J4084">
        <f t="shared" si="126"/>
        <v>353.39069999999998</v>
      </c>
      <c r="K4084" s="9">
        <f t="shared" si="127"/>
        <v>-0.61561733648409955</v>
      </c>
    </row>
    <row r="4085" spans="1:11" x14ac:dyDescent="0.3">
      <c r="A4085">
        <v>1401</v>
      </c>
      <c r="B4085">
        <v>2</v>
      </c>
      <c r="C4085">
        <v>230</v>
      </c>
      <c r="D4085" t="str">
        <f>VLOOKUP($C4085,products!$A$1:$F$322,MATCH(order_items!$D$1,products!$A$1:$F$1,0),FALSE)</f>
        <v>Electra Cruiser Lux 1 Ladies' - 2018</v>
      </c>
      <c r="E4085">
        <f>VLOOKUP($C4085,products!$A$1:$F$322,MATCH(order_items!$E$1,products!$A$1:$F$1,0),FALSE)</f>
        <v>3</v>
      </c>
      <c r="F4085" t="str">
        <f>VLOOKUP($E4085,categories!$A$1:$B$8,MATCH(order_items!$F$1,categories!$A$1:$B$1,0),FALSE)</f>
        <v>Cruisers Bicycles</v>
      </c>
      <c r="G4085">
        <v>1</v>
      </c>
      <c r="H4085">
        <v>429.99</v>
      </c>
      <c r="I4085" s="5">
        <v>0.05</v>
      </c>
      <c r="J4085">
        <f t="shared" si="126"/>
        <v>408.4905</v>
      </c>
      <c r="K4085" s="9">
        <f t="shared" si="127"/>
        <v>-0.57865299613354182</v>
      </c>
    </row>
    <row r="4086" spans="1:11" x14ac:dyDescent="0.3">
      <c r="A4086">
        <v>1401</v>
      </c>
      <c r="B4086">
        <v>3</v>
      </c>
      <c r="C4086">
        <v>254</v>
      </c>
      <c r="D4086" t="str">
        <f>VLOOKUP($C4086,products!$A$1:$F$322,MATCH(order_items!$D$1,products!$A$1:$F$1,0),FALSE)</f>
        <v>Electra Townie Balloon 3i EQ - 2017/2018</v>
      </c>
      <c r="E4086">
        <f>VLOOKUP($C4086,products!$A$1:$F$322,MATCH(order_items!$E$1,products!$A$1:$F$1,0),FALSE)</f>
        <v>3</v>
      </c>
      <c r="F4086" t="str">
        <f>VLOOKUP($E4086,categories!$A$1:$B$8,MATCH(order_items!$F$1,categories!$A$1:$B$1,0),FALSE)</f>
        <v>Cruisers Bicycles</v>
      </c>
      <c r="G4086">
        <v>2</v>
      </c>
      <c r="H4086">
        <v>749.99</v>
      </c>
      <c r="I4086" s="5">
        <v>0.2</v>
      </c>
      <c r="J4086">
        <f t="shared" si="126"/>
        <v>1199.9840000000002</v>
      </c>
      <c r="K4086" s="9">
        <f t="shared" si="127"/>
        <v>-0.34208121788997192</v>
      </c>
    </row>
    <row r="4087" spans="1:11" x14ac:dyDescent="0.3">
      <c r="A4087">
        <v>1402</v>
      </c>
      <c r="B4087">
        <v>1</v>
      </c>
      <c r="C4087">
        <v>189</v>
      </c>
      <c r="D4087" t="str">
        <f>VLOOKUP($C4087,products!$A$1:$F$322,MATCH(order_items!$D$1,products!$A$1:$F$1,0),FALSE)</f>
        <v>Trek Lift+ Lowstep - 2018</v>
      </c>
      <c r="E4087">
        <f>VLOOKUP($C4087,products!$A$1:$F$322,MATCH(order_items!$E$1,products!$A$1:$F$1,0),FALSE)</f>
        <v>5</v>
      </c>
      <c r="F4087" t="str">
        <f>VLOOKUP($E4087,categories!$A$1:$B$8,MATCH(order_items!$F$1,categories!$A$1:$B$1,0),FALSE)</f>
        <v>Electric Bikes</v>
      </c>
      <c r="G4087">
        <v>2</v>
      </c>
      <c r="H4087">
        <v>2799.99</v>
      </c>
      <c r="I4087" s="5">
        <v>0.2</v>
      </c>
      <c r="J4087">
        <f t="shared" si="126"/>
        <v>4479.9839999999995</v>
      </c>
      <c r="K4087" s="9">
        <f t="shared" si="127"/>
        <v>1.1734567364828972</v>
      </c>
    </row>
    <row r="4088" spans="1:11" x14ac:dyDescent="0.3">
      <c r="A4088">
        <v>1402</v>
      </c>
      <c r="B4088">
        <v>2</v>
      </c>
      <c r="C4088">
        <v>28</v>
      </c>
      <c r="D4088" t="str">
        <f>VLOOKUP($C4088,products!$A$1:$F$322,MATCH(order_items!$D$1,products!$A$1:$F$1,0),FALSE)</f>
        <v>Surly Karate Monkey 27.5+ Frameset - 2017</v>
      </c>
      <c r="E4088">
        <f>VLOOKUP($C4088,products!$A$1:$F$322,MATCH(order_items!$E$1,products!$A$1:$F$1,0),FALSE)</f>
        <v>6</v>
      </c>
      <c r="F4088" t="str">
        <f>VLOOKUP($E4088,categories!$A$1:$B$8,MATCH(order_items!$F$1,categories!$A$1:$B$1,0),FALSE)</f>
        <v>Mountain Bikes</v>
      </c>
      <c r="G4088">
        <v>2</v>
      </c>
      <c r="H4088">
        <v>2499.9899999999998</v>
      </c>
      <c r="I4088" s="5">
        <v>0.05</v>
      </c>
      <c r="J4088">
        <f t="shared" si="126"/>
        <v>4749.9809999999998</v>
      </c>
      <c r="K4088" s="9">
        <f t="shared" si="127"/>
        <v>0.95167069437955054</v>
      </c>
    </row>
    <row r="4089" spans="1:11" x14ac:dyDescent="0.3">
      <c r="A4089">
        <v>1402</v>
      </c>
      <c r="B4089">
        <v>3</v>
      </c>
      <c r="C4089">
        <v>203</v>
      </c>
      <c r="D4089" t="str">
        <f>VLOOKUP($C4089,products!$A$1:$F$322,MATCH(order_items!$D$1,products!$A$1:$F$1,0),FALSE)</f>
        <v>Trek Powerfly 7 FS - 2018</v>
      </c>
      <c r="E4089">
        <f>VLOOKUP($C4089,products!$A$1:$F$322,MATCH(order_items!$E$1,products!$A$1:$F$1,0),FALSE)</f>
        <v>5</v>
      </c>
      <c r="F4089" t="str">
        <f>VLOOKUP($E4089,categories!$A$1:$B$8,MATCH(order_items!$F$1,categories!$A$1:$B$1,0),FALSE)</f>
        <v>Electric Bikes</v>
      </c>
      <c r="G4089">
        <v>1</v>
      </c>
      <c r="H4089">
        <v>4999.99</v>
      </c>
      <c r="I4089" s="5">
        <v>0.05</v>
      </c>
      <c r="J4089">
        <f t="shared" si="126"/>
        <v>4749.9904999999999</v>
      </c>
      <c r="K4089" s="9">
        <f t="shared" si="127"/>
        <v>2.7998877119074401</v>
      </c>
    </row>
    <row r="4090" spans="1:11" x14ac:dyDescent="0.3">
      <c r="A4090">
        <v>1402</v>
      </c>
      <c r="B4090">
        <v>4</v>
      </c>
      <c r="C4090">
        <v>273</v>
      </c>
      <c r="D4090" t="str">
        <f>VLOOKUP($C4090,products!$A$1:$F$322,MATCH(order_items!$D$1,products!$A$1:$F$1,0),FALSE)</f>
        <v>Trek Precaliber 20 6-speed Girl's - 2018</v>
      </c>
      <c r="E4090">
        <f>VLOOKUP($C4090,products!$A$1:$F$322,MATCH(order_items!$E$1,products!$A$1:$F$1,0),FALSE)</f>
        <v>1</v>
      </c>
      <c r="F4090" t="str">
        <f>VLOOKUP($E4090,categories!$A$1:$B$8,MATCH(order_items!$F$1,categories!$A$1:$B$1,0),FALSE)</f>
        <v>Children Bicycles</v>
      </c>
      <c r="G4090">
        <v>1</v>
      </c>
      <c r="H4090">
        <v>289.99</v>
      </c>
      <c r="I4090" s="5">
        <v>7.0000000000000007E-2</v>
      </c>
      <c r="J4090">
        <f t="shared" si="126"/>
        <v>269.69069999999999</v>
      </c>
      <c r="K4090" s="9">
        <f t="shared" si="127"/>
        <v>-0.68215314911510361</v>
      </c>
    </row>
    <row r="4091" spans="1:11" x14ac:dyDescent="0.3">
      <c r="A4091">
        <v>1403</v>
      </c>
      <c r="B4091">
        <v>1</v>
      </c>
      <c r="C4091">
        <v>93</v>
      </c>
      <c r="D4091" t="str">
        <f>VLOOKUP($C4091,products!$A$1:$F$322,MATCH(order_items!$D$1,products!$A$1:$F$1,0),FALSE)</f>
        <v>Haro Shredder 20 Girls - 2017</v>
      </c>
      <c r="E4091">
        <f>VLOOKUP($C4091,products!$A$1:$F$322,MATCH(order_items!$E$1,products!$A$1:$F$1,0),FALSE)</f>
        <v>1</v>
      </c>
      <c r="F4091" t="str">
        <f>VLOOKUP($E4091,categories!$A$1:$B$8,MATCH(order_items!$F$1,categories!$A$1:$B$1,0),FALSE)</f>
        <v>Children Bicycles</v>
      </c>
      <c r="G4091">
        <v>2</v>
      </c>
      <c r="H4091">
        <v>209.99</v>
      </c>
      <c r="I4091" s="5">
        <v>0.1</v>
      </c>
      <c r="J4091">
        <f t="shared" si="126"/>
        <v>377.98200000000003</v>
      </c>
      <c r="K4091" s="9">
        <f t="shared" si="127"/>
        <v>-0.74129609367599603</v>
      </c>
    </row>
    <row r="4092" spans="1:11" x14ac:dyDescent="0.3">
      <c r="A4092">
        <v>1404</v>
      </c>
      <c r="B4092">
        <v>1</v>
      </c>
      <c r="C4092">
        <v>112</v>
      </c>
      <c r="D4092" t="str">
        <f>VLOOKUP($C4092,products!$A$1:$F$322,MATCH(order_items!$D$1,products!$A$1:$F$1,0),FALSE)</f>
        <v>Trek 820 - 2018</v>
      </c>
      <c r="E4092">
        <f>VLOOKUP($C4092,products!$A$1:$F$322,MATCH(order_items!$E$1,products!$A$1:$F$1,0),FALSE)</f>
        <v>6</v>
      </c>
      <c r="F4092" t="str">
        <f>VLOOKUP($E4092,categories!$A$1:$B$8,MATCH(order_items!$F$1,categories!$A$1:$B$1,0),FALSE)</f>
        <v>Mountain Bikes</v>
      </c>
      <c r="G4092">
        <v>2</v>
      </c>
      <c r="H4092">
        <v>379.99</v>
      </c>
      <c r="I4092" s="5">
        <v>0.05</v>
      </c>
      <c r="J4092">
        <f t="shared" si="126"/>
        <v>721.98099999999999</v>
      </c>
      <c r="K4092" s="9">
        <f t="shared" si="127"/>
        <v>-0.61561733648409955</v>
      </c>
    </row>
    <row r="4093" spans="1:11" x14ac:dyDescent="0.3">
      <c r="A4093">
        <v>1404</v>
      </c>
      <c r="B4093">
        <v>2</v>
      </c>
      <c r="C4093">
        <v>220</v>
      </c>
      <c r="D4093" t="str">
        <f>VLOOKUP($C4093,products!$A$1:$F$322,MATCH(order_items!$D$1,products!$A$1:$F$1,0),FALSE)</f>
        <v>Electra Cruiser 1 Ladies' - 2018</v>
      </c>
      <c r="E4093">
        <f>VLOOKUP($C4093,products!$A$1:$F$322,MATCH(order_items!$E$1,products!$A$1:$F$1,0),FALSE)</f>
        <v>3</v>
      </c>
      <c r="F4093" t="str">
        <f>VLOOKUP($E4093,categories!$A$1:$B$8,MATCH(order_items!$F$1,categories!$A$1:$B$1,0),FALSE)</f>
        <v>Cruisers Bicycles</v>
      </c>
      <c r="G4093">
        <v>1</v>
      </c>
      <c r="H4093">
        <v>269.99</v>
      </c>
      <c r="I4093" s="5">
        <v>0.1</v>
      </c>
      <c r="J4093">
        <f t="shared" si="126"/>
        <v>242.99100000000001</v>
      </c>
      <c r="K4093" s="9">
        <f t="shared" si="127"/>
        <v>-0.69693888525532666</v>
      </c>
    </row>
    <row r="4094" spans="1:11" x14ac:dyDescent="0.3">
      <c r="A4094">
        <v>1404</v>
      </c>
      <c r="B4094">
        <v>3</v>
      </c>
      <c r="C4094">
        <v>193</v>
      </c>
      <c r="D4094" t="str">
        <f>VLOOKUP($C4094,products!$A$1:$F$322,MATCH(order_items!$D$1,products!$A$1:$F$1,0),FALSE)</f>
        <v>Trek Lift+ - 2018</v>
      </c>
      <c r="E4094">
        <f>VLOOKUP($C4094,products!$A$1:$F$322,MATCH(order_items!$E$1,products!$A$1:$F$1,0),FALSE)</f>
        <v>5</v>
      </c>
      <c r="F4094" t="str">
        <f>VLOOKUP($E4094,categories!$A$1:$B$8,MATCH(order_items!$F$1,categories!$A$1:$B$1,0),FALSE)</f>
        <v>Electric Bikes</v>
      </c>
      <c r="G4094">
        <v>2</v>
      </c>
      <c r="H4094">
        <v>2799.99</v>
      </c>
      <c r="I4094" s="5">
        <v>0.2</v>
      </c>
      <c r="J4094">
        <f t="shared" si="126"/>
        <v>4479.9839999999995</v>
      </c>
      <c r="K4094" s="9">
        <f t="shared" si="127"/>
        <v>1.1734567364828972</v>
      </c>
    </row>
    <row r="4095" spans="1:11" x14ac:dyDescent="0.3">
      <c r="A4095">
        <v>1405</v>
      </c>
      <c r="B4095">
        <v>1</v>
      </c>
      <c r="C4095">
        <v>162</v>
      </c>
      <c r="D4095" t="str">
        <f>VLOOKUP($C4095,products!$A$1:$F$322,MATCH(order_items!$D$1,products!$A$1:$F$1,0),FALSE)</f>
        <v>Trek Emonda SL 6 Disc - 2018</v>
      </c>
      <c r="E4095">
        <f>VLOOKUP($C4095,products!$A$1:$F$322,MATCH(order_items!$E$1,products!$A$1:$F$1,0),FALSE)</f>
        <v>7</v>
      </c>
      <c r="F4095" t="str">
        <f>VLOOKUP($E4095,categories!$A$1:$B$8,MATCH(order_items!$F$1,categories!$A$1:$B$1,0),FALSE)</f>
        <v>Road Bikes</v>
      </c>
      <c r="G4095">
        <v>2</v>
      </c>
      <c r="H4095">
        <v>2999.99</v>
      </c>
      <c r="I4095" s="5">
        <v>0.1</v>
      </c>
      <c r="J4095">
        <f t="shared" si="126"/>
        <v>5399.982</v>
      </c>
      <c r="K4095" s="9">
        <f t="shared" si="127"/>
        <v>1.3213140978851283</v>
      </c>
    </row>
    <row r="4096" spans="1:11" x14ac:dyDescent="0.3">
      <c r="A4096">
        <v>1406</v>
      </c>
      <c r="B4096">
        <v>1</v>
      </c>
      <c r="C4096">
        <v>230</v>
      </c>
      <c r="D4096" t="str">
        <f>VLOOKUP($C4096,products!$A$1:$F$322,MATCH(order_items!$D$1,products!$A$1:$F$1,0),FALSE)</f>
        <v>Electra Cruiser Lux 1 Ladies' - 2018</v>
      </c>
      <c r="E4096">
        <f>VLOOKUP($C4096,products!$A$1:$F$322,MATCH(order_items!$E$1,products!$A$1:$F$1,0),FALSE)</f>
        <v>3</v>
      </c>
      <c r="F4096" t="str">
        <f>VLOOKUP($E4096,categories!$A$1:$B$8,MATCH(order_items!$F$1,categories!$A$1:$B$1,0),FALSE)</f>
        <v>Cruisers Bicycles</v>
      </c>
      <c r="G4096">
        <v>2</v>
      </c>
      <c r="H4096">
        <v>429.99</v>
      </c>
      <c r="I4096" s="5">
        <v>0.05</v>
      </c>
      <c r="J4096">
        <f t="shared" si="126"/>
        <v>816.98099999999999</v>
      </c>
      <c r="K4096" s="9">
        <f t="shared" si="127"/>
        <v>-0.57865299613354182</v>
      </c>
    </row>
    <row r="4097" spans="1:11" x14ac:dyDescent="0.3">
      <c r="A4097">
        <v>1406</v>
      </c>
      <c r="B4097">
        <v>2</v>
      </c>
      <c r="C4097">
        <v>113</v>
      </c>
      <c r="D4097" t="str">
        <f>VLOOKUP($C4097,products!$A$1:$F$322,MATCH(order_items!$D$1,products!$A$1:$F$1,0),FALSE)</f>
        <v>Trek Marlin 5 - 2018</v>
      </c>
      <c r="E4097">
        <f>VLOOKUP($C4097,products!$A$1:$F$322,MATCH(order_items!$E$1,products!$A$1:$F$1,0),FALSE)</f>
        <v>6</v>
      </c>
      <c r="F4097" t="str">
        <f>VLOOKUP($E4097,categories!$A$1:$B$8,MATCH(order_items!$F$1,categories!$A$1:$B$1,0),FALSE)</f>
        <v>Mountain Bikes</v>
      </c>
      <c r="G4097">
        <v>1</v>
      </c>
      <c r="H4097">
        <v>489.99</v>
      </c>
      <c r="I4097" s="5">
        <v>0.1</v>
      </c>
      <c r="J4097">
        <f t="shared" si="126"/>
        <v>440.99100000000004</v>
      </c>
      <c r="K4097" s="9">
        <f t="shared" si="127"/>
        <v>-0.53429578771287245</v>
      </c>
    </row>
    <row r="4098" spans="1:11" x14ac:dyDescent="0.3">
      <c r="A4098">
        <v>1407</v>
      </c>
      <c r="B4098">
        <v>1</v>
      </c>
      <c r="C4098">
        <v>300</v>
      </c>
      <c r="D4098" t="str">
        <f>VLOOKUP($C4098,products!$A$1:$F$322,MATCH(order_items!$D$1,products!$A$1:$F$1,0),FALSE)</f>
        <v>Electra Townie Balloon 3i EQ Ladies' - 2018</v>
      </c>
      <c r="E4098">
        <f>VLOOKUP($C4098,products!$A$1:$F$322,MATCH(order_items!$E$1,products!$A$1:$F$1,0),FALSE)</f>
        <v>2</v>
      </c>
      <c r="F4098" t="str">
        <f>VLOOKUP($E4098,categories!$A$1:$B$8,MATCH(order_items!$F$1,categories!$A$1:$B$1,0),FALSE)</f>
        <v>Comfort Bicycles</v>
      </c>
      <c r="G4098">
        <v>1</v>
      </c>
      <c r="H4098">
        <v>799.99</v>
      </c>
      <c r="I4098" s="5">
        <v>0.05</v>
      </c>
      <c r="J4098">
        <f t="shared" ref="J4098:J4161" si="128">G4098*H4098*(1-I4098)</f>
        <v>759.9905</v>
      </c>
      <c r="K4098" s="9">
        <f t="shared" ref="K4098:K4161" si="129">($H4098-$M$7)/$M$9</f>
        <v>-0.30511687753941413</v>
      </c>
    </row>
    <row r="4099" spans="1:11" x14ac:dyDescent="0.3">
      <c r="A4099">
        <v>1407</v>
      </c>
      <c r="B4099">
        <v>2</v>
      </c>
      <c r="C4099">
        <v>36</v>
      </c>
      <c r="D4099" t="str">
        <f>VLOOKUP($C4099,products!$A$1:$F$322,MATCH(order_items!$D$1,products!$A$1:$F$1,0),FALSE)</f>
        <v>Surly Troll Frameset - 2017</v>
      </c>
      <c r="E4099">
        <f>VLOOKUP($C4099,products!$A$1:$F$322,MATCH(order_items!$E$1,products!$A$1:$F$1,0),FALSE)</f>
        <v>6</v>
      </c>
      <c r="F4099" t="str">
        <f>VLOOKUP($E4099,categories!$A$1:$B$8,MATCH(order_items!$F$1,categories!$A$1:$B$1,0),FALSE)</f>
        <v>Mountain Bikes</v>
      </c>
      <c r="G4099">
        <v>2</v>
      </c>
      <c r="H4099">
        <v>832.99</v>
      </c>
      <c r="I4099" s="5">
        <v>0.1</v>
      </c>
      <c r="J4099">
        <f t="shared" si="128"/>
        <v>1499.3820000000001</v>
      </c>
      <c r="K4099" s="9">
        <f t="shared" si="129"/>
        <v>-0.280720412908046</v>
      </c>
    </row>
    <row r="4100" spans="1:11" x14ac:dyDescent="0.3">
      <c r="A4100">
        <v>1407</v>
      </c>
      <c r="B4100">
        <v>3</v>
      </c>
      <c r="C4100">
        <v>266</v>
      </c>
      <c r="D4100" t="str">
        <f>VLOOKUP($C4100,products!$A$1:$F$322,MATCH(order_items!$D$1,products!$A$1:$F$1,0),FALSE)</f>
        <v>Trek Superfly 20 - 2018</v>
      </c>
      <c r="E4100">
        <f>VLOOKUP($C4100,products!$A$1:$F$322,MATCH(order_items!$E$1,products!$A$1:$F$1,0),FALSE)</f>
        <v>1</v>
      </c>
      <c r="F4100" t="str">
        <f>VLOOKUP($E4100,categories!$A$1:$B$8,MATCH(order_items!$F$1,categories!$A$1:$B$1,0),FALSE)</f>
        <v>Children Bicycles</v>
      </c>
      <c r="G4100">
        <v>1</v>
      </c>
      <c r="H4100">
        <v>399.99</v>
      </c>
      <c r="I4100" s="5">
        <v>0.1</v>
      </c>
      <c r="J4100">
        <f t="shared" si="128"/>
        <v>359.99100000000004</v>
      </c>
      <c r="K4100" s="9">
        <f t="shared" si="129"/>
        <v>-0.60083160034387639</v>
      </c>
    </row>
    <row r="4101" spans="1:11" x14ac:dyDescent="0.3">
      <c r="A4101">
        <v>1407</v>
      </c>
      <c r="B4101">
        <v>4</v>
      </c>
      <c r="C4101">
        <v>35</v>
      </c>
      <c r="D4101" t="str">
        <f>VLOOKUP($C4101,products!$A$1:$F$322,MATCH(order_items!$D$1,products!$A$1:$F$1,0),FALSE)</f>
        <v>Sun Bicycles Spider 3i - 2017</v>
      </c>
      <c r="E4101">
        <f>VLOOKUP($C4101,products!$A$1:$F$322,MATCH(order_items!$E$1,products!$A$1:$F$1,0),FALSE)</f>
        <v>6</v>
      </c>
      <c r="F4101" t="str">
        <f>VLOOKUP($E4101,categories!$A$1:$B$8,MATCH(order_items!$F$1,categories!$A$1:$B$1,0),FALSE)</f>
        <v>Mountain Bikes</v>
      </c>
      <c r="G4101">
        <v>1</v>
      </c>
      <c r="H4101">
        <v>832.99</v>
      </c>
      <c r="I4101" s="5">
        <v>0.2</v>
      </c>
      <c r="J4101">
        <f t="shared" si="128"/>
        <v>666.39200000000005</v>
      </c>
      <c r="K4101" s="9">
        <f t="shared" si="129"/>
        <v>-0.280720412908046</v>
      </c>
    </row>
    <row r="4102" spans="1:11" x14ac:dyDescent="0.3">
      <c r="A4102">
        <v>1408</v>
      </c>
      <c r="B4102">
        <v>1</v>
      </c>
      <c r="C4102">
        <v>23</v>
      </c>
      <c r="D4102" t="str">
        <f>VLOOKUP($C4102,products!$A$1:$F$322,MATCH(order_items!$D$1,products!$A$1:$F$1,0),FALSE)</f>
        <v>Electra Girl's Hawaii 1 (20-inch) - 2015/2016</v>
      </c>
      <c r="E4102">
        <f>VLOOKUP($C4102,products!$A$1:$F$322,MATCH(order_items!$E$1,products!$A$1:$F$1,0),FALSE)</f>
        <v>1</v>
      </c>
      <c r="F4102" t="str">
        <f>VLOOKUP($E4102,categories!$A$1:$B$8,MATCH(order_items!$F$1,categories!$A$1:$B$1,0),FALSE)</f>
        <v>Children Bicycles</v>
      </c>
      <c r="G4102">
        <v>2</v>
      </c>
      <c r="H4102">
        <v>299.99</v>
      </c>
      <c r="I4102" s="5">
        <v>0.2</v>
      </c>
      <c r="J4102">
        <f t="shared" si="128"/>
        <v>479.98400000000004</v>
      </c>
      <c r="K4102" s="9">
        <f t="shared" si="129"/>
        <v>-0.67476028104499197</v>
      </c>
    </row>
    <row r="4103" spans="1:11" x14ac:dyDescent="0.3">
      <c r="A4103">
        <v>1408</v>
      </c>
      <c r="B4103">
        <v>2</v>
      </c>
      <c r="C4103">
        <v>166</v>
      </c>
      <c r="D4103" t="str">
        <f>VLOOKUP($C4103,products!$A$1:$F$322,MATCH(order_items!$D$1,products!$A$1:$F$1,0),FALSE)</f>
        <v>Trek Domane AL 2 Women's - 2018</v>
      </c>
      <c r="E4103">
        <f>VLOOKUP($C4103,products!$A$1:$F$322,MATCH(order_items!$E$1,products!$A$1:$F$1,0),FALSE)</f>
        <v>7</v>
      </c>
      <c r="F4103" t="str">
        <f>VLOOKUP($E4103,categories!$A$1:$B$8,MATCH(order_items!$F$1,categories!$A$1:$B$1,0),FALSE)</f>
        <v>Road Bikes</v>
      </c>
      <c r="G4103">
        <v>1</v>
      </c>
      <c r="H4103">
        <v>749.99</v>
      </c>
      <c r="I4103" s="5">
        <v>0.2</v>
      </c>
      <c r="J4103">
        <f t="shared" si="128"/>
        <v>599.99200000000008</v>
      </c>
      <c r="K4103" s="9">
        <f t="shared" si="129"/>
        <v>-0.34208121788997192</v>
      </c>
    </row>
    <row r="4104" spans="1:11" x14ac:dyDescent="0.3">
      <c r="A4104">
        <v>1408</v>
      </c>
      <c r="B4104">
        <v>3</v>
      </c>
      <c r="C4104">
        <v>114</v>
      </c>
      <c r="D4104" t="str">
        <f>VLOOKUP($C4104,products!$A$1:$F$322,MATCH(order_items!$D$1,products!$A$1:$F$1,0),FALSE)</f>
        <v>Trek Marlin 6 - 2018</v>
      </c>
      <c r="E4104">
        <f>VLOOKUP($C4104,products!$A$1:$F$322,MATCH(order_items!$E$1,products!$A$1:$F$1,0),FALSE)</f>
        <v>6</v>
      </c>
      <c r="F4104" t="str">
        <f>VLOOKUP($E4104,categories!$A$1:$B$8,MATCH(order_items!$F$1,categories!$A$1:$B$1,0),FALSE)</f>
        <v>Mountain Bikes</v>
      </c>
      <c r="G4104">
        <v>1</v>
      </c>
      <c r="H4104">
        <v>579.99</v>
      </c>
      <c r="I4104" s="5">
        <v>7.0000000000000007E-2</v>
      </c>
      <c r="J4104">
        <f t="shared" si="128"/>
        <v>539.39069999999992</v>
      </c>
      <c r="K4104" s="9">
        <f t="shared" si="129"/>
        <v>-0.4677599750818684</v>
      </c>
    </row>
    <row r="4105" spans="1:11" x14ac:dyDescent="0.3">
      <c r="A4105">
        <v>1408</v>
      </c>
      <c r="B4105">
        <v>4</v>
      </c>
      <c r="C4105">
        <v>137</v>
      </c>
      <c r="D4105" t="str">
        <f>VLOOKUP($C4105,products!$A$1:$F$322,MATCH(order_items!$D$1,products!$A$1:$F$1,0),FALSE)</f>
        <v>Heller Shagamaw GX1 - 2018</v>
      </c>
      <c r="E4105">
        <f>VLOOKUP($C4105,products!$A$1:$F$322,MATCH(order_items!$E$1,products!$A$1:$F$1,0),FALSE)</f>
        <v>6</v>
      </c>
      <c r="F4105" t="str">
        <f>VLOOKUP($E4105,categories!$A$1:$B$8,MATCH(order_items!$F$1,categories!$A$1:$B$1,0),FALSE)</f>
        <v>Mountain Bikes</v>
      </c>
      <c r="G4105">
        <v>2</v>
      </c>
      <c r="H4105">
        <v>2599</v>
      </c>
      <c r="I4105" s="5">
        <v>0.2</v>
      </c>
      <c r="J4105">
        <f t="shared" si="128"/>
        <v>4158.4000000000005</v>
      </c>
      <c r="K4105" s="9">
        <f t="shared" si="129"/>
        <v>1.0248674811417253</v>
      </c>
    </row>
    <row r="4106" spans="1:11" x14ac:dyDescent="0.3">
      <c r="A4106">
        <v>1409</v>
      </c>
      <c r="B4106">
        <v>1</v>
      </c>
      <c r="C4106">
        <v>301</v>
      </c>
      <c r="D4106" t="str">
        <f>VLOOKUP($C4106,products!$A$1:$F$322,MATCH(order_items!$D$1,products!$A$1:$F$1,0),FALSE)</f>
        <v>Electra Townie Balloon 7i EQ - 2018</v>
      </c>
      <c r="E4106">
        <f>VLOOKUP($C4106,products!$A$1:$F$322,MATCH(order_items!$E$1,products!$A$1:$F$1,0),FALSE)</f>
        <v>2</v>
      </c>
      <c r="F4106" t="str">
        <f>VLOOKUP($E4106,categories!$A$1:$B$8,MATCH(order_items!$F$1,categories!$A$1:$B$1,0),FALSE)</f>
        <v>Comfort Bicycles</v>
      </c>
      <c r="G4106">
        <v>2</v>
      </c>
      <c r="H4106">
        <v>899.99</v>
      </c>
      <c r="I4106" s="5">
        <v>7.0000000000000007E-2</v>
      </c>
      <c r="J4106">
        <f t="shared" si="128"/>
        <v>1673.9813999999999</v>
      </c>
      <c r="K4106" s="9">
        <f t="shared" si="129"/>
        <v>-0.23118819683829855</v>
      </c>
    </row>
    <row r="4107" spans="1:11" x14ac:dyDescent="0.3">
      <c r="A4107">
        <v>1409</v>
      </c>
      <c r="B4107">
        <v>2</v>
      </c>
      <c r="C4107">
        <v>170</v>
      </c>
      <c r="D4107" t="str">
        <f>VLOOKUP($C4107,products!$A$1:$F$322,MATCH(order_items!$D$1,products!$A$1:$F$1,0),FALSE)</f>
        <v>Trek CrossRip 2 - 2018</v>
      </c>
      <c r="E4107">
        <f>VLOOKUP($C4107,products!$A$1:$F$322,MATCH(order_items!$E$1,products!$A$1:$F$1,0),FALSE)</f>
        <v>7</v>
      </c>
      <c r="F4107" t="str">
        <f>VLOOKUP($E4107,categories!$A$1:$B$8,MATCH(order_items!$F$1,categories!$A$1:$B$1,0),FALSE)</f>
        <v>Road Bikes</v>
      </c>
      <c r="G4107">
        <v>1</v>
      </c>
      <c r="H4107">
        <v>1299.99</v>
      </c>
      <c r="I4107" s="5">
        <v>7.0000000000000007E-2</v>
      </c>
      <c r="J4107">
        <f t="shared" si="128"/>
        <v>1208.9906999999998</v>
      </c>
      <c r="K4107" s="9">
        <f t="shared" si="129"/>
        <v>6.4526525966163761E-2</v>
      </c>
    </row>
    <row r="4108" spans="1:11" x14ac:dyDescent="0.3">
      <c r="A4108">
        <v>1409</v>
      </c>
      <c r="B4108">
        <v>3</v>
      </c>
      <c r="C4108">
        <v>171</v>
      </c>
      <c r="D4108" t="str">
        <f>VLOOKUP($C4108,products!$A$1:$F$322,MATCH(order_items!$D$1,products!$A$1:$F$1,0),FALSE)</f>
        <v>Trek Domane SL 6 - 2018</v>
      </c>
      <c r="E4108">
        <f>VLOOKUP($C4108,products!$A$1:$F$322,MATCH(order_items!$E$1,products!$A$1:$F$1,0),FALSE)</f>
        <v>7</v>
      </c>
      <c r="F4108" t="str">
        <f>VLOOKUP($E4108,categories!$A$1:$B$8,MATCH(order_items!$F$1,categories!$A$1:$B$1,0),FALSE)</f>
        <v>Road Bikes</v>
      </c>
      <c r="G4108">
        <v>2</v>
      </c>
      <c r="H4108">
        <v>3199.99</v>
      </c>
      <c r="I4108" s="5">
        <v>0.05</v>
      </c>
      <c r="J4108">
        <f t="shared" si="128"/>
        <v>6079.9809999999989</v>
      </c>
      <c r="K4108" s="9">
        <f t="shared" si="129"/>
        <v>1.4691714592873595</v>
      </c>
    </row>
    <row r="4109" spans="1:11" x14ac:dyDescent="0.3">
      <c r="A4109">
        <v>1409</v>
      </c>
      <c r="B4109">
        <v>4</v>
      </c>
      <c r="C4109">
        <v>265</v>
      </c>
      <c r="D4109" t="str">
        <f>VLOOKUP($C4109,products!$A$1:$F$322,MATCH(order_items!$D$1,products!$A$1:$F$1,0),FALSE)</f>
        <v>Strider Strider 20 Sport - 2018</v>
      </c>
      <c r="E4109">
        <f>VLOOKUP($C4109,products!$A$1:$F$322,MATCH(order_items!$E$1,products!$A$1:$F$1,0),FALSE)</f>
        <v>1</v>
      </c>
      <c r="F4109" t="str">
        <f>VLOOKUP($E4109,categories!$A$1:$B$8,MATCH(order_items!$F$1,categories!$A$1:$B$1,0),FALSE)</f>
        <v>Children Bicycles</v>
      </c>
      <c r="G4109">
        <v>1</v>
      </c>
      <c r="H4109">
        <v>289.99</v>
      </c>
      <c r="I4109" s="5">
        <v>0.05</v>
      </c>
      <c r="J4109">
        <f t="shared" si="128"/>
        <v>275.4905</v>
      </c>
      <c r="K4109" s="9">
        <f t="shared" si="129"/>
        <v>-0.68215314911510361</v>
      </c>
    </row>
    <row r="4110" spans="1:11" x14ac:dyDescent="0.3">
      <c r="A4110">
        <v>1409</v>
      </c>
      <c r="B4110">
        <v>5</v>
      </c>
      <c r="C4110">
        <v>222</v>
      </c>
      <c r="D4110" t="str">
        <f>VLOOKUP($C4110,products!$A$1:$F$322,MATCH(order_items!$D$1,products!$A$1:$F$1,0),FALSE)</f>
        <v>Electra Cruiser 1 Tall - 2016/2018</v>
      </c>
      <c r="E4110">
        <f>VLOOKUP($C4110,products!$A$1:$F$322,MATCH(order_items!$E$1,products!$A$1:$F$1,0),FALSE)</f>
        <v>3</v>
      </c>
      <c r="F4110" t="str">
        <f>VLOOKUP($E4110,categories!$A$1:$B$8,MATCH(order_items!$F$1,categories!$A$1:$B$1,0),FALSE)</f>
        <v>Cruisers Bicycles</v>
      </c>
      <c r="G4110">
        <v>1</v>
      </c>
      <c r="H4110">
        <v>269.99</v>
      </c>
      <c r="I4110" s="5">
        <v>0.1</v>
      </c>
      <c r="J4110">
        <f t="shared" si="128"/>
        <v>242.99100000000001</v>
      </c>
      <c r="K4110" s="9">
        <f t="shared" si="129"/>
        <v>-0.69693888525532666</v>
      </c>
    </row>
    <row r="4111" spans="1:11" x14ac:dyDescent="0.3">
      <c r="A4111">
        <v>1410</v>
      </c>
      <c r="B4111">
        <v>1</v>
      </c>
      <c r="C4111">
        <v>205</v>
      </c>
      <c r="D4111" t="str">
        <f>VLOOKUP($C4111,products!$A$1:$F$322,MATCH(order_items!$D$1,products!$A$1:$F$1,0),FALSE)</f>
        <v>Trek Super Commuter+ 8S - 2018</v>
      </c>
      <c r="E4111">
        <f>VLOOKUP($C4111,products!$A$1:$F$322,MATCH(order_items!$E$1,products!$A$1:$F$1,0),FALSE)</f>
        <v>5</v>
      </c>
      <c r="F4111" t="str">
        <f>VLOOKUP($E4111,categories!$A$1:$B$8,MATCH(order_items!$F$1,categories!$A$1:$B$1,0),FALSE)</f>
        <v>Electric Bikes</v>
      </c>
      <c r="G4111">
        <v>2</v>
      </c>
      <c r="H4111">
        <v>4999.99</v>
      </c>
      <c r="I4111" s="5">
        <v>0.1</v>
      </c>
      <c r="J4111">
        <f t="shared" si="128"/>
        <v>8999.982</v>
      </c>
      <c r="K4111" s="9">
        <f t="shared" si="129"/>
        <v>2.7998877119074401</v>
      </c>
    </row>
    <row r="4112" spans="1:11" x14ac:dyDescent="0.3">
      <c r="A4112">
        <v>1410</v>
      </c>
      <c r="B4112">
        <v>2</v>
      </c>
      <c r="C4112">
        <v>203</v>
      </c>
      <c r="D4112" t="str">
        <f>VLOOKUP($C4112,products!$A$1:$F$322,MATCH(order_items!$D$1,products!$A$1:$F$1,0),FALSE)</f>
        <v>Trek Powerfly 7 FS - 2018</v>
      </c>
      <c r="E4112">
        <f>VLOOKUP($C4112,products!$A$1:$F$322,MATCH(order_items!$E$1,products!$A$1:$F$1,0),FALSE)</f>
        <v>5</v>
      </c>
      <c r="F4112" t="str">
        <f>VLOOKUP($E4112,categories!$A$1:$B$8,MATCH(order_items!$F$1,categories!$A$1:$B$1,0),FALSE)</f>
        <v>Electric Bikes</v>
      </c>
      <c r="G4112">
        <v>2</v>
      </c>
      <c r="H4112">
        <v>4999.99</v>
      </c>
      <c r="I4112" s="5">
        <v>0.2</v>
      </c>
      <c r="J4112">
        <f t="shared" si="128"/>
        <v>7999.9840000000004</v>
      </c>
      <c r="K4112" s="9">
        <f t="shared" si="129"/>
        <v>2.7998877119074401</v>
      </c>
    </row>
    <row r="4113" spans="1:11" x14ac:dyDescent="0.3">
      <c r="A4113">
        <v>1410</v>
      </c>
      <c r="B4113">
        <v>3</v>
      </c>
      <c r="C4113">
        <v>304</v>
      </c>
      <c r="D4113" t="str">
        <f>VLOOKUP($C4113,products!$A$1:$F$322,MATCH(order_items!$D$1,products!$A$1:$F$1,0),FALSE)</f>
        <v>Electra Townie Original 21D EQ - 2017/2018</v>
      </c>
      <c r="E4113">
        <f>VLOOKUP($C4113,products!$A$1:$F$322,MATCH(order_items!$E$1,products!$A$1:$F$1,0),FALSE)</f>
        <v>2</v>
      </c>
      <c r="F4113" t="str">
        <f>VLOOKUP($E4113,categories!$A$1:$B$8,MATCH(order_items!$F$1,categories!$A$1:$B$1,0),FALSE)</f>
        <v>Comfort Bicycles</v>
      </c>
      <c r="G4113">
        <v>1</v>
      </c>
      <c r="H4113">
        <v>679.99</v>
      </c>
      <c r="I4113" s="5">
        <v>0.1</v>
      </c>
      <c r="J4113">
        <f t="shared" si="128"/>
        <v>611.99099999999999</v>
      </c>
      <c r="K4113" s="9">
        <f t="shared" si="129"/>
        <v>-0.39383129438075282</v>
      </c>
    </row>
    <row r="4114" spans="1:11" x14ac:dyDescent="0.3">
      <c r="A4114">
        <v>1411</v>
      </c>
      <c r="B4114">
        <v>1</v>
      </c>
      <c r="C4114">
        <v>9</v>
      </c>
      <c r="D4114" t="str">
        <f>VLOOKUP($C4114,products!$A$1:$F$322,MATCH(order_items!$D$1,products!$A$1:$F$1,0),FALSE)</f>
        <v>Trek Conduit+ - 2016</v>
      </c>
      <c r="E4114">
        <f>VLOOKUP($C4114,products!$A$1:$F$322,MATCH(order_items!$E$1,products!$A$1:$F$1,0),FALSE)</f>
        <v>5</v>
      </c>
      <c r="F4114" t="str">
        <f>VLOOKUP($E4114,categories!$A$1:$B$8,MATCH(order_items!$F$1,categories!$A$1:$B$1,0),FALSE)</f>
        <v>Electric Bikes</v>
      </c>
      <c r="G4114">
        <v>1</v>
      </c>
      <c r="H4114">
        <v>2999.99</v>
      </c>
      <c r="I4114" s="5">
        <v>0.1</v>
      </c>
      <c r="J4114">
        <f t="shared" si="128"/>
        <v>2699.991</v>
      </c>
      <c r="K4114" s="9">
        <f t="shared" si="129"/>
        <v>1.3213140978851283</v>
      </c>
    </row>
    <row r="4115" spans="1:11" x14ac:dyDescent="0.3">
      <c r="A4115">
        <v>1411</v>
      </c>
      <c r="B4115">
        <v>2</v>
      </c>
      <c r="C4115">
        <v>308</v>
      </c>
      <c r="D4115" t="str">
        <f>VLOOKUP($C4115,products!$A$1:$F$322,MATCH(order_items!$D$1,products!$A$1:$F$1,0),FALSE)</f>
        <v>Electra Townie Balloon 8D EQ Ladies' - 2016/2017/2018</v>
      </c>
      <c r="E4115">
        <f>VLOOKUP($C4115,products!$A$1:$F$322,MATCH(order_items!$E$1,products!$A$1:$F$1,0),FALSE)</f>
        <v>2</v>
      </c>
      <c r="F4115" t="str">
        <f>VLOOKUP($E4115,categories!$A$1:$B$8,MATCH(order_items!$F$1,categories!$A$1:$B$1,0),FALSE)</f>
        <v>Comfort Bicycles</v>
      </c>
      <c r="G4115">
        <v>2</v>
      </c>
      <c r="H4115">
        <v>749.99</v>
      </c>
      <c r="I4115" s="5">
        <v>0.2</v>
      </c>
      <c r="J4115">
        <f t="shared" si="128"/>
        <v>1199.9840000000002</v>
      </c>
      <c r="K4115" s="9">
        <f t="shared" si="129"/>
        <v>-0.34208121788997192</v>
      </c>
    </row>
    <row r="4116" spans="1:11" x14ac:dyDescent="0.3">
      <c r="A4116">
        <v>1412</v>
      </c>
      <c r="B4116">
        <v>1</v>
      </c>
      <c r="C4116">
        <v>180</v>
      </c>
      <c r="D4116" t="str">
        <f>VLOOKUP($C4116,products!$A$1:$F$322,MATCH(order_items!$D$1,products!$A$1:$F$1,0),FALSE)</f>
        <v>Trek Domane AL 3 Women's - 2018</v>
      </c>
      <c r="E4116">
        <f>VLOOKUP($C4116,products!$A$1:$F$322,MATCH(order_items!$E$1,products!$A$1:$F$1,0),FALSE)</f>
        <v>7</v>
      </c>
      <c r="F4116" t="str">
        <f>VLOOKUP($E4116,categories!$A$1:$B$8,MATCH(order_items!$F$1,categories!$A$1:$B$1,0),FALSE)</f>
        <v>Road Bikes</v>
      </c>
      <c r="G4116">
        <v>2</v>
      </c>
      <c r="H4116">
        <v>919.99</v>
      </c>
      <c r="I4116" s="5">
        <v>7.0000000000000007E-2</v>
      </c>
      <c r="J4116">
        <f t="shared" si="128"/>
        <v>1711.1813999999999</v>
      </c>
      <c r="K4116" s="9">
        <f t="shared" si="129"/>
        <v>-0.21640246069807545</v>
      </c>
    </row>
    <row r="4117" spans="1:11" x14ac:dyDescent="0.3">
      <c r="A4117">
        <v>1412</v>
      </c>
      <c r="B4117">
        <v>2</v>
      </c>
      <c r="C4117">
        <v>43</v>
      </c>
      <c r="D4117" t="str">
        <f>VLOOKUP($C4117,products!$A$1:$F$322,MATCH(order_items!$D$1,products!$A$1:$F$1,0),FALSE)</f>
        <v>Trek Fuel EX 9.8 27.5 Plus - 2017</v>
      </c>
      <c r="E4117">
        <f>VLOOKUP($C4117,products!$A$1:$F$322,MATCH(order_items!$E$1,products!$A$1:$F$1,0),FALSE)</f>
        <v>6</v>
      </c>
      <c r="F4117" t="str">
        <f>VLOOKUP($E4117,categories!$A$1:$B$8,MATCH(order_items!$F$1,categories!$A$1:$B$1,0),FALSE)</f>
        <v>Mountain Bikes</v>
      </c>
      <c r="G4117">
        <v>1</v>
      </c>
      <c r="H4117">
        <v>5299.99</v>
      </c>
      <c r="I4117" s="5">
        <v>0.1</v>
      </c>
      <c r="J4117">
        <f t="shared" si="128"/>
        <v>4769.991</v>
      </c>
      <c r="K4117" s="9">
        <f t="shared" si="129"/>
        <v>3.021673754010787</v>
      </c>
    </row>
    <row r="4118" spans="1:11" x14ac:dyDescent="0.3">
      <c r="A4118">
        <v>1412</v>
      </c>
      <c r="B4118">
        <v>3</v>
      </c>
      <c r="C4118">
        <v>109</v>
      </c>
      <c r="D4118" t="str">
        <f>VLOOKUP($C4118,products!$A$1:$F$322,MATCH(order_items!$D$1,products!$A$1:$F$1,0),FALSE)</f>
        <v>Sun Bicycles Cruz 7 - Women's - 2017</v>
      </c>
      <c r="E4118">
        <f>VLOOKUP($C4118,products!$A$1:$F$322,MATCH(order_items!$E$1,products!$A$1:$F$1,0),FALSE)</f>
        <v>2</v>
      </c>
      <c r="F4118" t="str">
        <f>VLOOKUP($E4118,categories!$A$1:$B$8,MATCH(order_items!$F$1,categories!$A$1:$B$1,0),FALSE)</f>
        <v>Comfort Bicycles</v>
      </c>
      <c r="G4118">
        <v>2</v>
      </c>
      <c r="H4118">
        <v>416.99</v>
      </c>
      <c r="I4118" s="5">
        <v>7.0000000000000007E-2</v>
      </c>
      <c r="J4118">
        <f t="shared" si="128"/>
        <v>775.60140000000001</v>
      </c>
      <c r="K4118" s="9">
        <f t="shared" si="129"/>
        <v>-0.58826372462468679</v>
      </c>
    </row>
    <row r="4119" spans="1:11" x14ac:dyDescent="0.3">
      <c r="A4119">
        <v>1413</v>
      </c>
      <c r="B4119">
        <v>1</v>
      </c>
      <c r="C4119">
        <v>297</v>
      </c>
      <c r="D4119" t="str">
        <f>VLOOKUP($C4119,products!$A$1:$F$322,MATCH(order_items!$D$1,products!$A$1:$F$1,0),FALSE)</f>
        <v>Electra Under-The-Sea 1 16" - 2018</v>
      </c>
      <c r="E4119">
        <f>VLOOKUP($C4119,products!$A$1:$F$322,MATCH(order_items!$E$1,products!$A$1:$F$1,0),FALSE)</f>
        <v>1</v>
      </c>
      <c r="F4119" t="str">
        <f>VLOOKUP($E4119,categories!$A$1:$B$8,MATCH(order_items!$F$1,categories!$A$1:$B$1,0),FALSE)</f>
        <v>Children Bicycles</v>
      </c>
      <c r="G4119">
        <v>2</v>
      </c>
      <c r="H4119">
        <v>279.99</v>
      </c>
      <c r="I4119" s="5">
        <v>0.05</v>
      </c>
      <c r="J4119">
        <f t="shared" si="128"/>
        <v>531.98099999999999</v>
      </c>
      <c r="K4119" s="9">
        <f t="shared" si="129"/>
        <v>-0.68954601718521513</v>
      </c>
    </row>
    <row r="4120" spans="1:11" x14ac:dyDescent="0.3">
      <c r="A4120">
        <v>1414</v>
      </c>
      <c r="B4120">
        <v>1</v>
      </c>
      <c r="C4120">
        <v>162</v>
      </c>
      <c r="D4120" t="str">
        <f>VLOOKUP($C4120,products!$A$1:$F$322,MATCH(order_items!$D$1,products!$A$1:$F$1,0),FALSE)</f>
        <v>Trek Emonda SL 6 Disc - 2018</v>
      </c>
      <c r="E4120">
        <f>VLOOKUP($C4120,products!$A$1:$F$322,MATCH(order_items!$E$1,products!$A$1:$F$1,0),FALSE)</f>
        <v>7</v>
      </c>
      <c r="F4120" t="str">
        <f>VLOOKUP($E4120,categories!$A$1:$B$8,MATCH(order_items!$F$1,categories!$A$1:$B$1,0),FALSE)</f>
        <v>Road Bikes</v>
      </c>
      <c r="G4120">
        <v>2</v>
      </c>
      <c r="H4120">
        <v>2999.99</v>
      </c>
      <c r="I4120" s="5">
        <v>0.1</v>
      </c>
      <c r="J4120">
        <f t="shared" si="128"/>
        <v>5399.982</v>
      </c>
      <c r="K4120" s="9">
        <f t="shared" si="129"/>
        <v>1.3213140978851283</v>
      </c>
    </row>
    <row r="4121" spans="1:11" x14ac:dyDescent="0.3">
      <c r="A4121">
        <v>1414</v>
      </c>
      <c r="B4121">
        <v>2</v>
      </c>
      <c r="C4121">
        <v>292</v>
      </c>
      <c r="D4121" t="str">
        <f>VLOOKUP($C4121,products!$A$1:$F$322,MATCH(order_items!$D$1,products!$A$1:$F$1,0),FALSE)</f>
        <v>Electra Sweet Ride 3i (20-inch) - Girls' - 2018</v>
      </c>
      <c r="E4121">
        <f>VLOOKUP($C4121,products!$A$1:$F$322,MATCH(order_items!$E$1,products!$A$1:$F$1,0),FALSE)</f>
        <v>1</v>
      </c>
      <c r="F4121" t="str">
        <f>VLOOKUP($E4121,categories!$A$1:$B$8,MATCH(order_items!$F$1,categories!$A$1:$B$1,0),FALSE)</f>
        <v>Children Bicycles</v>
      </c>
      <c r="G4121">
        <v>2</v>
      </c>
      <c r="H4121">
        <v>369.99</v>
      </c>
      <c r="I4121" s="5">
        <v>0.05</v>
      </c>
      <c r="J4121">
        <f t="shared" si="128"/>
        <v>702.98099999999999</v>
      </c>
      <c r="K4121" s="9">
        <f t="shared" si="129"/>
        <v>-0.62301020455421108</v>
      </c>
    </row>
    <row r="4122" spans="1:11" x14ac:dyDescent="0.3">
      <c r="A4122">
        <v>1415</v>
      </c>
      <c r="B4122">
        <v>1</v>
      </c>
      <c r="C4122">
        <v>31</v>
      </c>
      <c r="D4122" t="str">
        <f>VLOOKUP($C4122,products!$A$1:$F$322,MATCH(order_items!$D$1,products!$A$1:$F$1,0),FALSE)</f>
        <v>Surly Wednesday - 2017</v>
      </c>
      <c r="E4122">
        <f>VLOOKUP($C4122,products!$A$1:$F$322,MATCH(order_items!$E$1,products!$A$1:$F$1,0),FALSE)</f>
        <v>6</v>
      </c>
      <c r="F4122" t="str">
        <f>VLOOKUP($E4122,categories!$A$1:$B$8,MATCH(order_items!$F$1,categories!$A$1:$B$1,0),FALSE)</f>
        <v>Mountain Bikes</v>
      </c>
      <c r="G4122">
        <v>2</v>
      </c>
      <c r="H4122">
        <v>1632.99</v>
      </c>
      <c r="I4122" s="5">
        <v>7.0000000000000007E-2</v>
      </c>
      <c r="J4122">
        <f t="shared" si="128"/>
        <v>3037.3613999999998</v>
      </c>
      <c r="K4122" s="9">
        <f t="shared" si="129"/>
        <v>0.31070903270087863</v>
      </c>
    </row>
    <row r="4123" spans="1:11" x14ac:dyDescent="0.3">
      <c r="A4123">
        <v>1415</v>
      </c>
      <c r="B4123">
        <v>2</v>
      </c>
      <c r="C4123">
        <v>17</v>
      </c>
      <c r="D4123" t="str">
        <f>VLOOKUP($C4123,products!$A$1:$F$322,MATCH(order_items!$D$1,products!$A$1:$F$1,0),FALSE)</f>
        <v>Pure Cycles Vine 8-Speed - 2016</v>
      </c>
      <c r="E4123">
        <f>VLOOKUP($C4123,products!$A$1:$F$322,MATCH(order_items!$E$1,products!$A$1:$F$1,0),FALSE)</f>
        <v>3</v>
      </c>
      <c r="F4123" t="str">
        <f>VLOOKUP($E4123,categories!$A$1:$B$8,MATCH(order_items!$F$1,categories!$A$1:$B$1,0),FALSE)</f>
        <v>Cruisers Bicycles</v>
      </c>
      <c r="G4123">
        <v>1</v>
      </c>
      <c r="H4123">
        <v>429</v>
      </c>
      <c r="I4123" s="5">
        <v>0.05</v>
      </c>
      <c r="J4123">
        <f t="shared" si="128"/>
        <v>407.54999999999995</v>
      </c>
      <c r="K4123" s="9">
        <f t="shared" si="129"/>
        <v>-0.57938489007248284</v>
      </c>
    </row>
    <row r="4124" spans="1:11" x14ac:dyDescent="0.3">
      <c r="A4124">
        <v>1415</v>
      </c>
      <c r="B4124">
        <v>3</v>
      </c>
      <c r="C4124">
        <v>264</v>
      </c>
      <c r="D4124" t="str">
        <f>VLOOKUP($C4124,products!$A$1:$F$322,MATCH(order_items!$D$1,products!$A$1:$F$1,0),FALSE)</f>
        <v>Strider Sport 16 - 2018</v>
      </c>
      <c r="E4124">
        <f>VLOOKUP($C4124,products!$A$1:$F$322,MATCH(order_items!$E$1,products!$A$1:$F$1,0),FALSE)</f>
        <v>1</v>
      </c>
      <c r="F4124" t="str">
        <f>VLOOKUP($E4124,categories!$A$1:$B$8,MATCH(order_items!$F$1,categories!$A$1:$B$1,0),FALSE)</f>
        <v>Children Bicycles</v>
      </c>
      <c r="G4124">
        <v>2</v>
      </c>
      <c r="H4124">
        <v>249.99</v>
      </c>
      <c r="I4124" s="5">
        <v>0.1</v>
      </c>
      <c r="J4124">
        <f t="shared" si="128"/>
        <v>449.98200000000003</v>
      </c>
      <c r="K4124" s="9">
        <f t="shared" si="129"/>
        <v>-0.71172462139554982</v>
      </c>
    </row>
    <row r="4125" spans="1:11" x14ac:dyDescent="0.3">
      <c r="A4125">
        <v>1415</v>
      </c>
      <c r="B4125">
        <v>4</v>
      </c>
      <c r="C4125">
        <v>245</v>
      </c>
      <c r="D4125" t="str">
        <f>VLOOKUP($C4125,products!$A$1:$F$322,MATCH(order_items!$D$1,products!$A$1:$F$1,0),FALSE)</f>
        <v>Electra Townie Original 3i EQ - 2017/2018</v>
      </c>
      <c r="E4125">
        <f>VLOOKUP($C4125,products!$A$1:$F$322,MATCH(order_items!$E$1,products!$A$1:$F$1,0),FALSE)</f>
        <v>3</v>
      </c>
      <c r="F4125" t="str">
        <f>VLOOKUP($E4125,categories!$A$1:$B$8,MATCH(order_items!$F$1,categories!$A$1:$B$1,0),FALSE)</f>
        <v>Cruisers Bicycles</v>
      </c>
      <c r="G4125">
        <v>1</v>
      </c>
      <c r="H4125">
        <v>659.99</v>
      </c>
      <c r="I4125" s="5">
        <v>0.05</v>
      </c>
      <c r="J4125">
        <f t="shared" si="128"/>
        <v>626.9905</v>
      </c>
      <c r="K4125" s="9">
        <f t="shared" si="129"/>
        <v>-0.40861703052097592</v>
      </c>
    </row>
    <row r="4126" spans="1:11" x14ac:dyDescent="0.3">
      <c r="A4126">
        <v>1416</v>
      </c>
      <c r="B4126">
        <v>1</v>
      </c>
      <c r="C4126">
        <v>194</v>
      </c>
      <c r="D4126" t="str">
        <f>VLOOKUP($C4126,products!$A$1:$F$322,MATCH(order_items!$D$1,products!$A$1:$F$1,0),FALSE)</f>
        <v>Trek XM700+ - 2018</v>
      </c>
      <c r="E4126">
        <f>VLOOKUP($C4126,products!$A$1:$F$322,MATCH(order_items!$E$1,products!$A$1:$F$1,0),FALSE)</f>
        <v>5</v>
      </c>
      <c r="F4126" t="str">
        <f>VLOOKUP($E4126,categories!$A$1:$B$8,MATCH(order_items!$F$1,categories!$A$1:$B$1,0),FALSE)</f>
        <v>Electric Bikes</v>
      </c>
      <c r="G4126">
        <v>1</v>
      </c>
      <c r="H4126">
        <v>3499.99</v>
      </c>
      <c r="I4126" s="5">
        <v>0.2</v>
      </c>
      <c r="J4126">
        <f t="shared" si="128"/>
        <v>2799.9920000000002</v>
      </c>
      <c r="K4126" s="9">
        <f t="shared" si="129"/>
        <v>1.6909575013907066</v>
      </c>
    </row>
    <row r="4127" spans="1:11" x14ac:dyDescent="0.3">
      <c r="A4127">
        <v>1416</v>
      </c>
      <c r="B4127">
        <v>2</v>
      </c>
      <c r="C4127">
        <v>242</v>
      </c>
      <c r="D4127" t="str">
        <f>VLOOKUP($C4127,products!$A$1:$F$322,MATCH(order_items!$D$1,products!$A$1:$F$1,0),FALSE)</f>
        <v>Electra Townie Commute 8D Ladies' - 2018</v>
      </c>
      <c r="E4127">
        <f>VLOOKUP($C4127,products!$A$1:$F$322,MATCH(order_items!$E$1,products!$A$1:$F$1,0),FALSE)</f>
        <v>3</v>
      </c>
      <c r="F4127" t="str">
        <f>VLOOKUP($E4127,categories!$A$1:$B$8,MATCH(order_items!$F$1,categories!$A$1:$B$1,0),FALSE)</f>
        <v>Cruisers Bicycles</v>
      </c>
      <c r="G4127">
        <v>2</v>
      </c>
      <c r="H4127">
        <v>699.99</v>
      </c>
      <c r="I4127" s="5">
        <v>0.1</v>
      </c>
      <c r="J4127">
        <f t="shared" si="128"/>
        <v>1259.982</v>
      </c>
      <c r="K4127" s="9">
        <f t="shared" si="129"/>
        <v>-0.37904555824052971</v>
      </c>
    </row>
    <row r="4128" spans="1:11" x14ac:dyDescent="0.3">
      <c r="A4128">
        <v>1416</v>
      </c>
      <c r="B4128">
        <v>3</v>
      </c>
      <c r="C4128">
        <v>92</v>
      </c>
      <c r="D4128" t="str">
        <f>VLOOKUP($C4128,products!$A$1:$F$322,MATCH(order_items!$D$1,products!$A$1:$F$1,0),FALSE)</f>
        <v>Haro Shredder 20 - 2017</v>
      </c>
      <c r="E4128">
        <f>VLOOKUP($C4128,products!$A$1:$F$322,MATCH(order_items!$E$1,products!$A$1:$F$1,0),FALSE)</f>
        <v>1</v>
      </c>
      <c r="F4128" t="str">
        <f>VLOOKUP($E4128,categories!$A$1:$B$8,MATCH(order_items!$F$1,categories!$A$1:$B$1,0),FALSE)</f>
        <v>Children Bicycles</v>
      </c>
      <c r="G4128">
        <v>2</v>
      </c>
      <c r="H4128">
        <v>209.99</v>
      </c>
      <c r="I4128" s="5">
        <v>0.05</v>
      </c>
      <c r="J4128">
        <f t="shared" si="128"/>
        <v>398.98099999999999</v>
      </c>
      <c r="K4128" s="9">
        <f t="shared" si="129"/>
        <v>-0.74129609367599603</v>
      </c>
    </row>
    <row r="4129" spans="1:11" x14ac:dyDescent="0.3">
      <c r="A4129">
        <v>1417</v>
      </c>
      <c r="B4129">
        <v>1</v>
      </c>
      <c r="C4129">
        <v>219</v>
      </c>
      <c r="D4129" t="str">
        <f>VLOOKUP($C4129,products!$A$1:$F$322,MATCH(order_items!$D$1,products!$A$1:$F$1,0),FALSE)</f>
        <v>Electra Moto 3i - 2018</v>
      </c>
      <c r="E4129">
        <f>VLOOKUP($C4129,products!$A$1:$F$322,MATCH(order_items!$E$1,products!$A$1:$F$1,0),FALSE)</f>
        <v>3</v>
      </c>
      <c r="F4129" t="str">
        <f>VLOOKUP($E4129,categories!$A$1:$B$8,MATCH(order_items!$F$1,categories!$A$1:$B$1,0),FALSE)</f>
        <v>Cruisers Bicycles</v>
      </c>
      <c r="G4129">
        <v>2</v>
      </c>
      <c r="H4129">
        <v>639.99</v>
      </c>
      <c r="I4129" s="5">
        <v>0.2</v>
      </c>
      <c r="J4129">
        <f t="shared" si="128"/>
        <v>1023.984</v>
      </c>
      <c r="K4129" s="9">
        <f t="shared" si="129"/>
        <v>-0.42340276666119908</v>
      </c>
    </row>
    <row r="4130" spans="1:11" x14ac:dyDescent="0.3">
      <c r="A4130">
        <v>1418</v>
      </c>
      <c r="B4130">
        <v>1</v>
      </c>
      <c r="C4130">
        <v>120</v>
      </c>
      <c r="D4130" t="str">
        <f>VLOOKUP($C4130,products!$A$1:$F$322,MATCH(order_items!$D$1,products!$A$1:$F$1,0),FALSE)</f>
        <v>Trek Fuel EX 7 29 - 2018</v>
      </c>
      <c r="E4130">
        <f>VLOOKUP($C4130,products!$A$1:$F$322,MATCH(order_items!$E$1,products!$A$1:$F$1,0),FALSE)</f>
        <v>6</v>
      </c>
      <c r="F4130" t="str">
        <f>VLOOKUP($E4130,categories!$A$1:$B$8,MATCH(order_items!$F$1,categories!$A$1:$B$1,0),FALSE)</f>
        <v>Mountain Bikes</v>
      </c>
      <c r="G4130">
        <v>2</v>
      </c>
      <c r="H4130">
        <v>2499.9899999999998</v>
      </c>
      <c r="I4130" s="5">
        <v>0.2</v>
      </c>
      <c r="J4130">
        <f t="shared" si="128"/>
        <v>3999.9839999999999</v>
      </c>
      <c r="K4130" s="9">
        <f t="shared" si="129"/>
        <v>0.95167069437955054</v>
      </c>
    </row>
    <row r="4131" spans="1:11" x14ac:dyDescent="0.3">
      <c r="A4131">
        <v>1418</v>
      </c>
      <c r="B4131">
        <v>2</v>
      </c>
      <c r="C4131">
        <v>243</v>
      </c>
      <c r="D4131" t="str">
        <f>VLOOKUP($C4131,products!$A$1:$F$322,MATCH(order_items!$D$1,products!$A$1:$F$1,0),FALSE)</f>
        <v>Electra Townie Original 21D EQ Ladies' - 2018</v>
      </c>
      <c r="E4131">
        <f>VLOOKUP($C4131,products!$A$1:$F$322,MATCH(order_items!$E$1,products!$A$1:$F$1,0),FALSE)</f>
        <v>3</v>
      </c>
      <c r="F4131" t="str">
        <f>VLOOKUP($E4131,categories!$A$1:$B$8,MATCH(order_items!$F$1,categories!$A$1:$B$1,0),FALSE)</f>
        <v>Cruisers Bicycles</v>
      </c>
      <c r="G4131">
        <v>2</v>
      </c>
      <c r="H4131">
        <v>679.99</v>
      </c>
      <c r="I4131" s="5">
        <v>0.05</v>
      </c>
      <c r="J4131">
        <f t="shared" si="128"/>
        <v>1291.981</v>
      </c>
      <c r="K4131" s="9">
        <f t="shared" si="129"/>
        <v>-0.39383129438075282</v>
      </c>
    </row>
    <row r="4132" spans="1:11" x14ac:dyDescent="0.3">
      <c r="A4132">
        <v>1419</v>
      </c>
      <c r="B4132">
        <v>1</v>
      </c>
      <c r="C4132">
        <v>124</v>
      </c>
      <c r="D4132" t="str">
        <f>VLOOKUP($C4132,products!$A$1:$F$322,MATCH(order_items!$D$1,products!$A$1:$F$1,0),FALSE)</f>
        <v>Surly Krampus - 2018</v>
      </c>
      <c r="E4132">
        <f>VLOOKUP($C4132,products!$A$1:$F$322,MATCH(order_items!$E$1,products!$A$1:$F$1,0),FALSE)</f>
        <v>6</v>
      </c>
      <c r="F4132" t="str">
        <f>VLOOKUP($E4132,categories!$A$1:$B$8,MATCH(order_items!$F$1,categories!$A$1:$B$1,0),FALSE)</f>
        <v>Mountain Bikes</v>
      </c>
      <c r="G4132">
        <v>1</v>
      </c>
      <c r="H4132">
        <v>1499</v>
      </c>
      <c r="I4132" s="5">
        <v>7.0000000000000007E-2</v>
      </c>
      <c r="J4132">
        <f t="shared" si="128"/>
        <v>1394.07</v>
      </c>
      <c r="K4132" s="9">
        <f t="shared" si="129"/>
        <v>0.21165199342945387</v>
      </c>
    </row>
    <row r="4133" spans="1:11" x14ac:dyDescent="0.3">
      <c r="A4133">
        <v>1419</v>
      </c>
      <c r="B4133">
        <v>2</v>
      </c>
      <c r="C4133">
        <v>235</v>
      </c>
      <c r="D4133" t="str">
        <f>VLOOKUP($C4133,products!$A$1:$F$322,MATCH(order_items!$D$1,products!$A$1:$F$1,0),FALSE)</f>
        <v>Electra Koa 3i Ladies' - 2018</v>
      </c>
      <c r="E4133">
        <f>VLOOKUP($C4133,products!$A$1:$F$322,MATCH(order_items!$E$1,products!$A$1:$F$1,0),FALSE)</f>
        <v>3</v>
      </c>
      <c r="F4133" t="str">
        <f>VLOOKUP($E4133,categories!$A$1:$B$8,MATCH(order_items!$F$1,categories!$A$1:$B$1,0),FALSE)</f>
        <v>Cruisers Bicycles</v>
      </c>
      <c r="G4133">
        <v>2</v>
      </c>
      <c r="H4133">
        <v>899.99</v>
      </c>
      <c r="I4133" s="5">
        <v>0.2</v>
      </c>
      <c r="J4133">
        <f t="shared" si="128"/>
        <v>1439.9840000000002</v>
      </c>
      <c r="K4133" s="9">
        <f t="shared" si="129"/>
        <v>-0.23118819683829855</v>
      </c>
    </row>
    <row r="4134" spans="1:11" x14ac:dyDescent="0.3">
      <c r="A4134">
        <v>1419</v>
      </c>
      <c r="B4134">
        <v>3</v>
      </c>
      <c r="C4134">
        <v>234</v>
      </c>
      <c r="D4134" t="str">
        <f>VLOOKUP($C4134,products!$A$1:$F$322,MATCH(order_items!$D$1,products!$A$1:$F$1,0),FALSE)</f>
        <v>Electra Daydreamer 3i Ladies' - 2018</v>
      </c>
      <c r="E4134">
        <f>VLOOKUP($C4134,products!$A$1:$F$322,MATCH(order_items!$E$1,products!$A$1:$F$1,0),FALSE)</f>
        <v>3</v>
      </c>
      <c r="F4134" t="str">
        <f>VLOOKUP($E4134,categories!$A$1:$B$8,MATCH(order_items!$F$1,categories!$A$1:$B$1,0),FALSE)</f>
        <v>Cruisers Bicycles</v>
      </c>
      <c r="G4134">
        <v>1</v>
      </c>
      <c r="H4134">
        <v>899.99</v>
      </c>
      <c r="I4134" s="5">
        <v>0.1</v>
      </c>
      <c r="J4134">
        <f t="shared" si="128"/>
        <v>809.99099999999999</v>
      </c>
      <c r="K4134" s="9">
        <f t="shared" si="129"/>
        <v>-0.23118819683829855</v>
      </c>
    </row>
    <row r="4135" spans="1:11" x14ac:dyDescent="0.3">
      <c r="A4135">
        <v>1420</v>
      </c>
      <c r="B4135">
        <v>1</v>
      </c>
      <c r="C4135">
        <v>197</v>
      </c>
      <c r="D4135" t="str">
        <f>VLOOKUP($C4135,products!$A$1:$F$322,MATCH(order_items!$D$1,products!$A$1:$F$1,0),FALSE)</f>
        <v>Trek Verve+ Lowstep - 2018</v>
      </c>
      <c r="E4135">
        <f>VLOOKUP($C4135,products!$A$1:$F$322,MATCH(order_items!$E$1,products!$A$1:$F$1,0),FALSE)</f>
        <v>5</v>
      </c>
      <c r="F4135" t="str">
        <f>VLOOKUP($E4135,categories!$A$1:$B$8,MATCH(order_items!$F$1,categories!$A$1:$B$1,0),FALSE)</f>
        <v>Electric Bikes</v>
      </c>
      <c r="G4135">
        <v>1</v>
      </c>
      <c r="H4135">
        <v>2299.9899999999998</v>
      </c>
      <c r="I4135" s="5">
        <v>0.2</v>
      </c>
      <c r="J4135">
        <f t="shared" si="128"/>
        <v>1839.992</v>
      </c>
      <c r="K4135" s="9">
        <f t="shared" si="129"/>
        <v>0.80381333297731938</v>
      </c>
    </row>
    <row r="4136" spans="1:11" x14ac:dyDescent="0.3">
      <c r="A4136">
        <v>1420</v>
      </c>
      <c r="B4136">
        <v>2</v>
      </c>
      <c r="C4136">
        <v>194</v>
      </c>
      <c r="D4136" t="str">
        <f>VLOOKUP($C4136,products!$A$1:$F$322,MATCH(order_items!$D$1,products!$A$1:$F$1,0),FALSE)</f>
        <v>Trek XM700+ - 2018</v>
      </c>
      <c r="E4136">
        <f>VLOOKUP($C4136,products!$A$1:$F$322,MATCH(order_items!$E$1,products!$A$1:$F$1,0),FALSE)</f>
        <v>5</v>
      </c>
      <c r="F4136" t="str">
        <f>VLOOKUP($E4136,categories!$A$1:$B$8,MATCH(order_items!$F$1,categories!$A$1:$B$1,0),FALSE)</f>
        <v>Electric Bikes</v>
      </c>
      <c r="G4136">
        <v>2</v>
      </c>
      <c r="H4136">
        <v>3499.99</v>
      </c>
      <c r="I4136" s="5">
        <v>0.1</v>
      </c>
      <c r="J4136">
        <f t="shared" si="128"/>
        <v>6299.982</v>
      </c>
      <c r="K4136" s="9">
        <f t="shared" si="129"/>
        <v>1.6909575013907066</v>
      </c>
    </row>
    <row r="4137" spans="1:11" x14ac:dyDescent="0.3">
      <c r="A4137">
        <v>1420</v>
      </c>
      <c r="B4137">
        <v>3</v>
      </c>
      <c r="C4137">
        <v>128</v>
      </c>
      <c r="D4137" t="str">
        <f>VLOOKUP($C4137,products!$A$1:$F$322,MATCH(order_items!$D$1,products!$A$1:$F$1,0),FALSE)</f>
        <v>Surly ECR 27.5 - 2018</v>
      </c>
      <c r="E4137">
        <f>VLOOKUP($C4137,products!$A$1:$F$322,MATCH(order_items!$E$1,products!$A$1:$F$1,0),FALSE)</f>
        <v>6</v>
      </c>
      <c r="F4137" t="str">
        <f>VLOOKUP($E4137,categories!$A$1:$B$8,MATCH(order_items!$F$1,categories!$A$1:$B$1,0),FALSE)</f>
        <v>Mountain Bikes</v>
      </c>
      <c r="G4137">
        <v>1</v>
      </c>
      <c r="H4137">
        <v>1899</v>
      </c>
      <c r="I4137" s="5">
        <v>0.1</v>
      </c>
      <c r="J4137">
        <f t="shared" si="128"/>
        <v>1709.1000000000001</v>
      </c>
      <c r="K4137" s="9">
        <f t="shared" si="129"/>
        <v>0.50736671623391616</v>
      </c>
    </row>
    <row r="4138" spans="1:11" x14ac:dyDescent="0.3">
      <c r="A4138">
        <v>1421</v>
      </c>
      <c r="B4138">
        <v>1</v>
      </c>
      <c r="C4138">
        <v>298</v>
      </c>
      <c r="D4138" t="str">
        <f>VLOOKUP($C4138,products!$A$1:$F$322,MATCH(order_items!$D$1,products!$A$1:$F$1,0),FALSE)</f>
        <v>Electra Water Lily 1 (16-inch) - Girl's - 2018</v>
      </c>
      <c r="E4138">
        <f>VLOOKUP($C4138,products!$A$1:$F$322,MATCH(order_items!$E$1,products!$A$1:$F$1,0),FALSE)</f>
        <v>1</v>
      </c>
      <c r="F4138" t="str">
        <f>VLOOKUP($E4138,categories!$A$1:$B$8,MATCH(order_items!$F$1,categories!$A$1:$B$1,0),FALSE)</f>
        <v>Children Bicycles</v>
      </c>
      <c r="G4138">
        <v>2</v>
      </c>
      <c r="H4138">
        <v>279.99</v>
      </c>
      <c r="I4138" s="5">
        <v>0.05</v>
      </c>
      <c r="J4138">
        <f t="shared" si="128"/>
        <v>531.98099999999999</v>
      </c>
      <c r="K4138" s="9">
        <f t="shared" si="129"/>
        <v>-0.68954601718521513</v>
      </c>
    </row>
    <row r="4139" spans="1:11" x14ac:dyDescent="0.3">
      <c r="A4139">
        <v>1422</v>
      </c>
      <c r="B4139">
        <v>1</v>
      </c>
      <c r="C4139">
        <v>80</v>
      </c>
      <c r="D4139" t="str">
        <f>VLOOKUP($C4139,products!$A$1:$F$322,MATCH(order_items!$D$1,products!$A$1:$F$1,0),FALSE)</f>
        <v>Sun Bicycles Brickell Tandem CB - 2017</v>
      </c>
      <c r="E4139">
        <f>VLOOKUP($C4139,products!$A$1:$F$322,MATCH(order_items!$E$1,products!$A$1:$F$1,0),FALSE)</f>
        <v>3</v>
      </c>
      <c r="F4139" t="str">
        <f>VLOOKUP($E4139,categories!$A$1:$B$8,MATCH(order_items!$F$1,categories!$A$1:$B$1,0),FALSE)</f>
        <v>Cruisers Bicycles</v>
      </c>
      <c r="G4139">
        <v>2</v>
      </c>
      <c r="H4139">
        <v>761.99</v>
      </c>
      <c r="I4139" s="5">
        <v>7.0000000000000007E-2</v>
      </c>
      <c r="J4139">
        <f t="shared" si="128"/>
        <v>1417.3013999999998</v>
      </c>
      <c r="K4139" s="9">
        <f t="shared" si="129"/>
        <v>-0.33320977620583803</v>
      </c>
    </row>
    <row r="4140" spans="1:11" x14ac:dyDescent="0.3">
      <c r="A4140">
        <v>1422</v>
      </c>
      <c r="B4140">
        <v>2</v>
      </c>
      <c r="C4140">
        <v>180</v>
      </c>
      <c r="D4140" t="str">
        <f>VLOOKUP($C4140,products!$A$1:$F$322,MATCH(order_items!$D$1,products!$A$1:$F$1,0),FALSE)</f>
        <v>Trek Domane AL 3 Women's - 2018</v>
      </c>
      <c r="E4140">
        <f>VLOOKUP($C4140,products!$A$1:$F$322,MATCH(order_items!$E$1,products!$A$1:$F$1,0),FALSE)</f>
        <v>7</v>
      </c>
      <c r="F4140" t="str">
        <f>VLOOKUP($E4140,categories!$A$1:$B$8,MATCH(order_items!$F$1,categories!$A$1:$B$1,0),FALSE)</f>
        <v>Road Bikes</v>
      </c>
      <c r="G4140">
        <v>2</v>
      </c>
      <c r="H4140">
        <v>919.99</v>
      </c>
      <c r="I4140" s="5">
        <v>0.2</v>
      </c>
      <c r="J4140">
        <f t="shared" si="128"/>
        <v>1471.9840000000002</v>
      </c>
      <c r="K4140" s="9">
        <f t="shared" si="129"/>
        <v>-0.21640246069807545</v>
      </c>
    </row>
    <row r="4141" spans="1:11" x14ac:dyDescent="0.3">
      <c r="A4141">
        <v>1422</v>
      </c>
      <c r="B4141">
        <v>3</v>
      </c>
      <c r="C4141">
        <v>243</v>
      </c>
      <c r="D4141" t="str">
        <f>VLOOKUP($C4141,products!$A$1:$F$322,MATCH(order_items!$D$1,products!$A$1:$F$1,0),FALSE)</f>
        <v>Electra Townie Original 21D EQ Ladies' - 2018</v>
      </c>
      <c r="E4141">
        <f>VLOOKUP($C4141,products!$A$1:$F$322,MATCH(order_items!$E$1,products!$A$1:$F$1,0),FALSE)</f>
        <v>3</v>
      </c>
      <c r="F4141" t="str">
        <f>VLOOKUP($E4141,categories!$A$1:$B$8,MATCH(order_items!$F$1,categories!$A$1:$B$1,0),FALSE)</f>
        <v>Cruisers Bicycles</v>
      </c>
      <c r="G4141">
        <v>1</v>
      </c>
      <c r="H4141">
        <v>679.99</v>
      </c>
      <c r="I4141" s="5">
        <v>0.05</v>
      </c>
      <c r="J4141">
        <f t="shared" si="128"/>
        <v>645.9905</v>
      </c>
      <c r="K4141" s="9">
        <f t="shared" si="129"/>
        <v>-0.39383129438075282</v>
      </c>
    </row>
    <row r="4142" spans="1:11" x14ac:dyDescent="0.3">
      <c r="A4142">
        <v>1423</v>
      </c>
      <c r="B4142">
        <v>1</v>
      </c>
      <c r="C4142">
        <v>249</v>
      </c>
      <c r="D4142" t="str">
        <f>VLOOKUP($C4142,products!$A$1:$F$322,MATCH(order_items!$D$1,products!$A$1:$F$1,0),FALSE)</f>
        <v>Electra White Water 3i - 2018</v>
      </c>
      <c r="E4142">
        <f>VLOOKUP($C4142,products!$A$1:$F$322,MATCH(order_items!$E$1,products!$A$1:$F$1,0),FALSE)</f>
        <v>3</v>
      </c>
      <c r="F4142" t="str">
        <f>VLOOKUP($E4142,categories!$A$1:$B$8,MATCH(order_items!$F$1,categories!$A$1:$B$1,0),FALSE)</f>
        <v>Cruisers Bicycles</v>
      </c>
      <c r="G4142">
        <v>1</v>
      </c>
      <c r="H4142">
        <v>749.99</v>
      </c>
      <c r="I4142" s="5">
        <v>0.2</v>
      </c>
      <c r="J4142">
        <f t="shared" si="128"/>
        <v>599.99200000000008</v>
      </c>
      <c r="K4142" s="9">
        <f t="shared" si="129"/>
        <v>-0.34208121788997192</v>
      </c>
    </row>
    <row r="4143" spans="1:11" x14ac:dyDescent="0.3">
      <c r="A4143">
        <v>1423</v>
      </c>
      <c r="B4143">
        <v>2</v>
      </c>
      <c r="C4143">
        <v>71</v>
      </c>
      <c r="D4143" t="str">
        <f>VLOOKUP($C4143,products!$A$1:$F$322,MATCH(order_items!$D$1,products!$A$1:$F$1,0),FALSE)</f>
        <v>Sun Bicycles Atlas X-Type - 2017</v>
      </c>
      <c r="E4143">
        <f>VLOOKUP($C4143,products!$A$1:$F$322,MATCH(order_items!$E$1,products!$A$1:$F$1,0),FALSE)</f>
        <v>3</v>
      </c>
      <c r="F4143" t="str">
        <f>VLOOKUP($E4143,categories!$A$1:$B$8,MATCH(order_items!$F$1,categories!$A$1:$B$1,0),FALSE)</f>
        <v>Cruisers Bicycles</v>
      </c>
      <c r="G4143">
        <v>1</v>
      </c>
      <c r="H4143">
        <v>416.99</v>
      </c>
      <c r="I4143" s="5">
        <v>0.1</v>
      </c>
      <c r="J4143">
        <f t="shared" si="128"/>
        <v>375.291</v>
      </c>
      <c r="K4143" s="9">
        <f t="shared" si="129"/>
        <v>-0.58826372462468679</v>
      </c>
    </row>
    <row r="4144" spans="1:11" x14ac:dyDescent="0.3">
      <c r="A4144">
        <v>1423</v>
      </c>
      <c r="B4144">
        <v>3</v>
      </c>
      <c r="C4144">
        <v>302</v>
      </c>
      <c r="D4144" t="str">
        <f>VLOOKUP($C4144,products!$A$1:$F$322,MATCH(order_items!$D$1,products!$A$1:$F$1,0),FALSE)</f>
        <v>Electra Townie Original 1 - 2018</v>
      </c>
      <c r="E4144">
        <f>VLOOKUP($C4144,products!$A$1:$F$322,MATCH(order_items!$E$1,products!$A$1:$F$1,0),FALSE)</f>
        <v>2</v>
      </c>
      <c r="F4144" t="str">
        <f>VLOOKUP($E4144,categories!$A$1:$B$8,MATCH(order_items!$F$1,categories!$A$1:$B$1,0),FALSE)</f>
        <v>Comfort Bicycles</v>
      </c>
      <c r="G4144">
        <v>1</v>
      </c>
      <c r="H4144">
        <v>449.99</v>
      </c>
      <c r="I4144" s="5">
        <v>0.2</v>
      </c>
      <c r="J4144">
        <f t="shared" si="128"/>
        <v>359.99200000000002</v>
      </c>
      <c r="K4144" s="9">
        <f t="shared" si="129"/>
        <v>-0.56386725999331866</v>
      </c>
    </row>
    <row r="4145" spans="1:11" x14ac:dyDescent="0.3">
      <c r="A4145">
        <v>1423</v>
      </c>
      <c r="B4145">
        <v>4</v>
      </c>
      <c r="C4145">
        <v>113</v>
      </c>
      <c r="D4145" t="str">
        <f>VLOOKUP($C4145,products!$A$1:$F$322,MATCH(order_items!$D$1,products!$A$1:$F$1,0),FALSE)</f>
        <v>Trek Marlin 5 - 2018</v>
      </c>
      <c r="E4145">
        <f>VLOOKUP($C4145,products!$A$1:$F$322,MATCH(order_items!$E$1,products!$A$1:$F$1,0),FALSE)</f>
        <v>6</v>
      </c>
      <c r="F4145" t="str">
        <f>VLOOKUP($E4145,categories!$A$1:$B$8,MATCH(order_items!$F$1,categories!$A$1:$B$1,0),FALSE)</f>
        <v>Mountain Bikes</v>
      </c>
      <c r="G4145">
        <v>2</v>
      </c>
      <c r="H4145">
        <v>489.99</v>
      </c>
      <c r="I4145" s="5">
        <v>0.2</v>
      </c>
      <c r="J4145">
        <f t="shared" si="128"/>
        <v>783.98400000000004</v>
      </c>
      <c r="K4145" s="9">
        <f t="shared" si="129"/>
        <v>-0.53429578771287245</v>
      </c>
    </row>
    <row r="4146" spans="1:11" x14ac:dyDescent="0.3">
      <c r="A4146">
        <v>1424</v>
      </c>
      <c r="B4146">
        <v>1</v>
      </c>
      <c r="C4146">
        <v>140</v>
      </c>
      <c r="D4146" t="str">
        <f>VLOOKUP($C4146,products!$A$1:$F$322,MATCH(order_items!$D$1,products!$A$1:$F$1,0),FALSE)</f>
        <v>Trek Remedy 9.8 27.5 - 2018</v>
      </c>
      <c r="E4146">
        <f>VLOOKUP($C4146,products!$A$1:$F$322,MATCH(order_items!$E$1,products!$A$1:$F$1,0),FALSE)</f>
        <v>6</v>
      </c>
      <c r="F4146" t="str">
        <f>VLOOKUP($E4146,categories!$A$1:$B$8,MATCH(order_items!$F$1,categories!$A$1:$B$1,0),FALSE)</f>
        <v>Mountain Bikes</v>
      </c>
      <c r="G4146">
        <v>2</v>
      </c>
      <c r="H4146">
        <v>4999.99</v>
      </c>
      <c r="I4146" s="5">
        <v>0.2</v>
      </c>
      <c r="J4146">
        <f t="shared" si="128"/>
        <v>7999.9840000000004</v>
      </c>
      <c r="K4146" s="9">
        <f t="shared" si="129"/>
        <v>2.7998877119074401</v>
      </c>
    </row>
    <row r="4147" spans="1:11" x14ac:dyDescent="0.3">
      <c r="A4147">
        <v>1425</v>
      </c>
      <c r="B4147">
        <v>1</v>
      </c>
      <c r="C4147">
        <v>227</v>
      </c>
      <c r="D4147" t="str">
        <f>VLOOKUP($C4147,products!$A$1:$F$322,MATCH(order_items!$D$1,products!$A$1:$F$1,0),FALSE)</f>
        <v>Electra Cruiser 7D (24-Inch) Ladies' - 2016/2018</v>
      </c>
      <c r="E4147">
        <f>VLOOKUP($C4147,products!$A$1:$F$322,MATCH(order_items!$E$1,products!$A$1:$F$1,0),FALSE)</f>
        <v>3</v>
      </c>
      <c r="F4147" t="str">
        <f>VLOOKUP($E4147,categories!$A$1:$B$8,MATCH(order_items!$F$1,categories!$A$1:$B$1,0),FALSE)</f>
        <v>Cruisers Bicycles</v>
      </c>
      <c r="G4147">
        <v>2</v>
      </c>
      <c r="H4147">
        <v>319.99</v>
      </c>
      <c r="I4147" s="5">
        <v>0.05</v>
      </c>
      <c r="J4147">
        <f t="shared" si="128"/>
        <v>607.98099999999999</v>
      </c>
      <c r="K4147" s="9">
        <f t="shared" si="129"/>
        <v>-0.65997454490476892</v>
      </c>
    </row>
    <row r="4148" spans="1:11" x14ac:dyDescent="0.3">
      <c r="A4148">
        <v>1425</v>
      </c>
      <c r="B4148">
        <v>2</v>
      </c>
      <c r="C4148">
        <v>263</v>
      </c>
      <c r="D4148" t="str">
        <f>VLOOKUP($C4148,products!$A$1:$F$322,MATCH(order_items!$D$1,products!$A$1:$F$1,0),FALSE)</f>
        <v>Strider Classic 12 Balance Bike - 2018</v>
      </c>
      <c r="E4148">
        <f>VLOOKUP($C4148,products!$A$1:$F$322,MATCH(order_items!$E$1,products!$A$1:$F$1,0),FALSE)</f>
        <v>1</v>
      </c>
      <c r="F4148" t="str">
        <f>VLOOKUP($E4148,categories!$A$1:$B$8,MATCH(order_items!$F$1,categories!$A$1:$B$1,0),FALSE)</f>
        <v>Children Bicycles</v>
      </c>
      <c r="G4148">
        <v>1</v>
      </c>
      <c r="H4148">
        <v>89.99</v>
      </c>
      <c r="I4148" s="5">
        <v>7.0000000000000007E-2</v>
      </c>
      <c r="J4148">
        <f t="shared" si="128"/>
        <v>83.690699999999993</v>
      </c>
      <c r="K4148" s="9">
        <f t="shared" si="129"/>
        <v>-0.83001051051733477</v>
      </c>
    </row>
    <row r="4149" spans="1:11" x14ac:dyDescent="0.3">
      <c r="A4149">
        <v>1425</v>
      </c>
      <c r="B4149">
        <v>3</v>
      </c>
      <c r="C4149">
        <v>93</v>
      </c>
      <c r="D4149" t="str">
        <f>VLOOKUP($C4149,products!$A$1:$F$322,MATCH(order_items!$D$1,products!$A$1:$F$1,0),FALSE)</f>
        <v>Haro Shredder 20 Girls - 2017</v>
      </c>
      <c r="E4149">
        <f>VLOOKUP($C4149,products!$A$1:$F$322,MATCH(order_items!$E$1,products!$A$1:$F$1,0),FALSE)</f>
        <v>1</v>
      </c>
      <c r="F4149" t="str">
        <f>VLOOKUP($E4149,categories!$A$1:$B$8,MATCH(order_items!$F$1,categories!$A$1:$B$1,0),FALSE)</f>
        <v>Children Bicycles</v>
      </c>
      <c r="G4149">
        <v>1</v>
      </c>
      <c r="H4149">
        <v>209.99</v>
      </c>
      <c r="I4149" s="5">
        <v>7.0000000000000007E-2</v>
      </c>
      <c r="J4149">
        <f t="shared" si="128"/>
        <v>195.29069999999999</v>
      </c>
      <c r="K4149" s="9">
        <f t="shared" si="129"/>
        <v>-0.74129609367599603</v>
      </c>
    </row>
    <row r="4150" spans="1:11" x14ac:dyDescent="0.3">
      <c r="A4150">
        <v>1425</v>
      </c>
      <c r="B4150">
        <v>4</v>
      </c>
      <c r="C4150">
        <v>54</v>
      </c>
      <c r="D4150" t="str">
        <f>VLOOKUP($C4150,products!$A$1:$F$322,MATCH(order_items!$D$1,products!$A$1:$F$1,0),FALSE)</f>
        <v>Trek Domane SL Disc Frameset - 2017</v>
      </c>
      <c r="E4150">
        <f>VLOOKUP($C4150,products!$A$1:$F$322,MATCH(order_items!$E$1,products!$A$1:$F$1,0),FALSE)</f>
        <v>7</v>
      </c>
      <c r="F4150" t="str">
        <f>VLOOKUP($E4150,categories!$A$1:$B$8,MATCH(order_items!$F$1,categories!$A$1:$B$1,0),FALSE)</f>
        <v>Road Bikes</v>
      </c>
      <c r="G4150">
        <v>2</v>
      </c>
      <c r="H4150">
        <v>3199.99</v>
      </c>
      <c r="I4150" s="5">
        <v>0.05</v>
      </c>
      <c r="J4150">
        <f t="shared" si="128"/>
        <v>6079.9809999999989</v>
      </c>
      <c r="K4150" s="9">
        <f t="shared" si="129"/>
        <v>1.4691714592873595</v>
      </c>
    </row>
    <row r="4151" spans="1:11" x14ac:dyDescent="0.3">
      <c r="A4151">
        <v>1425</v>
      </c>
      <c r="B4151">
        <v>5</v>
      </c>
      <c r="C4151">
        <v>145</v>
      </c>
      <c r="D4151" t="str">
        <f>VLOOKUP($C4151,products!$A$1:$F$322,MATCH(order_items!$D$1,products!$A$1:$F$1,0),FALSE)</f>
        <v>Trek Domane ALR 5 Disc - 2018</v>
      </c>
      <c r="E4151">
        <f>VLOOKUP($C4151,products!$A$1:$F$322,MATCH(order_items!$E$1,products!$A$1:$F$1,0),FALSE)</f>
        <v>7</v>
      </c>
      <c r="F4151" t="str">
        <f>VLOOKUP($E4151,categories!$A$1:$B$8,MATCH(order_items!$F$1,categories!$A$1:$B$1,0),FALSE)</f>
        <v>Road Bikes</v>
      </c>
      <c r="G4151">
        <v>2</v>
      </c>
      <c r="H4151">
        <v>1799.99</v>
      </c>
      <c r="I4151" s="5">
        <v>7.0000000000000007E-2</v>
      </c>
      <c r="J4151">
        <f t="shared" si="128"/>
        <v>3347.9813999999997</v>
      </c>
      <c r="K4151" s="9">
        <f t="shared" si="129"/>
        <v>0.43416992947174166</v>
      </c>
    </row>
    <row r="4152" spans="1:11" x14ac:dyDescent="0.3">
      <c r="A4152">
        <v>1426</v>
      </c>
      <c r="B4152">
        <v>1</v>
      </c>
      <c r="C4152">
        <v>215</v>
      </c>
      <c r="D4152" t="str">
        <f>VLOOKUP($C4152,products!$A$1:$F$322,MATCH(order_items!$D$1,products!$A$1:$F$1,0),FALSE)</f>
        <v>Electra Queen of Hearts 3i - 2018</v>
      </c>
      <c r="E4152">
        <f>VLOOKUP($C4152,products!$A$1:$F$322,MATCH(order_items!$E$1,products!$A$1:$F$1,0),FALSE)</f>
        <v>3</v>
      </c>
      <c r="F4152" t="str">
        <f>VLOOKUP($E4152,categories!$A$1:$B$8,MATCH(order_items!$F$1,categories!$A$1:$B$1,0),FALSE)</f>
        <v>Cruisers Bicycles</v>
      </c>
      <c r="G4152">
        <v>1</v>
      </c>
      <c r="H4152">
        <v>749.99</v>
      </c>
      <c r="I4152" s="5">
        <v>7.0000000000000007E-2</v>
      </c>
      <c r="J4152">
        <f t="shared" si="128"/>
        <v>697.49069999999995</v>
      </c>
      <c r="K4152" s="9">
        <f t="shared" si="129"/>
        <v>-0.34208121788997192</v>
      </c>
    </row>
    <row r="4153" spans="1:11" x14ac:dyDescent="0.3">
      <c r="A4153">
        <v>1426</v>
      </c>
      <c r="B4153">
        <v>2</v>
      </c>
      <c r="C4153">
        <v>20</v>
      </c>
      <c r="D4153" t="str">
        <f>VLOOKUP($C4153,products!$A$1:$F$322,MATCH(order_items!$D$1,products!$A$1:$F$1,0),FALSE)</f>
        <v>Electra Townie Original 7D EQ - Women's - 2016</v>
      </c>
      <c r="E4153">
        <f>VLOOKUP($C4153,products!$A$1:$F$322,MATCH(order_items!$E$1,products!$A$1:$F$1,0),FALSE)</f>
        <v>3</v>
      </c>
      <c r="F4153" t="str">
        <f>VLOOKUP($E4153,categories!$A$1:$B$8,MATCH(order_items!$F$1,categories!$A$1:$B$1,0),FALSE)</f>
        <v>Cruisers Bicycles</v>
      </c>
      <c r="G4153">
        <v>2</v>
      </c>
      <c r="H4153">
        <v>599.99</v>
      </c>
      <c r="I4153" s="5">
        <v>0.05</v>
      </c>
      <c r="J4153">
        <f t="shared" si="128"/>
        <v>1139.981</v>
      </c>
      <c r="K4153" s="9">
        <f t="shared" si="129"/>
        <v>-0.45297423894164529</v>
      </c>
    </row>
    <row r="4154" spans="1:11" x14ac:dyDescent="0.3">
      <c r="A4154">
        <v>1426</v>
      </c>
      <c r="B4154">
        <v>3</v>
      </c>
      <c r="C4154">
        <v>281</v>
      </c>
      <c r="D4154" t="str">
        <f>VLOOKUP($C4154,products!$A$1:$F$322,MATCH(order_items!$D$1,products!$A$1:$F$1,0),FALSE)</f>
        <v>Electra Cruiser 7D (24-Inch) Ladies' - 2016/2018</v>
      </c>
      <c r="E4154">
        <f>VLOOKUP($C4154,products!$A$1:$F$322,MATCH(order_items!$E$1,products!$A$1:$F$1,0),FALSE)</f>
        <v>1</v>
      </c>
      <c r="F4154" t="str">
        <f>VLOOKUP($E4154,categories!$A$1:$B$8,MATCH(order_items!$F$1,categories!$A$1:$B$1,0),FALSE)</f>
        <v>Children Bicycles</v>
      </c>
      <c r="G4154">
        <v>1</v>
      </c>
      <c r="H4154">
        <v>319.99</v>
      </c>
      <c r="I4154" s="5">
        <v>7.0000000000000007E-2</v>
      </c>
      <c r="J4154">
        <f t="shared" si="128"/>
        <v>297.59069999999997</v>
      </c>
      <c r="K4154" s="9">
        <f t="shared" si="129"/>
        <v>-0.65997454490476892</v>
      </c>
    </row>
    <row r="4155" spans="1:11" x14ac:dyDescent="0.3">
      <c r="A4155">
        <v>1427</v>
      </c>
      <c r="B4155">
        <v>1</v>
      </c>
      <c r="C4155">
        <v>230</v>
      </c>
      <c r="D4155" t="str">
        <f>VLOOKUP($C4155,products!$A$1:$F$322,MATCH(order_items!$D$1,products!$A$1:$F$1,0),FALSE)</f>
        <v>Electra Cruiser Lux 1 Ladies' - 2018</v>
      </c>
      <c r="E4155">
        <f>VLOOKUP($C4155,products!$A$1:$F$322,MATCH(order_items!$E$1,products!$A$1:$F$1,0),FALSE)</f>
        <v>3</v>
      </c>
      <c r="F4155" t="str">
        <f>VLOOKUP($E4155,categories!$A$1:$B$8,MATCH(order_items!$F$1,categories!$A$1:$B$1,0),FALSE)</f>
        <v>Cruisers Bicycles</v>
      </c>
      <c r="G4155">
        <v>2</v>
      </c>
      <c r="H4155">
        <v>429.99</v>
      </c>
      <c r="I4155" s="5">
        <v>7.0000000000000007E-2</v>
      </c>
      <c r="J4155">
        <f t="shared" si="128"/>
        <v>799.78139999999996</v>
      </c>
      <c r="K4155" s="9">
        <f t="shared" si="129"/>
        <v>-0.57865299613354182</v>
      </c>
    </row>
    <row r="4156" spans="1:11" x14ac:dyDescent="0.3">
      <c r="A4156">
        <v>1427</v>
      </c>
      <c r="B4156">
        <v>2</v>
      </c>
      <c r="C4156">
        <v>139</v>
      </c>
      <c r="D4156" t="str">
        <f>VLOOKUP($C4156,products!$A$1:$F$322,MATCH(order_items!$D$1,products!$A$1:$F$1,0),FALSE)</f>
        <v>Trek Remedy 7 27.5 - 2018</v>
      </c>
      <c r="E4156">
        <f>VLOOKUP($C4156,products!$A$1:$F$322,MATCH(order_items!$E$1,products!$A$1:$F$1,0),FALSE)</f>
        <v>6</v>
      </c>
      <c r="F4156" t="str">
        <f>VLOOKUP($E4156,categories!$A$1:$B$8,MATCH(order_items!$F$1,categories!$A$1:$B$1,0),FALSE)</f>
        <v>Mountain Bikes</v>
      </c>
      <c r="G4156">
        <v>1</v>
      </c>
      <c r="H4156">
        <v>2999.99</v>
      </c>
      <c r="I4156" s="5">
        <v>0.05</v>
      </c>
      <c r="J4156">
        <f t="shared" si="128"/>
        <v>2849.9904999999999</v>
      </c>
      <c r="K4156" s="9">
        <f t="shared" si="129"/>
        <v>1.3213140978851283</v>
      </c>
    </row>
    <row r="4157" spans="1:11" x14ac:dyDescent="0.3">
      <c r="A4157">
        <v>1427</v>
      </c>
      <c r="B4157">
        <v>3</v>
      </c>
      <c r="C4157">
        <v>164</v>
      </c>
      <c r="D4157" t="str">
        <f>VLOOKUP($C4157,products!$A$1:$F$322,MATCH(order_items!$D$1,products!$A$1:$F$1,0),FALSE)</f>
        <v>Surly Straggler 650b - 2018</v>
      </c>
      <c r="E4157">
        <f>VLOOKUP($C4157,products!$A$1:$F$322,MATCH(order_items!$E$1,products!$A$1:$F$1,0),FALSE)</f>
        <v>7</v>
      </c>
      <c r="F4157" t="str">
        <f>VLOOKUP($E4157,categories!$A$1:$B$8,MATCH(order_items!$F$1,categories!$A$1:$B$1,0),FALSE)</f>
        <v>Road Bikes</v>
      </c>
      <c r="G4157">
        <v>2</v>
      </c>
      <c r="H4157">
        <v>1549</v>
      </c>
      <c r="I4157" s="5">
        <v>7.0000000000000007E-2</v>
      </c>
      <c r="J4157">
        <f t="shared" si="128"/>
        <v>2881.14</v>
      </c>
      <c r="K4157" s="9">
        <f t="shared" si="129"/>
        <v>0.24861633378001166</v>
      </c>
    </row>
    <row r="4158" spans="1:11" x14ac:dyDescent="0.3">
      <c r="A4158">
        <v>1428</v>
      </c>
      <c r="B4158">
        <v>1</v>
      </c>
      <c r="C4158">
        <v>216</v>
      </c>
      <c r="D4158" t="str">
        <f>VLOOKUP($C4158,products!$A$1:$F$322,MATCH(order_items!$D$1,products!$A$1:$F$1,0),FALSE)</f>
        <v>Electra Super Moto 8i - 2018</v>
      </c>
      <c r="E4158">
        <f>VLOOKUP($C4158,products!$A$1:$F$322,MATCH(order_items!$E$1,products!$A$1:$F$1,0),FALSE)</f>
        <v>3</v>
      </c>
      <c r="F4158" t="str">
        <f>VLOOKUP($E4158,categories!$A$1:$B$8,MATCH(order_items!$F$1,categories!$A$1:$B$1,0),FALSE)</f>
        <v>Cruisers Bicycles</v>
      </c>
      <c r="G4158">
        <v>2</v>
      </c>
      <c r="H4158">
        <v>899.99</v>
      </c>
      <c r="I4158" s="5">
        <v>0.2</v>
      </c>
      <c r="J4158">
        <f t="shared" si="128"/>
        <v>1439.9840000000002</v>
      </c>
      <c r="K4158" s="9">
        <f t="shared" si="129"/>
        <v>-0.23118819683829855</v>
      </c>
    </row>
    <row r="4159" spans="1:11" x14ac:dyDescent="0.3">
      <c r="A4159">
        <v>1428</v>
      </c>
      <c r="B4159">
        <v>2</v>
      </c>
      <c r="C4159">
        <v>126</v>
      </c>
      <c r="D4159" t="str">
        <f>VLOOKUP($C4159,products!$A$1:$F$322,MATCH(order_items!$D$1,products!$A$1:$F$1,0),FALSE)</f>
        <v>Surly Big Fat Dummy Frameset - 2018</v>
      </c>
      <c r="E4159">
        <f>VLOOKUP($C4159,products!$A$1:$F$322,MATCH(order_items!$E$1,products!$A$1:$F$1,0),FALSE)</f>
        <v>6</v>
      </c>
      <c r="F4159" t="str">
        <f>VLOOKUP($E4159,categories!$A$1:$B$8,MATCH(order_items!$F$1,categories!$A$1:$B$1,0),FALSE)</f>
        <v>Mountain Bikes</v>
      </c>
      <c r="G4159">
        <v>1</v>
      </c>
      <c r="H4159">
        <v>469.99</v>
      </c>
      <c r="I4159" s="5">
        <v>7.0000000000000007E-2</v>
      </c>
      <c r="J4159">
        <f t="shared" si="128"/>
        <v>437.09069999999997</v>
      </c>
      <c r="K4159" s="9">
        <f t="shared" si="129"/>
        <v>-0.5490815238530955</v>
      </c>
    </row>
    <row r="4160" spans="1:11" x14ac:dyDescent="0.3">
      <c r="A4160">
        <v>1428</v>
      </c>
      <c r="B4160">
        <v>3</v>
      </c>
      <c r="C4160">
        <v>187</v>
      </c>
      <c r="D4160" t="str">
        <f>VLOOKUP($C4160,products!$A$1:$F$322,MATCH(order_items!$D$1,products!$A$1:$F$1,0),FALSE)</f>
        <v>Trek Neko+ - 2018</v>
      </c>
      <c r="E4160">
        <f>VLOOKUP($C4160,products!$A$1:$F$322,MATCH(order_items!$E$1,products!$A$1:$F$1,0),FALSE)</f>
        <v>5</v>
      </c>
      <c r="F4160" t="str">
        <f>VLOOKUP($E4160,categories!$A$1:$B$8,MATCH(order_items!$F$1,categories!$A$1:$B$1,0),FALSE)</f>
        <v>Electric Bikes</v>
      </c>
      <c r="G4160">
        <v>2</v>
      </c>
      <c r="H4160">
        <v>2799.99</v>
      </c>
      <c r="I4160" s="5">
        <v>7.0000000000000007E-2</v>
      </c>
      <c r="J4160">
        <f t="shared" si="128"/>
        <v>5207.9813999999997</v>
      </c>
      <c r="K4160" s="9">
        <f t="shared" si="129"/>
        <v>1.1734567364828972</v>
      </c>
    </row>
    <row r="4161" spans="1:11" x14ac:dyDescent="0.3">
      <c r="A4161">
        <v>1428</v>
      </c>
      <c r="B4161">
        <v>4</v>
      </c>
      <c r="C4161">
        <v>28</v>
      </c>
      <c r="D4161" t="str">
        <f>VLOOKUP($C4161,products!$A$1:$F$322,MATCH(order_items!$D$1,products!$A$1:$F$1,0),FALSE)</f>
        <v>Surly Karate Monkey 27.5+ Frameset - 2017</v>
      </c>
      <c r="E4161">
        <f>VLOOKUP($C4161,products!$A$1:$F$322,MATCH(order_items!$E$1,products!$A$1:$F$1,0),FALSE)</f>
        <v>6</v>
      </c>
      <c r="F4161" t="str">
        <f>VLOOKUP($E4161,categories!$A$1:$B$8,MATCH(order_items!$F$1,categories!$A$1:$B$1,0),FALSE)</f>
        <v>Mountain Bikes</v>
      </c>
      <c r="G4161">
        <v>1</v>
      </c>
      <c r="H4161">
        <v>2499.9899999999998</v>
      </c>
      <c r="I4161" s="5">
        <v>0.1</v>
      </c>
      <c r="J4161">
        <f t="shared" si="128"/>
        <v>2249.991</v>
      </c>
      <c r="K4161" s="9">
        <f t="shared" si="129"/>
        <v>0.95167069437955054</v>
      </c>
    </row>
    <row r="4162" spans="1:11" x14ac:dyDescent="0.3">
      <c r="A4162">
        <v>1428</v>
      </c>
      <c r="B4162">
        <v>5</v>
      </c>
      <c r="C4162">
        <v>194</v>
      </c>
      <c r="D4162" t="str">
        <f>VLOOKUP($C4162,products!$A$1:$F$322,MATCH(order_items!$D$1,products!$A$1:$F$1,0),FALSE)</f>
        <v>Trek XM700+ - 2018</v>
      </c>
      <c r="E4162">
        <f>VLOOKUP($C4162,products!$A$1:$F$322,MATCH(order_items!$E$1,products!$A$1:$F$1,0),FALSE)</f>
        <v>5</v>
      </c>
      <c r="F4162" t="str">
        <f>VLOOKUP($E4162,categories!$A$1:$B$8,MATCH(order_items!$F$1,categories!$A$1:$B$1,0),FALSE)</f>
        <v>Electric Bikes</v>
      </c>
      <c r="G4162">
        <v>2</v>
      </c>
      <c r="H4162">
        <v>3499.99</v>
      </c>
      <c r="I4162" s="5">
        <v>0.2</v>
      </c>
      <c r="J4162">
        <f t="shared" ref="J4162:J4225" si="130">G4162*H4162*(1-I4162)</f>
        <v>5599.9840000000004</v>
      </c>
      <c r="K4162" s="9">
        <f t="shared" ref="K4162:K4225" si="131">($H4162-$M$7)/$M$9</f>
        <v>1.6909575013907066</v>
      </c>
    </row>
    <row r="4163" spans="1:11" x14ac:dyDescent="0.3">
      <c r="A4163">
        <v>1429</v>
      </c>
      <c r="B4163">
        <v>1</v>
      </c>
      <c r="C4163">
        <v>70</v>
      </c>
      <c r="D4163" t="str">
        <f>VLOOKUP($C4163,products!$A$1:$F$322,MATCH(order_items!$D$1,products!$A$1:$F$1,0),FALSE)</f>
        <v>Electra Amsterdam Original 3i - 2015/2017</v>
      </c>
      <c r="E4163">
        <f>VLOOKUP($C4163,products!$A$1:$F$322,MATCH(order_items!$E$1,products!$A$1:$F$1,0),FALSE)</f>
        <v>3</v>
      </c>
      <c r="F4163" t="str">
        <f>VLOOKUP($E4163,categories!$A$1:$B$8,MATCH(order_items!$F$1,categories!$A$1:$B$1,0),FALSE)</f>
        <v>Cruisers Bicycles</v>
      </c>
      <c r="G4163">
        <v>2</v>
      </c>
      <c r="H4163">
        <v>659.99</v>
      </c>
      <c r="I4163" s="5">
        <v>0.2</v>
      </c>
      <c r="J4163">
        <f t="shared" si="130"/>
        <v>1055.9840000000002</v>
      </c>
      <c r="K4163" s="9">
        <f t="shared" si="131"/>
        <v>-0.40861703052097592</v>
      </c>
    </row>
    <row r="4164" spans="1:11" x14ac:dyDescent="0.3">
      <c r="A4164">
        <v>1430</v>
      </c>
      <c r="B4164">
        <v>1</v>
      </c>
      <c r="C4164">
        <v>221</v>
      </c>
      <c r="D4164" t="str">
        <f>VLOOKUP($C4164,products!$A$1:$F$322,MATCH(order_items!$D$1,products!$A$1:$F$1,0),FALSE)</f>
        <v>Electra Cruiser 7D Ladies' - 2016/2018</v>
      </c>
      <c r="E4164">
        <f>VLOOKUP($C4164,products!$A$1:$F$322,MATCH(order_items!$E$1,products!$A$1:$F$1,0),FALSE)</f>
        <v>3</v>
      </c>
      <c r="F4164" t="str">
        <f>VLOOKUP($E4164,categories!$A$1:$B$8,MATCH(order_items!$F$1,categories!$A$1:$B$1,0),FALSE)</f>
        <v>Cruisers Bicycles</v>
      </c>
      <c r="G4164">
        <v>1</v>
      </c>
      <c r="H4164">
        <v>319.99</v>
      </c>
      <c r="I4164" s="5">
        <v>0.05</v>
      </c>
      <c r="J4164">
        <f t="shared" si="130"/>
        <v>303.9905</v>
      </c>
      <c r="K4164" s="9">
        <f t="shared" si="131"/>
        <v>-0.65997454490476892</v>
      </c>
    </row>
    <row r="4165" spans="1:11" x14ac:dyDescent="0.3">
      <c r="A4165">
        <v>1430</v>
      </c>
      <c r="B4165">
        <v>2</v>
      </c>
      <c r="C4165">
        <v>281</v>
      </c>
      <c r="D4165" t="str">
        <f>VLOOKUP($C4165,products!$A$1:$F$322,MATCH(order_items!$D$1,products!$A$1:$F$1,0),FALSE)</f>
        <v>Electra Cruiser 7D (24-Inch) Ladies' - 2016/2018</v>
      </c>
      <c r="E4165">
        <f>VLOOKUP($C4165,products!$A$1:$F$322,MATCH(order_items!$E$1,products!$A$1:$F$1,0),FALSE)</f>
        <v>1</v>
      </c>
      <c r="F4165" t="str">
        <f>VLOOKUP($E4165,categories!$A$1:$B$8,MATCH(order_items!$F$1,categories!$A$1:$B$1,0),FALSE)</f>
        <v>Children Bicycles</v>
      </c>
      <c r="G4165">
        <v>1</v>
      </c>
      <c r="H4165">
        <v>319.99</v>
      </c>
      <c r="I4165" s="5">
        <v>7.0000000000000007E-2</v>
      </c>
      <c r="J4165">
        <f t="shared" si="130"/>
        <v>297.59069999999997</v>
      </c>
      <c r="K4165" s="9">
        <f t="shared" si="131"/>
        <v>-0.65997454490476892</v>
      </c>
    </row>
    <row r="4166" spans="1:11" x14ac:dyDescent="0.3">
      <c r="A4166">
        <v>1431</v>
      </c>
      <c r="B4166">
        <v>1</v>
      </c>
      <c r="C4166">
        <v>207</v>
      </c>
      <c r="D4166" t="str">
        <f>VLOOKUP($C4166,products!$A$1:$F$322,MATCH(order_items!$D$1,products!$A$1:$F$1,0),FALSE)</f>
        <v>Trek Boone 7 Disc - 2018</v>
      </c>
      <c r="E4166">
        <f>VLOOKUP($C4166,products!$A$1:$F$322,MATCH(order_items!$E$1,products!$A$1:$F$1,0),FALSE)</f>
        <v>4</v>
      </c>
      <c r="F4166" t="str">
        <f>VLOOKUP($E4166,categories!$A$1:$B$8,MATCH(order_items!$F$1,categories!$A$1:$B$1,0),FALSE)</f>
        <v>Cyclocross Bicycles</v>
      </c>
      <c r="G4166">
        <v>1</v>
      </c>
      <c r="H4166">
        <v>3999.99</v>
      </c>
      <c r="I4166" s="5">
        <v>0.1</v>
      </c>
      <c r="J4166">
        <f t="shared" si="130"/>
        <v>3599.991</v>
      </c>
      <c r="K4166" s="9">
        <f t="shared" si="131"/>
        <v>2.0606009048962846</v>
      </c>
    </row>
    <row r="4167" spans="1:11" x14ac:dyDescent="0.3">
      <c r="A4167">
        <v>1431</v>
      </c>
      <c r="B4167">
        <v>2</v>
      </c>
      <c r="C4167">
        <v>53</v>
      </c>
      <c r="D4167" t="str">
        <f>VLOOKUP($C4167,products!$A$1:$F$322,MATCH(order_items!$D$1,products!$A$1:$F$1,0),FALSE)</f>
        <v>Surly Ogre Frameset - 2017</v>
      </c>
      <c r="E4167">
        <f>VLOOKUP($C4167,products!$A$1:$F$322,MATCH(order_items!$E$1,products!$A$1:$F$1,0),FALSE)</f>
        <v>7</v>
      </c>
      <c r="F4167" t="str">
        <f>VLOOKUP($E4167,categories!$A$1:$B$8,MATCH(order_items!$F$1,categories!$A$1:$B$1,0),FALSE)</f>
        <v>Road Bikes</v>
      </c>
      <c r="G4167">
        <v>1</v>
      </c>
      <c r="H4167">
        <v>749.99</v>
      </c>
      <c r="I4167" s="5">
        <v>7.0000000000000007E-2</v>
      </c>
      <c r="J4167">
        <f t="shared" si="130"/>
        <v>697.49069999999995</v>
      </c>
      <c r="K4167" s="9">
        <f t="shared" si="131"/>
        <v>-0.34208121788997192</v>
      </c>
    </row>
    <row r="4168" spans="1:11" x14ac:dyDescent="0.3">
      <c r="A4168">
        <v>1431</v>
      </c>
      <c r="B4168">
        <v>3</v>
      </c>
      <c r="C4168">
        <v>252</v>
      </c>
      <c r="D4168" t="str">
        <f>VLOOKUP($C4168,products!$A$1:$F$322,MATCH(order_items!$D$1,products!$A$1:$F$1,0),FALSE)</f>
        <v>Electra Townie Commute Go! Ladies' - 2018</v>
      </c>
      <c r="E4168">
        <f>VLOOKUP($C4168,products!$A$1:$F$322,MATCH(order_items!$E$1,products!$A$1:$F$1,0),FALSE)</f>
        <v>3</v>
      </c>
      <c r="F4168" t="str">
        <f>VLOOKUP($E4168,categories!$A$1:$B$8,MATCH(order_items!$F$1,categories!$A$1:$B$1,0),FALSE)</f>
        <v>Cruisers Bicycles</v>
      </c>
      <c r="G4168">
        <v>1</v>
      </c>
      <c r="H4168">
        <v>2999.99</v>
      </c>
      <c r="I4168" s="5">
        <v>0.2</v>
      </c>
      <c r="J4168">
        <f t="shared" si="130"/>
        <v>2399.9919999999997</v>
      </c>
      <c r="K4168" s="9">
        <f t="shared" si="131"/>
        <v>1.3213140978851283</v>
      </c>
    </row>
    <row r="4169" spans="1:11" x14ac:dyDescent="0.3">
      <c r="A4169">
        <v>1431</v>
      </c>
      <c r="B4169">
        <v>4</v>
      </c>
      <c r="C4169">
        <v>254</v>
      </c>
      <c r="D4169" t="str">
        <f>VLOOKUP($C4169,products!$A$1:$F$322,MATCH(order_items!$D$1,products!$A$1:$F$1,0),FALSE)</f>
        <v>Electra Townie Balloon 3i EQ - 2017/2018</v>
      </c>
      <c r="E4169">
        <f>VLOOKUP($C4169,products!$A$1:$F$322,MATCH(order_items!$E$1,products!$A$1:$F$1,0),FALSE)</f>
        <v>3</v>
      </c>
      <c r="F4169" t="str">
        <f>VLOOKUP($E4169,categories!$A$1:$B$8,MATCH(order_items!$F$1,categories!$A$1:$B$1,0),FALSE)</f>
        <v>Cruisers Bicycles</v>
      </c>
      <c r="G4169">
        <v>1</v>
      </c>
      <c r="H4169">
        <v>749.99</v>
      </c>
      <c r="I4169" s="5">
        <v>7.0000000000000007E-2</v>
      </c>
      <c r="J4169">
        <f t="shared" si="130"/>
        <v>697.49069999999995</v>
      </c>
      <c r="K4169" s="9">
        <f t="shared" si="131"/>
        <v>-0.34208121788997192</v>
      </c>
    </row>
    <row r="4170" spans="1:11" x14ac:dyDescent="0.3">
      <c r="A4170">
        <v>1432</v>
      </c>
      <c r="B4170">
        <v>1</v>
      </c>
      <c r="C4170">
        <v>161</v>
      </c>
      <c r="D4170" t="str">
        <f>VLOOKUP($C4170,products!$A$1:$F$322,MATCH(order_items!$D$1,products!$A$1:$F$1,0),FALSE)</f>
        <v>Surly ECR - 2018</v>
      </c>
      <c r="E4170">
        <f>VLOOKUP($C4170,products!$A$1:$F$322,MATCH(order_items!$E$1,products!$A$1:$F$1,0),FALSE)</f>
        <v>7</v>
      </c>
      <c r="F4170" t="str">
        <f>VLOOKUP($E4170,categories!$A$1:$B$8,MATCH(order_items!$F$1,categories!$A$1:$B$1,0),FALSE)</f>
        <v>Road Bikes</v>
      </c>
      <c r="G4170">
        <v>1</v>
      </c>
      <c r="H4170">
        <v>1899</v>
      </c>
      <c r="I4170" s="5">
        <v>0.2</v>
      </c>
      <c r="J4170">
        <f t="shared" si="130"/>
        <v>1519.2</v>
      </c>
      <c r="K4170" s="9">
        <f t="shared" si="131"/>
        <v>0.50736671623391616</v>
      </c>
    </row>
    <row r="4171" spans="1:11" x14ac:dyDescent="0.3">
      <c r="A4171">
        <v>1433</v>
      </c>
      <c r="B4171">
        <v>1</v>
      </c>
      <c r="C4171">
        <v>264</v>
      </c>
      <c r="D4171" t="str">
        <f>VLOOKUP($C4171,products!$A$1:$F$322,MATCH(order_items!$D$1,products!$A$1:$F$1,0),FALSE)</f>
        <v>Strider Sport 16 - 2018</v>
      </c>
      <c r="E4171">
        <f>VLOOKUP($C4171,products!$A$1:$F$322,MATCH(order_items!$E$1,products!$A$1:$F$1,0),FALSE)</f>
        <v>1</v>
      </c>
      <c r="F4171" t="str">
        <f>VLOOKUP($E4171,categories!$A$1:$B$8,MATCH(order_items!$F$1,categories!$A$1:$B$1,0),FALSE)</f>
        <v>Children Bicycles</v>
      </c>
      <c r="G4171">
        <v>1</v>
      </c>
      <c r="H4171">
        <v>249.99</v>
      </c>
      <c r="I4171" s="5">
        <v>7.0000000000000007E-2</v>
      </c>
      <c r="J4171">
        <f t="shared" si="130"/>
        <v>232.4907</v>
      </c>
      <c r="K4171" s="9">
        <f t="shared" si="131"/>
        <v>-0.71172462139554982</v>
      </c>
    </row>
    <row r="4172" spans="1:11" x14ac:dyDescent="0.3">
      <c r="A4172">
        <v>1434</v>
      </c>
      <c r="B4172">
        <v>1</v>
      </c>
      <c r="C4172">
        <v>229</v>
      </c>
      <c r="D4172" t="str">
        <f>VLOOKUP($C4172,products!$A$1:$F$322,MATCH(order_items!$D$1,products!$A$1:$F$1,0),FALSE)</f>
        <v>Electra Cruiser Lux 1 - 2016/2018</v>
      </c>
      <c r="E4172">
        <f>VLOOKUP($C4172,products!$A$1:$F$322,MATCH(order_items!$E$1,products!$A$1:$F$1,0),FALSE)</f>
        <v>3</v>
      </c>
      <c r="F4172" t="str">
        <f>VLOOKUP($E4172,categories!$A$1:$B$8,MATCH(order_items!$F$1,categories!$A$1:$B$1,0),FALSE)</f>
        <v>Cruisers Bicycles</v>
      </c>
      <c r="G4172">
        <v>2</v>
      </c>
      <c r="H4172">
        <v>429.99</v>
      </c>
      <c r="I4172" s="5">
        <v>0.2</v>
      </c>
      <c r="J4172">
        <f t="shared" si="130"/>
        <v>687.98400000000004</v>
      </c>
      <c r="K4172" s="9">
        <f t="shared" si="131"/>
        <v>-0.57865299613354182</v>
      </c>
    </row>
    <row r="4173" spans="1:11" x14ac:dyDescent="0.3">
      <c r="A4173">
        <v>1434</v>
      </c>
      <c r="B4173">
        <v>2</v>
      </c>
      <c r="C4173">
        <v>198</v>
      </c>
      <c r="D4173" t="str">
        <f>VLOOKUP($C4173,products!$A$1:$F$322,MATCH(order_items!$D$1,products!$A$1:$F$1,0),FALSE)</f>
        <v>Electra Townie Commute Go! - 2018</v>
      </c>
      <c r="E4173">
        <f>VLOOKUP($C4173,products!$A$1:$F$322,MATCH(order_items!$E$1,products!$A$1:$F$1,0),FALSE)</f>
        <v>5</v>
      </c>
      <c r="F4173" t="str">
        <f>VLOOKUP($E4173,categories!$A$1:$B$8,MATCH(order_items!$F$1,categories!$A$1:$B$1,0),FALSE)</f>
        <v>Electric Bikes</v>
      </c>
      <c r="G4173">
        <v>1</v>
      </c>
      <c r="H4173">
        <v>2999.99</v>
      </c>
      <c r="I4173" s="5">
        <v>0.1</v>
      </c>
      <c r="J4173">
        <f t="shared" si="130"/>
        <v>2699.991</v>
      </c>
      <c r="K4173" s="9">
        <f t="shared" si="131"/>
        <v>1.3213140978851283</v>
      </c>
    </row>
    <row r="4174" spans="1:11" x14ac:dyDescent="0.3">
      <c r="A4174">
        <v>1434</v>
      </c>
      <c r="B4174">
        <v>3</v>
      </c>
      <c r="C4174">
        <v>286</v>
      </c>
      <c r="D4174" t="str">
        <f>VLOOKUP($C4174,products!$A$1:$F$322,MATCH(order_items!$D$1,products!$A$1:$F$1,0),FALSE)</f>
        <v>Electra Starship 1 16" - 2018</v>
      </c>
      <c r="E4174">
        <f>VLOOKUP($C4174,products!$A$1:$F$322,MATCH(order_items!$E$1,products!$A$1:$F$1,0),FALSE)</f>
        <v>1</v>
      </c>
      <c r="F4174" t="str">
        <f>VLOOKUP($E4174,categories!$A$1:$B$8,MATCH(order_items!$F$1,categories!$A$1:$B$1,0),FALSE)</f>
        <v>Children Bicycles</v>
      </c>
      <c r="G4174">
        <v>2</v>
      </c>
      <c r="H4174">
        <v>279.99</v>
      </c>
      <c r="I4174" s="5">
        <v>0.1</v>
      </c>
      <c r="J4174">
        <f t="shared" si="130"/>
        <v>503.98200000000003</v>
      </c>
      <c r="K4174" s="9">
        <f t="shared" si="131"/>
        <v>-0.68954601718521513</v>
      </c>
    </row>
    <row r="4175" spans="1:11" x14ac:dyDescent="0.3">
      <c r="A4175">
        <v>1434</v>
      </c>
      <c r="B4175">
        <v>4</v>
      </c>
      <c r="C4175">
        <v>61</v>
      </c>
      <c r="D4175" t="str">
        <f>VLOOKUP($C4175,products!$A$1:$F$322,MATCH(order_items!$D$1,products!$A$1:$F$1,0),FALSE)</f>
        <v>Trek Powerfly 8 FS Plus - 2017</v>
      </c>
      <c r="E4175">
        <f>VLOOKUP($C4175,products!$A$1:$F$322,MATCH(order_items!$E$1,products!$A$1:$F$1,0),FALSE)</f>
        <v>5</v>
      </c>
      <c r="F4175" t="str">
        <f>VLOOKUP($E4175,categories!$A$1:$B$8,MATCH(order_items!$F$1,categories!$A$1:$B$1,0),FALSE)</f>
        <v>Electric Bikes</v>
      </c>
      <c r="G4175">
        <v>2</v>
      </c>
      <c r="H4175">
        <v>4999.99</v>
      </c>
      <c r="I4175" s="5">
        <v>7.0000000000000007E-2</v>
      </c>
      <c r="J4175">
        <f t="shared" si="130"/>
        <v>9299.9813999999988</v>
      </c>
      <c r="K4175" s="9">
        <f t="shared" si="131"/>
        <v>2.7998877119074401</v>
      </c>
    </row>
    <row r="4176" spans="1:11" x14ac:dyDescent="0.3">
      <c r="A4176">
        <v>1435</v>
      </c>
      <c r="B4176">
        <v>1</v>
      </c>
      <c r="C4176">
        <v>141</v>
      </c>
      <c r="D4176" t="str">
        <f>VLOOKUP($C4176,products!$A$1:$F$322,MATCH(order_items!$D$1,products!$A$1:$F$1,0),FALSE)</f>
        <v>Trek Stache 5 - 2018</v>
      </c>
      <c r="E4176">
        <f>VLOOKUP($C4176,products!$A$1:$F$322,MATCH(order_items!$E$1,products!$A$1:$F$1,0),FALSE)</f>
        <v>6</v>
      </c>
      <c r="F4176" t="str">
        <f>VLOOKUP($E4176,categories!$A$1:$B$8,MATCH(order_items!$F$1,categories!$A$1:$B$1,0),FALSE)</f>
        <v>Mountain Bikes</v>
      </c>
      <c r="G4176">
        <v>2</v>
      </c>
      <c r="H4176">
        <v>1599.99</v>
      </c>
      <c r="I4176" s="5">
        <v>7.0000000000000007E-2</v>
      </c>
      <c r="J4176">
        <f t="shared" si="130"/>
        <v>2975.9813999999997</v>
      </c>
      <c r="K4176" s="9">
        <f t="shared" si="131"/>
        <v>0.2863125680695105</v>
      </c>
    </row>
    <row r="4177" spans="1:11" x14ac:dyDescent="0.3">
      <c r="A4177">
        <v>1435</v>
      </c>
      <c r="B4177">
        <v>2</v>
      </c>
      <c r="C4177">
        <v>29</v>
      </c>
      <c r="D4177" t="str">
        <f>VLOOKUP($C4177,products!$A$1:$F$322,MATCH(order_items!$D$1,products!$A$1:$F$1,0),FALSE)</f>
        <v>Trek X-Caliber 8 - 2017</v>
      </c>
      <c r="E4177">
        <f>VLOOKUP($C4177,products!$A$1:$F$322,MATCH(order_items!$E$1,products!$A$1:$F$1,0),FALSE)</f>
        <v>6</v>
      </c>
      <c r="F4177" t="str">
        <f>VLOOKUP($E4177,categories!$A$1:$B$8,MATCH(order_items!$F$1,categories!$A$1:$B$1,0),FALSE)</f>
        <v>Mountain Bikes</v>
      </c>
      <c r="G4177">
        <v>1</v>
      </c>
      <c r="H4177">
        <v>999.99</v>
      </c>
      <c r="I4177" s="5">
        <v>0.2</v>
      </c>
      <c r="J4177">
        <f t="shared" si="130"/>
        <v>799.99200000000008</v>
      </c>
      <c r="K4177" s="9">
        <f t="shared" si="131"/>
        <v>-0.15725951613718298</v>
      </c>
    </row>
    <row r="4178" spans="1:11" x14ac:dyDescent="0.3">
      <c r="A4178">
        <v>1435</v>
      </c>
      <c r="B4178">
        <v>3</v>
      </c>
      <c r="C4178">
        <v>60</v>
      </c>
      <c r="D4178" t="str">
        <f>VLOOKUP($C4178,products!$A$1:$F$322,MATCH(order_items!$D$1,products!$A$1:$F$1,0),FALSE)</f>
        <v>Sun Bicycles ElectroLite - 2017</v>
      </c>
      <c r="E4178">
        <f>VLOOKUP($C4178,products!$A$1:$F$322,MATCH(order_items!$E$1,products!$A$1:$F$1,0),FALSE)</f>
        <v>5</v>
      </c>
      <c r="F4178" t="str">
        <f>VLOOKUP($E4178,categories!$A$1:$B$8,MATCH(order_items!$F$1,categories!$A$1:$B$1,0),FALSE)</f>
        <v>Electric Bikes</v>
      </c>
      <c r="G4178">
        <v>1</v>
      </c>
      <c r="H4178">
        <v>1559.99</v>
      </c>
      <c r="I4178" s="5">
        <v>0.1</v>
      </c>
      <c r="J4178">
        <f t="shared" si="130"/>
        <v>1403.991</v>
      </c>
      <c r="K4178" s="9">
        <f t="shared" si="131"/>
        <v>0.25674109578906423</v>
      </c>
    </row>
    <row r="4179" spans="1:11" x14ac:dyDescent="0.3">
      <c r="A4179">
        <v>1435</v>
      </c>
      <c r="B4179">
        <v>4</v>
      </c>
      <c r="C4179">
        <v>260</v>
      </c>
      <c r="D4179" t="str">
        <f>VLOOKUP($C4179,products!$A$1:$F$322,MATCH(order_items!$D$1,products!$A$1:$F$1,0),FALSE)</f>
        <v>Electra Townie Balloon 3i EQ Ladies' - 2018</v>
      </c>
      <c r="E4179">
        <f>VLOOKUP($C4179,products!$A$1:$F$322,MATCH(order_items!$E$1,products!$A$1:$F$1,0),FALSE)</f>
        <v>3</v>
      </c>
      <c r="F4179" t="str">
        <f>VLOOKUP($E4179,categories!$A$1:$B$8,MATCH(order_items!$F$1,categories!$A$1:$B$1,0),FALSE)</f>
        <v>Cruisers Bicycles</v>
      </c>
      <c r="G4179">
        <v>1</v>
      </c>
      <c r="H4179">
        <v>799.99</v>
      </c>
      <c r="I4179" s="5">
        <v>7.0000000000000007E-2</v>
      </c>
      <c r="J4179">
        <f t="shared" si="130"/>
        <v>743.99069999999995</v>
      </c>
      <c r="K4179" s="9">
        <f t="shared" si="131"/>
        <v>-0.30511687753941413</v>
      </c>
    </row>
    <row r="4180" spans="1:11" x14ac:dyDescent="0.3">
      <c r="A4180">
        <v>1436</v>
      </c>
      <c r="B4180">
        <v>1</v>
      </c>
      <c r="C4180">
        <v>244</v>
      </c>
      <c r="D4180" t="str">
        <f>VLOOKUP($C4180,products!$A$1:$F$322,MATCH(order_items!$D$1,products!$A$1:$F$1,0),FALSE)</f>
        <v>Electra Townie Original 21D Ladies' - 2018</v>
      </c>
      <c r="E4180">
        <f>VLOOKUP($C4180,products!$A$1:$F$322,MATCH(order_items!$E$1,products!$A$1:$F$1,0),FALSE)</f>
        <v>3</v>
      </c>
      <c r="F4180" t="str">
        <f>VLOOKUP($E4180,categories!$A$1:$B$8,MATCH(order_items!$F$1,categories!$A$1:$B$1,0),FALSE)</f>
        <v>Cruisers Bicycles</v>
      </c>
      <c r="G4180">
        <v>2</v>
      </c>
      <c r="H4180">
        <v>559.99</v>
      </c>
      <c r="I4180" s="5">
        <v>7.0000000000000007E-2</v>
      </c>
      <c r="J4180">
        <f t="shared" si="130"/>
        <v>1041.5814</v>
      </c>
      <c r="K4180" s="9">
        <f t="shared" si="131"/>
        <v>-0.4825457112220915</v>
      </c>
    </row>
    <row r="4181" spans="1:11" x14ac:dyDescent="0.3">
      <c r="A4181">
        <v>1437</v>
      </c>
      <c r="B4181">
        <v>1</v>
      </c>
      <c r="C4181">
        <v>141</v>
      </c>
      <c r="D4181" t="str">
        <f>VLOOKUP($C4181,products!$A$1:$F$322,MATCH(order_items!$D$1,products!$A$1:$F$1,0),FALSE)</f>
        <v>Trek Stache 5 - 2018</v>
      </c>
      <c r="E4181">
        <f>VLOOKUP($C4181,products!$A$1:$F$322,MATCH(order_items!$E$1,products!$A$1:$F$1,0),FALSE)</f>
        <v>6</v>
      </c>
      <c r="F4181" t="str">
        <f>VLOOKUP($E4181,categories!$A$1:$B$8,MATCH(order_items!$F$1,categories!$A$1:$B$1,0),FALSE)</f>
        <v>Mountain Bikes</v>
      </c>
      <c r="G4181">
        <v>2</v>
      </c>
      <c r="H4181">
        <v>1599.99</v>
      </c>
      <c r="I4181" s="5">
        <v>0.05</v>
      </c>
      <c r="J4181">
        <f t="shared" si="130"/>
        <v>3039.9809999999998</v>
      </c>
      <c r="K4181" s="9">
        <f t="shared" si="131"/>
        <v>0.2863125680695105</v>
      </c>
    </row>
    <row r="4182" spans="1:11" x14ac:dyDescent="0.3">
      <c r="A4182">
        <v>1438</v>
      </c>
      <c r="B4182">
        <v>1</v>
      </c>
      <c r="C4182">
        <v>225</v>
      </c>
      <c r="D4182" t="str">
        <f>VLOOKUP($C4182,products!$A$1:$F$322,MATCH(order_items!$D$1,products!$A$1:$F$1,0),FALSE)</f>
        <v>Electra Delivery 3i - 2016/2017/2018</v>
      </c>
      <c r="E4182">
        <f>VLOOKUP($C4182,products!$A$1:$F$322,MATCH(order_items!$E$1,products!$A$1:$F$1,0),FALSE)</f>
        <v>3</v>
      </c>
      <c r="F4182" t="str">
        <f>VLOOKUP($E4182,categories!$A$1:$B$8,MATCH(order_items!$F$1,categories!$A$1:$B$1,0),FALSE)</f>
        <v>Cruisers Bicycles</v>
      </c>
      <c r="G4182">
        <v>1</v>
      </c>
      <c r="H4182">
        <v>959.99</v>
      </c>
      <c r="I4182" s="5">
        <v>0.2</v>
      </c>
      <c r="J4182">
        <f t="shared" si="130"/>
        <v>767.99200000000008</v>
      </c>
      <c r="K4182" s="9">
        <f t="shared" si="131"/>
        <v>-0.18683098841762921</v>
      </c>
    </row>
    <row r="4183" spans="1:11" x14ac:dyDescent="0.3">
      <c r="A4183">
        <v>1438</v>
      </c>
      <c r="B4183">
        <v>2</v>
      </c>
      <c r="C4183">
        <v>140</v>
      </c>
      <c r="D4183" t="str">
        <f>VLOOKUP($C4183,products!$A$1:$F$322,MATCH(order_items!$D$1,products!$A$1:$F$1,0),FALSE)</f>
        <v>Trek Remedy 9.8 27.5 - 2018</v>
      </c>
      <c r="E4183">
        <f>VLOOKUP($C4183,products!$A$1:$F$322,MATCH(order_items!$E$1,products!$A$1:$F$1,0),FALSE)</f>
        <v>6</v>
      </c>
      <c r="F4183" t="str">
        <f>VLOOKUP($E4183,categories!$A$1:$B$8,MATCH(order_items!$F$1,categories!$A$1:$B$1,0),FALSE)</f>
        <v>Mountain Bikes</v>
      </c>
      <c r="G4183">
        <v>1</v>
      </c>
      <c r="H4183">
        <v>4999.99</v>
      </c>
      <c r="I4183" s="5">
        <v>0.2</v>
      </c>
      <c r="J4183">
        <f t="shared" si="130"/>
        <v>3999.9920000000002</v>
      </c>
      <c r="K4183" s="9">
        <f t="shared" si="131"/>
        <v>2.7998877119074401</v>
      </c>
    </row>
    <row r="4184" spans="1:11" x14ac:dyDescent="0.3">
      <c r="A4184">
        <v>1438</v>
      </c>
      <c r="B4184">
        <v>3</v>
      </c>
      <c r="C4184">
        <v>81</v>
      </c>
      <c r="D4184" t="str">
        <f>VLOOKUP($C4184,products!$A$1:$F$322,MATCH(order_items!$D$1,products!$A$1:$F$1,0),FALSE)</f>
        <v>Electra Amsterdam Fashion 7i Ladies' - 2017</v>
      </c>
      <c r="E4184">
        <f>VLOOKUP($C4184,products!$A$1:$F$322,MATCH(order_items!$E$1,products!$A$1:$F$1,0),FALSE)</f>
        <v>3</v>
      </c>
      <c r="F4184" t="str">
        <f>VLOOKUP($E4184,categories!$A$1:$B$8,MATCH(order_items!$F$1,categories!$A$1:$B$1,0),FALSE)</f>
        <v>Cruisers Bicycles</v>
      </c>
      <c r="G4184">
        <v>2</v>
      </c>
      <c r="H4184">
        <v>1099.99</v>
      </c>
      <c r="I4184" s="5">
        <v>0.05</v>
      </c>
      <c r="J4184">
        <f t="shared" si="130"/>
        <v>2089.9809999999998</v>
      </c>
      <c r="K4184" s="9">
        <f t="shared" si="131"/>
        <v>-8.3330835436067396E-2</v>
      </c>
    </row>
    <row r="4185" spans="1:11" x14ac:dyDescent="0.3">
      <c r="A4185">
        <v>1438</v>
      </c>
      <c r="B4185">
        <v>4</v>
      </c>
      <c r="C4185">
        <v>137</v>
      </c>
      <c r="D4185" t="str">
        <f>VLOOKUP($C4185,products!$A$1:$F$322,MATCH(order_items!$D$1,products!$A$1:$F$1,0),FALSE)</f>
        <v>Heller Shagamaw GX1 - 2018</v>
      </c>
      <c r="E4185">
        <f>VLOOKUP($C4185,products!$A$1:$F$322,MATCH(order_items!$E$1,products!$A$1:$F$1,0),FALSE)</f>
        <v>6</v>
      </c>
      <c r="F4185" t="str">
        <f>VLOOKUP($E4185,categories!$A$1:$B$8,MATCH(order_items!$F$1,categories!$A$1:$B$1,0),FALSE)</f>
        <v>Mountain Bikes</v>
      </c>
      <c r="G4185">
        <v>1</v>
      </c>
      <c r="H4185">
        <v>2599</v>
      </c>
      <c r="I4185" s="5">
        <v>0.1</v>
      </c>
      <c r="J4185">
        <f t="shared" si="130"/>
        <v>2339.1</v>
      </c>
      <c r="K4185" s="9">
        <f t="shared" si="131"/>
        <v>1.0248674811417253</v>
      </c>
    </row>
    <row r="4186" spans="1:11" x14ac:dyDescent="0.3">
      <c r="A4186">
        <v>1438</v>
      </c>
      <c r="B4186">
        <v>5</v>
      </c>
      <c r="C4186">
        <v>190</v>
      </c>
      <c r="D4186" t="str">
        <f>VLOOKUP($C4186,products!$A$1:$F$322,MATCH(order_items!$D$1,products!$A$1:$F$1,0),FALSE)</f>
        <v>Trek Dual Sport+ - 2018</v>
      </c>
      <c r="E4186">
        <f>VLOOKUP($C4186,products!$A$1:$F$322,MATCH(order_items!$E$1,products!$A$1:$F$1,0),FALSE)</f>
        <v>5</v>
      </c>
      <c r="F4186" t="str">
        <f>VLOOKUP($E4186,categories!$A$1:$B$8,MATCH(order_items!$F$1,categories!$A$1:$B$1,0),FALSE)</f>
        <v>Electric Bikes</v>
      </c>
      <c r="G4186">
        <v>2</v>
      </c>
      <c r="H4186">
        <v>2799.99</v>
      </c>
      <c r="I4186" s="5">
        <v>7.0000000000000007E-2</v>
      </c>
      <c r="J4186">
        <f t="shared" si="130"/>
        <v>5207.9813999999997</v>
      </c>
      <c r="K4186" s="9">
        <f t="shared" si="131"/>
        <v>1.1734567364828972</v>
      </c>
    </row>
    <row r="4187" spans="1:11" x14ac:dyDescent="0.3">
      <c r="A4187">
        <v>1439</v>
      </c>
      <c r="B4187">
        <v>1</v>
      </c>
      <c r="C4187">
        <v>42</v>
      </c>
      <c r="D4187" t="str">
        <f>VLOOKUP($C4187,products!$A$1:$F$322,MATCH(order_items!$D$1,products!$A$1:$F$1,0),FALSE)</f>
        <v>Trek Fuel EX 5 27.5 Plus - 2017</v>
      </c>
      <c r="E4187">
        <f>VLOOKUP($C4187,products!$A$1:$F$322,MATCH(order_items!$E$1,products!$A$1:$F$1,0),FALSE)</f>
        <v>6</v>
      </c>
      <c r="F4187" t="str">
        <f>VLOOKUP($E4187,categories!$A$1:$B$8,MATCH(order_items!$F$1,categories!$A$1:$B$1,0),FALSE)</f>
        <v>Mountain Bikes</v>
      </c>
      <c r="G4187">
        <v>1</v>
      </c>
      <c r="H4187">
        <v>2299.9899999999998</v>
      </c>
      <c r="I4187" s="5">
        <v>7.0000000000000007E-2</v>
      </c>
      <c r="J4187">
        <f t="shared" si="130"/>
        <v>2138.9906999999998</v>
      </c>
      <c r="K4187" s="9">
        <f t="shared" si="131"/>
        <v>0.80381333297731938</v>
      </c>
    </row>
    <row r="4188" spans="1:11" x14ac:dyDescent="0.3">
      <c r="A4188">
        <v>1439</v>
      </c>
      <c r="B4188">
        <v>2</v>
      </c>
      <c r="C4188">
        <v>263</v>
      </c>
      <c r="D4188" t="str">
        <f>VLOOKUP($C4188,products!$A$1:$F$322,MATCH(order_items!$D$1,products!$A$1:$F$1,0),FALSE)</f>
        <v>Strider Classic 12 Balance Bike - 2018</v>
      </c>
      <c r="E4188">
        <f>VLOOKUP($C4188,products!$A$1:$F$322,MATCH(order_items!$E$1,products!$A$1:$F$1,0),FALSE)</f>
        <v>1</v>
      </c>
      <c r="F4188" t="str">
        <f>VLOOKUP($E4188,categories!$A$1:$B$8,MATCH(order_items!$F$1,categories!$A$1:$B$1,0),FALSE)</f>
        <v>Children Bicycles</v>
      </c>
      <c r="G4188">
        <v>1</v>
      </c>
      <c r="H4188">
        <v>89.99</v>
      </c>
      <c r="I4188" s="5">
        <v>0.2</v>
      </c>
      <c r="J4188">
        <f t="shared" si="130"/>
        <v>71.992000000000004</v>
      </c>
      <c r="K4188" s="9">
        <f t="shared" si="131"/>
        <v>-0.83001051051733477</v>
      </c>
    </row>
    <row r="4189" spans="1:11" x14ac:dyDescent="0.3">
      <c r="A4189">
        <v>1439</v>
      </c>
      <c r="B4189">
        <v>3</v>
      </c>
      <c r="C4189">
        <v>102</v>
      </c>
      <c r="D4189" t="str">
        <f>VLOOKUP($C4189,products!$A$1:$F$322,MATCH(order_items!$D$1,products!$A$1:$F$1,0),FALSE)</f>
        <v>Electra Townie Original 7D - 2017</v>
      </c>
      <c r="E4189">
        <f>VLOOKUP($C4189,products!$A$1:$F$322,MATCH(order_items!$E$1,products!$A$1:$F$1,0),FALSE)</f>
        <v>2</v>
      </c>
      <c r="F4189" t="str">
        <f>VLOOKUP($E4189,categories!$A$1:$B$8,MATCH(order_items!$F$1,categories!$A$1:$B$1,0),FALSE)</f>
        <v>Comfort Bicycles</v>
      </c>
      <c r="G4189">
        <v>2</v>
      </c>
      <c r="H4189">
        <v>489.99</v>
      </c>
      <c r="I4189" s="5">
        <v>0.05</v>
      </c>
      <c r="J4189">
        <f t="shared" si="130"/>
        <v>930.98099999999999</v>
      </c>
      <c r="K4189" s="9">
        <f t="shared" si="131"/>
        <v>-0.53429578771287245</v>
      </c>
    </row>
    <row r="4190" spans="1:11" x14ac:dyDescent="0.3">
      <c r="A4190">
        <v>1439</v>
      </c>
      <c r="B4190">
        <v>4</v>
      </c>
      <c r="C4190">
        <v>149</v>
      </c>
      <c r="D4190" t="str">
        <f>VLOOKUP($C4190,products!$A$1:$F$322,MATCH(order_items!$D$1,products!$A$1:$F$1,0),FALSE)</f>
        <v>Trek Domane SLR 8 Disc - 2018</v>
      </c>
      <c r="E4190">
        <f>VLOOKUP($C4190,products!$A$1:$F$322,MATCH(order_items!$E$1,products!$A$1:$F$1,0),FALSE)</f>
        <v>7</v>
      </c>
      <c r="F4190" t="str">
        <f>VLOOKUP($E4190,categories!$A$1:$B$8,MATCH(order_items!$F$1,categories!$A$1:$B$1,0),FALSE)</f>
        <v>Road Bikes</v>
      </c>
      <c r="G4190">
        <v>1</v>
      </c>
      <c r="H4190">
        <v>7499.99</v>
      </c>
      <c r="I4190" s="5">
        <v>0.05</v>
      </c>
      <c r="J4190">
        <f t="shared" si="130"/>
        <v>7124.9904999999999</v>
      </c>
      <c r="K4190" s="9">
        <f t="shared" si="131"/>
        <v>4.6481047294353299</v>
      </c>
    </row>
    <row r="4191" spans="1:11" x14ac:dyDescent="0.3">
      <c r="A4191">
        <v>1440</v>
      </c>
      <c r="B4191">
        <v>1</v>
      </c>
      <c r="C4191">
        <v>116</v>
      </c>
      <c r="D4191" t="str">
        <f>VLOOKUP($C4191,products!$A$1:$F$322,MATCH(order_items!$D$1,products!$A$1:$F$1,0),FALSE)</f>
        <v>Trek Marlin 7 - 2017/2018</v>
      </c>
      <c r="E4191">
        <f>VLOOKUP($C4191,products!$A$1:$F$322,MATCH(order_items!$E$1,products!$A$1:$F$1,0),FALSE)</f>
        <v>6</v>
      </c>
      <c r="F4191" t="str">
        <f>VLOOKUP($E4191,categories!$A$1:$B$8,MATCH(order_items!$F$1,categories!$A$1:$B$1,0),FALSE)</f>
        <v>Mountain Bikes</v>
      </c>
      <c r="G4191">
        <v>2</v>
      </c>
      <c r="H4191">
        <v>749.99</v>
      </c>
      <c r="I4191" s="5">
        <v>7.0000000000000007E-2</v>
      </c>
      <c r="J4191">
        <f t="shared" si="130"/>
        <v>1394.9813999999999</v>
      </c>
      <c r="K4191" s="9">
        <f t="shared" si="131"/>
        <v>-0.34208121788997192</v>
      </c>
    </row>
    <row r="4192" spans="1:11" x14ac:dyDescent="0.3">
      <c r="A4192">
        <v>1440</v>
      </c>
      <c r="B4192">
        <v>2</v>
      </c>
      <c r="C4192">
        <v>109</v>
      </c>
      <c r="D4192" t="str">
        <f>VLOOKUP($C4192,products!$A$1:$F$322,MATCH(order_items!$D$1,products!$A$1:$F$1,0),FALSE)</f>
        <v>Sun Bicycles Cruz 7 - Women's - 2017</v>
      </c>
      <c r="E4192">
        <f>VLOOKUP($C4192,products!$A$1:$F$322,MATCH(order_items!$E$1,products!$A$1:$F$1,0),FALSE)</f>
        <v>2</v>
      </c>
      <c r="F4192" t="str">
        <f>VLOOKUP($E4192,categories!$A$1:$B$8,MATCH(order_items!$F$1,categories!$A$1:$B$1,0),FALSE)</f>
        <v>Comfort Bicycles</v>
      </c>
      <c r="G4192">
        <v>1</v>
      </c>
      <c r="H4192">
        <v>416.99</v>
      </c>
      <c r="I4192" s="5">
        <v>7.0000000000000007E-2</v>
      </c>
      <c r="J4192">
        <f t="shared" si="130"/>
        <v>387.80070000000001</v>
      </c>
      <c r="K4192" s="9">
        <f t="shared" si="131"/>
        <v>-0.58826372462468679</v>
      </c>
    </row>
    <row r="4193" spans="1:11" x14ac:dyDescent="0.3">
      <c r="A4193">
        <v>1440</v>
      </c>
      <c r="B4193">
        <v>3</v>
      </c>
      <c r="C4193">
        <v>186</v>
      </c>
      <c r="D4193" t="str">
        <f>VLOOKUP($C4193,products!$A$1:$F$322,MATCH(order_items!$D$1,products!$A$1:$F$1,0),FALSE)</f>
        <v>Trek CrossRip+ - 2018</v>
      </c>
      <c r="E4193">
        <f>VLOOKUP($C4193,products!$A$1:$F$322,MATCH(order_items!$E$1,products!$A$1:$F$1,0),FALSE)</f>
        <v>5</v>
      </c>
      <c r="F4193" t="str">
        <f>VLOOKUP($E4193,categories!$A$1:$B$8,MATCH(order_items!$F$1,categories!$A$1:$B$1,0),FALSE)</f>
        <v>Electric Bikes</v>
      </c>
      <c r="G4193">
        <v>1</v>
      </c>
      <c r="H4193">
        <v>4499.99</v>
      </c>
      <c r="I4193" s="5">
        <v>0.1</v>
      </c>
      <c r="J4193">
        <f t="shared" si="130"/>
        <v>4049.991</v>
      </c>
      <c r="K4193" s="9">
        <f t="shared" si="131"/>
        <v>2.4302443084018623</v>
      </c>
    </row>
    <row r="4194" spans="1:11" x14ac:dyDescent="0.3">
      <c r="A4194">
        <v>1440</v>
      </c>
      <c r="B4194">
        <v>4</v>
      </c>
      <c r="C4194">
        <v>178</v>
      </c>
      <c r="D4194" t="str">
        <f>VLOOKUP($C4194,products!$A$1:$F$322,MATCH(order_items!$D$1,products!$A$1:$F$1,0),FALSE)</f>
        <v>Trek Domane AL 2 - 2018</v>
      </c>
      <c r="E4194">
        <f>VLOOKUP($C4194,products!$A$1:$F$322,MATCH(order_items!$E$1,products!$A$1:$F$1,0),FALSE)</f>
        <v>7</v>
      </c>
      <c r="F4194" t="str">
        <f>VLOOKUP($E4194,categories!$A$1:$B$8,MATCH(order_items!$F$1,categories!$A$1:$B$1,0),FALSE)</f>
        <v>Road Bikes</v>
      </c>
      <c r="G4194">
        <v>2</v>
      </c>
      <c r="H4194">
        <v>749.99</v>
      </c>
      <c r="I4194" s="5">
        <v>0.05</v>
      </c>
      <c r="J4194">
        <f t="shared" si="130"/>
        <v>1424.981</v>
      </c>
      <c r="K4194" s="9">
        <f t="shared" si="131"/>
        <v>-0.34208121788997192</v>
      </c>
    </row>
    <row r="4195" spans="1:11" x14ac:dyDescent="0.3">
      <c r="A4195">
        <v>1440</v>
      </c>
      <c r="B4195">
        <v>5</v>
      </c>
      <c r="C4195">
        <v>67</v>
      </c>
      <c r="D4195" t="str">
        <f>VLOOKUP($C4195,products!$A$1:$F$322,MATCH(order_items!$D$1,products!$A$1:$F$1,0),FALSE)</f>
        <v>Sun Bicycles Revolutions 24 - Girl's - 2017</v>
      </c>
      <c r="E4195">
        <f>VLOOKUP($C4195,products!$A$1:$F$322,MATCH(order_items!$E$1,products!$A$1:$F$1,0),FALSE)</f>
        <v>3</v>
      </c>
      <c r="F4195" t="str">
        <f>VLOOKUP($E4195,categories!$A$1:$B$8,MATCH(order_items!$F$1,categories!$A$1:$B$1,0),FALSE)</f>
        <v>Cruisers Bicycles</v>
      </c>
      <c r="G4195">
        <v>2</v>
      </c>
      <c r="H4195">
        <v>250.99</v>
      </c>
      <c r="I4195" s="5">
        <v>0.2</v>
      </c>
      <c r="J4195">
        <f t="shared" si="130"/>
        <v>401.58400000000006</v>
      </c>
      <c r="K4195" s="9">
        <f t="shared" si="131"/>
        <v>-0.71098533458853863</v>
      </c>
    </row>
    <row r="4196" spans="1:11" x14ac:dyDescent="0.3">
      <c r="A4196">
        <v>1441</v>
      </c>
      <c r="B4196">
        <v>1</v>
      </c>
      <c r="C4196">
        <v>6</v>
      </c>
      <c r="D4196" t="str">
        <f>VLOOKUP($C4196,products!$A$1:$F$322,MATCH(order_items!$D$1,products!$A$1:$F$1,0),FALSE)</f>
        <v>Surly Ice Cream Truck Frameset - 2016</v>
      </c>
      <c r="E4196">
        <f>VLOOKUP($C4196,products!$A$1:$F$322,MATCH(order_items!$E$1,products!$A$1:$F$1,0),FALSE)</f>
        <v>6</v>
      </c>
      <c r="F4196" t="str">
        <f>VLOOKUP($E4196,categories!$A$1:$B$8,MATCH(order_items!$F$1,categories!$A$1:$B$1,0),FALSE)</f>
        <v>Mountain Bikes</v>
      </c>
      <c r="G4196">
        <v>1</v>
      </c>
      <c r="H4196">
        <v>469.99</v>
      </c>
      <c r="I4196" s="5">
        <v>0.05</v>
      </c>
      <c r="J4196">
        <f t="shared" si="130"/>
        <v>446.4905</v>
      </c>
      <c r="K4196" s="9">
        <f t="shared" si="131"/>
        <v>-0.5490815238530955</v>
      </c>
    </row>
    <row r="4197" spans="1:11" x14ac:dyDescent="0.3">
      <c r="A4197">
        <v>1441</v>
      </c>
      <c r="B4197">
        <v>2</v>
      </c>
      <c r="C4197">
        <v>242</v>
      </c>
      <c r="D4197" t="str">
        <f>VLOOKUP($C4197,products!$A$1:$F$322,MATCH(order_items!$D$1,products!$A$1:$F$1,0),FALSE)</f>
        <v>Electra Townie Commute 8D Ladies' - 2018</v>
      </c>
      <c r="E4197">
        <f>VLOOKUP($C4197,products!$A$1:$F$322,MATCH(order_items!$E$1,products!$A$1:$F$1,0),FALSE)</f>
        <v>3</v>
      </c>
      <c r="F4197" t="str">
        <f>VLOOKUP($E4197,categories!$A$1:$B$8,MATCH(order_items!$F$1,categories!$A$1:$B$1,0),FALSE)</f>
        <v>Cruisers Bicycles</v>
      </c>
      <c r="G4197">
        <v>2</v>
      </c>
      <c r="H4197">
        <v>699.99</v>
      </c>
      <c r="I4197" s="5">
        <v>0.2</v>
      </c>
      <c r="J4197">
        <f t="shared" si="130"/>
        <v>1119.9840000000002</v>
      </c>
      <c r="K4197" s="9">
        <f t="shared" si="131"/>
        <v>-0.37904555824052971</v>
      </c>
    </row>
    <row r="4198" spans="1:11" x14ac:dyDescent="0.3">
      <c r="A4198">
        <v>1441</v>
      </c>
      <c r="B4198">
        <v>3</v>
      </c>
      <c r="C4198">
        <v>46</v>
      </c>
      <c r="D4198" t="str">
        <f>VLOOKUP($C4198,products!$A$1:$F$322,MATCH(order_items!$D$1,products!$A$1:$F$1,0),FALSE)</f>
        <v>Haro SR 1.3 - 2017</v>
      </c>
      <c r="E4198">
        <f>VLOOKUP($C4198,products!$A$1:$F$322,MATCH(order_items!$E$1,products!$A$1:$F$1,0),FALSE)</f>
        <v>6</v>
      </c>
      <c r="F4198" t="str">
        <f>VLOOKUP($E4198,categories!$A$1:$B$8,MATCH(order_items!$F$1,categories!$A$1:$B$1,0),FALSE)</f>
        <v>Mountain Bikes</v>
      </c>
      <c r="G4198">
        <v>1</v>
      </c>
      <c r="H4198">
        <v>1409.99</v>
      </c>
      <c r="I4198" s="5">
        <v>7.0000000000000007E-2</v>
      </c>
      <c r="J4198">
        <f t="shared" si="130"/>
        <v>1311.2907</v>
      </c>
      <c r="K4198" s="9">
        <f t="shared" si="131"/>
        <v>0.14584807473739089</v>
      </c>
    </row>
    <row r="4199" spans="1:11" x14ac:dyDescent="0.3">
      <c r="A4199">
        <v>1442</v>
      </c>
      <c r="B4199">
        <v>1</v>
      </c>
      <c r="C4199">
        <v>160</v>
      </c>
      <c r="D4199" t="str">
        <f>VLOOKUP($C4199,products!$A$1:$F$322,MATCH(order_items!$D$1,products!$A$1:$F$1,0),FALSE)</f>
        <v>Trek Emonda SLR 6 - 2018</v>
      </c>
      <c r="E4199">
        <f>VLOOKUP($C4199,products!$A$1:$F$322,MATCH(order_items!$E$1,products!$A$1:$F$1,0),FALSE)</f>
        <v>7</v>
      </c>
      <c r="F4199" t="str">
        <f>VLOOKUP($E4199,categories!$A$1:$B$8,MATCH(order_items!$F$1,categories!$A$1:$B$1,0),FALSE)</f>
        <v>Road Bikes</v>
      </c>
      <c r="G4199">
        <v>1</v>
      </c>
      <c r="H4199">
        <v>4499.99</v>
      </c>
      <c r="I4199" s="5">
        <v>0.1</v>
      </c>
      <c r="J4199">
        <f t="shared" si="130"/>
        <v>4049.991</v>
      </c>
      <c r="K4199" s="9">
        <f t="shared" si="131"/>
        <v>2.4302443084018623</v>
      </c>
    </row>
    <row r="4200" spans="1:11" x14ac:dyDescent="0.3">
      <c r="A4200">
        <v>1442</v>
      </c>
      <c r="B4200">
        <v>2</v>
      </c>
      <c r="C4200">
        <v>220</v>
      </c>
      <c r="D4200" t="str">
        <f>VLOOKUP($C4200,products!$A$1:$F$322,MATCH(order_items!$D$1,products!$A$1:$F$1,0),FALSE)</f>
        <v>Electra Cruiser 1 Ladies' - 2018</v>
      </c>
      <c r="E4200">
        <f>VLOOKUP($C4200,products!$A$1:$F$322,MATCH(order_items!$E$1,products!$A$1:$F$1,0),FALSE)</f>
        <v>3</v>
      </c>
      <c r="F4200" t="str">
        <f>VLOOKUP($E4200,categories!$A$1:$B$8,MATCH(order_items!$F$1,categories!$A$1:$B$1,0),FALSE)</f>
        <v>Cruisers Bicycles</v>
      </c>
      <c r="G4200">
        <v>1</v>
      </c>
      <c r="H4200">
        <v>269.99</v>
      </c>
      <c r="I4200" s="5">
        <v>7.0000000000000007E-2</v>
      </c>
      <c r="J4200">
        <f t="shared" si="130"/>
        <v>251.0907</v>
      </c>
      <c r="K4200" s="9">
        <f t="shared" si="131"/>
        <v>-0.69693888525532666</v>
      </c>
    </row>
    <row r="4201" spans="1:11" x14ac:dyDescent="0.3">
      <c r="A4201">
        <v>1442</v>
      </c>
      <c r="B4201">
        <v>3</v>
      </c>
      <c r="C4201">
        <v>271</v>
      </c>
      <c r="D4201" t="str">
        <f>VLOOKUP($C4201,products!$A$1:$F$322,MATCH(order_items!$D$1,products!$A$1:$F$1,0),FALSE)</f>
        <v>Trek Precaliber 16 Girl's - 2018</v>
      </c>
      <c r="E4201">
        <f>VLOOKUP($C4201,products!$A$1:$F$322,MATCH(order_items!$E$1,products!$A$1:$F$1,0),FALSE)</f>
        <v>1</v>
      </c>
      <c r="F4201" t="str">
        <f>VLOOKUP($E4201,categories!$A$1:$B$8,MATCH(order_items!$F$1,categories!$A$1:$B$1,0),FALSE)</f>
        <v>Children Bicycles</v>
      </c>
      <c r="G4201">
        <v>2</v>
      </c>
      <c r="H4201">
        <v>209.99</v>
      </c>
      <c r="I4201" s="5">
        <v>0.05</v>
      </c>
      <c r="J4201">
        <f t="shared" si="130"/>
        <v>398.98099999999999</v>
      </c>
      <c r="K4201" s="9">
        <f t="shared" si="131"/>
        <v>-0.74129609367599603</v>
      </c>
    </row>
    <row r="4202" spans="1:11" x14ac:dyDescent="0.3">
      <c r="A4202">
        <v>1443</v>
      </c>
      <c r="B4202">
        <v>1</v>
      </c>
      <c r="C4202">
        <v>160</v>
      </c>
      <c r="D4202" t="str">
        <f>VLOOKUP($C4202,products!$A$1:$F$322,MATCH(order_items!$D$1,products!$A$1:$F$1,0),FALSE)</f>
        <v>Trek Emonda SLR 6 - 2018</v>
      </c>
      <c r="E4202">
        <f>VLOOKUP($C4202,products!$A$1:$F$322,MATCH(order_items!$E$1,products!$A$1:$F$1,0),FALSE)</f>
        <v>7</v>
      </c>
      <c r="F4202" t="str">
        <f>VLOOKUP($E4202,categories!$A$1:$B$8,MATCH(order_items!$F$1,categories!$A$1:$B$1,0),FALSE)</f>
        <v>Road Bikes</v>
      </c>
      <c r="G4202">
        <v>1</v>
      </c>
      <c r="H4202">
        <v>4499.99</v>
      </c>
      <c r="I4202" s="5">
        <v>7.0000000000000007E-2</v>
      </c>
      <c r="J4202">
        <f t="shared" si="130"/>
        <v>4184.9906999999994</v>
      </c>
      <c r="K4202" s="9">
        <f t="shared" si="131"/>
        <v>2.4302443084018623</v>
      </c>
    </row>
    <row r="4203" spans="1:11" x14ac:dyDescent="0.3">
      <c r="A4203">
        <v>1443</v>
      </c>
      <c r="B4203">
        <v>2</v>
      </c>
      <c r="C4203">
        <v>57</v>
      </c>
      <c r="D4203" t="str">
        <f>VLOOKUP($C4203,products!$A$1:$F$322,MATCH(order_items!$D$1,products!$A$1:$F$1,0),FALSE)</f>
        <v>Trek Emonda S 5 - 2017</v>
      </c>
      <c r="E4203">
        <f>VLOOKUP($C4203,products!$A$1:$F$322,MATCH(order_items!$E$1,products!$A$1:$F$1,0),FALSE)</f>
        <v>7</v>
      </c>
      <c r="F4203" t="str">
        <f>VLOOKUP($E4203,categories!$A$1:$B$8,MATCH(order_items!$F$1,categories!$A$1:$B$1,0),FALSE)</f>
        <v>Road Bikes</v>
      </c>
      <c r="G4203">
        <v>1</v>
      </c>
      <c r="H4203">
        <v>1999.99</v>
      </c>
      <c r="I4203" s="5">
        <v>0.2</v>
      </c>
      <c r="J4203">
        <f t="shared" si="130"/>
        <v>1599.9920000000002</v>
      </c>
      <c r="K4203" s="9">
        <f t="shared" si="131"/>
        <v>0.58202729087397276</v>
      </c>
    </row>
    <row r="4204" spans="1:11" x14ac:dyDescent="0.3">
      <c r="A4204">
        <v>1443</v>
      </c>
      <c r="B4204">
        <v>3</v>
      </c>
      <c r="C4204">
        <v>101</v>
      </c>
      <c r="D4204" t="str">
        <f>VLOOKUP($C4204,products!$A$1:$F$322,MATCH(order_items!$D$1,products!$A$1:$F$1,0),FALSE)</f>
        <v>Electra Townie 7D (20-inch) - Boys' - 2017</v>
      </c>
      <c r="E4204">
        <f>VLOOKUP($C4204,products!$A$1:$F$322,MATCH(order_items!$E$1,products!$A$1:$F$1,0),FALSE)</f>
        <v>1</v>
      </c>
      <c r="F4204" t="str">
        <f>VLOOKUP($E4204,categories!$A$1:$B$8,MATCH(order_items!$F$1,categories!$A$1:$B$1,0),FALSE)</f>
        <v>Children Bicycles</v>
      </c>
      <c r="G4204">
        <v>2</v>
      </c>
      <c r="H4204">
        <v>339.99</v>
      </c>
      <c r="I4204" s="5">
        <v>0.1</v>
      </c>
      <c r="J4204">
        <f t="shared" si="130"/>
        <v>611.98200000000008</v>
      </c>
      <c r="K4204" s="9">
        <f t="shared" si="131"/>
        <v>-0.64518880876454576</v>
      </c>
    </row>
    <row r="4205" spans="1:11" x14ac:dyDescent="0.3">
      <c r="A4205">
        <v>1444</v>
      </c>
      <c r="B4205">
        <v>1</v>
      </c>
      <c r="C4205">
        <v>90</v>
      </c>
      <c r="D4205" t="str">
        <f>VLOOKUP($C4205,products!$A$1:$F$322,MATCH(order_items!$D$1,products!$A$1:$F$1,0),FALSE)</f>
        <v>Trek Precaliber 16 Girls - 2017</v>
      </c>
      <c r="E4205">
        <f>VLOOKUP($C4205,products!$A$1:$F$322,MATCH(order_items!$E$1,products!$A$1:$F$1,0),FALSE)</f>
        <v>1</v>
      </c>
      <c r="F4205" t="str">
        <f>VLOOKUP($E4205,categories!$A$1:$B$8,MATCH(order_items!$F$1,categories!$A$1:$B$1,0),FALSE)</f>
        <v>Children Bicycles</v>
      </c>
      <c r="G4205">
        <v>1</v>
      </c>
      <c r="H4205">
        <v>209.99</v>
      </c>
      <c r="I4205" s="5">
        <v>0.1</v>
      </c>
      <c r="J4205">
        <f t="shared" si="130"/>
        <v>188.99100000000001</v>
      </c>
      <c r="K4205" s="9">
        <f t="shared" si="131"/>
        <v>-0.74129609367599603</v>
      </c>
    </row>
    <row r="4206" spans="1:11" x14ac:dyDescent="0.3">
      <c r="A4206">
        <v>1444</v>
      </c>
      <c r="B4206">
        <v>2</v>
      </c>
      <c r="C4206">
        <v>128</v>
      </c>
      <c r="D4206" t="str">
        <f>VLOOKUP($C4206,products!$A$1:$F$322,MATCH(order_items!$D$1,products!$A$1:$F$1,0),FALSE)</f>
        <v>Surly ECR 27.5 - 2018</v>
      </c>
      <c r="E4206">
        <f>VLOOKUP($C4206,products!$A$1:$F$322,MATCH(order_items!$E$1,products!$A$1:$F$1,0),FALSE)</f>
        <v>6</v>
      </c>
      <c r="F4206" t="str">
        <f>VLOOKUP($E4206,categories!$A$1:$B$8,MATCH(order_items!$F$1,categories!$A$1:$B$1,0),FALSE)</f>
        <v>Mountain Bikes</v>
      </c>
      <c r="G4206">
        <v>2</v>
      </c>
      <c r="H4206">
        <v>1899</v>
      </c>
      <c r="I4206" s="5">
        <v>0.2</v>
      </c>
      <c r="J4206">
        <f t="shared" si="130"/>
        <v>3038.4</v>
      </c>
      <c r="K4206" s="9">
        <f t="shared" si="131"/>
        <v>0.50736671623391616</v>
      </c>
    </row>
    <row r="4207" spans="1:11" x14ac:dyDescent="0.3">
      <c r="A4207">
        <v>1445</v>
      </c>
      <c r="B4207">
        <v>1</v>
      </c>
      <c r="C4207">
        <v>219</v>
      </c>
      <c r="D4207" t="str">
        <f>VLOOKUP($C4207,products!$A$1:$F$322,MATCH(order_items!$D$1,products!$A$1:$F$1,0),FALSE)</f>
        <v>Electra Moto 3i - 2018</v>
      </c>
      <c r="E4207">
        <f>VLOOKUP($C4207,products!$A$1:$F$322,MATCH(order_items!$E$1,products!$A$1:$F$1,0),FALSE)</f>
        <v>3</v>
      </c>
      <c r="F4207" t="str">
        <f>VLOOKUP($E4207,categories!$A$1:$B$8,MATCH(order_items!$F$1,categories!$A$1:$B$1,0),FALSE)</f>
        <v>Cruisers Bicycles</v>
      </c>
      <c r="G4207">
        <v>2</v>
      </c>
      <c r="H4207">
        <v>639.99</v>
      </c>
      <c r="I4207" s="5">
        <v>0.1</v>
      </c>
      <c r="J4207">
        <f t="shared" si="130"/>
        <v>1151.982</v>
      </c>
      <c r="K4207" s="9">
        <f t="shared" si="131"/>
        <v>-0.42340276666119908</v>
      </c>
    </row>
    <row r="4208" spans="1:11" x14ac:dyDescent="0.3">
      <c r="A4208">
        <v>1445</v>
      </c>
      <c r="B4208">
        <v>2</v>
      </c>
      <c r="C4208">
        <v>52</v>
      </c>
      <c r="D4208" t="str">
        <f>VLOOKUP($C4208,products!$A$1:$F$322,MATCH(order_items!$D$1,products!$A$1:$F$1,0),FALSE)</f>
        <v>Surly Steamroller - 2017</v>
      </c>
      <c r="E4208">
        <f>VLOOKUP($C4208,products!$A$1:$F$322,MATCH(order_items!$E$1,products!$A$1:$F$1,0),FALSE)</f>
        <v>7</v>
      </c>
      <c r="F4208" t="str">
        <f>VLOOKUP($E4208,categories!$A$1:$B$8,MATCH(order_items!$F$1,categories!$A$1:$B$1,0),FALSE)</f>
        <v>Road Bikes</v>
      </c>
      <c r="G4208">
        <v>1</v>
      </c>
      <c r="H4208">
        <v>875.99</v>
      </c>
      <c r="I4208" s="5">
        <v>7.0000000000000007E-2</v>
      </c>
      <c r="J4208">
        <f t="shared" si="130"/>
        <v>814.67070000000001</v>
      </c>
      <c r="K4208" s="9">
        <f t="shared" si="131"/>
        <v>-0.24893108020656629</v>
      </c>
    </row>
    <row r="4209" spans="1:11" x14ac:dyDescent="0.3">
      <c r="A4209">
        <v>1445</v>
      </c>
      <c r="B4209">
        <v>3</v>
      </c>
      <c r="C4209">
        <v>123</v>
      </c>
      <c r="D4209" t="str">
        <f>VLOOKUP($C4209,products!$A$1:$F$322,MATCH(order_items!$D$1,products!$A$1:$F$1,0),FALSE)</f>
        <v>Trek Farley Carbon Frameset - 2018</v>
      </c>
      <c r="E4209">
        <f>VLOOKUP($C4209,products!$A$1:$F$322,MATCH(order_items!$E$1,products!$A$1:$F$1,0),FALSE)</f>
        <v>6</v>
      </c>
      <c r="F4209" t="str">
        <f>VLOOKUP($E4209,categories!$A$1:$B$8,MATCH(order_items!$F$1,categories!$A$1:$B$1,0),FALSE)</f>
        <v>Mountain Bikes</v>
      </c>
      <c r="G4209">
        <v>2</v>
      </c>
      <c r="H4209">
        <v>999.99</v>
      </c>
      <c r="I4209" s="5">
        <v>0.1</v>
      </c>
      <c r="J4209">
        <f t="shared" si="130"/>
        <v>1799.982</v>
      </c>
      <c r="K4209" s="9">
        <f t="shared" si="131"/>
        <v>-0.15725951613718298</v>
      </c>
    </row>
    <row r="4210" spans="1:11" x14ac:dyDescent="0.3">
      <c r="A4210">
        <v>1446</v>
      </c>
      <c r="B4210">
        <v>1</v>
      </c>
      <c r="C4210">
        <v>227</v>
      </c>
      <c r="D4210" t="str">
        <f>VLOOKUP($C4210,products!$A$1:$F$322,MATCH(order_items!$D$1,products!$A$1:$F$1,0),FALSE)</f>
        <v>Electra Cruiser 7D (24-Inch) Ladies' - 2016/2018</v>
      </c>
      <c r="E4210">
        <f>VLOOKUP($C4210,products!$A$1:$F$322,MATCH(order_items!$E$1,products!$A$1:$F$1,0),FALSE)</f>
        <v>3</v>
      </c>
      <c r="F4210" t="str">
        <f>VLOOKUP($E4210,categories!$A$1:$B$8,MATCH(order_items!$F$1,categories!$A$1:$B$1,0),FALSE)</f>
        <v>Cruisers Bicycles</v>
      </c>
      <c r="G4210">
        <v>1</v>
      </c>
      <c r="H4210">
        <v>319.99</v>
      </c>
      <c r="I4210" s="5">
        <v>0.05</v>
      </c>
      <c r="J4210">
        <f t="shared" si="130"/>
        <v>303.9905</v>
      </c>
      <c r="K4210" s="9">
        <f t="shared" si="131"/>
        <v>-0.65997454490476892</v>
      </c>
    </row>
    <row r="4211" spans="1:11" x14ac:dyDescent="0.3">
      <c r="A4211">
        <v>1446</v>
      </c>
      <c r="B4211">
        <v>2</v>
      </c>
      <c r="C4211">
        <v>233</v>
      </c>
      <c r="D4211" t="str">
        <f>VLOOKUP($C4211,products!$A$1:$F$322,MATCH(order_items!$D$1,products!$A$1:$F$1,0),FALSE)</f>
        <v>Electra Cruiser Lux Fat Tire 7D - 2018</v>
      </c>
      <c r="E4211">
        <f>VLOOKUP($C4211,products!$A$1:$F$322,MATCH(order_items!$E$1,products!$A$1:$F$1,0),FALSE)</f>
        <v>3</v>
      </c>
      <c r="F4211" t="str">
        <f>VLOOKUP($E4211,categories!$A$1:$B$8,MATCH(order_items!$F$1,categories!$A$1:$B$1,0),FALSE)</f>
        <v>Cruisers Bicycles</v>
      </c>
      <c r="G4211">
        <v>2</v>
      </c>
      <c r="H4211">
        <v>639.99</v>
      </c>
      <c r="I4211" s="5">
        <v>0.05</v>
      </c>
      <c r="J4211">
        <f t="shared" si="130"/>
        <v>1215.981</v>
      </c>
      <c r="K4211" s="9">
        <f t="shared" si="131"/>
        <v>-0.42340276666119908</v>
      </c>
    </row>
    <row r="4212" spans="1:11" x14ac:dyDescent="0.3">
      <c r="A4212">
        <v>1446</v>
      </c>
      <c r="B4212">
        <v>3</v>
      </c>
      <c r="C4212">
        <v>234</v>
      </c>
      <c r="D4212" t="str">
        <f>VLOOKUP($C4212,products!$A$1:$F$322,MATCH(order_items!$D$1,products!$A$1:$F$1,0),FALSE)</f>
        <v>Electra Daydreamer 3i Ladies' - 2018</v>
      </c>
      <c r="E4212">
        <f>VLOOKUP($C4212,products!$A$1:$F$322,MATCH(order_items!$E$1,products!$A$1:$F$1,0),FALSE)</f>
        <v>3</v>
      </c>
      <c r="F4212" t="str">
        <f>VLOOKUP($E4212,categories!$A$1:$B$8,MATCH(order_items!$F$1,categories!$A$1:$B$1,0),FALSE)</f>
        <v>Cruisers Bicycles</v>
      </c>
      <c r="G4212">
        <v>2</v>
      </c>
      <c r="H4212">
        <v>899.99</v>
      </c>
      <c r="I4212" s="5">
        <v>0.05</v>
      </c>
      <c r="J4212">
        <f t="shared" si="130"/>
        <v>1709.981</v>
      </c>
      <c r="K4212" s="9">
        <f t="shared" si="131"/>
        <v>-0.23118819683829855</v>
      </c>
    </row>
    <row r="4213" spans="1:11" x14ac:dyDescent="0.3">
      <c r="A4213">
        <v>1447</v>
      </c>
      <c r="B4213">
        <v>1</v>
      </c>
      <c r="C4213">
        <v>148</v>
      </c>
      <c r="D4213" t="str">
        <f>VLOOKUP($C4213,products!$A$1:$F$322,MATCH(order_items!$D$1,products!$A$1:$F$1,0),FALSE)</f>
        <v>Trek Domane SL 8 Disc - 2018</v>
      </c>
      <c r="E4213">
        <f>VLOOKUP($C4213,products!$A$1:$F$322,MATCH(order_items!$E$1,products!$A$1:$F$1,0),FALSE)</f>
        <v>7</v>
      </c>
      <c r="F4213" t="str">
        <f>VLOOKUP($E4213,categories!$A$1:$B$8,MATCH(order_items!$F$1,categories!$A$1:$B$1,0),FALSE)</f>
        <v>Road Bikes</v>
      </c>
      <c r="G4213">
        <v>1</v>
      </c>
      <c r="H4213">
        <v>5499.99</v>
      </c>
      <c r="I4213" s="5">
        <v>0.2</v>
      </c>
      <c r="J4213">
        <f t="shared" si="130"/>
        <v>4399.9920000000002</v>
      </c>
      <c r="K4213" s="9">
        <f t="shared" si="131"/>
        <v>3.1695311154130179</v>
      </c>
    </row>
    <row r="4214" spans="1:11" x14ac:dyDescent="0.3">
      <c r="A4214">
        <v>1448</v>
      </c>
      <c r="B4214">
        <v>1</v>
      </c>
      <c r="C4214">
        <v>239</v>
      </c>
      <c r="D4214" t="str">
        <f>VLOOKUP($C4214,products!$A$1:$F$322,MATCH(order_items!$D$1,products!$A$1:$F$1,0),FALSE)</f>
        <v>Electra Townie Balloon 8D EQ Ladies' - 2016/2017/2018</v>
      </c>
      <c r="E4214">
        <f>VLOOKUP($C4214,products!$A$1:$F$322,MATCH(order_items!$E$1,products!$A$1:$F$1,0),FALSE)</f>
        <v>3</v>
      </c>
      <c r="F4214" t="str">
        <f>VLOOKUP($E4214,categories!$A$1:$B$8,MATCH(order_items!$F$1,categories!$A$1:$B$1,0),FALSE)</f>
        <v>Cruisers Bicycles</v>
      </c>
      <c r="G4214">
        <v>1</v>
      </c>
      <c r="H4214">
        <v>749.99</v>
      </c>
      <c r="I4214" s="5">
        <v>0.1</v>
      </c>
      <c r="J4214">
        <f t="shared" si="130"/>
        <v>674.99099999999999</v>
      </c>
      <c r="K4214" s="9">
        <f t="shared" si="131"/>
        <v>-0.34208121788997192</v>
      </c>
    </row>
    <row r="4215" spans="1:11" x14ac:dyDescent="0.3">
      <c r="A4215">
        <v>1449</v>
      </c>
      <c r="B4215">
        <v>1</v>
      </c>
      <c r="C4215">
        <v>159</v>
      </c>
      <c r="D4215" t="str">
        <f>VLOOKUP($C4215,products!$A$1:$F$322,MATCH(order_items!$D$1,products!$A$1:$F$1,0),FALSE)</f>
        <v>Trek Emonda ALR 6 - 2018</v>
      </c>
      <c r="E4215">
        <f>VLOOKUP($C4215,products!$A$1:$F$322,MATCH(order_items!$E$1,products!$A$1:$F$1,0),FALSE)</f>
        <v>7</v>
      </c>
      <c r="F4215" t="str">
        <f>VLOOKUP($E4215,categories!$A$1:$B$8,MATCH(order_items!$F$1,categories!$A$1:$B$1,0),FALSE)</f>
        <v>Road Bikes</v>
      </c>
      <c r="G4215">
        <v>1</v>
      </c>
      <c r="H4215">
        <v>2299.9899999999998</v>
      </c>
      <c r="I4215" s="5">
        <v>7.0000000000000007E-2</v>
      </c>
      <c r="J4215">
        <f t="shared" si="130"/>
        <v>2138.9906999999998</v>
      </c>
      <c r="K4215" s="9">
        <f t="shared" si="131"/>
        <v>0.80381333297731938</v>
      </c>
    </row>
    <row r="4216" spans="1:11" x14ac:dyDescent="0.3">
      <c r="A4216">
        <v>1449</v>
      </c>
      <c r="B4216">
        <v>2</v>
      </c>
      <c r="C4216">
        <v>55</v>
      </c>
      <c r="D4216" t="str">
        <f>VLOOKUP($C4216,products!$A$1:$F$322,MATCH(order_items!$D$1,products!$A$1:$F$1,0),FALSE)</f>
        <v>Trek Domane S 6 - 2017</v>
      </c>
      <c r="E4216">
        <f>VLOOKUP($C4216,products!$A$1:$F$322,MATCH(order_items!$E$1,products!$A$1:$F$1,0),FALSE)</f>
        <v>7</v>
      </c>
      <c r="F4216" t="str">
        <f>VLOOKUP($E4216,categories!$A$1:$B$8,MATCH(order_items!$F$1,categories!$A$1:$B$1,0),FALSE)</f>
        <v>Road Bikes</v>
      </c>
      <c r="G4216">
        <v>1</v>
      </c>
      <c r="H4216">
        <v>2699.99</v>
      </c>
      <c r="I4216" s="5">
        <v>0.2</v>
      </c>
      <c r="J4216">
        <f t="shared" si="130"/>
        <v>2159.9919999999997</v>
      </c>
      <c r="K4216" s="9">
        <f t="shared" si="131"/>
        <v>1.0995280557817817</v>
      </c>
    </row>
    <row r="4217" spans="1:11" x14ac:dyDescent="0.3">
      <c r="A4217">
        <v>1449</v>
      </c>
      <c r="B4217">
        <v>3</v>
      </c>
      <c r="C4217">
        <v>260</v>
      </c>
      <c r="D4217" t="str">
        <f>VLOOKUP($C4217,products!$A$1:$F$322,MATCH(order_items!$D$1,products!$A$1:$F$1,0),FALSE)</f>
        <v>Electra Townie Balloon 3i EQ Ladies' - 2018</v>
      </c>
      <c r="E4217">
        <f>VLOOKUP($C4217,products!$A$1:$F$322,MATCH(order_items!$E$1,products!$A$1:$F$1,0),FALSE)</f>
        <v>3</v>
      </c>
      <c r="F4217" t="str">
        <f>VLOOKUP($E4217,categories!$A$1:$B$8,MATCH(order_items!$F$1,categories!$A$1:$B$1,0),FALSE)</f>
        <v>Cruisers Bicycles</v>
      </c>
      <c r="G4217">
        <v>2</v>
      </c>
      <c r="H4217">
        <v>799.99</v>
      </c>
      <c r="I4217" s="5">
        <v>7.0000000000000007E-2</v>
      </c>
      <c r="J4217">
        <f t="shared" si="130"/>
        <v>1487.9813999999999</v>
      </c>
      <c r="K4217" s="9">
        <f t="shared" si="131"/>
        <v>-0.30511687753941413</v>
      </c>
    </row>
    <row r="4218" spans="1:11" x14ac:dyDescent="0.3">
      <c r="A4218">
        <v>1449</v>
      </c>
      <c r="B4218">
        <v>4</v>
      </c>
      <c r="C4218">
        <v>252</v>
      </c>
      <c r="D4218" t="str">
        <f>VLOOKUP($C4218,products!$A$1:$F$322,MATCH(order_items!$D$1,products!$A$1:$F$1,0),FALSE)</f>
        <v>Electra Townie Commute Go! Ladies' - 2018</v>
      </c>
      <c r="E4218">
        <f>VLOOKUP($C4218,products!$A$1:$F$322,MATCH(order_items!$E$1,products!$A$1:$F$1,0),FALSE)</f>
        <v>3</v>
      </c>
      <c r="F4218" t="str">
        <f>VLOOKUP($E4218,categories!$A$1:$B$8,MATCH(order_items!$F$1,categories!$A$1:$B$1,0),FALSE)</f>
        <v>Cruisers Bicycles</v>
      </c>
      <c r="G4218">
        <v>2</v>
      </c>
      <c r="H4218">
        <v>2999.99</v>
      </c>
      <c r="I4218" s="5">
        <v>0.05</v>
      </c>
      <c r="J4218">
        <f t="shared" si="130"/>
        <v>5699.9809999999998</v>
      </c>
      <c r="K4218" s="9">
        <f t="shared" si="131"/>
        <v>1.3213140978851283</v>
      </c>
    </row>
    <row r="4219" spans="1:11" x14ac:dyDescent="0.3">
      <c r="A4219">
        <v>1449</v>
      </c>
      <c r="B4219">
        <v>5</v>
      </c>
      <c r="C4219">
        <v>14</v>
      </c>
      <c r="D4219" t="str">
        <f>VLOOKUP($C4219,products!$A$1:$F$322,MATCH(order_items!$D$1,products!$A$1:$F$1,0),FALSE)</f>
        <v>Electra Girl's Hawaii 1 (16-inch) - 2015/2016</v>
      </c>
      <c r="E4219">
        <f>VLOOKUP($C4219,products!$A$1:$F$322,MATCH(order_items!$E$1,products!$A$1:$F$1,0),FALSE)</f>
        <v>3</v>
      </c>
      <c r="F4219" t="str">
        <f>VLOOKUP($E4219,categories!$A$1:$B$8,MATCH(order_items!$F$1,categories!$A$1:$B$1,0),FALSE)</f>
        <v>Cruisers Bicycles</v>
      </c>
      <c r="G4219">
        <v>2</v>
      </c>
      <c r="H4219">
        <v>269.99</v>
      </c>
      <c r="I4219" s="5">
        <v>0.1</v>
      </c>
      <c r="J4219">
        <f t="shared" si="130"/>
        <v>485.98200000000003</v>
      </c>
      <c r="K4219" s="9">
        <f t="shared" si="131"/>
        <v>-0.69693888525532666</v>
      </c>
    </row>
    <row r="4220" spans="1:11" x14ac:dyDescent="0.3">
      <c r="A4220">
        <v>1450</v>
      </c>
      <c r="B4220">
        <v>1</v>
      </c>
      <c r="C4220">
        <v>98</v>
      </c>
      <c r="D4220" t="str">
        <f>VLOOKUP($C4220,products!$A$1:$F$322,MATCH(order_items!$D$1,products!$A$1:$F$1,0),FALSE)</f>
        <v>Electra Straight 8 3i (20-inch) - Boy's - 2017</v>
      </c>
      <c r="E4220">
        <f>VLOOKUP($C4220,products!$A$1:$F$322,MATCH(order_items!$E$1,products!$A$1:$F$1,0),FALSE)</f>
        <v>1</v>
      </c>
      <c r="F4220" t="str">
        <f>VLOOKUP($E4220,categories!$A$1:$B$8,MATCH(order_items!$F$1,categories!$A$1:$B$1,0),FALSE)</f>
        <v>Children Bicycles</v>
      </c>
      <c r="G4220">
        <v>1</v>
      </c>
      <c r="H4220">
        <v>489.99</v>
      </c>
      <c r="I4220" s="5">
        <v>7.0000000000000007E-2</v>
      </c>
      <c r="J4220">
        <f t="shared" si="130"/>
        <v>455.69069999999999</v>
      </c>
      <c r="K4220" s="9">
        <f t="shared" si="131"/>
        <v>-0.53429578771287245</v>
      </c>
    </row>
    <row r="4221" spans="1:11" x14ac:dyDescent="0.3">
      <c r="A4221">
        <v>1450</v>
      </c>
      <c r="B4221">
        <v>2</v>
      </c>
      <c r="C4221">
        <v>173</v>
      </c>
      <c r="D4221" t="str">
        <f>VLOOKUP($C4221,products!$A$1:$F$322,MATCH(order_items!$D$1,products!$A$1:$F$1,0),FALSE)</f>
        <v>Trek Domane ALR Frameset - 2018</v>
      </c>
      <c r="E4221">
        <f>VLOOKUP($C4221,products!$A$1:$F$322,MATCH(order_items!$E$1,products!$A$1:$F$1,0),FALSE)</f>
        <v>7</v>
      </c>
      <c r="F4221" t="str">
        <f>VLOOKUP($E4221,categories!$A$1:$B$8,MATCH(order_items!$F$1,categories!$A$1:$B$1,0),FALSE)</f>
        <v>Road Bikes</v>
      </c>
      <c r="G4221">
        <v>2</v>
      </c>
      <c r="H4221">
        <v>3199.99</v>
      </c>
      <c r="I4221" s="5">
        <v>0.1</v>
      </c>
      <c r="J4221">
        <f t="shared" si="130"/>
        <v>5759.982</v>
      </c>
      <c r="K4221" s="9">
        <f t="shared" si="131"/>
        <v>1.4691714592873595</v>
      </c>
    </row>
    <row r="4222" spans="1:11" x14ac:dyDescent="0.3">
      <c r="A4222">
        <v>1450</v>
      </c>
      <c r="B4222">
        <v>3</v>
      </c>
      <c r="C4222">
        <v>299</v>
      </c>
      <c r="D4222" t="str">
        <f>VLOOKUP($C4222,products!$A$1:$F$322,MATCH(order_items!$D$1,products!$A$1:$F$1,0),FALSE)</f>
        <v>Electra Townie Original 21D - 2018</v>
      </c>
      <c r="E4222">
        <f>VLOOKUP($C4222,products!$A$1:$F$322,MATCH(order_items!$E$1,products!$A$1:$F$1,0),FALSE)</f>
        <v>2</v>
      </c>
      <c r="F4222" t="str">
        <f>VLOOKUP($E4222,categories!$A$1:$B$8,MATCH(order_items!$F$1,categories!$A$1:$B$1,0),FALSE)</f>
        <v>Comfort Bicycles</v>
      </c>
      <c r="G4222">
        <v>1</v>
      </c>
      <c r="H4222">
        <v>559.99</v>
      </c>
      <c r="I4222" s="5">
        <v>0.2</v>
      </c>
      <c r="J4222">
        <f t="shared" si="130"/>
        <v>447.99200000000002</v>
      </c>
      <c r="K4222" s="9">
        <f t="shared" si="131"/>
        <v>-0.4825457112220915</v>
      </c>
    </row>
    <row r="4223" spans="1:11" x14ac:dyDescent="0.3">
      <c r="A4223">
        <v>1450</v>
      </c>
      <c r="B4223">
        <v>4</v>
      </c>
      <c r="C4223">
        <v>209</v>
      </c>
      <c r="D4223" t="str">
        <f>VLOOKUP($C4223,products!$A$1:$F$322,MATCH(order_items!$D$1,products!$A$1:$F$1,0),FALSE)</f>
        <v>Trek Crockett 7 Disc - 2018</v>
      </c>
      <c r="E4223">
        <f>VLOOKUP($C4223,products!$A$1:$F$322,MATCH(order_items!$E$1,products!$A$1:$F$1,0),FALSE)</f>
        <v>4</v>
      </c>
      <c r="F4223" t="str">
        <f>VLOOKUP($E4223,categories!$A$1:$B$8,MATCH(order_items!$F$1,categories!$A$1:$B$1,0),FALSE)</f>
        <v>Cyclocross Bicycles</v>
      </c>
      <c r="G4223">
        <v>2</v>
      </c>
      <c r="H4223">
        <v>2999.99</v>
      </c>
      <c r="I4223" s="5">
        <v>0.1</v>
      </c>
      <c r="J4223">
        <f t="shared" si="130"/>
        <v>5399.982</v>
      </c>
      <c r="K4223" s="9">
        <f t="shared" si="131"/>
        <v>1.3213140978851283</v>
      </c>
    </row>
    <row r="4224" spans="1:11" x14ac:dyDescent="0.3">
      <c r="A4224">
        <v>1450</v>
      </c>
      <c r="B4224">
        <v>5</v>
      </c>
      <c r="C4224">
        <v>235</v>
      </c>
      <c r="D4224" t="str">
        <f>VLOOKUP($C4224,products!$A$1:$F$322,MATCH(order_items!$D$1,products!$A$1:$F$1,0),FALSE)</f>
        <v>Electra Koa 3i Ladies' - 2018</v>
      </c>
      <c r="E4224">
        <f>VLOOKUP($C4224,products!$A$1:$F$322,MATCH(order_items!$E$1,products!$A$1:$F$1,0),FALSE)</f>
        <v>3</v>
      </c>
      <c r="F4224" t="str">
        <f>VLOOKUP($E4224,categories!$A$1:$B$8,MATCH(order_items!$F$1,categories!$A$1:$B$1,0),FALSE)</f>
        <v>Cruisers Bicycles</v>
      </c>
      <c r="G4224">
        <v>2</v>
      </c>
      <c r="H4224">
        <v>899.99</v>
      </c>
      <c r="I4224" s="5">
        <v>0.05</v>
      </c>
      <c r="J4224">
        <f t="shared" si="130"/>
        <v>1709.981</v>
      </c>
      <c r="K4224" s="9">
        <f t="shared" si="131"/>
        <v>-0.23118819683829855</v>
      </c>
    </row>
    <row r="4225" spans="1:11" x14ac:dyDescent="0.3">
      <c r="A4225">
        <v>1451</v>
      </c>
      <c r="B4225">
        <v>1</v>
      </c>
      <c r="C4225">
        <v>117</v>
      </c>
      <c r="D4225" t="str">
        <f>VLOOKUP($C4225,products!$A$1:$F$322,MATCH(order_items!$D$1,products!$A$1:$F$1,0),FALSE)</f>
        <v>Trek Ticket S Frame - 2018</v>
      </c>
      <c r="E4225">
        <f>VLOOKUP($C4225,products!$A$1:$F$322,MATCH(order_items!$E$1,products!$A$1:$F$1,0),FALSE)</f>
        <v>6</v>
      </c>
      <c r="F4225" t="str">
        <f>VLOOKUP($E4225,categories!$A$1:$B$8,MATCH(order_items!$F$1,categories!$A$1:$B$1,0),FALSE)</f>
        <v>Mountain Bikes</v>
      </c>
      <c r="G4225">
        <v>1</v>
      </c>
      <c r="H4225">
        <v>1469.99</v>
      </c>
      <c r="I4225" s="5">
        <v>0.05</v>
      </c>
      <c r="J4225">
        <f t="shared" si="130"/>
        <v>1396.4904999999999</v>
      </c>
      <c r="K4225" s="9">
        <f t="shared" si="131"/>
        <v>0.19020528315806023</v>
      </c>
    </row>
    <row r="4226" spans="1:11" x14ac:dyDescent="0.3">
      <c r="A4226">
        <v>1452</v>
      </c>
      <c r="B4226">
        <v>1</v>
      </c>
      <c r="C4226">
        <v>99</v>
      </c>
      <c r="D4226" t="str">
        <f>VLOOKUP($C4226,products!$A$1:$F$322,MATCH(order_items!$D$1,products!$A$1:$F$1,0),FALSE)</f>
        <v>Electra Sugar Skulls 1 (20-inch) - Girl's - 2017</v>
      </c>
      <c r="E4226">
        <f>VLOOKUP($C4226,products!$A$1:$F$322,MATCH(order_items!$E$1,products!$A$1:$F$1,0),FALSE)</f>
        <v>1</v>
      </c>
      <c r="F4226" t="str">
        <f>VLOOKUP($E4226,categories!$A$1:$B$8,MATCH(order_items!$F$1,categories!$A$1:$B$1,0),FALSE)</f>
        <v>Children Bicycles</v>
      </c>
      <c r="G4226">
        <v>2</v>
      </c>
      <c r="H4226">
        <v>299.99</v>
      </c>
      <c r="I4226" s="5">
        <v>0.1</v>
      </c>
      <c r="J4226">
        <f t="shared" ref="J4226:J4289" si="132">G4226*H4226*(1-I4226)</f>
        <v>539.98200000000008</v>
      </c>
      <c r="K4226" s="9">
        <f t="shared" ref="K4226:K4289" si="133">($H4226-$M$7)/$M$9</f>
        <v>-0.67476028104499197</v>
      </c>
    </row>
    <row r="4227" spans="1:11" x14ac:dyDescent="0.3">
      <c r="A4227">
        <v>1452</v>
      </c>
      <c r="B4227">
        <v>2</v>
      </c>
      <c r="C4227">
        <v>234</v>
      </c>
      <c r="D4227" t="str">
        <f>VLOOKUP($C4227,products!$A$1:$F$322,MATCH(order_items!$D$1,products!$A$1:$F$1,0),FALSE)</f>
        <v>Electra Daydreamer 3i Ladies' - 2018</v>
      </c>
      <c r="E4227">
        <f>VLOOKUP($C4227,products!$A$1:$F$322,MATCH(order_items!$E$1,products!$A$1:$F$1,0),FALSE)</f>
        <v>3</v>
      </c>
      <c r="F4227" t="str">
        <f>VLOOKUP($E4227,categories!$A$1:$B$8,MATCH(order_items!$F$1,categories!$A$1:$B$1,0),FALSE)</f>
        <v>Cruisers Bicycles</v>
      </c>
      <c r="G4227">
        <v>1</v>
      </c>
      <c r="H4227">
        <v>899.99</v>
      </c>
      <c r="I4227" s="5">
        <v>0.2</v>
      </c>
      <c r="J4227">
        <f t="shared" si="132"/>
        <v>719.99200000000008</v>
      </c>
      <c r="K4227" s="9">
        <f t="shared" si="133"/>
        <v>-0.23118819683829855</v>
      </c>
    </row>
    <row r="4228" spans="1:11" x14ac:dyDescent="0.3">
      <c r="A4228">
        <v>1452</v>
      </c>
      <c r="B4228">
        <v>3</v>
      </c>
      <c r="C4228">
        <v>86</v>
      </c>
      <c r="D4228" t="str">
        <f>VLOOKUP($C4228,products!$A$1:$F$322,MATCH(order_items!$D$1,products!$A$1:$F$1,0),FALSE)</f>
        <v>Trek Girl's Kickster - 2017</v>
      </c>
      <c r="E4228">
        <f>VLOOKUP($C4228,products!$A$1:$F$322,MATCH(order_items!$E$1,products!$A$1:$F$1,0),FALSE)</f>
        <v>1</v>
      </c>
      <c r="F4228" t="str">
        <f>VLOOKUP($E4228,categories!$A$1:$B$8,MATCH(order_items!$F$1,categories!$A$1:$B$1,0),FALSE)</f>
        <v>Children Bicycles</v>
      </c>
      <c r="G4228">
        <v>2</v>
      </c>
      <c r="H4228">
        <v>149.99</v>
      </c>
      <c r="I4228" s="5">
        <v>0.05</v>
      </c>
      <c r="J4228">
        <f t="shared" si="132"/>
        <v>284.98099999999999</v>
      </c>
      <c r="K4228" s="9">
        <f t="shared" si="133"/>
        <v>-0.7856533020966654</v>
      </c>
    </row>
    <row r="4229" spans="1:11" x14ac:dyDescent="0.3">
      <c r="A4229">
        <v>1452</v>
      </c>
      <c r="B4229">
        <v>4</v>
      </c>
      <c r="C4229">
        <v>109</v>
      </c>
      <c r="D4229" t="str">
        <f>VLOOKUP($C4229,products!$A$1:$F$322,MATCH(order_items!$D$1,products!$A$1:$F$1,0),FALSE)</f>
        <v>Sun Bicycles Cruz 7 - Women's - 2017</v>
      </c>
      <c r="E4229">
        <f>VLOOKUP($C4229,products!$A$1:$F$322,MATCH(order_items!$E$1,products!$A$1:$F$1,0),FALSE)</f>
        <v>2</v>
      </c>
      <c r="F4229" t="str">
        <f>VLOOKUP($E4229,categories!$A$1:$B$8,MATCH(order_items!$F$1,categories!$A$1:$B$1,0),FALSE)</f>
        <v>Comfort Bicycles</v>
      </c>
      <c r="G4229">
        <v>2</v>
      </c>
      <c r="H4229">
        <v>416.99</v>
      </c>
      <c r="I4229" s="5">
        <v>7.0000000000000007E-2</v>
      </c>
      <c r="J4229">
        <f t="shared" si="132"/>
        <v>775.60140000000001</v>
      </c>
      <c r="K4229" s="9">
        <f t="shared" si="133"/>
        <v>-0.58826372462468679</v>
      </c>
    </row>
    <row r="4230" spans="1:11" x14ac:dyDescent="0.3">
      <c r="A4230">
        <v>1453</v>
      </c>
      <c r="B4230">
        <v>1</v>
      </c>
      <c r="C4230">
        <v>89</v>
      </c>
      <c r="D4230" t="str">
        <f>VLOOKUP($C4230,products!$A$1:$F$322,MATCH(order_items!$D$1,products!$A$1:$F$1,0),FALSE)</f>
        <v>Trek Precaliber 16 Boys - 2017</v>
      </c>
      <c r="E4230">
        <f>VLOOKUP($C4230,products!$A$1:$F$322,MATCH(order_items!$E$1,products!$A$1:$F$1,0),FALSE)</f>
        <v>1</v>
      </c>
      <c r="F4230" t="str">
        <f>VLOOKUP($E4230,categories!$A$1:$B$8,MATCH(order_items!$F$1,categories!$A$1:$B$1,0),FALSE)</f>
        <v>Children Bicycles</v>
      </c>
      <c r="G4230">
        <v>2</v>
      </c>
      <c r="H4230">
        <v>209.99</v>
      </c>
      <c r="I4230" s="5">
        <v>0.1</v>
      </c>
      <c r="J4230">
        <f t="shared" si="132"/>
        <v>377.98200000000003</v>
      </c>
      <c r="K4230" s="9">
        <f t="shared" si="133"/>
        <v>-0.74129609367599603</v>
      </c>
    </row>
    <row r="4231" spans="1:11" x14ac:dyDescent="0.3">
      <c r="A4231">
        <v>1454</v>
      </c>
      <c r="B4231">
        <v>1</v>
      </c>
      <c r="C4231">
        <v>283</v>
      </c>
      <c r="D4231" t="str">
        <f>VLOOKUP($C4231,products!$A$1:$F$322,MATCH(order_items!$D$1,products!$A$1:$F$1,0),FALSE)</f>
        <v>Electra Heartchya 1 (20-inch) - Girl's - 2018</v>
      </c>
      <c r="E4231">
        <f>VLOOKUP($C4231,products!$A$1:$F$322,MATCH(order_items!$E$1,products!$A$1:$F$1,0),FALSE)</f>
        <v>1</v>
      </c>
      <c r="F4231" t="str">
        <f>VLOOKUP($E4231,categories!$A$1:$B$8,MATCH(order_items!$F$1,categories!$A$1:$B$1,0),FALSE)</f>
        <v>Children Bicycles</v>
      </c>
      <c r="G4231">
        <v>1</v>
      </c>
      <c r="H4231">
        <v>319.99</v>
      </c>
      <c r="I4231" s="5">
        <v>7.0000000000000007E-2</v>
      </c>
      <c r="J4231">
        <f t="shared" si="132"/>
        <v>297.59069999999997</v>
      </c>
      <c r="K4231" s="9">
        <f t="shared" si="133"/>
        <v>-0.65997454490476892</v>
      </c>
    </row>
    <row r="4232" spans="1:11" x14ac:dyDescent="0.3">
      <c r="A4232">
        <v>1454</v>
      </c>
      <c r="B4232">
        <v>2</v>
      </c>
      <c r="C4232">
        <v>35</v>
      </c>
      <c r="D4232" t="str">
        <f>VLOOKUP($C4232,products!$A$1:$F$322,MATCH(order_items!$D$1,products!$A$1:$F$1,0),FALSE)</f>
        <v>Sun Bicycles Spider 3i - 2017</v>
      </c>
      <c r="E4232">
        <f>VLOOKUP($C4232,products!$A$1:$F$322,MATCH(order_items!$E$1,products!$A$1:$F$1,0),FALSE)</f>
        <v>6</v>
      </c>
      <c r="F4232" t="str">
        <f>VLOOKUP($E4232,categories!$A$1:$B$8,MATCH(order_items!$F$1,categories!$A$1:$B$1,0),FALSE)</f>
        <v>Mountain Bikes</v>
      </c>
      <c r="G4232">
        <v>2</v>
      </c>
      <c r="H4232">
        <v>832.99</v>
      </c>
      <c r="I4232" s="5">
        <v>0.1</v>
      </c>
      <c r="J4232">
        <f t="shared" si="132"/>
        <v>1499.3820000000001</v>
      </c>
      <c r="K4232" s="9">
        <f t="shared" si="133"/>
        <v>-0.280720412908046</v>
      </c>
    </row>
    <row r="4233" spans="1:11" x14ac:dyDescent="0.3">
      <c r="A4233">
        <v>1454</v>
      </c>
      <c r="B4233">
        <v>3</v>
      </c>
      <c r="C4233">
        <v>124</v>
      </c>
      <c r="D4233" t="str">
        <f>VLOOKUP($C4233,products!$A$1:$F$322,MATCH(order_items!$D$1,products!$A$1:$F$1,0),FALSE)</f>
        <v>Surly Krampus - 2018</v>
      </c>
      <c r="E4233">
        <f>VLOOKUP($C4233,products!$A$1:$F$322,MATCH(order_items!$E$1,products!$A$1:$F$1,0),FALSE)</f>
        <v>6</v>
      </c>
      <c r="F4233" t="str">
        <f>VLOOKUP($E4233,categories!$A$1:$B$8,MATCH(order_items!$F$1,categories!$A$1:$B$1,0),FALSE)</f>
        <v>Mountain Bikes</v>
      </c>
      <c r="G4233">
        <v>1</v>
      </c>
      <c r="H4233">
        <v>1499</v>
      </c>
      <c r="I4233" s="5">
        <v>0.2</v>
      </c>
      <c r="J4233">
        <f t="shared" si="132"/>
        <v>1199.2</v>
      </c>
      <c r="K4233" s="9">
        <f t="shared" si="133"/>
        <v>0.21165199342945387</v>
      </c>
    </row>
    <row r="4234" spans="1:11" x14ac:dyDescent="0.3">
      <c r="A4234">
        <v>1454</v>
      </c>
      <c r="B4234">
        <v>4</v>
      </c>
      <c r="C4234">
        <v>38</v>
      </c>
      <c r="D4234" t="str">
        <f>VLOOKUP($C4234,products!$A$1:$F$322,MATCH(order_items!$D$1,products!$A$1:$F$1,0),FALSE)</f>
        <v>Haro Flightline Two 26 Plus - 2017</v>
      </c>
      <c r="E4234">
        <f>VLOOKUP($C4234,products!$A$1:$F$322,MATCH(order_items!$E$1,products!$A$1:$F$1,0),FALSE)</f>
        <v>6</v>
      </c>
      <c r="F4234" t="str">
        <f>VLOOKUP($E4234,categories!$A$1:$B$8,MATCH(order_items!$F$1,categories!$A$1:$B$1,0),FALSE)</f>
        <v>Mountain Bikes</v>
      </c>
      <c r="G4234">
        <v>2</v>
      </c>
      <c r="H4234">
        <v>549.99</v>
      </c>
      <c r="I4234" s="5">
        <v>0.05</v>
      </c>
      <c r="J4234">
        <f t="shared" si="132"/>
        <v>1044.981</v>
      </c>
      <c r="K4234" s="9">
        <f t="shared" si="133"/>
        <v>-0.48993857929220308</v>
      </c>
    </row>
    <row r="4235" spans="1:11" x14ac:dyDescent="0.3">
      <c r="A4235">
        <v>1455</v>
      </c>
      <c r="B4235">
        <v>1</v>
      </c>
      <c r="C4235">
        <v>101</v>
      </c>
      <c r="D4235" t="str">
        <f>VLOOKUP($C4235,products!$A$1:$F$322,MATCH(order_items!$D$1,products!$A$1:$F$1,0),FALSE)</f>
        <v>Electra Townie 7D (20-inch) - Boys' - 2017</v>
      </c>
      <c r="E4235">
        <f>VLOOKUP($C4235,products!$A$1:$F$322,MATCH(order_items!$E$1,products!$A$1:$F$1,0),FALSE)</f>
        <v>1</v>
      </c>
      <c r="F4235" t="str">
        <f>VLOOKUP($E4235,categories!$A$1:$B$8,MATCH(order_items!$F$1,categories!$A$1:$B$1,0),FALSE)</f>
        <v>Children Bicycles</v>
      </c>
      <c r="G4235">
        <v>2</v>
      </c>
      <c r="H4235">
        <v>339.99</v>
      </c>
      <c r="I4235" s="5">
        <v>0.05</v>
      </c>
      <c r="J4235">
        <f t="shared" si="132"/>
        <v>645.98099999999999</v>
      </c>
      <c r="K4235" s="9">
        <f t="shared" si="133"/>
        <v>-0.64518880876454576</v>
      </c>
    </row>
    <row r="4236" spans="1:11" x14ac:dyDescent="0.3">
      <c r="A4236">
        <v>1455</v>
      </c>
      <c r="B4236">
        <v>2</v>
      </c>
      <c r="C4236">
        <v>254</v>
      </c>
      <c r="D4236" t="str">
        <f>VLOOKUP($C4236,products!$A$1:$F$322,MATCH(order_items!$D$1,products!$A$1:$F$1,0),FALSE)</f>
        <v>Electra Townie Balloon 3i EQ - 2017/2018</v>
      </c>
      <c r="E4236">
        <f>VLOOKUP($C4236,products!$A$1:$F$322,MATCH(order_items!$E$1,products!$A$1:$F$1,0),FALSE)</f>
        <v>3</v>
      </c>
      <c r="F4236" t="str">
        <f>VLOOKUP($E4236,categories!$A$1:$B$8,MATCH(order_items!$F$1,categories!$A$1:$B$1,0),FALSE)</f>
        <v>Cruisers Bicycles</v>
      </c>
      <c r="G4236">
        <v>1</v>
      </c>
      <c r="H4236">
        <v>749.99</v>
      </c>
      <c r="I4236" s="5">
        <v>0.2</v>
      </c>
      <c r="J4236">
        <f t="shared" si="132"/>
        <v>599.99200000000008</v>
      </c>
      <c r="K4236" s="9">
        <f t="shared" si="133"/>
        <v>-0.34208121788997192</v>
      </c>
    </row>
    <row r="4237" spans="1:11" x14ac:dyDescent="0.3">
      <c r="A4237">
        <v>1456</v>
      </c>
      <c r="B4237">
        <v>1</v>
      </c>
      <c r="C4237">
        <v>193</v>
      </c>
      <c r="D4237" t="str">
        <f>VLOOKUP($C4237,products!$A$1:$F$322,MATCH(order_items!$D$1,products!$A$1:$F$1,0),FALSE)</f>
        <v>Trek Lift+ - 2018</v>
      </c>
      <c r="E4237">
        <f>VLOOKUP($C4237,products!$A$1:$F$322,MATCH(order_items!$E$1,products!$A$1:$F$1,0),FALSE)</f>
        <v>5</v>
      </c>
      <c r="F4237" t="str">
        <f>VLOOKUP($E4237,categories!$A$1:$B$8,MATCH(order_items!$F$1,categories!$A$1:$B$1,0),FALSE)</f>
        <v>Electric Bikes</v>
      </c>
      <c r="G4237">
        <v>2</v>
      </c>
      <c r="H4237">
        <v>2799.99</v>
      </c>
      <c r="I4237" s="5">
        <v>0.05</v>
      </c>
      <c r="J4237">
        <f t="shared" si="132"/>
        <v>5319.9809999999998</v>
      </c>
      <c r="K4237" s="9">
        <f t="shared" si="133"/>
        <v>1.1734567364828972</v>
      </c>
    </row>
    <row r="4238" spans="1:11" x14ac:dyDescent="0.3">
      <c r="A4238">
        <v>1456</v>
      </c>
      <c r="B4238">
        <v>2</v>
      </c>
      <c r="C4238">
        <v>246</v>
      </c>
      <c r="D4238" t="str">
        <f>VLOOKUP($C4238,products!$A$1:$F$322,MATCH(order_items!$D$1,products!$A$1:$F$1,0),FALSE)</f>
        <v>Electra Townie Original 3i EQ Ladies' - 2018</v>
      </c>
      <c r="E4238">
        <f>VLOOKUP($C4238,products!$A$1:$F$322,MATCH(order_items!$E$1,products!$A$1:$F$1,0),FALSE)</f>
        <v>3</v>
      </c>
      <c r="F4238" t="str">
        <f>VLOOKUP($E4238,categories!$A$1:$B$8,MATCH(order_items!$F$1,categories!$A$1:$B$1,0),FALSE)</f>
        <v>Cruisers Bicycles</v>
      </c>
      <c r="G4238">
        <v>1</v>
      </c>
      <c r="H4238">
        <v>639.99</v>
      </c>
      <c r="I4238" s="5">
        <v>7.0000000000000007E-2</v>
      </c>
      <c r="J4238">
        <f t="shared" si="132"/>
        <v>595.19069999999999</v>
      </c>
      <c r="K4238" s="9">
        <f t="shared" si="133"/>
        <v>-0.42340276666119908</v>
      </c>
    </row>
    <row r="4239" spans="1:11" x14ac:dyDescent="0.3">
      <c r="A4239">
        <v>1456</v>
      </c>
      <c r="B4239">
        <v>3</v>
      </c>
      <c r="C4239">
        <v>268</v>
      </c>
      <c r="D4239" t="str">
        <f>VLOOKUP($C4239,products!$A$1:$F$322,MATCH(order_items!$D$1,products!$A$1:$F$1,0),FALSE)</f>
        <v>Trek Kickster - 2018</v>
      </c>
      <c r="E4239">
        <f>VLOOKUP($C4239,products!$A$1:$F$322,MATCH(order_items!$E$1,products!$A$1:$F$1,0),FALSE)</f>
        <v>1</v>
      </c>
      <c r="F4239" t="str">
        <f>VLOOKUP($E4239,categories!$A$1:$B$8,MATCH(order_items!$F$1,categories!$A$1:$B$1,0),FALSE)</f>
        <v>Children Bicycles</v>
      </c>
      <c r="G4239">
        <v>2</v>
      </c>
      <c r="H4239">
        <v>159.99</v>
      </c>
      <c r="I4239" s="5">
        <v>0.1</v>
      </c>
      <c r="J4239">
        <f t="shared" si="132"/>
        <v>287.98200000000003</v>
      </c>
      <c r="K4239" s="9">
        <f t="shared" si="133"/>
        <v>-0.77826043402655387</v>
      </c>
    </row>
    <row r="4240" spans="1:11" x14ac:dyDescent="0.3">
      <c r="A4240">
        <v>1456</v>
      </c>
      <c r="B4240">
        <v>4</v>
      </c>
      <c r="C4240">
        <v>272</v>
      </c>
      <c r="D4240" t="str">
        <f>VLOOKUP($C4240,products!$A$1:$F$322,MATCH(order_items!$D$1,products!$A$1:$F$1,0),FALSE)</f>
        <v>Trek Precaliber 20 6-speed Boy's - 2018</v>
      </c>
      <c r="E4240">
        <f>VLOOKUP($C4240,products!$A$1:$F$322,MATCH(order_items!$E$1,products!$A$1:$F$1,0),FALSE)</f>
        <v>1</v>
      </c>
      <c r="F4240" t="str">
        <f>VLOOKUP($E4240,categories!$A$1:$B$8,MATCH(order_items!$F$1,categories!$A$1:$B$1,0),FALSE)</f>
        <v>Children Bicycles</v>
      </c>
      <c r="G4240">
        <v>1</v>
      </c>
      <c r="H4240">
        <v>289.99</v>
      </c>
      <c r="I4240" s="5">
        <v>0.1</v>
      </c>
      <c r="J4240">
        <f t="shared" si="132"/>
        <v>260.99100000000004</v>
      </c>
      <c r="K4240" s="9">
        <f t="shared" si="133"/>
        <v>-0.68215314911510361</v>
      </c>
    </row>
    <row r="4241" spans="1:11" x14ac:dyDescent="0.3">
      <c r="A4241">
        <v>1456</v>
      </c>
      <c r="B4241">
        <v>5</v>
      </c>
      <c r="C4241">
        <v>126</v>
      </c>
      <c r="D4241" t="str">
        <f>VLOOKUP($C4241,products!$A$1:$F$322,MATCH(order_items!$D$1,products!$A$1:$F$1,0),FALSE)</f>
        <v>Surly Big Fat Dummy Frameset - 2018</v>
      </c>
      <c r="E4241">
        <f>VLOOKUP($C4241,products!$A$1:$F$322,MATCH(order_items!$E$1,products!$A$1:$F$1,0),FALSE)</f>
        <v>6</v>
      </c>
      <c r="F4241" t="str">
        <f>VLOOKUP($E4241,categories!$A$1:$B$8,MATCH(order_items!$F$1,categories!$A$1:$B$1,0),FALSE)</f>
        <v>Mountain Bikes</v>
      </c>
      <c r="G4241">
        <v>1</v>
      </c>
      <c r="H4241">
        <v>469.99</v>
      </c>
      <c r="I4241" s="5">
        <v>0.1</v>
      </c>
      <c r="J4241">
        <f t="shared" si="132"/>
        <v>422.99100000000004</v>
      </c>
      <c r="K4241" s="9">
        <f t="shared" si="133"/>
        <v>-0.5490815238530955</v>
      </c>
    </row>
    <row r="4242" spans="1:11" x14ac:dyDescent="0.3">
      <c r="A4242">
        <v>1457</v>
      </c>
      <c r="B4242">
        <v>1</v>
      </c>
      <c r="C4242">
        <v>113</v>
      </c>
      <c r="D4242" t="str">
        <f>VLOOKUP($C4242,products!$A$1:$F$322,MATCH(order_items!$D$1,products!$A$1:$F$1,0),FALSE)</f>
        <v>Trek Marlin 5 - 2018</v>
      </c>
      <c r="E4242">
        <f>VLOOKUP($C4242,products!$A$1:$F$322,MATCH(order_items!$E$1,products!$A$1:$F$1,0),FALSE)</f>
        <v>6</v>
      </c>
      <c r="F4242" t="str">
        <f>VLOOKUP($E4242,categories!$A$1:$B$8,MATCH(order_items!$F$1,categories!$A$1:$B$1,0),FALSE)</f>
        <v>Mountain Bikes</v>
      </c>
      <c r="G4242">
        <v>1</v>
      </c>
      <c r="H4242">
        <v>489.99</v>
      </c>
      <c r="I4242" s="5">
        <v>7.0000000000000007E-2</v>
      </c>
      <c r="J4242">
        <f t="shared" si="132"/>
        <v>455.69069999999999</v>
      </c>
      <c r="K4242" s="9">
        <f t="shared" si="133"/>
        <v>-0.53429578771287245</v>
      </c>
    </row>
    <row r="4243" spans="1:11" x14ac:dyDescent="0.3">
      <c r="A4243">
        <v>1457</v>
      </c>
      <c r="B4243">
        <v>2</v>
      </c>
      <c r="C4243">
        <v>111</v>
      </c>
      <c r="D4243" t="str">
        <f>VLOOKUP($C4243,products!$A$1:$F$322,MATCH(order_items!$D$1,products!$A$1:$F$1,0),FALSE)</f>
        <v>Sun Bicycles Drifter 7 - Women's - 2017</v>
      </c>
      <c r="E4243">
        <f>VLOOKUP($C4243,products!$A$1:$F$322,MATCH(order_items!$E$1,products!$A$1:$F$1,0),FALSE)</f>
        <v>2</v>
      </c>
      <c r="F4243" t="str">
        <f>VLOOKUP($E4243,categories!$A$1:$B$8,MATCH(order_items!$F$1,categories!$A$1:$B$1,0),FALSE)</f>
        <v>Comfort Bicycles</v>
      </c>
      <c r="G4243">
        <v>1</v>
      </c>
      <c r="H4243">
        <v>470.99</v>
      </c>
      <c r="I4243" s="5">
        <v>0.2</v>
      </c>
      <c r="J4243">
        <f t="shared" si="132"/>
        <v>376.79200000000003</v>
      </c>
      <c r="K4243" s="9">
        <f t="shared" si="133"/>
        <v>-0.54834223704608442</v>
      </c>
    </row>
    <row r="4244" spans="1:11" x14ac:dyDescent="0.3">
      <c r="A4244">
        <v>1457</v>
      </c>
      <c r="B4244">
        <v>3</v>
      </c>
      <c r="C4244">
        <v>268</v>
      </c>
      <c r="D4244" t="str">
        <f>VLOOKUP($C4244,products!$A$1:$F$322,MATCH(order_items!$D$1,products!$A$1:$F$1,0),FALSE)</f>
        <v>Trek Kickster - 2018</v>
      </c>
      <c r="E4244">
        <f>VLOOKUP($C4244,products!$A$1:$F$322,MATCH(order_items!$E$1,products!$A$1:$F$1,0),FALSE)</f>
        <v>1</v>
      </c>
      <c r="F4244" t="str">
        <f>VLOOKUP($E4244,categories!$A$1:$B$8,MATCH(order_items!$F$1,categories!$A$1:$B$1,0),FALSE)</f>
        <v>Children Bicycles</v>
      </c>
      <c r="G4244">
        <v>1</v>
      </c>
      <c r="H4244">
        <v>159.99</v>
      </c>
      <c r="I4244" s="5">
        <v>0.2</v>
      </c>
      <c r="J4244">
        <f t="shared" si="132"/>
        <v>127.99200000000002</v>
      </c>
      <c r="K4244" s="9">
        <f t="shared" si="133"/>
        <v>-0.77826043402655387</v>
      </c>
    </row>
    <row r="4245" spans="1:11" x14ac:dyDescent="0.3">
      <c r="A4245">
        <v>1457</v>
      </c>
      <c r="B4245">
        <v>4</v>
      </c>
      <c r="C4245">
        <v>152</v>
      </c>
      <c r="D4245" t="str">
        <f>VLOOKUP($C4245,products!$A$1:$F$322,MATCH(order_items!$D$1,products!$A$1:$F$1,0),FALSE)</f>
        <v>Trek Domane SL 5 Disc Women's - 2018</v>
      </c>
      <c r="E4245">
        <f>VLOOKUP($C4245,products!$A$1:$F$322,MATCH(order_items!$E$1,products!$A$1:$F$1,0),FALSE)</f>
        <v>7</v>
      </c>
      <c r="F4245" t="str">
        <f>VLOOKUP($E4245,categories!$A$1:$B$8,MATCH(order_items!$F$1,categories!$A$1:$B$1,0),FALSE)</f>
        <v>Road Bikes</v>
      </c>
      <c r="G4245">
        <v>2</v>
      </c>
      <c r="H4245">
        <v>2499.9899999999998</v>
      </c>
      <c r="I4245" s="5">
        <v>0.2</v>
      </c>
      <c r="J4245">
        <f t="shared" si="132"/>
        <v>3999.9839999999999</v>
      </c>
      <c r="K4245" s="9">
        <f t="shared" si="133"/>
        <v>0.95167069437955054</v>
      </c>
    </row>
    <row r="4246" spans="1:11" x14ac:dyDescent="0.3">
      <c r="A4246">
        <v>1458</v>
      </c>
      <c r="B4246">
        <v>1</v>
      </c>
      <c r="C4246">
        <v>295</v>
      </c>
      <c r="D4246" t="str">
        <f>VLOOKUP($C4246,products!$A$1:$F$322,MATCH(order_items!$D$1,products!$A$1:$F$1,0),FALSE)</f>
        <v>Electra Treasure 1 20" - 2018</v>
      </c>
      <c r="E4246">
        <f>VLOOKUP($C4246,products!$A$1:$F$322,MATCH(order_items!$E$1,products!$A$1:$F$1,0),FALSE)</f>
        <v>1</v>
      </c>
      <c r="F4246" t="str">
        <f>VLOOKUP($E4246,categories!$A$1:$B$8,MATCH(order_items!$F$1,categories!$A$1:$B$1,0),FALSE)</f>
        <v>Children Bicycles</v>
      </c>
      <c r="G4246">
        <v>2</v>
      </c>
      <c r="H4246">
        <v>319.99</v>
      </c>
      <c r="I4246" s="5">
        <v>0.05</v>
      </c>
      <c r="J4246">
        <f t="shared" si="132"/>
        <v>607.98099999999999</v>
      </c>
      <c r="K4246" s="9">
        <f t="shared" si="133"/>
        <v>-0.65997454490476892</v>
      </c>
    </row>
    <row r="4247" spans="1:11" x14ac:dyDescent="0.3">
      <c r="A4247">
        <v>1458</v>
      </c>
      <c r="B4247">
        <v>2</v>
      </c>
      <c r="C4247">
        <v>105</v>
      </c>
      <c r="D4247" t="str">
        <f>VLOOKUP($C4247,products!$A$1:$F$322,MATCH(order_items!$D$1,products!$A$1:$F$1,0),FALSE)</f>
        <v>Sun Bicycles Streamway 7 - 2017</v>
      </c>
      <c r="E4247">
        <f>VLOOKUP($C4247,products!$A$1:$F$322,MATCH(order_items!$E$1,products!$A$1:$F$1,0),FALSE)</f>
        <v>2</v>
      </c>
      <c r="F4247" t="str">
        <f>VLOOKUP($E4247,categories!$A$1:$B$8,MATCH(order_items!$F$1,categories!$A$1:$B$1,0),FALSE)</f>
        <v>Comfort Bicycles</v>
      </c>
      <c r="G4247">
        <v>1</v>
      </c>
      <c r="H4247">
        <v>533.99</v>
      </c>
      <c r="I4247" s="5">
        <v>0.05</v>
      </c>
      <c r="J4247">
        <f t="shared" si="132"/>
        <v>507.29050000000001</v>
      </c>
      <c r="K4247" s="9">
        <f t="shared" si="133"/>
        <v>-0.50176716820438161</v>
      </c>
    </row>
    <row r="4248" spans="1:11" x14ac:dyDescent="0.3">
      <c r="A4248">
        <v>1458</v>
      </c>
      <c r="B4248">
        <v>3</v>
      </c>
      <c r="C4248">
        <v>12</v>
      </c>
      <c r="D4248" t="str">
        <f>VLOOKUP($C4248,products!$A$1:$F$322,MATCH(order_items!$D$1,products!$A$1:$F$1,0),FALSE)</f>
        <v>Electra Townie Original 21D - 2016</v>
      </c>
      <c r="E4248">
        <f>VLOOKUP($C4248,products!$A$1:$F$322,MATCH(order_items!$E$1,products!$A$1:$F$1,0),FALSE)</f>
        <v>3</v>
      </c>
      <c r="F4248" t="str">
        <f>VLOOKUP($E4248,categories!$A$1:$B$8,MATCH(order_items!$F$1,categories!$A$1:$B$1,0),FALSE)</f>
        <v>Cruisers Bicycles</v>
      </c>
      <c r="G4248">
        <v>1</v>
      </c>
      <c r="H4248">
        <v>549.99</v>
      </c>
      <c r="I4248" s="5">
        <v>0.05</v>
      </c>
      <c r="J4248">
        <f t="shared" si="132"/>
        <v>522.4905</v>
      </c>
      <c r="K4248" s="9">
        <f t="shared" si="133"/>
        <v>-0.48993857929220308</v>
      </c>
    </row>
    <row r="4249" spans="1:11" x14ac:dyDescent="0.3">
      <c r="A4249">
        <v>1458</v>
      </c>
      <c r="B4249">
        <v>4</v>
      </c>
      <c r="C4249">
        <v>78</v>
      </c>
      <c r="D4249" t="str">
        <f>VLOOKUP($C4249,products!$A$1:$F$322,MATCH(order_items!$D$1,products!$A$1:$F$1,0),FALSE)</f>
        <v>Sun Bicycles Biscayne Tandem CB - 2017</v>
      </c>
      <c r="E4249">
        <f>VLOOKUP($C4249,products!$A$1:$F$322,MATCH(order_items!$E$1,products!$A$1:$F$1,0),FALSE)</f>
        <v>3</v>
      </c>
      <c r="F4249" t="str">
        <f>VLOOKUP($E4249,categories!$A$1:$B$8,MATCH(order_items!$F$1,categories!$A$1:$B$1,0),FALSE)</f>
        <v>Cruisers Bicycles</v>
      </c>
      <c r="G4249">
        <v>2</v>
      </c>
      <c r="H4249">
        <v>647.99</v>
      </c>
      <c r="I4249" s="5">
        <v>0.1</v>
      </c>
      <c r="J4249">
        <f t="shared" si="132"/>
        <v>1166.3820000000001</v>
      </c>
      <c r="K4249" s="9">
        <f t="shared" si="133"/>
        <v>-0.41748847220510982</v>
      </c>
    </row>
    <row r="4250" spans="1:11" x14ac:dyDescent="0.3">
      <c r="A4250">
        <v>1459</v>
      </c>
      <c r="B4250">
        <v>1</v>
      </c>
      <c r="C4250">
        <v>258</v>
      </c>
      <c r="D4250" t="str">
        <f>VLOOKUP($C4250,products!$A$1:$F$322,MATCH(order_items!$D$1,products!$A$1:$F$1,0),FALSE)</f>
        <v>Electra Amsterdam Royal 8i - 2017/2018</v>
      </c>
      <c r="E4250">
        <f>VLOOKUP($C4250,products!$A$1:$F$322,MATCH(order_items!$E$1,products!$A$1:$F$1,0),FALSE)</f>
        <v>3</v>
      </c>
      <c r="F4250" t="str">
        <f>VLOOKUP($E4250,categories!$A$1:$B$8,MATCH(order_items!$F$1,categories!$A$1:$B$1,0),FALSE)</f>
        <v>Cruisers Bicycles</v>
      </c>
      <c r="G4250">
        <v>1</v>
      </c>
      <c r="H4250">
        <v>1259.9000000000001</v>
      </c>
      <c r="I4250" s="5">
        <v>0.1</v>
      </c>
      <c r="J4250">
        <f t="shared" si="132"/>
        <v>1133.9100000000001</v>
      </c>
      <c r="K4250" s="9">
        <f t="shared" si="133"/>
        <v>3.4888517873086583E-2</v>
      </c>
    </row>
    <row r="4251" spans="1:11" x14ac:dyDescent="0.3">
      <c r="A4251">
        <v>1460</v>
      </c>
      <c r="B4251">
        <v>1</v>
      </c>
      <c r="C4251">
        <v>201</v>
      </c>
      <c r="D4251" t="str">
        <f>VLOOKUP($C4251,products!$A$1:$F$322,MATCH(order_items!$D$1,products!$A$1:$F$1,0),FALSE)</f>
        <v>Trek Powerfly 5 FS - 2018</v>
      </c>
      <c r="E4251">
        <f>VLOOKUP($C4251,products!$A$1:$F$322,MATCH(order_items!$E$1,products!$A$1:$F$1,0),FALSE)</f>
        <v>5</v>
      </c>
      <c r="F4251" t="str">
        <f>VLOOKUP($E4251,categories!$A$1:$B$8,MATCH(order_items!$F$1,categories!$A$1:$B$1,0),FALSE)</f>
        <v>Electric Bikes</v>
      </c>
      <c r="G4251">
        <v>1</v>
      </c>
      <c r="H4251">
        <v>4499.99</v>
      </c>
      <c r="I4251" s="5">
        <v>0.05</v>
      </c>
      <c r="J4251">
        <f t="shared" si="132"/>
        <v>4274.9904999999999</v>
      </c>
      <c r="K4251" s="9">
        <f t="shared" si="133"/>
        <v>2.4302443084018623</v>
      </c>
    </row>
    <row r="4252" spans="1:11" x14ac:dyDescent="0.3">
      <c r="A4252">
        <v>1460</v>
      </c>
      <c r="B4252">
        <v>2</v>
      </c>
      <c r="C4252">
        <v>76</v>
      </c>
      <c r="D4252" t="str">
        <f>VLOOKUP($C4252,products!$A$1:$F$322,MATCH(order_items!$D$1,products!$A$1:$F$1,0),FALSE)</f>
        <v>Electra Girl's Hawaii 1 16" - 2017</v>
      </c>
      <c r="E4252">
        <f>VLOOKUP($C4252,products!$A$1:$F$322,MATCH(order_items!$E$1,products!$A$1:$F$1,0),FALSE)</f>
        <v>3</v>
      </c>
      <c r="F4252" t="str">
        <f>VLOOKUP($E4252,categories!$A$1:$B$8,MATCH(order_items!$F$1,categories!$A$1:$B$1,0),FALSE)</f>
        <v>Cruisers Bicycles</v>
      </c>
      <c r="G4252">
        <v>1</v>
      </c>
      <c r="H4252">
        <v>299.99</v>
      </c>
      <c r="I4252" s="5">
        <v>7.0000000000000007E-2</v>
      </c>
      <c r="J4252">
        <f t="shared" si="132"/>
        <v>278.9907</v>
      </c>
      <c r="K4252" s="9">
        <f t="shared" si="133"/>
        <v>-0.67476028104499197</v>
      </c>
    </row>
    <row r="4253" spans="1:11" x14ac:dyDescent="0.3">
      <c r="A4253">
        <v>1460</v>
      </c>
      <c r="B4253">
        <v>3</v>
      </c>
      <c r="C4253">
        <v>167</v>
      </c>
      <c r="D4253" t="str">
        <f>VLOOKUP($C4253,products!$A$1:$F$322,MATCH(order_items!$D$1,products!$A$1:$F$1,0),FALSE)</f>
        <v>Surly ECR Frameset - 2018</v>
      </c>
      <c r="E4253">
        <f>VLOOKUP($C4253,products!$A$1:$F$322,MATCH(order_items!$E$1,products!$A$1:$F$1,0),FALSE)</f>
        <v>7</v>
      </c>
      <c r="F4253" t="str">
        <f>VLOOKUP($E4253,categories!$A$1:$B$8,MATCH(order_items!$F$1,categories!$A$1:$B$1,0),FALSE)</f>
        <v>Road Bikes</v>
      </c>
      <c r="G4253">
        <v>1</v>
      </c>
      <c r="H4253">
        <v>749.99</v>
      </c>
      <c r="I4253" s="5">
        <v>0.05</v>
      </c>
      <c r="J4253">
        <f t="shared" si="132"/>
        <v>712.4905</v>
      </c>
      <c r="K4253" s="9">
        <f t="shared" si="133"/>
        <v>-0.34208121788997192</v>
      </c>
    </row>
    <row r="4254" spans="1:11" x14ac:dyDescent="0.3">
      <c r="A4254">
        <v>1460</v>
      </c>
      <c r="B4254">
        <v>4</v>
      </c>
      <c r="C4254">
        <v>7</v>
      </c>
      <c r="D4254" t="str">
        <f>VLOOKUP($C4254,products!$A$1:$F$322,MATCH(order_items!$D$1,products!$A$1:$F$1,0),FALSE)</f>
        <v>Trek Slash 8 27.5 - 2016</v>
      </c>
      <c r="E4254">
        <f>VLOOKUP($C4254,products!$A$1:$F$322,MATCH(order_items!$E$1,products!$A$1:$F$1,0),FALSE)</f>
        <v>6</v>
      </c>
      <c r="F4254" t="str">
        <f>VLOOKUP($E4254,categories!$A$1:$B$8,MATCH(order_items!$F$1,categories!$A$1:$B$1,0),FALSE)</f>
        <v>Mountain Bikes</v>
      </c>
      <c r="G4254">
        <v>2</v>
      </c>
      <c r="H4254">
        <v>3999.99</v>
      </c>
      <c r="I4254" s="5">
        <v>7.0000000000000007E-2</v>
      </c>
      <c r="J4254">
        <f t="shared" si="132"/>
        <v>7439.9813999999988</v>
      </c>
      <c r="K4254" s="9">
        <f t="shared" si="133"/>
        <v>2.0606009048962846</v>
      </c>
    </row>
    <row r="4255" spans="1:11" x14ac:dyDescent="0.3">
      <c r="A4255">
        <v>1460</v>
      </c>
      <c r="B4255">
        <v>5</v>
      </c>
      <c r="C4255">
        <v>123</v>
      </c>
      <c r="D4255" t="str">
        <f>VLOOKUP($C4255,products!$A$1:$F$322,MATCH(order_items!$D$1,products!$A$1:$F$1,0),FALSE)</f>
        <v>Trek Farley Carbon Frameset - 2018</v>
      </c>
      <c r="E4255">
        <f>VLOOKUP($C4255,products!$A$1:$F$322,MATCH(order_items!$E$1,products!$A$1:$F$1,0),FALSE)</f>
        <v>6</v>
      </c>
      <c r="F4255" t="str">
        <f>VLOOKUP($E4255,categories!$A$1:$B$8,MATCH(order_items!$F$1,categories!$A$1:$B$1,0),FALSE)</f>
        <v>Mountain Bikes</v>
      </c>
      <c r="G4255">
        <v>2</v>
      </c>
      <c r="H4255">
        <v>999.99</v>
      </c>
      <c r="I4255" s="5">
        <v>7.0000000000000007E-2</v>
      </c>
      <c r="J4255">
        <f t="shared" si="132"/>
        <v>1859.9813999999999</v>
      </c>
      <c r="K4255" s="9">
        <f t="shared" si="133"/>
        <v>-0.15725951613718298</v>
      </c>
    </row>
    <row r="4256" spans="1:11" x14ac:dyDescent="0.3">
      <c r="A4256">
        <v>1461</v>
      </c>
      <c r="B4256">
        <v>1</v>
      </c>
      <c r="C4256">
        <v>48</v>
      </c>
      <c r="D4256" t="str">
        <f>VLOOKUP($C4256,products!$A$1:$F$322,MATCH(order_items!$D$1,products!$A$1:$F$1,0),FALSE)</f>
        <v>Trek Emonda S 4 - 2017</v>
      </c>
      <c r="E4256">
        <f>VLOOKUP($C4256,products!$A$1:$F$322,MATCH(order_items!$E$1,products!$A$1:$F$1,0),FALSE)</f>
        <v>7</v>
      </c>
      <c r="F4256" t="str">
        <f>VLOOKUP($E4256,categories!$A$1:$B$8,MATCH(order_items!$F$1,categories!$A$1:$B$1,0),FALSE)</f>
        <v>Road Bikes</v>
      </c>
      <c r="G4256">
        <v>1</v>
      </c>
      <c r="H4256">
        <v>1499.99</v>
      </c>
      <c r="I4256" s="5">
        <v>0.2</v>
      </c>
      <c r="J4256">
        <f t="shared" si="132"/>
        <v>1199.992</v>
      </c>
      <c r="K4256" s="9">
        <f t="shared" si="133"/>
        <v>0.21238388736839492</v>
      </c>
    </row>
    <row r="4257" spans="1:11" x14ac:dyDescent="0.3">
      <c r="A4257">
        <v>1461</v>
      </c>
      <c r="B4257">
        <v>2</v>
      </c>
      <c r="C4257">
        <v>242</v>
      </c>
      <c r="D4257" t="str">
        <f>VLOOKUP($C4257,products!$A$1:$F$322,MATCH(order_items!$D$1,products!$A$1:$F$1,0),FALSE)</f>
        <v>Electra Townie Commute 8D Ladies' - 2018</v>
      </c>
      <c r="E4257">
        <f>VLOOKUP($C4257,products!$A$1:$F$322,MATCH(order_items!$E$1,products!$A$1:$F$1,0),FALSE)</f>
        <v>3</v>
      </c>
      <c r="F4257" t="str">
        <f>VLOOKUP($E4257,categories!$A$1:$B$8,MATCH(order_items!$F$1,categories!$A$1:$B$1,0),FALSE)</f>
        <v>Cruisers Bicycles</v>
      </c>
      <c r="G4257">
        <v>2</v>
      </c>
      <c r="H4257">
        <v>699.99</v>
      </c>
      <c r="I4257" s="5">
        <v>0.2</v>
      </c>
      <c r="J4257">
        <f t="shared" si="132"/>
        <v>1119.9840000000002</v>
      </c>
      <c r="K4257" s="9">
        <f t="shared" si="133"/>
        <v>-0.37904555824052971</v>
      </c>
    </row>
    <row r="4258" spans="1:11" x14ac:dyDescent="0.3">
      <c r="A4258">
        <v>1462</v>
      </c>
      <c r="B4258">
        <v>1</v>
      </c>
      <c r="C4258">
        <v>263</v>
      </c>
      <c r="D4258" t="str">
        <f>VLOOKUP($C4258,products!$A$1:$F$322,MATCH(order_items!$D$1,products!$A$1:$F$1,0),FALSE)</f>
        <v>Strider Classic 12 Balance Bike - 2018</v>
      </c>
      <c r="E4258">
        <f>VLOOKUP($C4258,products!$A$1:$F$322,MATCH(order_items!$E$1,products!$A$1:$F$1,0),FALSE)</f>
        <v>1</v>
      </c>
      <c r="F4258" t="str">
        <f>VLOOKUP($E4258,categories!$A$1:$B$8,MATCH(order_items!$F$1,categories!$A$1:$B$1,0),FALSE)</f>
        <v>Children Bicycles</v>
      </c>
      <c r="G4258">
        <v>1</v>
      </c>
      <c r="H4258">
        <v>89.99</v>
      </c>
      <c r="I4258" s="5">
        <v>0.2</v>
      </c>
      <c r="J4258">
        <f t="shared" si="132"/>
        <v>71.992000000000004</v>
      </c>
      <c r="K4258" s="9">
        <f t="shared" si="133"/>
        <v>-0.83001051051733477</v>
      </c>
    </row>
    <row r="4259" spans="1:11" x14ac:dyDescent="0.3">
      <c r="A4259">
        <v>1462</v>
      </c>
      <c r="B4259">
        <v>2</v>
      </c>
      <c r="C4259">
        <v>25</v>
      </c>
      <c r="D4259" t="str">
        <f>VLOOKUP($C4259,products!$A$1:$F$322,MATCH(order_items!$D$1,products!$A$1:$F$1,0),FALSE)</f>
        <v>Electra Townie Original 7D - 2015/2016</v>
      </c>
      <c r="E4259">
        <f>VLOOKUP($C4259,products!$A$1:$F$322,MATCH(order_items!$E$1,products!$A$1:$F$1,0),FALSE)</f>
        <v>2</v>
      </c>
      <c r="F4259" t="str">
        <f>VLOOKUP($E4259,categories!$A$1:$B$8,MATCH(order_items!$F$1,categories!$A$1:$B$1,0),FALSE)</f>
        <v>Comfort Bicycles</v>
      </c>
      <c r="G4259">
        <v>1</v>
      </c>
      <c r="H4259">
        <v>499.99</v>
      </c>
      <c r="I4259" s="5">
        <v>7.0000000000000007E-2</v>
      </c>
      <c r="J4259">
        <f t="shared" si="132"/>
        <v>464.9907</v>
      </c>
      <c r="K4259" s="9">
        <f t="shared" si="133"/>
        <v>-0.52690291964276081</v>
      </c>
    </row>
    <row r="4260" spans="1:11" x14ac:dyDescent="0.3">
      <c r="A4260">
        <v>1462</v>
      </c>
      <c r="B4260">
        <v>3</v>
      </c>
      <c r="C4260">
        <v>223</v>
      </c>
      <c r="D4260" t="str">
        <f>VLOOKUP($C4260,products!$A$1:$F$322,MATCH(order_items!$D$1,products!$A$1:$F$1,0),FALSE)</f>
        <v>Electra Cruiser Lux 3i - 2018</v>
      </c>
      <c r="E4260">
        <f>VLOOKUP($C4260,products!$A$1:$F$322,MATCH(order_items!$E$1,products!$A$1:$F$1,0),FALSE)</f>
        <v>3</v>
      </c>
      <c r="F4260" t="str">
        <f>VLOOKUP($E4260,categories!$A$1:$B$8,MATCH(order_items!$F$1,categories!$A$1:$B$1,0),FALSE)</f>
        <v>Cruisers Bicycles</v>
      </c>
      <c r="G4260">
        <v>1</v>
      </c>
      <c r="H4260">
        <v>529.99</v>
      </c>
      <c r="I4260" s="5">
        <v>0.1</v>
      </c>
      <c r="J4260">
        <f t="shared" si="132"/>
        <v>476.99100000000004</v>
      </c>
      <c r="K4260" s="9">
        <f t="shared" si="133"/>
        <v>-0.50472431543242624</v>
      </c>
    </row>
    <row r="4261" spans="1:11" x14ac:dyDescent="0.3">
      <c r="A4261">
        <v>1462</v>
      </c>
      <c r="B4261">
        <v>4</v>
      </c>
      <c r="C4261">
        <v>294</v>
      </c>
      <c r="D4261" t="str">
        <f>VLOOKUP($C4261,products!$A$1:$F$322,MATCH(order_items!$D$1,products!$A$1:$F$1,0),FALSE)</f>
        <v>Electra Tiger Shark 3i (20-inch) - Boys' - 2018</v>
      </c>
      <c r="E4261">
        <f>VLOOKUP($C4261,products!$A$1:$F$322,MATCH(order_items!$E$1,products!$A$1:$F$1,0),FALSE)</f>
        <v>1</v>
      </c>
      <c r="F4261" t="str">
        <f>VLOOKUP($E4261,categories!$A$1:$B$8,MATCH(order_items!$F$1,categories!$A$1:$B$1,0),FALSE)</f>
        <v>Children Bicycles</v>
      </c>
      <c r="G4261">
        <v>1</v>
      </c>
      <c r="H4261">
        <v>369.99</v>
      </c>
      <c r="I4261" s="5">
        <v>0.1</v>
      </c>
      <c r="J4261">
        <f t="shared" si="132"/>
        <v>332.99100000000004</v>
      </c>
      <c r="K4261" s="9">
        <f t="shared" si="133"/>
        <v>-0.62301020455421108</v>
      </c>
    </row>
    <row r="4262" spans="1:11" x14ac:dyDescent="0.3">
      <c r="A4262">
        <v>1462</v>
      </c>
      <c r="B4262">
        <v>5</v>
      </c>
      <c r="C4262">
        <v>251</v>
      </c>
      <c r="D4262" t="str">
        <f>VLOOKUP($C4262,products!$A$1:$F$322,MATCH(order_items!$D$1,products!$A$1:$F$1,0),FALSE)</f>
        <v>Electra Townie Commute Go! - 2018</v>
      </c>
      <c r="E4262">
        <f>VLOOKUP($C4262,products!$A$1:$F$322,MATCH(order_items!$E$1,products!$A$1:$F$1,0),FALSE)</f>
        <v>3</v>
      </c>
      <c r="F4262" t="str">
        <f>VLOOKUP($E4262,categories!$A$1:$B$8,MATCH(order_items!$F$1,categories!$A$1:$B$1,0),FALSE)</f>
        <v>Cruisers Bicycles</v>
      </c>
      <c r="G4262">
        <v>1</v>
      </c>
      <c r="H4262">
        <v>2999.99</v>
      </c>
      <c r="I4262" s="5">
        <v>0.05</v>
      </c>
      <c r="J4262">
        <f t="shared" si="132"/>
        <v>2849.9904999999999</v>
      </c>
      <c r="K4262" s="9">
        <f t="shared" si="133"/>
        <v>1.3213140978851283</v>
      </c>
    </row>
    <row r="4263" spans="1:11" x14ac:dyDescent="0.3">
      <c r="A4263">
        <v>1463</v>
      </c>
      <c r="B4263">
        <v>1</v>
      </c>
      <c r="C4263">
        <v>51</v>
      </c>
      <c r="D4263" t="str">
        <f>VLOOKUP($C4263,products!$A$1:$F$322,MATCH(order_items!$D$1,products!$A$1:$F$1,0),FALSE)</f>
        <v>Trek Silque SLR 8 Women's - 2017</v>
      </c>
      <c r="E4263">
        <f>VLOOKUP($C4263,products!$A$1:$F$322,MATCH(order_items!$E$1,products!$A$1:$F$1,0),FALSE)</f>
        <v>7</v>
      </c>
      <c r="F4263" t="str">
        <f>VLOOKUP($E4263,categories!$A$1:$B$8,MATCH(order_items!$F$1,categories!$A$1:$B$1,0),FALSE)</f>
        <v>Road Bikes</v>
      </c>
      <c r="G4263">
        <v>2</v>
      </c>
      <c r="H4263">
        <v>6499.99</v>
      </c>
      <c r="I4263" s="5">
        <v>0.05</v>
      </c>
      <c r="J4263">
        <f t="shared" si="132"/>
        <v>12349.981</v>
      </c>
      <c r="K4263" s="9">
        <f t="shared" si="133"/>
        <v>3.9088179224241739</v>
      </c>
    </row>
    <row r="4264" spans="1:11" x14ac:dyDescent="0.3">
      <c r="A4264">
        <v>1463</v>
      </c>
      <c r="B4264">
        <v>2</v>
      </c>
      <c r="C4264">
        <v>168</v>
      </c>
      <c r="D4264" t="str">
        <f>VLOOKUP($C4264,products!$A$1:$F$322,MATCH(order_items!$D$1,products!$A$1:$F$1,0),FALSE)</f>
        <v>Surly Straggler - 2018</v>
      </c>
      <c r="E4264">
        <f>VLOOKUP($C4264,products!$A$1:$F$322,MATCH(order_items!$E$1,products!$A$1:$F$1,0),FALSE)</f>
        <v>7</v>
      </c>
      <c r="F4264" t="str">
        <f>VLOOKUP($E4264,categories!$A$1:$B$8,MATCH(order_items!$F$1,categories!$A$1:$B$1,0),FALSE)</f>
        <v>Road Bikes</v>
      </c>
      <c r="G4264">
        <v>1</v>
      </c>
      <c r="H4264">
        <v>1549</v>
      </c>
      <c r="I4264" s="5">
        <v>0.05</v>
      </c>
      <c r="J4264">
        <f t="shared" si="132"/>
        <v>1471.55</v>
      </c>
      <c r="K4264" s="9">
        <f t="shared" si="133"/>
        <v>0.24861633378001166</v>
      </c>
    </row>
    <row r="4265" spans="1:11" x14ac:dyDescent="0.3">
      <c r="A4265">
        <v>1464</v>
      </c>
      <c r="B4265">
        <v>1</v>
      </c>
      <c r="C4265">
        <v>109</v>
      </c>
      <c r="D4265" t="str">
        <f>VLOOKUP($C4265,products!$A$1:$F$322,MATCH(order_items!$D$1,products!$A$1:$F$1,0),FALSE)</f>
        <v>Sun Bicycles Cruz 7 - Women's - 2017</v>
      </c>
      <c r="E4265">
        <f>VLOOKUP($C4265,products!$A$1:$F$322,MATCH(order_items!$E$1,products!$A$1:$F$1,0),FALSE)</f>
        <v>2</v>
      </c>
      <c r="F4265" t="str">
        <f>VLOOKUP($E4265,categories!$A$1:$B$8,MATCH(order_items!$F$1,categories!$A$1:$B$1,0),FALSE)</f>
        <v>Comfort Bicycles</v>
      </c>
      <c r="G4265">
        <v>2</v>
      </c>
      <c r="H4265">
        <v>416.99</v>
      </c>
      <c r="I4265" s="5">
        <v>0.05</v>
      </c>
      <c r="J4265">
        <f t="shared" si="132"/>
        <v>792.28099999999995</v>
      </c>
      <c r="K4265" s="9">
        <f t="shared" si="133"/>
        <v>-0.58826372462468679</v>
      </c>
    </row>
    <row r="4266" spans="1:11" x14ac:dyDescent="0.3">
      <c r="A4266">
        <v>1464</v>
      </c>
      <c r="B4266">
        <v>2</v>
      </c>
      <c r="C4266">
        <v>124</v>
      </c>
      <c r="D4266" t="str">
        <f>VLOOKUP($C4266,products!$A$1:$F$322,MATCH(order_items!$D$1,products!$A$1:$F$1,0),FALSE)</f>
        <v>Surly Krampus - 2018</v>
      </c>
      <c r="E4266">
        <f>VLOOKUP($C4266,products!$A$1:$F$322,MATCH(order_items!$E$1,products!$A$1:$F$1,0),FALSE)</f>
        <v>6</v>
      </c>
      <c r="F4266" t="str">
        <f>VLOOKUP($E4266,categories!$A$1:$B$8,MATCH(order_items!$F$1,categories!$A$1:$B$1,0),FALSE)</f>
        <v>Mountain Bikes</v>
      </c>
      <c r="G4266">
        <v>1</v>
      </c>
      <c r="H4266">
        <v>1499</v>
      </c>
      <c r="I4266" s="5">
        <v>0.2</v>
      </c>
      <c r="J4266">
        <f t="shared" si="132"/>
        <v>1199.2</v>
      </c>
      <c r="K4266" s="9">
        <f t="shared" si="133"/>
        <v>0.21165199342945387</v>
      </c>
    </row>
    <row r="4267" spans="1:11" x14ac:dyDescent="0.3">
      <c r="A4267">
        <v>1464</v>
      </c>
      <c r="B4267">
        <v>3</v>
      </c>
      <c r="C4267">
        <v>165</v>
      </c>
      <c r="D4267" t="str">
        <f>VLOOKUP($C4267,products!$A$1:$F$322,MATCH(order_items!$D$1,products!$A$1:$F$1,0),FALSE)</f>
        <v>Trek 1120 - 2018</v>
      </c>
      <c r="E4267">
        <f>VLOOKUP($C4267,products!$A$1:$F$322,MATCH(order_items!$E$1,products!$A$1:$F$1,0),FALSE)</f>
        <v>7</v>
      </c>
      <c r="F4267" t="str">
        <f>VLOOKUP($E4267,categories!$A$1:$B$8,MATCH(order_items!$F$1,categories!$A$1:$B$1,0),FALSE)</f>
        <v>Road Bikes</v>
      </c>
      <c r="G4267">
        <v>2</v>
      </c>
      <c r="H4267">
        <v>2499.9899999999998</v>
      </c>
      <c r="I4267" s="5">
        <v>0.2</v>
      </c>
      <c r="J4267">
        <f t="shared" si="132"/>
        <v>3999.9839999999999</v>
      </c>
      <c r="K4267" s="9">
        <f t="shared" si="133"/>
        <v>0.95167069437955054</v>
      </c>
    </row>
    <row r="4268" spans="1:11" x14ac:dyDescent="0.3">
      <c r="A4268">
        <v>1464</v>
      </c>
      <c r="B4268">
        <v>4</v>
      </c>
      <c r="C4268">
        <v>151</v>
      </c>
      <c r="D4268" t="str">
        <f>VLOOKUP($C4268,products!$A$1:$F$322,MATCH(order_items!$D$1,products!$A$1:$F$1,0),FALSE)</f>
        <v>Trek Domane ALR 4 Disc Women's - 2018</v>
      </c>
      <c r="E4268">
        <f>VLOOKUP($C4268,products!$A$1:$F$322,MATCH(order_items!$E$1,products!$A$1:$F$1,0),FALSE)</f>
        <v>7</v>
      </c>
      <c r="F4268" t="str">
        <f>VLOOKUP($E4268,categories!$A$1:$B$8,MATCH(order_items!$F$1,categories!$A$1:$B$1,0),FALSE)</f>
        <v>Road Bikes</v>
      </c>
      <c r="G4268">
        <v>2</v>
      </c>
      <c r="H4268">
        <v>1549.99</v>
      </c>
      <c r="I4268" s="5">
        <v>0.05</v>
      </c>
      <c r="J4268">
        <f t="shared" si="132"/>
        <v>2944.9809999999998</v>
      </c>
      <c r="K4268" s="9">
        <f t="shared" si="133"/>
        <v>0.24934822771895271</v>
      </c>
    </row>
    <row r="4269" spans="1:11" x14ac:dyDescent="0.3">
      <c r="A4269">
        <v>1465</v>
      </c>
      <c r="B4269">
        <v>1</v>
      </c>
      <c r="C4269">
        <v>70</v>
      </c>
      <c r="D4269" t="str">
        <f>VLOOKUP($C4269,products!$A$1:$F$322,MATCH(order_items!$D$1,products!$A$1:$F$1,0),FALSE)</f>
        <v>Electra Amsterdam Original 3i - 2015/2017</v>
      </c>
      <c r="E4269">
        <f>VLOOKUP($C4269,products!$A$1:$F$322,MATCH(order_items!$E$1,products!$A$1:$F$1,0),FALSE)</f>
        <v>3</v>
      </c>
      <c r="F4269" t="str">
        <f>VLOOKUP($E4269,categories!$A$1:$B$8,MATCH(order_items!$F$1,categories!$A$1:$B$1,0),FALSE)</f>
        <v>Cruisers Bicycles</v>
      </c>
      <c r="G4269">
        <v>2</v>
      </c>
      <c r="H4269">
        <v>659.99</v>
      </c>
      <c r="I4269" s="5">
        <v>0.05</v>
      </c>
      <c r="J4269">
        <f t="shared" si="132"/>
        <v>1253.981</v>
      </c>
      <c r="K4269" s="9">
        <f t="shared" si="133"/>
        <v>-0.40861703052097592</v>
      </c>
    </row>
    <row r="4270" spans="1:11" x14ac:dyDescent="0.3">
      <c r="A4270">
        <v>1466</v>
      </c>
      <c r="B4270">
        <v>1</v>
      </c>
      <c r="C4270">
        <v>310</v>
      </c>
      <c r="D4270" t="str">
        <f>VLOOKUP($C4270,products!$A$1:$F$322,MATCH(order_items!$D$1,products!$A$1:$F$1,0),FALSE)</f>
        <v>Electra Townie Commute 27D Ladies - 2018</v>
      </c>
      <c r="E4270">
        <f>VLOOKUP($C4270,products!$A$1:$F$322,MATCH(order_items!$E$1,products!$A$1:$F$1,0),FALSE)</f>
        <v>2</v>
      </c>
      <c r="F4270" t="str">
        <f>VLOOKUP($E4270,categories!$A$1:$B$8,MATCH(order_items!$F$1,categories!$A$1:$B$1,0),FALSE)</f>
        <v>Comfort Bicycles</v>
      </c>
      <c r="G4270">
        <v>2</v>
      </c>
      <c r="H4270">
        <v>899.99</v>
      </c>
      <c r="I4270" s="5">
        <v>7.0000000000000007E-2</v>
      </c>
      <c r="J4270">
        <f t="shared" si="132"/>
        <v>1673.9813999999999</v>
      </c>
      <c r="K4270" s="9">
        <f t="shared" si="133"/>
        <v>-0.23118819683829855</v>
      </c>
    </row>
    <row r="4271" spans="1:11" x14ac:dyDescent="0.3">
      <c r="A4271">
        <v>1466</v>
      </c>
      <c r="B4271">
        <v>2</v>
      </c>
      <c r="C4271">
        <v>251</v>
      </c>
      <c r="D4271" t="str">
        <f>VLOOKUP($C4271,products!$A$1:$F$322,MATCH(order_items!$D$1,products!$A$1:$F$1,0),FALSE)</f>
        <v>Electra Townie Commute Go! - 2018</v>
      </c>
      <c r="E4271">
        <f>VLOOKUP($C4271,products!$A$1:$F$322,MATCH(order_items!$E$1,products!$A$1:$F$1,0),FALSE)</f>
        <v>3</v>
      </c>
      <c r="F4271" t="str">
        <f>VLOOKUP($E4271,categories!$A$1:$B$8,MATCH(order_items!$F$1,categories!$A$1:$B$1,0),FALSE)</f>
        <v>Cruisers Bicycles</v>
      </c>
      <c r="G4271">
        <v>1</v>
      </c>
      <c r="H4271">
        <v>2999.99</v>
      </c>
      <c r="I4271" s="5">
        <v>0.05</v>
      </c>
      <c r="J4271">
        <f t="shared" si="132"/>
        <v>2849.9904999999999</v>
      </c>
      <c r="K4271" s="9">
        <f t="shared" si="133"/>
        <v>1.3213140978851283</v>
      </c>
    </row>
    <row r="4272" spans="1:11" x14ac:dyDescent="0.3">
      <c r="A4272">
        <v>1466</v>
      </c>
      <c r="B4272">
        <v>3</v>
      </c>
      <c r="C4272">
        <v>163</v>
      </c>
      <c r="D4272" t="str">
        <f>VLOOKUP($C4272,products!$A$1:$F$322,MATCH(order_items!$D$1,products!$A$1:$F$1,0),FALSE)</f>
        <v>Surly Pack Rat - 2018</v>
      </c>
      <c r="E4272">
        <f>VLOOKUP($C4272,products!$A$1:$F$322,MATCH(order_items!$E$1,products!$A$1:$F$1,0),FALSE)</f>
        <v>7</v>
      </c>
      <c r="F4272" t="str">
        <f>VLOOKUP($E4272,categories!$A$1:$B$8,MATCH(order_items!$F$1,categories!$A$1:$B$1,0),FALSE)</f>
        <v>Road Bikes</v>
      </c>
      <c r="G4272">
        <v>2</v>
      </c>
      <c r="H4272">
        <v>1349</v>
      </c>
      <c r="I4272" s="5">
        <v>0.2</v>
      </c>
      <c r="J4272">
        <f t="shared" si="132"/>
        <v>2158.4</v>
      </c>
      <c r="K4272" s="9">
        <f t="shared" si="133"/>
        <v>0.10075897237778049</v>
      </c>
    </row>
    <row r="4273" spans="1:11" x14ac:dyDescent="0.3">
      <c r="A4273">
        <v>1466</v>
      </c>
      <c r="B4273">
        <v>4</v>
      </c>
      <c r="C4273">
        <v>39</v>
      </c>
      <c r="D4273" t="str">
        <f>VLOOKUP($C4273,products!$A$1:$F$322,MATCH(order_items!$D$1,products!$A$1:$F$1,0),FALSE)</f>
        <v>Trek Stache 5 - 2017</v>
      </c>
      <c r="E4273">
        <f>VLOOKUP($C4273,products!$A$1:$F$322,MATCH(order_items!$E$1,products!$A$1:$F$1,0),FALSE)</f>
        <v>6</v>
      </c>
      <c r="F4273" t="str">
        <f>VLOOKUP($E4273,categories!$A$1:$B$8,MATCH(order_items!$F$1,categories!$A$1:$B$1,0),FALSE)</f>
        <v>Mountain Bikes</v>
      </c>
      <c r="G4273">
        <v>2</v>
      </c>
      <c r="H4273">
        <v>1499.99</v>
      </c>
      <c r="I4273" s="5">
        <v>0.05</v>
      </c>
      <c r="J4273">
        <f t="shared" si="132"/>
        <v>2849.9809999999998</v>
      </c>
      <c r="K4273" s="9">
        <f t="shared" si="133"/>
        <v>0.21238388736839492</v>
      </c>
    </row>
    <row r="4274" spans="1:11" x14ac:dyDescent="0.3">
      <c r="A4274">
        <v>1467</v>
      </c>
      <c r="B4274">
        <v>1</v>
      </c>
      <c r="C4274">
        <v>18</v>
      </c>
      <c r="D4274" t="str">
        <f>VLOOKUP($C4274,products!$A$1:$F$322,MATCH(order_items!$D$1,products!$A$1:$F$1,0),FALSE)</f>
        <v>Pure Cycles Western 3-Speed - Women's - 2015/2016</v>
      </c>
      <c r="E4274">
        <f>VLOOKUP($C4274,products!$A$1:$F$322,MATCH(order_items!$E$1,products!$A$1:$F$1,0),FALSE)</f>
        <v>3</v>
      </c>
      <c r="F4274" t="str">
        <f>VLOOKUP($E4274,categories!$A$1:$B$8,MATCH(order_items!$F$1,categories!$A$1:$B$1,0),FALSE)</f>
        <v>Cruisers Bicycles</v>
      </c>
      <c r="G4274">
        <v>1</v>
      </c>
      <c r="H4274">
        <v>449</v>
      </c>
      <c r="I4274" s="5">
        <v>7.0000000000000007E-2</v>
      </c>
      <c r="J4274">
        <f t="shared" si="132"/>
        <v>417.57</v>
      </c>
      <c r="K4274" s="9">
        <f t="shared" si="133"/>
        <v>-0.56459915393225968</v>
      </c>
    </row>
    <row r="4275" spans="1:11" x14ac:dyDescent="0.3">
      <c r="A4275">
        <v>1467</v>
      </c>
      <c r="B4275">
        <v>2</v>
      </c>
      <c r="C4275">
        <v>115</v>
      </c>
      <c r="D4275" t="str">
        <f>VLOOKUP($C4275,products!$A$1:$F$322,MATCH(order_items!$D$1,products!$A$1:$F$1,0),FALSE)</f>
        <v>Trek Fuel EX 8 29 - 2018</v>
      </c>
      <c r="E4275">
        <f>VLOOKUP($C4275,products!$A$1:$F$322,MATCH(order_items!$E$1,products!$A$1:$F$1,0),FALSE)</f>
        <v>6</v>
      </c>
      <c r="F4275" t="str">
        <f>VLOOKUP($E4275,categories!$A$1:$B$8,MATCH(order_items!$F$1,categories!$A$1:$B$1,0),FALSE)</f>
        <v>Mountain Bikes</v>
      </c>
      <c r="G4275">
        <v>1</v>
      </c>
      <c r="H4275">
        <v>3199.99</v>
      </c>
      <c r="I4275" s="5">
        <v>0.2</v>
      </c>
      <c r="J4275">
        <f t="shared" si="132"/>
        <v>2559.9920000000002</v>
      </c>
      <c r="K4275" s="9">
        <f t="shared" si="133"/>
        <v>1.4691714592873595</v>
      </c>
    </row>
    <row r="4276" spans="1:11" x14ac:dyDescent="0.3">
      <c r="A4276">
        <v>1467</v>
      </c>
      <c r="B4276">
        <v>3</v>
      </c>
      <c r="C4276">
        <v>278</v>
      </c>
      <c r="D4276" t="str">
        <f>VLOOKUP($C4276,products!$A$1:$F$322,MATCH(order_items!$D$1,products!$A$1:$F$1,0),FALSE)</f>
        <v>Trek Precaliber 24 21-speed Girl's - 2018</v>
      </c>
      <c r="E4276">
        <f>VLOOKUP($C4276,products!$A$1:$F$322,MATCH(order_items!$E$1,products!$A$1:$F$1,0),FALSE)</f>
        <v>1</v>
      </c>
      <c r="F4276" t="str">
        <f>VLOOKUP($E4276,categories!$A$1:$B$8,MATCH(order_items!$F$1,categories!$A$1:$B$1,0),FALSE)</f>
        <v>Children Bicycles</v>
      </c>
      <c r="G4276">
        <v>2</v>
      </c>
      <c r="H4276">
        <v>369.99</v>
      </c>
      <c r="I4276" s="5">
        <v>0.1</v>
      </c>
      <c r="J4276">
        <f t="shared" si="132"/>
        <v>665.98200000000008</v>
      </c>
      <c r="K4276" s="9">
        <f t="shared" si="133"/>
        <v>-0.62301020455421108</v>
      </c>
    </row>
    <row r="4277" spans="1:11" x14ac:dyDescent="0.3">
      <c r="A4277">
        <v>1468</v>
      </c>
      <c r="B4277">
        <v>1</v>
      </c>
      <c r="C4277">
        <v>269</v>
      </c>
      <c r="D4277" t="str">
        <f>VLOOKUP($C4277,products!$A$1:$F$322,MATCH(order_items!$D$1,products!$A$1:$F$1,0),FALSE)</f>
        <v>Trek Precaliber 12 Boy's - 2018</v>
      </c>
      <c r="E4277">
        <f>VLOOKUP($C4277,products!$A$1:$F$322,MATCH(order_items!$E$1,products!$A$1:$F$1,0),FALSE)</f>
        <v>1</v>
      </c>
      <c r="F4277" t="str">
        <f>VLOOKUP($E4277,categories!$A$1:$B$8,MATCH(order_items!$F$1,categories!$A$1:$B$1,0),FALSE)</f>
        <v>Children Bicycles</v>
      </c>
      <c r="G4277">
        <v>1</v>
      </c>
      <c r="H4277">
        <v>199.99</v>
      </c>
      <c r="I4277" s="5">
        <v>0.05</v>
      </c>
      <c r="J4277">
        <f t="shared" si="132"/>
        <v>189.9905</v>
      </c>
      <c r="K4277" s="9">
        <f t="shared" si="133"/>
        <v>-0.74868896174610755</v>
      </c>
    </row>
    <row r="4278" spans="1:11" x14ac:dyDescent="0.3">
      <c r="A4278">
        <v>1468</v>
      </c>
      <c r="B4278">
        <v>2</v>
      </c>
      <c r="C4278">
        <v>58</v>
      </c>
      <c r="D4278" t="str">
        <f>VLOOKUP($C4278,products!$A$1:$F$322,MATCH(order_items!$D$1,products!$A$1:$F$1,0),FALSE)</f>
        <v>Trek Madone 9.2 - 2017</v>
      </c>
      <c r="E4278">
        <f>VLOOKUP($C4278,products!$A$1:$F$322,MATCH(order_items!$E$1,products!$A$1:$F$1,0),FALSE)</f>
        <v>7</v>
      </c>
      <c r="F4278" t="str">
        <f>VLOOKUP($E4278,categories!$A$1:$B$8,MATCH(order_items!$F$1,categories!$A$1:$B$1,0),FALSE)</f>
        <v>Road Bikes</v>
      </c>
      <c r="G4278">
        <v>1</v>
      </c>
      <c r="H4278">
        <v>4999.99</v>
      </c>
      <c r="I4278" s="5">
        <v>7.0000000000000007E-2</v>
      </c>
      <c r="J4278">
        <f t="shared" si="132"/>
        <v>4649.9906999999994</v>
      </c>
      <c r="K4278" s="9">
        <f t="shared" si="133"/>
        <v>2.7998877119074401</v>
      </c>
    </row>
    <row r="4279" spans="1:11" x14ac:dyDescent="0.3">
      <c r="A4279">
        <v>1468</v>
      </c>
      <c r="B4279">
        <v>3</v>
      </c>
      <c r="C4279">
        <v>50</v>
      </c>
      <c r="D4279" t="str">
        <f>VLOOKUP($C4279,products!$A$1:$F$322,MATCH(order_items!$D$1,products!$A$1:$F$1,0),FALSE)</f>
        <v>Trek Silque SLR 7 Women's - 2017</v>
      </c>
      <c r="E4279">
        <f>VLOOKUP($C4279,products!$A$1:$F$322,MATCH(order_items!$E$1,products!$A$1:$F$1,0),FALSE)</f>
        <v>7</v>
      </c>
      <c r="F4279" t="str">
        <f>VLOOKUP($E4279,categories!$A$1:$B$8,MATCH(order_items!$F$1,categories!$A$1:$B$1,0),FALSE)</f>
        <v>Road Bikes</v>
      </c>
      <c r="G4279">
        <v>2</v>
      </c>
      <c r="H4279">
        <v>5999.99</v>
      </c>
      <c r="I4279" s="5">
        <v>7.0000000000000007E-2</v>
      </c>
      <c r="J4279">
        <f t="shared" si="132"/>
        <v>11159.981399999999</v>
      </c>
      <c r="K4279" s="9">
        <f t="shared" si="133"/>
        <v>3.5391745189185961</v>
      </c>
    </row>
    <row r="4280" spans="1:11" x14ac:dyDescent="0.3">
      <c r="A4280">
        <v>1469</v>
      </c>
      <c r="B4280">
        <v>1</v>
      </c>
      <c r="C4280">
        <v>77</v>
      </c>
      <c r="D4280" t="str">
        <f>VLOOKUP($C4280,products!$A$1:$F$322,MATCH(order_items!$D$1,products!$A$1:$F$1,0),FALSE)</f>
        <v>Electra Glam Punk 3i Ladies' - 2017</v>
      </c>
      <c r="E4280">
        <f>VLOOKUP($C4280,products!$A$1:$F$322,MATCH(order_items!$E$1,products!$A$1:$F$1,0),FALSE)</f>
        <v>3</v>
      </c>
      <c r="F4280" t="str">
        <f>VLOOKUP($E4280,categories!$A$1:$B$8,MATCH(order_items!$F$1,categories!$A$1:$B$1,0),FALSE)</f>
        <v>Cruisers Bicycles</v>
      </c>
      <c r="G4280">
        <v>2</v>
      </c>
      <c r="H4280">
        <v>799.99</v>
      </c>
      <c r="I4280" s="5">
        <v>0.2</v>
      </c>
      <c r="J4280">
        <f t="shared" si="132"/>
        <v>1279.9840000000002</v>
      </c>
      <c r="K4280" s="9">
        <f t="shared" si="133"/>
        <v>-0.30511687753941413</v>
      </c>
    </row>
    <row r="4281" spans="1:11" x14ac:dyDescent="0.3">
      <c r="A4281">
        <v>1469</v>
      </c>
      <c r="B4281">
        <v>2</v>
      </c>
      <c r="C4281">
        <v>237</v>
      </c>
      <c r="D4281" t="str">
        <f>VLOOKUP($C4281,products!$A$1:$F$322,MATCH(order_items!$D$1,products!$A$1:$F$1,0),FALSE)</f>
        <v>Electra Relic 3i - 2018</v>
      </c>
      <c r="E4281">
        <f>VLOOKUP($C4281,products!$A$1:$F$322,MATCH(order_items!$E$1,products!$A$1:$F$1,0),FALSE)</f>
        <v>3</v>
      </c>
      <c r="F4281" t="str">
        <f>VLOOKUP($E4281,categories!$A$1:$B$8,MATCH(order_items!$F$1,categories!$A$1:$B$1,0),FALSE)</f>
        <v>Cruisers Bicycles</v>
      </c>
      <c r="G4281">
        <v>2</v>
      </c>
      <c r="H4281">
        <v>849.99</v>
      </c>
      <c r="I4281" s="5">
        <v>0.05</v>
      </c>
      <c r="J4281">
        <f t="shared" si="132"/>
        <v>1614.981</v>
      </c>
      <c r="K4281" s="9">
        <f t="shared" si="133"/>
        <v>-0.26815253718885634</v>
      </c>
    </row>
    <row r="4282" spans="1:11" x14ac:dyDescent="0.3">
      <c r="A4282">
        <v>1469</v>
      </c>
      <c r="B4282">
        <v>3</v>
      </c>
      <c r="C4282">
        <v>182</v>
      </c>
      <c r="D4282" t="str">
        <f>VLOOKUP($C4282,products!$A$1:$F$322,MATCH(order_items!$D$1,products!$A$1:$F$1,0),FALSE)</f>
        <v>Trek Domane SL 5 Disc - 2018</v>
      </c>
      <c r="E4282">
        <f>VLOOKUP($C4282,products!$A$1:$F$322,MATCH(order_items!$E$1,products!$A$1:$F$1,0),FALSE)</f>
        <v>7</v>
      </c>
      <c r="F4282" t="str">
        <f>VLOOKUP($E4282,categories!$A$1:$B$8,MATCH(order_items!$F$1,categories!$A$1:$B$1,0),FALSE)</f>
        <v>Road Bikes</v>
      </c>
      <c r="G4282">
        <v>1</v>
      </c>
      <c r="H4282">
        <v>2499.9899999999998</v>
      </c>
      <c r="I4282" s="5">
        <v>7.0000000000000007E-2</v>
      </c>
      <c r="J4282">
        <f t="shared" si="132"/>
        <v>2324.9906999999998</v>
      </c>
      <c r="K4282" s="9">
        <f t="shared" si="133"/>
        <v>0.95167069437955054</v>
      </c>
    </row>
    <row r="4283" spans="1:11" x14ac:dyDescent="0.3">
      <c r="A4283">
        <v>1469</v>
      </c>
      <c r="B4283">
        <v>4</v>
      </c>
      <c r="C4283">
        <v>100</v>
      </c>
      <c r="D4283" t="str">
        <f>VLOOKUP($C4283,products!$A$1:$F$322,MATCH(order_items!$D$1,products!$A$1:$F$1,0),FALSE)</f>
        <v>Electra Townie 3i EQ (20-inch) - Boys' - 2017</v>
      </c>
      <c r="E4283">
        <f>VLOOKUP($C4283,products!$A$1:$F$322,MATCH(order_items!$E$1,products!$A$1:$F$1,0),FALSE)</f>
        <v>1</v>
      </c>
      <c r="F4283" t="str">
        <f>VLOOKUP($E4283,categories!$A$1:$B$8,MATCH(order_items!$F$1,categories!$A$1:$B$1,0),FALSE)</f>
        <v>Children Bicycles</v>
      </c>
      <c r="G4283">
        <v>2</v>
      </c>
      <c r="H4283">
        <v>489.99</v>
      </c>
      <c r="I4283" s="5">
        <v>0.05</v>
      </c>
      <c r="J4283">
        <f t="shared" si="132"/>
        <v>930.98099999999999</v>
      </c>
      <c r="K4283" s="9">
        <f t="shared" si="133"/>
        <v>-0.53429578771287245</v>
      </c>
    </row>
    <row r="4284" spans="1:11" x14ac:dyDescent="0.3">
      <c r="A4284">
        <v>1470</v>
      </c>
      <c r="B4284">
        <v>1</v>
      </c>
      <c r="C4284">
        <v>110</v>
      </c>
      <c r="D4284" t="str">
        <f>VLOOKUP($C4284,products!$A$1:$F$322,MATCH(order_items!$D$1,products!$A$1:$F$1,0),FALSE)</f>
        <v>Sun Bicycles Drifter 7 - 2017</v>
      </c>
      <c r="E4284">
        <f>VLOOKUP($C4284,products!$A$1:$F$322,MATCH(order_items!$E$1,products!$A$1:$F$1,0),FALSE)</f>
        <v>2</v>
      </c>
      <c r="F4284" t="str">
        <f>VLOOKUP($E4284,categories!$A$1:$B$8,MATCH(order_items!$F$1,categories!$A$1:$B$1,0),FALSE)</f>
        <v>Comfort Bicycles</v>
      </c>
      <c r="G4284">
        <v>2</v>
      </c>
      <c r="H4284">
        <v>470.99</v>
      </c>
      <c r="I4284" s="5">
        <v>0.1</v>
      </c>
      <c r="J4284">
        <f t="shared" si="132"/>
        <v>847.78200000000004</v>
      </c>
      <c r="K4284" s="9">
        <f t="shared" si="133"/>
        <v>-0.54834223704608442</v>
      </c>
    </row>
    <row r="4285" spans="1:11" x14ac:dyDescent="0.3">
      <c r="A4285">
        <v>1470</v>
      </c>
      <c r="B4285">
        <v>2</v>
      </c>
      <c r="C4285">
        <v>287</v>
      </c>
      <c r="D4285" t="str">
        <f>VLOOKUP($C4285,products!$A$1:$F$322,MATCH(order_items!$D$1,products!$A$1:$F$1,0),FALSE)</f>
        <v>Electra Straight 8 1 (16-inch) - Boy's - 2018</v>
      </c>
      <c r="E4285">
        <f>VLOOKUP($C4285,products!$A$1:$F$322,MATCH(order_items!$E$1,products!$A$1:$F$1,0),FALSE)</f>
        <v>1</v>
      </c>
      <c r="F4285" t="str">
        <f>VLOOKUP($E4285,categories!$A$1:$B$8,MATCH(order_items!$F$1,categories!$A$1:$B$1,0),FALSE)</f>
        <v>Children Bicycles</v>
      </c>
      <c r="G4285">
        <v>1</v>
      </c>
      <c r="H4285">
        <v>279.99</v>
      </c>
      <c r="I4285" s="5">
        <v>0.05</v>
      </c>
      <c r="J4285">
        <f t="shared" si="132"/>
        <v>265.9905</v>
      </c>
      <c r="K4285" s="9">
        <f t="shared" si="133"/>
        <v>-0.68954601718521513</v>
      </c>
    </row>
    <row r="4286" spans="1:11" x14ac:dyDescent="0.3">
      <c r="A4286">
        <v>1470</v>
      </c>
      <c r="B4286">
        <v>3</v>
      </c>
      <c r="C4286">
        <v>252</v>
      </c>
      <c r="D4286" t="str">
        <f>VLOOKUP($C4286,products!$A$1:$F$322,MATCH(order_items!$D$1,products!$A$1:$F$1,0),FALSE)</f>
        <v>Electra Townie Commute Go! Ladies' - 2018</v>
      </c>
      <c r="E4286">
        <f>VLOOKUP($C4286,products!$A$1:$F$322,MATCH(order_items!$E$1,products!$A$1:$F$1,0),FALSE)</f>
        <v>3</v>
      </c>
      <c r="F4286" t="str">
        <f>VLOOKUP($E4286,categories!$A$1:$B$8,MATCH(order_items!$F$1,categories!$A$1:$B$1,0),FALSE)</f>
        <v>Cruisers Bicycles</v>
      </c>
      <c r="G4286">
        <v>2</v>
      </c>
      <c r="H4286">
        <v>2999.99</v>
      </c>
      <c r="I4286" s="5">
        <v>0.05</v>
      </c>
      <c r="J4286">
        <f t="shared" si="132"/>
        <v>5699.9809999999998</v>
      </c>
      <c r="K4286" s="9">
        <f t="shared" si="133"/>
        <v>1.3213140978851283</v>
      </c>
    </row>
    <row r="4287" spans="1:11" x14ac:dyDescent="0.3">
      <c r="A4287">
        <v>1471</v>
      </c>
      <c r="B4287">
        <v>1</v>
      </c>
      <c r="C4287">
        <v>59</v>
      </c>
      <c r="D4287" t="str">
        <f>VLOOKUP($C4287,products!$A$1:$F$322,MATCH(order_items!$D$1,products!$A$1:$F$1,0),FALSE)</f>
        <v>Trek Domane S 5 Disc - 2017</v>
      </c>
      <c r="E4287">
        <f>VLOOKUP($C4287,products!$A$1:$F$322,MATCH(order_items!$E$1,products!$A$1:$F$1,0),FALSE)</f>
        <v>7</v>
      </c>
      <c r="F4287" t="str">
        <f>VLOOKUP($E4287,categories!$A$1:$B$8,MATCH(order_items!$F$1,categories!$A$1:$B$1,0),FALSE)</f>
        <v>Road Bikes</v>
      </c>
      <c r="G4287">
        <v>2</v>
      </c>
      <c r="H4287">
        <v>2599.9899999999998</v>
      </c>
      <c r="I4287" s="5">
        <v>0.2</v>
      </c>
      <c r="J4287">
        <f t="shared" si="132"/>
        <v>4159.9839999999995</v>
      </c>
      <c r="K4287" s="9">
        <f t="shared" si="133"/>
        <v>1.025599375080666</v>
      </c>
    </row>
    <row r="4288" spans="1:11" x14ac:dyDescent="0.3">
      <c r="A4288">
        <v>1471</v>
      </c>
      <c r="B4288">
        <v>2</v>
      </c>
      <c r="C4288">
        <v>136</v>
      </c>
      <c r="D4288" t="str">
        <f>VLOOKUP($C4288,products!$A$1:$F$322,MATCH(order_items!$D$1,products!$A$1:$F$1,0),FALSE)</f>
        <v>Trek Procaliber 6 - 2018</v>
      </c>
      <c r="E4288">
        <f>VLOOKUP($C4288,products!$A$1:$F$322,MATCH(order_items!$E$1,products!$A$1:$F$1,0),FALSE)</f>
        <v>6</v>
      </c>
      <c r="F4288" t="str">
        <f>VLOOKUP($E4288,categories!$A$1:$B$8,MATCH(order_items!$F$1,categories!$A$1:$B$1,0),FALSE)</f>
        <v>Mountain Bikes</v>
      </c>
      <c r="G4288">
        <v>1</v>
      </c>
      <c r="H4288">
        <v>1799.99</v>
      </c>
      <c r="I4288" s="5">
        <v>7.0000000000000007E-2</v>
      </c>
      <c r="J4288">
        <f t="shared" si="132"/>
        <v>1673.9906999999998</v>
      </c>
      <c r="K4288" s="9">
        <f t="shared" si="133"/>
        <v>0.43416992947174166</v>
      </c>
    </row>
    <row r="4289" spans="1:11" x14ac:dyDescent="0.3">
      <c r="A4289">
        <v>1472</v>
      </c>
      <c r="B4289">
        <v>1</v>
      </c>
      <c r="C4289">
        <v>84</v>
      </c>
      <c r="D4289" t="str">
        <f>VLOOKUP($C4289,products!$A$1:$F$322,MATCH(order_items!$D$1,products!$A$1:$F$1,0),FALSE)</f>
        <v>Sun Bicycles Lil Kitt'n - 2017</v>
      </c>
      <c r="E4289">
        <f>VLOOKUP($C4289,products!$A$1:$F$322,MATCH(order_items!$E$1,products!$A$1:$F$1,0),FALSE)</f>
        <v>1</v>
      </c>
      <c r="F4289" t="str">
        <f>VLOOKUP($E4289,categories!$A$1:$B$8,MATCH(order_items!$F$1,categories!$A$1:$B$1,0),FALSE)</f>
        <v>Children Bicycles</v>
      </c>
      <c r="G4289">
        <v>1</v>
      </c>
      <c r="H4289">
        <v>109.99</v>
      </c>
      <c r="I4289" s="5">
        <v>0.2</v>
      </c>
      <c r="J4289">
        <f t="shared" si="132"/>
        <v>87.992000000000004</v>
      </c>
      <c r="K4289" s="9">
        <f t="shared" si="133"/>
        <v>-0.81522477437711161</v>
      </c>
    </row>
    <row r="4290" spans="1:11" x14ac:dyDescent="0.3">
      <c r="A4290">
        <v>1472</v>
      </c>
      <c r="B4290">
        <v>2</v>
      </c>
      <c r="C4290">
        <v>300</v>
      </c>
      <c r="D4290" t="str">
        <f>VLOOKUP($C4290,products!$A$1:$F$322,MATCH(order_items!$D$1,products!$A$1:$F$1,0),FALSE)</f>
        <v>Electra Townie Balloon 3i EQ Ladies' - 2018</v>
      </c>
      <c r="E4290">
        <f>VLOOKUP($C4290,products!$A$1:$F$322,MATCH(order_items!$E$1,products!$A$1:$F$1,0),FALSE)</f>
        <v>2</v>
      </c>
      <c r="F4290" t="str">
        <f>VLOOKUP($E4290,categories!$A$1:$B$8,MATCH(order_items!$F$1,categories!$A$1:$B$1,0),FALSE)</f>
        <v>Comfort Bicycles</v>
      </c>
      <c r="G4290">
        <v>1</v>
      </c>
      <c r="H4290">
        <v>799.99</v>
      </c>
      <c r="I4290" s="5">
        <v>0.2</v>
      </c>
      <c r="J4290">
        <f t="shared" ref="J4290:J4353" si="134">G4290*H4290*(1-I4290)</f>
        <v>639.99200000000008</v>
      </c>
      <c r="K4290" s="9">
        <f t="shared" ref="K4290:K4353" si="135">($H4290-$M$7)/$M$9</f>
        <v>-0.30511687753941413</v>
      </c>
    </row>
    <row r="4291" spans="1:11" x14ac:dyDescent="0.3">
      <c r="A4291">
        <v>1473</v>
      </c>
      <c r="B4291">
        <v>1</v>
      </c>
      <c r="C4291">
        <v>84</v>
      </c>
      <c r="D4291" t="str">
        <f>VLOOKUP($C4291,products!$A$1:$F$322,MATCH(order_items!$D$1,products!$A$1:$F$1,0),FALSE)</f>
        <v>Sun Bicycles Lil Kitt'n - 2017</v>
      </c>
      <c r="E4291">
        <f>VLOOKUP($C4291,products!$A$1:$F$322,MATCH(order_items!$E$1,products!$A$1:$F$1,0),FALSE)</f>
        <v>1</v>
      </c>
      <c r="F4291" t="str">
        <f>VLOOKUP($E4291,categories!$A$1:$B$8,MATCH(order_items!$F$1,categories!$A$1:$B$1,0),FALSE)</f>
        <v>Children Bicycles</v>
      </c>
      <c r="G4291">
        <v>2</v>
      </c>
      <c r="H4291">
        <v>109.99</v>
      </c>
      <c r="I4291" s="5">
        <v>0.2</v>
      </c>
      <c r="J4291">
        <f t="shared" si="134"/>
        <v>175.98400000000001</v>
      </c>
      <c r="K4291" s="9">
        <f t="shared" si="135"/>
        <v>-0.81522477437711161</v>
      </c>
    </row>
    <row r="4292" spans="1:11" x14ac:dyDescent="0.3">
      <c r="A4292">
        <v>1473</v>
      </c>
      <c r="B4292">
        <v>2</v>
      </c>
      <c r="C4292">
        <v>102</v>
      </c>
      <c r="D4292" t="str">
        <f>VLOOKUP($C4292,products!$A$1:$F$322,MATCH(order_items!$D$1,products!$A$1:$F$1,0),FALSE)</f>
        <v>Electra Townie Original 7D - 2017</v>
      </c>
      <c r="E4292">
        <f>VLOOKUP($C4292,products!$A$1:$F$322,MATCH(order_items!$E$1,products!$A$1:$F$1,0),FALSE)</f>
        <v>2</v>
      </c>
      <c r="F4292" t="str">
        <f>VLOOKUP($E4292,categories!$A$1:$B$8,MATCH(order_items!$F$1,categories!$A$1:$B$1,0),FALSE)</f>
        <v>Comfort Bicycles</v>
      </c>
      <c r="G4292">
        <v>1</v>
      </c>
      <c r="H4292">
        <v>489.99</v>
      </c>
      <c r="I4292" s="5">
        <v>7.0000000000000007E-2</v>
      </c>
      <c r="J4292">
        <f t="shared" si="134"/>
        <v>455.69069999999999</v>
      </c>
      <c r="K4292" s="9">
        <f t="shared" si="135"/>
        <v>-0.53429578771287245</v>
      </c>
    </row>
    <row r="4293" spans="1:11" x14ac:dyDescent="0.3">
      <c r="A4293">
        <v>1474</v>
      </c>
      <c r="B4293">
        <v>1</v>
      </c>
      <c r="C4293">
        <v>301</v>
      </c>
      <c r="D4293" t="str">
        <f>VLOOKUP($C4293,products!$A$1:$F$322,MATCH(order_items!$D$1,products!$A$1:$F$1,0),FALSE)</f>
        <v>Electra Townie Balloon 7i EQ - 2018</v>
      </c>
      <c r="E4293">
        <f>VLOOKUP($C4293,products!$A$1:$F$322,MATCH(order_items!$E$1,products!$A$1:$F$1,0),FALSE)</f>
        <v>2</v>
      </c>
      <c r="F4293" t="str">
        <f>VLOOKUP($E4293,categories!$A$1:$B$8,MATCH(order_items!$F$1,categories!$A$1:$B$1,0),FALSE)</f>
        <v>Comfort Bicycles</v>
      </c>
      <c r="G4293">
        <v>1</v>
      </c>
      <c r="H4293">
        <v>899.99</v>
      </c>
      <c r="I4293" s="5">
        <v>0.2</v>
      </c>
      <c r="J4293">
        <f t="shared" si="134"/>
        <v>719.99200000000008</v>
      </c>
      <c r="K4293" s="9">
        <f t="shared" si="135"/>
        <v>-0.23118819683829855</v>
      </c>
    </row>
    <row r="4294" spans="1:11" x14ac:dyDescent="0.3">
      <c r="A4294">
        <v>1474</v>
      </c>
      <c r="B4294">
        <v>2</v>
      </c>
      <c r="C4294">
        <v>123</v>
      </c>
      <c r="D4294" t="str">
        <f>VLOOKUP($C4294,products!$A$1:$F$322,MATCH(order_items!$D$1,products!$A$1:$F$1,0),FALSE)</f>
        <v>Trek Farley Carbon Frameset - 2018</v>
      </c>
      <c r="E4294">
        <f>VLOOKUP($C4294,products!$A$1:$F$322,MATCH(order_items!$E$1,products!$A$1:$F$1,0),FALSE)</f>
        <v>6</v>
      </c>
      <c r="F4294" t="str">
        <f>VLOOKUP($E4294,categories!$A$1:$B$8,MATCH(order_items!$F$1,categories!$A$1:$B$1,0),FALSE)</f>
        <v>Mountain Bikes</v>
      </c>
      <c r="G4294">
        <v>1</v>
      </c>
      <c r="H4294">
        <v>999.99</v>
      </c>
      <c r="I4294" s="5">
        <v>0.05</v>
      </c>
      <c r="J4294">
        <f t="shared" si="134"/>
        <v>949.9905</v>
      </c>
      <c r="K4294" s="9">
        <f t="shared" si="135"/>
        <v>-0.15725951613718298</v>
      </c>
    </row>
    <row r="4295" spans="1:11" x14ac:dyDescent="0.3">
      <c r="A4295">
        <v>1475</v>
      </c>
      <c r="B4295">
        <v>1</v>
      </c>
      <c r="C4295">
        <v>306</v>
      </c>
      <c r="D4295" t="str">
        <f>VLOOKUP($C4295,products!$A$1:$F$322,MATCH(order_items!$D$1,products!$A$1:$F$1,0),FALSE)</f>
        <v>Electra Townie Balloon 7i EQ Ladies' - 2017/2018</v>
      </c>
      <c r="E4295">
        <f>VLOOKUP($C4295,products!$A$1:$F$322,MATCH(order_items!$E$1,products!$A$1:$F$1,0),FALSE)</f>
        <v>2</v>
      </c>
      <c r="F4295" t="str">
        <f>VLOOKUP($E4295,categories!$A$1:$B$8,MATCH(order_items!$F$1,categories!$A$1:$B$1,0),FALSE)</f>
        <v>Comfort Bicycles</v>
      </c>
      <c r="G4295">
        <v>2</v>
      </c>
      <c r="H4295">
        <v>899.99</v>
      </c>
      <c r="I4295" s="5">
        <v>0.05</v>
      </c>
      <c r="J4295">
        <f t="shared" si="134"/>
        <v>1709.981</v>
      </c>
      <c r="K4295" s="9">
        <f t="shared" si="135"/>
        <v>-0.23118819683829855</v>
      </c>
    </row>
    <row r="4296" spans="1:11" x14ac:dyDescent="0.3">
      <c r="A4296">
        <v>1475</v>
      </c>
      <c r="B4296">
        <v>2</v>
      </c>
      <c r="C4296">
        <v>261</v>
      </c>
      <c r="D4296" t="str">
        <f>VLOOKUP($C4296,products!$A$1:$F$322,MATCH(order_items!$D$1,products!$A$1:$F$1,0),FALSE)</f>
        <v>Electra Townie Balloon 7i EQ - 2018</v>
      </c>
      <c r="E4296">
        <f>VLOOKUP($C4296,products!$A$1:$F$322,MATCH(order_items!$E$1,products!$A$1:$F$1,0),FALSE)</f>
        <v>3</v>
      </c>
      <c r="F4296" t="str">
        <f>VLOOKUP($E4296,categories!$A$1:$B$8,MATCH(order_items!$F$1,categories!$A$1:$B$1,0),FALSE)</f>
        <v>Cruisers Bicycles</v>
      </c>
      <c r="G4296">
        <v>2</v>
      </c>
      <c r="H4296">
        <v>899.99</v>
      </c>
      <c r="I4296" s="5">
        <v>7.0000000000000007E-2</v>
      </c>
      <c r="J4296">
        <f t="shared" si="134"/>
        <v>1673.9813999999999</v>
      </c>
      <c r="K4296" s="9">
        <f t="shared" si="135"/>
        <v>-0.23118819683829855</v>
      </c>
    </row>
    <row r="4297" spans="1:11" x14ac:dyDescent="0.3">
      <c r="A4297">
        <v>1475</v>
      </c>
      <c r="B4297">
        <v>3</v>
      </c>
      <c r="C4297">
        <v>161</v>
      </c>
      <c r="D4297" t="str">
        <f>VLOOKUP($C4297,products!$A$1:$F$322,MATCH(order_items!$D$1,products!$A$1:$F$1,0),FALSE)</f>
        <v>Surly ECR - 2018</v>
      </c>
      <c r="E4297">
        <f>VLOOKUP($C4297,products!$A$1:$F$322,MATCH(order_items!$E$1,products!$A$1:$F$1,0),FALSE)</f>
        <v>7</v>
      </c>
      <c r="F4297" t="str">
        <f>VLOOKUP($E4297,categories!$A$1:$B$8,MATCH(order_items!$F$1,categories!$A$1:$B$1,0),FALSE)</f>
        <v>Road Bikes</v>
      </c>
      <c r="G4297">
        <v>2</v>
      </c>
      <c r="H4297">
        <v>1899</v>
      </c>
      <c r="I4297" s="5">
        <v>0.05</v>
      </c>
      <c r="J4297">
        <f t="shared" si="134"/>
        <v>3608.1</v>
      </c>
      <c r="K4297" s="9">
        <f t="shared" si="135"/>
        <v>0.50736671623391616</v>
      </c>
    </row>
    <row r="4298" spans="1:11" x14ac:dyDescent="0.3">
      <c r="A4298">
        <v>1475</v>
      </c>
      <c r="B4298">
        <v>4</v>
      </c>
      <c r="C4298">
        <v>248</v>
      </c>
      <c r="D4298" t="str">
        <f>VLOOKUP($C4298,products!$A$1:$F$322,MATCH(order_items!$D$1,products!$A$1:$F$1,0),FALSE)</f>
        <v>Electra Townie Original 7D EQ Ladies' - 2017/2018</v>
      </c>
      <c r="E4298">
        <f>VLOOKUP($C4298,products!$A$1:$F$322,MATCH(order_items!$E$1,products!$A$1:$F$1,0),FALSE)</f>
        <v>3</v>
      </c>
      <c r="F4298" t="str">
        <f>VLOOKUP($E4298,categories!$A$1:$B$8,MATCH(order_items!$F$1,categories!$A$1:$B$1,0),FALSE)</f>
        <v>Cruisers Bicycles</v>
      </c>
      <c r="G4298">
        <v>2</v>
      </c>
      <c r="H4298">
        <v>599.99</v>
      </c>
      <c r="I4298" s="5">
        <v>0.2</v>
      </c>
      <c r="J4298">
        <f t="shared" si="134"/>
        <v>959.98400000000004</v>
      </c>
      <c r="K4298" s="9">
        <f t="shared" si="135"/>
        <v>-0.45297423894164529</v>
      </c>
    </row>
    <row r="4299" spans="1:11" x14ac:dyDescent="0.3">
      <c r="A4299">
        <v>1476</v>
      </c>
      <c r="B4299">
        <v>1</v>
      </c>
      <c r="C4299">
        <v>142</v>
      </c>
      <c r="D4299" t="str">
        <f>VLOOKUP($C4299,products!$A$1:$F$322,MATCH(order_items!$D$1,products!$A$1:$F$1,0),FALSE)</f>
        <v>Trek Fuel EX 8 29 XT - 2018</v>
      </c>
      <c r="E4299">
        <f>VLOOKUP($C4299,products!$A$1:$F$322,MATCH(order_items!$E$1,products!$A$1:$F$1,0),FALSE)</f>
        <v>6</v>
      </c>
      <c r="F4299" t="str">
        <f>VLOOKUP($E4299,categories!$A$1:$B$8,MATCH(order_items!$F$1,categories!$A$1:$B$1,0),FALSE)</f>
        <v>Mountain Bikes</v>
      </c>
      <c r="G4299">
        <v>2</v>
      </c>
      <c r="H4299">
        <v>3199.99</v>
      </c>
      <c r="I4299" s="5">
        <v>7.0000000000000007E-2</v>
      </c>
      <c r="J4299">
        <f t="shared" si="134"/>
        <v>5951.9813999999988</v>
      </c>
      <c r="K4299" s="9">
        <f t="shared" si="135"/>
        <v>1.4691714592873595</v>
      </c>
    </row>
    <row r="4300" spans="1:11" x14ac:dyDescent="0.3">
      <c r="A4300">
        <v>1476</v>
      </c>
      <c r="B4300">
        <v>2</v>
      </c>
      <c r="C4300">
        <v>91</v>
      </c>
      <c r="D4300" t="str">
        <f>VLOOKUP($C4300,products!$A$1:$F$322,MATCH(order_items!$D$1,products!$A$1:$F$1,0),FALSE)</f>
        <v>Trek Precaliber 24 (21-Speed) - Girls - 2017</v>
      </c>
      <c r="E4300">
        <f>VLOOKUP($C4300,products!$A$1:$F$322,MATCH(order_items!$E$1,products!$A$1:$F$1,0),FALSE)</f>
        <v>1</v>
      </c>
      <c r="F4300" t="str">
        <f>VLOOKUP($E4300,categories!$A$1:$B$8,MATCH(order_items!$F$1,categories!$A$1:$B$1,0),FALSE)</f>
        <v>Children Bicycles</v>
      </c>
      <c r="G4300">
        <v>2</v>
      </c>
      <c r="H4300">
        <v>349.99</v>
      </c>
      <c r="I4300" s="5">
        <v>7.0000000000000007E-2</v>
      </c>
      <c r="J4300">
        <f t="shared" si="134"/>
        <v>650.98140000000001</v>
      </c>
      <c r="K4300" s="9">
        <f t="shared" si="135"/>
        <v>-0.63779594069443424</v>
      </c>
    </row>
    <row r="4301" spans="1:11" x14ac:dyDescent="0.3">
      <c r="A4301">
        <v>1476</v>
      </c>
      <c r="B4301">
        <v>3</v>
      </c>
      <c r="C4301">
        <v>43</v>
      </c>
      <c r="D4301" t="str">
        <f>VLOOKUP($C4301,products!$A$1:$F$322,MATCH(order_items!$D$1,products!$A$1:$F$1,0),FALSE)</f>
        <v>Trek Fuel EX 9.8 27.5 Plus - 2017</v>
      </c>
      <c r="E4301">
        <f>VLOOKUP($C4301,products!$A$1:$F$322,MATCH(order_items!$E$1,products!$A$1:$F$1,0),FALSE)</f>
        <v>6</v>
      </c>
      <c r="F4301" t="str">
        <f>VLOOKUP($E4301,categories!$A$1:$B$8,MATCH(order_items!$F$1,categories!$A$1:$B$1,0),FALSE)</f>
        <v>Mountain Bikes</v>
      </c>
      <c r="G4301">
        <v>1</v>
      </c>
      <c r="H4301">
        <v>5299.99</v>
      </c>
      <c r="I4301" s="5">
        <v>7.0000000000000007E-2</v>
      </c>
      <c r="J4301">
        <f t="shared" si="134"/>
        <v>4928.9906999999994</v>
      </c>
      <c r="K4301" s="9">
        <f t="shared" si="135"/>
        <v>3.021673754010787</v>
      </c>
    </row>
    <row r="4302" spans="1:11" x14ac:dyDescent="0.3">
      <c r="A4302">
        <v>1476</v>
      </c>
      <c r="B4302">
        <v>4</v>
      </c>
      <c r="C4302">
        <v>191</v>
      </c>
      <c r="D4302" t="str">
        <f>VLOOKUP($C4302,products!$A$1:$F$322,MATCH(order_items!$D$1,products!$A$1:$F$1,0),FALSE)</f>
        <v>Electra Loft Go! 8i - 2018</v>
      </c>
      <c r="E4302">
        <f>VLOOKUP($C4302,products!$A$1:$F$322,MATCH(order_items!$E$1,products!$A$1:$F$1,0),FALSE)</f>
        <v>5</v>
      </c>
      <c r="F4302" t="str">
        <f>VLOOKUP($E4302,categories!$A$1:$B$8,MATCH(order_items!$F$1,categories!$A$1:$B$1,0),FALSE)</f>
        <v>Electric Bikes</v>
      </c>
      <c r="G4302">
        <v>1</v>
      </c>
      <c r="H4302">
        <v>2799.99</v>
      </c>
      <c r="I4302" s="5">
        <v>0.1</v>
      </c>
      <c r="J4302">
        <f t="shared" si="134"/>
        <v>2519.991</v>
      </c>
      <c r="K4302" s="9">
        <f t="shared" si="135"/>
        <v>1.1734567364828972</v>
      </c>
    </row>
    <row r="4303" spans="1:11" x14ac:dyDescent="0.3">
      <c r="A4303">
        <v>1476</v>
      </c>
      <c r="B4303">
        <v>5</v>
      </c>
      <c r="C4303">
        <v>265</v>
      </c>
      <c r="D4303" t="str">
        <f>VLOOKUP($C4303,products!$A$1:$F$322,MATCH(order_items!$D$1,products!$A$1:$F$1,0),FALSE)</f>
        <v>Strider Strider 20 Sport - 2018</v>
      </c>
      <c r="E4303">
        <f>VLOOKUP($C4303,products!$A$1:$F$322,MATCH(order_items!$E$1,products!$A$1:$F$1,0),FALSE)</f>
        <v>1</v>
      </c>
      <c r="F4303" t="str">
        <f>VLOOKUP($E4303,categories!$A$1:$B$8,MATCH(order_items!$F$1,categories!$A$1:$B$1,0),FALSE)</f>
        <v>Children Bicycles</v>
      </c>
      <c r="G4303">
        <v>2</v>
      </c>
      <c r="H4303">
        <v>289.99</v>
      </c>
      <c r="I4303" s="5">
        <v>0.1</v>
      </c>
      <c r="J4303">
        <f t="shared" si="134"/>
        <v>521.98200000000008</v>
      </c>
      <c r="K4303" s="9">
        <f t="shared" si="135"/>
        <v>-0.68215314911510361</v>
      </c>
    </row>
    <row r="4304" spans="1:11" x14ac:dyDescent="0.3">
      <c r="A4304">
        <v>1477</v>
      </c>
      <c r="B4304">
        <v>1</v>
      </c>
      <c r="C4304">
        <v>210</v>
      </c>
      <c r="D4304" t="str">
        <f>VLOOKUP($C4304,products!$A$1:$F$322,MATCH(order_items!$D$1,products!$A$1:$F$1,0),FALSE)</f>
        <v>Surly Straggler - 2018</v>
      </c>
      <c r="E4304">
        <f>VLOOKUP($C4304,products!$A$1:$F$322,MATCH(order_items!$E$1,products!$A$1:$F$1,0),FALSE)</f>
        <v>4</v>
      </c>
      <c r="F4304" t="str">
        <f>VLOOKUP($E4304,categories!$A$1:$B$8,MATCH(order_items!$F$1,categories!$A$1:$B$1,0),FALSE)</f>
        <v>Cyclocross Bicycles</v>
      </c>
      <c r="G4304">
        <v>2</v>
      </c>
      <c r="H4304">
        <v>1549</v>
      </c>
      <c r="I4304" s="5">
        <v>0.2</v>
      </c>
      <c r="J4304">
        <f t="shared" si="134"/>
        <v>2478.4</v>
      </c>
      <c r="K4304" s="9">
        <f t="shared" si="135"/>
        <v>0.24861633378001166</v>
      </c>
    </row>
    <row r="4305" spans="1:11" x14ac:dyDescent="0.3">
      <c r="A4305">
        <v>1478</v>
      </c>
      <c r="B4305">
        <v>1</v>
      </c>
      <c r="C4305">
        <v>100</v>
      </c>
      <c r="D4305" t="str">
        <f>VLOOKUP($C4305,products!$A$1:$F$322,MATCH(order_items!$D$1,products!$A$1:$F$1,0),FALSE)</f>
        <v>Electra Townie 3i EQ (20-inch) - Boys' - 2017</v>
      </c>
      <c r="E4305">
        <f>VLOOKUP($C4305,products!$A$1:$F$322,MATCH(order_items!$E$1,products!$A$1:$F$1,0),FALSE)</f>
        <v>1</v>
      </c>
      <c r="F4305" t="str">
        <f>VLOOKUP($E4305,categories!$A$1:$B$8,MATCH(order_items!$F$1,categories!$A$1:$B$1,0),FALSE)</f>
        <v>Children Bicycles</v>
      </c>
      <c r="G4305">
        <v>2</v>
      </c>
      <c r="H4305">
        <v>489.99</v>
      </c>
      <c r="I4305" s="5">
        <v>0.1</v>
      </c>
      <c r="J4305">
        <f t="shared" si="134"/>
        <v>881.98200000000008</v>
      </c>
      <c r="K4305" s="9">
        <f t="shared" si="135"/>
        <v>-0.53429578771287245</v>
      </c>
    </row>
    <row r="4306" spans="1:11" x14ac:dyDescent="0.3">
      <c r="A4306">
        <v>1478</v>
      </c>
      <c r="B4306">
        <v>2</v>
      </c>
      <c r="C4306">
        <v>123</v>
      </c>
      <c r="D4306" t="str">
        <f>VLOOKUP($C4306,products!$A$1:$F$322,MATCH(order_items!$D$1,products!$A$1:$F$1,0),FALSE)</f>
        <v>Trek Farley Carbon Frameset - 2018</v>
      </c>
      <c r="E4306">
        <f>VLOOKUP($C4306,products!$A$1:$F$322,MATCH(order_items!$E$1,products!$A$1:$F$1,0),FALSE)</f>
        <v>6</v>
      </c>
      <c r="F4306" t="str">
        <f>VLOOKUP($E4306,categories!$A$1:$B$8,MATCH(order_items!$F$1,categories!$A$1:$B$1,0),FALSE)</f>
        <v>Mountain Bikes</v>
      </c>
      <c r="G4306">
        <v>1</v>
      </c>
      <c r="H4306">
        <v>999.99</v>
      </c>
      <c r="I4306" s="5">
        <v>0.2</v>
      </c>
      <c r="J4306">
        <f t="shared" si="134"/>
        <v>799.99200000000008</v>
      </c>
      <c r="K4306" s="9">
        <f t="shared" si="135"/>
        <v>-0.15725951613718298</v>
      </c>
    </row>
    <row r="4307" spans="1:11" x14ac:dyDescent="0.3">
      <c r="A4307">
        <v>1479</v>
      </c>
      <c r="B4307">
        <v>1</v>
      </c>
      <c r="C4307">
        <v>252</v>
      </c>
      <c r="D4307" t="str">
        <f>VLOOKUP($C4307,products!$A$1:$F$322,MATCH(order_items!$D$1,products!$A$1:$F$1,0),FALSE)</f>
        <v>Electra Townie Commute Go! Ladies' - 2018</v>
      </c>
      <c r="E4307">
        <f>VLOOKUP($C4307,products!$A$1:$F$322,MATCH(order_items!$E$1,products!$A$1:$F$1,0),FALSE)</f>
        <v>3</v>
      </c>
      <c r="F4307" t="str">
        <f>VLOOKUP($E4307,categories!$A$1:$B$8,MATCH(order_items!$F$1,categories!$A$1:$B$1,0),FALSE)</f>
        <v>Cruisers Bicycles</v>
      </c>
      <c r="G4307">
        <v>1</v>
      </c>
      <c r="H4307">
        <v>2999.99</v>
      </c>
      <c r="I4307" s="5">
        <v>0.05</v>
      </c>
      <c r="J4307">
        <f t="shared" si="134"/>
        <v>2849.9904999999999</v>
      </c>
      <c r="K4307" s="9">
        <f t="shared" si="135"/>
        <v>1.3213140978851283</v>
      </c>
    </row>
    <row r="4308" spans="1:11" x14ac:dyDescent="0.3">
      <c r="A4308">
        <v>1479</v>
      </c>
      <c r="B4308">
        <v>2</v>
      </c>
      <c r="C4308">
        <v>256</v>
      </c>
      <c r="D4308" t="str">
        <f>VLOOKUP($C4308,products!$A$1:$F$322,MATCH(order_items!$D$1,products!$A$1:$F$1,0),FALSE)</f>
        <v>Electra Townie Commute 27D - 2018</v>
      </c>
      <c r="E4308">
        <f>VLOOKUP($C4308,products!$A$1:$F$322,MATCH(order_items!$E$1,products!$A$1:$F$1,0),FALSE)</f>
        <v>3</v>
      </c>
      <c r="F4308" t="str">
        <f>VLOOKUP($E4308,categories!$A$1:$B$8,MATCH(order_items!$F$1,categories!$A$1:$B$1,0),FALSE)</f>
        <v>Cruisers Bicycles</v>
      </c>
      <c r="G4308">
        <v>1</v>
      </c>
      <c r="H4308">
        <v>899.99</v>
      </c>
      <c r="I4308" s="5">
        <v>0.1</v>
      </c>
      <c r="J4308">
        <f t="shared" si="134"/>
        <v>809.99099999999999</v>
      </c>
      <c r="K4308" s="9">
        <f t="shared" si="135"/>
        <v>-0.23118819683829855</v>
      </c>
    </row>
    <row r="4309" spans="1:11" x14ac:dyDescent="0.3">
      <c r="A4309">
        <v>1480</v>
      </c>
      <c r="B4309">
        <v>1</v>
      </c>
      <c r="C4309">
        <v>308</v>
      </c>
      <c r="D4309" t="str">
        <f>VLOOKUP($C4309,products!$A$1:$F$322,MATCH(order_items!$D$1,products!$A$1:$F$1,0),FALSE)</f>
        <v>Electra Townie Balloon 8D EQ Ladies' - 2016/2017/2018</v>
      </c>
      <c r="E4309">
        <f>VLOOKUP($C4309,products!$A$1:$F$322,MATCH(order_items!$E$1,products!$A$1:$F$1,0),FALSE)</f>
        <v>2</v>
      </c>
      <c r="F4309" t="str">
        <f>VLOOKUP($E4309,categories!$A$1:$B$8,MATCH(order_items!$F$1,categories!$A$1:$B$1,0),FALSE)</f>
        <v>Comfort Bicycles</v>
      </c>
      <c r="G4309">
        <v>2</v>
      </c>
      <c r="H4309">
        <v>749.99</v>
      </c>
      <c r="I4309" s="5">
        <v>0.1</v>
      </c>
      <c r="J4309">
        <f t="shared" si="134"/>
        <v>1349.982</v>
      </c>
      <c r="K4309" s="9">
        <f t="shared" si="135"/>
        <v>-0.34208121788997192</v>
      </c>
    </row>
    <row r="4310" spans="1:11" x14ac:dyDescent="0.3">
      <c r="A4310">
        <v>1480</v>
      </c>
      <c r="B4310">
        <v>2</v>
      </c>
      <c r="C4310">
        <v>82</v>
      </c>
      <c r="D4310" t="str">
        <f>VLOOKUP($C4310,products!$A$1:$F$322,MATCH(order_items!$D$1,products!$A$1:$F$1,0),FALSE)</f>
        <v>Electra Amsterdam Original 3i Ladies' - 2017</v>
      </c>
      <c r="E4310">
        <f>VLOOKUP($C4310,products!$A$1:$F$322,MATCH(order_items!$E$1,products!$A$1:$F$1,0),FALSE)</f>
        <v>3</v>
      </c>
      <c r="F4310" t="str">
        <f>VLOOKUP($E4310,categories!$A$1:$B$8,MATCH(order_items!$F$1,categories!$A$1:$B$1,0),FALSE)</f>
        <v>Cruisers Bicycles</v>
      </c>
      <c r="G4310">
        <v>2</v>
      </c>
      <c r="H4310">
        <v>659.99</v>
      </c>
      <c r="I4310" s="5">
        <v>0.1</v>
      </c>
      <c r="J4310">
        <f t="shared" si="134"/>
        <v>1187.982</v>
      </c>
      <c r="K4310" s="9">
        <f t="shared" si="135"/>
        <v>-0.40861703052097592</v>
      </c>
    </row>
    <row r="4311" spans="1:11" x14ac:dyDescent="0.3">
      <c r="A4311">
        <v>1480</v>
      </c>
      <c r="B4311">
        <v>3</v>
      </c>
      <c r="C4311">
        <v>92</v>
      </c>
      <c r="D4311" t="str">
        <f>VLOOKUP($C4311,products!$A$1:$F$322,MATCH(order_items!$D$1,products!$A$1:$F$1,0),FALSE)</f>
        <v>Haro Shredder 20 - 2017</v>
      </c>
      <c r="E4311">
        <f>VLOOKUP($C4311,products!$A$1:$F$322,MATCH(order_items!$E$1,products!$A$1:$F$1,0),FALSE)</f>
        <v>1</v>
      </c>
      <c r="F4311" t="str">
        <f>VLOOKUP($E4311,categories!$A$1:$B$8,MATCH(order_items!$F$1,categories!$A$1:$B$1,0),FALSE)</f>
        <v>Children Bicycles</v>
      </c>
      <c r="G4311">
        <v>2</v>
      </c>
      <c r="H4311">
        <v>209.99</v>
      </c>
      <c r="I4311" s="5">
        <v>7.0000000000000007E-2</v>
      </c>
      <c r="J4311">
        <f t="shared" si="134"/>
        <v>390.58139999999997</v>
      </c>
      <c r="K4311" s="9">
        <f t="shared" si="135"/>
        <v>-0.74129609367599603</v>
      </c>
    </row>
    <row r="4312" spans="1:11" x14ac:dyDescent="0.3">
      <c r="A4312">
        <v>1480</v>
      </c>
      <c r="B4312">
        <v>4</v>
      </c>
      <c r="C4312">
        <v>225</v>
      </c>
      <c r="D4312" t="str">
        <f>VLOOKUP($C4312,products!$A$1:$F$322,MATCH(order_items!$D$1,products!$A$1:$F$1,0),FALSE)</f>
        <v>Electra Delivery 3i - 2016/2017/2018</v>
      </c>
      <c r="E4312">
        <f>VLOOKUP($C4312,products!$A$1:$F$322,MATCH(order_items!$E$1,products!$A$1:$F$1,0),FALSE)</f>
        <v>3</v>
      </c>
      <c r="F4312" t="str">
        <f>VLOOKUP($E4312,categories!$A$1:$B$8,MATCH(order_items!$F$1,categories!$A$1:$B$1,0),FALSE)</f>
        <v>Cruisers Bicycles</v>
      </c>
      <c r="G4312">
        <v>2</v>
      </c>
      <c r="H4312">
        <v>959.99</v>
      </c>
      <c r="I4312" s="5">
        <v>7.0000000000000007E-2</v>
      </c>
      <c r="J4312">
        <f t="shared" si="134"/>
        <v>1785.5813999999998</v>
      </c>
      <c r="K4312" s="9">
        <f t="shared" si="135"/>
        <v>-0.18683098841762921</v>
      </c>
    </row>
    <row r="4313" spans="1:11" x14ac:dyDescent="0.3">
      <c r="A4313">
        <v>1481</v>
      </c>
      <c r="B4313">
        <v>1</v>
      </c>
      <c r="C4313">
        <v>53</v>
      </c>
      <c r="D4313" t="str">
        <f>VLOOKUP($C4313,products!$A$1:$F$322,MATCH(order_items!$D$1,products!$A$1:$F$1,0),FALSE)</f>
        <v>Surly Ogre Frameset - 2017</v>
      </c>
      <c r="E4313">
        <f>VLOOKUP($C4313,products!$A$1:$F$322,MATCH(order_items!$E$1,products!$A$1:$F$1,0),FALSE)</f>
        <v>7</v>
      </c>
      <c r="F4313" t="str">
        <f>VLOOKUP($E4313,categories!$A$1:$B$8,MATCH(order_items!$F$1,categories!$A$1:$B$1,0),FALSE)</f>
        <v>Road Bikes</v>
      </c>
      <c r="G4313">
        <v>2</v>
      </c>
      <c r="H4313">
        <v>749.99</v>
      </c>
      <c r="I4313" s="5">
        <v>7.0000000000000007E-2</v>
      </c>
      <c r="J4313">
        <f t="shared" si="134"/>
        <v>1394.9813999999999</v>
      </c>
      <c r="K4313" s="9">
        <f t="shared" si="135"/>
        <v>-0.34208121788997192</v>
      </c>
    </row>
    <row r="4314" spans="1:11" x14ac:dyDescent="0.3">
      <c r="A4314">
        <v>1481</v>
      </c>
      <c r="B4314">
        <v>2</v>
      </c>
      <c r="C4314">
        <v>130</v>
      </c>
      <c r="D4314" t="str">
        <f>VLOOKUP($C4314,products!$A$1:$F$322,MATCH(order_items!$D$1,products!$A$1:$F$1,0),FALSE)</f>
        <v>Trek Stache Carbon Frameset - 2018</v>
      </c>
      <c r="E4314">
        <f>VLOOKUP($C4314,products!$A$1:$F$322,MATCH(order_items!$E$1,products!$A$1:$F$1,0),FALSE)</f>
        <v>6</v>
      </c>
      <c r="F4314" t="str">
        <f>VLOOKUP($E4314,categories!$A$1:$B$8,MATCH(order_items!$F$1,categories!$A$1:$B$1,0),FALSE)</f>
        <v>Mountain Bikes</v>
      </c>
      <c r="G4314">
        <v>1</v>
      </c>
      <c r="H4314">
        <v>919.99</v>
      </c>
      <c r="I4314" s="5">
        <v>0.1</v>
      </c>
      <c r="J4314">
        <f t="shared" si="134"/>
        <v>827.99099999999999</v>
      </c>
      <c r="K4314" s="9">
        <f t="shared" si="135"/>
        <v>-0.21640246069807545</v>
      </c>
    </row>
    <row r="4315" spans="1:11" x14ac:dyDescent="0.3">
      <c r="A4315">
        <v>1482</v>
      </c>
      <c r="B4315">
        <v>1</v>
      </c>
      <c r="C4315">
        <v>48</v>
      </c>
      <c r="D4315" t="str">
        <f>VLOOKUP($C4315,products!$A$1:$F$322,MATCH(order_items!$D$1,products!$A$1:$F$1,0),FALSE)</f>
        <v>Trek Emonda S 4 - 2017</v>
      </c>
      <c r="E4315">
        <f>VLOOKUP($C4315,products!$A$1:$F$322,MATCH(order_items!$E$1,products!$A$1:$F$1,0),FALSE)</f>
        <v>7</v>
      </c>
      <c r="F4315" t="str">
        <f>VLOOKUP($E4315,categories!$A$1:$B$8,MATCH(order_items!$F$1,categories!$A$1:$B$1,0),FALSE)</f>
        <v>Road Bikes</v>
      </c>
      <c r="G4315">
        <v>1</v>
      </c>
      <c r="H4315">
        <v>1499.99</v>
      </c>
      <c r="I4315" s="5">
        <v>0.1</v>
      </c>
      <c r="J4315">
        <f t="shared" si="134"/>
        <v>1349.991</v>
      </c>
      <c r="K4315" s="9">
        <f t="shared" si="135"/>
        <v>0.21238388736839492</v>
      </c>
    </row>
    <row r="4316" spans="1:11" x14ac:dyDescent="0.3">
      <c r="A4316">
        <v>1482</v>
      </c>
      <c r="B4316">
        <v>2</v>
      </c>
      <c r="C4316">
        <v>113</v>
      </c>
      <c r="D4316" t="str">
        <f>VLOOKUP($C4316,products!$A$1:$F$322,MATCH(order_items!$D$1,products!$A$1:$F$1,0),FALSE)</f>
        <v>Trek Marlin 5 - 2018</v>
      </c>
      <c r="E4316">
        <f>VLOOKUP($C4316,products!$A$1:$F$322,MATCH(order_items!$E$1,products!$A$1:$F$1,0),FALSE)</f>
        <v>6</v>
      </c>
      <c r="F4316" t="str">
        <f>VLOOKUP($E4316,categories!$A$1:$B$8,MATCH(order_items!$F$1,categories!$A$1:$B$1,0),FALSE)</f>
        <v>Mountain Bikes</v>
      </c>
      <c r="G4316">
        <v>1</v>
      </c>
      <c r="H4316">
        <v>489.99</v>
      </c>
      <c r="I4316" s="5">
        <v>0.05</v>
      </c>
      <c r="J4316">
        <f t="shared" si="134"/>
        <v>465.4905</v>
      </c>
      <c r="K4316" s="9">
        <f t="shared" si="135"/>
        <v>-0.53429578771287245</v>
      </c>
    </row>
    <row r="4317" spans="1:11" x14ac:dyDescent="0.3">
      <c r="A4317">
        <v>1482</v>
      </c>
      <c r="B4317">
        <v>3</v>
      </c>
      <c r="C4317">
        <v>58</v>
      </c>
      <c r="D4317" t="str">
        <f>VLOOKUP($C4317,products!$A$1:$F$322,MATCH(order_items!$D$1,products!$A$1:$F$1,0),FALSE)</f>
        <v>Trek Madone 9.2 - 2017</v>
      </c>
      <c r="E4317">
        <f>VLOOKUP($C4317,products!$A$1:$F$322,MATCH(order_items!$E$1,products!$A$1:$F$1,0),FALSE)</f>
        <v>7</v>
      </c>
      <c r="F4317" t="str">
        <f>VLOOKUP($E4317,categories!$A$1:$B$8,MATCH(order_items!$F$1,categories!$A$1:$B$1,0),FALSE)</f>
        <v>Road Bikes</v>
      </c>
      <c r="G4317">
        <v>2</v>
      </c>
      <c r="H4317">
        <v>4999.99</v>
      </c>
      <c r="I4317" s="5">
        <v>7.0000000000000007E-2</v>
      </c>
      <c r="J4317">
        <f t="shared" si="134"/>
        <v>9299.9813999999988</v>
      </c>
      <c r="K4317" s="9">
        <f t="shared" si="135"/>
        <v>2.7998877119074401</v>
      </c>
    </row>
    <row r="4318" spans="1:11" x14ac:dyDescent="0.3">
      <c r="A4318">
        <v>1482</v>
      </c>
      <c r="B4318">
        <v>4</v>
      </c>
      <c r="C4318">
        <v>40</v>
      </c>
      <c r="D4318" t="str">
        <f>VLOOKUP($C4318,products!$A$1:$F$322,MATCH(order_items!$D$1,products!$A$1:$F$1,0),FALSE)</f>
        <v>Trek Fuel EX 9.8 29 - 2017</v>
      </c>
      <c r="E4318">
        <f>VLOOKUP($C4318,products!$A$1:$F$322,MATCH(order_items!$E$1,products!$A$1:$F$1,0),FALSE)</f>
        <v>6</v>
      </c>
      <c r="F4318" t="str">
        <f>VLOOKUP($E4318,categories!$A$1:$B$8,MATCH(order_items!$F$1,categories!$A$1:$B$1,0),FALSE)</f>
        <v>Mountain Bikes</v>
      </c>
      <c r="G4318">
        <v>1</v>
      </c>
      <c r="H4318">
        <v>4999.99</v>
      </c>
      <c r="I4318" s="5">
        <v>0.05</v>
      </c>
      <c r="J4318">
        <f t="shared" si="134"/>
        <v>4749.9904999999999</v>
      </c>
      <c r="K4318" s="9">
        <f t="shared" si="135"/>
        <v>2.7998877119074401</v>
      </c>
    </row>
    <row r="4319" spans="1:11" x14ac:dyDescent="0.3">
      <c r="A4319">
        <v>1482</v>
      </c>
      <c r="B4319">
        <v>5</v>
      </c>
      <c r="C4319">
        <v>205</v>
      </c>
      <c r="D4319" t="str">
        <f>VLOOKUP($C4319,products!$A$1:$F$322,MATCH(order_items!$D$1,products!$A$1:$F$1,0),FALSE)</f>
        <v>Trek Super Commuter+ 8S - 2018</v>
      </c>
      <c r="E4319">
        <f>VLOOKUP($C4319,products!$A$1:$F$322,MATCH(order_items!$E$1,products!$A$1:$F$1,0),FALSE)</f>
        <v>5</v>
      </c>
      <c r="F4319" t="str">
        <f>VLOOKUP($E4319,categories!$A$1:$B$8,MATCH(order_items!$F$1,categories!$A$1:$B$1,0),FALSE)</f>
        <v>Electric Bikes</v>
      </c>
      <c r="G4319">
        <v>2</v>
      </c>
      <c r="H4319">
        <v>4999.99</v>
      </c>
      <c r="I4319" s="5">
        <v>0.05</v>
      </c>
      <c r="J4319">
        <f t="shared" si="134"/>
        <v>9499.9809999999998</v>
      </c>
      <c r="K4319" s="9">
        <f t="shared" si="135"/>
        <v>2.7998877119074401</v>
      </c>
    </row>
    <row r="4320" spans="1:11" x14ac:dyDescent="0.3">
      <c r="A4320">
        <v>1483</v>
      </c>
      <c r="B4320">
        <v>1</v>
      </c>
      <c r="C4320">
        <v>280</v>
      </c>
      <c r="D4320" t="str">
        <f>VLOOKUP($C4320,products!$A$1:$F$322,MATCH(order_items!$D$1,products!$A$1:$F$1,0),FALSE)</f>
        <v>Trek Superfly 24 - 2017/2018</v>
      </c>
      <c r="E4320">
        <f>VLOOKUP($C4320,products!$A$1:$F$322,MATCH(order_items!$E$1,products!$A$1:$F$1,0),FALSE)</f>
        <v>1</v>
      </c>
      <c r="F4320" t="str">
        <f>VLOOKUP($E4320,categories!$A$1:$B$8,MATCH(order_items!$F$1,categories!$A$1:$B$1,0),FALSE)</f>
        <v>Children Bicycles</v>
      </c>
      <c r="G4320">
        <v>1</v>
      </c>
      <c r="H4320">
        <v>489.99</v>
      </c>
      <c r="I4320" s="5">
        <v>0.05</v>
      </c>
      <c r="J4320">
        <f t="shared" si="134"/>
        <v>465.4905</v>
      </c>
      <c r="K4320" s="9">
        <f t="shared" si="135"/>
        <v>-0.53429578771287245</v>
      </c>
    </row>
    <row r="4321" spans="1:11" x14ac:dyDescent="0.3">
      <c r="A4321">
        <v>1483</v>
      </c>
      <c r="B4321">
        <v>2</v>
      </c>
      <c r="C4321">
        <v>226</v>
      </c>
      <c r="D4321" t="str">
        <f>VLOOKUP($C4321,products!$A$1:$F$322,MATCH(order_items!$D$1,products!$A$1:$F$1,0),FALSE)</f>
        <v>Electra Townie Original 21D EQ - 2017/2018</v>
      </c>
      <c r="E4321">
        <f>VLOOKUP($C4321,products!$A$1:$F$322,MATCH(order_items!$E$1,products!$A$1:$F$1,0),FALSE)</f>
        <v>3</v>
      </c>
      <c r="F4321" t="str">
        <f>VLOOKUP($E4321,categories!$A$1:$B$8,MATCH(order_items!$F$1,categories!$A$1:$B$1,0),FALSE)</f>
        <v>Cruisers Bicycles</v>
      </c>
      <c r="G4321">
        <v>2</v>
      </c>
      <c r="H4321">
        <v>679.99</v>
      </c>
      <c r="I4321" s="5">
        <v>7.0000000000000007E-2</v>
      </c>
      <c r="J4321">
        <f t="shared" si="134"/>
        <v>1264.7813999999998</v>
      </c>
      <c r="K4321" s="9">
        <f t="shared" si="135"/>
        <v>-0.39383129438075282</v>
      </c>
    </row>
    <row r="4322" spans="1:11" x14ac:dyDescent="0.3">
      <c r="A4322">
        <v>1484</v>
      </c>
      <c r="B4322">
        <v>1</v>
      </c>
      <c r="C4322">
        <v>295</v>
      </c>
      <c r="D4322" t="str">
        <f>VLOOKUP($C4322,products!$A$1:$F$322,MATCH(order_items!$D$1,products!$A$1:$F$1,0),FALSE)</f>
        <v>Electra Treasure 1 20" - 2018</v>
      </c>
      <c r="E4322">
        <f>VLOOKUP($C4322,products!$A$1:$F$322,MATCH(order_items!$E$1,products!$A$1:$F$1,0),FALSE)</f>
        <v>1</v>
      </c>
      <c r="F4322" t="str">
        <f>VLOOKUP($E4322,categories!$A$1:$B$8,MATCH(order_items!$F$1,categories!$A$1:$B$1,0),FALSE)</f>
        <v>Children Bicycles</v>
      </c>
      <c r="G4322">
        <v>2</v>
      </c>
      <c r="H4322">
        <v>319.99</v>
      </c>
      <c r="I4322" s="5">
        <v>7.0000000000000007E-2</v>
      </c>
      <c r="J4322">
        <f t="shared" si="134"/>
        <v>595.18139999999994</v>
      </c>
      <c r="K4322" s="9">
        <f t="shared" si="135"/>
        <v>-0.65997454490476892</v>
      </c>
    </row>
    <row r="4323" spans="1:11" x14ac:dyDescent="0.3">
      <c r="A4323">
        <v>1484</v>
      </c>
      <c r="B4323">
        <v>2</v>
      </c>
      <c r="C4323">
        <v>49</v>
      </c>
      <c r="D4323" t="str">
        <f>VLOOKUP($C4323,products!$A$1:$F$322,MATCH(order_items!$D$1,products!$A$1:$F$1,0),FALSE)</f>
        <v>Trek Domane SL 6 - 2017</v>
      </c>
      <c r="E4323">
        <f>VLOOKUP($C4323,products!$A$1:$F$322,MATCH(order_items!$E$1,products!$A$1:$F$1,0),FALSE)</f>
        <v>7</v>
      </c>
      <c r="F4323" t="str">
        <f>VLOOKUP($E4323,categories!$A$1:$B$8,MATCH(order_items!$F$1,categories!$A$1:$B$1,0),FALSE)</f>
        <v>Road Bikes</v>
      </c>
      <c r="G4323">
        <v>2</v>
      </c>
      <c r="H4323">
        <v>3499.99</v>
      </c>
      <c r="I4323" s="5">
        <v>0.2</v>
      </c>
      <c r="J4323">
        <f t="shared" si="134"/>
        <v>5599.9840000000004</v>
      </c>
      <c r="K4323" s="9">
        <f t="shared" si="135"/>
        <v>1.6909575013907066</v>
      </c>
    </row>
    <row r="4324" spans="1:11" x14ac:dyDescent="0.3">
      <c r="A4324">
        <v>1484</v>
      </c>
      <c r="B4324">
        <v>3</v>
      </c>
      <c r="C4324">
        <v>304</v>
      </c>
      <c r="D4324" t="str">
        <f>VLOOKUP($C4324,products!$A$1:$F$322,MATCH(order_items!$D$1,products!$A$1:$F$1,0),FALSE)</f>
        <v>Electra Townie Original 21D EQ - 2017/2018</v>
      </c>
      <c r="E4324">
        <f>VLOOKUP($C4324,products!$A$1:$F$322,MATCH(order_items!$E$1,products!$A$1:$F$1,0),FALSE)</f>
        <v>2</v>
      </c>
      <c r="F4324" t="str">
        <f>VLOOKUP($E4324,categories!$A$1:$B$8,MATCH(order_items!$F$1,categories!$A$1:$B$1,0),FALSE)</f>
        <v>Comfort Bicycles</v>
      </c>
      <c r="G4324">
        <v>2</v>
      </c>
      <c r="H4324">
        <v>679.99</v>
      </c>
      <c r="I4324" s="5">
        <v>0.05</v>
      </c>
      <c r="J4324">
        <f t="shared" si="134"/>
        <v>1291.981</v>
      </c>
      <c r="K4324" s="9">
        <f t="shared" si="135"/>
        <v>-0.39383129438075282</v>
      </c>
    </row>
    <row r="4325" spans="1:11" x14ac:dyDescent="0.3">
      <c r="A4325">
        <v>1485</v>
      </c>
      <c r="B4325">
        <v>1</v>
      </c>
      <c r="C4325">
        <v>122</v>
      </c>
      <c r="D4325" t="str">
        <f>VLOOKUP($C4325,products!$A$1:$F$322,MATCH(order_items!$D$1,products!$A$1:$F$1,0),FALSE)</f>
        <v>Surly Troll Frameset - 2018</v>
      </c>
      <c r="E4325">
        <f>VLOOKUP($C4325,products!$A$1:$F$322,MATCH(order_items!$E$1,products!$A$1:$F$1,0),FALSE)</f>
        <v>6</v>
      </c>
      <c r="F4325" t="str">
        <f>VLOOKUP($E4325,categories!$A$1:$B$8,MATCH(order_items!$F$1,categories!$A$1:$B$1,0),FALSE)</f>
        <v>Mountain Bikes</v>
      </c>
      <c r="G4325">
        <v>2</v>
      </c>
      <c r="H4325">
        <v>2499.9899999999998</v>
      </c>
      <c r="I4325" s="5">
        <v>0.2</v>
      </c>
      <c r="J4325">
        <f t="shared" si="134"/>
        <v>3999.9839999999999</v>
      </c>
      <c r="K4325" s="9">
        <f t="shared" si="135"/>
        <v>0.95167069437955054</v>
      </c>
    </row>
    <row r="4326" spans="1:11" x14ac:dyDescent="0.3">
      <c r="A4326">
        <v>1485</v>
      </c>
      <c r="B4326">
        <v>2</v>
      </c>
      <c r="C4326">
        <v>276</v>
      </c>
      <c r="D4326" t="str">
        <f>VLOOKUP($C4326,products!$A$1:$F$322,MATCH(order_items!$D$1,products!$A$1:$F$1,0),FALSE)</f>
        <v>Trek Precaliber 24 (7-Speed) - Boys - 2018</v>
      </c>
      <c r="E4326">
        <f>VLOOKUP($C4326,products!$A$1:$F$322,MATCH(order_items!$E$1,products!$A$1:$F$1,0),FALSE)</f>
        <v>1</v>
      </c>
      <c r="F4326" t="str">
        <f>VLOOKUP($E4326,categories!$A$1:$B$8,MATCH(order_items!$F$1,categories!$A$1:$B$1,0),FALSE)</f>
        <v>Children Bicycles</v>
      </c>
      <c r="G4326">
        <v>1</v>
      </c>
      <c r="H4326">
        <v>319.99</v>
      </c>
      <c r="I4326" s="5">
        <v>0.2</v>
      </c>
      <c r="J4326">
        <f t="shared" si="134"/>
        <v>255.99200000000002</v>
      </c>
      <c r="K4326" s="9">
        <f t="shared" si="135"/>
        <v>-0.65997454490476892</v>
      </c>
    </row>
    <row r="4327" spans="1:11" x14ac:dyDescent="0.3">
      <c r="A4327">
        <v>1486</v>
      </c>
      <c r="B4327">
        <v>1</v>
      </c>
      <c r="C4327">
        <v>60</v>
      </c>
      <c r="D4327" t="str">
        <f>VLOOKUP($C4327,products!$A$1:$F$322,MATCH(order_items!$D$1,products!$A$1:$F$1,0),FALSE)</f>
        <v>Sun Bicycles ElectroLite - 2017</v>
      </c>
      <c r="E4327">
        <f>VLOOKUP($C4327,products!$A$1:$F$322,MATCH(order_items!$E$1,products!$A$1:$F$1,0),FALSE)</f>
        <v>5</v>
      </c>
      <c r="F4327" t="str">
        <f>VLOOKUP($E4327,categories!$A$1:$B$8,MATCH(order_items!$F$1,categories!$A$1:$B$1,0),FALSE)</f>
        <v>Electric Bikes</v>
      </c>
      <c r="G4327">
        <v>2</v>
      </c>
      <c r="H4327">
        <v>1559.99</v>
      </c>
      <c r="I4327" s="5">
        <v>0.05</v>
      </c>
      <c r="J4327">
        <f t="shared" si="134"/>
        <v>2963.9809999999998</v>
      </c>
      <c r="K4327" s="9">
        <f t="shared" si="135"/>
        <v>0.25674109578906423</v>
      </c>
    </row>
    <row r="4328" spans="1:11" x14ac:dyDescent="0.3">
      <c r="A4328">
        <v>1486</v>
      </c>
      <c r="B4328">
        <v>2</v>
      </c>
      <c r="C4328">
        <v>98</v>
      </c>
      <c r="D4328" t="str">
        <f>VLOOKUP($C4328,products!$A$1:$F$322,MATCH(order_items!$D$1,products!$A$1:$F$1,0),FALSE)</f>
        <v>Electra Straight 8 3i (20-inch) - Boy's - 2017</v>
      </c>
      <c r="E4328">
        <f>VLOOKUP($C4328,products!$A$1:$F$322,MATCH(order_items!$E$1,products!$A$1:$F$1,0),FALSE)</f>
        <v>1</v>
      </c>
      <c r="F4328" t="str">
        <f>VLOOKUP($E4328,categories!$A$1:$B$8,MATCH(order_items!$F$1,categories!$A$1:$B$1,0),FALSE)</f>
        <v>Children Bicycles</v>
      </c>
      <c r="G4328">
        <v>1</v>
      </c>
      <c r="H4328">
        <v>489.99</v>
      </c>
      <c r="I4328" s="5">
        <v>0.05</v>
      </c>
      <c r="J4328">
        <f t="shared" si="134"/>
        <v>465.4905</v>
      </c>
      <c r="K4328" s="9">
        <f t="shared" si="135"/>
        <v>-0.53429578771287245</v>
      </c>
    </row>
    <row r="4329" spans="1:11" x14ac:dyDescent="0.3">
      <c r="A4329">
        <v>1486</v>
      </c>
      <c r="B4329">
        <v>3</v>
      </c>
      <c r="C4329">
        <v>113</v>
      </c>
      <c r="D4329" t="str">
        <f>VLOOKUP($C4329,products!$A$1:$F$322,MATCH(order_items!$D$1,products!$A$1:$F$1,0),FALSE)</f>
        <v>Trek Marlin 5 - 2018</v>
      </c>
      <c r="E4329">
        <f>VLOOKUP($C4329,products!$A$1:$F$322,MATCH(order_items!$E$1,products!$A$1:$F$1,0),FALSE)</f>
        <v>6</v>
      </c>
      <c r="F4329" t="str">
        <f>VLOOKUP($E4329,categories!$A$1:$B$8,MATCH(order_items!$F$1,categories!$A$1:$B$1,0),FALSE)</f>
        <v>Mountain Bikes</v>
      </c>
      <c r="G4329">
        <v>1</v>
      </c>
      <c r="H4329">
        <v>489.99</v>
      </c>
      <c r="I4329" s="5">
        <v>0.1</v>
      </c>
      <c r="J4329">
        <f t="shared" si="134"/>
        <v>440.99100000000004</v>
      </c>
      <c r="K4329" s="9">
        <f t="shared" si="135"/>
        <v>-0.53429578771287245</v>
      </c>
    </row>
    <row r="4330" spans="1:11" x14ac:dyDescent="0.3">
      <c r="A4330">
        <v>1486</v>
      </c>
      <c r="B4330">
        <v>4</v>
      </c>
      <c r="C4330">
        <v>269</v>
      </c>
      <c r="D4330" t="str">
        <f>VLOOKUP($C4330,products!$A$1:$F$322,MATCH(order_items!$D$1,products!$A$1:$F$1,0),FALSE)</f>
        <v>Trek Precaliber 12 Boy's - 2018</v>
      </c>
      <c r="E4330">
        <f>VLOOKUP($C4330,products!$A$1:$F$322,MATCH(order_items!$E$1,products!$A$1:$F$1,0),FALSE)</f>
        <v>1</v>
      </c>
      <c r="F4330" t="str">
        <f>VLOOKUP($E4330,categories!$A$1:$B$8,MATCH(order_items!$F$1,categories!$A$1:$B$1,0),FALSE)</f>
        <v>Children Bicycles</v>
      </c>
      <c r="G4330">
        <v>1</v>
      </c>
      <c r="H4330">
        <v>199.99</v>
      </c>
      <c r="I4330" s="5">
        <v>0.1</v>
      </c>
      <c r="J4330">
        <f t="shared" si="134"/>
        <v>179.99100000000001</v>
      </c>
      <c r="K4330" s="9">
        <f t="shared" si="135"/>
        <v>-0.74868896174610755</v>
      </c>
    </row>
    <row r="4331" spans="1:11" x14ac:dyDescent="0.3">
      <c r="A4331">
        <v>1487</v>
      </c>
      <c r="B4331">
        <v>1</v>
      </c>
      <c r="C4331">
        <v>160</v>
      </c>
      <c r="D4331" t="str">
        <f>VLOOKUP($C4331,products!$A$1:$F$322,MATCH(order_items!$D$1,products!$A$1:$F$1,0),FALSE)</f>
        <v>Trek Emonda SLR 6 - 2018</v>
      </c>
      <c r="E4331">
        <f>VLOOKUP($C4331,products!$A$1:$F$322,MATCH(order_items!$E$1,products!$A$1:$F$1,0),FALSE)</f>
        <v>7</v>
      </c>
      <c r="F4331" t="str">
        <f>VLOOKUP($E4331,categories!$A$1:$B$8,MATCH(order_items!$F$1,categories!$A$1:$B$1,0),FALSE)</f>
        <v>Road Bikes</v>
      </c>
      <c r="G4331">
        <v>1</v>
      </c>
      <c r="H4331">
        <v>4499.99</v>
      </c>
      <c r="I4331" s="5">
        <v>7.0000000000000007E-2</v>
      </c>
      <c r="J4331">
        <f t="shared" si="134"/>
        <v>4184.9906999999994</v>
      </c>
      <c r="K4331" s="9">
        <f t="shared" si="135"/>
        <v>2.4302443084018623</v>
      </c>
    </row>
    <row r="4332" spans="1:11" x14ac:dyDescent="0.3">
      <c r="A4332">
        <v>1487</v>
      </c>
      <c r="B4332">
        <v>2</v>
      </c>
      <c r="C4332">
        <v>151</v>
      </c>
      <c r="D4332" t="str">
        <f>VLOOKUP($C4332,products!$A$1:$F$322,MATCH(order_items!$D$1,products!$A$1:$F$1,0),FALSE)</f>
        <v>Trek Domane ALR 4 Disc Women's - 2018</v>
      </c>
      <c r="E4332">
        <f>VLOOKUP($C4332,products!$A$1:$F$322,MATCH(order_items!$E$1,products!$A$1:$F$1,0),FALSE)</f>
        <v>7</v>
      </c>
      <c r="F4332" t="str">
        <f>VLOOKUP($E4332,categories!$A$1:$B$8,MATCH(order_items!$F$1,categories!$A$1:$B$1,0),FALSE)</f>
        <v>Road Bikes</v>
      </c>
      <c r="G4332">
        <v>2</v>
      </c>
      <c r="H4332">
        <v>1549.99</v>
      </c>
      <c r="I4332" s="5">
        <v>0.2</v>
      </c>
      <c r="J4332">
        <f t="shared" si="134"/>
        <v>2479.9840000000004</v>
      </c>
      <c r="K4332" s="9">
        <f t="shared" si="135"/>
        <v>0.24934822771895271</v>
      </c>
    </row>
    <row r="4333" spans="1:11" x14ac:dyDescent="0.3">
      <c r="A4333">
        <v>1487</v>
      </c>
      <c r="B4333">
        <v>3</v>
      </c>
      <c r="C4333">
        <v>198</v>
      </c>
      <c r="D4333" t="str">
        <f>VLOOKUP($C4333,products!$A$1:$F$322,MATCH(order_items!$D$1,products!$A$1:$F$1,0),FALSE)</f>
        <v>Electra Townie Commute Go! - 2018</v>
      </c>
      <c r="E4333">
        <f>VLOOKUP($C4333,products!$A$1:$F$322,MATCH(order_items!$E$1,products!$A$1:$F$1,0),FALSE)</f>
        <v>5</v>
      </c>
      <c r="F4333" t="str">
        <f>VLOOKUP($E4333,categories!$A$1:$B$8,MATCH(order_items!$F$1,categories!$A$1:$B$1,0),FALSE)</f>
        <v>Electric Bikes</v>
      </c>
      <c r="G4333">
        <v>1</v>
      </c>
      <c r="H4333">
        <v>2999.99</v>
      </c>
      <c r="I4333" s="5">
        <v>0.05</v>
      </c>
      <c r="J4333">
        <f t="shared" si="134"/>
        <v>2849.9904999999999</v>
      </c>
      <c r="K4333" s="9">
        <f t="shared" si="135"/>
        <v>1.3213140978851283</v>
      </c>
    </row>
    <row r="4334" spans="1:11" x14ac:dyDescent="0.3">
      <c r="A4334">
        <v>1487</v>
      </c>
      <c r="B4334">
        <v>4</v>
      </c>
      <c r="C4334">
        <v>196</v>
      </c>
      <c r="D4334" t="str">
        <f>VLOOKUP($C4334,products!$A$1:$F$322,MATCH(order_items!$D$1,products!$A$1:$F$1,0),FALSE)</f>
        <v>Trek Verve+ - 2018</v>
      </c>
      <c r="E4334">
        <f>VLOOKUP($C4334,products!$A$1:$F$322,MATCH(order_items!$E$1,products!$A$1:$F$1,0),FALSE)</f>
        <v>5</v>
      </c>
      <c r="F4334" t="str">
        <f>VLOOKUP($E4334,categories!$A$1:$B$8,MATCH(order_items!$F$1,categories!$A$1:$B$1,0),FALSE)</f>
        <v>Electric Bikes</v>
      </c>
      <c r="G4334">
        <v>1</v>
      </c>
      <c r="H4334">
        <v>2299.9899999999998</v>
      </c>
      <c r="I4334" s="5">
        <v>0.05</v>
      </c>
      <c r="J4334">
        <f t="shared" si="134"/>
        <v>2184.9904999999999</v>
      </c>
      <c r="K4334" s="9">
        <f t="shared" si="135"/>
        <v>0.80381333297731938</v>
      </c>
    </row>
    <row r="4335" spans="1:11" x14ac:dyDescent="0.3">
      <c r="A4335">
        <v>1487</v>
      </c>
      <c r="B4335">
        <v>5</v>
      </c>
      <c r="C4335">
        <v>96</v>
      </c>
      <c r="D4335" t="str">
        <f>VLOOKUP($C4335,products!$A$1:$F$322,MATCH(order_items!$D$1,products!$A$1:$F$1,0),FALSE)</f>
        <v>Electra Moto 3i (20-inch) - Boy's - 2017</v>
      </c>
      <c r="E4335">
        <f>VLOOKUP($C4335,products!$A$1:$F$322,MATCH(order_items!$E$1,products!$A$1:$F$1,0),FALSE)</f>
        <v>1</v>
      </c>
      <c r="F4335" t="str">
        <f>VLOOKUP($E4335,categories!$A$1:$B$8,MATCH(order_items!$F$1,categories!$A$1:$B$1,0),FALSE)</f>
        <v>Children Bicycles</v>
      </c>
      <c r="G4335">
        <v>2</v>
      </c>
      <c r="H4335">
        <v>349.99</v>
      </c>
      <c r="I4335" s="5">
        <v>0.2</v>
      </c>
      <c r="J4335">
        <f t="shared" si="134"/>
        <v>559.98400000000004</v>
      </c>
      <c r="K4335" s="9">
        <f t="shared" si="135"/>
        <v>-0.63779594069443424</v>
      </c>
    </row>
    <row r="4336" spans="1:11" x14ac:dyDescent="0.3">
      <c r="A4336">
        <v>1488</v>
      </c>
      <c r="B4336">
        <v>1</v>
      </c>
      <c r="C4336">
        <v>42</v>
      </c>
      <c r="D4336" t="str">
        <f>VLOOKUP($C4336,products!$A$1:$F$322,MATCH(order_items!$D$1,products!$A$1:$F$1,0),FALSE)</f>
        <v>Trek Fuel EX 5 27.5 Plus - 2017</v>
      </c>
      <c r="E4336">
        <f>VLOOKUP($C4336,products!$A$1:$F$322,MATCH(order_items!$E$1,products!$A$1:$F$1,0),FALSE)</f>
        <v>6</v>
      </c>
      <c r="F4336" t="str">
        <f>VLOOKUP($E4336,categories!$A$1:$B$8,MATCH(order_items!$F$1,categories!$A$1:$B$1,0),FALSE)</f>
        <v>Mountain Bikes</v>
      </c>
      <c r="G4336">
        <v>1</v>
      </c>
      <c r="H4336">
        <v>2299.9899999999998</v>
      </c>
      <c r="I4336" s="5">
        <v>7.0000000000000007E-2</v>
      </c>
      <c r="J4336">
        <f t="shared" si="134"/>
        <v>2138.9906999999998</v>
      </c>
      <c r="K4336" s="9">
        <f t="shared" si="135"/>
        <v>0.80381333297731938</v>
      </c>
    </row>
    <row r="4337" spans="1:11" x14ac:dyDescent="0.3">
      <c r="A4337">
        <v>1488</v>
      </c>
      <c r="B4337">
        <v>2</v>
      </c>
      <c r="C4337">
        <v>122</v>
      </c>
      <c r="D4337" t="str">
        <f>VLOOKUP($C4337,products!$A$1:$F$322,MATCH(order_items!$D$1,products!$A$1:$F$1,0),FALSE)</f>
        <v>Surly Troll Frameset - 2018</v>
      </c>
      <c r="E4337">
        <f>VLOOKUP($C4337,products!$A$1:$F$322,MATCH(order_items!$E$1,products!$A$1:$F$1,0),FALSE)</f>
        <v>6</v>
      </c>
      <c r="F4337" t="str">
        <f>VLOOKUP($E4337,categories!$A$1:$B$8,MATCH(order_items!$F$1,categories!$A$1:$B$1,0),FALSE)</f>
        <v>Mountain Bikes</v>
      </c>
      <c r="G4337">
        <v>1</v>
      </c>
      <c r="H4337">
        <v>2499.9899999999998</v>
      </c>
      <c r="I4337" s="5">
        <v>7.0000000000000007E-2</v>
      </c>
      <c r="J4337">
        <f t="shared" si="134"/>
        <v>2324.9906999999998</v>
      </c>
      <c r="K4337" s="9">
        <f t="shared" si="135"/>
        <v>0.95167069437955054</v>
      </c>
    </row>
    <row r="4338" spans="1:11" x14ac:dyDescent="0.3">
      <c r="A4338">
        <v>1489</v>
      </c>
      <c r="B4338">
        <v>1</v>
      </c>
      <c r="C4338">
        <v>198</v>
      </c>
      <c r="D4338" t="str">
        <f>VLOOKUP($C4338,products!$A$1:$F$322,MATCH(order_items!$D$1,products!$A$1:$F$1,0),FALSE)</f>
        <v>Electra Townie Commute Go! - 2018</v>
      </c>
      <c r="E4338">
        <f>VLOOKUP($C4338,products!$A$1:$F$322,MATCH(order_items!$E$1,products!$A$1:$F$1,0),FALSE)</f>
        <v>5</v>
      </c>
      <c r="F4338" t="str">
        <f>VLOOKUP($E4338,categories!$A$1:$B$8,MATCH(order_items!$F$1,categories!$A$1:$B$1,0),FALSE)</f>
        <v>Electric Bikes</v>
      </c>
      <c r="G4338">
        <v>1</v>
      </c>
      <c r="H4338">
        <v>2999.99</v>
      </c>
      <c r="I4338" s="5">
        <v>0.2</v>
      </c>
      <c r="J4338">
        <f t="shared" si="134"/>
        <v>2399.9919999999997</v>
      </c>
      <c r="K4338" s="9">
        <f t="shared" si="135"/>
        <v>1.3213140978851283</v>
      </c>
    </row>
    <row r="4339" spans="1:11" x14ac:dyDescent="0.3">
      <c r="A4339">
        <v>1489</v>
      </c>
      <c r="B4339">
        <v>2</v>
      </c>
      <c r="C4339">
        <v>282</v>
      </c>
      <c r="D4339" t="str">
        <f>VLOOKUP($C4339,products!$A$1:$F$322,MATCH(order_items!$D$1,products!$A$1:$F$1,0),FALSE)</f>
        <v>Electra Cyclosaurus 1 (16-inch) - Boy's - 2018</v>
      </c>
      <c r="E4339">
        <f>VLOOKUP($C4339,products!$A$1:$F$322,MATCH(order_items!$E$1,products!$A$1:$F$1,0),FALSE)</f>
        <v>1</v>
      </c>
      <c r="F4339" t="str">
        <f>VLOOKUP($E4339,categories!$A$1:$B$8,MATCH(order_items!$F$1,categories!$A$1:$B$1,0),FALSE)</f>
        <v>Children Bicycles</v>
      </c>
      <c r="G4339">
        <v>2</v>
      </c>
      <c r="H4339">
        <v>279.99</v>
      </c>
      <c r="I4339" s="5">
        <v>0.2</v>
      </c>
      <c r="J4339">
        <f t="shared" si="134"/>
        <v>447.98400000000004</v>
      </c>
      <c r="K4339" s="9">
        <f t="shared" si="135"/>
        <v>-0.68954601718521513</v>
      </c>
    </row>
    <row r="4340" spans="1:11" x14ac:dyDescent="0.3">
      <c r="A4340">
        <v>1489</v>
      </c>
      <c r="B4340">
        <v>3</v>
      </c>
      <c r="C4340">
        <v>52</v>
      </c>
      <c r="D4340" t="str">
        <f>VLOOKUP($C4340,products!$A$1:$F$322,MATCH(order_items!$D$1,products!$A$1:$F$1,0),FALSE)</f>
        <v>Surly Steamroller - 2017</v>
      </c>
      <c r="E4340">
        <f>VLOOKUP($C4340,products!$A$1:$F$322,MATCH(order_items!$E$1,products!$A$1:$F$1,0),FALSE)</f>
        <v>7</v>
      </c>
      <c r="F4340" t="str">
        <f>VLOOKUP($E4340,categories!$A$1:$B$8,MATCH(order_items!$F$1,categories!$A$1:$B$1,0),FALSE)</f>
        <v>Road Bikes</v>
      </c>
      <c r="G4340">
        <v>1</v>
      </c>
      <c r="H4340">
        <v>875.99</v>
      </c>
      <c r="I4340" s="5">
        <v>0.1</v>
      </c>
      <c r="J4340">
        <f t="shared" si="134"/>
        <v>788.39100000000008</v>
      </c>
      <c r="K4340" s="9">
        <f t="shared" si="135"/>
        <v>-0.24893108020656629</v>
      </c>
    </row>
    <row r="4341" spans="1:11" x14ac:dyDescent="0.3">
      <c r="A4341">
        <v>1490</v>
      </c>
      <c r="B4341">
        <v>1</v>
      </c>
      <c r="C4341">
        <v>99</v>
      </c>
      <c r="D4341" t="str">
        <f>VLOOKUP($C4341,products!$A$1:$F$322,MATCH(order_items!$D$1,products!$A$1:$F$1,0),FALSE)</f>
        <v>Electra Sugar Skulls 1 (20-inch) - Girl's - 2017</v>
      </c>
      <c r="E4341">
        <f>VLOOKUP($C4341,products!$A$1:$F$322,MATCH(order_items!$E$1,products!$A$1:$F$1,0),FALSE)</f>
        <v>1</v>
      </c>
      <c r="F4341" t="str">
        <f>VLOOKUP($E4341,categories!$A$1:$B$8,MATCH(order_items!$F$1,categories!$A$1:$B$1,0),FALSE)</f>
        <v>Children Bicycles</v>
      </c>
      <c r="G4341">
        <v>1</v>
      </c>
      <c r="H4341">
        <v>299.99</v>
      </c>
      <c r="I4341" s="5">
        <v>0.1</v>
      </c>
      <c r="J4341">
        <f t="shared" si="134"/>
        <v>269.99100000000004</v>
      </c>
      <c r="K4341" s="9">
        <f t="shared" si="135"/>
        <v>-0.67476028104499197</v>
      </c>
    </row>
    <row r="4342" spans="1:11" x14ac:dyDescent="0.3">
      <c r="A4342">
        <v>1490</v>
      </c>
      <c r="B4342">
        <v>2</v>
      </c>
      <c r="C4342">
        <v>254</v>
      </c>
      <c r="D4342" t="str">
        <f>VLOOKUP($C4342,products!$A$1:$F$322,MATCH(order_items!$D$1,products!$A$1:$F$1,0),FALSE)</f>
        <v>Electra Townie Balloon 3i EQ - 2017/2018</v>
      </c>
      <c r="E4342">
        <f>VLOOKUP($C4342,products!$A$1:$F$322,MATCH(order_items!$E$1,products!$A$1:$F$1,0),FALSE)</f>
        <v>3</v>
      </c>
      <c r="F4342" t="str">
        <f>VLOOKUP($E4342,categories!$A$1:$B$8,MATCH(order_items!$F$1,categories!$A$1:$B$1,0),FALSE)</f>
        <v>Cruisers Bicycles</v>
      </c>
      <c r="G4342">
        <v>1</v>
      </c>
      <c r="H4342">
        <v>749.99</v>
      </c>
      <c r="I4342" s="5">
        <v>0.1</v>
      </c>
      <c r="J4342">
        <f t="shared" si="134"/>
        <v>674.99099999999999</v>
      </c>
      <c r="K4342" s="9">
        <f t="shared" si="135"/>
        <v>-0.34208121788997192</v>
      </c>
    </row>
    <row r="4343" spans="1:11" x14ac:dyDescent="0.3">
      <c r="A4343">
        <v>1490</v>
      </c>
      <c r="B4343">
        <v>3</v>
      </c>
      <c r="C4343">
        <v>218</v>
      </c>
      <c r="D4343" t="str">
        <f>VLOOKUP($C4343,products!$A$1:$F$322,MATCH(order_items!$D$1,products!$A$1:$F$1,0),FALSE)</f>
        <v>Electra Cruiser 7D - 2016/2017/2018</v>
      </c>
      <c r="E4343">
        <f>VLOOKUP($C4343,products!$A$1:$F$322,MATCH(order_items!$E$1,products!$A$1:$F$1,0),FALSE)</f>
        <v>3</v>
      </c>
      <c r="F4343" t="str">
        <f>VLOOKUP($E4343,categories!$A$1:$B$8,MATCH(order_items!$F$1,categories!$A$1:$B$1,0),FALSE)</f>
        <v>Cruisers Bicycles</v>
      </c>
      <c r="G4343">
        <v>1</v>
      </c>
      <c r="H4343">
        <v>319.99</v>
      </c>
      <c r="I4343" s="5">
        <v>0.05</v>
      </c>
      <c r="J4343">
        <f t="shared" si="134"/>
        <v>303.9905</v>
      </c>
      <c r="K4343" s="9">
        <f t="shared" si="135"/>
        <v>-0.65997454490476892</v>
      </c>
    </row>
    <row r="4344" spans="1:11" x14ac:dyDescent="0.3">
      <c r="A4344">
        <v>1491</v>
      </c>
      <c r="B4344">
        <v>1</v>
      </c>
      <c r="C4344">
        <v>95</v>
      </c>
      <c r="D4344" t="str">
        <f>VLOOKUP($C4344,products!$A$1:$F$322,MATCH(order_items!$D$1,products!$A$1:$F$1,0),FALSE)</f>
        <v>Electra Girl's Hawaii 1 16" - 2017</v>
      </c>
      <c r="E4344">
        <f>VLOOKUP($C4344,products!$A$1:$F$322,MATCH(order_items!$E$1,products!$A$1:$F$1,0),FALSE)</f>
        <v>1</v>
      </c>
      <c r="F4344" t="str">
        <f>VLOOKUP($E4344,categories!$A$1:$B$8,MATCH(order_items!$F$1,categories!$A$1:$B$1,0),FALSE)</f>
        <v>Children Bicycles</v>
      </c>
      <c r="G4344">
        <v>2</v>
      </c>
      <c r="H4344">
        <v>299.99</v>
      </c>
      <c r="I4344" s="5">
        <v>0.2</v>
      </c>
      <c r="J4344">
        <f t="shared" si="134"/>
        <v>479.98400000000004</v>
      </c>
      <c r="K4344" s="9">
        <f t="shared" si="135"/>
        <v>-0.67476028104499197</v>
      </c>
    </row>
    <row r="4345" spans="1:11" x14ac:dyDescent="0.3">
      <c r="A4345">
        <v>1491</v>
      </c>
      <c r="B4345">
        <v>2</v>
      </c>
      <c r="C4345">
        <v>302</v>
      </c>
      <c r="D4345" t="str">
        <f>VLOOKUP($C4345,products!$A$1:$F$322,MATCH(order_items!$D$1,products!$A$1:$F$1,0),FALSE)</f>
        <v>Electra Townie Original 1 - 2018</v>
      </c>
      <c r="E4345">
        <f>VLOOKUP($C4345,products!$A$1:$F$322,MATCH(order_items!$E$1,products!$A$1:$F$1,0),FALSE)</f>
        <v>2</v>
      </c>
      <c r="F4345" t="str">
        <f>VLOOKUP($E4345,categories!$A$1:$B$8,MATCH(order_items!$F$1,categories!$A$1:$B$1,0),FALSE)</f>
        <v>Comfort Bicycles</v>
      </c>
      <c r="G4345">
        <v>1</v>
      </c>
      <c r="H4345">
        <v>449.99</v>
      </c>
      <c r="I4345" s="5">
        <v>0.05</v>
      </c>
      <c r="J4345">
        <f t="shared" si="134"/>
        <v>427.4905</v>
      </c>
      <c r="K4345" s="9">
        <f t="shared" si="135"/>
        <v>-0.56386725999331866</v>
      </c>
    </row>
    <row r="4346" spans="1:11" x14ac:dyDescent="0.3">
      <c r="A4346">
        <v>1491</v>
      </c>
      <c r="B4346">
        <v>3</v>
      </c>
      <c r="C4346">
        <v>60</v>
      </c>
      <c r="D4346" t="str">
        <f>VLOOKUP($C4346,products!$A$1:$F$322,MATCH(order_items!$D$1,products!$A$1:$F$1,0),FALSE)</f>
        <v>Sun Bicycles ElectroLite - 2017</v>
      </c>
      <c r="E4346">
        <f>VLOOKUP($C4346,products!$A$1:$F$322,MATCH(order_items!$E$1,products!$A$1:$F$1,0),FALSE)</f>
        <v>5</v>
      </c>
      <c r="F4346" t="str">
        <f>VLOOKUP($E4346,categories!$A$1:$B$8,MATCH(order_items!$F$1,categories!$A$1:$B$1,0),FALSE)</f>
        <v>Electric Bikes</v>
      </c>
      <c r="G4346">
        <v>2</v>
      </c>
      <c r="H4346">
        <v>1559.99</v>
      </c>
      <c r="I4346" s="5">
        <v>7.0000000000000007E-2</v>
      </c>
      <c r="J4346">
        <f t="shared" si="134"/>
        <v>2901.5814</v>
      </c>
      <c r="K4346" s="9">
        <f t="shared" si="135"/>
        <v>0.25674109578906423</v>
      </c>
    </row>
    <row r="4347" spans="1:11" x14ac:dyDescent="0.3">
      <c r="A4347">
        <v>1491</v>
      </c>
      <c r="B4347">
        <v>4</v>
      </c>
      <c r="C4347">
        <v>139</v>
      </c>
      <c r="D4347" t="str">
        <f>VLOOKUP($C4347,products!$A$1:$F$322,MATCH(order_items!$D$1,products!$A$1:$F$1,0),FALSE)</f>
        <v>Trek Remedy 7 27.5 - 2018</v>
      </c>
      <c r="E4347">
        <f>VLOOKUP($C4347,products!$A$1:$F$322,MATCH(order_items!$E$1,products!$A$1:$F$1,0),FALSE)</f>
        <v>6</v>
      </c>
      <c r="F4347" t="str">
        <f>VLOOKUP($E4347,categories!$A$1:$B$8,MATCH(order_items!$F$1,categories!$A$1:$B$1,0),FALSE)</f>
        <v>Mountain Bikes</v>
      </c>
      <c r="G4347">
        <v>2</v>
      </c>
      <c r="H4347">
        <v>2999.99</v>
      </c>
      <c r="I4347" s="5">
        <v>7.0000000000000007E-2</v>
      </c>
      <c r="J4347">
        <f t="shared" si="134"/>
        <v>5579.9813999999997</v>
      </c>
      <c r="K4347" s="9">
        <f t="shared" si="135"/>
        <v>1.3213140978851283</v>
      </c>
    </row>
    <row r="4348" spans="1:11" x14ac:dyDescent="0.3">
      <c r="A4348">
        <v>1492</v>
      </c>
      <c r="B4348">
        <v>1</v>
      </c>
      <c r="C4348">
        <v>37</v>
      </c>
      <c r="D4348" t="str">
        <f>VLOOKUP($C4348,products!$A$1:$F$322,MATCH(order_items!$D$1,products!$A$1:$F$1,0),FALSE)</f>
        <v>Haro Flightline One ST - 2017</v>
      </c>
      <c r="E4348">
        <f>VLOOKUP($C4348,products!$A$1:$F$322,MATCH(order_items!$E$1,products!$A$1:$F$1,0),FALSE)</f>
        <v>6</v>
      </c>
      <c r="F4348" t="str">
        <f>VLOOKUP($E4348,categories!$A$1:$B$8,MATCH(order_items!$F$1,categories!$A$1:$B$1,0),FALSE)</f>
        <v>Mountain Bikes</v>
      </c>
      <c r="G4348">
        <v>2</v>
      </c>
      <c r="H4348">
        <v>379.99</v>
      </c>
      <c r="I4348" s="5">
        <v>0.1</v>
      </c>
      <c r="J4348">
        <f t="shared" si="134"/>
        <v>683.98200000000008</v>
      </c>
      <c r="K4348" s="9">
        <f t="shared" si="135"/>
        <v>-0.61561733648409955</v>
      </c>
    </row>
    <row r="4349" spans="1:11" x14ac:dyDescent="0.3">
      <c r="A4349">
        <v>1493</v>
      </c>
      <c r="B4349">
        <v>1</v>
      </c>
      <c r="C4349">
        <v>230</v>
      </c>
      <c r="D4349" t="str">
        <f>VLOOKUP($C4349,products!$A$1:$F$322,MATCH(order_items!$D$1,products!$A$1:$F$1,0),FALSE)</f>
        <v>Electra Cruiser Lux 1 Ladies' - 2018</v>
      </c>
      <c r="E4349">
        <f>VLOOKUP($C4349,products!$A$1:$F$322,MATCH(order_items!$E$1,products!$A$1:$F$1,0),FALSE)</f>
        <v>3</v>
      </c>
      <c r="F4349" t="str">
        <f>VLOOKUP($E4349,categories!$A$1:$B$8,MATCH(order_items!$F$1,categories!$A$1:$B$1,0),FALSE)</f>
        <v>Cruisers Bicycles</v>
      </c>
      <c r="G4349">
        <v>1</v>
      </c>
      <c r="H4349">
        <v>429.99</v>
      </c>
      <c r="I4349" s="5">
        <v>0.1</v>
      </c>
      <c r="J4349">
        <f t="shared" si="134"/>
        <v>386.99100000000004</v>
      </c>
      <c r="K4349" s="9">
        <f t="shared" si="135"/>
        <v>-0.57865299613354182</v>
      </c>
    </row>
    <row r="4350" spans="1:11" x14ac:dyDescent="0.3">
      <c r="A4350">
        <v>1494</v>
      </c>
      <c r="B4350">
        <v>1</v>
      </c>
      <c r="C4350">
        <v>230</v>
      </c>
      <c r="D4350" t="str">
        <f>VLOOKUP($C4350,products!$A$1:$F$322,MATCH(order_items!$D$1,products!$A$1:$F$1,0),FALSE)</f>
        <v>Electra Cruiser Lux 1 Ladies' - 2018</v>
      </c>
      <c r="E4350">
        <f>VLOOKUP($C4350,products!$A$1:$F$322,MATCH(order_items!$E$1,products!$A$1:$F$1,0),FALSE)</f>
        <v>3</v>
      </c>
      <c r="F4350" t="str">
        <f>VLOOKUP($E4350,categories!$A$1:$B$8,MATCH(order_items!$F$1,categories!$A$1:$B$1,0),FALSE)</f>
        <v>Cruisers Bicycles</v>
      </c>
      <c r="G4350">
        <v>2</v>
      </c>
      <c r="H4350">
        <v>429.99</v>
      </c>
      <c r="I4350" s="5">
        <v>0.1</v>
      </c>
      <c r="J4350">
        <f t="shared" si="134"/>
        <v>773.98200000000008</v>
      </c>
      <c r="K4350" s="9">
        <f t="shared" si="135"/>
        <v>-0.57865299613354182</v>
      </c>
    </row>
    <row r="4351" spans="1:11" x14ac:dyDescent="0.3">
      <c r="A4351">
        <v>1494</v>
      </c>
      <c r="B4351">
        <v>2</v>
      </c>
      <c r="C4351">
        <v>178</v>
      </c>
      <c r="D4351" t="str">
        <f>VLOOKUP($C4351,products!$A$1:$F$322,MATCH(order_items!$D$1,products!$A$1:$F$1,0),FALSE)</f>
        <v>Trek Domane AL 2 - 2018</v>
      </c>
      <c r="E4351">
        <f>VLOOKUP($C4351,products!$A$1:$F$322,MATCH(order_items!$E$1,products!$A$1:$F$1,0),FALSE)</f>
        <v>7</v>
      </c>
      <c r="F4351" t="str">
        <f>VLOOKUP($E4351,categories!$A$1:$B$8,MATCH(order_items!$F$1,categories!$A$1:$B$1,0),FALSE)</f>
        <v>Road Bikes</v>
      </c>
      <c r="G4351">
        <v>2</v>
      </c>
      <c r="H4351">
        <v>749.99</v>
      </c>
      <c r="I4351" s="5">
        <v>0.2</v>
      </c>
      <c r="J4351">
        <f t="shared" si="134"/>
        <v>1199.9840000000002</v>
      </c>
      <c r="K4351" s="9">
        <f t="shared" si="135"/>
        <v>-0.34208121788997192</v>
      </c>
    </row>
    <row r="4352" spans="1:11" x14ac:dyDescent="0.3">
      <c r="A4352">
        <v>1494</v>
      </c>
      <c r="B4352">
        <v>3</v>
      </c>
      <c r="C4352">
        <v>264</v>
      </c>
      <c r="D4352" t="str">
        <f>VLOOKUP($C4352,products!$A$1:$F$322,MATCH(order_items!$D$1,products!$A$1:$F$1,0),FALSE)</f>
        <v>Strider Sport 16 - 2018</v>
      </c>
      <c r="E4352">
        <f>VLOOKUP($C4352,products!$A$1:$F$322,MATCH(order_items!$E$1,products!$A$1:$F$1,0),FALSE)</f>
        <v>1</v>
      </c>
      <c r="F4352" t="str">
        <f>VLOOKUP($E4352,categories!$A$1:$B$8,MATCH(order_items!$F$1,categories!$A$1:$B$1,0),FALSE)</f>
        <v>Children Bicycles</v>
      </c>
      <c r="G4352">
        <v>2</v>
      </c>
      <c r="H4352">
        <v>249.99</v>
      </c>
      <c r="I4352" s="5">
        <v>0.05</v>
      </c>
      <c r="J4352">
        <f t="shared" si="134"/>
        <v>474.98099999999999</v>
      </c>
      <c r="K4352" s="9">
        <f t="shared" si="135"/>
        <v>-0.71172462139554982</v>
      </c>
    </row>
    <row r="4353" spans="1:11" x14ac:dyDescent="0.3">
      <c r="A4353">
        <v>1495</v>
      </c>
      <c r="B4353">
        <v>1</v>
      </c>
      <c r="C4353">
        <v>292</v>
      </c>
      <c r="D4353" t="str">
        <f>VLOOKUP($C4353,products!$A$1:$F$322,MATCH(order_items!$D$1,products!$A$1:$F$1,0),FALSE)</f>
        <v>Electra Sweet Ride 3i (20-inch) - Girls' - 2018</v>
      </c>
      <c r="E4353">
        <f>VLOOKUP($C4353,products!$A$1:$F$322,MATCH(order_items!$E$1,products!$A$1:$F$1,0),FALSE)</f>
        <v>1</v>
      </c>
      <c r="F4353" t="str">
        <f>VLOOKUP($E4353,categories!$A$1:$B$8,MATCH(order_items!$F$1,categories!$A$1:$B$1,0),FALSE)</f>
        <v>Children Bicycles</v>
      </c>
      <c r="G4353">
        <v>2</v>
      </c>
      <c r="H4353">
        <v>369.99</v>
      </c>
      <c r="I4353" s="5">
        <v>0.05</v>
      </c>
      <c r="J4353">
        <f t="shared" si="134"/>
        <v>702.98099999999999</v>
      </c>
      <c r="K4353" s="9">
        <f t="shared" si="135"/>
        <v>-0.62301020455421108</v>
      </c>
    </row>
    <row r="4354" spans="1:11" x14ac:dyDescent="0.3">
      <c r="A4354">
        <v>1495</v>
      </c>
      <c r="B4354">
        <v>2</v>
      </c>
      <c r="C4354">
        <v>308</v>
      </c>
      <c r="D4354" t="str">
        <f>VLOOKUP($C4354,products!$A$1:$F$322,MATCH(order_items!$D$1,products!$A$1:$F$1,0),FALSE)</f>
        <v>Electra Townie Balloon 8D EQ Ladies' - 2016/2017/2018</v>
      </c>
      <c r="E4354">
        <f>VLOOKUP($C4354,products!$A$1:$F$322,MATCH(order_items!$E$1,products!$A$1:$F$1,0),FALSE)</f>
        <v>2</v>
      </c>
      <c r="F4354" t="str">
        <f>VLOOKUP($E4354,categories!$A$1:$B$8,MATCH(order_items!$F$1,categories!$A$1:$B$1,0),FALSE)</f>
        <v>Comfort Bicycles</v>
      </c>
      <c r="G4354">
        <v>2</v>
      </c>
      <c r="H4354">
        <v>749.99</v>
      </c>
      <c r="I4354" s="5">
        <v>0.2</v>
      </c>
      <c r="J4354">
        <f t="shared" ref="J4354:J4417" si="136">G4354*H4354*(1-I4354)</f>
        <v>1199.9840000000002</v>
      </c>
      <c r="K4354" s="9">
        <f t="shared" ref="K4354:K4417" si="137">($H4354-$M$7)/$M$9</f>
        <v>-0.34208121788997192</v>
      </c>
    </row>
    <row r="4355" spans="1:11" x14ac:dyDescent="0.3">
      <c r="A4355">
        <v>1495</v>
      </c>
      <c r="B4355">
        <v>3</v>
      </c>
      <c r="C4355">
        <v>137</v>
      </c>
      <c r="D4355" t="str">
        <f>VLOOKUP($C4355,products!$A$1:$F$322,MATCH(order_items!$D$1,products!$A$1:$F$1,0),FALSE)</f>
        <v>Heller Shagamaw GX1 - 2018</v>
      </c>
      <c r="E4355">
        <f>VLOOKUP($C4355,products!$A$1:$F$322,MATCH(order_items!$E$1,products!$A$1:$F$1,0),FALSE)</f>
        <v>6</v>
      </c>
      <c r="F4355" t="str">
        <f>VLOOKUP($E4355,categories!$A$1:$B$8,MATCH(order_items!$F$1,categories!$A$1:$B$1,0),FALSE)</f>
        <v>Mountain Bikes</v>
      </c>
      <c r="G4355">
        <v>1</v>
      </c>
      <c r="H4355">
        <v>2599</v>
      </c>
      <c r="I4355" s="5">
        <v>0.1</v>
      </c>
      <c r="J4355">
        <f t="shared" si="136"/>
        <v>2339.1</v>
      </c>
      <c r="K4355" s="9">
        <f t="shared" si="137"/>
        <v>1.0248674811417253</v>
      </c>
    </row>
    <row r="4356" spans="1:11" x14ac:dyDescent="0.3">
      <c r="A4356">
        <v>1496</v>
      </c>
      <c r="B4356">
        <v>1</v>
      </c>
      <c r="C4356">
        <v>248</v>
      </c>
      <c r="D4356" t="str">
        <f>VLOOKUP($C4356,products!$A$1:$F$322,MATCH(order_items!$D$1,products!$A$1:$F$1,0),FALSE)</f>
        <v>Electra Townie Original 7D EQ Ladies' - 2017/2018</v>
      </c>
      <c r="E4356">
        <f>VLOOKUP($C4356,products!$A$1:$F$322,MATCH(order_items!$E$1,products!$A$1:$F$1,0),FALSE)</f>
        <v>3</v>
      </c>
      <c r="F4356" t="str">
        <f>VLOOKUP($E4356,categories!$A$1:$B$8,MATCH(order_items!$F$1,categories!$A$1:$B$1,0),FALSE)</f>
        <v>Cruisers Bicycles</v>
      </c>
      <c r="G4356">
        <v>1</v>
      </c>
      <c r="H4356">
        <v>599.99</v>
      </c>
      <c r="I4356" s="5">
        <v>7.0000000000000007E-2</v>
      </c>
      <c r="J4356">
        <f t="shared" si="136"/>
        <v>557.99069999999995</v>
      </c>
      <c r="K4356" s="9">
        <f t="shared" si="137"/>
        <v>-0.45297423894164529</v>
      </c>
    </row>
    <row r="4357" spans="1:11" x14ac:dyDescent="0.3">
      <c r="A4357">
        <v>1496</v>
      </c>
      <c r="B4357">
        <v>2</v>
      </c>
      <c r="C4357">
        <v>214</v>
      </c>
      <c r="D4357" t="str">
        <f>VLOOKUP($C4357,products!$A$1:$F$322,MATCH(order_items!$D$1,products!$A$1:$F$1,0),FALSE)</f>
        <v>Electra Tiger Shark 3i - 2018</v>
      </c>
      <c r="E4357">
        <f>VLOOKUP($C4357,products!$A$1:$F$322,MATCH(order_items!$E$1,products!$A$1:$F$1,0),FALSE)</f>
        <v>3</v>
      </c>
      <c r="F4357" t="str">
        <f>VLOOKUP($E4357,categories!$A$1:$B$8,MATCH(order_items!$F$1,categories!$A$1:$B$1,0),FALSE)</f>
        <v>Cruisers Bicycles</v>
      </c>
      <c r="G4357">
        <v>1</v>
      </c>
      <c r="H4357">
        <v>899.99</v>
      </c>
      <c r="I4357" s="5">
        <v>7.0000000000000007E-2</v>
      </c>
      <c r="J4357">
        <f t="shared" si="136"/>
        <v>836.99069999999995</v>
      </c>
      <c r="K4357" s="9">
        <f t="shared" si="137"/>
        <v>-0.23118819683829855</v>
      </c>
    </row>
    <row r="4358" spans="1:11" x14ac:dyDescent="0.3">
      <c r="A4358">
        <v>1496</v>
      </c>
      <c r="B4358">
        <v>3</v>
      </c>
      <c r="C4358">
        <v>224</v>
      </c>
      <c r="D4358" t="str">
        <f>VLOOKUP($C4358,products!$A$1:$F$322,MATCH(order_items!$D$1,products!$A$1:$F$1,0),FALSE)</f>
        <v>Electra Cruiser Lux 7D - 2018</v>
      </c>
      <c r="E4358">
        <f>VLOOKUP($C4358,products!$A$1:$F$322,MATCH(order_items!$E$1,products!$A$1:$F$1,0),FALSE)</f>
        <v>3</v>
      </c>
      <c r="F4358" t="str">
        <f>VLOOKUP($E4358,categories!$A$1:$B$8,MATCH(order_items!$F$1,categories!$A$1:$B$1,0),FALSE)</f>
        <v>Cruisers Bicycles</v>
      </c>
      <c r="G4358">
        <v>2</v>
      </c>
      <c r="H4358">
        <v>479.99</v>
      </c>
      <c r="I4358" s="5">
        <v>0.05</v>
      </c>
      <c r="J4358">
        <f t="shared" si="136"/>
        <v>911.98099999999999</v>
      </c>
      <c r="K4358" s="9">
        <f t="shared" si="137"/>
        <v>-0.54168865578298397</v>
      </c>
    </row>
    <row r="4359" spans="1:11" x14ac:dyDescent="0.3">
      <c r="A4359">
        <v>1496</v>
      </c>
      <c r="B4359">
        <v>4</v>
      </c>
      <c r="C4359">
        <v>302</v>
      </c>
      <c r="D4359" t="str">
        <f>VLOOKUP($C4359,products!$A$1:$F$322,MATCH(order_items!$D$1,products!$A$1:$F$1,0),FALSE)</f>
        <v>Electra Townie Original 1 - 2018</v>
      </c>
      <c r="E4359">
        <f>VLOOKUP($C4359,products!$A$1:$F$322,MATCH(order_items!$E$1,products!$A$1:$F$1,0),FALSE)</f>
        <v>2</v>
      </c>
      <c r="F4359" t="str">
        <f>VLOOKUP($E4359,categories!$A$1:$B$8,MATCH(order_items!$F$1,categories!$A$1:$B$1,0),FALSE)</f>
        <v>Comfort Bicycles</v>
      </c>
      <c r="G4359">
        <v>1</v>
      </c>
      <c r="H4359">
        <v>449.99</v>
      </c>
      <c r="I4359" s="5">
        <v>0.05</v>
      </c>
      <c r="J4359">
        <f t="shared" si="136"/>
        <v>427.4905</v>
      </c>
      <c r="K4359" s="9">
        <f t="shared" si="137"/>
        <v>-0.56386725999331866</v>
      </c>
    </row>
    <row r="4360" spans="1:11" x14ac:dyDescent="0.3">
      <c r="A4360">
        <v>1496</v>
      </c>
      <c r="B4360">
        <v>5</v>
      </c>
      <c r="C4360">
        <v>225</v>
      </c>
      <c r="D4360" t="str">
        <f>VLOOKUP($C4360,products!$A$1:$F$322,MATCH(order_items!$D$1,products!$A$1:$F$1,0),FALSE)</f>
        <v>Electra Delivery 3i - 2016/2017/2018</v>
      </c>
      <c r="E4360">
        <f>VLOOKUP($C4360,products!$A$1:$F$322,MATCH(order_items!$E$1,products!$A$1:$F$1,0),FALSE)</f>
        <v>3</v>
      </c>
      <c r="F4360" t="str">
        <f>VLOOKUP($E4360,categories!$A$1:$B$8,MATCH(order_items!$F$1,categories!$A$1:$B$1,0),FALSE)</f>
        <v>Cruisers Bicycles</v>
      </c>
      <c r="G4360">
        <v>2</v>
      </c>
      <c r="H4360">
        <v>959.99</v>
      </c>
      <c r="I4360" s="5">
        <v>0.2</v>
      </c>
      <c r="J4360">
        <f t="shared" si="136"/>
        <v>1535.9840000000002</v>
      </c>
      <c r="K4360" s="9">
        <f t="shared" si="137"/>
        <v>-0.18683098841762921</v>
      </c>
    </row>
    <row r="4361" spans="1:11" x14ac:dyDescent="0.3">
      <c r="A4361">
        <v>1497</v>
      </c>
      <c r="B4361">
        <v>1</v>
      </c>
      <c r="C4361">
        <v>141</v>
      </c>
      <c r="D4361" t="str">
        <f>VLOOKUP($C4361,products!$A$1:$F$322,MATCH(order_items!$D$1,products!$A$1:$F$1,0),FALSE)</f>
        <v>Trek Stache 5 - 2018</v>
      </c>
      <c r="E4361">
        <f>VLOOKUP($C4361,products!$A$1:$F$322,MATCH(order_items!$E$1,products!$A$1:$F$1,0),FALSE)</f>
        <v>6</v>
      </c>
      <c r="F4361" t="str">
        <f>VLOOKUP($E4361,categories!$A$1:$B$8,MATCH(order_items!$F$1,categories!$A$1:$B$1,0),FALSE)</f>
        <v>Mountain Bikes</v>
      </c>
      <c r="G4361">
        <v>2</v>
      </c>
      <c r="H4361">
        <v>1599.99</v>
      </c>
      <c r="I4361" s="5">
        <v>0.2</v>
      </c>
      <c r="J4361">
        <f t="shared" si="136"/>
        <v>2559.9840000000004</v>
      </c>
      <c r="K4361" s="9">
        <f t="shared" si="137"/>
        <v>0.2863125680695105</v>
      </c>
    </row>
    <row r="4362" spans="1:11" x14ac:dyDescent="0.3">
      <c r="A4362">
        <v>1497</v>
      </c>
      <c r="B4362">
        <v>2</v>
      </c>
      <c r="C4362">
        <v>198</v>
      </c>
      <c r="D4362" t="str">
        <f>VLOOKUP($C4362,products!$A$1:$F$322,MATCH(order_items!$D$1,products!$A$1:$F$1,0),FALSE)</f>
        <v>Electra Townie Commute Go! - 2018</v>
      </c>
      <c r="E4362">
        <f>VLOOKUP($C4362,products!$A$1:$F$322,MATCH(order_items!$E$1,products!$A$1:$F$1,0),FALSE)</f>
        <v>5</v>
      </c>
      <c r="F4362" t="str">
        <f>VLOOKUP($E4362,categories!$A$1:$B$8,MATCH(order_items!$F$1,categories!$A$1:$B$1,0),FALSE)</f>
        <v>Electric Bikes</v>
      </c>
      <c r="G4362">
        <v>2</v>
      </c>
      <c r="H4362">
        <v>2999.99</v>
      </c>
      <c r="I4362" s="5">
        <v>0.1</v>
      </c>
      <c r="J4362">
        <f t="shared" si="136"/>
        <v>5399.982</v>
      </c>
      <c r="K4362" s="9">
        <f t="shared" si="137"/>
        <v>1.3213140978851283</v>
      </c>
    </row>
    <row r="4363" spans="1:11" x14ac:dyDescent="0.3">
      <c r="A4363">
        <v>1497</v>
      </c>
      <c r="B4363">
        <v>3</v>
      </c>
      <c r="C4363">
        <v>204</v>
      </c>
      <c r="D4363" t="str">
        <f>VLOOKUP($C4363,products!$A$1:$F$322,MATCH(order_items!$D$1,products!$A$1:$F$1,0),FALSE)</f>
        <v>Trek Super Commuter+ 7 - 2018</v>
      </c>
      <c r="E4363">
        <f>VLOOKUP($C4363,products!$A$1:$F$322,MATCH(order_items!$E$1,products!$A$1:$F$1,0),FALSE)</f>
        <v>5</v>
      </c>
      <c r="F4363" t="str">
        <f>VLOOKUP($E4363,categories!$A$1:$B$8,MATCH(order_items!$F$1,categories!$A$1:$B$1,0),FALSE)</f>
        <v>Electric Bikes</v>
      </c>
      <c r="G4363">
        <v>2</v>
      </c>
      <c r="H4363">
        <v>3599.99</v>
      </c>
      <c r="I4363" s="5">
        <v>7.0000000000000007E-2</v>
      </c>
      <c r="J4363">
        <f t="shared" si="136"/>
        <v>6695.9813999999988</v>
      </c>
      <c r="K4363" s="9">
        <f t="shared" si="137"/>
        <v>1.764886182091822</v>
      </c>
    </row>
    <row r="4364" spans="1:11" x14ac:dyDescent="0.3">
      <c r="A4364">
        <v>1498</v>
      </c>
      <c r="B4364">
        <v>1</v>
      </c>
      <c r="C4364">
        <v>172</v>
      </c>
      <c r="D4364" t="str">
        <f>VLOOKUP($C4364,products!$A$1:$F$322,MATCH(order_items!$D$1,products!$A$1:$F$1,0),FALSE)</f>
        <v>Trek Domane ALR Disc Frameset - 2018</v>
      </c>
      <c r="E4364">
        <f>VLOOKUP($C4364,products!$A$1:$F$322,MATCH(order_items!$E$1,products!$A$1:$F$1,0),FALSE)</f>
        <v>7</v>
      </c>
      <c r="F4364" t="str">
        <f>VLOOKUP($E4364,categories!$A$1:$B$8,MATCH(order_items!$F$1,categories!$A$1:$B$1,0),FALSE)</f>
        <v>Road Bikes</v>
      </c>
      <c r="G4364">
        <v>1</v>
      </c>
      <c r="H4364">
        <v>3199.99</v>
      </c>
      <c r="I4364" s="5">
        <v>0.05</v>
      </c>
      <c r="J4364">
        <f t="shared" si="136"/>
        <v>3039.9904999999994</v>
      </c>
      <c r="K4364" s="9">
        <f t="shared" si="137"/>
        <v>1.4691714592873595</v>
      </c>
    </row>
    <row r="4365" spans="1:11" x14ac:dyDescent="0.3">
      <c r="A4365">
        <v>1498</v>
      </c>
      <c r="B4365">
        <v>2</v>
      </c>
      <c r="C4365">
        <v>260</v>
      </c>
      <c r="D4365" t="str">
        <f>VLOOKUP($C4365,products!$A$1:$F$322,MATCH(order_items!$D$1,products!$A$1:$F$1,0),FALSE)</f>
        <v>Electra Townie Balloon 3i EQ Ladies' - 2018</v>
      </c>
      <c r="E4365">
        <f>VLOOKUP($C4365,products!$A$1:$F$322,MATCH(order_items!$E$1,products!$A$1:$F$1,0),FALSE)</f>
        <v>3</v>
      </c>
      <c r="F4365" t="str">
        <f>VLOOKUP($E4365,categories!$A$1:$B$8,MATCH(order_items!$F$1,categories!$A$1:$B$1,0),FALSE)</f>
        <v>Cruisers Bicycles</v>
      </c>
      <c r="G4365">
        <v>2</v>
      </c>
      <c r="H4365">
        <v>799.99</v>
      </c>
      <c r="I4365" s="5">
        <v>7.0000000000000007E-2</v>
      </c>
      <c r="J4365">
        <f t="shared" si="136"/>
        <v>1487.9813999999999</v>
      </c>
      <c r="K4365" s="9">
        <f t="shared" si="137"/>
        <v>-0.30511687753941413</v>
      </c>
    </row>
    <row r="4366" spans="1:11" x14ac:dyDescent="0.3">
      <c r="A4366">
        <v>1499</v>
      </c>
      <c r="B4366">
        <v>1</v>
      </c>
      <c r="C4366">
        <v>110</v>
      </c>
      <c r="D4366" t="str">
        <f>VLOOKUP($C4366,products!$A$1:$F$322,MATCH(order_items!$D$1,products!$A$1:$F$1,0),FALSE)</f>
        <v>Sun Bicycles Drifter 7 - 2017</v>
      </c>
      <c r="E4366">
        <f>VLOOKUP($C4366,products!$A$1:$F$322,MATCH(order_items!$E$1,products!$A$1:$F$1,0),FALSE)</f>
        <v>2</v>
      </c>
      <c r="F4366" t="str">
        <f>VLOOKUP($E4366,categories!$A$1:$B$8,MATCH(order_items!$F$1,categories!$A$1:$B$1,0),FALSE)</f>
        <v>Comfort Bicycles</v>
      </c>
      <c r="G4366">
        <v>1</v>
      </c>
      <c r="H4366">
        <v>470.99</v>
      </c>
      <c r="I4366" s="5">
        <v>0.05</v>
      </c>
      <c r="J4366">
        <f t="shared" si="136"/>
        <v>447.44049999999999</v>
      </c>
      <c r="K4366" s="9">
        <f t="shared" si="137"/>
        <v>-0.54834223704608442</v>
      </c>
    </row>
    <row r="4367" spans="1:11" x14ac:dyDescent="0.3">
      <c r="A4367">
        <v>1499</v>
      </c>
      <c r="B4367">
        <v>2</v>
      </c>
      <c r="C4367">
        <v>208</v>
      </c>
      <c r="D4367" t="str">
        <f>VLOOKUP($C4367,products!$A$1:$F$322,MATCH(order_items!$D$1,products!$A$1:$F$1,0),FALSE)</f>
        <v>Trek Crockett 5 Disc - 2018</v>
      </c>
      <c r="E4367">
        <f>VLOOKUP($C4367,products!$A$1:$F$322,MATCH(order_items!$E$1,products!$A$1:$F$1,0),FALSE)</f>
        <v>4</v>
      </c>
      <c r="F4367" t="str">
        <f>VLOOKUP($E4367,categories!$A$1:$B$8,MATCH(order_items!$F$1,categories!$A$1:$B$1,0),FALSE)</f>
        <v>Cyclocross Bicycles</v>
      </c>
      <c r="G4367">
        <v>1</v>
      </c>
      <c r="H4367">
        <v>1799.99</v>
      </c>
      <c r="I4367" s="5">
        <v>7.0000000000000007E-2</v>
      </c>
      <c r="J4367">
        <f t="shared" si="136"/>
        <v>1673.9906999999998</v>
      </c>
      <c r="K4367" s="9">
        <f t="shared" si="137"/>
        <v>0.43416992947174166</v>
      </c>
    </row>
    <row r="4368" spans="1:11" x14ac:dyDescent="0.3">
      <c r="A4368">
        <v>1499</v>
      </c>
      <c r="B4368">
        <v>3</v>
      </c>
      <c r="C4368">
        <v>268</v>
      </c>
      <c r="D4368" t="str">
        <f>VLOOKUP($C4368,products!$A$1:$F$322,MATCH(order_items!$D$1,products!$A$1:$F$1,0),FALSE)</f>
        <v>Trek Kickster - 2018</v>
      </c>
      <c r="E4368">
        <f>VLOOKUP($C4368,products!$A$1:$F$322,MATCH(order_items!$E$1,products!$A$1:$F$1,0),FALSE)</f>
        <v>1</v>
      </c>
      <c r="F4368" t="str">
        <f>VLOOKUP($E4368,categories!$A$1:$B$8,MATCH(order_items!$F$1,categories!$A$1:$B$1,0),FALSE)</f>
        <v>Children Bicycles</v>
      </c>
      <c r="G4368">
        <v>2</v>
      </c>
      <c r="H4368">
        <v>159.99</v>
      </c>
      <c r="I4368" s="5">
        <v>0.05</v>
      </c>
      <c r="J4368">
        <f t="shared" si="136"/>
        <v>303.98099999999999</v>
      </c>
      <c r="K4368" s="9">
        <f t="shared" si="137"/>
        <v>-0.77826043402655387</v>
      </c>
    </row>
    <row r="4369" spans="1:11" x14ac:dyDescent="0.3">
      <c r="A4369">
        <v>1499</v>
      </c>
      <c r="B4369">
        <v>4</v>
      </c>
      <c r="C4369">
        <v>2</v>
      </c>
      <c r="D4369" t="str">
        <f>VLOOKUP($C4369,products!$A$1:$F$322,MATCH(order_items!$D$1,products!$A$1:$F$1,0),FALSE)</f>
        <v>Ritchey Timberwolf Frameset - 2016</v>
      </c>
      <c r="E4369">
        <f>VLOOKUP($C4369,products!$A$1:$F$322,MATCH(order_items!$E$1,products!$A$1:$F$1,0),FALSE)</f>
        <v>6</v>
      </c>
      <c r="F4369" t="str">
        <f>VLOOKUP($E4369,categories!$A$1:$B$8,MATCH(order_items!$F$1,categories!$A$1:$B$1,0),FALSE)</f>
        <v>Mountain Bikes</v>
      </c>
      <c r="G4369">
        <v>1</v>
      </c>
      <c r="H4369">
        <v>749.99</v>
      </c>
      <c r="I4369" s="5">
        <v>0.05</v>
      </c>
      <c r="J4369">
        <f t="shared" si="136"/>
        <v>712.4905</v>
      </c>
      <c r="K4369" s="9">
        <f t="shared" si="137"/>
        <v>-0.34208121788997192</v>
      </c>
    </row>
    <row r="4370" spans="1:11" x14ac:dyDescent="0.3">
      <c r="A4370">
        <v>1499</v>
      </c>
      <c r="B4370">
        <v>5</v>
      </c>
      <c r="C4370">
        <v>171</v>
      </c>
      <c r="D4370" t="str">
        <f>VLOOKUP($C4370,products!$A$1:$F$322,MATCH(order_items!$D$1,products!$A$1:$F$1,0),FALSE)</f>
        <v>Trek Domane SL 6 - 2018</v>
      </c>
      <c r="E4370">
        <f>VLOOKUP($C4370,products!$A$1:$F$322,MATCH(order_items!$E$1,products!$A$1:$F$1,0),FALSE)</f>
        <v>7</v>
      </c>
      <c r="F4370" t="str">
        <f>VLOOKUP($E4370,categories!$A$1:$B$8,MATCH(order_items!$F$1,categories!$A$1:$B$1,0),FALSE)</f>
        <v>Road Bikes</v>
      </c>
      <c r="G4370">
        <v>2</v>
      </c>
      <c r="H4370">
        <v>3199.99</v>
      </c>
      <c r="I4370" s="5">
        <v>0.1</v>
      </c>
      <c r="J4370">
        <f t="shared" si="136"/>
        <v>5759.982</v>
      </c>
      <c r="K4370" s="9">
        <f t="shared" si="137"/>
        <v>1.4691714592873595</v>
      </c>
    </row>
    <row r="4371" spans="1:11" x14ac:dyDescent="0.3">
      <c r="A4371">
        <v>1500</v>
      </c>
      <c r="B4371">
        <v>1</v>
      </c>
      <c r="C4371">
        <v>41</v>
      </c>
      <c r="D4371" t="str">
        <f>VLOOKUP($C4371,products!$A$1:$F$322,MATCH(order_items!$D$1,products!$A$1:$F$1,0),FALSE)</f>
        <v>Haro Shift R3 - 2017</v>
      </c>
      <c r="E4371">
        <f>VLOOKUP($C4371,products!$A$1:$F$322,MATCH(order_items!$E$1,products!$A$1:$F$1,0),FALSE)</f>
        <v>6</v>
      </c>
      <c r="F4371" t="str">
        <f>VLOOKUP($E4371,categories!$A$1:$B$8,MATCH(order_items!$F$1,categories!$A$1:$B$1,0),FALSE)</f>
        <v>Mountain Bikes</v>
      </c>
      <c r="G4371">
        <v>2</v>
      </c>
      <c r="H4371">
        <v>1469.99</v>
      </c>
      <c r="I4371" s="5">
        <v>7.0000000000000007E-2</v>
      </c>
      <c r="J4371">
        <f t="shared" si="136"/>
        <v>2734.1813999999999</v>
      </c>
      <c r="K4371" s="9">
        <f t="shared" si="137"/>
        <v>0.19020528315806023</v>
      </c>
    </row>
    <row r="4372" spans="1:11" x14ac:dyDescent="0.3">
      <c r="A4372">
        <v>1500</v>
      </c>
      <c r="B4372">
        <v>2</v>
      </c>
      <c r="C4372">
        <v>293</v>
      </c>
      <c r="D4372" t="str">
        <f>VLOOKUP($C4372,products!$A$1:$F$322,MATCH(order_items!$D$1,products!$A$1:$F$1,0),FALSE)</f>
        <v>Electra Tiger Shark 1 (20-inch) - Boys' - 2018</v>
      </c>
      <c r="E4372">
        <f>VLOOKUP($C4372,products!$A$1:$F$322,MATCH(order_items!$E$1,products!$A$1:$F$1,0),FALSE)</f>
        <v>1</v>
      </c>
      <c r="F4372" t="str">
        <f>VLOOKUP($E4372,categories!$A$1:$B$8,MATCH(order_items!$F$1,categories!$A$1:$B$1,0),FALSE)</f>
        <v>Children Bicycles</v>
      </c>
      <c r="G4372">
        <v>1</v>
      </c>
      <c r="H4372">
        <v>319.99</v>
      </c>
      <c r="I4372" s="5">
        <v>7.0000000000000007E-2</v>
      </c>
      <c r="J4372">
        <f t="shared" si="136"/>
        <v>297.59069999999997</v>
      </c>
      <c r="K4372" s="9">
        <f t="shared" si="137"/>
        <v>-0.65997454490476892</v>
      </c>
    </row>
    <row r="4373" spans="1:11" x14ac:dyDescent="0.3">
      <c r="A4373">
        <v>1501</v>
      </c>
      <c r="B4373">
        <v>1</v>
      </c>
      <c r="C4373">
        <v>248</v>
      </c>
      <c r="D4373" t="str">
        <f>VLOOKUP($C4373,products!$A$1:$F$322,MATCH(order_items!$D$1,products!$A$1:$F$1,0),FALSE)</f>
        <v>Electra Townie Original 7D EQ Ladies' - 2017/2018</v>
      </c>
      <c r="E4373">
        <f>VLOOKUP($C4373,products!$A$1:$F$322,MATCH(order_items!$E$1,products!$A$1:$F$1,0),FALSE)</f>
        <v>3</v>
      </c>
      <c r="F4373" t="str">
        <f>VLOOKUP($E4373,categories!$A$1:$B$8,MATCH(order_items!$F$1,categories!$A$1:$B$1,0),FALSE)</f>
        <v>Cruisers Bicycles</v>
      </c>
      <c r="G4373">
        <v>1</v>
      </c>
      <c r="H4373">
        <v>599.99</v>
      </c>
      <c r="I4373" s="5">
        <v>0.05</v>
      </c>
      <c r="J4373">
        <f t="shared" si="136"/>
        <v>569.9905</v>
      </c>
      <c r="K4373" s="9">
        <f t="shared" si="137"/>
        <v>-0.45297423894164529</v>
      </c>
    </row>
    <row r="4374" spans="1:11" x14ac:dyDescent="0.3">
      <c r="A4374">
        <v>1501</v>
      </c>
      <c r="B4374">
        <v>2</v>
      </c>
      <c r="C4374">
        <v>219</v>
      </c>
      <c r="D4374" t="str">
        <f>VLOOKUP($C4374,products!$A$1:$F$322,MATCH(order_items!$D$1,products!$A$1:$F$1,0),FALSE)</f>
        <v>Electra Moto 3i - 2018</v>
      </c>
      <c r="E4374">
        <f>VLOOKUP($C4374,products!$A$1:$F$322,MATCH(order_items!$E$1,products!$A$1:$F$1,0),FALSE)</f>
        <v>3</v>
      </c>
      <c r="F4374" t="str">
        <f>VLOOKUP($E4374,categories!$A$1:$B$8,MATCH(order_items!$F$1,categories!$A$1:$B$1,0),FALSE)</f>
        <v>Cruisers Bicycles</v>
      </c>
      <c r="G4374">
        <v>1</v>
      </c>
      <c r="H4374">
        <v>639.99</v>
      </c>
      <c r="I4374" s="5">
        <v>7.0000000000000007E-2</v>
      </c>
      <c r="J4374">
        <f t="shared" si="136"/>
        <v>595.19069999999999</v>
      </c>
      <c r="K4374" s="9">
        <f t="shared" si="137"/>
        <v>-0.42340276666119908</v>
      </c>
    </row>
    <row r="4375" spans="1:11" x14ac:dyDescent="0.3">
      <c r="A4375">
        <v>1501</v>
      </c>
      <c r="B4375">
        <v>3</v>
      </c>
      <c r="C4375">
        <v>15</v>
      </c>
      <c r="D4375" t="str">
        <f>VLOOKUP($C4375,products!$A$1:$F$322,MATCH(order_items!$D$1,products!$A$1:$F$1,0),FALSE)</f>
        <v>Electra Moto 1 - 2016</v>
      </c>
      <c r="E4375">
        <f>VLOOKUP($C4375,products!$A$1:$F$322,MATCH(order_items!$E$1,products!$A$1:$F$1,0),FALSE)</f>
        <v>3</v>
      </c>
      <c r="F4375" t="str">
        <f>VLOOKUP($E4375,categories!$A$1:$B$8,MATCH(order_items!$F$1,categories!$A$1:$B$1,0),FALSE)</f>
        <v>Cruisers Bicycles</v>
      </c>
      <c r="G4375">
        <v>1</v>
      </c>
      <c r="H4375">
        <v>529.99</v>
      </c>
      <c r="I4375" s="5">
        <v>0.05</v>
      </c>
      <c r="J4375">
        <f t="shared" si="136"/>
        <v>503.4905</v>
      </c>
      <c r="K4375" s="9">
        <f t="shared" si="137"/>
        <v>-0.50472431543242624</v>
      </c>
    </row>
    <row r="4376" spans="1:11" x14ac:dyDescent="0.3">
      <c r="A4376">
        <v>1501</v>
      </c>
      <c r="B4376">
        <v>4</v>
      </c>
      <c r="C4376">
        <v>67</v>
      </c>
      <c r="D4376" t="str">
        <f>VLOOKUP($C4376,products!$A$1:$F$322,MATCH(order_items!$D$1,products!$A$1:$F$1,0),FALSE)</f>
        <v>Sun Bicycles Revolutions 24 - Girl's - 2017</v>
      </c>
      <c r="E4376">
        <f>VLOOKUP($C4376,products!$A$1:$F$322,MATCH(order_items!$E$1,products!$A$1:$F$1,0),FALSE)</f>
        <v>3</v>
      </c>
      <c r="F4376" t="str">
        <f>VLOOKUP($E4376,categories!$A$1:$B$8,MATCH(order_items!$F$1,categories!$A$1:$B$1,0),FALSE)</f>
        <v>Cruisers Bicycles</v>
      </c>
      <c r="G4376">
        <v>1</v>
      </c>
      <c r="H4376">
        <v>250.99</v>
      </c>
      <c r="I4376" s="5">
        <v>0.2</v>
      </c>
      <c r="J4376">
        <f t="shared" si="136"/>
        <v>200.79200000000003</v>
      </c>
      <c r="K4376" s="9">
        <f t="shared" si="137"/>
        <v>-0.71098533458853863</v>
      </c>
    </row>
    <row r="4377" spans="1:11" x14ac:dyDescent="0.3">
      <c r="A4377">
        <v>1501</v>
      </c>
      <c r="B4377">
        <v>5</v>
      </c>
      <c r="C4377">
        <v>210</v>
      </c>
      <c r="D4377" t="str">
        <f>VLOOKUP($C4377,products!$A$1:$F$322,MATCH(order_items!$D$1,products!$A$1:$F$1,0),FALSE)</f>
        <v>Surly Straggler - 2018</v>
      </c>
      <c r="E4377">
        <f>VLOOKUP($C4377,products!$A$1:$F$322,MATCH(order_items!$E$1,products!$A$1:$F$1,0),FALSE)</f>
        <v>4</v>
      </c>
      <c r="F4377" t="str">
        <f>VLOOKUP($E4377,categories!$A$1:$B$8,MATCH(order_items!$F$1,categories!$A$1:$B$1,0),FALSE)</f>
        <v>Cyclocross Bicycles</v>
      </c>
      <c r="G4377">
        <v>1</v>
      </c>
      <c r="H4377">
        <v>1549</v>
      </c>
      <c r="I4377" s="5">
        <v>0.05</v>
      </c>
      <c r="J4377">
        <f t="shared" si="136"/>
        <v>1471.55</v>
      </c>
      <c r="K4377" s="9">
        <f t="shared" si="137"/>
        <v>0.24861633378001166</v>
      </c>
    </row>
    <row r="4378" spans="1:11" x14ac:dyDescent="0.3">
      <c r="A4378">
        <v>1502</v>
      </c>
      <c r="B4378">
        <v>1</v>
      </c>
      <c r="C4378">
        <v>231</v>
      </c>
      <c r="D4378" t="str">
        <f>VLOOKUP($C4378,products!$A$1:$F$322,MATCH(order_items!$D$1,products!$A$1:$F$1,0),FALSE)</f>
        <v>Electra Cruiser Lux 3i Ladies' - 2018</v>
      </c>
      <c r="E4378">
        <f>VLOOKUP($C4378,products!$A$1:$F$322,MATCH(order_items!$E$1,products!$A$1:$F$1,0),FALSE)</f>
        <v>3</v>
      </c>
      <c r="F4378" t="str">
        <f>VLOOKUP($E4378,categories!$A$1:$B$8,MATCH(order_items!$F$1,categories!$A$1:$B$1,0),FALSE)</f>
        <v>Cruisers Bicycles</v>
      </c>
      <c r="G4378">
        <v>2</v>
      </c>
      <c r="H4378">
        <v>529.99</v>
      </c>
      <c r="I4378" s="5">
        <v>0.2</v>
      </c>
      <c r="J4378">
        <f t="shared" si="136"/>
        <v>847.98400000000004</v>
      </c>
      <c r="K4378" s="9">
        <f t="shared" si="137"/>
        <v>-0.50472431543242624</v>
      </c>
    </row>
    <row r="4379" spans="1:11" x14ac:dyDescent="0.3">
      <c r="A4379">
        <v>1502</v>
      </c>
      <c r="B4379">
        <v>2</v>
      </c>
      <c r="C4379">
        <v>19</v>
      </c>
      <c r="D4379" t="str">
        <f>VLOOKUP($C4379,products!$A$1:$F$322,MATCH(order_items!$D$1,products!$A$1:$F$1,0),FALSE)</f>
        <v>Pure Cycles William 3-Speed - 2016</v>
      </c>
      <c r="E4379">
        <f>VLOOKUP($C4379,products!$A$1:$F$322,MATCH(order_items!$E$1,products!$A$1:$F$1,0),FALSE)</f>
        <v>3</v>
      </c>
      <c r="F4379" t="str">
        <f>VLOOKUP($E4379,categories!$A$1:$B$8,MATCH(order_items!$F$1,categories!$A$1:$B$1,0),FALSE)</f>
        <v>Cruisers Bicycles</v>
      </c>
      <c r="G4379">
        <v>2</v>
      </c>
      <c r="H4379">
        <v>449</v>
      </c>
      <c r="I4379" s="5">
        <v>7.0000000000000007E-2</v>
      </c>
      <c r="J4379">
        <f t="shared" si="136"/>
        <v>835.14</v>
      </c>
      <c r="K4379" s="9">
        <f t="shared" si="137"/>
        <v>-0.56459915393225968</v>
      </c>
    </row>
    <row r="4380" spans="1:11" x14ac:dyDescent="0.3">
      <c r="A4380">
        <v>1502</v>
      </c>
      <c r="B4380">
        <v>3</v>
      </c>
      <c r="C4380">
        <v>26</v>
      </c>
      <c r="D4380" t="str">
        <f>VLOOKUP($C4380,products!$A$1:$F$322,MATCH(order_items!$D$1,products!$A$1:$F$1,0),FALSE)</f>
        <v>Electra Townie Original 7D EQ - 2016</v>
      </c>
      <c r="E4380">
        <f>VLOOKUP($C4380,products!$A$1:$F$322,MATCH(order_items!$E$1,products!$A$1:$F$1,0),FALSE)</f>
        <v>2</v>
      </c>
      <c r="F4380" t="str">
        <f>VLOOKUP($E4380,categories!$A$1:$B$8,MATCH(order_items!$F$1,categories!$A$1:$B$1,0),FALSE)</f>
        <v>Comfort Bicycles</v>
      </c>
      <c r="G4380">
        <v>2</v>
      </c>
      <c r="H4380">
        <v>599.99</v>
      </c>
      <c r="I4380" s="5">
        <v>7.0000000000000007E-2</v>
      </c>
      <c r="J4380">
        <f t="shared" si="136"/>
        <v>1115.9813999999999</v>
      </c>
      <c r="K4380" s="9">
        <f t="shared" si="137"/>
        <v>-0.45297423894164529</v>
      </c>
    </row>
    <row r="4381" spans="1:11" x14ac:dyDescent="0.3">
      <c r="A4381">
        <v>1502</v>
      </c>
      <c r="B4381">
        <v>4</v>
      </c>
      <c r="C4381">
        <v>268</v>
      </c>
      <c r="D4381" t="str">
        <f>VLOOKUP($C4381,products!$A$1:$F$322,MATCH(order_items!$D$1,products!$A$1:$F$1,0),FALSE)</f>
        <v>Trek Kickster - 2018</v>
      </c>
      <c r="E4381">
        <f>VLOOKUP($C4381,products!$A$1:$F$322,MATCH(order_items!$E$1,products!$A$1:$F$1,0),FALSE)</f>
        <v>1</v>
      </c>
      <c r="F4381" t="str">
        <f>VLOOKUP($E4381,categories!$A$1:$B$8,MATCH(order_items!$F$1,categories!$A$1:$B$1,0),FALSE)</f>
        <v>Children Bicycles</v>
      </c>
      <c r="G4381">
        <v>1</v>
      </c>
      <c r="H4381">
        <v>159.99</v>
      </c>
      <c r="I4381" s="5">
        <v>0.2</v>
      </c>
      <c r="J4381">
        <f t="shared" si="136"/>
        <v>127.99200000000002</v>
      </c>
      <c r="K4381" s="9">
        <f t="shared" si="137"/>
        <v>-0.77826043402655387</v>
      </c>
    </row>
    <row r="4382" spans="1:11" x14ac:dyDescent="0.3">
      <c r="A4382">
        <v>1502</v>
      </c>
      <c r="B4382">
        <v>5</v>
      </c>
      <c r="C4382">
        <v>255</v>
      </c>
      <c r="D4382" t="str">
        <f>VLOOKUP($C4382,products!$A$1:$F$322,MATCH(order_items!$D$1,products!$A$1:$F$1,0),FALSE)</f>
        <v>Electra Townie Balloon 7i EQ Ladies' - 2017/2018</v>
      </c>
      <c r="E4382">
        <f>VLOOKUP($C4382,products!$A$1:$F$322,MATCH(order_items!$E$1,products!$A$1:$F$1,0),FALSE)</f>
        <v>3</v>
      </c>
      <c r="F4382" t="str">
        <f>VLOOKUP($E4382,categories!$A$1:$B$8,MATCH(order_items!$F$1,categories!$A$1:$B$1,0),FALSE)</f>
        <v>Cruisers Bicycles</v>
      </c>
      <c r="G4382">
        <v>1</v>
      </c>
      <c r="H4382">
        <v>899.99</v>
      </c>
      <c r="I4382" s="5">
        <v>7.0000000000000007E-2</v>
      </c>
      <c r="J4382">
        <f t="shared" si="136"/>
        <v>836.99069999999995</v>
      </c>
      <c r="K4382" s="9">
        <f t="shared" si="137"/>
        <v>-0.23118819683829855</v>
      </c>
    </row>
    <row r="4383" spans="1:11" x14ac:dyDescent="0.3">
      <c r="A4383">
        <v>1503</v>
      </c>
      <c r="B4383">
        <v>1</v>
      </c>
      <c r="C4383">
        <v>217</v>
      </c>
      <c r="D4383" t="str">
        <f>VLOOKUP($C4383,products!$A$1:$F$322,MATCH(order_items!$D$1,products!$A$1:$F$1,0),FALSE)</f>
        <v>Electra Straight 8 3i - 2018</v>
      </c>
      <c r="E4383">
        <f>VLOOKUP($C4383,products!$A$1:$F$322,MATCH(order_items!$E$1,products!$A$1:$F$1,0),FALSE)</f>
        <v>3</v>
      </c>
      <c r="F4383" t="str">
        <f>VLOOKUP($E4383,categories!$A$1:$B$8,MATCH(order_items!$F$1,categories!$A$1:$B$1,0),FALSE)</f>
        <v>Cruisers Bicycles</v>
      </c>
      <c r="G4383">
        <v>1</v>
      </c>
      <c r="H4383">
        <v>909.99</v>
      </c>
      <c r="I4383" s="5">
        <v>0.1</v>
      </c>
      <c r="J4383">
        <f t="shared" si="136"/>
        <v>818.99099999999999</v>
      </c>
      <c r="K4383" s="9">
        <f t="shared" si="137"/>
        <v>-0.223795328768187</v>
      </c>
    </row>
    <row r="4384" spans="1:11" x14ac:dyDescent="0.3">
      <c r="A4384">
        <v>1503</v>
      </c>
      <c r="B4384">
        <v>2</v>
      </c>
      <c r="C4384">
        <v>302</v>
      </c>
      <c r="D4384" t="str">
        <f>VLOOKUP($C4384,products!$A$1:$F$322,MATCH(order_items!$D$1,products!$A$1:$F$1,0),FALSE)</f>
        <v>Electra Townie Original 1 - 2018</v>
      </c>
      <c r="E4384">
        <f>VLOOKUP($C4384,products!$A$1:$F$322,MATCH(order_items!$E$1,products!$A$1:$F$1,0),FALSE)</f>
        <v>2</v>
      </c>
      <c r="F4384" t="str">
        <f>VLOOKUP($E4384,categories!$A$1:$B$8,MATCH(order_items!$F$1,categories!$A$1:$B$1,0),FALSE)</f>
        <v>Comfort Bicycles</v>
      </c>
      <c r="G4384">
        <v>2</v>
      </c>
      <c r="H4384">
        <v>449.99</v>
      </c>
      <c r="I4384" s="5">
        <v>0.05</v>
      </c>
      <c r="J4384">
        <f t="shared" si="136"/>
        <v>854.98099999999999</v>
      </c>
      <c r="K4384" s="9">
        <f t="shared" si="137"/>
        <v>-0.56386725999331866</v>
      </c>
    </row>
    <row r="4385" spans="1:11" x14ac:dyDescent="0.3">
      <c r="A4385">
        <v>1504</v>
      </c>
      <c r="B4385">
        <v>1</v>
      </c>
      <c r="C4385">
        <v>276</v>
      </c>
      <c r="D4385" t="str">
        <f>VLOOKUP($C4385,products!$A$1:$F$322,MATCH(order_items!$D$1,products!$A$1:$F$1,0),FALSE)</f>
        <v>Trek Precaliber 24 (7-Speed) - Boys - 2018</v>
      </c>
      <c r="E4385">
        <f>VLOOKUP($C4385,products!$A$1:$F$322,MATCH(order_items!$E$1,products!$A$1:$F$1,0),FALSE)</f>
        <v>1</v>
      </c>
      <c r="F4385" t="str">
        <f>VLOOKUP($E4385,categories!$A$1:$B$8,MATCH(order_items!$F$1,categories!$A$1:$B$1,0),FALSE)</f>
        <v>Children Bicycles</v>
      </c>
      <c r="G4385">
        <v>1</v>
      </c>
      <c r="H4385">
        <v>319.99</v>
      </c>
      <c r="I4385" s="5">
        <v>7.0000000000000007E-2</v>
      </c>
      <c r="J4385">
        <f t="shared" si="136"/>
        <v>297.59069999999997</v>
      </c>
      <c r="K4385" s="9">
        <f t="shared" si="137"/>
        <v>-0.65997454490476892</v>
      </c>
    </row>
    <row r="4386" spans="1:11" x14ac:dyDescent="0.3">
      <c r="A4386">
        <v>1505</v>
      </c>
      <c r="B4386">
        <v>1</v>
      </c>
      <c r="C4386">
        <v>223</v>
      </c>
      <c r="D4386" t="str">
        <f>VLOOKUP($C4386,products!$A$1:$F$322,MATCH(order_items!$D$1,products!$A$1:$F$1,0),FALSE)</f>
        <v>Electra Cruiser Lux 3i - 2018</v>
      </c>
      <c r="E4386">
        <f>VLOOKUP($C4386,products!$A$1:$F$322,MATCH(order_items!$E$1,products!$A$1:$F$1,0),FALSE)</f>
        <v>3</v>
      </c>
      <c r="F4386" t="str">
        <f>VLOOKUP($E4386,categories!$A$1:$B$8,MATCH(order_items!$F$1,categories!$A$1:$B$1,0),FALSE)</f>
        <v>Cruisers Bicycles</v>
      </c>
      <c r="G4386">
        <v>2</v>
      </c>
      <c r="H4386">
        <v>529.99</v>
      </c>
      <c r="I4386" s="5">
        <v>0.05</v>
      </c>
      <c r="J4386">
        <f t="shared" si="136"/>
        <v>1006.981</v>
      </c>
      <c r="K4386" s="9">
        <f t="shared" si="137"/>
        <v>-0.50472431543242624</v>
      </c>
    </row>
    <row r="4387" spans="1:11" x14ac:dyDescent="0.3">
      <c r="A4387">
        <v>1505</v>
      </c>
      <c r="B4387">
        <v>2</v>
      </c>
      <c r="C4387">
        <v>24</v>
      </c>
      <c r="D4387" t="str">
        <f>VLOOKUP($C4387,products!$A$1:$F$322,MATCH(order_items!$D$1,products!$A$1:$F$1,0),FALSE)</f>
        <v>Electra Townie Original 21D - 2016</v>
      </c>
      <c r="E4387">
        <f>VLOOKUP($C4387,products!$A$1:$F$322,MATCH(order_items!$E$1,products!$A$1:$F$1,0),FALSE)</f>
        <v>2</v>
      </c>
      <c r="F4387" t="str">
        <f>VLOOKUP($E4387,categories!$A$1:$B$8,MATCH(order_items!$F$1,categories!$A$1:$B$1,0),FALSE)</f>
        <v>Comfort Bicycles</v>
      </c>
      <c r="G4387">
        <v>2</v>
      </c>
      <c r="H4387">
        <v>549.99</v>
      </c>
      <c r="I4387" s="5">
        <v>7.0000000000000007E-2</v>
      </c>
      <c r="J4387">
        <f t="shared" si="136"/>
        <v>1022.9813999999999</v>
      </c>
      <c r="K4387" s="9">
        <f t="shared" si="137"/>
        <v>-0.48993857929220308</v>
      </c>
    </row>
    <row r="4388" spans="1:11" x14ac:dyDescent="0.3">
      <c r="A4388">
        <v>1505</v>
      </c>
      <c r="B4388">
        <v>3</v>
      </c>
      <c r="C4388">
        <v>43</v>
      </c>
      <c r="D4388" t="str">
        <f>VLOOKUP($C4388,products!$A$1:$F$322,MATCH(order_items!$D$1,products!$A$1:$F$1,0),FALSE)</f>
        <v>Trek Fuel EX 9.8 27.5 Plus - 2017</v>
      </c>
      <c r="E4388">
        <f>VLOOKUP($C4388,products!$A$1:$F$322,MATCH(order_items!$E$1,products!$A$1:$F$1,0),FALSE)</f>
        <v>6</v>
      </c>
      <c r="F4388" t="str">
        <f>VLOOKUP($E4388,categories!$A$1:$B$8,MATCH(order_items!$F$1,categories!$A$1:$B$1,0),FALSE)</f>
        <v>Mountain Bikes</v>
      </c>
      <c r="G4388">
        <v>2</v>
      </c>
      <c r="H4388">
        <v>5299.99</v>
      </c>
      <c r="I4388" s="5">
        <v>0.05</v>
      </c>
      <c r="J4388">
        <f t="shared" si="136"/>
        <v>10069.981</v>
      </c>
      <c r="K4388" s="9">
        <f t="shared" si="137"/>
        <v>3.021673754010787</v>
      </c>
    </row>
    <row r="4389" spans="1:11" x14ac:dyDescent="0.3">
      <c r="A4389">
        <v>1506</v>
      </c>
      <c r="B4389">
        <v>1</v>
      </c>
      <c r="C4389">
        <v>184</v>
      </c>
      <c r="D4389" t="str">
        <f>VLOOKUP($C4389,products!$A$1:$F$322,MATCH(order_items!$D$1,products!$A$1:$F$1,0),FALSE)</f>
        <v>Trek Domane SL 6 Disc - 2018</v>
      </c>
      <c r="E4389">
        <f>VLOOKUP($C4389,products!$A$1:$F$322,MATCH(order_items!$E$1,products!$A$1:$F$1,0),FALSE)</f>
        <v>7</v>
      </c>
      <c r="F4389" t="str">
        <f>VLOOKUP($E4389,categories!$A$1:$B$8,MATCH(order_items!$F$1,categories!$A$1:$B$1,0),FALSE)</f>
        <v>Road Bikes</v>
      </c>
      <c r="G4389">
        <v>1</v>
      </c>
      <c r="H4389">
        <v>3499.99</v>
      </c>
      <c r="I4389" s="5">
        <v>0.05</v>
      </c>
      <c r="J4389">
        <f t="shared" si="136"/>
        <v>3324.9904999999994</v>
      </c>
      <c r="K4389" s="9">
        <f t="shared" si="137"/>
        <v>1.6909575013907066</v>
      </c>
    </row>
    <row r="4390" spans="1:11" x14ac:dyDescent="0.3">
      <c r="A4390">
        <v>1506</v>
      </c>
      <c r="B4390">
        <v>2</v>
      </c>
      <c r="C4390">
        <v>153</v>
      </c>
      <c r="D4390" t="str">
        <f>VLOOKUP($C4390,products!$A$1:$F$322,MATCH(order_items!$D$1,products!$A$1:$F$1,0),FALSE)</f>
        <v>Trek Domane SL 7 Women's - 2018</v>
      </c>
      <c r="E4390">
        <f>VLOOKUP($C4390,products!$A$1:$F$322,MATCH(order_items!$E$1,products!$A$1:$F$1,0),FALSE)</f>
        <v>7</v>
      </c>
      <c r="F4390" t="str">
        <f>VLOOKUP($E4390,categories!$A$1:$B$8,MATCH(order_items!$F$1,categories!$A$1:$B$1,0),FALSE)</f>
        <v>Road Bikes</v>
      </c>
      <c r="G4390">
        <v>2</v>
      </c>
      <c r="H4390">
        <v>4999.99</v>
      </c>
      <c r="I4390" s="5">
        <v>0.2</v>
      </c>
      <c r="J4390">
        <f t="shared" si="136"/>
        <v>7999.9840000000004</v>
      </c>
      <c r="K4390" s="9">
        <f t="shared" si="137"/>
        <v>2.7998877119074401</v>
      </c>
    </row>
    <row r="4391" spans="1:11" x14ac:dyDescent="0.3">
      <c r="A4391">
        <v>1506</v>
      </c>
      <c r="B4391">
        <v>3</v>
      </c>
      <c r="C4391">
        <v>149</v>
      </c>
      <c r="D4391" t="str">
        <f>VLOOKUP($C4391,products!$A$1:$F$322,MATCH(order_items!$D$1,products!$A$1:$F$1,0),FALSE)</f>
        <v>Trek Domane SLR 8 Disc - 2018</v>
      </c>
      <c r="E4391">
        <f>VLOOKUP($C4391,products!$A$1:$F$322,MATCH(order_items!$E$1,products!$A$1:$F$1,0),FALSE)</f>
        <v>7</v>
      </c>
      <c r="F4391" t="str">
        <f>VLOOKUP($E4391,categories!$A$1:$B$8,MATCH(order_items!$F$1,categories!$A$1:$B$1,0),FALSE)</f>
        <v>Road Bikes</v>
      </c>
      <c r="G4391">
        <v>2</v>
      </c>
      <c r="H4391">
        <v>7499.99</v>
      </c>
      <c r="I4391" s="5">
        <v>0.05</v>
      </c>
      <c r="J4391">
        <f t="shared" si="136"/>
        <v>14249.981</v>
      </c>
      <c r="K4391" s="9">
        <f t="shared" si="137"/>
        <v>4.6481047294353299</v>
      </c>
    </row>
    <row r="4392" spans="1:11" x14ac:dyDescent="0.3">
      <c r="A4392">
        <v>1507</v>
      </c>
      <c r="B4392">
        <v>1</v>
      </c>
      <c r="C4392">
        <v>39</v>
      </c>
      <c r="D4392" t="str">
        <f>VLOOKUP($C4392,products!$A$1:$F$322,MATCH(order_items!$D$1,products!$A$1:$F$1,0),FALSE)</f>
        <v>Trek Stache 5 - 2017</v>
      </c>
      <c r="E4392">
        <f>VLOOKUP($C4392,products!$A$1:$F$322,MATCH(order_items!$E$1,products!$A$1:$F$1,0),FALSE)</f>
        <v>6</v>
      </c>
      <c r="F4392" t="str">
        <f>VLOOKUP($E4392,categories!$A$1:$B$8,MATCH(order_items!$F$1,categories!$A$1:$B$1,0),FALSE)</f>
        <v>Mountain Bikes</v>
      </c>
      <c r="G4392">
        <v>2</v>
      </c>
      <c r="H4392">
        <v>1499.99</v>
      </c>
      <c r="I4392" s="5">
        <v>0.2</v>
      </c>
      <c r="J4392">
        <f t="shared" si="136"/>
        <v>2399.9839999999999</v>
      </c>
      <c r="K4392" s="9">
        <f t="shared" si="137"/>
        <v>0.21238388736839492</v>
      </c>
    </row>
    <row r="4393" spans="1:11" x14ac:dyDescent="0.3">
      <c r="A4393">
        <v>1507</v>
      </c>
      <c r="B4393">
        <v>2</v>
      </c>
      <c r="C4393">
        <v>11</v>
      </c>
      <c r="D4393" t="str">
        <f>VLOOKUP($C4393,products!$A$1:$F$322,MATCH(order_items!$D$1,products!$A$1:$F$1,0),FALSE)</f>
        <v>Surly Straggler 650b - 2016</v>
      </c>
      <c r="E4393">
        <f>VLOOKUP($C4393,products!$A$1:$F$322,MATCH(order_items!$E$1,products!$A$1:$F$1,0),FALSE)</f>
        <v>4</v>
      </c>
      <c r="F4393" t="str">
        <f>VLOOKUP($E4393,categories!$A$1:$B$8,MATCH(order_items!$F$1,categories!$A$1:$B$1,0),FALSE)</f>
        <v>Cyclocross Bicycles</v>
      </c>
      <c r="G4393">
        <v>2</v>
      </c>
      <c r="H4393">
        <v>1680.99</v>
      </c>
      <c r="I4393" s="5">
        <v>0.1</v>
      </c>
      <c r="J4393">
        <f t="shared" si="136"/>
        <v>3025.7820000000002</v>
      </c>
      <c r="K4393" s="9">
        <f t="shared" si="137"/>
        <v>0.3461947994374141</v>
      </c>
    </row>
    <row r="4394" spans="1:11" x14ac:dyDescent="0.3">
      <c r="A4394">
        <v>1507</v>
      </c>
      <c r="B4394">
        <v>3</v>
      </c>
      <c r="C4394">
        <v>259</v>
      </c>
      <c r="D4394" t="str">
        <f>VLOOKUP($C4394,products!$A$1:$F$322,MATCH(order_items!$D$1,products!$A$1:$F$1,0),FALSE)</f>
        <v>Electra Amsterdam Royal 8i Ladies - 2018</v>
      </c>
      <c r="E4394">
        <f>VLOOKUP($C4394,products!$A$1:$F$322,MATCH(order_items!$E$1,products!$A$1:$F$1,0),FALSE)</f>
        <v>3</v>
      </c>
      <c r="F4394" t="str">
        <f>VLOOKUP($E4394,categories!$A$1:$B$8,MATCH(order_items!$F$1,categories!$A$1:$B$1,0),FALSE)</f>
        <v>Cruisers Bicycles</v>
      </c>
      <c r="G4394">
        <v>1</v>
      </c>
      <c r="H4394">
        <v>1199.99</v>
      </c>
      <c r="I4394" s="5">
        <v>7.0000000000000007E-2</v>
      </c>
      <c r="J4394">
        <f t="shared" si="136"/>
        <v>1115.9906999999998</v>
      </c>
      <c r="K4394" s="9">
        <f t="shared" si="137"/>
        <v>-9.402154734951821E-3</v>
      </c>
    </row>
    <row r="4395" spans="1:11" x14ac:dyDescent="0.3">
      <c r="A4395">
        <v>1507</v>
      </c>
      <c r="B4395">
        <v>4</v>
      </c>
      <c r="C4395">
        <v>281</v>
      </c>
      <c r="D4395" t="str">
        <f>VLOOKUP($C4395,products!$A$1:$F$322,MATCH(order_items!$D$1,products!$A$1:$F$1,0),FALSE)</f>
        <v>Electra Cruiser 7D (24-Inch) Ladies' - 2016/2018</v>
      </c>
      <c r="E4395">
        <f>VLOOKUP($C4395,products!$A$1:$F$322,MATCH(order_items!$E$1,products!$A$1:$F$1,0),FALSE)</f>
        <v>1</v>
      </c>
      <c r="F4395" t="str">
        <f>VLOOKUP($E4395,categories!$A$1:$B$8,MATCH(order_items!$F$1,categories!$A$1:$B$1,0),FALSE)</f>
        <v>Children Bicycles</v>
      </c>
      <c r="G4395">
        <v>1</v>
      </c>
      <c r="H4395">
        <v>319.99</v>
      </c>
      <c r="I4395" s="5">
        <v>7.0000000000000007E-2</v>
      </c>
      <c r="J4395">
        <f t="shared" si="136"/>
        <v>297.59069999999997</v>
      </c>
      <c r="K4395" s="9">
        <f t="shared" si="137"/>
        <v>-0.65997454490476892</v>
      </c>
    </row>
    <row r="4396" spans="1:11" x14ac:dyDescent="0.3">
      <c r="A4396">
        <v>1507</v>
      </c>
      <c r="B4396">
        <v>5</v>
      </c>
      <c r="C4396">
        <v>293</v>
      </c>
      <c r="D4396" t="str">
        <f>VLOOKUP($C4396,products!$A$1:$F$322,MATCH(order_items!$D$1,products!$A$1:$F$1,0),FALSE)</f>
        <v>Electra Tiger Shark 1 (20-inch) - Boys' - 2018</v>
      </c>
      <c r="E4396">
        <f>VLOOKUP($C4396,products!$A$1:$F$322,MATCH(order_items!$E$1,products!$A$1:$F$1,0),FALSE)</f>
        <v>1</v>
      </c>
      <c r="F4396" t="str">
        <f>VLOOKUP($E4396,categories!$A$1:$B$8,MATCH(order_items!$F$1,categories!$A$1:$B$1,0),FALSE)</f>
        <v>Children Bicycles</v>
      </c>
      <c r="G4396">
        <v>2</v>
      </c>
      <c r="H4396">
        <v>319.99</v>
      </c>
      <c r="I4396" s="5">
        <v>0.05</v>
      </c>
      <c r="J4396">
        <f t="shared" si="136"/>
        <v>607.98099999999999</v>
      </c>
      <c r="K4396" s="9">
        <f t="shared" si="137"/>
        <v>-0.65997454490476892</v>
      </c>
    </row>
    <row r="4397" spans="1:11" x14ac:dyDescent="0.3">
      <c r="A4397">
        <v>1508</v>
      </c>
      <c r="B4397">
        <v>1</v>
      </c>
      <c r="C4397">
        <v>37</v>
      </c>
      <c r="D4397" t="str">
        <f>VLOOKUP($C4397,products!$A$1:$F$322,MATCH(order_items!$D$1,products!$A$1:$F$1,0),FALSE)</f>
        <v>Haro Flightline One ST - 2017</v>
      </c>
      <c r="E4397">
        <f>VLOOKUP($C4397,products!$A$1:$F$322,MATCH(order_items!$E$1,products!$A$1:$F$1,0),FALSE)</f>
        <v>6</v>
      </c>
      <c r="F4397" t="str">
        <f>VLOOKUP($E4397,categories!$A$1:$B$8,MATCH(order_items!$F$1,categories!$A$1:$B$1,0),FALSE)</f>
        <v>Mountain Bikes</v>
      </c>
      <c r="G4397">
        <v>1</v>
      </c>
      <c r="H4397">
        <v>379.99</v>
      </c>
      <c r="I4397" s="5">
        <v>0.2</v>
      </c>
      <c r="J4397">
        <f t="shared" si="136"/>
        <v>303.99200000000002</v>
      </c>
      <c r="K4397" s="9">
        <f t="shared" si="137"/>
        <v>-0.61561733648409955</v>
      </c>
    </row>
    <row r="4398" spans="1:11" x14ac:dyDescent="0.3">
      <c r="A4398">
        <v>1508</v>
      </c>
      <c r="B4398">
        <v>2</v>
      </c>
      <c r="C4398">
        <v>109</v>
      </c>
      <c r="D4398" t="str">
        <f>VLOOKUP($C4398,products!$A$1:$F$322,MATCH(order_items!$D$1,products!$A$1:$F$1,0),FALSE)</f>
        <v>Sun Bicycles Cruz 7 - Women's - 2017</v>
      </c>
      <c r="E4398">
        <f>VLOOKUP($C4398,products!$A$1:$F$322,MATCH(order_items!$E$1,products!$A$1:$F$1,0),FALSE)</f>
        <v>2</v>
      </c>
      <c r="F4398" t="str">
        <f>VLOOKUP($E4398,categories!$A$1:$B$8,MATCH(order_items!$F$1,categories!$A$1:$B$1,0),FALSE)</f>
        <v>Comfort Bicycles</v>
      </c>
      <c r="G4398">
        <v>1</v>
      </c>
      <c r="H4398">
        <v>416.99</v>
      </c>
      <c r="I4398" s="5">
        <v>0.1</v>
      </c>
      <c r="J4398">
        <f t="shared" si="136"/>
        <v>375.291</v>
      </c>
      <c r="K4398" s="9">
        <f t="shared" si="137"/>
        <v>-0.58826372462468679</v>
      </c>
    </row>
    <row r="4399" spans="1:11" x14ac:dyDescent="0.3">
      <c r="A4399">
        <v>1508</v>
      </c>
      <c r="B4399">
        <v>3</v>
      </c>
      <c r="C4399">
        <v>52</v>
      </c>
      <c r="D4399" t="str">
        <f>VLOOKUP($C4399,products!$A$1:$F$322,MATCH(order_items!$D$1,products!$A$1:$F$1,0),FALSE)</f>
        <v>Surly Steamroller - 2017</v>
      </c>
      <c r="E4399">
        <f>VLOOKUP($C4399,products!$A$1:$F$322,MATCH(order_items!$E$1,products!$A$1:$F$1,0),FALSE)</f>
        <v>7</v>
      </c>
      <c r="F4399" t="str">
        <f>VLOOKUP($E4399,categories!$A$1:$B$8,MATCH(order_items!$F$1,categories!$A$1:$B$1,0),FALSE)</f>
        <v>Road Bikes</v>
      </c>
      <c r="G4399">
        <v>2</v>
      </c>
      <c r="H4399">
        <v>875.99</v>
      </c>
      <c r="I4399" s="5">
        <v>0.05</v>
      </c>
      <c r="J4399">
        <f t="shared" si="136"/>
        <v>1664.3809999999999</v>
      </c>
      <c r="K4399" s="9">
        <f t="shared" si="137"/>
        <v>-0.24893108020656629</v>
      </c>
    </row>
    <row r="4400" spans="1:11" x14ac:dyDescent="0.3">
      <c r="A4400">
        <v>1508</v>
      </c>
      <c r="B4400">
        <v>4</v>
      </c>
      <c r="C4400">
        <v>88</v>
      </c>
      <c r="D4400" t="str">
        <f>VLOOKUP($C4400,products!$A$1:$F$322,MATCH(order_items!$D$1,products!$A$1:$F$1,0),FALSE)</f>
        <v>Trek Precaliber 12 Girls - 2017</v>
      </c>
      <c r="E4400">
        <f>VLOOKUP($C4400,products!$A$1:$F$322,MATCH(order_items!$E$1,products!$A$1:$F$1,0),FALSE)</f>
        <v>1</v>
      </c>
      <c r="F4400" t="str">
        <f>VLOOKUP($E4400,categories!$A$1:$B$8,MATCH(order_items!$F$1,categories!$A$1:$B$1,0),FALSE)</f>
        <v>Children Bicycles</v>
      </c>
      <c r="G4400">
        <v>1</v>
      </c>
      <c r="H4400">
        <v>189.99</v>
      </c>
      <c r="I4400" s="5">
        <v>0.05</v>
      </c>
      <c r="J4400">
        <f t="shared" si="136"/>
        <v>180.4905</v>
      </c>
      <c r="K4400" s="9">
        <f t="shared" si="137"/>
        <v>-0.75608182981621919</v>
      </c>
    </row>
    <row r="4401" spans="1:11" x14ac:dyDescent="0.3">
      <c r="A4401">
        <v>1509</v>
      </c>
      <c r="B4401">
        <v>1</v>
      </c>
      <c r="C4401">
        <v>215</v>
      </c>
      <c r="D4401" t="str">
        <f>VLOOKUP($C4401,products!$A$1:$F$322,MATCH(order_items!$D$1,products!$A$1:$F$1,0),FALSE)</f>
        <v>Electra Queen of Hearts 3i - 2018</v>
      </c>
      <c r="E4401">
        <f>VLOOKUP($C4401,products!$A$1:$F$322,MATCH(order_items!$E$1,products!$A$1:$F$1,0),FALSE)</f>
        <v>3</v>
      </c>
      <c r="F4401" t="str">
        <f>VLOOKUP($E4401,categories!$A$1:$B$8,MATCH(order_items!$F$1,categories!$A$1:$B$1,0),FALSE)</f>
        <v>Cruisers Bicycles</v>
      </c>
      <c r="G4401">
        <v>2</v>
      </c>
      <c r="H4401">
        <v>749.99</v>
      </c>
      <c r="I4401" s="5">
        <v>7.0000000000000007E-2</v>
      </c>
      <c r="J4401">
        <f t="shared" si="136"/>
        <v>1394.9813999999999</v>
      </c>
      <c r="K4401" s="9">
        <f t="shared" si="137"/>
        <v>-0.34208121788997192</v>
      </c>
    </row>
    <row r="4402" spans="1:11" x14ac:dyDescent="0.3">
      <c r="A4402">
        <v>1510</v>
      </c>
      <c r="B4402">
        <v>1</v>
      </c>
      <c r="C4402">
        <v>142</v>
      </c>
      <c r="D4402" t="str">
        <f>VLOOKUP($C4402,products!$A$1:$F$322,MATCH(order_items!$D$1,products!$A$1:$F$1,0),FALSE)</f>
        <v>Trek Fuel EX 8 29 XT - 2018</v>
      </c>
      <c r="E4402">
        <f>VLOOKUP($C4402,products!$A$1:$F$322,MATCH(order_items!$E$1,products!$A$1:$F$1,0),FALSE)</f>
        <v>6</v>
      </c>
      <c r="F4402" t="str">
        <f>VLOOKUP($E4402,categories!$A$1:$B$8,MATCH(order_items!$F$1,categories!$A$1:$B$1,0),FALSE)</f>
        <v>Mountain Bikes</v>
      </c>
      <c r="G4402">
        <v>2</v>
      </c>
      <c r="H4402">
        <v>3199.99</v>
      </c>
      <c r="I4402" s="5">
        <v>0.05</v>
      </c>
      <c r="J4402">
        <f t="shared" si="136"/>
        <v>6079.9809999999989</v>
      </c>
      <c r="K4402" s="9">
        <f t="shared" si="137"/>
        <v>1.4691714592873595</v>
      </c>
    </row>
    <row r="4403" spans="1:11" x14ac:dyDescent="0.3">
      <c r="A4403">
        <v>1510</v>
      </c>
      <c r="B4403">
        <v>2</v>
      </c>
      <c r="C4403">
        <v>68</v>
      </c>
      <c r="D4403" t="str">
        <f>VLOOKUP($C4403,products!$A$1:$F$322,MATCH(order_items!$D$1,products!$A$1:$F$1,0),FALSE)</f>
        <v>Sun Bicycles Cruz 3 - 2017</v>
      </c>
      <c r="E4403">
        <f>VLOOKUP($C4403,products!$A$1:$F$322,MATCH(order_items!$E$1,products!$A$1:$F$1,0),FALSE)</f>
        <v>3</v>
      </c>
      <c r="F4403" t="str">
        <f>VLOOKUP($E4403,categories!$A$1:$B$8,MATCH(order_items!$F$1,categories!$A$1:$B$1,0),FALSE)</f>
        <v>Cruisers Bicycles</v>
      </c>
      <c r="G4403">
        <v>1</v>
      </c>
      <c r="H4403">
        <v>449.99</v>
      </c>
      <c r="I4403" s="5">
        <v>0.1</v>
      </c>
      <c r="J4403">
        <f t="shared" si="136"/>
        <v>404.99100000000004</v>
      </c>
      <c r="K4403" s="9">
        <f t="shared" si="137"/>
        <v>-0.56386725999331866</v>
      </c>
    </row>
    <row r="4404" spans="1:11" x14ac:dyDescent="0.3">
      <c r="A4404">
        <v>1510</v>
      </c>
      <c r="B4404">
        <v>3</v>
      </c>
      <c r="C4404">
        <v>251</v>
      </c>
      <c r="D4404" t="str">
        <f>VLOOKUP($C4404,products!$A$1:$F$322,MATCH(order_items!$D$1,products!$A$1:$F$1,0),FALSE)</f>
        <v>Electra Townie Commute Go! - 2018</v>
      </c>
      <c r="E4404">
        <f>VLOOKUP($C4404,products!$A$1:$F$322,MATCH(order_items!$E$1,products!$A$1:$F$1,0),FALSE)</f>
        <v>3</v>
      </c>
      <c r="F4404" t="str">
        <f>VLOOKUP($E4404,categories!$A$1:$B$8,MATCH(order_items!$F$1,categories!$A$1:$B$1,0),FALSE)</f>
        <v>Cruisers Bicycles</v>
      </c>
      <c r="G4404">
        <v>2</v>
      </c>
      <c r="H4404">
        <v>2999.99</v>
      </c>
      <c r="I4404" s="5">
        <v>0.1</v>
      </c>
      <c r="J4404">
        <f t="shared" si="136"/>
        <v>5399.982</v>
      </c>
      <c r="K4404" s="9">
        <f t="shared" si="137"/>
        <v>1.3213140978851283</v>
      </c>
    </row>
    <row r="4405" spans="1:11" x14ac:dyDescent="0.3">
      <c r="A4405">
        <v>1510</v>
      </c>
      <c r="B4405">
        <v>4</v>
      </c>
      <c r="C4405">
        <v>220</v>
      </c>
      <c r="D4405" t="str">
        <f>VLOOKUP($C4405,products!$A$1:$F$322,MATCH(order_items!$D$1,products!$A$1:$F$1,0),FALSE)</f>
        <v>Electra Cruiser 1 Ladies' - 2018</v>
      </c>
      <c r="E4405">
        <f>VLOOKUP($C4405,products!$A$1:$F$322,MATCH(order_items!$E$1,products!$A$1:$F$1,0),FALSE)</f>
        <v>3</v>
      </c>
      <c r="F4405" t="str">
        <f>VLOOKUP($E4405,categories!$A$1:$B$8,MATCH(order_items!$F$1,categories!$A$1:$B$1,0),FALSE)</f>
        <v>Cruisers Bicycles</v>
      </c>
      <c r="G4405">
        <v>2</v>
      </c>
      <c r="H4405">
        <v>269.99</v>
      </c>
      <c r="I4405" s="5">
        <v>0.1</v>
      </c>
      <c r="J4405">
        <f t="shared" si="136"/>
        <v>485.98200000000003</v>
      </c>
      <c r="K4405" s="9">
        <f t="shared" si="137"/>
        <v>-0.69693888525532666</v>
      </c>
    </row>
    <row r="4406" spans="1:11" x14ac:dyDescent="0.3">
      <c r="A4406">
        <v>1510</v>
      </c>
      <c r="B4406">
        <v>5</v>
      </c>
      <c r="C4406">
        <v>137</v>
      </c>
      <c r="D4406" t="str">
        <f>VLOOKUP($C4406,products!$A$1:$F$322,MATCH(order_items!$D$1,products!$A$1:$F$1,0),FALSE)</f>
        <v>Heller Shagamaw GX1 - 2018</v>
      </c>
      <c r="E4406">
        <f>VLOOKUP($C4406,products!$A$1:$F$322,MATCH(order_items!$E$1,products!$A$1:$F$1,0),FALSE)</f>
        <v>6</v>
      </c>
      <c r="F4406" t="str">
        <f>VLOOKUP($E4406,categories!$A$1:$B$8,MATCH(order_items!$F$1,categories!$A$1:$B$1,0),FALSE)</f>
        <v>Mountain Bikes</v>
      </c>
      <c r="G4406">
        <v>1</v>
      </c>
      <c r="H4406">
        <v>2599</v>
      </c>
      <c r="I4406" s="5">
        <v>0.05</v>
      </c>
      <c r="J4406">
        <f t="shared" si="136"/>
        <v>2469.0499999999997</v>
      </c>
      <c r="K4406" s="9">
        <f t="shared" si="137"/>
        <v>1.0248674811417253</v>
      </c>
    </row>
    <row r="4407" spans="1:11" x14ac:dyDescent="0.3">
      <c r="A4407">
        <v>1511</v>
      </c>
      <c r="B4407">
        <v>1</v>
      </c>
      <c r="C4407">
        <v>144</v>
      </c>
      <c r="D4407" t="str">
        <f>VLOOKUP($C4407,products!$A$1:$F$322,MATCH(order_items!$D$1,products!$A$1:$F$1,0),FALSE)</f>
        <v>Trek Domane ALR 4 Disc - 2018</v>
      </c>
      <c r="E4407">
        <f>VLOOKUP($C4407,products!$A$1:$F$322,MATCH(order_items!$E$1,products!$A$1:$F$1,0),FALSE)</f>
        <v>7</v>
      </c>
      <c r="F4407" t="str">
        <f>VLOOKUP($E4407,categories!$A$1:$B$8,MATCH(order_items!$F$1,categories!$A$1:$B$1,0),FALSE)</f>
        <v>Road Bikes</v>
      </c>
      <c r="G4407">
        <v>2</v>
      </c>
      <c r="H4407">
        <v>1549.99</v>
      </c>
      <c r="I4407" s="5">
        <v>0.2</v>
      </c>
      <c r="J4407">
        <f t="shared" si="136"/>
        <v>2479.9840000000004</v>
      </c>
      <c r="K4407" s="9">
        <f t="shared" si="137"/>
        <v>0.24934822771895271</v>
      </c>
    </row>
    <row r="4408" spans="1:11" x14ac:dyDescent="0.3">
      <c r="A4408">
        <v>1511</v>
      </c>
      <c r="B4408">
        <v>2</v>
      </c>
      <c r="C4408">
        <v>288</v>
      </c>
      <c r="D4408" t="str">
        <f>VLOOKUP($C4408,products!$A$1:$F$322,MATCH(order_items!$D$1,products!$A$1:$F$1,0),FALSE)</f>
        <v>Electra Straight 8 1 (20-inch) - Boy's - 2018</v>
      </c>
      <c r="E4408">
        <f>VLOOKUP($C4408,products!$A$1:$F$322,MATCH(order_items!$E$1,products!$A$1:$F$1,0),FALSE)</f>
        <v>1</v>
      </c>
      <c r="F4408" t="str">
        <f>VLOOKUP($E4408,categories!$A$1:$B$8,MATCH(order_items!$F$1,categories!$A$1:$B$1,0),FALSE)</f>
        <v>Children Bicycles</v>
      </c>
      <c r="G4408">
        <v>1</v>
      </c>
      <c r="H4408">
        <v>389.99</v>
      </c>
      <c r="I4408" s="5">
        <v>7.0000000000000007E-2</v>
      </c>
      <c r="J4408">
        <f t="shared" si="136"/>
        <v>362.69069999999999</v>
      </c>
      <c r="K4408" s="9">
        <f t="shared" si="137"/>
        <v>-0.60822446841398803</v>
      </c>
    </row>
    <row r="4409" spans="1:11" x14ac:dyDescent="0.3">
      <c r="A4409">
        <v>1511</v>
      </c>
      <c r="B4409">
        <v>3</v>
      </c>
      <c r="C4409">
        <v>17</v>
      </c>
      <c r="D4409" t="str">
        <f>VLOOKUP($C4409,products!$A$1:$F$322,MATCH(order_items!$D$1,products!$A$1:$F$1,0),FALSE)</f>
        <v>Pure Cycles Vine 8-Speed - 2016</v>
      </c>
      <c r="E4409">
        <f>VLOOKUP($C4409,products!$A$1:$F$322,MATCH(order_items!$E$1,products!$A$1:$F$1,0),FALSE)</f>
        <v>3</v>
      </c>
      <c r="F4409" t="str">
        <f>VLOOKUP($E4409,categories!$A$1:$B$8,MATCH(order_items!$F$1,categories!$A$1:$B$1,0),FALSE)</f>
        <v>Cruisers Bicycles</v>
      </c>
      <c r="G4409">
        <v>2</v>
      </c>
      <c r="H4409">
        <v>429</v>
      </c>
      <c r="I4409" s="5">
        <v>7.0000000000000007E-2</v>
      </c>
      <c r="J4409">
        <f t="shared" si="136"/>
        <v>797.93999999999994</v>
      </c>
      <c r="K4409" s="9">
        <f t="shared" si="137"/>
        <v>-0.57938489007248284</v>
      </c>
    </row>
    <row r="4410" spans="1:11" x14ac:dyDescent="0.3">
      <c r="A4410">
        <v>1511</v>
      </c>
      <c r="B4410">
        <v>4</v>
      </c>
      <c r="C4410">
        <v>41</v>
      </c>
      <c r="D4410" t="str">
        <f>VLOOKUP($C4410,products!$A$1:$F$322,MATCH(order_items!$D$1,products!$A$1:$F$1,0),FALSE)</f>
        <v>Haro Shift R3 - 2017</v>
      </c>
      <c r="E4410">
        <f>VLOOKUP($C4410,products!$A$1:$F$322,MATCH(order_items!$E$1,products!$A$1:$F$1,0),FALSE)</f>
        <v>6</v>
      </c>
      <c r="F4410" t="str">
        <f>VLOOKUP($E4410,categories!$A$1:$B$8,MATCH(order_items!$F$1,categories!$A$1:$B$1,0),FALSE)</f>
        <v>Mountain Bikes</v>
      </c>
      <c r="G4410">
        <v>1</v>
      </c>
      <c r="H4410">
        <v>1469.99</v>
      </c>
      <c r="I4410" s="5">
        <v>0.05</v>
      </c>
      <c r="J4410">
        <f t="shared" si="136"/>
        <v>1396.4904999999999</v>
      </c>
      <c r="K4410" s="9">
        <f t="shared" si="137"/>
        <v>0.19020528315806023</v>
      </c>
    </row>
    <row r="4411" spans="1:11" x14ac:dyDescent="0.3">
      <c r="A4411">
        <v>1511</v>
      </c>
      <c r="B4411">
        <v>5</v>
      </c>
      <c r="C4411">
        <v>124</v>
      </c>
      <c r="D4411" t="str">
        <f>VLOOKUP($C4411,products!$A$1:$F$322,MATCH(order_items!$D$1,products!$A$1:$F$1,0),FALSE)</f>
        <v>Surly Krampus - 2018</v>
      </c>
      <c r="E4411">
        <f>VLOOKUP($C4411,products!$A$1:$F$322,MATCH(order_items!$E$1,products!$A$1:$F$1,0),FALSE)</f>
        <v>6</v>
      </c>
      <c r="F4411" t="str">
        <f>VLOOKUP($E4411,categories!$A$1:$B$8,MATCH(order_items!$F$1,categories!$A$1:$B$1,0),FALSE)</f>
        <v>Mountain Bikes</v>
      </c>
      <c r="G4411">
        <v>2</v>
      </c>
      <c r="H4411">
        <v>1499</v>
      </c>
      <c r="I4411" s="5">
        <v>0.2</v>
      </c>
      <c r="J4411">
        <f t="shared" si="136"/>
        <v>2398.4</v>
      </c>
      <c r="K4411" s="9">
        <f t="shared" si="137"/>
        <v>0.21165199342945387</v>
      </c>
    </row>
    <row r="4412" spans="1:11" x14ac:dyDescent="0.3">
      <c r="A4412">
        <v>1512</v>
      </c>
      <c r="B4412">
        <v>1</v>
      </c>
      <c r="C4412">
        <v>217</v>
      </c>
      <c r="D4412" t="str">
        <f>VLOOKUP($C4412,products!$A$1:$F$322,MATCH(order_items!$D$1,products!$A$1:$F$1,0),FALSE)</f>
        <v>Electra Straight 8 3i - 2018</v>
      </c>
      <c r="E4412">
        <f>VLOOKUP($C4412,products!$A$1:$F$322,MATCH(order_items!$E$1,products!$A$1:$F$1,0),FALSE)</f>
        <v>3</v>
      </c>
      <c r="F4412" t="str">
        <f>VLOOKUP($E4412,categories!$A$1:$B$8,MATCH(order_items!$F$1,categories!$A$1:$B$1,0),FALSE)</f>
        <v>Cruisers Bicycles</v>
      </c>
      <c r="G4412">
        <v>1</v>
      </c>
      <c r="H4412">
        <v>909.99</v>
      </c>
      <c r="I4412" s="5">
        <v>7.0000000000000007E-2</v>
      </c>
      <c r="J4412">
        <f t="shared" si="136"/>
        <v>846.2906999999999</v>
      </c>
      <c r="K4412" s="9">
        <f t="shared" si="137"/>
        <v>-0.223795328768187</v>
      </c>
    </row>
    <row r="4413" spans="1:11" x14ac:dyDescent="0.3">
      <c r="A4413">
        <v>1513</v>
      </c>
      <c r="B4413">
        <v>1</v>
      </c>
      <c r="C4413">
        <v>166</v>
      </c>
      <c r="D4413" t="str">
        <f>VLOOKUP($C4413,products!$A$1:$F$322,MATCH(order_items!$D$1,products!$A$1:$F$1,0),FALSE)</f>
        <v>Trek Domane AL 2 Women's - 2018</v>
      </c>
      <c r="E4413">
        <f>VLOOKUP($C4413,products!$A$1:$F$322,MATCH(order_items!$E$1,products!$A$1:$F$1,0),FALSE)</f>
        <v>7</v>
      </c>
      <c r="F4413" t="str">
        <f>VLOOKUP($E4413,categories!$A$1:$B$8,MATCH(order_items!$F$1,categories!$A$1:$B$1,0),FALSE)</f>
        <v>Road Bikes</v>
      </c>
      <c r="G4413">
        <v>1</v>
      </c>
      <c r="H4413">
        <v>749.99</v>
      </c>
      <c r="I4413" s="5">
        <v>0.1</v>
      </c>
      <c r="J4413">
        <f t="shared" si="136"/>
        <v>674.99099999999999</v>
      </c>
      <c r="K4413" s="9">
        <f t="shared" si="137"/>
        <v>-0.34208121788997192</v>
      </c>
    </row>
    <row r="4414" spans="1:11" x14ac:dyDescent="0.3">
      <c r="A4414">
        <v>1513</v>
      </c>
      <c r="B4414">
        <v>2</v>
      </c>
      <c r="C4414">
        <v>61</v>
      </c>
      <c r="D4414" t="str">
        <f>VLOOKUP($C4414,products!$A$1:$F$322,MATCH(order_items!$D$1,products!$A$1:$F$1,0),FALSE)</f>
        <v>Trek Powerfly 8 FS Plus - 2017</v>
      </c>
      <c r="E4414">
        <f>VLOOKUP($C4414,products!$A$1:$F$322,MATCH(order_items!$E$1,products!$A$1:$F$1,0),FALSE)</f>
        <v>5</v>
      </c>
      <c r="F4414" t="str">
        <f>VLOOKUP($E4414,categories!$A$1:$B$8,MATCH(order_items!$F$1,categories!$A$1:$B$1,0),FALSE)</f>
        <v>Electric Bikes</v>
      </c>
      <c r="G4414">
        <v>2</v>
      </c>
      <c r="H4414">
        <v>4999.99</v>
      </c>
      <c r="I4414" s="5">
        <v>0.05</v>
      </c>
      <c r="J4414">
        <f t="shared" si="136"/>
        <v>9499.9809999999998</v>
      </c>
      <c r="K4414" s="9">
        <f t="shared" si="137"/>
        <v>2.7998877119074401</v>
      </c>
    </row>
    <row r="4415" spans="1:11" x14ac:dyDescent="0.3">
      <c r="A4415">
        <v>1513</v>
      </c>
      <c r="B4415">
        <v>3</v>
      </c>
      <c r="C4415">
        <v>159</v>
      </c>
      <c r="D4415" t="str">
        <f>VLOOKUP($C4415,products!$A$1:$F$322,MATCH(order_items!$D$1,products!$A$1:$F$1,0),FALSE)</f>
        <v>Trek Emonda ALR 6 - 2018</v>
      </c>
      <c r="E4415">
        <f>VLOOKUP($C4415,products!$A$1:$F$322,MATCH(order_items!$E$1,products!$A$1:$F$1,0),FALSE)</f>
        <v>7</v>
      </c>
      <c r="F4415" t="str">
        <f>VLOOKUP($E4415,categories!$A$1:$B$8,MATCH(order_items!$F$1,categories!$A$1:$B$1,0),FALSE)</f>
        <v>Road Bikes</v>
      </c>
      <c r="G4415">
        <v>2</v>
      </c>
      <c r="H4415">
        <v>2299.9899999999998</v>
      </c>
      <c r="I4415" s="5">
        <v>0.05</v>
      </c>
      <c r="J4415">
        <f t="shared" si="136"/>
        <v>4369.9809999999998</v>
      </c>
      <c r="K4415" s="9">
        <f t="shared" si="137"/>
        <v>0.80381333297731938</v>
      </c>
    </row>
    <row r="4416" spans="1:11" x14ac:dyDescent="0.3">
      <c r="A4416">
        <v>1514</v>
      </c>
      <c r="B4416">
        <v>1</v>
      </c>
      <c r="C4416">
        <v>240</v>
      </c>
      <c r="D4416" t="str">
        <f>VLOOKUP($C4416,products!$A$1:$F$322,MATCH(order_items!$D$1,products!$A$1:$F$1,0),FALSE)</f>
        <v>Electra Townie Commute 27D Ladies - 2018</v>
      </c>
      <c r="E4416">
        <f>VLOOKUP($C4416,products!$A$1:$F$322,MATCH(order_items!$E$1,products!$A$1:$F$1,0),FALSE)</f>
        <v>3</v>
      </c>
      <c r="F4416" t="str">
        <f>VLOOKUP($E4416,categories!$A$1:$B$8,MATCH(order_items!$F$1,categories!$A$1:$B$1,0),FALSE)</f>
        <v>Cruisers Bicycles</v>
      </c>
      <c r="G4416">
        <v>2</v>
      </c>
      <c r="H4416">
        <v>899.99</v>
      </c>
      <c r="I4416" s="5">
        <v>0.1</v>
      </c>
      <c r="J4416">
        <f t="shared" si="136"/>
        <v>1619.982</v>
      </c>
      <c r="K4416" s="9">
        <f t="shared" si="137"/>
        <v>-0.23118819683829855</v>
      </c>
    </row>
    <row r="4417" spans="1:11" x14ac:dyDescent="0.3">
      <c r="A4417">
        <v>1514</v>
      </c>
      <c r="B4417">
        <v>2</v>
      </c>
      <c r="C4417">
        <v>203</v>
      </c>
      <c r="D4417" t="str">
        <f>VLOOKUP($C4417,products!$A$1:$F$322,MATCH(order_items!$D$1,products!$A$1:$F$1,0),FALSE)</f>
        <v>Trek Powerfly 7 FS - 2018</v>
      </c>
      <c r="E4417">
        <f>VLOOKUP($C4417,products!$A$1:$F$322,MATCH(order_items!$E$1,products!$A$1:$F$1,0),FALSE)</f>
        <v>5</v>
      </c>
      <c r="F4417" t="str">
        <f>VLOOKUP($E4417,categories!$A$1:$B$8,MATCH(order_items!$F$1,categories!$A$1:$B$1,0),FALSE)</f>
        <v>Electric Bikes</v>
      </c>
      <c r="G4417">
        <v>2</v>
      </c>
      <c r="H4417">
        <v>4999.99</v>
      </c>
      <c r="I4417" s="5">
        <v>0.05</v>
      </c>
      <c r="J4417">
        <f t="shared" si="136"/>
        <v>9499.9809999999998</v>
      </c>
      <c r="K4417" s="9">
        <f t="shared" si="137"/>
        <v>2.7998877119074401</v>
      </c>
    </row>
    <row r="4418" spans="1:11" x14ac:dyDescent="0.3">
      <c r="A4418">
        <v>1515</v>
      </c>
      <c r="B4418">
        <v>1</v>
      </c>
      <c r="C4418">
        <v>27</v>
      </c>
      <c r="D4418" t="str">
        <f>VLOOKUP($C4418,products!$A$1:$F$322,MATCH(order_items!$D$1,products!$A$1:$F$1,0),FALSE)</f>
        <v>Surly Big Dummy Frameset - 2017</v>
      </c>
      <c r="E4418">
        <f>VLOOKUP($C4418,products!$A$1:$F$322,MATCH(order_items!$E$1,products!$A$1:$F$1,0),FALSE)</f>
        <v>6</v>
      </c>
      <c r="F4418" t="str">
        <f>VLOOKUP($E4418,categories!$A$1:$B$8,MATCH(order_items!$F$1,categories!$A$1:$B$1,0),FALSE)</f>
        <v>Mountain Bikes</v>
      </c>
      <c r="G4418">
        <v>2</v>
      </c>
      <c r="H4418">
        <v>999.99</v>
      </c>
      <c r="I4418" s="5">
        <v>0.2</v>
      </c>
      <c r="J4418">
        <f t="shared" ref="J4418:J4481" si="138">G4418*H4418*(1-I4418)</f>
        <v>1599.9840000000002</v>
      </c>
      <c r="K4418" s="9">
        <f t="shared" ref="K4418:K4481" si="139">($H4418-$M$7)/$M$9</f>
        <v>-0.15725951613718298</v>
      </c>
    </row>
    <row r="4419" spans="1:11" x14ac:dyDescent="0.3">
      <c r="A4419">
        <v>1515</v>
      </c>
      <c r="B4419">
        <v>2</v>
      </c>
      <c r="C4419">
        <v>202</v>
      </c>
      <c r="D4419" t="str">
        <f>VLOOKUP($C4419,products!$A$1:$F$322,MATCH(order_items!$D$1,products!$A$1:$F$1,0),FALSE)</f>
        <v>Trek Powerfly 5 Women's - 2018</v>
      </c>
      <c r="E4419">
        <f>VLOOKUP($C4419,products!$A$1:$F$322,MATCH(order_items!$E$1,products!$A$1:$F$1,0),FALSE)</f>
        <v>5</v>
      </c>
      <c r="F4419" t="str">
        <f>VLOOKUP($E4419,categories!$A$1:$B$8,MATCH(order_items!$F$1,categories!$A$1:$B$1,0),FALSE)</f>
        <v>Electric Bikes</v>
      </c>
      <c r="G4419">
        <v>2</v>
      </c>
      <c r="H4419">
        <v>3499.99</v>
      </c>
      <c r="I4419" s="5">
        <v>0.1</v>
      </c>
      <c r="J4419">
        <f t="shared" si="138"/>
        <v>6299.982</v>
      </c>
      <c r="K4419" s="9">
        <f t="shared" si="139"/>
        <v>1.6909575013907066</v>
      </c>
    </row>
    <row r="4420" spans="1:11" x14ac:dyDescent="0.3">
      <c r="A4420">
        <v>1515</v>
      </c>
      <c r="B4420">
        <v>3</v>
      </c>
      <c r="C4420">
        <v>310</v>
      </c>
      <c r="D4420" t="str">
        <f>VLOOKUP($C4420,products!$A$1:$F$322,MATCH(order_items!$D$1,products!$A$1:$F$1,0),FALSE)</f>
        <v>Electra Townie Commute 27D Ladies - 2018</v>
      </c>
      <c r="E4420">
        <f>VLOOKUP($C4420,products!$A$1:$F$322,MATCH(order_items!$E$1,products!$A$1:$F$1,0),FALSE)</f>
        <v>2</v>
      </c>
      <c r="F4420" t="str">
        <f>VLOOKUP($E4420,categories!$A$1:$B$8,MATCH(order_items!$F$1,categories!$A$1:$B$1,0),FALSE)</f>
        <v>Comfort Bicycles</v>
      </c>
      <c r="G4420">
        <v>2</v>
      </c>
      <c r="H4420">
        <v>899.99</v>
      </c>
      <c r="I4420" s="5">
        <v>0.05</v>
      </c>
      <c r="J4420">
        <f t="shared" si="138"/>
        <v>1709.981</v>
      </c>
      <c r="K4420" s="9">
        <f t="shared" si="139"/>
        <v>-0.23118819683829855</v>
      </c>
    </row>
    <row r="4421" spans="1:11" x14ac:dyDescent="0.3">
      <c r="A4421">
        <v>1515</v>
      </c>
      <c r="B4421">
        <v>4</v>
      </c>
      <c r="C4421">
        <v>40</v>
      </c>
      <c r="D4421" t="str">
        <f>VLOOKUP($C4421,products!$A$1:$F$322,MATCH(order_items!$D$1,products!$A$1:$F$1,0),FALSE)</f>
        <v>Trek Fuel EX 9.8 29 - 2017</v>
      </c>
      <c r="E4421">
        <f>VLOOKUP($C4421,products!$A$1:$F$322,MATCH(order_items!$E$1,products!$A$1:$F$1,0),FALSE)</f>
        <v>6</v>
      </c>
      <c r="F4421" t="str">
        <f>VLOOKUP($E4421,categories!$A$1:$B$8,MATCH(order_items!$F$1,categories!$A$1:$B$1,0),FALSE)</f>
        <v>Mountain Bikes</v>
      </c>
      <c r="G4421">
        <v>1</v>
      </c>
      <c r="H4421">
        <v>4999.99</v>
      </c>
      <c r="I4421" s="5">
        <v>0.1</v>
      </c>
      <c r="J4421">
        <f t="shared" si="138"/>
        <v>4499.991</v>
      </c>
      <c r="K4421" s="9">
        <f t="shared" si="139"/>
        <v>2.7998877119074401</v>
      </c>
    </row>
    <row r="4422" spans="1:11" x14ac:dyDescent="0.3">
      <c r="A4422">
        <v>1515</v>
      </c>
      <c r="B4422">
        <v>5</v>
      </c>
      <c r="C4422">
        <v>158</v>
      </c>
      <c r="D4422" t="str">
        <f>VLOOKUP($C4422,products!$A$1:$F$322,MATCH(order_items!$D$1,products!$A$1:$F$1,0),FALSE)</f>
        <v>Trek CrossRip 1 - 2018</v>
      </c>
      <c r="E4422">
        <f>VLOOKUP($C4422,products!$A$1:$F$322,MATCH(order_items!$E$1,products!$A$1:$F$1,0),FALSE)</f>
        <v>7</v>
      </c>
      <c r="F4422" t="str">
        <f>VLOOKUP($E4422,categories!$A$1:$B$8,MATCH(order_items!$F$1,categories!$A$1:$B$1,0),FALSE)</f>
        <v>Road Bikes</v>
      </c>
      <c r="G4422">
        <v>2</v>
      </c>
      <c r="H4422">
        <v>959.99</v>
      </c>
      <c r="I4422" s="5">
        <v>0.2</v>
      </c>
      <c r="J4422">
        <f t="shared" si="138"/>
        <v>1535.9840000000002</v>
      </c>
      <c r="K4422" s="9">
        <f t="shared" si="139"/>
        <v>-0.18683098841762921</v>
      </c>
    </row>
    <row r="4423" spans="1:11" x14ac:dyDescent="0.3">
      <c r="A4423">
        <v>1516</v>
      </c>
      <c r="B4423">
        <v>1</v>
      </c>
      <c r="C4423">
        <v>172</v>
      </c>
      <c r="D4423" t="str">
        <f>VLOOKUP($C4423,products!$A$1:$F$322,MATCH(order_items!$D$1,products!$A$1:$F$1,0),FALSE)</f>
        <v>Trek Domane ALR Disc Frameset - 2018</v>
      </c>
      <c r="E4423">
        <f>VLOOKUP($C4423,products!$A$1:$F$322,MATCH(order_items!$E$1,products!$A$1:$F$1,0),FALSE)</f>
        <v>7</v>
      </c>
      <c r="F4423" t="str">
        <f>VLOOKUP($E4423,categories!$A$1:$B$8,MATCH(order_items!$F$1,categories!$A$1:$B$1,0),FALSE)</f>
        <v>Road Bikes</v>
      </c>
      <c r="G4423">
        <v>2</v>
      </c>
      <c r="H4423">
        <v>3199.99</v>
      </c>
      <c r="I4423" s="5">
        <v>0.1</v>
      </c>
      <c r="J4423">
        <f t="shared" si="138"/>
        <v>5759.982</v>
      </c>
      <c r="K4423" s="9">
        <f t="shared" si="139"/>
        <v>1.4691714592873595</v>
      </c>
    </row>
    <row r="4424" spans="1:11" x14ac:dyDescent="0.3">
      <c r="A4424">
        <v>1516</v>
      </c>
      <c r="B4424">
        <v>2</v>
      </c>
      <c r="C4424">
        <v>253</v>
      </c>
      <c r="D4424" t="str">
        <f>VLOOKUP($C4424,products!$A$1:$F$322,MATCH(order_items!$D$1,products!$A$1:$F$1,0),FALSE)</f>
        <v>Electra Townie Go! 8i Ladies' - 2018</v>
      </c>
      <c r="E4424">
        <f>VLOOKUP($C4424,products!$A$1:$F$322,MATCH(order_items!$E$1,products!$A$1:$F$1,0),FALSE)</f>
        <v>3</v>
      </c>
      <c r="F4424" t="str">
        <f>VLOOKUP($E4424,categories!$A$1:$B$8,MATCH(order_items!$F$1,categories!$A$1:$B$1,0),FALSE)</f>
        <v>Cruisers Bicycles</v>
      </c>
      <c r="G4424">
        <v>1</v>
      </c>
      <c r="H4424">
        <v>2599.9899999999998</v>
      </c>
      <c r="I4424" s="5">
        <v>0.1</v>
      </c>
      <c r="J4424">
        <f t="shared" si="138"/>
        <v>2339.991</v>
      </c>
      <c r="K4424" s="9">
        <f t="shared" si="139"/>
        <v>1.025599375080666</v>
      </c>
    </row>
    <row r="4425" spans="1:11" x14ac:dyDescent="0.3">
      <c r="A4425">
        <v>1516</v>
      </c>
      <c r="B4425">
        <v>3</v>
      </c>
      <c r="C4425">
        <v>196</v>
      </c>
      <c r="D4425" t="str">
        <f>VLOOKUP($C4425,products!$A$1:$F$322,MATCH(order_items!$D$1,products!$A$1:$F$1,0),FALSE)</f>
        <v>Trek Verve+ - 2018</v>
      </c>
      <c r="E4425">
        <f>VLOOKUP($C4425,products!$A$1:$F$322,MATCH(order_items!$E$1,products!$A$1:$F$1,0),FALSE)</f>
        <v>5</v>
      </c>
      <c r="F4425" t="str">
        <f>VLOOKUP($E4425,categories!$A$1:$B$8,MATCH(order_items!$F$1,categories!$A$1:$B$1,0),FALSE)</f>
        <v>Electric Bikes</v>
      </c>
      <c r="G4425">
        <v>2</v>
      </c>
      <c r="H4425">
        <v>2299.9899999999998</v>
      </c>
      <c r="I4425" s="5">
        <v>0.2</v>
      </c>
      <c r="J4425">
        <f t="shared" si="138"/>
        <v>3679.9839999999999</v>
      </c>
      <c r="K4425" s="9">
        <f t="shared" si="139"/>
        <v>0.80381333297731938</v>
      </c>
    </row>
    <row r="4426" spans="1:11" x14ac:dyDescent="0.3">
      <c r="A4426">
        <v>1516</v>
      </c>
      <c r="B4426">
        <v>4</v>
      </c>
      <c r="C4426">
        <v>259</v>
      </c>
      <c r="D4426" t="str">
        <f>VLOOKUP($C4426,products!$A$1:$F$322,MATCH(order_items!$D$1,products!$A$1:$F$1,0),FALSE)</f>
        <v>Electra Amsterdam Royal 8i Ladies - 2018</v>
      </c>
      <c r="E4426">
        <f>VLOOKUP($C4426,products!$A$1:$F$322,MATCH(order_items!$E$1,products!$A$1:$F$1,0),FALSE)</f>
        <v>3</v>
      </c>
      <c r="F4426" t="str">
        <f>VLOOKUP($E4426,categories!$A$1:$B$8,MATCH(order_items!$F$1,categories!$A$1:$B$1,0),FALSE)</f>
        <v>Cruisers Bicycles</v>
      </c>
      <c r="G4426">
        <v>2</v>
      </c>
      <c r="H4426">
        <v>1199.99</v>
      </c>
      <c r="I4426" s="5">
        <v>0.2</v>
      </c>
      <c r="J4426">
        <f t="shared" si="138"/>
        <v>1919.9840000000002</v>
      </c>
      <c r="K4426" s="9">
        <f t="shared" si="139"/>
        <v>-9.402154734951821E-3</v>
      </c>
    </row>
    <row r="4427" spans="1:11" x14ac:dyDescent="0.3">
      <c r="A4427">
        <v>1516</v>
      </c>
      <c r="B4427">
        <v>5</v>
      </c>
      <c r="C4427">
        <v>271</v>
      </c>
      <c r="D4427" t="str">
        <f>VLOOKUP($C4427,products!$A$1:$F$322,MATCH(order_items!$D$1,products!$A$1:$F$1,0),FALSE)</f>
        <v>Trek Precaliber 16 Girl's - 2018</v>
      </c>
      <c r="E4427">
        <f>VLOOKUP($C4427,products!$A$1:$F$322,MATCH(order_items!$E$1,products!$A$1:$F$1,0),FALSE)</f>
        <v>1</v>
      </c>
      <c r="F4427" t="str">
        <f>VLOOKUP($E4427,categories!$A$1:$B$8,MATCH(order_items!$F$1,categories!$A$1:$B$1,0),FALSE)</f>
        <v>Children Bicycles</v>
      </c>
      <c r="G4427">
        <v>2</v>
      </c>
      <c r="H4427">
        <v>209.99</v>
      </c>
      <c r="I4427" s="5">
        <v>0.2</v>
      </c>
      <c r="J4427">
        <f t="shared" si="138"/>
        <v>335.98400000000004</v>
      </c>
      <c r="K4427" s="9">
        <f t="shared" si="139"/>
        <v>-0.74129609367599603</v>
      </c>
    </row>
    <row r="4428" spans="1:11" x14ac:dyDescent="0.3">
      <c r="A4428">
        <v>1517</v>
      </c>
      <c r="B4428">
        <v>1</v>
      </c>
      <c r="C4428">
        <v>303</v>
      </c>
      <c r="D4428" t="str">
        <f>VLOOKUP($C4428,products!$A$1:$F$322,MATCH(order_items!$D$1,products!$A$1:$F$1,0),FALSE)</f>
        <v>Electra Townie Go! 8i - 2017/2018</v>
      </c>
      <c r="E4428">
        <f>VLOOKUP($C4428,products!$A$1:$F$322,MATCH(order_items!$E$1,products!$A$1:$F$1,0),FALSE)</f>
        <v>2</v>
      </c>
      <c r="F4428" t="str">
        <f>VLOOKUP($E4428,categories!$A$1:$B$8,MATCH(order_items!$F$1,categories!$A$1:$B$1,0),FALSE)</f>
        <v>Comfort Bicycles</v>
      </c>
      <c r="G4428">
        <v>2</v>
      </c>
      <c r="H4428">
        <v>2599.9899999999998</v>
      </c>
      <c r="I4428" s="5">
        <v>7.0000000000000007E-2</v>
      </c>
      <c r="J4428">
        <f t="shared" si="138"/>
        <v>4835.9813999999997</v>
      </c>
      <c r="K4428" s="9">
        <f t="shared" si="139"/>
        <v>1.025599375080666</v>
      </c>
    </row>
    <row r="4429" spans="1:11" x14ac:dyDescent="0.3">
      <c r="A4429">
        <v>1517</v>
      </c>
      <c r="B4429">
        <v>2</v>
      </c>
      <c r="C4429">
        <v>226</v>
      </c>
      <c r="D4429" t="str">
        <f>VLOOKUP($C4429,products!$A$1:$F$322,MATCH(order_items!$D$1,products!$A$1:$F$1,0),FALSE)</f>
        <v>Electra Townie Original 21D EQ - 2017/2018</v>
      </c>
      <c r="E4429">
        <f>VLOOKUP($C4429,products!$A$1:$F$322,MATCH(order_items!$E$1,products!$A$1:$F$1,0),FALSE)</f>
        <v>3</v>
      </c>
      <c r="F4429" t="str">
        <f>VLOOKUP($E4429,categories!$A$1:$B$8,MATCH(order_items!$F$1,categories!$A$1:$B$1,0),FALSE)</f>
        <v>Cruisers Bicycles</v>
      </c>
      <c r="G4429">
        <v>2</v>
      </c>
      <c r="H4429">
        <v>679.99</v>
      </c>
      <c r="I4429" s="5">
        <v>0.05</v>
      </c>
      <c r="J4429">
        <f t="shared" si="138"/>
        <v>1291.981</v>
      </c>
      <c r="K4429" s="9">
        <f t="shared" si="139"/>
        <v>-0.39383129438075282</v>
      </c>
    </row>
    <row r="4430" spans="1:11" x14ac:dyDescent="0.3">
      <c r="A4430">
        <v>1518</v>
      </c>
      <c r="B4430">
        <v>1</v>
      </c>
      <c r="C4430">
        <v>304</v>
      </c>
      <c r="D4430" t="str">
        <f>VLOOKUP($C4430,products!$A$1:$F$322,MATCH(order_items!$D$1,products!$A$1:$F$1,0),FALSE)</f>
        <v>Electra Townie Original 21D EQ - 2017/2018</v>
      </c>
      <c r="E4430">
        <f>VLOOKUP($C4430,products!$A$1:$F$322,MATCH(order_items!$E$1,products!$A$1:$F$1,0),FALSE)</f>
        <v>2</v>
      </c>
      <c r="F4430" t="str">
        <f>VLOOKUP($E4430,categories!$A$1:$B$8,MATCH(order_items!$F$1,categories!$A$1:$B$1,0),FALSE)</f>
        <v>Comfort Bicycles</v>
      </c>
      <c r="G4430">
        <v>2</v>
      </c>
      <c r="H4430">
        <v>679.99</v>
      </c>
      <c r="I4430" s="5">
        <v>0.1</v>
      </c>
      <c r="J4430">
        <f t="shared" si="138"/>
        <v>1223.982</v>
      </c>
      <c r="K4430" s="9">
        <f t="shared" si="139"/>
        <v>-0.39383129438075282</v>
      </c>
    </row>
    <row r="4431" spans="1:11" x14ac:dyDescent="0.3">
      <c r="A4431">
        <v>1518</v>
      </c>
      <c r="B4431">
        <v>2</v>
      </c>
      <c r="C4431">
        <v>182</v>
      </c>
      <c r="D4431" t="str">
        <f>VLOOKUP($C4431,products!$A$1:$F$322,MATCH(order_items!$D$1,products!$A$1:$F$1,0),FALSE)</f>
        <v>Trek Domane SL 5 Disc - 2018</v>
      </c>
      <c r="E4431">
        <f>VLOOKUP($C4431,products!$A$1:$F$322,MATCH(order_items!$E$1,products!$A$1:$F$1,0),FALSE)</f>
        <v>7</v>
      </c>
      <c r="F4431" t="str">
        <f>VLOOKUP($E4431,categories!$A$1:$B$8,MATCH(order_items!$F$1,categories!$A$1:$B$1,0),FALSE)</f>
        <v>Road Bikes</v>
      </c>
      <c r="G4431">
        <v>2</v>
      </c>
      <c r="H4431">
        <v>2499.9899999999998</v>
      </c>
      <c r="I4431" s="5">
        <v>0.05</v>
      </c>
      <c r="J4431">
        <f t="shared" si="138"/>
        <v>4749.9809999999998</v>
      </c>
      <c r="K4431" s="9">
        <f t="shared" si="139"/>
        <v>0.95167069437955054</v>
      </c>
    </row>
    <row r="4432" spans="1:11" x14ac:dyDescent="0.3">
      <c r="A4432">
        <v>1518</v>
      </c>
      <c r="B4432">
        <v>3</v>
      </c>
      <c r="C4432">
        <v>252</v>
      </c>
      <c r="D4432" t="str">
        <f>VLOOKUP($C4432,products!$A$1:$F$322,MATCH(order_items!$D$1,products!$A$1:$F$1,0),FALSE)</f>
        <v>Electra Townie Commute Go! Ladies' - 2018</v>
      </c>
      <c r="E4432">
        <f>VLOOKUP($C4432,products!$A$1:$F$322,MATCH(order_items!$E$1,products!$A$1:$F$1,0),FALSE)</f>
        <v>3</v>
      </c>
      <c r="F4432" t="str">
        <f>VLOOKUP($E4432,categories!$A$1:$B$8,MATCH(order_items!$F$1,categories!$A$1:$B$1,0),FALSE)</f>
        <v>Cruisers Bicycles</v>
      </c>
      <c r="G4432">
        <v>2</v>
      </c>
      <c r="H4432">
        <v>2999.99</v>
      </c>
      <c r="I4432" s="5">
        <v>0.05</v>
      </c>
      <c r="J4432">
        <f t="shared" si="138"/>
        <v>5699.9809999999998</v>
      </c>
      <c r="K4432" s="9">
        <f t="shared" si="139"/>
        <v>1.3213140978851283</v>
      </c>
    </row>
    <row r="4433" spans="1:11" x14ac:dyDescent="0.3">
      <c r="A4433">
        <v>1519</v>
      </c>
      <c r="B4433">
        <v>1</v>
      </c>
      <c r="C4433">
        <v>150</v>
      </c>
      <c r="D4433" t="str">
        <f>VLOOKUP($C4433,products!$A$1:$F$322,MATCH(order_items!$D$1,products!$A$1:$F$1,0),FALSE)</f>
        <v>Trek Emonda SL 7 - 2018</v>
      </c>
      <c r="E4433">
        <f>VLOOKUP($C4433,products!$A$1:$F$322,MATCH(order_items!$E$1,products!$A$1:$F$1,0),FALSE)</f>
        <v>7</v>
      </c>
      <c r="F4433" t="str">
        <f>VLOOKUP($E4433,categories!$A$1:$B$8,MATCH(order_items!$F$1,categories!$A$1:$B$1,0),FALSE)</f>
        <v>Road Bikes</v>
      </c>
      <c r="G4433">
        <v>1</v>
      </c>
      <c r="H4433">
        <v>4499.99</v>
      </c>
      <c r="I4433" s="5">
        <v>0.2</v>
      </c>
      <c r="J4433">
        <f t="shared" si="138"/>
        <v>3599.9920000000002</v>
      </c>
      <c r="K4433" s="9">
        <f t="shared" si="139"/>
        <v>2.4302443084018623</v>
      </c>
    </row>
    <row r="4434" spans="1:11" x14ac:dyDescent="0.3">
      <c r="A4434">
        <v>1519</v>
      </c>
      <c r="B4434">
        <v>2</v>
      </c>
      <c r="C4434">
        <v>85</v>
      </c>
      <c r="D4434" t="str">
        <f>VLOOKUP($C4434,products!$A$1:$F$322,MATCH(order_items!$D$1,products!$A$1:$F$1,0),FALSE)</f>
        <v>Haro Downtown 16 - 2017</v>
      </c>
      <c r="E4434">
        <f>VLOOKUP($C4434,products!$A$1:$F$322,MATCH(order_items!$E$1,products!$A$1:$F$1,0),FALSE)</f>
        <v>1</v>
      </c>
      <c r="F4434" t="str">
        <f>VLOOKUP($E4434,categories!$A$1:$B$8,MATCH(order_items!$F$1,categories!$A$1:$B$1,0),FALSE)</f>
        <v>Children Bicycles</v>
      </c>
      <c r="G4434">
        <v>2</v>
      </c>
      <c r="H4434">
        <v>329.99</v>
      </c>
      <c r="I4434" s="5">
        <v>0.2</v>
      </c>
      <c r="J4434">
        <f t="shared" si="138"/>
        <v>527.98400000000004</v>
      </c>
      <c r="K4434" s="9">
        <f t="shared" si="139"/>
        <v>-0.6525816768346574</v>
      </c>
    </row>
    <row r="4435" spans="1:11" x14ac:dyDescent="0.3">
      <c r="A4435">
        <v>1519</v>
      </c>
      <c r="B4435">
        <v>3</v>
      </c>
      <c r="C4435">
        <v>124</v>
      </c>
      <c r="D4435" t="str">
        <f>VLOOKUP($C4435,products!$A$1:$F$322,MATCH(order_items!$D$1,products!$A$1:$F$1,0),FALSE)</f>
        <v>Surly Krampus - 2018</v>
      </c>
      <c r="E4435">
        <f>VLOOKUP($C4435,products!$A$1:$F$322,MATCH(order_items!$E$1,products!$A$1:$F$1,0),FALSE)</f>
        <v>6</v>
      </c>
      <c r="F4435" t="str">
        <f>VLOOKUP($E4435,categories!$A$1:$B$8,MATCH(order_items!$F$1,categories!$A$1:$B$1,0),FALSE)</f>
        <v>Mountain Bikes</v>
      </c>
      <c r="G4435">
        <v>2</v>
      </c>
      <c r="H4435">
        <v>1499</v>
      </c>
      <c r="I4435" s="5">
        <v>7.0000000000000007E-2</v>
      </c>
      <c r="J4435">
        <f t="shared" si="138"/>
        <v>2788.14</v>
      </c>
      <c r="K4435" s="9">
        <f t="shared" si="139"/>
        <v>0.21165199342945387</v>
      </c>
    </row>
    <row r="4436" spans="1:11" x14ac:dyDescent="0.3">
      <c r="A4436">
        <v>1519</v>
      </c>
      <c r="B4436">
        <v>4</v>
      </c>
      <c r="C4436">
        <v>65</v>
      </c>
      <c r="D4436" t="str">
        <f>VLOOKUP($C4436,products!$A$1:$F$322,MATCH(order_items!$D$1,products!$A$1:$F$1,0),FALSE)</f>
        <v>Sun Bicycles Lil Bolt Type-R - 2017</v>
      </c>
      <c r="E4436">
        <f>VLOOKUP($C4436,products!$A$1:$F$322,MATCH(order_items!$E$1,products!$A$1:$F$1,0),FALSE)</f>
        <v>3</v>
      </c>
      <c r="F4436" t="str">
        <f>VLOOKUP($E4436,categories!$A$1:$B$8,MATCH(order_items!$F$1,categories!$A$1:$B$1,0),FALSE)</f>
        <v>Cruisers Bicycles</v>
      </c>
      <c r="G4436">
        <v>1</v>
      </c>
      <c r="H4436">
        <v>346.99</v>
      </c>
      <c r="I4436" s="5">
        <v>0.2</v>
      </c>
      <c r="J4436">
        <f t="shared" si="138"/>
        <v>277.59200000000004</v>
      </c>
      <c r="K4436" s="9">
        <f t="shared" si="139"/>
        <v>-0.64001380111546768</v>
      </c>
    </row>
    <row r="4437" spans="1:11" x14ac:dyDescent="0.3">
      <c r="A4437">
        <v>1519</v>
      </c>
      <c r="B4437">
        <v>5</v>
      </c>
      <c r="C4437">
        <v>265</v>
      </c>
      <c r="D4437" t="str">
        <f>VLOOKUP($C4437,products!$A$1:$F$322,MATCH(order_items!$D$1,products!$A$1:$F$1,0),FALSE)</f>
        <v>Strider Strider 20 Sport - 2018</v>
      </c>
      <c r="E4437">
        <f>VLOOKUP($C4437,products!$A$1:$F$322,MATCH(order_items!$E$1,products!$A$1:$F$1,0),FALSE)</f>
        <v>1</v>
      </c>
      <c r="F4437" t="str">
        <f>VLOOKUP($E4437,categories!$A$1:$B$8,MATCH(order_items!$F$1,categories!$A$1:$B$1,0),FALSE)</f>
        <v>Children Bicycles</v>
      </c>
      <c r="G4437">
        <v>2</v>
      </c>
      <c r="H4437">
        <v>289.99</v>
      </c>
      <c r="I4437" s="5">
        <v>0.05</v>
      </c>
      <c r="J4437">
        <f t="shared" si="138"/>
        <v>550.98099999999999</v>
      </c>
      <c r="K4437" s="9">
        <f t="shared" si="139"/>
        <v>-0.68215314911510361</v>
      </c>
    </row>
    <row r="4438" spans="1:11" x14ac:dyDescent="0.3">
      <c r="A4438">
        <v>1520</v>
      </c>
      <c r="B4438">
        <v>1</v>
      </c>
      <c r="C4438">
        <v>186</v>
      </c>
      <c r="D4438" t="str">
        <f>VLOOKUP($C4438,products!$A$1:$F$322,MATCH(order_items!$D$1,products!$A$1:$F$1,0),FALSE)</f>
        <v>Trek CrossRip+ - 2018</v>
      </c>
      <c r="E4438">
        <f>VLOOKUP($C4438,products!$A$1:$F$322,MATCH(order_items!$E$1,products!$A$1:$F$1,0),FALSE)</f>
        <v>5</v>
      </c>
      <c r="F4438" t="str">
        <f>VLOOKUP($E4438,categories!$A$1:$B$8,MATCH(order_items!$F$1,categories!$A$1:$B$1,0),FALSE)</f>
        <v>Electric Bikes</v>
      </c>
      <c r="G4438">
        <v>1</v>
      </c>
      <c r="H4438">
        <v>4499.99</v>
      </c>
      <c r="I4438" s="5">
        <v>0.05</v>
      </c>
      <c r="J4438">
        <f t="shared" si="138"/>
        <v>4274.9904999999999</v>
      </c>
      <c r="K4438" s="9">
        <f t="shared" si="139"/>
        <v>2.4302443084018623</v>
      </c>
    </row>
    <row r="4439" spans="1:11" x14ac:dyDescent="0.3">
      <c r="A4439">
        <v>1520</v>
      </c>
      <c r="B4439">
        <v>2</v>
      </c>
      <c r="C4439">
        <v>188</v>
      </c>
      <c r="D4439" t="str">
        <f>VLOOKUP($C4439,products!$A$1:$F$322,MATCH(order_items!$D$1,products!$A$1:$F$1,0),FALSE)</f>
        <v>Trek XM700+ Lowstep - 2018</v>
      </c>
      <c r="E4439">
        <f>VLOOKUP($C4439,products!$A$1:$F$322,MATCH(order_items!$E$1,products!$A$1:$F$1,0),FALSE)</f>
        <v>5</v>
      </c>
      <c r="F4439" t="str">
        <f>VLOOKUP($E4439,categories!$A$1:$B$8,MATCH(order_items!$F$1,categories!$A$1:$B$1,0),FALSE)</f>
        <v>Electric Bikes</v>
      </c>
      <c r="G4439">
        <v>2</v>
      </c>
      <c r="H4439">
        <v>3499.99</v>
      </c>
      <c r="I4439" s="5">
        <v>0.2</v>
      </c>
      <c r="J4439">
        <f t="shared" si="138"/>
        <v>5599.9840000000004</v>
      </c>
      <c r="K4439" s="9">
        <f t="shared" si="139"/>
        <v>1.6909575013907066</v>
      </c>
    </row>
    <row r="4440" spans="1:11" x14ac:dyDescent="0.3">
      <c r="A4440">
        <v>1520</v>
      </c>
      <c r="B4440">
        <v>3</v>
      </c>
      <c r="C4440">
        <v>310</v>
      </c>
      <c r="D4440" t="str">
        <f>VLOOKUP($C4440,products!$A$1:$F$322,MATCH(order_items!$D$1,products!$A$1:$F$1,0),FALSE)</f>
        <v>Electra Townie Commute 27D Ladies - 2018</v>
      </c>
      <c r="E4440">
        <f>VLOOKUP($C4440,products!$A$1:$F$322,MATCH(order_items!$E$1,products!$A$1:$F$1,0),FALSE)</f>
        <v>2</v>
      </c>
      <c r="F4440" t="str">
        <f>VLOOKUP($E4440,categories!$A$1:$B$8,MATCH(order_items!$F$1,categories!$A$1:$B$1,0),FALSE)</f>
        <v>Comfort Bicycles</v>
      </c>
      <c r="G4440">
        <v>2</v>
      </c>
      <c r="H4440">
        <v>899.99</v>
      </c>
      <c r="I4440" s="5">
        <v>7.0000000000000007E-2</v>
      </c>
      <c r="J4440">
        <f t="shared" si="138"/>
        <v>1673.9813999999999</v>
      </c>
      <c r="K4440" s="9">
        <f t="shared" si="139"/>
        <v>-0.23118819683829855</v>
      </c>
    </row>
    <row r="4441" spans="1:11" x14ac:dyDescent="0.3">
      <c r="A4441">
        <v>1520</v>
      </c>
      <c r="B4441">
        <v>4</v>
      </c>
      <c r="C4441">
        <v>263</v>
      </c>
      <c r="D4441" t="str">
        <f>VLOOKUP($C4441,products!$A$1:$F$322,MATCH(order_items!$D$1,products!$A$1:$F$1,0),FALSE)</f>
        <v>Strider Classic 12 Balance Bike - 2018</v>
      </c>
      <c r="E4441">
        <f>VLOOKUP($C4441,products!$A$1:$F$322,MATCH(order_items!$E$1,products!$A$1:$F$1,0),FALSE)</f>
        <v>1</v>
      </c>
      <c r="F4441" t="str">
        <f>VLOOKUP($E4441,categories!$A$1:$B$8,MATCH(order_items!$F$1,categories!$A$1:$B$1,0),FALSE)</f>
        <v>Children Bicycles</v>
      </c>
      <c r="G4441">
        <v>2</v>
      </c>
      <c r="H4441">
        <v>89.99</v>
      </c>
      <c r="I4441" s="5">
        <v>0.1</v>
      </c>
      <c r="J4441">
        <f t="shared" si="138"/>
        <v>161.982</v>
      </c>
      <c r="K4441" s="9">
        <f t="shared" si="139"/>
        <v>-0.83001051051733477</v>
      </c>
    </row>
    <row r="4442" spans="1:11" x14ac:dyDescent="0.3">
      <c r="A4442">
        <v>1521</v>
      </c>
      <c r="B4442">
        <v>1</v>
      </c>
      <c r="C4442">
        <v>100</v>
      </c>
      <c r="D4442" t="str">
        <f>VLOOKUP($C4442,products!$A$1:$F$322,MATCH(order_items!$D$1,products!$A$1:$F$1,0),FALSE)</f>
        <v>Electra Townie 3i EQ (20-inch) - Boys' - 2017</v>
      </c>
      <c r="E4442">
        <f>VLOOKUP($C4442,products!$A$1:$F$322,MATCH(order_items!$E$1,products!$A$1:$F$1,0),FALSE)</f>
        <v>1</v>
      </c>
      <c r="F4442" t="str">
        <f>VLOOKUP($E4442,categories!$A$1:$B$8,MATCH(order_items!$F$1,categories!$A$1:$B$1,0),FALSE)</f>
        <v>Children Bicycles</v>
      </c>
      <c r="G4442">
        <v>1</v>
      </c>
      <c r="H4442">
        <v>489.99</v>
      </c>
      <c r="I4442" s="5">
        <v>0.2</v>
      </c>
      <c r="J4442">
        <f t="shared" si="138"/>
        <v>391.99200000000002</v>
      </c>
      <c r="K4442" s="9">
        <f t="shared" si="139"/>
        <v>-0.53429578771287245</v>
      </c>
    </row>
    <row r="4443" spans="1:11" x14ac:dyDescent="0.3">
      <c r="A4443">
        <v>1521</v>
      </c>
      <c r="B4443">
        <v>2</v>
      </c>
      <c r="C4443">
        <v>314</v>
      </c>
      <c r="D4443" t="str">
        <f>VLOOKUP($C4443,products!$A$1:$F$322,MATCH(order_items!$D$1,products!$A$1:$F$1,0),FALSE)</f>
        <v>Electra Townie Original 21D EQ Ladies' - 2018</v>
      </c>
      <c r="E4443">
        <f>VLOOKUP($C4443,products!$A$1:$F$322,MATCH(order_items!$E$1,products!$A$1:$F$1,0),FALSE)</f>
        <v>2</v>
      </c>
      <c r="F4443" t="str">
        <f>VLOOKUP($E4443,categories!$A$1:$B$8,MATCH(order_items!$F$1,categories!$A$1:$B$1,0),FALSE)</f>
        <v>Comfort Bicycles</v>
      </c>
      <c r="G4443">
        <v>2</v>
      </c>
      <c r="H4443">
        <v>679.99</v>
      </c>
      <c r="I4443" s="5">
        <v>0.2</v>
      </c>
      <c r="J4443">
        <f t="shared" si="138"/>
        <v>1087.9840000000002</v>
      </c>
      <c r="K4443" s="9">
        <f t="shared" si="139"/>
        <v>-0.39383129438075282</v>
      </c>
    </row>
    <row r="4444" spans="1:11" x14ac:dyDescent="0.3">
      <c r="A4444">
        <v>1521</v>
      </c>
      <c r="B4444">
        <v>3</v>
      </c>
      <c r="C4444">
        <v>123</v>
      </c>
      <c r="D4444" t="str">
        <f>VLOOKUP($C4444,products!$A$1:$F$322,MATCH(order_items!$D$1,products!$A$1:$F$1,0),FALSE)</f>
        <v>Trek Farley Carbon Frameset - 2018</v>
      </c>
      <c r="E4444">
        <f>VLOOKUP($C4444,products!$A$1:$F$322,MATCH(order_items!$E$1,products!$A$1:$F$1,0),FALSE)</f>
        <v>6</v>
      </c>
      <c r="F4444" t="str">
        <f>VLOOKUP($E4444,categories!$A$1:$B$8,MATCH(order_items!$F$1,categories!$A$1:$B$1,0),FALSE)</f>
        <v>Mountain Bikes</v>
      </c>
      <c r="G4444">
        <v>1</v>
      </c>
      <c r="H4444">
        <v>999.99</v>
      </c>
      <c r="I4444" s="5">
        <v>0.1</v>
      </c>
      <c r="J4444">
        <f t="shared" si="138"/>
        <v>899.99099999999999</v>
      </c>
      <c r="K4444" s="9">
        <f t="shared" si="139"/>
        <v>-0.15725951613718298</v>
      </c>
    </row>
    <row r="4445" spans="1:11" x14ac:dyDescent="0.3">
      <c r="A4445">
        <v>1521</v>
      </c>
      <c r="B4445">
        <v>4</v>
      </c>
      <c r="C4445">
        <v>135</v>
      </c>
      <c r="D4445" t="str">
        <f>VLOOKUP($C4445,products!$A$1:$F$322,MATCH(order_items!$D$1,products!$A$1:$F$1,0),FALSE)</f>
        <v>Trek X-Caliber Frameset - 2018</v>
      </c>
      <c r="E4445">
        <f>VLOOKUP($C4445,products!$A$1:$F$322,MATCH(order_items!$E$1,products!$A$1:$F$1,0),FALSE)</f>
        <v>6</v>
      </c>
      <c r="F4445" t="str">
        <f>VLOOKUP($E4445,categories!$A$1:$B$8,MATCH(order_items!$F$1,categories!$A$1:$B$1,0),FALSE)</f>
        <v>Mountain Bikes</v>
      </c>
      <c r="G4445">
        <v>2</v>
      </c>
      <c r="H4445">
        <v>1499.99</v>
      </c>
      <c r="I4445" s="5">
        <v>0.2</v>
      </c>
      <c r="J4445">
        <f t="shared" si="138"/>
        <v>2399.9839999999999</v>
      </c>
      <c r="K4445" s="9">
        <f t="shared" si="139"/>
        <v>0.21238388736839492</v>
      </c>
    </row>
    <row r="4446" spans="1:11" x14ac:dyDescent="0.3">
      <c r="A4446">
        <v>1522</v>
      </c>
      <c r="B4446">
        <v>1</v>
      </c>
      <c r="C4446">
        <v>95</v>
      </c>
      <c r="D4446" t="str">
        <f>VLOOKUP($C4446,products!$A$1:$F$322,MATCH(order_items!$D$1,products!$A$1:$F$1,0),FALSE)</f>
        <v>Electra Girl's Hawaii 1 16" - 2017</v>
      </c>
      <c r="E4446">
        <f>VLOOKUP($C4446,products!$A$1:$F$322,MATCH(order_items!$E$1,products!$A$1:$F$1,0),FALSE)</f>
        <v>1</v>
      </c>
      <c r="F4446" t="str">
        <f>VLOOKUP($E4446,categories!$A$1:$B$8,MATCH(order_items!$F$1,categories!$A$1:$B$1,0),FALSE)</f>
        <v>Children Bicycles</v>
      </c>
      <c r="G4446">
        <v>1</v>
      </c>
      <c r="H4446">
        <v>299.99</v>
      </c>
      <c r="I4446" s="5">
        <v>0.1</v>
      </c>
      <c r="J4446">
        <f t="shared" si="138"/>
        <v>269.99100000000004</v>
      </c>
      <c r="K4446" s="9">
        <f t="shared" si="139"/>
        <v>-0.67476028104499197</v>
      </c>
    </row>
    <row r="4447" spans="1:11" x14ac:dyDescent="0.3">
      <c r="A4447">
        <v>1522</v>
      </c>
      <c r="B4447">
        <v>2</v>
      </c>
      <c r="C4447">
        <v>141</v>
      </c>
      <c r="D4447" t="str">
        <f>VLOOKUP($C4447,products!$A$1:$F$322,MATCH(order_items!$D$1,products!$A$1:$F$1,0),FALSE)</f>
        <v>Trek Stache 5 - 2018</v>
      </c>
      <c r="E4447">
        <f>VLOOKUP($C4447,products!$A$1:$F$322,MATCH(order_items!$E$1,products!$A$1:$F$1,0),FALSE)</f>
        <v>6</v>
      </c>
      <c r="F4447" t="str">
        <f>VLOOKUP($E4447,categories!$A$1:$B$8,MATCH(order_items!$F$1,categories!$A$1:$B$1,0),FALSE)</f>
        <v>Mountain Bikes</v>
      </c>
      <c r="G4447">
        <v>1</v>
      </c>
      <c r="H4447">
        <v>1599.99</v>
      </c>
      <c r="I4447" s="5">
        <v>7.0000000000000007E-2</v>
      </c>
      <c r="J4447">
        <f t="shared" si="138"/>
        <v>1487.9906999999998</v>
      </c>
      <c r="K4447" s="9">
        <f t="shared" si="139"/>
        <v>0.2863125680695105</v>
      </c>
    </row>
    <row r="4448" spans="1:11" x14ac:dyDescent="0.3">
      <c r="A4448">
        <v>1522</v>
      </c>
      <c r="B4448">
        <v>3</v>
      </c>
      <c r="C4448">
        <v>117</v>
      </c>
      <c r="D4448" t="str">
        <f>VLOOKUP($C4448,products!$A$1:$F$322,MATCH(order_items!$D$1,products!$A$1:$F$1,0),FALSE)</f>
        <v>Trek Ticket S Frame - 2018</v>
      </c>
      <c r="E4448">
        <f>VLOOKUP($C4448,products!$A$1:$F$322,MATCH(order_items!$E$1,products!$A$1:$F$1,0),FALSE)</f>
        <v>6</v>
      </c>
      <c r="F4448" t="str">
        <f>VLOOKUP($E4448,categories!$A$1:$B$8,MATCH(order_items!$F$1,categories!$A$1:$B$1,0),FALSE)</f>
        <v>Mountain Bikes</v>
      </c>
      <c r="G4448">
        <v>1</v>
      </c>
      <c r="H4448">
        <v>1469.99</v>
      </c>
      <c r="I4448" s="5">
        <v>7.0000000000000007E-2</v>
      </c>
      <c r="J4448">
        <f t="shared" si="138"/>
        <v>1367.0907</v>
      </c>
      <c r="K4448" s="9">
        <f t="shared" si="139"/>
        <v>0.19020528315806023</v>
      </c>
    </row>
    <row r="4449" spans="1:11" x14ac:dyDescent="0.3">
      <c r="A4449">
        <v>1523</v>
      </c>
      <c r="B4449">
        <v>1</v>
      </c>
      <c r="C4449">
        <v>311</v>
      </c>
      <c r="D4449" t="str">
        <f>VLOOKUP($C4449,products!$A$1:$F$322,MATCH(order_items!$D$1,products!$A$1:$F$1,0),FALSE)</f>
        <v>Electra Townie Commute 8D - 2018</v>
      </c>
      <c r="E4449">
        <f>VLOOKUP($C4449,products!$A$1:$F$322,MATCH(order_items!$E$1,products!$A$1:$F$1,0),FALSE)</f>
        <v>2</v>
      </c>
      <c r="F4449" t="str">
        <f>VLOOKUP($E4449,categories!$A$1:$B$8,MATCH(order_items!$F$1,categories!$A$1:$B$1,0),FALSE)</f>
        <v>Comfort Bicycles</v>
      </c>
      <c r="G4449">
        <v>2</v>
      </c>
      <c r="H4449">
        <v>749.99</v>
      </c>
      <c r="I4449" s="5">
        <v>0.2</v>
      </c>
      <c r="J4449">
        <f t="shared" si="138"/>
        <v>1199.9840000000002</v>
      </c>
      <c r="K4449" s="9">
        <f t="shared" si="139"/>
        <v>-0.34208121788997192</v>
      </c>
    </row>
    <row r="4450" spans="1:11" x14ac:dyDescent="0.3">
      <c r="A4450">
        <v>1524</v>
      </c>
      <c r="B4450">
        <v>1</v>
      </c>
      <c r="C4450">
        <v>168</v>
      </c>
      <c r="D4450" t="str">
        <f>VLOOKUP($C4450,products!$A$1:$F$322,MATCH(order_items!$D$1,products!$A$1:$F$1,0),FALSE)</f>
        <v>Surly Straggler - 2018</v>
      </c>
      <c r="E4450">
        <f>VLOOKUP($C4450,products!$A$1:$F$322,MATCH(order_items!$E$1,products!$A$1:$F$1,0),FALSE)</f>
        <v>7</v>
      </c>
      <c r="F4450" t="str">
        <f>VLOOKUP($E4450,categories!$A$1:$B$8,MATCH(order_items!$F$1,categories!$A$1:$B$1,0),FALSE)</f>
        <v>Road Bikes</v>
      </c>
      <c r="G4450">
        <v>1</v>
      </c>
      <c r="H4450">
        <v>1549</v>
      </c>
      <c r="I4450" s="5">
        <v>0.1</v>
      </c>
      <c r="J4450">
        <f t="shared" si="138"/>
        <v>1394.1000000000001</v>
      </c>
      <c r="K4450" s="9">
        <f t="shared" si="139"/>
        <v>0.24861633378001166</v>
      </c>
    </row>
    <row r="4451" spans="1:11" x14ac:dyDescent="0.3">
      <c r="A4451">
        <v>1524</v>
      </c>
      <c r="B4451">
        <v>2</v>
      </c>
      <c r="C4451">
        <v>295</v>
      </c>
      <c r="D4451" t="str">
        <f>VLOOKUP($C4451,products!$A$1:$F$322,MATCH(order_items!$D$1,products!$A$1:$F$1,0),FALSE)</f>
        <v>Electra Treasure 1 20" - 2018</v>
      </c>
      <c r="E4451">
        <f>VLOOKUP($C4451,products!$A$1:$F$322,MATCH(order_items!$E$1,products!$A$1:$F$1,0),FALSE)</f>
        <v>1</v>
      </c>
      <c r="F4451" t="str">
        <f>VLOOKUP($E4451,categories!$A$1:$B$8,MATCH(order_items!$F$1,categories!$A$1:$B$1,0),FALSE)</f>
        <v>Children Bicycles</v>
      </c>
      <c r="G4451">
        <v>2</v>
      </c>
      <c r="H4451">
        <v>319.99</v>
      </c>
      <c r="I4451" s="5">
        <v>0.2</v>
      </c>
      <c r="J4451">
        <f t="shared" si="138"/>
        <v>511.98400000000004</v>
      </c>
      <c r="K4451" s="9">
        <f t="shared" si="139"/>
        <v>-0.65997454490476892</v>
      </c>
    </row>
    <row r="4452" spans="1:11" x14ac:dyDescent="0.3">
      <c r="A4452">
        <v>1524</v>
      </c>
      <c r="B4452">
        <v>3</v>
      </c>
      <c r="C4452">
        <v>313</v>
      </c>
      <c r="D4452" t="str">
        <f>VLOOKUP($C4452,products!$A$1:$F$322,MATCH(order_items!$D$1,products!$A$1:$F$1,0),FALSE)</f>
        <v>Electra Townie Original 1 Ladies' - 2018</v>
      </c>
      <c r="E4452">
        <f>VLOOKUP($C4452,products!$A$1:$F$322,MATCH(order_items!$E$1,products!$A$1:$F$1,0),FALSE)</f>
        <v>2</v>
      </c>
      <c r="F4452" t="str">
        <f>VLOOKUP($E4452,categories!$A$1:$B$8,MATCH(order_items!$F$1,categories!$A$1:$B$1,0),FALSE)</f>
        <v>Comfort Bicycles</v>
      </c>
      <c r="G4452">
        <v>1</v>
      </c>
      <c r="H4452">
        <v>449.99</v>
      </c>
      <c r="I4452" s="5">
        <v>0.2</v>
      </c>
      <c r="J4452">
        <f t="shared" si="138"/>
        <v>359.99200000000002</v>
      </c>
      <c r="K4452" s="9">
        <f t="shared" si="139"/>
        <v>-0.56386725999331866</v>
      </c>
    </row>
    <row r="4453" spans="1:11" x14ac:dyDescent="0.3">
      <c r="A4453">
        <v>1524</v>
      </c>
      <c r="B4453">
        <v>4</v>
      </c>
      <c r="C4453">
        <v>252</v>
      </c>
      <c r="D4453" t="str">
        <f>VLOOKUP($C4453,products!$A$1:$F$322,MATCH(order_items!$D$1,products!$A$1:$F$1,0),FALSE)</f>
        <v>Electra Townie Commute Go! Ladies' - 2018</v>
      </c>
      <c r="E4453">
        <f>VLOOKUP($C4453,products!$A$1:$F$322,MATCH(order_items!$E$1,products!$A$1:$F$1,0),FALSE)</f>
        <v>3</v>
      </c>
      <c r="F4453" t="str">
        <f>VLOOKUP($E4453,categories!$A$1:$B$8,MATCH(order_items!$F$1,categories!$A$1:$B$1,0),FALSE)</f>
        <v>Cruisers Bicycles</v>
      </c>
      <c r="G4453">
        <v>2</v>
      </c>
      <c r="H4453">
        <v>2999.99</v>
      </c>
      <c r="I4453" s="5">
        <v>0.2</v>
      </c>
      <c r="J4453">
        <f t="shared" si="138"/>
        <v>4799.9839999999995</v>
      </c>
      <c r="K4453" s="9">
        <f t="shared" si="139"/>
        <v>1.3213140978851283</v>
      </c>
    </row>
    <row r="4454" spans="1:11" x14ac:dyDescent="0.3">
      <c r="A4454">
        <v>1525</v>
      </c>
      <c r="B4454">
        <v>1</v>
      </c>
      <c r="C4454">
        <v>156</v>
      </c>
      <c r="D4454" t="str">
        <f>VLOOKUP($C4454,products!$A$1:$F$322,MATCH(order_items!$D$1,products!$A$1:$F$1,0),FALSE)</f>
        <v>Trek Domane SL Frameset - 2018</v>
      </c>
      <c r="E4454">
        <f>VLOOKUP($C4454,products!$A$1:$F$322,MATCH(order_items!$E$1,products!$A$1:$F$1,0),FALSE)</f>
        <v>7</v>
      </c>
      <c r="F4454" t="str">
        <f>VLOOKUP($E4454,categories!$A$1:$B$8,MATCH(order_items!$F$1,categories!$A$1:$B$1,0),FALSE)</f>
        <v>Road Bikes</v>
      </c>
      <c r="G4454">
        <v>1</v>
      </c>
      <c r="H4454">
        <v>6499.99</v>
      </c>
      <c r="I4454" s="5">
        <v>0.1</v>
      </c>
      <c r="J4454">
        <f t="shared" si="138"/>
        <v>5849.991</v>
      </c>
      <c r="K4454" s="9">
        <f t="shared" si="139"/>
        <v>3.9088179224241739</v>
      </c>
    </row>
    <row r="4455" spans="1:11" x14ac:dyDescent="0.3">
      <c r="A4455">
        <v>1525</v>
      </c>
      <c r="B4455">
        <v>2</v>
      </c>
      <c r="C4455">
        <v>163</v>
      </c>
      <c r="D4455" t="str">
        <f>VLOOKUP($C4455,products!$A$1:$F$322,MATCH(order_items!$D$1,products!$A$1:$F$1,0),FALSE)</f>
        <v>Surly Pack Rat - 2018</v>
      </c>
      <c r="E4455">
        <f>VLOOKUP($C4455,products!$A$1:$F$322,MATCH(order_items!$E$1,products!$A$1:$F$1,0),FALSE)</f>
        <v>7</v>
      </c>
      <c r="F4455" t="str">
        <f>VLOOKUP($E4455,categories!$A$1:$B$8,MATCH(order_items!$F$1,categories!$A$1:$B$1,0),FALSE)</f>
        <v>Road Bikes</v>
      </c>
      <c r="G4455">
        <v>2</v>
      </c>
      <c r="H4455">
        <v>1349</v>
      </c>
      <c r="I4455" s="5">
        <v>7.0000000000000007E-2</v>
      </c>
      <c r="J4455">
        <f t="shared" si="138"/>
        <v>2509.14</v>
      </c>
      <c r="K4455" s="9">
        <f t="shared" si="139"/>
        <v>0.10075897237778049</v>
      </c>
    </row>
    <row r="4456" spans="1:11" x14ac:dyDescent="0.3">
      <c r="A4456">
        <v>1525</v>
      </c>
      <c r="B4456">
        <v>3</v>
      </c>
      <c r="C4456">
        <v>193</v>
      </c>
      <c r="D4456" t="str">
        <f>VLOOKUP($C4456,products!$A$1:$F$322,MATCH(order_items!$D$1,products!$A$1:$F$1,0),FALSE)</f>
        <v>Trek Lift+ - 2018</v>
      </c>
      <c r="E4456">
        <f>VLOOKUP($C4456,products!$A$1:$F$322,MATCH(order_items!$E$1,products!$A$1:$F$1,0),FALSE)</f>
        <v>5</v>
      </c>
      <c r="F4456" t="str">
        <f>VLOOKUP($E4456,categories!$A$1:$B$8,MATCH(order_items!$F$1,categories!$A$1:$B$1,0),FALSE)</f>
        <v>Electric Bikes</v>
      </c>
      <c r="G4456">
        <v>1</v>
      </c>
      <c r="H4456">
        <v>2799.99</v>
      </c>
      <c r="I4456" s="5">
        <v>7.0000000000000007E-2</v>
      </c>
      <c r="J4456">
        <f t="shared" si="138"/>
        <v>2603.9906999999998</v>
      </c>
      <c r="K4456" s="9">
        <f t="shared" si="139"/>
        <v>1.1734567364828972</v>
      </c>
    </row>
    <row r="4457" spans="1:11" x14ac:dyDescent="0.3">
      <c r="A4457">
        <v>1526</v>
      </c>
      <c r="B4457">
        <v>1</v>
      </c>
      <c r="C4457">
        <v>151</v>
      </c>
      <c r="D4457" t="str">
        <f>VLOOKUP($C4457,products!$A$1:$F$322,MATCH(order_items!$D$1,products!$A$1:$F$1,0),FALSE)</f>
        <v>Trek Domane ALR 4 Disc Women's - 2018</v>
      </c>
      <c r="E4457">
        <f>VLOOKUP($C4457,products!$A$1:$F$322,MATCH(order_items!$E$1,products!$A$1:$F$1,0),FALSE)</f>
        <v>7</v>
      </c>
      <c r="F4457" t="str">
        <f>VLOOKUP($E4457,categories!$A$1:$B$8,MATCH(order_items!$F$1,categories!$A$1:$B$1,0),FALSE)</f>
        <v>Road Bikes</v>
      </c>
      <c r="G4457">
        <v>1</v>
      </c>
      <c r="H4457">
        <v>1549.99</v>
      </c>
      <c r="I4457" s="5">
        <v>7.0000000000000007E-2</v>
      </c>
      <c r="J4457">
        <f t="shared" si="138"/>
        <v>1441.4906999999998</v>
      </c>
      <c r="K4457" s="9">
        <f t="shared" si="139"/>
        <v>0.24934822771895271</v>
      </c>
    </row>
    <row r="4458" spans="1:11" x14ac:dyDescent="0.3">
      <c r="A4458">
        <v>1526</v>
      </c>
      <c r="B4458">
        <v>2</v>
      </c>
      <c r="C4458">
        <v>56</v>
      </c>
      <c r="D4458" t="str">
        <f>VLOOKUP($C4458,products!$A$1:$F$322,MATCH(order_items!$D$1,products!$A$1:$F$1,0),FALSE)</f>
        <v>Trek Domane SLR 6 Disc - 2017</v>
      </c>
      <c r="E4458">
        <f>VLOOKUP($C4458,products!$A$1:$F$322,MATCH(order_items!$E$1,products!$A$1:$F$1,0),FALSE)</f>
        <v>7</v>
      </c>
      <c r="F4458" t="str">
        <f>VLOOKUP($E4458,categories!$A$1:$B$8,MATCH(order_items!$F$1,categories!$A$1:$B$1,0),FALSE)</f>
        <v>Road Bikes</v>
      </c>
      <c r="G4458">
        <v>1</v>
      </c>
      <c r="H4458">
        <v>5499.99</v>
      </c>
      <c r="I4458" s="5">
        <v>0.1</v>
      </c>
      <c r="J4458">
        <f t="shared" si="138"/>
        <v>4949.991</v>
      </c>
      <c r="K4458" s="9">
        <f t="shared" si="139"/>
        <v>3.1695311154130179</v>
      </c>
    </row>
    <row r="4459" spans="1:11" x14ac:dyDescent="0.3">
      <c r="A4459">
        <v>1526</v>
      </c>
      <c r="B4459">
        <v>3</v>
      </c>
      <c r="C4459">
        <v>238</v>
      </c>
      <c r="D4459" t="str">
        <f>VLOOKUP($C4459,products!$A$1:$F$322,MATCH(order_items!$D$1,products!$A$1:$F$1,0),FALSE)</f>
        <v>Electra Townie Balloon 8D EQ - 2016/2017/2018</v>
      </c>
      <c r="E4459">
        <f>VLOOKUP($C4459,products!$A$1:$F$322,MATCH(order_items!$E$1,products!$A$1:$F$1,0),FALSE)</f>
        <v>3</v>
      </c>
      <c r="F4459" t="str">
        <f>VLOOKUP($E4459,categories!$A$1:$B$8,MATCH(order_items!$F$1,categories!$A$1:$B$1,0),FALSE)</f>
        <v>Cruisers Bicycles</v>
      </c>
      <c r="G4459">
        <v>1</v>
      </c>
      <c r="H4459">
        <v>749.99</v>
      </c>
      <c r="I4459" s="5">
        <v>0.1</v>
      </c>
      <c r="J4459">
        <f t="shared" si="138"/>
        <v>674.99099999999999</v>
      </c>
      <c r="K4459" s="9">
        <f t="shared" si="139"/>
        <v>-0.34208121788997192</v>
      </c>
    </row>
    <row r="4460" spans="1:11" x14ac:dyDescent="0.3">
      <c r="A4460">
        <v>1526</v>
      </c>
      <c r="B4460">
        <v>4</v>
      </c>
      <c r="C4460">
        <v>243</v>
      </c>
      <c r="D4460" t="str">
        <f>VLOOKUP($C4460,products!$A$1:$F$322,MATCH(order_items!$D$1,products!$A$1:$F$1,0),FALSE)</f>
        <v>Electra Townie Original 21D EQ Ladies' - 2018</v>
      </c>
      <c r="E4460">
        <f>VLOOKUP($C4460,products!$A$1:$F$322,MATCH(order_items!$E$1,products!$A$1:$F$1,0),FALSE)</f>
        <v>3</v>
      </c>
      <c r="F4460" t="str">
        <f>VLOOKUP($E4460,categories!$A$1:$B$8,MATCH(order_items!$F$1,categories!$A$1:$B$1,0),FALSE)</f>
        <v>Cruisers Bicycles</v>
      </c>
      <c r="G4460">
        <v>1</v>
      </c>
      <c r="H4460">
        <v>679.99</v>
      </c>
      <c r="I4460" s="5">
        <v>0.05</v>
      </c>
      <c r="J4460">
        <f t="shared" si="138"/>
        <v>645.9905</v>
      </c>
      <c r="K4460" s="9">
        <f t="shared" si="139"/>
        <v>-0.39383129438075282</v>
      </c>
    </row>
    <row r="4461" spans="1:11" x14ac:dyDescent="0.3">
      <c r="A4461">
        <v>1527</v>
      </c>
      <c r="B4461">
        <v>1</v>
      </c>
      <c r="C4461">
        <v>33</v>
      </c>
      <c r="D4461" t="str">
        <f>VLOOKUP($C4461,products!$A$1:$F$322,MATCH(order_items!$D$1,products!$A$1:$F$1,0),FALSE)</f>
        <v>Surly Wednesday Frameset - 2017</v>
      </c>
      <c r="E4461">
        <f>VLOOKUP($C4461,products!$A$1:$F$322,MATCH(order_items!$E$1,products!$A$1:$F$1,0),FALSE)</f>
        <v>6</v>
      </c>
      <c r="F4461" t="str">
        <f>VLOOKUP($E4461,categories!$A$1:$B$8,MATCH(order_items!$F$1,categories!$A$1:$B$1,0),FALSE)</f>
        <v>Mountain Bikes</v>
      </c>
      <c r="G4461">
        <v>1</v>
      </c>
      <c r="H4461">
        <v>469.99</v>
      </c>
      <c r="I4461" s="5">
        <v>0.1</v>
      </c>
      <c r="J4461">
        <f t="shared" si="138"/>
        <v>422.99100000000004</v>
      </c>
      <c r="K4461" s="9">
        <f t="shared" si="139"/>
        <v>-0.5490815238530955</v>
      </c>
    </row>
    <row r="4462" spans="1:11" x14ac:dyDescent="0.3">
      <c r="A4462">
        <v>1527</v>
      </c>
      <c r="B4462">
        <v>2</v>
      </c>
      <c r="C4462">
        <v>103</v>
      </c>
      <c r="D4462" t="str">
        <f>VLOOKUP($C4462,products!$A$1:$F$322,MATCH(order_items!$D$1,products!$A$1:$F$1,0),FALSE)</f>
        <v>Sun Bicycles Streamway 3 - 2017</v>
      </c>
      <c r="E4462">
        <f>VLOOKUP($C4462,products!$A$1:$F$322,MATCH(order_items!$E$1,products!$A$1:$F$1,0),FALSE)</f>
        <v>2</v>
      </c>
      <c r="F4462" t="str">
        <f>VLOOKUP($E4462,categories!$A$1:$B$8,MATCH(order_items!$F$1,categories!$A$1:$B$1,0),FALSE)</f>
        <v>Comfort Bicycles</v>
      </c>
      <c r="G4462">
        <v>1</v>
      </c>
      <c r="H4462">
        <v>551.99</v>
      </c>
      <c r="I4462" s="5">
        <v>0.05</v>
      </c>
      <c r="J4462">
        <f t="shared" si="138"/>
        <v>524.39049999999997</v>
      </c>
      <c r="K4462" s="9">
        <f t="shared" si="139"/>
        <v>-0.48846000567818076</v>
      </c>
    </row>
    <row r="4463" spans="1:11" x14ac:dyDescent="0.3">
      <c r="A4463">
        <v>1527</v>
      </c>
      <c r="B4463">
        <v>3</v>
      </c>
      <c r="C4463">
        <v>57</v>
      </c>
      <c r="D4463" t="str">
        <f>VLOOKUP($C4463,products!$A$1:$F$322,MATCH(order_items!$D$1,products!$A$1:$F$1,0),FALSE)</f>
        <v>Trek Emonda S 5 - 2017</v>
      </c>
      <c r="E4463">
        <f>VLOOKUP($C4463,products!$A$1:$F$322,MATCH(order_items!$E$1,products!$A$1:$F$1,0),FALSE)</f>
        <v>7</v>
      </c>
      <c r="F4463" t="str">
        <f>VLOOKUP($E4463,categories!$A$1:$B$8,MATCH(order_items!$F$1,categories!$A$1:$B$1,0),FALSE)</f>
        <v>Road Bikes</v>
      </c>
      <c r="G4463">
        <v>2</v>
      </c>
      <c r="H4463">
        <v>1999.99</v>
      </c>
      <c r="I4463" s="5">
        <v>0.05</v>
      </c>
      <c r="J4463">
        <f t="shared" si="138"/>
        <v>3799.9809999999998</v>
      </c>
      <c r="K4463" s="9">
        <f t="shared" si="139"/>
        <v>0.58202729087397276</v>
      </c>
    </row>
    <row r="4464" spans="1:11" x14ac:dyDescent="0.3">
      <c r="A4464">
        <v>1528</v>
      </c>
      <c r="B4464">
        <v>1</v>
      </c>
      <c r="C4464">
        <v>229</v>
      </c>
      <c r="D4464" t="str">
        <f>VLOOKUP($C4464,products!$A$1:$F$322,MATCH(order_items!$D$1,products!$A$1:$F$1,0),FALSE)</f>
        <v>Electra Cruiser Lux 1 - 2016/2018</v>
      </c>
      <c r="E4464">
        <f>VLOOKUP($C4464,products!$A$1:$F$322,MATCH(order_items!$E$1,products!$A$1:$F$1,0),FALSE)</f>
        <v>3</v>
      </c>
      <c r="F4464" t="str">
        <f>VLOOKUP($E4464,categories!$A$1:$B$8,MATCH(order_items!$F$1,categories!$A$1:$B$1,0),FALSE)</f>
        <v>Cruisers Bicycles</v>
      </c>
      <c r="G4464">
        <v>2</v>
      </c>
      <c r="H4464">
        <v>429.99</v>
      </c>
      <c r="I4464" s="5">
        <v>0.2</v>
      </c>
      <c r="J4464">
        <f t="shared" si="138"/>
        <v>687.98400000000004</v>
      </c>
      <c r="K4464" s="9">
        <f t="shared" si="139"/>
        <v>-0.57865299613354182</v>
      </c>
    </row>
    <row r="4465" spans="1:11" x14ac:dyDescent="0.3">
      <c r="A4465">
        <v>1529</v>
      </c>
      <c r="B4465">
        <v>1</v>
      </c>
      <c r="C4465">
        <v>23</v>
      </c>
      <c r="D4465" t="str">
        <f>VLOOKUP($C4465,products!$A$1:$F$322,MATCH(order_items!$D$1,products!$A$1:$F$1,0),FALSE)</f>
        <v>Electra Girl's Hawaii 1 (20-inch) - 2015/2016</v>
      </c>
      <c r="E4465">
        <f>VLOOKUP($C4465,products!$A$1:$F$322,MATCH(order_items!$E$1,products!$A$1:$F$1,0),FALSE)</f>
        <v>1</v>
      </c>
      <c r="F4465" t="str">
        <f>VLOOKUP($E4465,categories!$A$1:$B$8,MATCH(order_items!$F$1,categories!$A$1:$B$1,0),FALSE)</f>
        <v>Children Bicycles</v>
      </c>
      <c r="G4465">
        <v>1</v>
      </c>
      <c r="H4465">
        <v>299.99</v>
      </c>
      <c r="I4465" s="5">
        <v>0.05</v>
      </c>
      <c r="J4465">
        <f t="shared" si="138"/>
        <v>284.9905</v>
      </c>
      <c r="K4465" s="9">
        <f t="shared" si="139"/>
        <v>-0.67476028104499197</v>
      </c>
    </row>
    <row r="4466" spans="1:11" x14ac:dyDescent="0.3">
      <c r="A4466">
        <v>1529</v>
      </c>
      <c r="B4466">
        <v>2</v>
      </c>
      <c r="C4466">
        <v>50</v>
      </c>
      <c r="D4466" t="str">
        <f>VLOOKUP($C4466,products!$A$1:$F$322,MATCH(order_items!$D$1,products!$A$1:$F$1,0),FALSE)</f>
        <v>Trek Silque SLR 7 Women's - 2017</v>
      </c>
      <c r="E4466">
        <f>VLOOKUP($C4466,products!$A$1:$F$322,MATCH(order_items!$E$1,products!$A$1:$F$1,0),FALSE)</f>
        <v>7</v>
      </c>
      <c r="F4466" t="str">
        <f>VLOOKUP($E4466,categories!$A$1:$B$8,MATCH(order_items!$F$1,categories!$A$1:$B$1,0),FALSE)</f>
        <v>Road Bikes</v>
      </c>
      <c r="G4466">
        <v>2</v>
      </c>
      <c r="H4466">
        <v>5999.99</v>
      </c>
      <c r="I4466" s="5">
        <v>0.1</v>
      </c>
      <c r="J4466">
        <f t="shared" si="138"/>
        <v>10799.982</v>
      </c>
      <c r="K4466" s="9">
        <f t="shared" si="139"/>
        <v>3.5391745189185961</v>
      </c>
    </row>
    <row r="4467" spans="1:11" x14ac:dyDescent="0.3">
      <c r="A4467">
        <v>1530</v>
      </c>
      <c r="B4467">
        <v>1</v>
      </c>
      <c r="C4467">
        <v>213</v>
      </c>
      <c r="D4467" t="str">
        <f>VLOOKUP($C4467,products!$A$1:$F$322,MATCH(order_items!$D$1,products!$A$1:$F$1,0),FALSE)</f>
        <v>Electra Cruiser 1 - 2016/2017/2018</v>
      </c>
      <c r="E4467">
        <f>VLOOKUP($C4467,products!$A$1:$F$322,MATCH(order_items!$E$1,products!$A$1:$F$1,0),FALSE)</f>
        <v>3</v>
      </c>
      <c r="F4467" t="str">
        <f>VLOOKUP($E4467,categories!$A$1:$B$8,MATCH(order_items!$F$1,categories!$A$1:$B$1,0),FALSE)</f>
        <v>Cruisers Bicycles</v>
      </c>
      <c r="G4467">
        <v>2</v>
      </c>
      <c r="H4467">
        <v>269.99</v>
      </c>
      <c r="I4467" s="5">
        <v>0.1</v>
      </c>
      <c r="J4467">
        <f t="shared" si="138"/>
        <v>485.98200000000003</v>
      </c>
      <c r="K4467" s="9">
        <f t="shared" si="139"/>
        <v>-0.69693888525532666</v>
      </c>
    </row>
    <row r="4468" spans="1:11" x14ac:dyDescent="0.3">
      <c r="A4468">
        <v>1530</v>
      </c>
      <c r="B4468">
        <v>2</v>
      </c>
      <c r="C4468">
        <v>116</v>
      </c>
      <c r="D4468" t="str">
        <f>VLOOKUP($C4468,products!$A$1:$F$322,MATCH(order_items!$D$1,products!$A$1:$F$1,0),FALSE)</f>
        <v>Trek Marlin 7 - 2017/2018</v>
      </c>
      <c r="E4468">
        <f>VLOOKUP($C4468,products!$A$1:$F$322,MATCH(order_items!$E$1,products!$A$1:$F$1,0),FALSE)</f>
        <v>6</v>
      </c>
      <c r="F4468" t="str">
        <f>VLOOKUP($E4468,categories!$A$1:$B$8,MATCH(order_items!$F$1,categories!$A$1:$B$1,0),FALSE)</f>
        <v>Mountain Bikes</v>
      </c>
      <c r="G4468">
        <v>1</v>
      </c>
      <c r="H4468">
        <v>749.99</v>
      </c>
      <c r="I4468" s="5">
        <v>0.1</v>
      </c>
      <c r="J4468">
        <f t="shared" si="138"/>
        <v>674.99099999999999</v>
      </c>
      <c r="K4468" s="9">
        <f t="shared" si="139"/>
        <v>-0.34208121788997192</v>
      </c>
    </row>
    <row r="4469" spans="1:11" x14ac:dyDescent="0.3">
      <c r="A4469">
        <v>1531</v>
      </c>
      <c r="B4469">
        <v>1</v>
      </c>
      <c r="C4469">
        <v>128</v>
      </c>
      <c r="D4469" t="str">
        <f>VLOOKUP($C4469,products!$A$1:$F$322,MATCH(order_items!$D$1,products!$A$1:$F$1,0),FALSE)</f>
        <v>Surly ECR 27.5 - 2018</v>
      </c>
      <c r="E4469">
        <f>VLOOKUP($C4469,products!$A$1:$F$322,MATCH(order_items!$E$1,products!$A$1:$F$1,0),FALSE)</f>
        <v>6</v>
      </c>
      <c r="F4469" t="str">
        <f>VLOOKUP($E4469,categories!$A$1:$B$8,MATCH(order_items!$F$1,categories!$A$1:$B$1,0),FALSE)</f>
        <v>Mountain Bikes</v>
      </c>
      <c r="G4469">
        <v>1</v>
      </c>
      <c r="H4469">
        <v>1899</v>
      </c>
      <c r="I4469" s="5">
        <v>0.1</v>
      </c>
      <c r="J4469">
        <f t="shared" si="138"/>
        <v>1709.1000000000001</v>
      </c>
      <c r="K4469" s="9">
        <f t="shared" si="139"/>
        <v>0.50736671623391616</v>
      </c>
    </row>
    <row r="4470" spans="1:11" x14ac:dyDescent="0.3">
      <c r="A4470">
        <v>1532</v>
      </c>
      <c r="B4470">
        <v>1</v>
      </c>
      <c r="C4470">
        <v>209</v>
      </c>
      <c r="D4470" t="str">
        <f>VLOOKUP($C4470,products!$A$1:$F$322,MATCH(order_items!$D$1,products!$A$1:$F$1,0),FALSE)</f>
        <v>Trek Crockett 7 Disc - 2018</v>
      </c>
      <c r="E4470">
        <f>VLOOKUP($C4470,products!$A$1:$F$322,MATCH(order_items!$E$1,products!$A$1:$F$1,0),FALSE)</f>
        <v>4</v>
      </c>
      <c r="F4470" t="str">
        <f>VLOOKUP($E4470,categories!$A$1:$B$8,MATCH(order_items!$F$1,categories!$A$1:$B$1,0),FALSE)</f>
        <v>Cyclocross Bicycles</v>
      </c>
      <c r="G4470">
        <v>2</v>
      </c>
      <c r="H4470">
        <v>2999.99</v>
      </c>
      <c r="I4470" s="5">
        <v>7.0000000000000007E-2</v>
      </c>
      <c r="J4470">
        <f t="shared" si="138"/>
        <v>5579.9813999999997</v>
      </c>
      <c r="K4470" s="9">
        <f t="shared" si="139"/>
        <v>1.3213140978851283</v>
      </c>
    </row>
    <row r="4471" spans="1:11" x14ac:dyDescent="0.3">
      <c r="A4471">
        <v>1533</v>
      </c>
      <c r="B4471">
        <v>1</v>
      </c>
      <c r="C4471">
        <v>274</v>
      </c>
      <c r="D4471" t="str">
        <f>VLOOKUP($C4471,products!$A$1:$F$322,MATCH(order_items!$D$1,products!$A$1:$F$1,0),FALSE)</f>
        <v>Trek Precaliber 20 Boy's - 2018</v>
      </c>
      <c r="E4471">
        <f>VLOOKUP($C4471,products!$A$1:$F$322,MATCH(order_items!$E$1,products!$A$1:$F$1,0),FALSE)</f>
        <v>1</v>
      </c>
      <c r="F4471" t="str">
        <f>VLOOKUP($E4471,categories!$A$1:$B$8,MATCH(order_items!$F$1,categories!$A$1:$B$1,0),FALSE)</f>
        <v>Children Bicycles</v>
      </c>
      <c r="G4471">
        <v>2</v>
      </c>
      <c r="H4471">
        <v>229.99</v>
      </c>
      <c r="I4471" s="5">
        <v>0.1</v>
      </c>
      <c r="J4471">
        <f t="shared" si="138"/>
        <v>413.98200000000003</v>
      </c>
      <c r="K4471" s="9">
        <f t="shared" si="139"/>
        <v>-0.72651035753577298</v>
      </c>
    </row>
    <row r="4472" spans="1:11" x14ac:dyDescent="0.3">
      <c r="A4472">
        <v>1533</v>
      </c>
      <c r="B4472">
        <v>2</v>
      </c>
      <c r="C4472">
        <v>78</v>
      </c>
      <c r="D4472" t="str">
        <f>VLOOKUP($C4472,products!$A$1:$F$322,MATCH(order_items!$D$1,products!$A$1:$F$1,0),FALSE)</f>
        <v>Sun Bicycles Biscayne Tandem CB - 2017</v>
      </c>
      <c r="E4472">
        <f>VLOOKUP($C4472,products!$A$1:$F$322,MATCH(order_items!$E$1,products!$A$1:$F$1,0),FALSE)</f>
        <v>3</v>
      </c>
      <c r="F4472" t="str">
        <f>VLOOKUP($E4472,categories!$A$1:$B$8,MATCH(order_items!$F$1,categories!$A$1:$B$1,0),FALSE)</f>
        <v>Cruisers Bicycles</v>
      </c>
      <c r="G4472">
        <v>1</v>
      </c>
      <c r="H4472">
        <v>647.99</v>
      </c>
      <c r="I4472" s="5">
        <v>0.1</v>
      </c>
      <c r="J4472">
        <f t="shared" si="138"/>
        <v>583.19100000000003</v>
      </c>
      <c r="K4472" s="9">
        <f t="shared" si="139"/>
        <v>-0.41748847220510982</v>
      </c>
    </row>
    <row r="4473" spans="1:11" x14ac:dyDescent="0.3">
      <c r="A4473">
        <v>1533</v>
      </c>
      <c r="B4473">
        <v>3</v>
      </c>
      <c r="C4473">
        <v>96</v>
      </c>
      <c r="D4473" t="str">
        <f>VLOOKUP($C4473,products!$A$1:$F$322,MATCH(order_items!$D$1,products!$A$1:$F$1,0),FALSE)</f>
        <v>Electra Moto 3i (20-inch) - Boy's - 2017</v>
      </c>
      <c r="E4473">
        <f>VLOOKUP($C4473,products!$A$1:$F$322,MATCH(order_items!$E$1,products!$A$1:$F$1,0),FALSE)</f>
        <v>1</v>
      </c>
      <c r="F4473" t="str">
        <f>VLOOKUP($E4473,categories!$A$1:$B$8,MATCH(order_items!$F$1,categories!$A$1:$B$1,0),FALSE)</f>
        <v>Children Bicycles</v>
      </c>
      <c r="G4473">
        <v>1</v>
      </c>
      <c r="H4473">
        <v>349.99</v>
      </c>
      <c r="I4473" s="5">
        <v>0.1</v>
      </c>
      <c r="J4473">
        <f t="shared" si="138"/>
        <v>314.99100000000004</v>
      </c>
      <c r="K4473" s="9">
        <f t="shared" si="139"/>
        <v>-0.63779594069443424</v>
      </c>
    </row>
    <row r="4474" spans="1:11" x14ac:dyDescent="0.3">
      <c r="A4474">
        <v>1533</v>
      </c>
      <c r="B4474">
        <v>4</v>
      </c>
      <c r="C4474">
        <v>235</v>
      </c>
      <c r="D4474" t="str">
        <f>VLOOKUP($C4474,products!$A$1:$F$322,MATCH(order_items!$D$1,products!$A$1:$F$1,0),FALSE)</f>
        <v>Electra Koa 3i Ladies' - 2018</v>
      </c>
      <c r="E4474">
        <f>VLOOKUP($C4474,products!$A$1:$F$322,MATCH(order_items!$E$1,products!$A$1:$F$1,0),FALSE)</f>
        <v>3</v>
      </c>
      <c r="F4474" t="str">
        <f>VLOOKUP($E4474,categories!$A$1:$B$8,MATCH(order_items!$F$1,categories!$A$1:$B$1,0),FALSE)</f>
        <v>Cruisers Bicycles</v>
      </c>
      <c r="G4474">
        <v>2</v>
      </c>
      <c r="H4474">
        <v>899.99</v>
      </c>
      <c r="I4474" s="5">
        <v>0.1</v>
      </c>
      <c r="J4474">
        <f t="shared" si="138"/>
        <v>1619.982</v>
      </c>
      <c r="K4474" s="9">
        <f t="shared" si="139"/>
        <v>-0.23118819683829855</v>
      </c>
    </row>
    <row r="4475" spans="1:11" x14ac:dyDescent="0.3">
      <c r="A4475">
        <v>1533</v>
      </c>
      <c r="B4475">
        <v>5</v>
      </c>
      <c r="C4475">
        <v>51</v>
      </c>
      <c r="D4475" t="str">
        <f>VLOOKUP($C4475,products!$A$1:$F$322,MATCH(order_items!$D$1,products!$A$1:$F$1,0),FALSE)</f>
        <v>Trek Silque SLR 8 Women's - 2017</v>
      </c>
      <c r="E4475">
        <f>VLOOKUP($C4475,products!$A$1:$F$322,MATCH(order_items!$E$1,products!$A$1:$F$1,0),FALSE)</f>
        <v>7</v>
      </c>
      <c r="F4475" t="str">
        <f>VLOOKUP($E4475,categories!$A$1:$B$8,MATCH(order_items!$F$1,categories!$A$1:$B$1,0),FALSE)</f>
        <v>Road Bikes</v>
      </c>
      <c r="G4475">
        <v>1</v>
      </c>
      <c r="H4475">
        <v>6499.99</v>
      </c>
      <c r="I4475" s="5">
        <v>0.1</v>
      </c>
      <c r="J4475">
        <f t="shared" si="138"/>
        <v>5849.991</v>
      </c>
      <c r="K4475" s="9">
        <f t="shared" si="139"/>
        <v>3.9088179224241739</v>
      </c>
    </row>
    <row r="4476" spans="1:11" x14ac:dyDescent="0.3">
      <c r="A4476">
        <v>1534</v>
      </c>
      <c r="B4476">
        <v>1</v>
      </c>
      <c r="C4476">
        <v>194</v>
      </c>
      <c r="D4476" t="str">
        <f>VLOOKUP($C4476,products!$A$1:$F$322,MATCH(order_items!$D$1,products!$A$1:$F$1,0),FALSE)</f>
        <v>Trek XM700+ - 2018</v>
      </c>
      <c r="E4476">
        <f>VLOOKUP($C4476,products!$A$1:$F$322,MATCH(order_items!$E$1,products!$A$1:$F$1,0),FALSE)</f>
        <v>5</v>
      </c>
      <c r="F4476" t="str">
        <f>VLOOKUP($E4476,categories!$A$1:$B$8,MATCH(order_items!$F$1,categories!$A$1:$B$1,0),FALSE)</f>
        <v>Electric Bikes</v>
      </c>
      <c r="G4476">
        <v>1</v>
      </c>
      <c r="H4476">
        <v>3499.99</v>
      </c>
      <c r="I4476" s="5">
        <v>0.1</v>
      </c>
      <c r="J4476">
        <f t="shared" si="138"/>
        <v>3149.991</v>
      </c>
      <c r="K4476" s="9">
        <f t="shared" si="139"/>
        <v>1.6909575013907066</v>
      </c>
    </row>
    <row r="4477" spans="1:11" x14ac:dyDescent="0.3">
      <c r="A4477">
        <v>1534</v>
      </c>
      <c r="B4477">
        <v>2</v>
      </c>
      <c r="C4477">
        <v>117</v>
      </c>
      <c r="D4477" t="str">
        <f>VLOOKUP($C4477,products!$A$1:$F$322,MATCH(order_items!$D$1,products!$A$1:$F$1,0),FALSE)</f>
        <v>Trek Ticket S Frame - 2018</v>
      </c>
      <c r="E4477">
        <f>VLOOKUP($C4477,products!$A$1:$F$322,MATCH(order_items!$E$1,products!$A$1:$F$1,0),FALSE)</f>
        <v>6</v>
      </c>
      <c r="F4477" t="str">
        <f>VLOOKUP($E4477,categories!$A$1:$B$8,MATCH(order_items!$F$1,categories!$A$1:$B$1,0),FALSE)</f>
        <v>Mountain Bikes</v>
      </c>
      <c r="G4477">
        <v>1</v>
      </c>
      <c r="H4477">
        <v>1469.99</v>
      </c>
      <c r="I4477" s="5">
        <v>0.05</v>
      </c>
      <c r="J4477">
        <f t="shared" si="138"/>
        <v>1396.4904999999999</v>
      </c>
      <c r="K4477" s="9">
        <f t="shared" si="139"/>
        <v>0.19020528315806023</v>
      </c>
    </row>
    <row r="4478" spans="1:11" x14ac:dyDescent="0.3">
      <c r="A4478">
        <v>1534</v>
      </c>
      <c r="B4478">
        <v>3</v>
      </c>
      <c r="C4478">
        <v>269</v>
      </c>
      <c r="D4478" t="str">
        <f>VLOOKUP($C4478,products!$A$1:$F$322,MATCH(order_items!$D$1,products!$A$1:$F$1,0),FALSE)</f>
        <v>Trek Precaliber 12 Boy's - 2018</v>
      </c>
      <c r="E4478">
        <f>VLOOKUP($C4478,products!$A$1:$F$322,MATCH(order_items!$E$1,products!$A$1:$F$1,0),FALSE)</f>
        <v>1</v>
      </c>
      <c r="F4478" t="str">
        <f>VLOOKUP($E4478,categories!$A$1:$B$8,MATCH(order_items!$F$1,categories!$A$1:$B$1,0),FALSE)</f>
        <v>Children Bicycles</v>
      </c>
      <c r="G4478">
        <v>2</v>
      </c>
      <c r="H4478">
        <v>199.99</v>
      </c>
      <c r="I4478" s="5">
        <v>0.2</v>
      </c>
      <c r="J4478">
        <f t="shared" si="138"/>
        <v>319.98400000000004</v>
      </c>
      <c r="K4478" s="9">
        <f t="shared" si="139"/>
        <v>-0.74868896174610755</v>
      </c>
    </row>
    <row r="4479" spans="1:11" x14ac:dyDescent="0.3">
      <c r="A4479">
        <v>1534</v>
      </c>
      <c r="B4479">
        <v>4</v>
      </c>
      <c r="C4479">
        <v>172</v>
      </c>
      <c r="D4479" t="str">
        <f>VLOOKUP($C4479,products!$A$1:$F$322,MATCH(order_items!$D$1,products!$A$1:$F$1,0),FALSE)</f>
        <v>Trek Domane ALR Disc Frameset - 2018</v>
      </c>
      <c r="E4479">
        <f>VLOOKUP($C4479,products!$A$1:$F$322,MATCH(order_items!$E$1,products!$A$1:$F$1,0),FALSE)</f>
        <v>7</v>
      </c>
      <c r="F4479" t="str">
        <f>VLOOKUP($E4479,categories!$A$1:$B$8,MATCH(order_items!$F$1,categories!$A$1:$B$1,0),FALSE)</f>
        <v>Road Bikes</v>
      </c>
      <c r="G4479">
        <v>2</v>
      </c>
      <c r="H4479">
        <v>3199.99</v>
      </c>
      <c r="I4479" s="5">
        <v>0.2</v>
      </c>
      <c r="J4479">
        <f t="shared" si="138"/>
        <v>5119.9840000000004</v>
      </c>
      <c r="K4479" s="9">
        <f t="shared" si="139"/>
        <v>1.4691714592873595</v>
      </c>
    </row>
    <row r="4480" spans="1:11" x14ac:dyDescent="0.3">
      <c r="A4480">
        <v>1535</v>
      </c>
      <c r="B4480">
        <v>1</v>
      </c>
      <c r="C4480">
        <v>92</v>
      </c>
      <c r="D4480" t="str">
        <f>VLOOKUP($C4480,products!$A$1:$F$322,MATCH(order_items!$D$1,products!$A$1:$F$1,0),FALSE)</f>
        <v>Haro Shredder 20 - 2017</v>
      </c>
      <c r="E4480">
        <f>VLOOKUP($C4480,products!$A$1:$F$322,MATCH(order_items!$E$1,products!$A$1:$F$1,0),FALSE)</f>
        <v>1</v>
      </c>
      <c r="F4480" t="str">
        <f>VLOOKUP($E4480,categories!$A$1:$B$8,MATCH(order_items!$F$1,categories!$A$1:$B$1,0),FALSE)</f>
        <v>Children Bicycles</v>
      </c>
      <c r="G4480">
        <v>1</v>
      </c>
      <c r="H4480">
        <v>209.99</v>
      </c>
      <c r="I4480" s="5">
        <v>0.05</v>
      </c>
      <c r="J4480">
        <f t="shared" si="138"/>
        <v>199.4905</v>
      </c>
      <c r="K4480" s="9">
        <f t="shared" si="139"/>
        <v>-0.74129609367599603</v>
      </c>
    </row>
    <row r="4481" spans="1:11" x14ac:dyDescent="0.3">
      <c r="A4481">
        <v>1535</v>
      </c>
      <c r="B4481">
        <v>2</v>
      </c>
      <c r="C4481">
        <v>75</v>
      </c>
      <c r="D4481" t="str">
        <f>VLOOKUP($C4481,products!$A$1:$F$322,MATCH(order_items!$D$1,products!$A$1:$F$1,0),FALSE)</f>
        <v>Electra Cruiser Lux Fat Tire 1 Ladies - 2017</v>
      </c>
      <c r="E4481">
        <f>VLOOKUP($C4481,products!$A$1:$F$322,MATCH(order_items!$E$1,products!$A$1:$F$1,0),FALSE)</f>
        <v>3</v>
      </c>
      <c r="F4481" t="str">
        <f>VLOOKUP($E4481,categories!$A$1:$B$8,MATCH(order_items!$F$1,categories!$A$1:$B$1,0),FALSE)</f>
        <v>Cruisers Bicycles</v>
      </c>
      <c r="G4481">
        <v>2</v>
      </c>
      <c r="H4481">
        <v>599.99</v>
      </c>
      <c r="I4481" s="5">
        <v>0.05</v>
      </c>
      <c r="J4481">
        <f t="shared" si="138"/>
        <v>1139.981</v>
      </c>
      <c r="K4481" s="9">
        <f t="shared" si="139"/>
        <v>-0.45297423894164529</v>
      </c>
    </row>
    <row r="4482" spans="1:11" x14ac:dyDescent="0.3">
      <c r="A4482">
        <v>1536</v>
      </c>
      <c r="B4482">
        <v>1</v>
      </c>
      <c r="C4482">
        <v>183</v>
      </c>
      <c r="D4482" t="str">
        <f>VLOOKUP($C4482,products!$A$1:$F$322,MATCH(order_items!$D$1,products!$A$1:$F$1,0),FALSE)</f>
        <v>Trek Domane SL 5 Women's - 2018</v>
      </c>
      <c r="E4482">
        <f>VLOOKUP($C4482,products!$A$1:$F$322,MATCH(order_items!$E$1,products!$A$1:$F$1,0),FALSE)</f>
        <v>7</v>
      </c>
      <c r="F4482" t="str">
        <f>VLOOKUP($E4482,categories!$A$1:$B$8,MATCH(order_items!$F$1,categories!$A$1:$B$1,0),FALSE)</f>
        <v>Road Bikes</v>
      </c>
      <c r="G4482">
        <v>1</v>
      </c>
      <c r="H4482">
        <v>2199.9899999999998</v>
      </c>
      <c r="I4482" s="5">
        <v>0.2</v>
      </c>
      <c r="J4482">
        <f t="shared" ref="J4482:J4545" si="140">G4482*H4482*(1-I4482)</f>
        <v>1759.992</v>
      </c>
      <c r="K4482" s="9">
        <f t="shared" ref="K4482:K4545" si="141">($H4482-$M$7)/$M$9</f>
        <v>0.7298846522762038</v>
      </c>
    </row>
    <row r="4483" spans="1:11" x14ac:dyDescent="0.3">
      <c r="A4483">
        <v>1536</v>
      </c>
      <c r="B4483">
        <v>2</v>
      </c>
      <c r="C4483">
        <v>185</v>
      </c>
      <c r="D4483" t="str">
        <f>VLOOKUP($C4483,products!$A$1:$F$322,MATCH(order_items!$D$1,products!$A$1:$F$1,0),FALSE)</f>
        <v>Trek Conduit+ - 2018</v>
      </c>
      <c r="E4483">
        <f>VLOOKUP($C4483,products!$A$1:$F$322,MATCH(order_items!$E$1,products!$A$1:$F$1,0),FALSE)</f>
        <v>5</v>
      </c>
      <c r="F4483" t="str">
        <f>VLOOKUP($E4483,categories!$A$1:$B$8,MATCH(order_items!$F$1,categories!$A$1:$B$1,0),FALSE)</f>
        <v>Electric Bikes</v>
      </c>
      <c r="G4483">
        <v>2</v>
      </c>
      <c r="H4483">
        <v>2799.99</v>
      </c>
      <c r="I4483" s="5">
        <v>7.0000000000000007E-2</v>
      </c>
      <c r="J4483">
        <f t="shared" si="140"/>
        <v>5207.9813999999997</v>
      </c>
      <c r="K4483" s="9">
        <f t="shared" si="141"/>
        <v>1.1734567364828972</v>
      </c>
    </row>
    <row r="4484" spans="1:11" x14ac:dyDescent="0.3">
      <c r="A4484">
        <v>1536</v>
      </c>
      <c r="B4484">
        <v>3</v>
      </c>
      <c r="C4484">
        <v>196</v>
      </c>
      <c r="D4484" t="str">
        <f>VLOOKUP($C4484,products!$A$1:$F$322,MATCH(order_items!$D$1,products!$A$1:$F$1,0),FALSE)</f>
        <v>Trek Verve+ - 2018</v>
      </c>
      <c r="E4484">
        <f>VLOOKUP($C4484,products!$A$1:$F$322,MATCH(order_items!$E$1,products!$A$1:$F$1,0),FALSE)</f>
        <v>5</v>
      </c>
      <c r="F4484" t="str">
        <f>VLOOKUP($E4484,categories!$A$1:$B$8,MATCH(order_items!$F$1,categories!$A$1:$B$1,0),FALSE)</f>
        <v>Electric Bikes</v>
      </c>
      <c r="G4484">
        <v>2</v>
      </c>
      <c r="H4484">
        <v>2299.9899999999998</v>
      </c>
      <c r="I4484" s="5">
        <v>0.2</v>
      </c>
      <c r="J4484">
        <f t="shared" si="140"/>
        <v>3679.9839999999999</v>
      </c>
      <c r="K4484" s="9">
        <f t="shared" si="141"/>
        <v>0.80381333297731938</v>
      </c>
    </row>
    <row r="4485" spans="1:11" x14ac:dyDescent="0.3">
      <c r="A4485">
        <v>1537</v>
      </c>
      <c r="B4485">
        <v>1</v>
      </c>
      <c r="C4485">
        <v>237</v>
      </c>
      <c r="D4485" t="str">
        <f>VLOOKUP($C4485,products!$A$1:$F$322,MATCH(order_items!$D$1,products!$A$1:$F$1,0),FALSE)</f>
        <v>Electra Relic 3i - 2018</v>
      </c>
      <c r="E4485">
        <f>VLOOKUP($C4485,products!$A$1:$F$322,MATCH(order_items!$E$1,products!$A$1:$F$1,0),FALSE)</f>
        <v>3</v>
      </c>
      <c r="F4485" t="str">
        <f>VLOOKUP($E4485,categories!$A$1:$B$8,MATCH(order_items!$F$1,categories!$A$1:$B$1,0),FALSE)</f>
        <v>Cruisers Bicycles</v>
      </c>
      <c r="G4485">
        <v>2</v>
      </c>
      <c r="H4485">
        <v>849.99</v>
      </c>
      <c r="I4485" s="5">
        <v>0.05</v>
      </c>
      <c r="J4485">
        <f t="shared" si="140"/>
        <v>1614.981</v>
      </c>
      <c r="K4485" s="9">
        <f t="shared" si="141"/>
        <v>-0.26815253718885634</v>
      </c>
    </row>
    <row r="4486" spans="1:11" x14ac:dyDescent="0.3">
      <c r="A4486">
        <v>1538</v>
      </c>
      <c r="B4486">
        <v>1</v>
      </c>
      <c r="C4486">
        <v>206</v>
      </c>
      <c r="D4486" t="str">
        <f>VLOOKUP($C4486,products!$A$1:$F$322,MATCH(order_items!$D$1,products!$A$1:$F$1,0),FALSE)</f>
        <v>Trek Boone 5 Disc - 2018</v>
      </c>
      <c r="E4486">
        <f>VLOOKUP($C4486,products!$A$1:$F$322,MATCH(order_items!$E$1,products!$A$1:$F$1,0),FALSE)</f>
        <v>4</v>
      </c>
      <c r="F4486" t="str">
        <f>VLOOKUP($E4486,categories!$A$1:$B$8,MATCH(order_items!$F$1,categories!$A$1:$B$1,0),FALSE)</f>
        <v>Cyclocross Bicycles</v>
      </c>
      <c r="G4486">
        <v>1</v>
      </c>
      <c r="H4486">
        <v>3299.99</v>
      </c>
      <c r="I4486" s="5">
        <v>7.0000000000000007E-2</v>
      </c>
      <c r="J4486">
        <f t="shared" si="140"/>
        <v>3068.9906999999994</v>
      </c>
      <c r="K4486" s="9">
        <f t="shared" si="141"/>
        <v>1.5431001399884754</v>
      </c>
    </row>
    <row r="4487" spans="1:11" x14ac:dyDescent="0.3">
      <c r="A4487">
        <v>1538</v>
      </c>
      <c r="B4487">
        <v>2</v>
      </c>
      <c r="C4487">
        <v>46</v>
      </c>
      <c r="D4487" t="str">
        <f>VLOOKUP($C4487,products!$A$1:$F$322,MATCH(order_items!$D$1,products!$A$1:$F$1,0),FALSE)</f>
        <v>Haro SR 1.3 - 2017</v>
      </c>
      <c r="E4487">
        <f>VLOOKUP($C4487,products!$A$1:$F$322,MATCH(order_items!$E$1,products!$A$1:$F$1,0),FALSE)</f>
        <v>6</v>
      </c>
      <c r="F4487" t="str">
        <f>VLOOKUP($E4487,categories!$A$1:$B$8,MATCH(order_items!$F$1,categories!$A$1:$B$1,0),FALSE)</f>
        <v>Mountain Bikes</v>
      </c>
      <c r="G4487">
        <v>2</v>
      </c>
      <c r="H4487">
        <v>1409.99</v>
      </c>
      <c r="I4487" s="5">
        <v>7.0000000000000007E-2</v>
      </c>
      <c r="J4487">
        <f t="shared" si="140"/>
        <v>2622.5814</v>
      </c>
      <c r="K4487" s="9">
        <f t="shared" si="141"/>
        <v>0.14584807473739089</v>
      </c>
    </row>
    <row r="4488" spans="1:11" x14ac:dyDescent="0.3">
      <c r="A4488">
        <v>1538</v>
      </c>
      <c r="B4488">
        <v>3</v>
      </c>
      <c r="C4488">
        <v>117</v>
      </c>
      <c r="D4488" t="str">
        <f>VLOOKUP($C4488,products!$A$1:$F$322,MATCH(order_items!$D$1,products!$A$1:$F$1,0),FALSE)</f>
        <v>Trek Ticket S Frame - 2018</v>
      </c>
      <c r="E4488">
        <f>VLOOKUP($C4488,products!$A$1:$F$322,MATCH(order_items!$E$1,products!$A$1:$F$1,0),FALSE)</f>
        <v>6</v>
      </c>
      <c r="F4488" t="str">
        <f>VLOOKUP($E4488,categories!$A$1:$B$8,MATCH(order_items!$F$1,categories!$A$1:$B$1,0),FALSE)</f>
        <v>Mountain Bikes</v>
      </c>
      <c r="G4488">
        <v>1</v>
      </c>
      <c r="H4488">
        <v>1469.99</v>
      </c>
      <c r="I4488" s="5">
        <v>7.0000000000000007E-2</v>
      </c>
      <c r="J4488">
        <f t="shared" si="140"/>
        <v>1367.0907</v>
      </c>
      <c r="K4488" s="9">
        <f t="shared" si="141"/>
        <v>0.19020528315806023</v>
      </c>
    </row>
    <row r="4489" spans="1:11" x14ac:dyDescent="0.3">
      <c r="A4489">
        <v>1538</v>
      </c>
      <c r="B4489">
        <v>4</v>
      </c>
      <c r="C4489">
        <v>197</v>
      </c>
      <c r="D4489" t="str">
        <f>VLOOKUP($C4489,products!$A$1:$F$322,MATCH(order_items!$D$1,products!$A$1:$F$1,0),FALSE)</f>
        <v>Trek Verve+ Lowstep - 2018</v>
      </c>
      <c r="E4489">
        <f>VLOOKUP($C4489,products!$A$1:$F$322,MATCH(order_items!$E$1,products!$A$1:$F$1,0),FALSE)</f>
        <v>5</v>
      </c>
      <c r="F4489" t="str">
        <f>VLOOKUP($E4489,categories!$A$1:$B$8,MATCH(order_items!$F$1,categories!$A$1:$B$1,0),FALSE)</f>
        <v>Electric Bikes</v>
      </c>
      <c r="G4489">
        <v>1</v>
      </c>
      <c r="H4489">
        <v>2299.9899999999998</v>
      </c>
      <c r="I4489" s="5">
        <v>0.2</v>
      </c>
      <c r="J4489">
        <f t="shared" si="140"/>
        <v>1839.992</v>
      </c>
      <c r="K4489" s="9">
        <f t="shared" si="141"/>
        <v>0.80381333297731938</v>
      </c>
    </row>
    <row r="4490" spans="1:11" x14ac:dyDescent="0.3">
      <c r="A4490">
        <v>1538</v>
      </c>
      <c r="B4490">
        <v>5</v>
      </c>
      <c r="C4490">
        <v>306</v>
      </c>
      <c r="D4490" t="str">
        <f>VLOOKUP($C4490,products!$A$1:$F$322,MATCH(order_items!$D$1,products!$A$1:$F$1,0),FALSE)</f>
        <v>Electra Townie Balloon 7i EQ Ladies' - 2017/2018</v>
      </c>
      <c r="E4490">
        <f>VLOOKUP($C4490,products!$A$1:$F$322,MATCH(order_items!$E$1,products!$A$1:$F$1,0),FALSE)</f>
        <v>2</v>
      </c>
      <c r="F4490" t="str">
        <f>VLOOKUP($E4490,categories!$A$1:$B$8,MATCH(order_items!$F$1,categories!$A$1:$B$1,0),FALSE)</f>
        <v>Comfort Bicycles</v>
      </c>
      <c r="G4490">
        <v>2</v>
      </c>
      <c r="H4490">
        <v>899.99</v>
      </c>
      <c r="I4490" s="5">
        <v>0.05</v>
      </c>
      <c r="J4490">
        <f t="shared" si="140"/>
        <v>1709.981</v>
      </c>
      <c r="K4490" s="9">
        <f t="shared" si="141"/>
        <v>-0.23118819683829855</v>
      </c>
    </row>
    <row r="4491" spans="1:11" x14ac:dyDescent="0.3">
      <c r="A4491">
        <v>1539</v>
      </c>
      <c r="B4491">
        <v>1</v>
      </c>
      <c r="C4491">
        <v>6</v>
      </c>
      <c r="D4491" t="str">
        <f>VLOOKUP($C4491,products!$A$1:$F$322,MATCH(order_items!$D$1,products!$A$1:$F$1,0),FALSE)</f>
        <v>Surly Ice Cream Truck Frameset - 2016</v>
      </c>
      <c r="E4491">
        <f>VLOOKUP($C4491,products!$A$1:$F$322,MATCH(order_items!$E$1,products!$A$1:$F$1,0),FALSE)</f>
        <v>6</v>
      </c>
      <c r="F4491" t="str">
        <f>VLOOKUP($E4491,categories!$A$1:$B$8,MATCH(order_items!$F$1,categories!$A$1:$B$1,0),FALSE)</f>
        <v>Mountain Bikes</v>
      </c>
      <c r="G4491">
        <v>2</v>
      </c>
      <c r="H4491">
        <v>469.99</v>
      </c>
      <c r="I4491" s="5">
        <v>0.05</v>
      </c>
      <c r="J4491">
        <f t="shared" si="140"/>
        <v>892.98099999999999</v>
      </c>
      <c r="K4491" s="9">
        <f t="shared" si="141"/>
        <v>-0.5490815238530955</v>
      </c>
    </row>
    <row r="4492" spans="1:11" x14ac:dyDescent="0.3">
      <c r="A4492">
        <v>1539</v>
      </c>
      <c r="B4492">
        <v>2</v>
      </c>
      <c r="C4492">
        <v>12</v>
      </c>
      <c r="D4492" t="str">
        <f>VLOOKUP($C4492,products!$A$1:$F$322,MATCH(order_items!$D$1,products!$A$1:$F$1,0),FALSE)</f>
        <v>Electra Townie Original 21D - 2016</v>
      </c>
      <c r="E4492">
        <f>VLOOKUP($C4492,products!$A$1:$F$322,MATCH(order_items!$E$1,products!$A$1:$F$1,0),FALSE)</f>
        <v>3</v>
      </c>
      <c r="F4492" t="str">
        <f>VLOOKUP($E4492,categories!$A$1:$B$8,MATCH(order_items!$F$1,categories!$A$1:$B$1,0),FALSE)</f>
        <v>Cruisers Bicycles</v>
      </c>
      <c r="G4492">
        <v>2</v>
      </c>
      <c r="H4492">
        <v>549.99</v>
      </c>
      <c r="I4492" s="5">
        <v>0.05</v>
      </c>
      <c r="J4492">
        <f t="shared" si="140"/>
        <v>1044.981</v>
      </c>
      <c r="K4492" s="9">
        <f t="shared" si="141"/>
        <v>-0.48993857929220308</v>
      </c>
    </row>
    <row r="4493" spans="1:11" x14ac:dyDescent="0.3">
      <c r="A4493">
        <v>1540</v>
      </c>
      <c r="B4493">
        <v>1</v>
      </c>
      <c r="C4493">
        <v>71</v>
      </c>
      <c r="D4493" t="str">
        <f>VLOOKUP($C4493,products!$A$1:$F$322,MATCH(order_items!$D$1,products!$A$1:$F$1,0),FALSE)</f>
        <v>Sun Bicycles Atlas X-Type - 2017</v>
      </c>
      <c r="E4493">
        <f>VLOOKUP($C4493,products!$A$1:$F$322,MATCH(order_items!$E$1,products!$A$1:$F$1,0),FALSE)</f>
        <v>3</v>
      </c>
      <c r="F4493" t="str">
        <f>VLOOKUP($E4493,categories!$A$1:$B$8,MATCH(order_items!$F$1,categories!$A$1:$B$1,0),FALSE)</f>
        <v>Cruisers Bicycles</v>
      </c>
      <c r="G4493">
        <v>2</v>
      </c>
      <c r="H4493">
        <v>416.99</v>
      </c>
      <c r="I4493" s="5">
        <v>0.05</v>
      </c>
      <c r="J4493">
        <f t="shared" si="140"/>
        <v>792.28099999999995</v>
      </c>
      <c r="K4493" s="9">
        <f t="shared" si="141"/>
        <v>-0.58826372462468679</v>
      </c>
    </row>
    <row r="4494" spans="1:11" x14ac:dyDescent="0.3">
      <c r="A4494">
        <v>1540</v>
      </c>
      <c r="B4494">
        <v>2</v>
      </c>
      <c r="C4494">
        <v>236</v>
      </c>
      <c r="D4494" t="str">
        <f>VLOOKUP($C4494,products!$A$1:$F$322,MATCH(order_items!$D$1,products!$A$1:$F$1,0),FALSE)</f>
        <v>Electra Morningstar 3i Ladies' - 2018</v>
      </c>
      <c r="E4494">
        <f>VLOOKUP($C4494,products!$A$1:$F$322,MATCH(order_items!$E$1,products!$A$1:$F$1,0),FALSE)</f>
        <v>3</v>
      </c>
      <c r="F4494" t="str">
        <f>VLOOKUP($E4494,categories!$A$1:$B$8,MATCH(order_items!$F$1,categories!$A$1:$B$1,0),FALSE)</f>
        <v>Cruisers Bicycles</v>
      </c>
      <c r="G4494">
        <v>1</v>
      </c>
      <c r="H4494">
        <v>749.99</v>
      </c>
      <c r="I4494" s="5">
        <v>7.0000000000000007E-2</v>
      </c>
      <c r="J4494">
        <f t="shared" si="140"/>
        <v>697.49069999999995</v>
      </c>
      <c r="K4494" s="9">
        <f t="shared" si="141"/>
        <v>-0.34208121788997192</v>
      </c>
    </row>
    <row r="4495" spans="1:11" x14ac:dyDescent="0.3">
      <c r="A4495">
        <v>1540</v>
      </c>
      <c r="B4495">
        <v>3</v>
      </c>
      <c r="C4495">
        <v>224</v>
      </c>
      <c r="D4495" t="str">
        <f>VLOOKUP($C4495,products!$A$1:$F$322,MATCH(order_items!$D$1,products!$A$1:$F$1,0),FALSE)</f>
        <v>Electra Cruiser Lux 7D - 2018</v>
      </c>
      <c r="E4495">
        <f>VLOOKUP($C4495,products!$A$1:$F$322,MATCH(order_items!$E$1,products!$A$1:$F$1,0),FALSE)</f>
        <v>3</v>
      </c>
      <c r="F4495" t="str">
        <f>VLOOKUP($E4495,categories!$A$1:$B$8,MATCH(order_items!$F$1,categories!$A$1:$B$1,0),FALSE)</f>
        <v>Cruisers Bicycles</v>
      </c>
      <c r="G4495">
        <v>1</v>
      </c>
      <c r="H4495">
        <v>479.99</v>
      </c>
      <c r="I4495" s="5">
        <v>0.05</v>
      </c>
      <c r="J4495">
        <f t="shared" si="140"/>
        <v>455.9905</v>
      </c>
      <c r="K4495" s="9">
        <f t="shared" si="141"/>
        <v>-0.54168865578298397</v>
      </c>
    </row>
    <row r="4496" spans="1:11" x14ac:dyDescent="0.3">
      <c r="A4496">
        <v>1540</v>
      </c>
      <c r="B4496">
        <v>4</v>
      </c>
      <c r="C4496">
        <v>177</v>
      </c>
      <c r="D4496" t="str">
        <f>VLOOKUP($C4496,products!$A$1:$F$322,MATCH(order_items!$D$1,products!$A$1:$F$1,0),FALSE)</f>
        <v>Trek Domane SLR 6 Disc - 2018</v>
      </c>
      <c r="E4496">
        <f>VLOOKUP($C4496,products!$A$1:$F$322,MATCH(order_items!$E$1,products!$A$1:$F$1,0),FALSE)</f>
        <v>7</v>
      </c>
      <c r="F4496" t="str">
        <f>VLOOKUP($E4496,categories!$A$1:$B$8,MATCH(order_items!$F$1,categories!$A$1:$B$1,0),FALSE)</f>
        <v>Road Bikes</v>
      </c>
      <c r="G4496">
        <v>2</v>
      </c>
      <c r="H4496">
        <v>5499.99</v>
      </c>
      <c r="I4496" s="5">
        <v>0.05</v>
      </c>
      <c r="J4496">
        <f t="shared" si="140"/>
        <v>10449.981</v>
      </c>
      <c r="K4496" s="9">
        <f t="shared" si="141"/>
        <v>3.1695311154130179</v>
      </c>
    </row>
    <row r="4497" spans="1:11" x14ac:dyDescent="0.3">
      <c r="A4497">
        <v>1540</v>
      </c>
      <c r="B4497">
        <v>5</v>
      </c>
      <c r="C4497">
        <v>78</v>
      </c>
      <c r="D4497" t="str">
        <f>VLOOKUP($C4497,products!$A$1:$F$322,MATCH(order_items!$D$1,products!$A$1:$F$1,0),FALSE)</f>
        <v>Sun Bicycles Biscayne Tandem CB - 2017</v>
      </c>
      <c r="E4497">
        <f>VLOOKUP($C4497,products!$A$1:$F$322,MATCH(order_items!$E$1,products!$A$1:$F$1,0),FALSE)</f>
        <v>3</v>
      </c>
      <c r="F4497" t="str">
        <f>VLOOKUP($E4497,categories!$A$1:$B$8,MATCH(order_items!$F$1,categories!$A$1:$B$1,0),FALSE)</f>
        <v>Cruisers Bicycles</v>
      </c>
      <c r="G4497">
        <v>1</v>
      </c>
      <c r="H4497">
        <v>647.99</v>
      </c>
      <c r="I4497" s="5">
        <v>0.2</v>
      </c>
      <c r="J4497">
        <f t="shared" si="140"/>
        <v>518.39200000000005</v>
      </c>
      <c r="K4497" s="9">
        <f t="shared" si="141"/>
        <v>-0.41748847220510982</v>
      </c>
    </row>
    <row r="4498" spans="1:11" x14ac:dyDescent="0.3">
      <c r="A4498">
        <v>1541</v>
      </c>
      <c r="B4498">
        <v>1</v>
      </c>
      <c r="C4498">
        <v>155</v>
      </c>
      <c r="D4498" t="str">
        <f>VLOOKUP($C4498,products!$A$1:$F$322,MATCH(order_items!$D$1,products!$A$1:$F$1,0),FALSE)</f>
        <v>Trek Domane SLR 9 Disc - 2018</v>
      </c>
      <c r="E4498">
        <f>VLOOKUP($C4498,products!$A$1:$F$322,MATCH(order_items!$E$1,products!$A$1:$F$1,0),FALSE)</f>
        <v>7</v>
      </c>
      <c r="F4498" t="str">
        <f>VLOOKUP($E4498,categories!$A$1:$B$8,MATCH(order_items!$F$1,categories!$A$1:$B$1,0),FALSE)</f>
        <v>Road Bikes</v>
      </c>
      <c r="G4498">
        <v>2</v>
      </c>
      <c r="H4498">
        <v>11999.99</v>
      </c>
      <c r="I4498" s="5">
        <v>0.1</v>
      </c>
      <c r="J4498">
        <f t="shared" si="140"/>
        <v>21599.982</v>
      </c>
      <c r="K4498" s="9">
        <f t="shared" si="141"/>
        <v>7.9748953609855304</v>
      </c>
    </row>
    <row r="4499" spans="1:11" x14ac:dyDescent="0.3">
      <c r="A4499">
        <v>1541</v>
      </c>
      <c r="B4499">
        <v>2</v>
      </c>
      <c r="C4499">
        <v>248</v>
      </c>
      <c r="D4499" t="str">
        <f>VLOOKUP($C4499,products!$A$1:$F$322,MATCH(order_items!$D$1,products!$A$1:$F$1,0),FALSE)</f>
        <v>Electra Townie Original 7D EQ Ladies' - 2017/2018</v>
      </c>
      <c r="E4499">
        <f>VLOOKUP($C4499,products!$A$1:$F$322,MATCH(order_items!$E$1,products!$A$1:$F$1,0),FALSE)</f>
        <v>3</v>
      </c>
      <c r="F4499" t="str">
        <f>VLOOKUP($E4499,categories!$A$1:$B$8,MATCH(order_items!$F$1,categories!$A$1:$B$1,0),FALSE)</f>
        <v>Cruisers Bicycles</v>
      </c>
      <c r="G4499">
        <v>2</v>
      </c>
      <c r="H4499">
        <v>599.99</v>
      </c>
      <c r="I4499" s="5">
        <v>7.0000000000000007E-2</v>
      </c>
      <c r="J4499">
        <f t="shared" si="140"/>
        <v>1115.9813999999999</v>
      </c>
      <c r="K4499" s="9">
        <f t="shared" si="141"/>
        <v>-0.45297423894164529</v>
      </c>
    </row>
    <row r="4500" spans="1:11" x14ac:dyDescent="0.3">
      <c r="A4500">
        <v>1541</v>
      </c>
      <c r="B4500">
        <v>3</v>
      </c>
      <c r="C4500">
        <v>142</v>
      </c>
      <c r="D4500" t="str">
        <f>VLOOKUP($C4500,products!$A$1:$F$322,MATCH(order_items!$D$1,products!$A$1:$F$1,0),FALSE)</f>
        <v>Trek Fuel EX 8 29 XT - 2018</v>
      </c>
      <c r="E4500">
        <f>VLOOKUP($C4500,products!$A$1:$F$322,MATCH(order_items!$E$1,products!$A$1:$F$1,0),FALSE)</f>
        <v>6</v>
      </c>
      <c r="F4500" t="str">
        <f>VLOOKUP($E4500,categories!$A$1:$B$8,MATCH(order_items!$F$1,categories!$A$1:$B$1,0),FALSE)</f>
        <v>Mountain Bikes</v>
      </c>
      <c r="G4500">
        <v>2</v>
      </c>
      <c r="H4500">
        <v>3199.99</v>
      </c>
      <c r="I4500" s="5">
        <v>0.1</v>
      </c>
      <c r="J4500">
        <f t="shared" si="140"/>
        <v>5759.982</v>
      </c>
      <c r="K4500" s="9">
        <f t="shared" si="141"/>
        <v>1.4691714592873595</v>
      </c>
    </row>
    <row r="4501" spans="1:11" x14ac:dyDescent="0.3">
      <c r="A4501">
        <v>1541</v>
      </c>
      <c r="B4501">
        <v>4</v>
      </c>
      <c r="C4501">
        <v>17</v>
      </c>
      <c r="D4501" t="str">
        <f>VLOOKUP($C4501,products!$A$1:$F$322,MATCH(order_items!$D$1,products!$A$1:$F$1,0),FALSE)</f>
        <v>Pure Cycles Vine 8-Speed - 2016</v>
      </c>
      <c r="E4501">
        <f>VLOOKUP($C4501,products!$A$1:$F$322,MATCH(order_items!$E$1,products!$A$1:$F$1,0),FALSE)</f>
        <v>3</v>
      </c>
      <c r="F4501" t="str">
        <f>VLOOKUP($E4501,categories!$A$1:$B$8,MATCH(order_items!$F$1,categories!$A$1:$B$1,0),FALSE)</f>
        <v>Cruisers Bicycles</v>
      </c>
      <c r="G4501">
        <v>1</v>
      </c>
      <c r="H4501">
        <v>429</v>
      </c>
      <c r="I4501" s="5">
        <v>0.1</v>
      </c>
      <c r="J4501">
        <f t="shared" si="140"/>
        <v>386.1</v>
      </c>
      <c r="K4501" s="9">
        <f t="shared" si="141"/>
        <v>-0.57938489007248284</v>
      </c>
    </row>
    <row r="4502" spans="1:11" x14ac:dyDescent="0.3">
      <c r="A4502">
        <v>1541</v>
      </c>
      <c r="B4502">
        <v>5</v>
      </c>
      <c r="C4502">
        <v>86</v>
      </c>
      <c r="D4502" t="str">
        <f>VLOOKUP($C4502,products!$A$1:$F$322,MATCH(order_items!$D$1,products!$A$1:$F$1,0),FALSE)</f>
        <v>Trek Girl's Kickster - 2017</v>
      </c>
      <c r="E4502">
        <f>VLOOKUP($C4502,products!$A$1:$F$322,MATCH(order_items!$E$1,products!$A$1:$F$1,0),FALSE)</f>
        <v>1</v>
      </c>
      <c r="F4502" t="str">
        <f>VLOOKUP($E4502,categories!$A$1:$B$8,MATCH(order_items!$F$1,categories!$A$1:$B$1,0),FALSE)</f>
        <v>Children Bicycles</v>
      </c>
      <c r="G4502">
        <v>2</v>
      </c>
      <c r="H4502">
        <v>149.99</v>
      </c>
      <c r="I4502" s="5">
        <v>0.05</v>
      </c>
      <c r="J4502">
        <f t="shared" si="140"/>
        <v>284.98099999999999</v>
      </c>
      <c r="K4502" s="9">
        <f t="shared" si="141"/>
        <v>-0.7856533020966654</v>
      </c>
    </row>
    <row r="4503" spans="1:11" x14ac:dyDescent="0.3">
      <c r="A4503">
        <v>1542</v>
      </c>
      <c r="B4503">
        <v>1</v>
      </c>
      <c r="C4503">
        <v>79</v>
      </c>
      <c r="D4503" t="str">
        <f>VLOOKUP($C4503,products!$A$1:$F$322,MATCH(order_items!$D$1,products!$A$1:$F$1,0),FALSE)</f>
        <v>Sun Bicycles Boardwalk (24-inch Wheels) - 2017</v>
      </c>
      <c r="E4503">
        <f>VLOOKUP($C4503,products!$A$1:$F$322,MATCH(order_items!$E$1,products!$A$1:$F$1,0),FALSE)</f>
        <v>3</v>
      </c>
      <c r="F4503" t="str">
        <f>VLOOKUP($E4503,categories!$A$1:$B$8,MATCH(order_items!$F$1,categories!$A$1:$B$1,0),FALSE)</f>
        <v>Cruisers Bicycles</v>
      </c>
      <c r="G4503">
        <v>1</v>
      </c>
      <c r="H4503">
        <v>402.99</v>
      </c>
      <c r="I4503" s="5">
        <v>0.2</v>
      </c>
      <c r="J4503">
        <f t="shared" si="140"/>
        <v>322.39200000000005</v>
      </c>
      <c r="K4503" s="9">
        <f t="shared" si="141"/>
        <v>-0.59861373992284295</v>
      </c>
    </row>
    <row r="4504" spans="1:11" x14ac:dyDescent="0.3">
      <c r="A4504">
        <v>1542</v>
      </c>
      <c r="B4504">
        <v>2</v>
      </c>
      <c r="C4504">
        <v>122</v>
      </c>
      <c r="D4504" t="str">
        <f>VLOOKUP($C4504,products!$A$1:$F$322,MATCH(order_items!$D$1,products!$A$1:$F$1,0),FALSE)</f>
        <v>Surly Troll Frameset - 2018</v>
      </c>
      <c r="E4504">
        <f>VLOOKUP($C4504,products!$A$1:$F$322,MATCH(order_items!$E$1,products!$A$1:$F$1,0),FALSE)</f>
        <v>6</v>
      </c>
      <c r="F4504" t="str">
        <f>VLOOKUP($E4504,categories!$A$1:$B$8,MATCH(order_items!$F$1,categories!$A$1:$B$1,0),FALSE)</f>
        <v>Mountain Bikes</v>
      </c>
      <c r="G4504">
        <v>2</v>
      </c>
      <c r="H4504">
        <v>2499.9899999999998</v>
      </c>
      <c r="I4504" s="5">
        <v>0.05</v>
      </c>
      <c r="J4504">
        <f t="shared" si="140"/>
        <v>4749.9809999999998</v>
      </c>
      <c r="K4504" s="9">
        <f t="shared" si="141"/>
        <v>0.95167069437955054</v>
      </c>
    </row>
    <row r="4505" spans="1:11" x14ac:dyDescent="0.3">
      <c r="A4505">
        <v>1542</v>
      </c>
      <c r="B4505">
        <v>3</v>
      </c>
      <c r="C4505">
        <v>184</v>
      </c>
      <c r="D4505" t="str">
        <f>VLOOKUP($C4505,products!$A$1:$F$322,MATCH(order_items!$D$1,products!$A$1:$F$1,0),FALSE)</f>
        <v>Trek Domane SL 6 Disc - 2018</v>
      </c>
      <c r="E4505">
        <f>VLOOKUP($C4505,products!$A$1:$F$322,MATCH(order_items!$E$1,products!$A$1:$F$1,0),FALSE)</f>
        <v>7</v>
      </c>
      <c r="F4505" t="str">
        <f>VLOOKUP($E4505,categories!$A$1:$B$8,MATCH(order_items!$F$1,categories!$A$1:$B$1,0),FALSE)</f>
        <v>Road Bikes</v>
      </c>
      <c r="G4505">
        <v>2</v>
      </c>
      <c r="H4505">
        <v>3499.99</v>
      </c>
      <c r="I4505" s="5">
        <v>0.2</v>
      </c>
      <c r="J4505">
        <f t="shared" si="140"/>
        <v>5599.9840000000004</v>
      </c>
      <c r="K4505" s="9">
        <f t="shared" si="141"/>
        <v>1.6909575013907066</v>
      </c>
    </row>
    <row r="4506" spans="1:11" x14ac:dyDescent="0.3">
      <c r="A4506">
        <v>1542</v>
      </c>
      <c r="B4506">
        <v>4</v>
      </c>
      <c r="C4506">
        <v>37</v>
      </c>
      <c r="D4506" t="str">
        <f>VLOOKUP($C4506,products!$A$1:$F$322,MATCH(order_items!$D$1,products!$A$1:$F$1,0),FALSE)</f>
        <v>Haro Flightline One ST - 2017</v>
      </c>
      <c r="E4506">
        <f>VLOOKUP($C4506,products!$A$1:$F$322,MATCH(order_items!$E$1,products!$A$1:$F$1,0),FALSE)</f>
        <v>6</v>
      </c>
      <c r="F4506" t="str">
        <f>VLOOKUP($E4506,categories!$A$1:$B$8,MATCH(order_items!$F$1,categories!$A$1:$B$1,0),FALSE)</f>
        <v>Mountain Bikes</v>
      </c>
      <c r="G4506">
        <v>2</v>
      </c>
      <c r="H4506">
        <v>379.99</v>
      </c>
      <c r="I4506" s="5">
        <v>0.1</v>
      </c>
      <c r="J4506">
        <f t="shared" si="140"/>
        <v>683.98200000000008</v>
      </c>
      <c r="K4506" s="9">
        <f t="shared" si="141"/>
        <v>-0.61561733648409955</v>
      </c>
    </row>
    <row r="4507" spans="1:11" x14ac:dyDescent="0.3">
      <c r="A4507">
        <v>1542</v>
      </c>
      <c r="B4507">
        <v>5</v>
      </c>
      <c r="C4507">
        <v>297</v>
      </c>
      <c r="D4507" t="str">
        <f>VLOOKUP($C4507,products!$A$1:$F$322,MATCH(order_items!$D$1,products!$A$1:$F$1,0),FALSE)</f>
        <v>Electra Under-The-Sea 1 16" - 2018</v>
      </c>
      <c r="E4507">
        <f>VLOOKUP($C4507,products!$A$1:$F$322,MATCH(order_items!$E$1,products!$A$1:$F$1,0),FALSE)</f>
        <v>1</v>
      </c>
      <c r="F4507" t="str">
        <f>VLOOKUP($E4507,categories!$A$1:$B$8,MATCH(order_items!$F$1,categories!$A$1:$B$1,0),FALSE)</f>
        <v>Children Bicycles</v>
      </c>
      <c r="G4507">
        <v>1</v>
      </c>
      <c r="H4507">
        <v>279.99</v>
      </c>
      <c r="I4507" s="5">
        <v>0.2</v>
      </c>
      <c r="J4507">
        <f t="shared" si="140"/>
        <v>223.99200000000002</v>
      </c>
      <c r="K4507" s="9">
        <f t="shared" si="141"/>
        <v>-0.68954601718521513</v>
      </c>
    </row>
    <row r="4508" spans="1:11" x14ac:dyDescent="0.3">
      <c r="A4508">
        <v>1543</v>
      </c>
      <c r="B4508">
        <v>1</v>
      </c>
      <c r="C4508">
        <v>108</v>
      </c>
      <c r="D4508" t="str">
        <f>VLOOKUP($C4508,products!$A$1:$F$322,MATCH(order_items!$D$1,products!$A$1:$F$1,0),FALSE)</f>
        <v>Sun Bicycles Cruz 3 - Women's - 2017</v>
      </c>
      <c r="E4508">
        <f>VLOOKUP($C4508,products!$A$1:$F$322,MATCH(order_items!$E$1,products!$A$1:$F$1,0),FALSE)</f>
        <v>2</v>
      </c>
      <c r="F4508" t="str">
        <f>VLOOKUP($E4508,categories!$A$1:$B$8,MATCH(order_items!$F$1,categories!$A$1:$B$1,0),FALSE)</f>
        <v>Comfort Bicycles</v>
      </c>
      <c r="G4508">
        <v>2</v>
      </c>
      <c r="H4508">
        <v>449.99</v>
      </c>
      <c r="I4508" s="5">
        <v>0.1</v>
      </c>
      <c r="J4508">
        <f t="shared" si="140"/>
        <v>809.98200000000008</v>
      </c>
      <c r="K4508" s="9">
        <f t="shared" si="141"/>
        <v>-0.56386725999331866</v>
      </c>
    </row>
    <row r="4509" spans="1:11" x14ac:dyDescent="0.3">
      <c r="A4509">
        <v>1543</v>
      </c>
      <c r="B4509">
        <v>2</v>
      </c>
      <c r="C4509">
        <v>93</v>
      </c>
      <c r="D4509" t="str">
        <f>VLOOKUP($C4509,products!$A$1:$F$322,MATCH(order_items!$D$1,products!$A$1:$F$1,0),FALSE)</f>
        <v>Haro Shredder 20 Girls - 2017</v>
      </c>
      <c r="E4509">
        <f>VLOOKUP($C4509,products!$A$1:$F$322,MATCH(order_items!$E$1,products!$A$1:$F$1,0),FALSE)</f>
        <v>1</v>
      </c>
      <c r="F4509" t="str">
        <f>VLOOKUP($E4509,categories!$A$1:$B$8,MATCH(order_items!$F$1,categories!$A$1:$B$1,0),FALSE)</f>
        <v>Children Bicycles</v>
      </c>
      <c r="G4509">
        <v>1</v>
      </c>
      <c r="H4509">
        <v>209.99</v>
      </c>
      <c r="I4509" s="5">
        <v>0.2</v>
      </c>
      <c r="J4509">
        <f t="shared" si="140"/>
        <v>167.99200000000002</v>
      </c>
      <c r="K4509" s="9">
        <f t="shared" si="141"/>
        <v>-0.74129609367599603</v>
      </c>
    </row>
    <row r="4510" spans="1:11" x14ac:dyDescent="0.3">
      <c r="A4510">
        <v>1543</v>
      </c>
      <c r="B4510">
        <v>3</v>
      </c>
      <c r="C4510">
        <v>158</v>
      </c>
      <c r="D4510" t="str">
        <f>VLOOKUP($C4510,products!$A$1:$F$322,MATCH(order_items!$D$1,products!$A$1:$F$1,0),FALSE)</f>
        <v>Trek CrossRip 1 - 2018</v>
      </c>
      <c r="E4510">
        <f>VLOOKUP($C4510,products!$A$1:$F$322,MATCH(order_items!$E$1,products!$A$1:$F$1,0),FALSE)</f>
        <v>7</v>
      </c>
      <c r="F4510" t="str">
        <f>VLOOKUP($E4510,categories!$A$1:$B$8,MATCH(order_items!$F$1,categories!$A$1:$B$1,0),FALSE)</f>
        <v>Road Bikes</v>
      </c>
      <c r="G4510">
        <v>2</v>
      </c>
      <c r="H4510">
        <v>959.99</v>
      </c>
      <c r="I4510" s="5">
        <v>7.0000000000000007E-2</v>
      </c>
      <c r="J4510">
        <f t="shared" si="140"/>
        <v>1785.5813999999998</v>
      </c>
      <c r="K4510" s="9">
        <f t="shared" si="141"/>
        <v>-0.18683098841762921</v>
      </c>
    </row>
    <row r="4511" spans="1:11" x14ac:dyDescent="0.3">
      <c r="A4511">
        <v>1543</v>
      </c>
      <c r="B4511">
        <v>4</v>
      </c>
      <c r="C4511">
        <v>97</v>
      </c>
      <c r="D4511" t="str">
        <f>VLOOKUP($C4511,products!$A$1:$F$322,MATCH(order_items!$D$1,products!$A$1:$F$1,0),FALSE)</f>
        <v>Electra Savannah 3i (20-inch) - Girl's - 2017</v>
      </c>
      <c r="E4511">
        <f>VLOOKUP($C4511,products!$A$1:$F$322,MATCH(order_items!$E$1,products!$A$1:$F$1,0),FALSE)</f>
        <v>1</v>
      </c>
      <c r="F4511" t="str">
        <f>VLOOKUP($E4511,categories!$A$1:$B$8,MATCH(order_items!$F$1,categories!$A$1:$B$1,0),FALSE)</f>
        <v>Children Bicycles</v>
      </c>
      <c r="G4511">
        <v>2</v>
      </c>
      <c r="H4511">
        <v>349.99</v>
      </c>
      <c r="I4511" s="5">
        <v>0.05</v>
      </c>
      <c r="J4511">
        <f t="shared" si="140"/>
        <v>664.98099999999999</v>
      </c>
      <c r="K4511" s="9">
        <f t="shared" si="141"/>
        <v>-0.63779594069443424</v>
      </c>
    </row>
    <row r="4512" spans="1:11" x14ac:dyDescent="0.3">
      <c r="A4512">
        <v>1543</v>
      </c>
      <c r="B4512">
        <v>5</v>
      </c>
      <c r="C4512">
        <v>136</v>
      </c>
      <c r="D4512" t="str">
        <f>VLOOKUP($C4512,products!$A$1:$F$322,MATCH(order_items!$D$1,products!$A$1:$F$1,0),FALSE)</f>
        <v>Trek Procaliber 6 - 2018</v>
      </c>
      <c r="E4512">
        <f>VLOOKUP($C4512,products!$A$1:$F$322,MATCH(order_items!$E$1,products!$A$1:$F$1,0),FALSE)</f>
        <v>6</v>
      </c>
      <c r="F4512" t="str">
        <f>VLOOKUP($E4512,categories!$A$1:$B$8,MATCH(order_items!$F$1,categories!$A$1:$B$1,0),FALSE)</f>
        <v>Mountain Bikes</v>
      </c>
      <c r="G4512">
        <v>1</v>
      </c>
      <c r="H4512">
        <v>1799.99</v>
      </c>
      <c r="I4512" s="5">
        <v>0.2</v>
      </c>
      <c r="J4512">
        <f t="shared" si="140"/>
        <v>1439.9920000000002</v>
      </c>
      <c r="K4512" s="9">
        <f t="shared" si="141"/>
        <v>0.43416992947174166</v>
      </c>
    </row>
    <row r="4513" spans="1:11" x14ac:dyDescent="0.3">
      <c r="A4513">
        <v>1544</v>
      </c>
      <c r="B4513">
        <v>1</v>
      </c>
      <c r="C4513">
        <v>194</v>
      </c>
      <c r="D4513" t="str">
        <f>VLOOKUP($C4513,products!$A$1:$F$322,MATCH(order_items!$D$1,products!$A$1:$F$1,0),FALSE)</f>
        <v>Trek XM700+ - 2018</v>
      </c>
      <c r="E4513">
        <f>VLOOKUP($C4513,products!$A$1:$F$322,MATCH(order_items!$E$1,products!$A$1:$F$1,0),FALSE)</f>
        <v>5</v>
      </c>
      <c r="F4513" t="str">
        <f>VLOOKUP($E4513,categories!$A$1:$B$8,MATCH(order_items!$F$1,categories!$A$1:$B$1,0),FALSE)</f>
        <v>Electric Bikes</v>
      </c>
      <c r="G4513">
        <v>2</v>
      </c>
      <c r="H4513">
        <v>3499.99</v>
      </c>
      <c r="I4513" s="5">
        <v>0.1</v>
      </c>
      <c r="J4513">
        <f t="shared" si="140"/>
        <v>6299.982</v>
      </c>
      <c r="K4513" s="9">
        <f t="shared" si="141"/>
        <v>1.6909575013907066</v>
      </c>
    </row>
    <row r="4514" spans="1:11" x14ac:dyDescent="0.3">
      <c r="A4514">
        <v>1544</v>
      </c>
      <c r="B4514">
        <v>2</v>
      </c>
      <c r="C4514">
        <v>107</v>
      </c>
      <c r="D4514" t="str">
        <f>VLOOKUP($C4514,products!$A$1:$F$322,MATCH(order_items!$D$1,products!$A$1:$F$1,0),FALSE)</f>
        <v>Sun Bicycles Cruz 7 - 2017</v>
      </c>
      <c r="E4514">
        <f>VLOOKUP($C4514,products!$A$1:$F$322,MATCH(order_items!$E$1,products!$A$1:$F$1,0),FALSE)</f>
        <v>2</v>
      </c>
      <c r="F4514" t="str">
        <f>VLOOKUP($E4514,categories!$A$1:$B$8,MATCH(order_items!$F$1,categories!$A$1:$B$1,0),FALSE)</f>
        <v>Comfort Bicycles</v>
      </c>
      <c r="G4514">
        <v>2</v>
      </c>
      <c r="H4514">
        <v>416.99</v>
      </c>
      <c r="I4514" s="5">
        <v>0.2</v>
      </c>
      <c r="J4514">
        <f t="shared" si="140"/>
        <v>667.18400000000008</v>
      </c>
      <c r="K4514" s="9">
        <f t="shared" si="141"/>
        <v>-0.58826372462468679</v>
      </c>
    </row>
    <row r="4515" spans="1:11" x14ac:dyDescent="0.3">
      <c r="A4515">
        <v>1545</v>
      </c>
      <c r="B4515">
        <v>1</v>
      </c>
      <c r="C4515">
        <v>45</v>
      </c>
      <c r="D4515" t="str">
        <f>VLOOKUP($C4515,products!$A$1:$F$322,MATCH(order_items!$D$1,products!$A$1:$F$1,0),FALSE)</f>
        <v>Haro SR 1.2 - 2017</v>
      </c>
      <c r="E4515">
        <f>VLOOKUP($C4515,products!$A$1:$F$322,MATCH(order_items!$E$1,products!$A$1:$F$1,0),FALSE)</f>
        <v>6</v>
      </c>
      <c r="F4515" t="str">
        <f>VLOOKUP($E4515,categories!$A$1:$B$8,MATCH(order_items!$F$1,categories!$A$1:$B$1,0),FALSE)</f>
        <v>Mountain Bikes</v>
      </c>
      <c r="G4515">
        <v>1</v>
      </c>
      <c r="H4515">
        <v>869.99</v>
      </c>
      <c r="I4515" s="5">
        <v>0.1</v>
      </c>
      <c r="J4515">
        <f t="shared" si="140"/>
        <v>782.99099999999999</v>
      </c>
      <c r="K4515" s="9">
        <f t="shared" si="141"/>
        <v>-0.25336680104863324</v>
      </c>
    </row>
    <row r="4516" spans="1:11" x14ac:dyDescent="0.3">
      <c r="A4516">
        <v>1546</v>
      </c>
      <c r="B4516">
        <v>1</v>
      </c>
      <c r="C4516">
        <v>156</v>
      </c>
      <c r="D4516" t="str">
        <f>VLOOKUP($C4516,products!$A$1:$F$322,MATCH(order_items!$D$1,products!$A$1:$F$1,0),FALSE)</f>
        <v>Trek Domane SL Frameset - 2018</v>
      </c>
      <c r="E4516">
        <f>VLOOKUP($C4516,products!$A$1:$F$322,MATCH(order_items!$E$1,products!$A$1:$F$1,0),FALSE)</f>
        <v>7</v>
      </c>
      <c r="F4516" t="str">
        <f>VLOOKUP($E4516,categories!$A$1:$B$8,MATCH(order_items!$F$1,categories!$A$1:$B$1,0),FALSE)</f>
        <v>Road Bikes</v>
      </c>
      <c r="G4516">
        <v>1</v>
      </c>
      <c r="H4516">
        <v>6499.99</v>
      </c>
      <c r="I4516" s="5">
        <v>0.1</v>
      </c>
      <c r="J4516">
        <f t="shared" si="140"/>
        <v>5849.991</v>
      </c>
      <c r="K4516" s="9">
        <f t="shared" si="141"/>
        <v>3.9088179224241739</v>
      </c>
    </row>
    <row r="4517" spans="1:11" x14ac:dyDescent="0.3">
      <c r="A4517">
        <v>1546</v>
      </c>
      <c r="B4517">
        <v>2</v>
      </c>
      <c r="C4517">
        <v>185</v>
      </c>
      <c r="D4517" t="str">
        <f>VLOOKUP($C4517,products!$A$1:$F$322,MATCH(order_items!$D$1,products!$A$1:$F$1,0),FALSE)</f>
        <v>Trek Conduit+ - 2018</v>
      </c>
      <c r="E4517">
        <f>VLOOKUP($C4517,products!$A$1:$F$322,MATCH(order_items!$E$1,products!$A$1:$F$1,0),FALSE)</f>
        <v>5</v>
      </c>
      <c r="F4517" t="str">
        <f>VLOOKUP($E4517,categories!$A$1:$B$8,MATCH(order_items!$F$1,categories!$A$1:$B$1,0),FALSE)</f>
        <v>Electric Bikes</v>
      </c>
      <c r="G4517">
        <v>2</v>
      </c>
      <c r="H4517">
        <v>2799.99</v>
      </c>
      <c r="I4517" s="5">
        <v>0.1</v>
      </c>
      <c r="J4517">
        <f t="shared" si="140"/>
        <v>5039.982</v>
      </c>
      <c r="K4517" s="9">
        <f t="shared" si="141"/>
        <v>1.1734567364828972</v>
      </c>
    </row>
    <row r="4518" spans="1:11" x14ac:dyDescent="0.3">
      <c r="A4518">
        <v>1546</v>
      </c>
      <c r="B4518">
        <v>3</v>
      </c>
      <c r="C4518">
        <v>215</v>
      </c>
      <c r="D4518" t="str">
        <f>VLOOKUP($C4518,products!$A$1:$F$322,MATCH(order_items!$D$1,products!$A$1:$F$1,0),FALSE)</f>
        <v>Electra Queen of Hearts 3i - 2018</v>
      </c>
      <c r="E4518">
        <f>VLOOKUP($C4518,products!$A$1:$F$322,MATCH(order_items!$E$1,products!$A$1:$F$1,0),FALSE)</f>
        <v>3</v>
      </c>
      <c r="F4518" t="str">
        <f>VLOOKUP($E4518,categories!$A$1:$B$8,MATCH(order_items!$F$1,categories!$A$1:$B$1,0),FALSE)</f>
        <v>Cruisers Bicycles</v>
      </c>
      <c r="G4518">
        <v>1</v>
      </c>
      <c r="H4518">
        <v>749.99</v>
      </c>
      <c r="I4518" s="5">
        <v>0.1</v>
      </c>
      <c r="J4518">
        <f t="shared" si="140"/>
        <v>674.99099999999999</v>
      </c>
      <c r="K4518" s="9">
        <f t="shared" si="141"/>
        <v>-0.34208121788997192</v>
      </c>
    </row>
    <row r="4519" spans="1:11" x14ac:dyDescent="0.3">
      <c r="A4519">
        <v>1546</v>
      </c>
      <c r="B4519">
        <v>4</v>
      </c>
      <c r="C4519">
        <v>25</v>
      </c>
      <c r="D4519" t="str">
        <f>VLOOKUP($C4519,products!$A$1:$F$322,MATCH(order_items!$D$1,products!$A$1:$F$1,0),FALSE)</f>
        <v>Electra Townie Original 7D - 2015/2016</v>
      </c>
      <c r="E4519">
        <f>VLOOKUP($C4519,products!$A$1:$F$322,MATCH(order_items!$E$1,products!$A$1:$F$1,0),FALSE)</f>
        <v>2</v>
      </c>
      <c r="F4519" t="str">
        <f>VLOOKUP($E4519,categories!$A$1:$B$8,MATCH(order_items!$F$1,categories!$A$1:$B$1,0),FALSE)</f>
        <v>Comfort Bicycles</v>
      </c>
      <c r="G4519">
        <v>1</v>
      </c>
      <c r="H4519">
        <v>499.99</v>
      </c>
      <c r="I4519" s="5">
        <v>0.05</v>
      </c>
      <c r="J4519">
        <f t="shared" si="140"/>
        <v>474.9905</v>
      </c>
      <c r="K4519" s="9">
        <f t="shared" si="141"/>
        <v>-0.52690291964276081</v>
      </c>
    </row>
    <row r="4520" spans="1:11" x14ac:dyDescent="0.3">
      <c r="A4520">
        <v>1547</v>
      </c>
      <c r="B4520">
        <v>1</v>
      </c>
      <c r="C4520">
        <v>106</v>
      </c>
      <c r="D4520" t="str">
        <f>VLOOKUP($C4520,products!$A$1:$F$322,MATCH(order_items!$D$1,products!$A$1:$F$1,0),FALSE)</f>
        <v>Sun Bicycles Cruz 3 - 2017</v>
      </c>
      <c r="E4520">
        <f>VLOOKUP($C4520,products!$A$1:$F$322,MATCH(order_items!$E$1,products!$A$1:$F$1,0),FALSE)</f>
        <v>2</v>
      </c>
      <c r="F4520" t="str">
        <f>VLOOKUP($E4520,categories!$A$1:$B$8,MATCH(order_items!$F$1,categories!$A$1:$B$1,0),FALSE)</f>
        <v>Comfort Bicycles</v>
      </c>
      <c r="G4520">
        <v>2</v>
      </c>
      <c r="H4520">
        <v>449.99</v>
      </c>
      <c r="I4520" s="5">
        <v>0.2</v>
      </c>
      <c r="J4520">
        <f t="shared" si="140"/>
        <v>719.98400000000004</v>
      </c>
      <c r="K4520" s="9">
        <f t="shared" si="141"/>
        <v>-0.56386725999331866</v>
      </c>
    </row>
    <row r="4521" spans="1:11" x14ac:dyDescent="0.3">
      <c r="A4521">
        <v>1547</v>
      </c>
      <c r="B4521">
        <v>2</v>
      </c>
      <c r="C4521">
        <v>204</v>
      </c>
      <c r="D4521" t="str">
        <f>VLOOKUP($C4521,products!$A$1:$F$322,MATCH(order_items!$D$1,products!$A$1:$F$1,0),FALSE)</f>
        <v>Trek Super Commuter+ 7 - 2018</v>
      </c>
      <c r="E4521">
        <f>VLOOKUP($C4521,products!$A$1:$F$322,MATCH(order_items!$E$1,products!$A$1:$F$1,0),FALSE)</f>
        <v>5</v>
      </c>
      <c r="F4521" t="str">
        <f>VLOOKUP($E4521,categories!$A$1:$B$8,MATCH(order_items!$F$1,categories!$A$1:$B$1,0),FALSE)</f>
        <v>Electric Bikes</v>
      </c>
      <c r="G4521">
        <v>1</v>
      </c>
      <c r="H4521">
        <v>3599.99</v>
      </c>
      <c r="I4521" s="5">
        <v>0.2</v>
      </c>
      <c r="J4521">
        <f t="shared" si="140"/>
        <v>2879.9920000000002</v>
      </c>
      <c r="K4521" s="9">
        <f t="shared" si="141"/>
        <v>1.764886182091822</v>
      </c>
    </row>
    <row r="4522" spans="1:11" x14ac:dyDescent="0.3">
      <c r="A4522">
        <v>1548</v>
      </c>
      <c r="B4522">
        <v>1</v>
      </c>
      <c r="C4522">
        <v>32</v>
      </c>
      <c r="D4522" t="str">
        <f>VLOOKUP($C4522,products!$A$1:$F$322,MATCH(order_items!$D$1,products!$A$1:$F$1,0),FALSE)</f>
        <v>Trek Farley Alloy Frameset - 2017</v>
      </c>
      <c r="E4522">
        <f>VLOOKUP($C4522,products!$A$1:$F$322,MATCH(order_items!$E$1,products!$A$1:$F$1,0),FALSE)</f>
        <v>6</v>
      </c>
      <c r="F4522" t="str">
        <f>VLOOKUP($E4522,categories!$A$1:$B$8,MATCH(order_items!$F$1,categories!$A$1:$B$1,0),FALSE)</f>
        <v>Mountain Bikes</v>
      </c>
      <c r="G4522">
        <v>1</v>
      </c>
      <c r="H4522">
        <v>469.99</v>
      </c>
      <c r="I4522" s="5">
        <v>0.1</v>
      </c>
      <c r="J4522">
        <f t="shared" si="140"/>
        <v>422.99100000000004</v>
      </c>
      <c r="K4522" s="9">
        <f t="shared" si="141"/>
        <v>-0.5490815238530955</v>
      </c>
    </row>
    <row r="4523" spans="1:11" x14ac:dyDescent="0.3">
      <c r="A4523">
        <v>1548</v>
      </c>
      <c r="B4523">
        <v>2</v>
      </c>
      <c r="C4523">
        <v>202</v>
      </c>
      <c r="D4523" t="str">
        <f>VLOOKUP($C4523,products!$A$1:$F$322,MATCH(order_items!$D$1,products!$A$1:$F$1,0),FALSE)</f>
        <v>Trek Powerfly 5 Women's - 2018</v>
      </c>
      <c r="E4523">
        <f>VLOOKUP($C4523,products!$A$1:$F$322,MATCH(order_items!$E$1,products!$A$1:$F$1,0),FALSE)</f>
        <v>5</v>
      </c>
      <c r="F4523" t="str">
        <f>VLOOKUP($E4523,categories!$A$1:$B$8,MATCH(order_items!$F$1,categories!$A$1:$B$1,0),FALSE)</f>
        <v>Electric Bikes</v>
      </c>
      <c r="G4523">
        <v>1</v>
      </c>
      <c r="H4523">
        <v>3499.99</v>
      </c>
      <c r="I4523" s="5">
        <v>7.0000000000000007E-2</v>
      </c>
      <c r="J4523">
        <f t="shared" si="140"/>
        <v>3254.9906999999994</v>
      </c>
      <c r="K4523" s="9">
        <f t="shared" si="141"/>
        <v>1.6909575013907066</v>
      </c>
    </row>
    <row r="4524" spans="1:11" x14ac:dyDescent="0.3">
      <c r="A4524">
        <v>1548</v>
      </c>
      <c r="B4524">
        <v>3</v>
      </c>
      <c r="C4524">
        <v>62</v>
      </c>
      <c r="D4524" t="str">
        <f>VLOOKUP($C4524,products!$A$1:$F$322,MATCH(order_items!$D$1,products!$A$1:$F$1,0),FALSE)</f>
        <v>Trek Boone 7 - 2017</v>
      </c>
      <c r="E4524">
        <f>VLOOKUP($C4524,products!$A$1:$F$322,MATCH(order_items!$E$1,products!$A$1:$F$1,0),FALSE)</f>
        <v>4</v>
      </c>
      <c r="F4524" t="str">
        <f>VLOOKUP($E4524,categories!$A$1:$B$8,MATCH(order_items!$F$1,categories!$A$1:$B$1,0),FALSE)</f>
        <v>Cyclocross Bicycles</v>
      </c>
      <c r="G4524">
        <v>2</v>
      </c>
      <c r="H4524">
        <v>3499.99</v>
      </c>
      <c r="I4524" s="5">
        <v>0.2</v>
      </c>
      <c r="J4524">
        <f t="shared" si="140"/>
        <v>5599.9840000000004</v>
      </c>
      <c r="K4524" s="9">
        <f t="shared" si="141"/>
        <v>1.6909575013907066</v>
      </c>
    </row>
    <row r="4525" spans="1:11" x14ac:dyDescent="0.3">
      <c r="A4525">
        <v>1549</v>
      </c>
      <c r="B4525">
        <v>1</v>
      </c>
      <c r="C4525">
        <v>158</v>
      </c>
      <c r="D4525" t="str">
        <f>VLOOKUP($C4525,products!$A$1:$F$322,MATCH(order_items!$D$1,products!$A$1:$F$1,0),FALSE)</f>
        <v>Trek CrossRip 1 - 2018</v>
      </c>
      <c r="E4525">
        <f>VLOOKUP($C4525,products!$A$1:$F$322,MATCH(order_items!$E$1,products!$A$1:$F$1,0),FALSE)</f>
        <v>7</v>
      </c>
      <c r="F4525" t="str">
        <f>VLOOKUP($E4525,categories!$A$1:$B$8,MATCH(order_items!$F$1,categories!$A$1:$B$1,0),FALSE)</f>
        <v>Road Bikes</v>
      </c>
      <c r="G4525">
        <v>1</v>
      </c>
      <c r="H4525">
        <v>959.99</v>
      </c>
      <c r="I4525" s="5">
        <v>0.2</v>
      </c>
      <c r="J4525">
        <f t="shared" si="140"/>
        <v>767.99200000000008</v>
      </c>
      <c r="K4525" s="9">
        <f t="shared" si="141"/>
        <v>-0.18683098841762921</v>
      </c>
    </row>
    <row r="4526" spans="1:11" x14ac:dyDescent="0.3">
      <c r="A4526">
        <v>1549</v>
      </c>
      <c r="B4526">
        <v>2</v>
      </c>
      <c r="C4526">
        <v>119</v>
      </c>
      <c r="D4526" t="str">
        <f>VLOOKUP($C4526,products!$A$1:$F$322,MATCH(order_items!$D$1,products!$A$1:$F$1,0),FALSE)</f>
        <v>Trek Kids' Neko - 2018</v>
      </c>
      <c r="E4526">
        <f>VLOOKUP($C4526,products!$A$1:$F$322,MATCH(order_items!$E$1,products!$A$1:$F$1,0),FALSE)</f>
        <v>6</v>
      </c>
      <c r="F4526" t="str">
        <f>VLOOKUP($E4526,categories!$A$1:$B$8,MATCH(order_items!$F$1,categories!$A$1:$B$1,0),FALSE)</f>
        <v>Mountain Bikes</v>
      </c>
      <c r="G4526">
        <v>1</v>
      </c>
      <c r="H4526">
        <v>469.99</v>
      </c>
      <c r="I4526" s="5">
        <v>0.05</v>
      </c>
      <c r="J4526">
        <f t="shared" si="140"/>
        <v>446.4905</v>
      </c>
      <c r="K4526" s="9">
        <f t="shared" si="141"/>
        <v>-0.5490815238530955</v>
      </c>
    </row>
    <row r="4527" spans="1:11" x14ac:dyDescent="0.3">
      <c r="A4527">
        <v>1549</v>
      </c>
      <c r="B4527">
        <v>3</v>
      </c>
      <c r="C4527">
        <v>249</v>
      </c>
      <c r="D4527" t="str">
        <f>VLOOKUP($C4527,products!$A$1:$F$322,MATCH(order_items!$D$1,products!$A$1:$F$1,0),FALSE)</f>
        <v>Electra White Water 3i - 2018</v>
      </c>
      <c r="E4527">
        <f>VLOOKUP($C4527,products!$A$1:$F$322,MATCH(order_items!$E$1,products!$A$1:$F$1,0),FALSE)</f>
        <v>3</v>
      </c>
      <c r="F4527" t="str">
        <f>VLOOKUP($E4527,categories!$A$1:$B$8,MATCH(order_items!$F$1,categories!$A$1:$B$1,0),FALSE)</f>
        <v>Cruisers Bicycles</v>
      </c>
      <c r="G4527">
        <v>2</v>
      </c>
      <c r="H4527">
        <v>749.99</v>
      </c>
      <c r="I4527" s="5">
        <v>0.05</v>
      </c>
      <c r="J4527">
        <f t="shared" si="140"/>
        <v>1424.981</v>
      </c>
      <c r="K4527" s="9">
        <f t="shared" si="141"/>
        <v>-0.34208121788997192</v>
      </c>
    </row>
    <row r="4528" spans="1:11" x14ac:dyDescent="0.3">
      <c r="A4528">
        <v>1549</v>
      </c>
      <c r="B4528">
        <v>4</v>
      </c>
      <c r="C4528">
        <v>242</v>
      </c>
      <c r="D4528" t="str">
        <f>VLOOKUP($C4528,products!$A$1:$F$322,MATCH(order_items!$D$1,products!$A$1:$F$1,0),FALSE)</f>
        <v>Electra Townie Commute 8D Ladies' - 2018</v>
      </c>
      <c r="E4528">
        <f>VLOOKUP($C4528,products!$A$1:$F$322,MATCH(order_items!$E$1,products!$A$1:$F$1,0),FALSE)</f>
        <v>3</v>
      </c>
      <c r="F4528" t="str">
        <f>VLOOKUP($E4528,categories!$A$1:$B$8,MATCH(order_items!$F$1,categories!$A$1:$B$1,0),FALSE)</f>
        <v>Cruisers Bicycles</v>
      </c>
      <c r="G4528">
        <v>2</v>
      </c>
      <c r="H4528">
        <v>699.99</v>
      </c>
      <c r="I4528" s="5">
        <v>0.1</v>
      </c>
      <c r="J4528">
        <f t="shared" si="140"/>
        <v>1259.982</v>
      </c>
      <c r="K4528" s="9">
        <f t="shared" si="141"/>
        <v>-0.37904555824052971</v>
      </c>
    </row>
    <row r="4529" spans="1:11" x14ac:dyDescent="0.3">
      <c r="A4529">
        <v>1550</v>
      </c>
      <c r="B4529">
        <v>1</v>
      </c>
      <c r="C4529">
        <v>315</v>
      </c>
      <c r="D4529" t="str">
        <f>VLOOKUP($C4529,products!$A$1:$F$322,MATCH(order_items!$D$1,products!$A$1:$F$1,0),FALSE)</f>
        <v>Electra Townie Original 21D Ladies' - 2018</v>
      </c>
      <c r="E4529">
        <f>VLOOKUP($C4529,products!$A$1:$F$322,MATCH(order_items!$E$1,products!$A$1:$F$1,0),FALSE)</f>
        <v>2</v>
      </c>
      <c r="F4529" t="str">
        <f>VLOOKUP($E4529,categories!$A$1:$B$8,MATCH(order_items!$F$1,categories!$A$1:$B$1,0),FALSE)</f>
        <v>Comfort Bicycles</v>
      </c>
      <c r="G4529">
        <v>2</v>
      </c>
      <c r="H4529">
        <v>559.99</v>
      </c>
      <c r="I4529" s="5">
        <v>0.05</v>
      </c>
      <c r="J4529">
        <f t="shared" si="140"/>
        <v>1063.981</v>
      </c>
      <c r="K4529" s="9">
        <f t="shared" si="141"/>
        <v>-0.4825457112220915</v>
      </c>
    </row>
    <row r="4530" spans="1:11" x14ac:dyDescent="0.3">
      <c r="A4530">
        <v>1550</v>
      </c>
      <c r="B4530">
        <v>2</v>
      </c>
      <c r="C4530">
        <v>245</v>
      </c>
      <c r="D4530" t="str">
        <f>VLOOKUP($C4530,products!$A$1:$F$322,MATCH(order_items!$D$1,products!$A$1:$F$1,0),FALSE)</f>
        <v>Electra Townie Original 3i EQ - 2017/2018</v>
      </c>
      <c r="E4530">
        <f>VLOOKUP($C4530,products!$A$1:$F$322,MATCH(order_items!$E$1,products!$A$1:$F$1,0),FALSE)</f>
        <v>3</v>
      </c>
      <c r="F4530" t="str">
        <f>VLOOKUP($E4530,categories!$A$1:$B$8,MATCH(order_items!$F$1,categories!$A$1:$B$1,0),FALSE)</f>
        <v>Cruisers Bicycles</v>
      </c>
      <c r="G4530">
        <v>1</v>
      </c>
      <c r="H4530">
        <v>659.99</v>
      </c>
      <c r="I4530" s="5">
        <v>7.0000000000000007E-2</v>
      </c>
      <c r="J4530">
        <f t="shared" si="140"/>
        <v>613.79070000000002</v>
      </c>
      <c r="K4530" s="9">
        <f t="shared" si="141"/>
        <v>-0.40861703052097592</v>
      </c>
    </row>
    <row r="4531" spans="1:11" x14ac:dyDescent="0.3">
      <c r="A4531">
        <v>1550</v>
      </c>
      <c r="B4531">
        <v>3</v>
      </c>
      <c r="C4531">
        <v>185</v>
      </c>
      <c r="D4531" t="str">
        <f>VLOOKUP($C4531,products!$A$1:$F$322,MATCH(order_items!$D$1,products!$A$1:$F$1,0),FALSE)</f>
        <v>Trek Conduit+ - 2018</v>
      </c>
      <c r="E4531">
        <f>VLOOKUP($C4531,products!$A$1:$F$322,MATCH(order_items!$E$1,products!$A$1:$F$1,0),FALSE)</f>
        <v>5</v>
      </c>
      <c r="F4531" t="str">
        <f>VLOOKUP($E4531,categories!$A$1:$B$8,MATCH(order_items!$F$1,categories!$A$1:$B$1,0),FALSE)</f>
        <v>Electric Bikes</v>
      </c>
      <c r="G4531">
        <v>2</v>
      </c>
      <c r="H4531">
        <v>2799.99</v>
      </c>
      <c r="I4531" s="5">
        <v>0.1</v>
      </c>
      <c r="J4531">
        <f t="shared" si="140"/>
        <v>5039.982</v>
      </c>
      <c r="K4531" s="9">
        <f t="shared" si="141"/>
        <v>1.1734567364828972</v>
      </c>
    </row>
    <row r="4532" spans="1:11" x14ac:dyDescent="0.3">
      <c r="A4532">
        <v>1550</v>
      </c>
      <c r="B4532">
        <v>4</v>
      </c>
      <c r="C4532">
        <v>148</v>
      </c>
      <c r="D4532" t="str">
        <f>VLOOKUP($C4532,products!$A$1:$F$322,MATCH(order_items!$D$1,products!$A$1:$F$1,0),FALSE)</f>
        <v>Trek Domane SL 8 Disc - 2018</v>
      </c>
      <c r="E4532">
        <f>VLOOKUP($C4532,products!$A$1:$F$322,MATCH(order_items!$E$1,products!$A$1:$F$1,0),FALSE)</f>
        <v>7</v>
      </c>
      <c r="F4532" t="str">
        <f>VLOOKUP($E4532,categories!$A$1:$B$8,MATCH(order_items!$F$1,categories!$A$1:$B$1,0),FALSE)</f>
        <v>Road Bikes</v>
      </c>
      <c r="G4532">
        <v>1</v>
      </c>
      <c r="H4532">
        <v>5499.99</v>
      </c>
      <c r="I4532" s="5">
        <v>7.0000000000000007E-2</v>
      </c>
      <c r="J4532">
        <f t="shared" si="140"/>
        <v>5114.9906999999994</v>
      </c>
      <c r="K4532" s="9">
        <f t="shared" si="141"/>
        <v>3.1695311154130179</v>
      </c>
    </row>
    <row r="4533" spans="1:11" x14ac:dyDescent="0.3">
      <c r="A4533">
        <v>1550</v>
      </c>
      <c r="B4533">
        <v>5</v>
      </c>
      <c r="C4533">
        <v>86</v>
      </c>
      <c r="D4533" t="str">
        <f>VLOOKUP($C4533,products!$A$1:$F$322,MATCH(order_items!$D$1,products!$A$1:$F$1,0),FALSE)</f>
        <v>Trek Girl's Kickster - 2017</v>
      </c>
      <c r="E4533">
        <f>VLOOKUP($C4533,products!$A$1:$F$322,MATCH(order_items!$E$1,products!$A$1:$F$1,0),FALSE)</f>
        <v>1</v>
      </c>
      <c r="F4533" t="str">
        <f>VLOOKUP($E4533,categories!$A$1:$B$8,MATCH(order_items!$F$1,categories!$A$1:$B$1,0),FALSE)</f>
        <v>Children Bicycles</v>
      </c>
      <c r="G4533">
        <v>2</v>
      </c>
      <c r="H4533">
        <v>149.99</v>
      </c>
      <c r="I4533" s="5">
        <v>0.05</v>
      </c>
      <c r="J4533">
        <f t="shared" si="140"/>
        <v>284.98099999999999</v>
      </c>
      <c r="K4533" s="9">
        <f t="shared" si="141"/>
        <v>-0.7856533020966654</v>
      </c>
    </row>
    <row r="4534" spans="1:11" x14ac:dyDescent="0.3">
      <c r="A4534">
        <v>1551</v>
      </c>
      <c r="B4534">
        <v>1</v>
      </c>
      <c r="C4534">
        <v>207</v>
      </c>
      <c r="D4534" t="str">
        <f>VLOOKUP($C4534,products!$A$1:$F$322,MATCH(order_items!$D$1,products!$A$1:$F$1,0),FALSE)</f>
        <v>Trek Boone 7 Disc - 2018</v>
      </c>
      <c r="E4534">
        <f>VLOOKUP($C4534,products!$A$1:$F$322,MATCH(order_items!$E$1,products!$A$1:$F$1,0),FALSE)</f>
        <v>4</v>
      </c>
      <c r="F4534" t="str">
        <f>VLOOKUP($E4534,categories!$A$1:$B$8,MATCH(order_items!$F$1,categories!$A$1:$B$1,0),FALSE)</f>
        <v>Cyclocross Bicycles</v>
      </c>
      <c r="G4534">
        <v>2</v>
      </c>
      <c r="H4534">
        <v>3999.99</v>
      </c>
      <c r="I4534" s="5">
        <v>0.2</v>
      </c>
      <c r="J4534">
        <f t="shared" si="140"/>
        <v>6399.9840000000004</v>
      </c>
      <c r="K4534" s="9">
        <f t="shared" si="141"/>
        <v>2.0606009048962846</v>
      </c>
    </row>
    <row r="4535" spans="1:11" x14ac:dyDescent="0.3">
      <c r="A4535">
        <v>1552</v>
      </c>
      <c r="B4535">
        <v>1</v>
      </c>
      <c r="C4535">
        <v>197</v>
      </c>
      <c r="D4535" t="str">
        <f>VLOOKUP($C4535,products!$A$1:$F$322,MATCH(order_items!$D$1,products!$A$1:$F$1,0),FALSE)</f>
        <v>Trek Verve+ Lowstep - 2018</v>
      </c>
      <c r="E4535">
        <f>VLOOKUP($C4535,products!$A$1:$F$322,MATCH(order_items!$E$1,products!$A$1:$F$1,0),FALSE)</f>
        <v>5</v>
      </c>
      <c r="F4535" t="str">
        <f>VLOOKUP($E4535,categories!$A$1:$B$8,MATCH(order_items!$F$1,categories!$A$1:$B$1,0),FALSE)</f>
        <v>Electric Bikes</v>
      </c>
      <c r="G4535">
        <v>1</v>
      </c>
      <c r="H4535">
        <v>2299.9899999999998</v>
      </c>
      <c r="I4535" s="5">
        <v>0.1</v>
      </c>
      <c r="J4535">
        <f t="shared" si="140"/>
        <v>2069.991</v>
      </c>
      <c r="K4535" s="9">
        <f t="shared" si="141"/>
        <v>0.80381333297731938</v>
      </c>
    </row>
    <row r="4536" spans="1:11" x14ac:dyDescent="0.3">
      <c r="A4536">
        <v>1552</v>
      </c>
      <c r="B4536">
        <v>2</v>
      </c>
      <c r="C4536">
        <v>41</v>
      </c>
      <c r="D4536" t="str">
        <f>VLOOKUP($C4536,products!$A$1:$F$322,MATCH(order_items!$D$1,products!$A$1:$F$1,0),FALSE)</f>
        <v>Haro Shift R3 - 2017</v>
      </c>
      <c r="E4536">
        <f>VLOOKUP($C4536,products!$A$1:$F$322,MATCH(order_items!$E$1,products!$A$1:$F$1,0),FALSE)</f>
        <v>6</v>
      </c>
      <c r="F4536" t="str">
        <f>VLOOKUP($E4536,categories!$A$1:$B$8,MATCH(order_items!$F$1,categories!$A$1:$B$1,0),FALSE)</f>
        <v>Mountain Bikes</v>
      </c>
      <c r="G4536">
        <v>2</v>
      </c>
      <c r="H4536">
        <v>1469.99</v>
      </c>
      <c r="I4536" s="5">
        <v>0.05</v>
      </c>
      <c r="J4536">
        <f t="shared" si="140"/>
        <v>2792.9809999999998</v>
      </c>
      <c r="K4536" s="9">
        <f t="shared" si="141"/>
        <v>0.19020528315806023</v>
      </c>
    </row>
    <row r="4537" spans="1:11" x14ac:dyDescent="0.3">
      <c r="A4537">
        <v>1553</v>
      </c>
      <c r="B4537">
        <v>1</v>
      </c>
      <c r="C4537">
        <v>102</v>
      </c>
      <c r="D4537" t="str">
        <f>VLOOKUP($C4537,products!$A$1:$F$322,MATCH(order_items!$D$1,products!$A$1:$F$1,0),FALSE)</f>
        <v>Electra Townie Original 7D - 2017</v>
      </c>
      <c r="E4537">
        <f>VLOOKUP($C4537,products!$A$1:$F$322,MATCH(order_items!$E$1,products!$A$1:$F$1,0),FALSE)</f>
        <v>2</v>
      </c>
      <c r="F4537" t="str">
        <f>VLOOKUP($E4537,categories!$A$1:$B$8,MATCH(order_items!$F$1,categories!$A$1:$B$1,0),FALSE)</f>
        <v>Comfort Bicycles</v>
      </c>
      <c r="G4537">
        <v>1</v>
      </c>
      <c r="H4537">
        <v>489.99</v>
      </c>
      <c r="I4537" s="5">
        <v>7.0000000000000007E-2</v>
      </c>
      <c r="J4537">
        <f t="shared" si="140"/>
        <v>455.69069999999999</v>
      </c>
      <c r="K4537" s="9">
        <f t="shared" si="141"/>
        <v>-0.53429578771287245</v>
      </c>
    </row>
    <row r="4538" spans="1:11" x14ac:dyDescent="0.3">
      <c r="A4538">
        <v>1553</v>
      </c>
      <c r="B4538">
        <v>2</v>
      </c>
      <c r="C4538">
        <v>12</v>
      </c>
      <c r="D4538" t="str">
        <f>VLOOKUP($C4538,products!$A$1:$F$322,MATCH(order_items!$D$1,products!$A$1:$F$1,0),FALSE)</f>
        <v>Electra Townie Original 21D - 2016</v>
      </c>
      <c r="E4538">
        <f>VLOOKUP($C4538,products!$A$1:$F$322,MATCH(order_items!$E$1,products!$A$1:$F$1,0),FALSE)</f>
        <v>3</v>
      </c>
      <c r="F4538" t="str">
        <f>VLOOKUP($E4538,categories!$A$1:$B$8,MATCH(order_items!$F$1,categories!$A$1:$B$1,0),FALSE)</f>
        <v>Cruisers Bicycles</v>
      </c>
      <c r="G4538">
        <v>1</v>
      </c>
      <c r="H4538">
        <v>549.99</v>
      </c>
      <c r="I4538" s="5">
        <v>0.1</v>
      </c>
      <c r="J4538">
        <f t="shared" si="140"/>
        <v>494.99100000000004</v>
      </c>
      <c r="K4538" s="9">
        <f t="shared" si="141"/>
        <v>-0.48993857929220308</v>
      </c>
    </row>
    <row r="4539" spans="1:11" x14ac:dyDescent="0.3">
      <c r="A4539">
        <v>1553</v>
      </c>
      <c r="B4539">
        <v>3</v>
      </c>
      <c r="C4539">
        <v>251</v>
      </c>
      <c r="D4539" t="str">
        <f>VLOOKUP($C4539,products!$A$1:$F$322,MATCH(order_items!$D$1,products!$A$1:$F$1,0),FALSE)</f>
        <v>Electra Townie Commute Go! - 2018</v>
      </c>
      <c r="E4539">
        <f>VLOOKUP($C4539,products!$A$1:$F$322,MATCH(order_items!$E$1,products!$A$1:$F$1,0),FALSE)</f>
        <v>3</v>
      </c>
      <c r="F4539" t="str">
        <f>VLOOKUP($E4539,categories!$A$1:$B$8,MATCH(order_items!$F$1,categories!$A$1:$B$1,0),FALSE)</f>
        <v>Cruisers Bicycles</v>
      </c>
      <c r="G4539">
        <v>1</v>
      </c>
      <c r="H4539">
        <v>2999.99</v>
      </c>
      <c r="I4539" s="5">
        <v>0.05</v>
      </c>
      <c r="J4539">
        <f t="shared" si="140"/>
        <v>2849.9904999999999</v>
      </c>
      <c r="K4539" s="9">
        <f t="shared" si="141"/>
        <v>1.3213140978851283</v>
      </c>
    </row>
    <row r="4540" spans="1:11" x14ac:dyDescent="0.3">
      <c r="A4540">
        <v>1553</v>
      </c>
      <c r="B4540">
        <v>4</v>
      </c>
      <c r="C4540">
        <v>89</v>
      </c>
      <c r="D4540" t="str">
        <f>VLOOKUP($C4540,products!$A$1:$F$322,MATCH(order_items!$D$1,products!$A$1:$F$1,0),FALSE)</f>
        <v>Trek Precaliber 16 Boys - 2017</v>
      </c>
      <c r="E4540">
        <f>VLOOKUP($C4540,products!$A$1:$F$322,MATCH(order_items!$E$1,products!$A$1:$F$1,0),FALSE)</f>
        <v>1</v>
      </c>
      <c r="F4540" t="str">
        <f>VLOOKUP($E4540,categories!$A$1:$B$8,MATCH(order_items!$F$1,categories!$A$1:$B$1,0),FALSE)</f>
        <v>Children Bicycles</v>
      </c>
      <c r="G4540">
        <v>1</v>
      </c>
      <c r="H4540">
        <v>209.99</v>
      </c>
      <c r="I4540" s="5">
        <v>0.05</v>
      </c>
      <c r="J4540">
        <f t="shared" si="140"/>
        <v>199.4905</v>
      </c>
      <c r="K4540" s="9">
        <f t="shared" si="141"/>
        <v>-0.74129609367599603</v>
      </c>
    </row>
    <row r="4541" spans="1:11" x14ac:dyDescent="0.3">
      <c r="A4541">
        <v>1554</v>
      </c>
      <c r="B4541">
        <v>1</v>
      </c>
      <c r="C4541">
        <v>166</v>
      </c>
      <c r="D4541" t="str">
        <f>VLOOKUP($C4541,products!$A$1:$F$322,MATCH(order_items!$D$1,products!$A$1:$F$1,0),FALSE)</f>
        <v>Trek Domane AL 2 Women's - 2018</v>
      </c>
      <c r="E4541">
        <f>VLOOKUP($C4541,products!$A$1:$F$322,MATCH(order_items!$E$1,products!$A$1:$F$1,0),FALSE)</f>
        <v>7</v>
      </c>
      <c r="F4541" t="str">
        <f>VLOOKUP($E4541,categories!$A$1:$B$8,MATCH(order_items!$F$1,categories!$A$1:$B$1,0),FALSE)</f>
        <v>Road Bikes</v>
      </c>
      <c r="G4541">
        <v>1</v>
      </c>
      <c r="H4541">
        <v>749.99</v>
      </c>
      <c r="I4541" s="5">
        <v>0.05</v>
      </c>
      <c r="J4541">
        <f t="shared" si="140"/>
        <v>712.4905</v>
      </c>
      <c r="K4541" s="9">
        <f t="shared" si="141"/>
        <v>-0.34208121788997192</v>
      </c>
    </row>
    <row r="4542" spans="1:11" x14ac:dyDescent="0.3">
      <c r="A4542">
        <v>1554</v>
      </c>
      <c r="B4542">
        <v>2</v>
      </c>
      <c r="C4542">
        <v>285</v>
      </c>
      <c r="D4542" t="str">
        <f>VLOOKUP($C4542,products!$A$1:$F$322,MATCH(order_items!$D$1,products!$A$1:$F$1,0),FALSE)</f>
        <v>Electra Soft Serve 1 (16-inch) - Girl's - 2018</v>
      </c>
      <c r="E4542">
        <f>VLOOKUP($C4542,products!$A$1:$F$322,MATCH(order_items!$E$1,products!$A$1:$F$1,0),FALSE)</f>
        <v>1</v>
      </c>
      <c r="F4542" t="str">
        <f>VLOOKUP($E4542,categories!$A$1:$B$8,MATCH(order_items!$F$1,categories!$A$1:$B$1,0),FALSE)</f>
        <v>Children Bicycles</v>
      </c>
      <c r="G4542">
        <v>1</v>
      </c>
      <c r="H4542">
        <v>279.99</v>
      </c>
      <c r="I4542" s="5">
        <v>0.2</v>
      </c>
      <c r="J4542">
        <f t="shared" si="140"/>
        <v>223.99200000000002</v>
      </c>
      <c r="K4542" s="9">
        <f t="shared" si="141"/>
        <v>-0.68954601718521513</v>
      </c>
    </row>
    <row r="4543" spans="1:11" x14ac:dyDescent="0.3">
      <c r="A4543">
        <v>1555</v>
      </c>
      <c r="B4543">
        <v>1</v>
      </c>
      <c r="C4543">
        <v>24</v>
      </c>
      <c r="D4543" t="str">
        <f>VLOOKUP($C4543,products!$A$1:$F$322,MATCH(order_items!$D$1,products!$A$1:$F$1,0),FALSE)</f>
        <v>Electra Townie Original 21D - 2016</v>
      </c>
      <c r="E4543">
        <f>VLOOKUP($C4543,products!$A$1:$F$322,MATCH(order_items!$E$1,products!$A$1:$F$1,0),FALSE)</f>
        <v>2</v>
      </c>
      <c r="F4543" t="str">
        <f>VLOOKUP($E4543,categories!$A$1:$B$8,MATCH(order_items!$F$1,categories!$A$1:$B$1,0),FALSE)</f>
        <v>Comfort Bicycles</v>
      </c>
      <c r="G4543">
        <v>2</v>
      </c>
      <c r="H4543">
        <v>549.99</v>
      </c>
      <c r="I4543" s="5">
        <v>0.1</v>
      </c>
      <c r="J4543">
        <f t="shared" si="140"/>
        <v>989.98200000000008</v>
      </c>
      <c r="K4543" s="9">
        <f t="shared" si="141"/>
        <v>-0.48993857929220308</v>
      </c>
    </row>
    <row r="4544" spans="1:11" x14ac:dyDescent="0.3">
      <c r="A4544">
        <v>1555</v>
      </c>
      <c r="B4544">
        <v>2</v>
      </c>
      <c r="C4544">
        <v>156</v>
      </c>
      <c r="D4544" t="str">
        <f>VLOOKUP($C4544,products!$A$1:$F$322,MATCH(order_items!$D$1,products!$A$1:$F$1,0),FALSE)</f>
        <v>Trek Domane SL Frameset - 2018</v>
      </c>
      <c r="E4544">
        <f>VLOOKUP($C4544,products!$A$1:$F$322,MATCH(order_items!$E$1,products!$A$1:$F$1,0),FALSE)</f>
        <v>7</v>
      </c>
      <c r="F4544" t="str">
        <f>VLOOKUP($E4544,categories!$A$1:$B$8,MATCH(order_items!$F$1,categories!$A$1:$B$1,0),FALSE)</f>
        <v>Road Bikes</v>
      </c>
      <c r="G4544">
        <v>1</v>
      </c>
      <c r="H4544">
        <v>6499.99</v>
      </c>
      <c r="I4544" s="5">
        <v>0.1</v>
      </c>
      <c r="J4544">
        <f t="shared" si="140"/>
        <v>5849.991</v>
      </c>
      <c r="K4544" s="9">
        <f t="shared" si="141"/>
        <v>3.9088179224241739</v>
      </c>
    </row>
    <row r="4545" spans="1:11" x14ac:dyDescent="0.3">
      <c r="A4545">
        <v>1555</v>
      </c>
      <c r="B4545">
        <v>3</v>
      </c>
      <c r="C4545">
        <v>126</v>
      </c>
      <c r="D4545" t="str">
        <f>VLOOKUP($C4545,products!$A$1:$F$322,MATCH(order_items!$D$1,products!$A$1:$F$1,0),FALSE)</f>
        <v>Surly Big Fat Dummy Frameset - 2018</v>
      </c>
      <c r="E4545">
        <f>VLOOKUP($C4545,products!$A$1:$F$322,MATCH(order_items!$E$1,products!$A$1:$F$1,0),FALSE)</f>
        <v>6</v>
      </c>
      <c r="F4545" t="str">
        <f>VLOOKUP($E4545,categories!$A$1:$B$8,MATCH(order_items!$F$1,categories!$A$1:$B$1,0),FALSE)</f>
        <v>Mountain Bikes</v>
      </c>
      <c r="G4545">
        <v>1</v>
      </c>
      <c r="H4545">
        <v>469.99</v>
      </c>
      <c r="I4545" s="5">
        <v>0.1</v>
      </c>
      <c r="J4545">
        <f t="shared" si="140"/>
        <v>422.99100000000004</v>
      </c>
      <c r="K4545" s="9">
        <f t="shared" si="141"/>
        <v>-0.5490815238530955</v>
      </c>
    </row>
    <row r="4546" spans="1:11" x14ac:dyDescent="0.3">
      <c r="A4546">
        <v>1555</v>
      </c>
      <c r="B4546">
        <v>4</v>
      </c>
      <c r="C4546">
        <v>128</v>
      </c>
      <c r="D4546" t="str">
        <f>VLOOKUP($C4546,products!$A$1:$F$322,MATCH(order_items!$D$1,products!$A$1:$F$1,0),FALSE)</f>
        <v>Surly ECR 27.5 - 2018</v>
      </c>
      <c r="E4546">
        <f>VLOOKUP($C4546,products!$A$1:$F$322,MATCH(order_items!$E$1,products!$A$1:$F$1,0),FALSE)</f>
        <v>6</v>
      </c>
      <c r="F4546" t="str">
        <f>VLOOKUP($E4546,categories!$A$1:$B$8,MATCH(order_items!$F$1,categories!$A$1:$B$1,0),FALSE)</f>
        <v>Mountain Bikes</v>
      </c>
      <c r="G4546">
        <v>2</v>
      </c>
      <c r="H4546">
        <v>1899</v>
      </c>
      <c r="I4546" s="5">
        <v>0.05</v>
      </c>
      <c r="J4546">
        <f t="shared" ref="J4546:J4609" si="142">G4546*H4546*(1-I4546)</f>
        <v>3608.1</v>
      </c>
      <c r="K4546" s="9">
        <f t="shared" ref="K4546:K4609" si="143">($H4546-$M$7)/$M$9</f>
        <v>0.50736671623391616</v>
      </c>
    </row>
    <row r="4547" spans="1:11" x14ac:dyDescent="0.3">
      <c r="A4547">
        <v>1555</v>
      </c>
      <c r="B4547">
        <v>5</v>
      </c>
      <c r="C4547">
        <v>174</v>
      </c>
      <c r="D4547" t="str">
        <f>VLOOKUP($C4547,products!$A$1:$F$322,MATCH(order_items!$D$1,products!$A$1:$F$1,0),FALSE)</f>
        <v>Trek Domane SLR Disc Frameset - 2018</v>
      </c>
      <c r="E4547">
        <f>VLOOKUP($C4547,products!$A$1:$F$322,MATCH(order_items!$E$1,products!$A$1:$F$1,0),FALSE)</f>
        <v>7</v>
      </c>
      <c r="F4547" t="str">
        <f>VLOOKUP($E4547,categories!$A$1:$B$8,MATCH(order_items!$F$1,categories!$A$1:$B$1,0),FALSE)</f>
        <v>Road Bikes</v>
      </c>
      <c r="G4547">
        <v>1</v>
      </c>
      <c r="H4547">
        <v>3199.99</v>
      </c>
      <c r="I4547" s="5">
        <v>0.2</v>
      </c>
      <c r="J4547">
        <f t="shared" si="142"/>
        <v>2559.9920000000002</v>
      </c>
      <c r="K4547" s="9">
        <f t="shared" si="143"/>
        <v>1.4691714592873595</v>
      </c>
    </row>
    <row r="4548" spans="1:11" x14ac:dyDescent="0.3">
      <c r="A4548">
        <v>1556</v>
      </c>
      <c r="B4548">
        <v>1</v>
      </c>
      <c r="C4548">
        <v>49</v>
      </c>
      <c r="D4548" t="str">
        <f>VLOOKUP($C4548,products!$A$1:$F$322,MATCH(order_items!$D$1,products!$A$1:$F$1,0),FALSE)</f>
        <v>Trek Domane SL 6 - 2017</v>
      </c>
      <c r="E4548">
        <f>VLOOKUP($C4548,products!$A$1:$F$322,MATCH(order_items!$E$1,products!$A$1:$F$1,0),FALSE)</f>
        <v>7</v>
      </c>
      <c r="F4548" t="str">
        <f>VLOOKUP($E4548,categories!$A$1:$B$8,MATCH(order_items!$F$1,categories!$A$1:$B$1,0),FALSE)</f>
        <v>Road Bikes</v>
      </c>
      <c r="G4548">
        <v>2</v>
      </c>
      <c r="H4548">
        <v>3499.99</v>
      </c>
      <c r="I4548" s="5">
        <v>0.2</v>
      </c>
      <c r="J4548">
        <f t="shared" si="142"/>
        <v>5599.9840000000004</v>
      </c>
      <c r="K4548" s="9">
        <f t="shared" si="143"/>
        <v>1.6909575013907066</v>
      </c>
    </row>
    <row r="4549" spans="1:11" x14ac:dyDescent="0.3">
      <c r="A4549">
        <v>1556</v>
      </c>
      <c r="B4549">
        <v>2</v>
      </c>
      <c r="C4549">
        <v>82</v>
      </c>
      <c r="D4549" t="str">
        <f>VLOOKUP($C4549,products!$A$1:$F$322,MATCH(order_items!$D$1,products!$A$1:$F$1,0),FALSE)</f>
        <v>Electra Amsterdam Original 3i Ladies' - 2017</v>
      </c>
      <c r="E4549">
        <f>VLOOKUP($C4549,products!$A$1:$F$322,MATCH(order_items!$E$1,products!$A$1:$F$1,0),FALSE)</f>
        <v>3</v>
      </c>
      <c r="F4549" t="str">
        <f>VLOOKUP($E4549,categories!$A$1:$B$8,MATCH(order_items!$F$1,categories!$A$1:$B$1,0),FALSE)</f>
        <v>Cruisers Bicycles</v>
      </c>
      <c r="G4549">
        <v>1</v>
      </c>
      <c r="H4549">
        <v>659.99</v>
      </c>
      <c r="I4549" s="5">
        <v>7.0000000000000007E-2</v>
      </c>
      <c r="J4549">
        <f t="shared" si="142"/>
        <v>613.79070000000002</v>
      </c>
      <c r="K4549" s="9">
        <f t="shared" si="143"/>
        <v>-0.40861703052097592</v>
      </c>
    </row>
    <row r="4550" spans="1:11" x14ac:dyDescent="0.3">
      <c r="A4550">
        <v>1556</v>
      </c>
      <c r="B4550">
        <v>3</v>
      </c>
      <c r="C4550">
        <v>265</v>
      </c>
      <c r="D4550" t="str">
        <f>VLOOKUP($C4550,products!$A$1:$F$322,MATCH(order_items!$D$1,products!$A$1:$F$1,0),FALSE)</f>
        <v>Strider Strider 20 Sport - 2018</v>
      </c>
      <c r="E4550">
        <f>VLOOKUP($C4550,products!$A$1:$F$322,MATCH(order_items!$E$1,products!$A$1:$F$1,0),FALSE)</f>
        <v>1</v>
      </c>
      <c r="F4550" t="str">
        <f>VLOOKUP($E4550,categories!$A$1:$B$8,MATCH(order_items!$F$1,categories!$A$1:$B$1,0),FALSE)</f>
        <v>Children Bicycles</v>
      </c>
      <c r="G4550">
        <v>1</v>
      </c>
      <c r="H4550">
        <v>289.99</v>
      </c>
      <c r="I4550" s="5">
        <v>0.1</v>
      </c>
      <c r="J4550">
        <f t="shared" si="142"/>
        <v>260.99100000000004</v>
      </c>
      <c r="K4550" s="9">
        <f t="shared" si="143"/>
        <v>-0.68215314911510361</v>
      </c>
    </row>
    <row r="4551" spans="1:11" x14ac:dyDescent="0.3">
      <c r="A4551">
        <v>1556</v>
      </c>
      <c r="B4551">
        <v>4</v>
      </c>
      <c r="C4551">
        <v>119</v>
      </c>
      <c r="D4551" t="str">
        <f>VLOOKUP($C4551,products!$A$1:$F$322,MATCH(order_items!$D$1,products!$A$1:$F$1,0),FALSE)</f>
        <v>Trek Kids' Neko - 2018</v>
      </c>
      <c r="E4551">
        <f>VLOOKUP($C4551,products!$A$1:$F$322,MATCH(order_items!$E$1,products!$A$1:$F$1,0),FALSE)</f>
        <v>6</v>
      </c>
      <c r="F4551" t="str">
        <f>VLOOKUP($E4551,categories!$A$1:$B$8,MATCH(order_items!$F$1,categories!$A$1:$B$1,0),FALSE)</f>
        <v>Mountain Bikes</v>
      </c>
      <c r="G4551">
        <v>2</v>
      </c>
      <c r="H4551">
        <v>469.99</v>
      </c>
      <c r="I4551" s="5">
        <v>0.05</v>
      </c>
      <c r="J4551">
        <f t="shared" si="142"/>
        <v>892.98099999999999</v>
      </c>
      <c r="K4551" s="9">
        <f t="shared" si="143"/>
        <v>-0.5490815238530955</v>
      </c>
    </row>
    <row r="4552" spans="1:11" x14ac:dyDescent="0.3">
      <c r="A4552">
        <v>1556</v>
      </c>
      <c r="B4552">
        <v>5</v>
      </c>
      <c r="C4552">
        <v>235</v>
      </c>
      <c r="D4552" t="str">
        <f>VLOOKUP($C4552,products!$A$1:$F$322,MATCH(order_items!$D$1,products!$A$1:$F$1,0),FALSE)</f>
        <v>Electra Koa 3i Ladies' - 2018</v>
      </c>
      <c r="E4552">
        <f>VLOOKUP($C4552,products!$A$1:$F$322,MATCH(order_items!$E$1,products!$A$1:$F$1,0),FALSE)</f>
        <v>3</v>
      </c>
      <c r="F4552" t="str">
        <f>VLOOKUP($E4552,categories!$A$1:$B$8,MATCH(order_items!$F$1,categories!$A$1:$B$1,0),FALSE)</f>
        <v>Cruisers Bicycles</v>
      </c>
      <c r="G4552">
        <v>2</v>
      </c>
      <c r="H4552">
        <v>899.99</v>
      </c>
      <c r="I4552" s="5">
        <v>0.1</v>
      </c>
      <c r="J4552">
        <f t="shared" si="142"/>
        <v>1619.982</v>
      </c>
      <c r="K4552" s="9">
        <f t="shared" si="143"/>
        <v>-0.23118819683829855</v>
      </c>
    </row>
    <row r="4553" spans="1:11" x14ac:dyDescent="0.3">
      <c r="A4553">
        <v>1557</v>
      </c>
      <c r="B4553">
        <v>1</v>
      </c>
      <c r="C4553">
        <v>163</v>
      </c>
      <c r="D4553" t="str">
        <f>VLOOKUP($C4553,products!$A$1:$F$322,MATCH(order_items!$D$1,products!$A$1:$F$1,0),FALSE)</f>
        <v>Surly Pack Rat - 2018</v>
      </c>
      <c r="E4553">
        <f>VLOOKUP($C4553,products!$A$1:$F$322,MATCH(order_items!$E$1,products!$A$1:$F$1,0),FALSE)</f>
        <v>7</v>
      </c>
      <c r="F4553" t="str">
        <f>VLOOKUP($E4553,categories!$A$1:$B$8,MATCH(order_items!$F$1,categories!$A$1:$B$1,0),FALSE)</f>
        <v>Road Bikes</v>
      </c>
      <c r="G4553">
        <v>2</v>
      </c>
      <c r="H4553">
        <v>1349</v>
      </c>
      <c r="I4553" s="5">
        <v>7.0000000000000007E-2</v>
      </c>
      <c r="J4553">
        <f t="shared" si="142"/>
        <v>2509.14</v>
      </c>
      <c r="K4553" s="9">
        <f t="shared" si="143"/>
        <v>0.10075897237778049</v>
      </c>
    </row>
    <row r="4554" spans="1:11" x14ac:dyDescent="0.3">
      <c r="A4554">
        <v>1558</v>
      </c>
      <c r="B4554">
        <v>1</v>
      </c>
      <c r="C4554">
        <v>46</v>
      </c>
      <c r="D4554" t="str">
        <f>VLOOKUP($C4554,products!$A$1:$F$322,MATCH(order_items!$D$1,products!$A$1:$F$1,0),FALSE)</f>
        <v>Haro SR 1.3 - 2017</v>
      </c>
      <c r="E4554">
        <f>VLOOKUP($C4554,products!$A$1:$F$322,MATCH(order_items!$E$1,products!$A$1:$F$1,0),FALSE)</f>
        <v>6</v>
      </c>
      <c r="F4554" t="str">
        <f>VLOOKUP($E4554,categories!$A$1:$B$8,MATCH(order_items!$F$1,categories!$A$1:$B$1,0),FALSE)</f>
        <v>Mountain Bikes</v>
      </c>
      <c r="G4554">
        <v>2</v>
      </c>
      <c r="H4554">
        <v>1409.99</v>
      </c>
      <c r="I4554" s="5">
        <v>7.0000000000000007E-2</v>
      </c>
      <c r="J4554">
        <f t="shared" si="142"/>
        <v>2622.5814</v>
      </c>
      <c r="K4554" s="9">
        <f t="shared" si="143"/>
        <v>0.14584807473739089</v>
      </c>
    </row>
    <row r="4555" spans="1:11" x14ac:dyDescent="0.3">
      <c r="A4555">
        <v>1558</v>
      </c>
      <c r="B4555">
        <v>2</v>
      </c>
      <c r="C4555">
        <v>123</v>
      </c>
      <c r="D4555" t="str">
        <f>VLOOKUP($C4555,products!$A$1:$F$322,MATCH(order_items!$D$1,products!$A$1:$F$1,0),FALSE)</f>
        <v>Trek Farley Carbon Frameset - 2018</v>
      </c>
      <c r="E4555">
        <f>VLOOKUP($C4555,products!$A$1:$F$322,MATCH(order_items!$E$1,products!$A$1:$F$1,0),FALSE)</f>
        <v>6</v>
      </c>
      <c r="F4555" t="str">
        <f>VLOOKUP($E4555,categories!$A$1:$B$8,MATCH(order_items!$F$1,categories!$A$1:$B$1,0),FALSE)</f>
        <v>Mountain Bikes</v>
      </c>
      <c r="G4555">
        <v>1</v>
      </c>
      <c r="H4555">
        <v>999.99</v>
      </c>
      <c r="I4555" s="5">
        <v>7.0000000000000007E-2</v>
      </c>
      <c r="J4555">
        <f t="shared" si="142"/>
        <v>929.99069999999995</v>
      </c>
      <c r="K4555" s="9">
        <f t="shared" si="143"/>
        <v>-0.15725951613718298</v>
      </c>
    </row>
    <row r="4556" spans="1:11" x14ac:dyDescent="0.3">
      <c r="A4556">
        <v>1558</v>
      </c>
      <c r="B4556">
        <v>3</v>
      </c>
      <c r="C4556">
        <v>4</v>
      </c>
      <c r="D4556" t="str">
        <f>VLOOKUP($C4556,products!$A$1:$F$322,MATCH(order_items!$D$1,products!$A$1:$F$1,0),FALSE)</f>
        <v>Trek Fuel EX 8 29 - 2016</v>
      </c>
      <c r="E4556">
        <f>VLOOKUP($C4556,products!$A$1:$F$322,MATCH(order_items!$E$1,products!$A$1:$F$1,0),FALSE)</f>
        <v>6</v>
      </c>
      <c r="F4556" t="str">
        <f>VLOOKUP($E4556,categories!$A$1:$B$8,MATCH(order_items!$F$1,categories!$A$1:$B$1,0),FALSE)</f>
        <v>Mountain Bikes</v>
      </c>
      <c r="G4556">
        <v>1</v>
      </c>
      <c r="H4556">
        <v>2899.99</v>
      </c>
      <c r="I4556" s="5">
        <v>0.05</v>
      </c>
      <c r="J4556">
        <f t="shared" si="142"/>
        <v>2754.9904999999999</v>
      </c>
      <c r="K4556" s="9">
        <f t="shared" si="143"/>
        <v>1.2473854171840129</v>
      </c>
    </row>
    <row r="4557" spans="1:11" x14ac:dyDescent="0.3">
      <c r="A4557">
        <v>1558</v>
      </c>
      <c r="B4557">
        <v>4</v>
      </c>
      <c r="C4557">
        <v>55</v>
      </c>
      <c r="D4557" t="str">
        <f>VLOOKUP($C4557,products!$A$1:$F$322,MATCH(order_items!$D$1,products!$A$1:$F$1,0),FALSE)</f>
        <v>Trek Domane S 6 - 2017</v>
      </c>
      <c r="E4557">
        <f>VLOOKUP($C4557,products!$A$1:$F$322,MATCH(order_items!$E$1,products!$A$1:$F$1,0),FALSE)</f>
        <v>7</v>
      </c>
      <c r="F4557" t="str">
        <f>VLOOKUP($E4557,categories!$A$1:$B$8,MATCH(order_items!$F$1,categories!$A$1:$B$1,0),FALSE)</f>
        <v>Road Bikes</v>
      </c>
      <c r="G4557">
        <v>1</v>
      </c>
      <c r="H4557">
        <v>2699.99</v>
      </c>
      <c r="I4557" s="5">
        <v>0.2</v>
      </c>
      <c r="J4557">
        <f t="shared" si="142"/>
        <v>2159.9919999999997</v>
      </c>
      <c r="K4557" s="9">
        <f t="shared" si="143"/>
        <v>1.0995280557817817</v>
      </c>
    </row>
    <row r="4558" spans="1:11" x14ac:dyDescent="0.3">
      <c r="A4558">
        <v>1558</v>
      </c>
      <c r="B4558">
        <v>5</v>
      </c>
      <c r="C4558">
        <v>253</v>
      </c>
      <c r="D4558" t="str">
        <f>VLOOKUP($C4558,products!$A$1:$F$322,MATCH(order_items!$D$1,products!$A$1:$F$1,0),FALSE)</f>
        <v>Electra Townie Go! 8i Ladies' - 2018</v>
      </c>
      <c r="E4558">
        <f>VLOOKUP($C4558,products!$A$1:$F$322,MATCH(order_items!$E$1,products!$A$1:$F$1,0),FALSE)</f>
        <v>3</v>
      </c>
      <c r="F4558" t="str">
        <f>VLOOKUP($E4558,categories!$A$1:$B$8,MATCH(order_items!$F$1,categories!$A$1:$B$1,0),FALSE)</f>
        <v>Cruisers Bicycles</v>
      </c>
      <c r="G4558">
        <v>1</v>
      </c>
      <c r="H4558">
        <v>2599.9899999999998</v>
      </c>
      <c r="I4558" s="5">
        <v>7.0000000000000007E-2</v>
      </c>
      <c r="J4558">
        <f t="shared" si="142"/>
        <v>2417.9906999999998</v>
      </c>
      <c r="K4558" s="9">
        <f t="shared" si="143"/>
        <v>1.025599375080666</v>
      </c>
    </row>
    <row r="4559" spans="1:11" x14ac:dyDescent="0.3">
      <c r="A4559">
        <v>1559</v>
      </c>
      <c r="B4559">
        <v>1</v>
      </c>
      <c r="C4559">
        <v>101</v>
      </c>
      <c r="D4559" t="str">
        <f>VLOOKUP($C4559,products!$A$1:$F$322,MATCH(order_items!$D$1,products!$A$1:$F$1,0),FALSE)</f>
        <v>Electra Townie 7D (20-inch) - Boys' - 2017</v>
      </c>
      <c r="E4559">
        <f>VLOOKUP($C4559,products!$A$1:$F$322,MATCH(order_items!$E$1,products!$A$1:$F$1,0),FALSE)</f>
        <v>1</v>
      </c>
      <c r="F4559" t="str">
        <f>VLOOKUP($E4559,categories!$A$1:$B$8,MATCH(order_items!$F$1,categories!$A$1:$B$1,0),FALSE)</f>
        <v>Children Bicycles</v>
      </c>
      <c r="G4559">
        <v>2</v>
      </c>
      <c r="H4559">
        <v>339.99</v>
      </c>
      <c r="I4559" s="5">
        <v>7.0000000000000007E-2</v>
      </c>
      <c r="J4559">
        <f t="shared" si="142"/>
        <v>632.38139999999999</v>
      </c>
      <c r="K4559" s="9">
        <f t="shared" si="143"/>
        <v>-0.64518880876454576</v>
      </c>
    </row>
    <row r="4560" spans="1:11" x14ac:dyDescent="0.3">
      <c r="A4560">
        <v>1559</v>
      </c>
      <c r="B4560">
        <v>2</v>
      </c>
      <c r="C4560">
        <v>18</v>
      </c>
      <c r="D4560" t="str">
        <f>VLOOKUP($C4560,products!$A$1:$F$322,MATCH(order_items!$D$1,products!$A$1:$F$1,0),FALSE)</f>
        <v>Pure Cycles Western 3-Speed - Women's - 2015/2016</v>
      </c>
      <c r="E4560">
        <f>VLOOKUP($C4560,products!$A$1:$F$322,MATCH(order_items!$E$1,products!$A$1:$F$1,0),FALSE)</f>
        <v>3</v>
      </c>
      <c r="F4560" t="str">
        <f>VLOOKUP($E4560,categories!$A$1:$B$8,MATCH(order_items!$F$1,categories!$A$1:$B$1,0),FALSE)</f>
        <v>Cruisers Bicycles</v>
      </c>
      <c r="G4560">
        <v>1</v>
      </c>
      <c r="H4560">
        <v>449</v>
      </c>
      <c r="I4560" s="5">
        <v>0.1</v>
      </c>
      <c r="J4560">
        <f t="shared" si="142"/>
        <v>404.1</v>
      </c>
      <c r="K4560" s="9">
        <f t="shared" si="143"/>
        <v>-0.56459915393225968</v>
      </c>
    </row>
    <row r="4561" spans="1:11" x14ac:dyDescent="0.3">
      <c r="A4561">
        <v>1559</v>
      </c>
      <c r="B4561">
        <v>3</v>
      </c>
      <c r="C4561">
        <v>54</v>
      </c>
      <c r="D4561" t="str">
        <f>VLOOKUP($C4561,products!$A$1:$F$322,MATCH(order_items!$D$1,products!$A$1:$F$1,0),FALSE)</f>
        <v>Trek Domane SL Disc Frameset - 2017</v>
      </c>
      <c r="E4561">
        <f>VLOOKUP($C4561,products!$A$1:$F$322,MATCH(order_items!$E$1,products!$A$1:$F$1,0),FALSE)</f>
        <v>7</v>
      </c>
      <c r="F4561" t="str">
        <f>VLOOKUP($E4561,categories!$A$1:$B$8,MATCH(order_items!$F$1,categories!$A$1:$B$1,0),FALSE)</f>
        <v>Road Bikes</v>
      </c>
      <c r="G4561">
        <v>2</v>
      </c>
      <c r="H4561">
        <v>3199.99</v>
      </c>
      <c r="I4561" s="5">
        <v>0.1</v>
      </c>
      <c r="J4561">
        <f t="shared" si="142"/>
        <v>5759.982</v>
      </c>
      <c r="K4561" s="9">
        <f t="shared" si="143"/>
        <v>1.4691714592873595</v>
      </c>
    </row>
    <row r="4562" spans="1:11" x14ac:dyDescent="0.3">
      <c r="A4562">
        <v>1559</v>
      </c>
      <c r="B4562">
        <v>4</v>
      </c>
      <c r="C4562">
        <v>221</v>
      </c>
      <c r="D4562" t="str">
        <f>VLOOKUP($C4562,products!$A$1:$F$322,MATCH(order_items!$D$1,products!$A$1:$F$1,0),FALSE)</f>
        <v>Electra Cruiser 7D Ladies' - 2016/2018</v>
      </c>
      <c r="E4562">
        <f>VLOOKUP($C4562,products!$A$1:$F$322,MATCH(order_items!$E$1,products!$A$1:$F$1,0),FALSE)</f>
        <v>3</v>
      </c>
      <c r="F4562" t="str">
        <f>VLOOKUP($E4562,categories!$A$1:$B$8,MATCH(order_items!$F$1,categories!$A$1:$B$1,0),FALSE)</f>
        <v>Cruisers Bicycles</v>
      </c>
      <c r="G4562">
        <v>1</v>
      </c>
      <c r="H4562">
        <v>319.99</v>
      </c>
      <c r="I4562" s="5">
        <v>0.1</v>
      </c>
      <c r="J4562">
        <f t="shared" si="142"/>
        <v>287.99100000000004</v>
      </c>
      <c r="K4562" s="9">
        <f t="shared" si="143"/>
        <v>-0.65997454490476892</v>
      </c>
    </row>
    <row r="4563" spans="1:11" x14ac:dyDescent="0.3">
      <c r="A4563">
        <v>1560</v>
      </c>
      <c r="B4563">
        <v>1</v>
      </c>
      <c r="C4563">
        <v>118</v>
      </c>
      <c r="D4563" t="str">
        <f>VLOOKUP($C4563,products!$A$1:$F$322,MATCH(order_items!$D$1,products!$A$1:$F$1,0),FALSE)</f>
        <v>Trek X-Caliber 8 - 2018</v>
      </c>
      <c r="E4563">
        <f>VLOOKUP($C4563,products!$A$1:$F$322,MATCH(order_items!$E$1,products!$A$1:$F$1,0),FALSE)</f>
        <v>6</v>
      </c>
      <c r="F4563" t="str">
        <f>VLOOKUP($E4563,categories!$A$1:$B$8,MATCH(order_items!$F$1,categories!$A$1:$B$1,0),FALSE)</f>
        <v>Mountain Bikes</v>
      </c>
      <c r="G4563">
        <v>2</v>
      </c>
      <c r="H4563">
        <v>999.99</v>
      </c>
      <c r="I4563" s="5">
        <v>0.2</v>
      </c>
      <c r="J4563">
        <f t="shared" si="142"/>
        <v>1599.9840000000002</v>
      </c>
      <c r="K4563" s="9">
        <f t="shared" si="143"/>
        <v>-0.15725951613718298</v>
      </c>
    </row>
    <row r="4564" spans="1:11" x14ac:dyDescent="0.3">
      <c r="A4564">
        <v>1560</v>
      </c>
      <c r="B4564">
        <v>2</v>
      </c>
      <c r="C4564">
        <v>41</v>
      </c>
      <c r="D4564" t="str">
        <f>VLOOKUP($C4564,products!$A$1:$F$322,MATCH(order_items!$D$1,products!$A$1:$F$1,0),FALSE)</f>
        <v>Haro Shift R3 - 2017</v>
      </c>
      <c r="E4564">
        <f>VLOOKUP($C4564,products!$A$1:$F$322,MATCH(order_items!$E$1,products!$A$1:$F$1,0),FALSE)</f>
        <v>6</v>
      </c>
      <c r="F4564" t="str">
        <f>VLOOKUP($E4564,categories!$A$1:$B$8,MATCH(order_items!$F$1,categories!$A$1:$B$1,0),FALSE)</f>
        <v>Mountain Bikes</v>
      </c>
      <c r="G4564">
        <v>1</v>
      </c>
      <c r="H4564">
        <v>1469.99</v>
      </c>
      <c r="I4564" s="5">
        <v>0.2</v>
      </c>
      <c r="J4564">
        <f t="shared" si="142"/>
        <v>1175.992</v>
      </c>
      <c r="K4564" s="9">
        <f t="shared" si="143"/>
        <v>0.19020528315806023</v>
      </c>
    </row>
    <row r="4565" spans="1:11" x14ac:dyDescent="0.3">
      <c r="A4565">
        <v>1561</v>
      </c>
      <c r="B4565">
        <v>1</v>
      </c>
      <c r="C4565">
        <v>181</v>
      </c>
      <c r="D4565" t="str">
        <f>VLOOKUP($C4565,products!$A$1:$F$322,MATCH(order_items!$D$1,products!$A$1:$F$1,0),FALSE)</f>
        <v>Trek Domane SL 5 - 2018</v>
      </c>
      <c r="E4565">
        <f>VLOOKUP($C4565,products!$A$1:$F$322,MATCH(order_items!$E$1,products!$A$1:$F$1,0),FALSE)</f>
        <v>7</v>
      </c>
      <c r="F4565" t="str">
        <f>VLOOKUP($E4565,categories!$A$1:$B$8,MATCH(order_items!$F$1,categories!$A$1:$B$1,0),FALSE)</f>
        <v>Road Bikes</v>
      </c>
      <c r="G4565">
        <v>2</v>
      </c>
      <c r="H4565">
        <v>2199.9899999999998</v>
      </c>
      <c r="I4565" s="5">
        <v>7.0000000000000007E-2</v>
      </c>
      <c r="J4565">
        <f t="shared" si="142"/>
        <v>4091.9813999999992</v>
      </c>
      <c r="K4565" s="9">
        <f t="shared" si="143"/>
        <v>0.7298846522762038</v>
      </c>
    </row>
    <row r="4566" spans="1:11" x14ac:dyDescent="0.3">
      <c r="A4566">
        <v>1561</v>
      </c>
      <c r="B4566">
        <v>2</v>
      </c>
      <c r="C4566">
        <v>297</v>
      </c>
      <c r="D4566" t="str">
        <f>VLOOKUP($C4566,products!$A$1:$F$322,MATCH(order_items!$D$1,products!$A$1:$F$1,0),FALSE)</f>
        <v>Electra Under-The-Sea 1 16" - 2018</v>
      </c>
      <c r="E4566">
        <f>VLOOKUP($C4566,products!$A$1:$F$322,MATCH(order_items!$E$1,products!$A$1:$F$1,0),FALSE)</f>
        <v>1</v>
      </c>
      <c r="F4566" t="str">
        <f>VLOOKUP($E4566,categories!$A$1:$B$8,MATCH(order_items!$F$1,categories!$A$1:$B$1,0),FALSE)</f>
        <v>Children Bicycles</v>
      </c>
      <c r="G4566">
        <v>2</v>
      </c>
      <c r="H4566">
        <v>279.99</v>
      </c>
      <c r="I4566" s="5">
        <v>0.05</v>
      </c>
      <c r="J4566">
        <f t="shared" si="142"/>
        <v>531.98099999999999</v>
      </c>
      <c r="K4566" s="9">
        <f t="shared" si="143"/>
        <v>-0.68954601718521513</v>
      </c>
    </row>
    <row r="4567" spans="1:11" x14ac:dyDescent="0.3">
      <c r="A4567">
        <v>1562</v>
      </c>
      <c r="B4567">
        <v>1</v>
      </c>
      <c r="C4567">
        <v>54</v>
      </c>
      <c r="D4567" t="str">
        <f>VLOOKUP($C4567,products!$A$1:$F$322,MATCH(order_items!$D$1,products!$A$1:$F$1,0),FALSE)</f>
        <v>Trek Domane SL Disc Frameset - 2017</v>
      </c>
      <c r="E4567">
        <f>VLOOKUP($C4567,products!$A$1:$F$322,MATCH(order_items!$E$1,products!$A$1:$F$1,0),FALSE)</f>
        <v>7</v>
      </c>
      <c r="F4567" t="str">
        <f>VLOOKUP($E4567,categories!$A$1:$B$8,MATCH(order_items!$F$1,categories!$A$1:$B$1,0),FALSE)</f>
        <v>Road Bikes</v>
      </c>
      <c r="G4567">
        <v>1</v>
      </c>
      <c r="H4567">
        <v>3199.99</v>
      </c>
      <c r="I4567" s="5">
        <v>0.2</v>
      </c>
      <c r="J4567">
        <f t="shared" si="142"/>
        <v>2559.9920000000002</v>
      </c>
      <c r="K4567" s="9">
        <f t="shared" si="143"/>
        <v>1.4691714592873595</v>
      </c>
    </row>
    <row r="4568" spans="1:11" x14ac:dyDescent="0.3">
      <c r="A4568">
        <v>1562</v>
      </c>
      <c r="B4568">
        <v>2</v>
      </c>
      <c r="C4568">
        <v>66</v>
      </c>
      <c r="D4568" t="str">
        <f>VLOOKUP($C4568,products!$A$1:$F$322,MATCH(order_items!$D$1,products!$A$1:$F$1,0),FALSE)</f>
        <v>Sun Bicycles Revolutions 24 - 2017</v>
      </c>
      <c r="E4568">
        <f>VLOOKUP($C4568,products!$A$1:$F$322,MATCH(order_items!$E$1,products!$A$1:$F$1,0),FALSE)</f>
        <v>3</v>
      </c>
      <c r="F4568" t="str">
        <f>VLOOKUP($E4568,categories!$A$1:$B$8,MATCH(order_items!$F$1,categories!$A$1:$B$1,0),FALSE)</f>
        <v>Cruisers Bicycles</v>
      </c>
      <c r="G4568">
        <v>1</v>
      </c>
      <c r="H4568">
        <v>250.99</v>
      </c>
      <c r="I4568" s="5">
        <v>0.2</v>
      </c>
      <c r="J4568">
        <f t="shared" si="142"/>
        <v>200.79200000000003</v>
      </c>
      <c r="K4568" s="9">
        <f t="shared" si="143"/>
        <v>-0.71098533458853863</v>
      </c>
    </row>
    <row r="4569" spans="1:11" x14ac:dyDescent="0.3">
      <c r="A4569">
        <v>1562</v>
      </c>
      <c r="B4569">
        <v>3</v>
      </c>
      <c r="C4569">
        <v>115</v>
      </c>
      <c r="D4569" t="str">
        <f>VLOOKUP($C4569,products!$A$1:$F$322,MATCH(order_items!$D$1,products!$A$1:$F$1,0),FALSE)</f>
        <v>Trek Fuel EX 8 29 - 2018</v>
      </c>
      <c r="E4569">
        <f>VLOOKUP($C4569,products!$A$1:$F$322,MATCH(order_items!$E$1,products!$A$1:$F$1,0),FALSE)</f>
        <v>6</v>
      </c>
      <c r="F4569" t="str">
        <f>VLOOKUP($E4569,categories!$A$1:$B$8,MATCH(order_items!$F$1,categories!$A$1:$B$1,0),FALSE)</f>
        <v>Mountain Bikes</v>
      </c>
      <c r="G4569">
        <v>2</v>
      </c>
      <c r="H4569">
        <v>3199.99</v>
      </c>
      <c r="I4569" s="5">
        <v>7.0000000000000007E-2</v>
      </c>
      <c r="J4569">
        <f t="shared" si="142"/>
        <v>5951.9813999999988</v>
      </c>
      <c r="K4569" s="9">
        <f t="shared" si="143"/>
        <v>1.4691714592873595</v>
      </c>
    </row>
    <row r="4570" spans="1:11" x14ac:dyDescent="0.3">
      <c r="A4570">
        <v>1563</v>
      </c>
      <c r="B4570">
        <v>1</v>
      </c>
      <c r="C4570">
        <v>188</v>
      </c>
      <c r="D4570" t="str">
        <f>VLOOKUP($C4570,products!$A$1:$F$322,MATCH(order_items!$D$1,products!$A$1:$F$1,0),FALSE)</f>
        <v>Trek XM700+ Lowstep - 2018</v>
      </c>
      <c r="E4570">
        <f>VLOOKUP($C4570,products!$A$1:$F$322,MATCH(order_items!$E$1,products!$A$1:$F$1,0),FALSE)</f>
        <v>5</v>
      </c>
      <c r="F4570" t="str">
        <f>VLOOKUP($E4570,categories!$A$1:$B$8,MATCH(order_items!$F$1,categories!$A$1:$B$1,0),FALSE)</f>
        <v>Electric Bikes</v>
      </c>
      <c r="G4570">
        <v>1</v>
      </c>
      <c r="H4570">
        <v>3499.99</v>
      </c>
      <c r="I4570" s="5">
        <v>7.0000000000000007E-2</v>
      </c>
      <c r="J4570">
        <f t="shared" si="142"/>
        <v>3254.9906999999994</v>
      </c>
      <c r="K4570" s="9">
        <f t="shared" si="143"/>
        <v>1.6909575013907066</v>
      </c>
    </row>
    <row r="4571" spans="1:11" x14ac:dyDescent="0.3">
      <c r="A4571">
        <v>1564</v>
      </c>
      <c r="B4571">
        <v>1</v>
      </c>
      <c r="C4571">
        <v>309</v>
      </c>
      <c r="D4571" t="str">
        <f>VLOOKUP($C4571,products!$A$1:$F$322,MATCH(order_items!$D$1,products!$A$1:$F$1,0),FALSE)</f>
        <v>Electra Townie Commute 27D - 2018</v>
      </c>
      <c r="E4571">
        <f>VLOOKUP($C4571,products!$A$1:$F$322,MATCH(order_items!$E$1,products!$A$1:$F$1,0),FALSE)</f>
        <v>2</v>
      </c>
      <c r="F4571" t="str">
        <f>VLOOKUP($E4571,categories!$A$1:$B$8,MATCH(order_items!$F$1,categories!$A$1:$B$1,0),FALSE)</f>
        <v>Comfort Bicycles</v>
      </c>
      <c r="G4571">
        <v>1</v>
      </c>
      <c r="H4571">
        <v>899.99</v>
      </c>
      <c r="I4571" s="5">
        <v>7.0000000000000007E-2</v>
      </c>
      <c r="J4571">
        <f t="shared" si="142"/>
        <v>836.99069999999995</v>
      </c>
      <c r="K4571" s="9">
        <f t="shared" si="143"/>
        <v>-0.23118819683829855</v>
      </c>
    </row>
    <row r="4572" spans="1:11" x14ac:dyDescent="0.3">
      <c r="A4572">
        <v>1564</v>
      </c>
      <c r="B4572">
        <v>2</v>
      </c>
      <c r="C4572">
        <v>14</v>
      </c>
      <c r="D4572" t="str">
        <f>VLOOKUP($C4572,products!$A$1:$F$322,MATCH(order_items!$D$1,products!$A$1:$F$1,0),FALSE)</f>
        <v>Electra Girl's Hawaii 1 (16-inch) - 2015/2016</v>
      </c>
      <c r="E4572">
        <f>VLOOKUP($C4572,products!$A$1:$F$322,MATCH(order_items!$E$1,products!$A$1:$F$1,0),FALSE)</f>
        <v>3</v>
      </c>
      <c r="F4572" t="str">
        <f>VLOOKUP($E4572,categories!$A$1:$B$8,MATCH(order_items!$F$1,categories!$A$1:$B$1,0),FALSE)</f>
        <v>Cruisers Bicycles</v>
      </c>
      <c r="G4572">
        <v>1</v>
      </c>
      <c r="H4572">
        <v>269.99</v>
      </c>
      <c r="I4572" s="5">
        <v>0.1</v>
      </c>
      <c r="J4572">
        <f t="shared" si="142"/>
        <v>242.99100000000001</v>
      </c>
      <c r="K4572" s="9">
        <f t="shared" si="143"/>
        <v>-0.69693888525532666</v>
      </c>
    </row>
    <row r="4573" spans="1:11" x14ac:dyDescent="0.3">
      <c r="A4573">
        <v>1565</v>
      </c>
      <c r="B4573">
        <v>1</v>
      </c>
      <c r="C4573">
        <v>37</v>
      </c>
      <c r="D4573" t="str">
        <f>VLOOKUP($C4573,products!$A$1:$F$322,MATCH(order_items!$D$1,products!$A$1:$F$1,0),FALSE)</f>
        <v>Haro Flightline One ST - 2017</v>
      </c>
      <c r="E4573">
        <f>VLOOKUP($C4573,products!$A$1:$F$322,MATCH(order_items!$E$1,products!$A$1:$F$1,0),FALSE)</f>
        <v>6</v>
      </c>
      <c r="F4573" t="str">
        <f>VLOOKUP($E4573,categories!$A$1:$B$8,MATCH(order_items!$F$1,categories!$A$1:$B$1,0),FALSE)</f>
        <v>Mountain Bikes</v>
      </c>
      <c r="G4573">
        <v>1</v>
      </c>
      <c r="H4573">
        <v>379.99</v>
      </c>
      <c r="I4573" s="5">
        <v>7.0000000000000007E-2</v>
      </c>
      <c r="J4573">
        <f t="shared" si="142"/>
        <v>353.39069999999998</v>
      </c>
      <c r="K4573" s="9">
        <f t="shared" si="143"/>
        <v>-0.61561733648409955</v>
      </c>
    </row>
    <row r="4574" spans="1:11" x14ac:dyDescent="0.3">
      <c r="A4574">
        <v>1565</v>
      </c>
      <c r="B4574">
        <v>2</v>
      </c>
      <c r="C4574">
        <v>92</v>
      </c>
      <c r="D4574" t="str">
        <f>VLOOKUP($C4574,products!$A$1:$F$322,MATCH(order_items!$D$1,products!$A$1:$F$1,0),FALSE)</f>
        <v>Haro Shredder 20 - 2017</v>
      </c>
      <c r="E4574">
        <f>VLOOKUP($C4574,products!$A$1:$F$322,MATCH(order_items!$E$1,products!$A$1:$F$1,0),FALSE)</f>
        <v>1</v>
      </c>
      <c r="F4574" t="str">
        <f>VLOOKUP($E4574,categories!$A$1:$B$8,MATCH(order_items!$F$1,categories!$A$1:$B$1,0),FALSE)</f>
        <v>Children Bicycles</v>
      </c>
      <c r="G4574">
        <v>1</v>
      </c>
      <c r="H4574">
        <v>209.99</v>
      </c>
      <c r="I4574" s="5">
        <v>0.1</v>
      </c>
      <c r="J4574">
        <f t="shared" si="142"/>
        <v>188.99100000000001</v>
      </c>
      <c r="K4574" s="9">
        <f t="shared" si="143"/>
        <v>-0.74129609367599603</v>
      </c>
    </row>
    <row r="4575" spans="1:11" x14ac:dyDescent="0.3">
      <c r="A4575">
        <v>1565</v>
      </c>
      <c r="B4575">
        <v>3</v>
      </c>
      <c r="C4575">
        <v>261</v>
      </c>
      <c r="D4575" t="str">
        <f>VLOOKUP($C4575,products!$A$1:$F$322,MATCH(order_items!$D$1,products!$A$1:$F$1,0),FALSE)</f>
        <v>Electra Townie Balloon 7i EQ - 2018</v>
      </c>
      <c r="E4575">
        <f>VLOOKUP($C4575,products!$A$1:$F$322,MATCH(order_items!$E$1,products!$A$1:$F$1,0),FALSE)</f>
        <v>3</v>
      </c>
      <c r="F4575" t="str">
        <f>VLOOKUP($E4575,categories!$A$1:$B$8,MATCH(order_items!$F$1,categories!$A$1:$B$1,0),FALSE)</f>
        <v>Cruisers Bicycles</v>
      </c>
      <c r="G4575">
        <v>1</v>
      </c>
      <c r="H4575">
        <v>899.99</v>
      </c>
      <c r="I4575" s="5">
        <v>0.1</v>
      </c>
      <c r="J4575">
        <f t="shared" si="142"/>
        <v>809.99099999999999</v>
      </c>
      <c r="K4575" s="9">
        <f t="shared" si="143"/>
        <v>-0.23118819683829855</v>
      </c>
    </row>
    <row r="4576" spans="1:11" x14ac:dyDescent="0.3">
      <c r="A4576">
        <v>1565</v>
      </c>
      <c r="B4576">
        <v>4</v>
      </c>
      <c r="C4576">
        <v>95</v>
      </c>
      <c r="D4576" t="str">
        <f>VLOOKUP($C4576,products!$A$1:$F$322,MATCH(order_items!$D$1,products!$A$1:$F$1,0),FALSE)</f>
        <v>Electra Girl's Hawaii 1 16" - 2017</v>
      </c>
      <c r="E4576">
        <f>VLOOKUP($C4576,products!$A$1:$F$322,MATCH(order_items!$E$1,products!$A$1:$F$1,0),FALSE)</f>
        <v>1</v>
      </c>
      <c r="F4576" t="str">
        <f>VLOOKUP($E4576,categories!$A$1:$B$8,MATCH(order_items!$F$1,categories!$A$1:$B$1,0),FALSE)</f>
        <v>Children Bicycles</v>
      </c>
      <c r="G4576">
        <v>1</v>
      </c>
      <c r="H4576">
        <v>299.99</v>
      </c>
      <c r="I4576" s="5">
        <v>7.0000000000000007E-2</v>
      </c>
      <c r="J4576">
        <f t="shared" si="142"/>
        <v>278.9907</v>
      </c>
      <c r="K4576" s="9">
        <f t="shared" si="143"/>
        <v>-0.67476028104499197</v>
      </c>
    </row>
    <row r="4577" spans="1:11" x14ac:dyDescent="0.3">
      <c r="A4577">
        <v>1565</v>
      </c>
      <c r="B4577">
        <v>5</v>
      </c>
      <c r="C4577">
        <v>226</v>
      </c>
      <c r="D4577" t="str">
        <f>VLOOKUP($C4577,products!$A$1:$F$322,MATCH(order_items!$D$1,products!$A$1:$F$1,0),FALSE)</f>
        <v>Electra Townie Original 21D EQ - 2017/2018</v>
      </c>
      <c r="E4577">
        <f>VLOOKUP($C4577,products!$A$1:$F$322,MATCH(order_items!$E$1,products!$A$1:$F$1,0),FALSE)</f>
        <v>3</v>
      </c>
      <c r="F4577" t="str">
        <f>VLOOKUP($E4577,categories!$A$1:$B$8,MATCH(order_items!$F$1,categories!$A$1:$B$1,0),FALSE)</f>
        <v>Cruisers Bicycles</v>
      </c>
      <c r="G4577">
        <v>2</v>
      </c>
      <c r="H4577">
        <v>679.99</v>
      </c>
      <c r="I4577" s="5">
        <v>0.2</v>
      </c>
      <c r="J4577">
        <f t="shared" si="142"/>
        <v>1087.9840000000002</v>
      </c>
      <c r="K4577" s="9">
        <f t="shared" si="143"/>
        <v>-0.39383129438075282</v>
      </c>
    </row>
    <row r="4578" spans="1:11" x14ac:dyDescent="0.3">
      <c r="A4578">
        <v>1566</v>
      </c>
      <c r="B4578">
        <v>1</v>
      </c>
      <c r="C4578">
        <v>179</v>
      </c>
      <c r="D4578" t="str">
        <f>VLOOKUP($C4578,products!$A$1:$F$322,MATCH(order_items!$D$1,products!$A$1:$F$1,0),FALSE)</f>
        <v>Trek Domane AL 3 - 2018</v>
      </c>
      <c r="E4578">
        <f>VLOOKUP($C4578,products!$A$1:$F$322,MATCH(order_items!$E$1,products!$A$1:$F$1,0),FALSE)</f>
        <v>7</v>
      </c>
      <c r="F4578" t="str">
        <f>VLOOKUP($E4578,categories!$A$1:$B$8,MATCH(order_items!$F$1,categories!$A$1:$B$1,0),FALSE)</f>
        <v>Road Bikes</v>
      </c>
      <c r="G4578">
        <v>1</v>
      </c>
      <c r="H4578">
        <v>919.99</v>
      </c>
      <c r="I4578" s="5">
        <v>0.05</v>
      </c>
      <c r="J4578">
        <f t="shared" si="142"/>
        <v>873.9905</v>
      </c>
      <c r="K4578" s="9">
        <f t="shared" si="143"/>
        <v>-0.21640246069807545</v>
      </c>
    </row>
    <row r="4579" spans="1:11" x14ac:dyDescent="0.3">
      <c r="A4579">
        <v>1566</v>
      </c>
      <c r="B4579">
        <v>2</v>
      </c>
      <c r="C4579">
        <v>61</v>
      </c>
      <c r="D4579" t="str">
        <f>VLOOKUP($C4579,products!$A$1:$F$322,MATCH(order_items!$D$1,products!$A$1:$F$1,0),FALSE)</f>
        <v>Trek Powerfly 8 FS Plus - 2017</v>
      </c>
      <c r="E4579">
        <f>VLOOKUP($C4579,products!$A$1:$F$322,MATCH(order_items!$E$1,products!$A$1:$F$1,0),FALSE)</f>
        <v>5</v>
      </c>
      <c r="F4579" t="str">
        <f>VLOOKUP($E4579,categories!$A$1:$B$8,MATCH(order_items!$F$1,categories!$A$1:$B$1,0),FALSE)</f>
        <v>Electric Bikes</v>
      </c>
      <c r="G4579">
        <v>2</v>
      </c>
      <c r="H4579">
        <v>4999.99</v>
      </c>
      <c r="I4579" s="5">
        <v>0.05</v>
      </c>
      <c r="J4579">
        <f t="shared" si="142"/>
        <v>9499.9809999999998</v>
      </c>
      <c r="K4579" s="9">
        <f t="shared" si="143"/>
        <v>2.7998877119074401</v>
      </c>
    </row>
    <row r="4580" spans="1:11" x14ac:dyDescent="0.3">
      <c r="A4580">
        <v>1567</v>
      </c>
      <c r="B4580">
        <v>1</v>
      </c>
      <c r="C4580">
        <v>279</v>
      </c>
      <c r="D4580" t="str">
        <f>VLOOKUP($C4580,products!$A$1:$F$322,MATCH(order_items!$D$1,products!$A$1:$F$1,0),FALSE)</f>
        <v>Trek Precaliber 24 7-speed Girl's - 2018</v>
      </c>
      <c r="E4580">
        <f>VLOOKUP($C4580,products!$A$1:$F$322,MATCH(order_items!$E$1,products!$A$1:$F$1,0),FALSE)</f>
        <v>1</v>
      </c>
      <c r="F4580" t="str">
        <f>VLOOKUP($E4580,categories!$A$1:$B$8,MATCH(order_items!$F$1,categories!$A$1:$B$1,0),FALSE)</f>
        <v>Children Bicycles</v>
      </c>
      <c r="G4580">
        <v>1</v>
      </c>
      <c r="H4580">
        <v>319.99</v>
      </c>
      <c r="I4580" s="5">
        <v>0.2</v>
      </c>
      <c r="J4580">
        <f t="shared" si="142"/>
        <v>255.99200000000002</v>
      </c>
      <c r="K4580" s="9">
        <f t="shared" si="143"/>
        <v>-0.65997454490476892</v>
      </c>
    </row>
    <row r="4581" spans="1:11" x14ac:dyDescent="0.3">
      <c r="A4581">
        <v>1568</v>
      </c>
      <c r="B4581">
        <v>1</v>
      </c>
      <c r="C4581">
        <v>146</v>
      </c>
      <c r="D4581" t="str">
        <f>VLOOKUP($C4581,products!$A$1:$F$322,MATCH(order_items!$D$1,products!$A$1:$F$1,0),FALSE)</f>
        <v>Trek Domane SLR 6 - 2018</v>
      </c>
      <c r="E4581">
        <f>VLOOKUP($C4581,products!$A$1:$F$322,MATCH(order_items!$E$1,products!$A$1:$F$1,0),FALSE)</f>
        <v>7</v>
      </c>
      <c r="F4581" t="str">
        <f>VLOOKUP($E4581,categories!$A$1:$B$8,MATCH(order_items!$F$1,categories!$A$1:$B$1,0),FALSE)</f>
        <v>Road Bikes</v>
      </c>
      <c r="G4581">
        <v>1</v>
      </c>
      <c r="H4581">
        <v>4999.99</v>
      </c>
      <c r="I4581" s="5">
        <v>0.2</v>
      </c>
      <c r="J4581">
        <f t="shared" si="142"/>
        <v>3999.9920000000002</v>
      </c>
      <c r="K4581" s="9">
        <f t="shared" si="143"/>
        <v>2.7998877119074401</v>
      </c>
    </row>
    <row r="4582" spans="1:11" x14ac:dyDescent="0.3">
      <c r="A4582">
        <v>1568</v>
      </c>
      <c r="B4582">
        <v>2</v>
      </c>
      <c r="C4582">
        <v>105</v>
      </c>
      <c r="D4582" t="str">
        <f>VLOOKUP($C4582,products!$A$1:$F$322,MATCH(order_items!$D$1,products!$A$1:$F$1,0),FALSE)</f>
        <v>Sun Bicycles Streamway 7 - 2017</v>
      </c>
      <c r="E4582">
        <f>VLOOKUP($C4582,products!$A$1:$F$322,MATCH(order_items!$E$1,products!$A$1:$F$1,0),FALSE)</f>
        <v>2</v>
      </c>
      <c r="F4582" t="str">
        <f>VLOOKUP($E4582,categories!$A$1:$B$8,MATCH(order_items!$F$1,categories!$A$1:$B$1,0),FALSE)</f>
        <v>Comfort Bicycles</v>
      </c>
      <c r="G4582">
        <v>1</v>
      </c>
      <c r="H4582">
        <v>533.99</v>
      </c>
      <c r="I4582" s="5">
        <v>7.0000000000000007E-2</v>
      </c>
      <c r="J4582">
        <f t="shared" si="142"/>
        <v>496.61069999999995</v>
      </c>
      <c r="K4582" s="9">
        <f t="shared" si="143"/>
        <v>-0.50176716820438161</v>
      </c>
    </row>
    <row r="4583" spans="1:11" x14ac:dyDescent="0.3">
      <c r="A4583">
        <v>1568</v>
      </c>
      <c r="B4583">
        <v>3</v>
      </c>
      <c r="C4583">
        <v>301</v>
      </c>
      <c r="D4583" t="str">
        <f>VLOOKUP($C4583,products!$A$1:$F$322,MATCH(order_items!$D$1,products!$A$1:$F$1,0),FALSE)</f>
        <v>Electra Townie Balloon 7i EQ - 2018</v>
      </c>
      <c r="E4583">
        <f>VLOOKUP($C4583,products!$A$1:$F$322,MATCH(order_items!$E$1,products!$A$1:$F$1,0),FALSE)</f>
        <v>2</v>
      </c>
      <c r="F4583" t="str">
        <f>VLOOKUP($E4583,categories!$A$1:$B$8,MATCH(order_items!$F$1,categories!$A$1:$B$1,0),FALSE)</f>
        <v>Comfort Bicycles</v>
      </c>
      <c r="G4583">
        <v>1</v>
      </c>
      <c r="H4583">
        <v>899.99</v>
      </c>
      <c r="I4583" s="5">
        <v>0.1</v>
      </c>
      <c r="J4583">
        <f t="shared" si="142"/>
        <v>809.99099999999999</v>
      </c>
      <c r="K4583" s="9">
        <f t="shared" si="143"/>
        <v>-0.23118819683829855</v>
      </c>
    </row>
    <row r="4584" spans="1:11" x14ac:dyDescent="0.3">
      <c r="A4584">
        <v>1569</v>
      </c>
      <c r="B4584">
        <v>1</v>
      </c>
      <c r="C4584">
        <v>252</v>
      </c>
      <c r="D4584" t="str">
        <f>VLOOKUP($C4584,products!$A$1:$F$322,MATCH(order_items!$D$1,products!$A$1:$F$1,0),FALSE)</f>
        <v>Electra Townie Commute Go! Ladies' - 2018</v>
      </c>
      <c r="E4584">
        <f>VLOOKUP($C4584,products!$A$1:$F$322,MATCH(order_items!$E$1,products!$A$1:$F$1,0),FALSE)</f>
        <v>3</v>
      </c>
      <c r="F4584" t="str">
        <f>VLOOKUP($E4584,categories!$A$1:$B$8,MATCH(order_items!$F$1,categories!$A$1:$B$1,0),FALSE)</f>
        <v>Cruisers Bicycles</v>
      </c>
      <c r="G4584">
        <v>1</v>
      </c>
      <c r="H4584">
        <v>2999.99</v>
      </c>
      <c r="I4584" s="5">
        <v>0.1</v>
      </c>
      <c r="J4584">
        <f t="shared" si="142"/>
        <v>2699.991</v>
      </c>
      <c r="K4584" s="9">
        <f t="shared" si="143"/>
        <v>1.3213140978851283</v>
      </c>
    </row>
    <row r="4585" spans="1:11" x14ac:dyDescent="0.3">
      <c r="A4585">
        <v>1570</v>
      </c>
      <c r="B4585">
        <v>1</v>
      </c>
      <c r="C4585">
        <v>155</v>
      </c>
      <c r="D4585" t="str">
        <f>VLOOKUP($C4585,products!$A$1:$F$322,MATCH(order_items!$D$1,products!$A$1:$F$1,0),FALSE)</f>
        <v>Trek Domane SLR 9 Disc - 2018</v>
      </c>
      <c r="E4585">
        <f>VLOOKUP($C4585,products!$A$1:$F$322,MATCH(order_items!$E$1,products!$A$1:$F$1,0),FALSE)</f>
        <v>7</v>
      </c>
      <c r="F4585" t="str">
        <f>VLOOKUP($E4585,categories!$A$1:$B$8,MATCH(order_items!$F$1,categories!$A$1:$B$1,0),FALSE)</f>
        <v>Road Bikes</v>
      </c>
      <c r="G4585">
        <v>1</v>
      </c>
      <c r="H4585">
        <v>11999.99</v>
      </c>
      <c r="I4585" s="5">
        <v>7.0000000000000007E-2</v>
      </c>
      <c r="J4585">
        <f t="shared" si="142"/>
        <v>11159.990699999998</v>
      </c>
      <c r="K4585" s="9">
        <f t="shared" si="143"/>
        <v>7.9748953609855304</v>
      </c>
    </row>
    <row r="4586" spans="1:11" x14ac:dyDescent="0.3">
      <c r="A4586">
        <v>1571</v>
      </c>
      <c r="B4586">
        <v>1</v>
      </c>
      <c r="C4586">
        <v>312</v>
      </c>
      <c r="D4586" t="str">
        <f>VLOOKUP($C4586,products!$A$1:$F$322,MATCH(order_items!$D$1,products!$A$1:$F$1,0),FALSE)</f>
        <v>Electra Townie Commute 8D Ladies' - 2018</v>
      </c>
      <c r="E4586">
        <f>VLOOKUP($C4586,products!$A$1:$F$322,MATCH(order_items!$E$1,products!$A$1:$F$1,0),FALSE)</f>
        <v>2</v>
      </c>
      <c r="F4586" t="str">
        <f>VLOOKUP($E4586,categories!$A$1:$B$8,MATCH(order_items!$F$1,categories!$A$1:$B$1,0),FALSE)</f>
        <v>Comfort Bicycles</v>
      </c>
      <c r="G4586">
        <v>2</v>
      </c>
      <c r="H4586">
        <v>699.99</v>
      </c>
      <c r="I4586" s="5">
        <v>0.1</v>
      </c>
      <c r="J4586">
        <f t="shared" si="142"/>
        <v>1259.982</v>
      </c>
      <c r="K4586" s="9">
        <f t="shared" si="143"/>
        <v>-0.37904555824052971</v>
      </c>
    </row>
    <row r="4587" spans="1:11" x14ac:dyDescent="0.3">
      <c r="A4587">
        <v>1571</v>
      </c>
      <c r="B4587">
        <v>2</v>
      </c>
      <c r="C4587">
        <v>212</v>
      </c>
      <c r="D4587" t="str">
        <f>VLOOKUP($C4587,products!$A$1:$F$322,MATCH(order_items!$D$1,products!$A$1:$F$1,0),FALSE)</f>
        <v>Electra Townie Original 21D - 2018</v>
      </c>
      <c r="E4587">
        <f>VLOOKUP($C4587,products!$A$1:$F$322,MATCH(order_items!$E$1,products!$A$1:$F$1,0),FALSE)</f>
        <v>3</v>
      </c>
      <c r="F4587" t="str">
        <f>VLOOKUP($E4587,categories!$A$1:$B$8,MATCH(order_items!$F$1,categories!$A$1:$B$1,0),FALSE)</f>
        <v>Cruisers Bicycles</v>
      </c>
      <c r="G4587">
        <v>1</v>
      </c>
      <c r="H4587">
        <v>559.99</v>
      </c>
      <c r="I4587" s="5">
        <v>7.0000000000000007E-2</v>
      </c>
      <c r="J4587">
        <f t="shared" si="142"/>
        <v>520.79070000000002</v>
      </c>
      <c r="K4587" s="9">
        <f t="shared" si="143"/>
        <v>-0.4825457112220915</v>
      </c>
    </row>
    <row r="4588" spans="1:11" x14ac:dyDescent="0.3">
      <c r="A4588">
        <v>1571</v>
      </c>
      <c r="B4588">
        <v>3</v>
      </c>
      <c r="C4588">
        <v>20</v>
      </c>
      <c r="D4588" t="str">
        <f>VLOOKUP($C4588,products!$A$1:$F$322,MATCH(order_items!$D$1,products!$A$1:$F$1,0),FALSE)</f>
        <v>Electra Townie Original 7D EQ - Women's - 2016</v>
      </c>
      <c r="E4588">
        <f>VLOOKUP($C4588,products!$A$1:$F$322,MATCH(order_items!$E$1,products!$A$1:$F$1,0),FALSE)</f>
        <v>3</v>
      </c>
      <c r="F4588" t="str">
        <f>VLOOKUP($E4588,categories!$A$1:$B$8,MATCH(order_items!$F$1,categories!$A$1:$B$1,0),FALSE)</f>
        <v>Cruisers Bicycles</v>
      </c>
      <c r="G4588">
        <v>2</v>
      </c>
      <c r="H4588">
        <v>599.99</v>
      </c>
      <c r="I4588" s="5">
        <v>0.2</v>
      </c>
      <c r="J4588">
        <f t="shared" si="142"/>
        <v>959.98400000000004</v>
      </c>
      <c r="K4588" s="9">
        <f t="shared" si="143"/>
        <v>-0.45297423894164529</v>
      </c>
    </row>
    <row r="4589" spans="1:11" x14ac:dyDescent="0.3">
      <c r="A4589">
        <v>1572</v>
      </c>
      <c r="B4589">
        <v>1</v>
      </c>
      <c r="C4589">
        <v>216</v>
      </c>
      <c r="D4589" t="str">
        <f>VLOOKUP($C4589,products!$A$1:$F$322,MATCH(order_items!$D$1,products!$A$1:$F$1,0),FALSE)</f>
        <v>Electra Super Moto 8i - 2018</v>
      </c>
      <c r="E4589">
        <f>VLOOKUP($C4589,products!$A$1:$F$322,MATCH(order_items!$E$1,products!$A$1:$F$1,0),FALSE)</f>
        <v>3</v>
      </c>
      <c r="F4589" t="str">
        <f>VLOOKUP($E4589,categories!$A$1:$B$8,MATCH(order_items!$F$1,categories!$A$1:$B$1,0),FALSE)</f>
        <v>Cruisers Bicycles</v>
      </c>
      <c r="G4589">
        <v>2</v>
      </c>
      <c r="H4589">
        <v>899.99</v>
      </c>
      <c r="I4589" s="5">
        <v>0.05</v>
      </c>
      <c r="J4589">
        <f t="shared" si="142"/>
        <v>1709.981</v>
      </c>
      <c r="K4589" s="9">
        <f t="shared" si="143"/>
        <v>-0.23118819683829855</v>
      </c>
    </row>
    <row r="4590" spans="1:11" x14ac:dyDescent="0.3">
      <c r="A4590">
        <v>1572</v>
      </c>
      <c r="B4590">
        <v>2</v>
      </c>
      <c r="C4590">
        <v>198</v>
      </c>
      <c r="D4590" t="str">
        <f>VLOOKUP($C4590,products!$A$1:$F$322,MATCH(order_items!$D$1,products!$A$1:$F$1,0),FALSE)</f>
        <v>Electra Townie Commute Go! - 2018</v>
      </c>
      <c r="E4590">
        <f>VLOOKUP($C4590,products!$A$1:$F$322,MATCH(order_items!$E$1,products!$A$1:$F$1,0),FALSE)</f>
        <v>5</v>
      </c>
      <c r="F4590" t="str">
        <f>VLOOKUP($E4590,categories!$A$1:$B$8,MATCH(order_items!$F$1,categories!$A$1:$B$1,0),FALSE)</f>
        <v>Electric Bikes</v>
      </c>
      <c r="G4590">
        <v>1</v>
      </c>
      <c r="H4590">
        <v>2999.99</v>
      </c>
      <c r="I4590" s="5">
        <v>0.2</v>
      </c>
      <c r="J4590">
        <f t="shared" si="142"/>
        <v>2399.9919999999997</v>
      </c>
      <c r="K4590" s="9">
        <f t="shared" si="143"/>
        <v>1.3213140978851283</v>
      </c>
    </row>
    <row r="4591" spans="1:11" x14ac:dyDescent="0.3">
      <c r="A4591">
        <v>1572</v>
      </c>
      <c r="B4591">
        <v>3</v>
      </c>
      <c r="C4591">
        <v>115</v>
      </c>
      <c r="D4591" t="str">
        <f>VLOOKUP($C4591,products!$A$1:$F$322,MATCH(order_items!$D$1,products!$A$1:$F$1,0),FALSE)</f>
        <v>Trek Fuel EX 8 29 - 2018</v>
      </c>
      <c r="E4591">
        <f>VLOOKUP($C4591,products!$A$1:$F$322,MATCH(order_items!$E$1,products!$A$1:$F$1,0),FALSE)</f>
        <v>6</v>
      </c>
      <c r="F4591" t="str">
        <f>VLOOKUP($E4591,categories!$A$1:$B$8,MATCH(order_items!$F$1,categories!$A$1:$B$1,0),FALSE)</f>
        <v>Mountain Bikes</v>
      </c>
      <c r="G4591">
        <v>1</v>
      </c>
      <c r="H4591">
        <v>3199.99</v>
      </c>
      <c r="I4591" s="5">
        <v>0.05</v>
      </c>
      <c r="J4591">
        <f t="shared" si="142"/>
        <v>3039.9904999999994</v>
      </c>
      <c r="K4591" s="9">
        <f t="shared" si="143"/>
        <v>1.4691714592873595</v>
      </c>
    </row>
    <row r="4592" spans="1:11" x14ac:dyDescent="0.3">
      <c r="A4592">
        <v>1572</v>
      </c>
      <c r="B4592">
        <v>4</v>
      </c>
      <c r="C4592">
        <v>304</v>
      </c>
      <c r="D4592" t="str">
        <f>VLOOKUP($C4592,products!$A$1:$F$322,MATCH(order_items!$D$1,products!$A$1:$F$1,0),FALSE)</f>
        <v>Electra Townie Original 21D EQ - 2017/2018</v>
      </c>
      <c r="E4592">
        <f>VLOOKUP($C4592,products!$A$1:$F$322,MATCH(order_items!$E$1,products!$A$1:$F$1,0),FALSE)</f>
        <v>2</v>
      </c>
      <c r="F4592" t="str">
        <f>VLOOKUP($E4592,categories!$A$1:$B$8,MATCH(order_items!$F$1,categories!$A$1:$B$1,0),FALSE)</f>
        <v>Comfort Bicycles</v>
      </c>
      <c r="G4592">
        <v>2</v>
      </c>
      <c r="H4592">
        <v>679.99</v>
      </c>
      <c r="I4592" s="5">
        <v>0.2</v>
      </c>
      <c r="J4592">
        <f t="shared" si="142"/>
        <v>1087.9840000000002</v>
      </c>
      <c r="K4592" s="9">
        <f t="shared" si="143"/>
        <v>-0.39383129438075282</v>
      </c>
    </row>
    <row r="4593" spans="1:11" x14ac:dyDescent="0.3">
      <c r="A4593">
        <v>1573</v>
      </c>
      <c r="B4593">
        <v>1</v>
      </c>
      <c r="C4593">
        <v>9</v>
      </c>
      <c r="D4593" t="str">
        <f>VLOOKUP($C4593,products!$A$1:$F$322,MATCH(order_items!$D$1,products!$A$1:$F$1,0),FALSE)</f>
        <v>Trek Conduit+ - 2016</v>
      </c>
      <c r="E4593">
        <f>VLOOKUP($C4593,products!$A$1:$F$322,MATCH(order_items!$E$1,products!$A$1:$F$1,0),FALSE)</f>
        <v>5</v>
      </c>
      <c r="F4593" t="str">
        <f>VLOOKUP($E4593,categories!$A$1:$B$8,MATCH(order_items!$F$1,categories!$A$1:$B$1,0),FALSE)</f>
        <v>Electric Bikes</v>
      </c>
      <c r="G4593">
        <v>1</v>
      </c>
      <c r="H4593">
        <v>2999.99</v>
      </c>
      <c r="I4593" s="5">
        <v>0.05</v>
      </c>
      <c r="J4593">
        <f t="shared" si="142"/>
        <v>2849.9904999999999</v>
      </c>
      <c r="K4593" s="9">
        <f t="shared" si="143"/>
        <v>1.3213140978851283</v>
      </c>
    </row>
    <row r="4594" spans="1:11" x14ac:dyDescent="0.3">
      <c r="A4594">
        <v>1573</v>
      </c>
      <c r="B4594">
        <v>2</v>
      </c>
      <c r="C4594">
        <v>129</v>
      </c>
      <c r="D4594" t="str">
        <f>VLOOKUP($C4594,products!$A$1:$F$322,MATCH(order_items!$D$1,products!$A$1:$F$1,0),FALSE)</f>
        <v>Trek X-Caliber 7 - 2018</v>
      </c>
      <c r="E4594">
        <f>VLOOKUP($C4594,products!$A$1:$F$322,MATCH(order_items!$E$1,products!$A$1:$F$1,0),FALSE)</f>
        <v>6</v>
      </c>
      <c r="F4594" t="str">
        <f>VLOOKUP($E4594,categories!$A$1:$B$8,MATCH(order_items!$F$1,categories!$A$1:$B$1,0),FALSE)</f>
        <v>Mountain Bikes</v>
      </c>
      <c r="G4594">
        <v>1</v>
      </c>
      <c r="H4594">
        <v>919.99</v>
      </c>
      <c r="I4594" s="5">
        <v>7.0000000000000007E-2</v>
      </c>
      <c r="J4594">
        <f t="shared" si="142"/>
        <v>855.59069999999997</v>
      </c>
      <c r="K4594" s="9">
        <f t="shared" si="143"/>
        <v>-0.21640246069807545</v>
      </c>
    </row>
    <row r="4595" spans="1:11" x14ac:dyDescent="0.3">
      <c r="A4595">
        <v>1573</v>
      </c>
      <c r="B4595">
        <v>3</v>
      </c>
      <c r="C4595">
        <v>15</v>
      </c>
      <c r="D4595" t="str">
        <f>VLOOKUP($C4595,products!$A$1:$F$322,MATCH(order_items!$D$1,products!$A$1:$F$1,0),FALSE)</f>
        <v>Electra Moto 1 - 2016</v>
      </c>
      <c r="E4595">
        <f>VLOOKUP($C4595,products!$A$1:$F$322,MATCH(order_items!$E$1,products!$A$1:$F$1,0),FALSE)</f>
        <v>3</v>
      </c>
      <c r="F4595" t="str">
        <f>VLOOKUP($E4595,categories!$A$1:$B$8,MATCH(order_items!$F$1,categories!$A$1:$B$1,0),FALSE)</f>
        <v>Cruisers Bicycles</v>
      </c>
      <c r="G4595">
        <v>2</v>
      </c>
      <c r="H4595">
        <v>529.99</v>
      </c>
      <c r="I4595" s="5">
        <v>0.1</v>
      </c>
      <c r="J4595">
        <f t="shared" si="142"/>
        <v>953.98200000000008</v>
      </c>
      <c r="K4595" s="9">
        <f t="shared" si="143"/>
        <v>-0.50472431543242624</v>
      </c>
    </row>
    <row r="4596" spans="1:11" x14ac:dyDescent="0.3">
      <c r="A4596">
        <v>1573</v>
      </c>
      <c r="B4596">
        <v>4</v>
      </c>
      <c r="C4596">
        <v>216</v>
      </c>
      <c r="D4596" t="str">
        <f>VLOOKUP($C4596,products!$A$1:$F$322,MATCH(order_items!$D$1,products!$A$1:$F$1,0),FALSE)</f>
        <v>Electra Super Moto 8i - 2018</v>
      </c>
      <c r="E4596">
        <f>VLOOKUP($C4596,products!$A$1:$F$322,MATCH(order_items!$E$1,products!$A$1:$F$1,0),FALSE)</f>
        <v>3</v>
      </c>
      <c r="F4596" t="str">
        <f>VLOOKUP($E4596,categories!$A$1:$B$8,MATCH(order_items!$F$1,categories!$A$1:$B$1,0),FALSE)</f>
        <v>Cruisers Bicycles</v>
      </c>
      <c r="G4596">
        <v>2</v>
      </c>
      <c r="H4596">
        <v>899.99</v>
      </c>
      <c r="I4596" s="5">
        <v>7.0000000000000007E-2</v>
      </c>
      <c r="J4596">
        <f t="shared" si="142"/>
        <v>1673.9813999999999</v>
      </c>
      <c r="K4596" s="9">
        <f t="shared" si="143"/>
        <v>-0.23118819683829855</v>
      </c>
    </row>
    <row r="4597" spans="1:11" x14ac:dyDescent="0.3">
      <c r="A4597">
        <v>1573</v>
      </c>
      <c r="B4597">
        <v>5</v>
      </c>
      <c r="C4597">
        <v>263</v>
      </c>
      <c r="D4597" t="str">
        <f>VLOOKUP($C4597,products!$A$1:$F$322,MATCH(order_items!$D$1,products!$A$1:$F$1,0),FALSE)</f>
        <v>Strider Classic 12 Balance Bike - 2018</v>
      </c>
      <c r="E4597">
        <f>VLOOKUP($C4597,products!$A$1:$F$322,MATCH(order_items!$E$1,products!$A$1:$F$1,0),FALSE)</f>
        <v>1</v>
      </c>
      <c r="F4597" t="str">
        <f>VLOOKUP($E4597,categories!$A$1:$B$8,MATCH(order_items!$F$1,categories!$A$1:$B$1,0),FALSE)</f>
        <v>Children Bicycles</v>
      </c>
      <c r="G4597">
        <v>2</v>
      </c>
      <c r="H4597">
        <v>89.99</v>
      </c>
      <c r="I4597" s="5">
        <v>0.1</v>
      </c>
      <c r="J4597">
        <f t="shared" si="142"/>
        <v>161.982</v>
      </c>
      <c r="K4597" s="9">
        <f t="shared" si="143"/>
        <v>-0.83001051051733477</v>
      </c>
    </row>
    <row r="4598" spans="1:11" x14ac:dyDescent="0.3">
      <c r="A4598">
        <v>1574</v>
      </c>
      <c r="B4598">
        <v>1</v>
      </c>
      <c r="C4598">
        <v>127</v>
      </c>
      <c r="D4598" t="str">
        <f>VLOOKUP($C4598,products!$A$1:$F$322,MATCH(order_items!$D$1,products!$A$1:$F$1,0),FALSE)</f>
        <v>Surly Pack Rat Frameset - 2018</v>
      </c>
      <c r="E4598">
        <f>VLOOKUP($C4598,products!$A$1:$F$322,MATCH(order_items!$E$1,products!$A$1:$F$1,0),FALSE)</f>
        <v>6</v>
      </c>
      <c r="F4598" t="str">
        <f>VLOOKUP($E4598,categories!$A$1:$B$8,MATCH(order_items!$F$1,categories!$A$1:$B$1,0),FALSE)</f>
        <v>Mountain Bikes</v>
      </c>
      <c r="G4598">
        <v>1</v>
      </c>
      <c r="H4598">
        <v>469.99</v>
      </c>
      <c r="I4598" s="5">
        <v>0.1</v>
      </c>
      <c r="J4598">
        <f t="shared" si="142"/>
        <v>422.99100000000004</v>
      </c>
      <c r="K4598" s="9">
        <f t="shared" si="143"/>
        <v>-0.5490815238530955</v>
      </c>
    </row>
    <row r="4599" spans="1:11" x14ac:dyDescent="0.3">
      <c r="A4599">
        <v>1575</v>
      </c>
      <c r="B4599">
        <v>1</v>
      </c>
      <c r="C4599">
        <v>44</v>
      </c>
      <c r="D4599" t="str">
        <f>VLOOKUP($C4599,products!$A$1:$F$322,MATCH(order_items!$D$1,products!$A$1:$F$1,0),FALSE)</f>
        <v>Haro SR 1.1 - 2017</v>
      </c>
      <c r="E4599">
        <f>VLOOKUP($C4599,products!$A$1:$F$322,MATCH(order_items!$E$1,products!$A$1:$F$1,0),FALSE)</f>
        <v>6</v>
      </c>
      <c r="F4599" t="str">
        <f>VLOOKUP($E4599,categories!$A$1:$B$8,MATCH(order_items!$F$1,categories!$A$1:$B$1,0),FALSE)</f>
        <v>Mountain Bikes</v>
      </c>
      <c r="G4599">
        <v>1</v>
      </c>
      <c r="H4599">
        <v>539.99</v>
      </c>
      <c r="I4599" s="5">
        <v>7.0000000000000007E-2</v>
      </c>
      <c r="J4599">
        <f t="shared" si="142"/>
        <v>502.19069999999999</v>
      </c>
      <c r="K4599" s="9">
        <f t="shared" si="143"/>
        <v>-0.49733144736231466</v>
      </c>
    </row>
    <row r="4600" spans="1:11" x14ac:dyDescent="0.3">
      <c r="A4600">
        <v>1575</v>
      </c>
      <c r="B4600">
        <v>2</v>
      </c>
      <c r="C4600">
        <v>207</v>
      </c>
      <c r="D4600" t="str">
        <f>VLOOKUP($C4600,products!$A$1:$F$322,MATCH(order_items!$D$1,products!$A$1:$F$1,0),FALSE)</f>
        <v>Trek Boone 7 Disc - 2018</v>
      </c>
      <c r="E4600">
        <f>VLOOKUP($C4600,products!$A$1:$F$322,MATCH(order_items!$E$1,products!$A$1:$F$1,0),FALSE)</f>
        <v>4</v>
      </c>
      <c r="F4600" t="str">
        <f>VLOOKUP($E4600,categories!$A$1:$B$8,MATCH(order_items!$F$1,categories!$A$1:$B$1,0),FALSE)</f>
        <v>Cyclocross Bicycles</v>
      </c>
      <c r="G4600">
        <v>2</v>
      </c>
      <c r="H4600">
        <v>3999.99</v>
      </c>
      <c r="I4600" s="5">
        <v>0.1</v>
      </c>
      <c r="J4600">
        <f t="shared" si="142"/>
        <v>7199.982</v>
      </c>
      <c r="K4600" s="9">
        <f t="shared" si="143"/>
        <v>2.0606009048962846</v>
      </c>
    </row>
    <row r="4601" spans="1:11" x14ac:dyDescent="0.3">
      <c r="A4601">
        <v>1575</v>
      </c>
      <c r="B4601">
        <v>3</v>
      </c>
      <c r="C4601">
        <v>213</v>
      </c>
      <c r="D4601" t="str">
        <f>VLOOKUP($C4601,products!$A$1:$F$322,MATCH(order_items!$D$1,products!$A$1:$F$1,0),FALSE)</f>
        <v>Electra Cruiser 1 - 2016/2017/2018</v>
      </c>
      <c r="E4601">
        <f>VLOOKUP($C4601,products!$A$1:$F$322,MATCH(order_items!$E$1,products!$A$1:$F$1,0),FALSE)</f>
        <v>3</v>
      </c>
      <c r="F4601" t="str">
        <f>VLOOKUP($E4601,categories!$A$1:$B$8,MATCH(order_items!$F$1,categories!$A$1:$B$1,0),FALSE)</f>
        <v>Cruisers Bicycles</v>
      </c>
      <c r="G4601">
        <v>1</v>
      </c>
      <c r="H4601">
        <v>269.99</v>
      </c>
      <c r="I4601" s="5">
        <v>7.0000000000000007E-2</v>
      </c>
      <c r="J4601">
        <f t="shared" si="142"/>
        <v>251.0907</v>
      </c>
      <c r="K4601" s="9">
        <f t="shared" si="143"/>
        <v>-0.69693888525532666</v>
      </c>
    </row>
    <row r="4602" spans="1:11" x14ac:dyDescent="0.3">
      <c r="A4602">
        <v>1575</v>
      </c>
      <c r="B4602">
        <v>4</v>
      </c>
      <c r="C4602">
        <v>126</v>
      </c>
      <c r="D4602" t="str">
        <f>VLOOKUP($C4602,products!$A$1:$F$322,MATCH(order_items!$D$1,products!$A$1:$F$1,0),FALSE)</f>
        <v>Surly Big Fat Dummy Frameset - 2018</v>
      </c>
      <c r="E4602">
        <f>VLOOKUP($C4602,products!$A$1:$F$322,MATCH(order_items!$E$1,products!$A$1:$F$1,0),FALSE)</f>
        <v>6</v>
      </c>
      <c r="F4602" t="str">
        <f>VLOOKUP($E4602,categories!$A$1:$B$8,MATCH(order_items!$F$1,categories!$A$1:$B$1,0),FALSE)</f>
        <v>Mountain Bikes</v>
      </c>
      <c r="G4602">
        <v>2</v>
      </c>
      <c r="H4602">
        <v>469.99</v>
      </c>
      <c r="I4602" s="5">
        <v>0.05</v>
      </c>
      <c r="J4602">
        <f t="shared" si="142"/>
        <v>892.98099999999999</v>
      </c>
      <c r="K4602" s="9">
        <f t="shared" si="143"/>
        <v>-0.5490815238530955</v>
      </c>
    </row>
    <row r="4603" spans="1:11" x14ac:dyDescent="0.3">
      <c r="A4603">
        <v>1575</v>
      </c>
      <c r="B4603">
        <v>5</v>
      </c>
      <c r="C4603">
        <v>92</v>
      </c>
      <c r="D4603" t="str">
        <f>VLOOKUP($C4603,products!$A$1:$F$322,MATCH(order_items!$D$1,products!$A$1:$F$1,0),FALSE)</f>
        <v>Haro Shredder 20 - 2017</v>
      </c>
      <c r="E4603">
        <f>VLOOKUP($C4603,products!$A$1:$F$322,MATCH(order_items!$E$1,products!$A$1:$F$1,0),FALSE)</f>
        <v>1</v>
      </c>
      <c r="F4603" t="str">
        <f>VLOOKUP($E4603,categories!$A$1:$B$8,MATCH(order_items!$F$1,categories!$A$1:$B$1,0),FALSE)</f>
        <v>Children Bicycles</v>
      </c>
      <c r="G4603">
        <v>2</v>
      </c>
      <c r="H4603">
        <v>209.99</v>
      </c>
      <c r="I4603" s="5">
        <v>0.2</v>
      </c>
      <c r="J4603">
        <f t="shared" si="142"/>
        <v>335.98400000000004</v>
      </c>
      <c r="K4603" s="9">
        <f t="shared" si="143"/>
        <v>-0.74129609367599603</v>
      </c>
    </row>
    <row r="4604" spans="1:11" x14ac:dyDescent="0.3">
      <c r="A4604">
        <v>1576</v>
      </c>
      <c r="B4604">
        <v>1</v>
      </c>
      <c r="C4604">
        <v>69</v>
      </c>
      <c r="D4604" t="str">
        <f>VLOOKUP($C4604,products!$A$1:$F$322,MATCH(order_items!$D$1,products!$A$1:$F$1,0),FALSE)</f>
        <v>Sun Bicycles Cruz 7 - 2017</v>
      </c>
      <c r="E4604">
        <f>VLOOKUP($C4604,products!$A$1:$F$322,MATCH(order_items!$E$1,products!$A$1:$F$1,0),FALSE)</f>
        <v>3</v>
      </c>
      <c r="F4604" t="str">
        <f>VLOOKUP($E4604,categories!$A$1:$B$8,MATCH(order_items!$F$1,categories!$A$1:$B$1,0),FALSE)</f>
        <v>Cruisers Bicycles</v>
      </c>
      <c r="G4604">
        <v>1</v>
      </c>
      <c r="H4604">
        <v>416.99</v>
      </c>
      <c r="I4604" s="5">
        <v>0.05</v>
      </c>
      <c r="J4604">
        <f t="shared" si="142"/>
        <v>396.14049999999997</v>
      </c>
      <c r="K4604" s="9">
        <f t="shared" si="143"/>
        <v>-0.58826372462468679</v>
      </c>
    </row>
    <row r="4605" spans="1:11" x14ac:dyDescent="0.3">
      <c r="A4605">
        <v>1576</v>
      </c>
      <c r="B4605">
        <v>2</v>
      </c>
      <c r="C4605">
        <v>293</v>
      </c>
      <c r="D4605" t="str">
        <f>VLOOKUP($C4605,products!$A$1:$F$322,MATCH(order_items!$D$1,products!$A$1:$F$1,0),FALSE)</f>
        <v>Electra Tiger Shark 1 (20-inch) - Boys' - 2018</v>
      </c>
      <c r="E4605">
        <f>VLOOKUP($C4605,products!$A$1:$F$322,MATCH(order_items!$E$1,products!$A$1:$F$1,0),FALSE)</f>
        <v>1</v>
      </c>
      <c r="F4605" t="str">
        <f>VLOOKUP($E4605,categories!$A$1:$B$8,MATCH(order_items!$F$1,categories!$A$1:$B$1,0),FALSE)</f>
        <v>Children Bicycles</v>
      </c>
      <c r="G4605">
        <v>1</v>
      </c>
      <c r="H4605">
        <v>319.99</v>
      </c>
      <c r="I4605" s="5">
        <v>0.05</v>
      </c>
      <c r="J4605">
        <f t="shared" si="142"/>
        <v>303.9905</v>
      </c>
      <c r="K4605" s="9">
        <f t="shared" si="143"/>
        <v>-0.65997454490476892</v>
      </c>
    </row>
    <row r="4606" spans="1:11" x14ac:dyDescent="0.3">
      <c r="A4606">
        <v>1576</v>
      </c>
      <c r="B4606">
        <v>3</v>
      </c>
      <c r="C4606">
        <v>202</v>
      </c>
      <c r="D4606" t="str">
        <f>VLOOKUP($C4606,products!$A$1:$F$322,MATCH(order_items!$D$1,products!$A$1:$F$1,0),FALSE)</f>
        <v>Trek Powerfly 5 Women's - 2018</v>
      </c>
      <c r="E4606">
        <f>VLOOKUP($C4606,products!$A$1:$F$322,MATCH(order_items!$E$1,products!$A$1:$F$1,0),FALSE)</f>
        <v>5</v>
      </c>
      <c r="F4606" t="str">
        <f>VLOOKUP($E4606,categories!$A$1:$B$8,MATCH(order_items!$F$1,categories!$A$1:$B$1,0),FALSE)</f>
        <v>Electric Bikes</v>
      </c>
      <c r="G4606">
        <v>2</v>
      </c>
      <c r="H4606">
        <v>3499.99</v>
      </c>
      <c r="I4606" s="5">
        <v>0.05</v>
      </c>
      <c r="J4606">
        <f t="shared" si="142"/>
        <v>6649.9809999999989</v>
      </c>
      <c r="K4606" s="9">
        <f t="shared" si="143"/>
        <v>1.6909575013907066</v>
      </c>
    </row>
    <row r="4607" spans="1:11" x14ac:dyDescent="0.3">
      <c r="A4607">
        <v>1577</v>
      </c>
      <c r="B4607">
        <v>1</v>
      </c>
      <c r="C4607">
        <v>298</v>
      </c>
      <c r="D4607" t="str">
        <f>VLOOKUP($C4607,products!$A$1:$F$322,MATCH(order_items!$D$1,products!$A$1:$F$1,0),FALSE)</f>
        <v>Electra Water Lily 1 (16-inch) - Girl's - 2018</v>
      </c>
      <c r="E4607">
        <f>VLOOKUP($C4607,products!$A$1:$F$322,MATCH(order_items!$E$1,products!$A$1:$F$1,0),FALSE)</f>
        <v>1</v>
      </c>
      <c r="F4607" t="str">
        <f>VLOOKUP($E4607,categories!$A$1:$B$8,MATCH(order_items!$F$1,categories!$A$1:$B$1,0),FALSE)</f>
        <v>Children Bicycles</v>
      </c>
      <c r="G4607">
        <v>2</v>
      </c>
      <c r="H4607">
        <v>279.99</v>
      </c>
      <c r="I4607" s="5">
        <v>0.05</v>
      </c>
      <c r="J4607">
        <f t="shared" si="142"/>
        <v>531.98099999999999</v>
      </c>
      <c r="K4607" s="9">
        <f t="shared" si="143"/>
        <v>-0.68954601718521513</v>
      </c>
    </row>
    <row r="4608" spans="1:11" x14ac:dyDescent="0.3">
      <c r="A4608">
        <v>1577</v>
      </c>
      <c r="B4608">
        <v>2</v>
      </c>
      <c r="C4608">
        <v>111</v>
      </c>
      <c r="D4608" t="str">
        <f>VLOOKUP($C4608,products!$A$1:$F$322,MATCH(order_items!$D$1,products!$A$1:$F$1,0),FALSE)</f>
        <v>Sun Bicycles Drifter 7 - Women's - 2017</v>
      </c>
      <c r="E4608">
        <f>VLOOKUP($C4608,products!$A$1:$F$322,MATCH(order_items!$E$1,products!$A$1:$F$1,0),FALSE)</f>
        <v>2</v>
      </c>
      <c r="F4608" t="str">
        <f>VLOOKUP($E4608,categories!$A$1:$B$8,MATCH(order_items!$F$1,categories!$A$1:$B$1,0),FALSE)</f>
        <v>Comfort Bicycles</v>
      </c>
      <c r="G4608">
        <v>2</v>
      </c>
      <c r="H4608">
        <v>470.99</v>
      </c>
      <c r="I4608" s="5">
        <v>0.1</v>
      </c>
      <c r="J4608">
        <f t="shared" si="142"/>
        <v>847.78200000000004</v>
      </c>
      <c r="K4608" s="9">
        <f t="shared" si="143"/>
        <v>-0.54834223704608442</v>
      </c>
    </row>
    <row r="4609" spans="1:11" x14ac:dyDescent="0.3">
      <c r="A4609">
        <v>1577</v>
      </c>
      <c r="B4609">
        <v>3</v>
      </c>
      <c r="C4609">
        <v>300</v>
      </c>
      <c r="D4609" t="str">
        <f>VLOOKUP($C4609,products!$A$1:$F$322,MATCH(order_items!$D$1,products!$A$1:$F$1,0),FALSE)</f>
        <v>Electra Townie Balloon 3i EQ Ladies' - 2018</v>
      </c>
      <c r="E4609">
        <f>VLOOKUP($C4609,products!$A$1:$F$322,MATCH(order_items!$E$1,products!$A$1:$F$1,0),FALSE)</f>
        <v>2</v>
      </c>
      <c r="F4609" t="str">
        <f>VLOOKUP($E4609,categories!$A$1:$B$8,MATCH(order_items!$F$1,categories!$A$1:$B$1,0),FALSE)</f>
        <v>Comfort Bicycles</v>
      </c>
      <c r="G4609">
        <v>2</v>
      </c>
      <c r="H4609">
        <v>799.99</v>
      </c>
      <c r="I4609" s="5">
        <v>0.2</v>
      </c>
      <c r="J4609">
        <f t="shared" si="142"/>
        <v>1279.9840000000002</v>
      </c>
      <c r="K4609" s="9">
        <f t="shared" si="143"/>
        <v>-0.30511687753941413</v>
      </c>
    </row>
    <row r="4610" spans="1:11" x14ac:dyDescent="0.3">
      <c r="A4610">
        <v>1577</v>
      </c>
      <c r="B4610">
        <v>4</v>
      </c>
      <c r="C4610">
        <v>131</v>
      </c>
      <c r="D4610" t="str">
        <f>VLOOKUP($C4610,products!$A$1:$F$322,MATCH(order_items!$D$1,products!$A$1:$F$1,0),FALSE)</f>
        <v>Heller Bloodhound Trail - 2018</v>
      </c>
      <c r="E4610">
        <f>VLOOKUP($C4610,products!$A$1:$F$322,MATCH(order_items!$E$1,products!$A$1:$F$1,0),FALSE)</f>
        <v>6</v>
      </c>
      <c r="F4610" t="str">
        <f>VLOOKUP($E4610,categories!$A$1:$B$8,MATCH(order_items!$F$1,categories!$A$1:$B$1,0),FALSE)</f>
        <v>Mountain Bikes</v>
      </c>
      <c r="G4610">
        <v>2</v>
      </c>
      <c r="H4610">
        <v>2599</v>
      </c>
      <c r="I4610" s="5">
        <v>7.0000000000000007E-2</v>
      </c>
      <c r="J4610">
        <f t="shared" ref="J4610:J4673" si="144">G4610*H4610*(1-I4610)</f>
        <v>4834.1399999999994</v>
      </c>
      <c r="K4610" s="9">
        <f t="shared" ref="K4610:K4673" si="145">($H4610-$M$7)/$M$9</f>
        <v>1.0248674811417253</v>
      </c>
    </row>
    <row r="4611" spans="1:11" x14ac:dyDescent="0.3">
      <c r="A4611">
        <v>1577</v>
      </c>
      <c r="B4611">
        <v>5</v>
      </c>
      <c r="C4611">
        <v>282</v>
      </c>
      <c r="D4611" t="str">
        <f>VLOOKUP($C4611,products!$A$1:$F$322,MATCH(order_items!$D$1,products!$A$1:$F$1,0),FALSE)</f>
        <v>Electra Cyclosaurus 1 (16-inch) - Boy's - 2018</v>
      </c>
      <c r="E4611">
        <f>VLOOKUP($C4611,products!$A$1:$F$322,MATCH(order_items!$E$1,products!$A$1:$F$1,0),FALSE)</f>
        <v>1</v>
      </c>
      <c r="F4611" t="str">
        <f>VLOOKUP($E4611,categories!$A$1:$B$8,MATCH(order_items!$F$1,categories!$A$1:$B$1,0),FALSE)</f>
        <v>Children Bicycles</v>
      </c>
      <c r="G4611">
        <v>2</v>
      </c>
      <c r="H4611">
        <v>279.99</v>
      </c>
      <c r="I4611" s="5">
        <v>0.05</v>
      </c>
      <c r="J4611">
        <f t="shared" si="144"/>
        <v>531.98099999999999</v>
      </c>
      <c r="K4611" s="9">
        <f t="shared" si="145"/>
        <v>-0.68954601718521513</v>
      </c>
    </row>
    <row r="4612" spans="1:11" x14ac:dyDescent="0.3">
      <c r="A4612">
        <v>1578</v>
      </c>
      <c r="B4612">
        <v>1</v>
      </c>
      <c r="C4612">
        <v>204</v>
      </c>
      <c r="D4612" t="str">
        <f>VLOOKUP($C4612,products!$A$1:$F$322,MATCH(order_items!$D$1,products!$A$1:$F$1,0),FALSE)</f>
        <v>Trek Super Commuter+ 7 - 2018</v>
      </c>
      <c r="E4612">
        <f>VLOOKUP($C4612,products!$A$1:$F$322,MATCH(order_items!$E$1,products!$A$1:$F$1,0),FALSE)</f>
        <v>5</v>
      </c>
      <c r="F4612" t="str">
        <f>VLOOKUP($E4612,categories!$A$1:$B$8,MATCH(order_items!$F$1,categories!$A$1:$B$1,0),FALSE)</f>
        <v>Electric Bikes</v>
      </c>
      <c r="G4612">
        <v>2</v>
      </c>
      <c r="H4612">
        <v>3599.99</v>
      </c>
      <c r="I4612" s="5">
        <v>7.0000000000000007E-2</v>
      </c>
      <c r="J4612">
        <f t="shared" si="144"/>
        <v>6695.9813999999988</v>
      </c>
      <c r="K4612" s="9">
        <f t="shared" si="145"/>
        <v>1.764886182091822</v>
      </c>
    </row>
    <row r="4613" spans="1:11" x14ac:dyDescent="0.3">
      <c r="A4613">
        <v>1578</v>
      </c>
      <c r="B4613">
        <v>2</v>
      </c>
      <c r="C4613">
        <v>310</v>
      </c>
      <c r="D4613" t="str">
        <f>VLOOKUP($C4613,products!$A$1:$F$322,MATCH(order_items!$D$1,products!$A$1:$F$1,0),FALSE)</f>
        <v>Electra Townie Commute 27D Ladies - 2018</v>
      </c>
      <c r="E4613">
        <f>VLOOKUP($C4613,products!$A$1:$F$322,MATCH(order_items!$E$1,products!$A$1:$F$1,0),FALSE)</f>
        <v>2</v>
      </c>
      <c r="F4613" t="str">
        <f>VLOOKUP($E4613,categories!$A$1:$B$8,MATCH(order_items!$F$1,categories!$A$1:$B$1,0),FALSE)</f>
        <v>Comfort Bicycles</v>
      </c>
      <c r="G4613">
        <v>1</v>
      </c>
      <c r="H4613">
        <v>899.99</v>
      </c>
      <c r="I4613" s="5">
        <v>0.05</v>
      </c>
      <c r="J4613">
        <f t="shared" si="144"/>
        <v>854.9905</v>
      </c>
      <c r="K4613" s="9">
        <f t="shared" si="145"/>
        <v>-0.23118819683829855</v>
      </c>
    </row>
    <row r="4614" spans="1:11" x14ac:dyDescent="0.3">
      <c r="A4614">
        <v>1578</v>
      </c>
      <c r="B4614">
        <v>3</v>
      </c>
      <c r="C4614">
        <v>241</v>
      </c>
      <c r="D4614" t="str">
        <f>VLOOKUP($C4614,products!$A$1:$F$322,MATCH(order_items!$D$1,products!$A$1:$F$1,0),FALSE)</f>
        <v>Electra Townie Commute 8D - 2018</v>
      </c>
      <c r="E4614">
        <f>VLOOKUP($C4614,products!$A$1:$F$322,MATCH(order_items!$E$1,products!$A$1:$F$1,0),FALSE)</f>
        <v>3</v>
      </c>
      <c r="F4614" t="str">
        <f>VLOOKUP($E4614,categories!$A$1:$B$8,MATCH(order_items!$F$1,categories!$A$1:$B$1,0),FALSE)</f>
        <v>Cruisers Bicycles</v>
      </c>
      <c r="G4614">
        <v>2</v>
      </c>
      <c r="H4614">
        <v>749.99</v>
      </c>
      <c r="I4614" s="5">
        <v>0.2</v>
      </c>
      <c r="J4614">
        <f t="shared" si="144"/>
        <v>1199.9840000000002</v>
      </c>
      <c r="K4614" s="9">
        <f t="shared" si="145"/>
        <v>-0.34208121788997192</v>
      </c>
    </row>
    <row r="4615" spans="1:11" x14ac:dyDescent="0.3">
      <c r="A4615">
        <v>1579</v>
      </c>
      <c r="B4615">
        <v>1</v>
      </c>
      <c r="C4615">
        <v>49</v>
      </c>
      <c r="D4615" t="str">
        <f>VLOOKUP($C4615,products!$A$1:$F$322,MATCH(order_items!$D$1,products!$A$1:$F$1,0),FALSE)</f>
        <v>Trek Domane SL 6 - 2017</v>
      </c>
      <c r="E4615">
        <f>VLOOKUP($C4615,products!$A$1:$F$322,MATCH(order_items!$E$1,products!$A$1:$F$1,0),FALSE)</f>
        <v>7</v>
      </c>
      <c r="F4615" t="str">
        <f>VLOOKUP($E4615,categories!$A$1:$B$8,MATCH(order_items!$F$1,categories!$A$1:$B$1,0),FALSE)</f>
        <v>Road Bikes</v>
      </c>
      <c r="G4615">
        <v>1</v>
      </c>
      <c r="H4615">
        <v>3499.99</v>
      </c>
      <c r="I4615" s="5">
        <v>0.05</v>
      </c>
      <c r="J4615">
        <f t="shared" si="144"/>
        <v>3324.9904999999994</v>
      </c>
      <c r="K4615" s="9">
        <f t="shared" si="145"/>
        <v>1.6909575013907066</v>
      </c>
    </row>
    <row r="4616" spans="1:11" x14ac:dyDescent="0.3">
      <c r="A4616">
        <v>1579</v>
      </c>
      <c r="B4616">
        <v>2</v>
      </c>
      <c r="C4616">
        <v>214</v>
      </c>
      <c r="D4616" t="str">
        <f>VLOOKUP($C4616,products!$A$1:$F$322,MATCH(order_items!$D$1,products!$A$1:$F$1,0),FALSE)</f>
        <v>Electra Tiger Shark 3i - 2018</v>
      </c>
      <c r="E4616">
        <f>VLOOKUP($C4616,products!$A$1:$F$322,MATCH(order_items!$E$1,products!$A$1:$F$1,0),FALSE)</f>
        <v>3</v>
      </c>
      <c r="F4616" t="str">
        <f>VLOOKUP($E4616,categories!$A$1:$B$8,MATCH(order_items!$F$1,categories!$A$1:$B$1,0),FALSE)</f>
        <v>Cruisers Bicycles</v>
      </c>
      <c r="G4616">
        <v>1</v>
      </c>
      <c r="H4616">
        <v>899.99</v>
      </c>
      <c r="I4616" s="5">
        <v>0.1</v>
      </c>
      <c r="J4616">
        <f t="shared" si="144"/>
        <v>809.99099999999999</v>
      </c>
      <c r="K4616" s="9">
        <f t="shared" si="145"/>
        <v>-0.23118819683829855</v>
      </c>
    </row>
    <row r="4617" spans="1:11" x14ac:dyDescent="0.3">
      <c r="A4617">
        <v>1579</v>
      </c>
      <c r="B4617">
        <v>3</v>
      </c>
      <c r="C4617">
        <v>286</v>
      </c>
      <c r="D4617" t="str">
        <f>VLOOKUP($C4617,products!$A$1:$F$322,MATCH(order_items!$D$1,products!$A$1:$F$1,0),FALSE)</f>
        <v>Electra Starship 1 16" - 2018</v>
      </c>
      <c r="E4617">
        <f>VLOOKUP($C4617,products!$A$1:$F$322,MATCH(order_items!$E$1,products!$A$1:$F$1,0),FALSE)</f>
        <v>1</v>
      </c>
      <c r="F4617" t="str">
        <f>VLOOKUP($E4617,categories!$A$1:$B$8,MATCH(order_items!$F$1,categories!$A$1:$B$1,0),FALSE)</f>
        <v>Children Bicycles</v>
      </c>
      <c r="G4617">
        <v>1</v>
      </c>
      <c r="H4617">
        <v>279.99</v>
      </c>
      <c r="I4617" s="5">
        <v>7.0000000000000007E-2</v>
      </c>
      <c r="J4617">
        <f t="shared" si="144"/>
        <v>260.39069999999998</v>
      </c>
      <c r="K4617" s="9">
        <f t="shared" si="145"/>
        <v>-0.68954601718521513</v>
      </c>
    </row>
    <row r="4618" spans="1:11" x14ac:dyDescent="0.3">
      <c r="A4618">
        <v>1579</v>
      </c>
      <c r="B4618">
        <v>4</v>
      </c>
      <c r="C4618">
        <v>65</v>
      </c>
      <c r="D4618" t="str">
        <f>VLOOKUP($C4618,products!$A$1:$F$322,MATCH(order_items!$D$1,products!$A$1:$F$1,0),FALSE)</f>
        <v>Sun Bicycles Lil Bolt Type-R - 2017</v>
      </c>
      <c r="E4618">
        <f>VLOOKUP($C4618,products!$A$1:$F$322,MATCH(order_items!$E$1,products!$A$1:$F$1,0),FALSE)</f>
        <v>3</v>
      </c>
      <c r="F4618" t="str">
        <f>VLOOKUP($E4618,categories!$A$1:$B$8,MATCH(order_items!$F$1,categories!$A$1:$B$1,0),FALSE)</f>
        <v>Cruisers Bicycles</v>
      </c>
      <c r="G4618">
        <v>2</v>
      </c>
      <c r="H4618">
        <v>346.99</v>
      </c>
      <c r="I4618" s="5">
        <v>0.1</v>
      </c>
      <c r="J4618">
        <f t="shared" si="144"/>
        <v>624.58199999999999</v>
      </c>
      <c r="K4618" s="9">
        <f t="shared" si="145"/>
        <v>-0.64001380111546768</v>
      </c>
    </row>
    <row r="4619" spans="1:11" x14ac:dyDescent="0.3">
      <c r="A4619">
        <v>1580</v>
      </c>
      <c r="B4619">
        <v>1</v>
      </c>
      <c r="C4619">
        <v>119</v>
      </c>
      <c r="D4619" t="str">
        <f>VLOOKUP($C4619,products!$A$1:$F$322,MATCH(order_items!$D$1,products!$A$1:$F$1,0),FALSE)</f>
        <v>Trek Kids' Neko - 2018</v>
      </c>
      <c r="E4619">
        <f>VLOOKUP($C4619,products!$A$1:$F$322,MATCH(order_items!$E$1,products!$A$1:$F$1,0),FALSE)</f>
        <v>6</v>
      </c>
      <c r="F4619" t="str">
        <f>VLOOKUP($E4619,categories!$A$1:$B$8,MATCH(order_items!$F$1,categories!$A$1:$B$1,0),FALSE)</f>
        <v>Mountain Bikes</v>
      </c>
      <c r="G4619">
        <v>2</v>
      </c>
      <c r="H4619">
        <v>469.99</v>
      </c>
      <c r="I4619" s="5">
        <v>7.0000000000000007E-2</v>
      </c>
      <c r="J4619">
        <f t="shared" si="144"/>
        <v>874.18139999999994</v>
      </c>
      <c r="K4619" s="9">
        <f t="shared" si="145"/>
        <v>-0.5490815238530955</v>
      </c>
    </row>
    <row r="4620" spans="1:11" x14ac:dyDescent="0.3">
      <c r="A4620">
        <v>1580</v>
      </c>
      <c r="B4620">
        <v>2</v>
      </c>
      <c r="C4620">
        <v>86</v>
      </c>
      <c r="D4620" t="str">
        <f>VLOOKUP($C4620,products!$A$1:$F$322,MATCH(order_items!$D$1,products!$A$1:$F$1,0),FALSE)</f>
        <v>Trek Girl's Kickster - 2017</v>
      </c>
      <c r="E4620">
        <f>VLOOKUP($C4620,products!$A$1:$F$322,MATCH(order_items!$E$1,products!$A$1:$F$1,0),FALSE)</f>
        <v>1</v>
      </c>
      <c r="F4620" t="str">
        <f>VLOOKUP($E4620,categories!$A$1:$B$8,MATCH(order_items!$F$1,categories!$A$1:$B$1,0),FALSE)</f>
        <v>Children Bicycles</v>
      </c>
      <c r="G4620">
        <v>2</v>
      </c>
      <c r="H4620">
        <v>149.99</v>
      </c>
      <c r="I4620" s="5">
        <v>0.2</v>
      </c>
      <c r="J4620">
        <f t="shared" si="144"/>
        <v>239.98400000000004</v>
      </c>
      <c r="K4620" s="9">
        <f t="shared" si="145"/>
        <v>-0.7856533020966654</v>
      </c>
    </row>
    <row r="4621" spans="1:11" x14ac:dyDescent="0.3">
      <c r="A4621">
        <v>1581</v>
      </c>
      <c r="B4621">
        <v>1</v>
      </c>
      <c r="C4621">
        <v>64</v>
      </c>
      <c r="D4621" t="str">
        <f>VLOOKUP($C4621,products!$A$1:$F$322,MATCH(order_items!$D$1,products!$A$1:$F$1,0),FALSE)</f>
        <v>Electra Townie Original 7D - 2017</v>
      </c>
      <c r="E4621">
        <f>VLOOKUP($C4621,products!$A$1:$F$322,MATCH(order_items!$E$1,products!$A$1:$F$1,0),FALSE)</f>
        <v>3</v>
      </c>
      <c r="F4621" t="str">
        <f>VLOOKUP($E4621,categories!$A$1:$B$8,MATCH(order_items!$F$1,categories!$A$1:$B$1,0),FALSE)</f>
        <v>Cruisers Bicycles</v>
      </c>
      <c r="G4621">
        <v>1</v>
      </c>
      <c r="H4621">
        <v>489.99</v>
      </c>
      <c r="I4621" s="5">
        <v>0.1</v>
      </c>
      <c r="J4621">
        <f t="shared" si="144"/>
        <v>440.99100000000004</v>
      </c>
      <c r="K4621" s="9">
        <f t="shared" si="145"/>
        <v>-0.53429578771287245</v>
      </c>
    </row>
    <row r="4622" spans="1:11" x14ac:dyDescent="0.3">
      <c r="A4622">
        <v>1581</v>
      </c>
      <c r="B4622">
        <v>2</v>
      </c>
      <c r="C4622">
        <v>272</v>
      </c>
      <c r="D4622" t="str">
        <f>VLOOKUP($C4622,products!$A$1:$F$322,MATCH(order_items!$D$1,products!$A$1:$F$1,0),FALSE)</f>
        <v>Trek Precaliber 20 6-speed Boy's - 2018</v>
      </c>
      <c r="E4622">
        <f>VLOOKUP($C4622,products!$A$1:$F$322,MATCH(order_items!$E$1,products!$A$1:$F$1,0),FALSE)</f>
        <v>1</v>
      </c>
      <c r="F4622" t="str">
        <f>VLOOKUP($E4622,categories!$A$1:$B$8,MATCH(order_items!$F$1,categories!$A$1:$B$1,0),FALSE)</f>
        <v>Children Bicycles</v>
      </c>
      <c r="G4622">
        <v>1</v>
      </c>
      <c r="H4622">
        <v>289.99</v>
      </c>
      <c r="I4622" s="5">
        <v>0.2</v>
      </c>
      <c r="J4622">
        <f t="shared" si="144"/>
        <v>231.99200000000002</v>
      </c>
      <c r="K4622" s="9">
        <f t="shared" si="145"/>
        <v>-0.68215314911510361</v>
      </c>
    </row>
    <row r="4623" spans="1:11" x14ac:dyDescent="0.3">
      <c r="A4623">
        <v>1582</v>
      </c>
      <c r="B4623">
        <v>1</v>
      </c>
      <c r="C4623">
        <v>75</v>
      </c>
      <c r="D4623" t="str">
        <f>VLOOKUP($C4623,products!$A$1:$F$322,MATCH(order_items!$D$1,products!$A$1:$F$1,0),FALSE)</f>
        <v>Electra Cruiser Lux Fat Tire 1 Ladies - 2017</v>
      </c>
      <c r="E4623">
        <f>VLOOKUP($C4623,products!$A$1:$F$322,MATCH(order_items!$E$1,products!$A$1:$F$1,0),FALSE)</f>
        <v>3</v>
      </c>
      <c r="F4623" t="str">
        <f>VLOOKUP($E4623,categories!$A$1:$B$8,MATCH(order_items!$F$1,categories!$A$1:$B$1,0),FALSE)</f>
        <v>Cruisers Bicycles</v>
      </c>
      <c r="G4623">
        <v>1</v>
      </c>
      <c r="H4623">
        <v>599.99</v>
      </c>
      <c r="I4623" s="5">
        <v>7.0000000000000007E-2</v>
      </c>
      <c r="J4623">
        <f t="shared" si="144"/>
        <v>557.99069999999995</v>
      </c>
      <c r="K4623" s="9">
        <f t="shared" si="145"/>
        <v>-0.45297423894164529</v>
      </c>
    </row>
    <row r="4624" spans="1:11" x14ac:dyDescent="0.3">
      <c r="A4624">
        <v>1582</v>
      </c>
      <c r="B4624">
        <v>2</v>
      </c>
      <c r="C4624">
        <v>133</v>
      </c>
      <c r="D4624" t="str">
        <f>VLOOKUP($C4624,products!$A$1:$F$322,MATCH(order_items!$D$1,products!$A$1:$F$1,0),FALSE)</f>
        <v>Trek Procaliber Frameset - 2018</v>
      </c>
      <c r="E4624">
        <f>VLOOKUP($C4624,products!$A$1:$F$322,MATCH(order_items!$E$1,products!$A$1:$F$1,0),FALSE)</f>
        <v>6</v>
      </c>
      <c r="F4624" t="str">
        <f>VLOOKUP($E4624,categories!$A$1:$B$8,MATCH(order_items!$F$1,categories!$A$1:$B$1,0),FALSE)</f>
        <v>Mountain Bikes</v>
      </c>
      <c r="G4624">
        <v>2</v>
      </c>
      <c r="H4624">
        <v>1499.99</v>
      </c>
      <c r="I4624" s="5">
        <v>7.0000000000000007E-2</v>
      </c>
      <c r="J4624">
        <f t="shared" si="144"/>
        <v>2789.9813999999997</v>
      </c>
      <c r="K4624" s="9">
        <f t="shared" si="145"/>
        <v>0.21238388736839492</v>
      </c>
    </row>
    <row r="4625" spans="1:11" x14ac:dyDescent="0.3">
      <c r="A4625">
        <v>1583</v>
      </c>
      <c r="B4625">
        <v>1</v>
      </c>
      <c r="C4625">
        <v>15</v>
      </c>
      <c r="D4625" t="str">
        <f>VLOOKUP($C4625,products!$A$1:$F$322,MATCH(order_items!$D$1,products!$A$1:$F$1,0),FALSE)</f>
        <v>Electra Moto 1 - 2016</v>
      </c>
      <c r="E4625">
        <f>VLOOKUP($C4625,products!$A$1:$F$322,MATCH(order_items!$E$1,products!$A$1:$F$1,0),FALSE)</f>
        <v>3</v>
      </c>
      <c r="F4625" t="str">
        <f>VLOOKUP($E4625,categories!$A$1:$B$8,MATCH(order_items!$F$1,categories!$A$1:$B$1,0),FALSE)</f>
        <v>Cruisers Bicycles</v>
      </c>
      <c r="G4625">
        <v>1</v>
      </c>
      <c r="H4625">
        <v>529.99</v>
      </c>
      <c r="I4625" s="5">
        <v>0.05</v>
      </c>
      <c r="J4625">
        <f t="shared" si="144"/>
        <v>503.4905</v>
      </c>
      <c r="K4625" s="9">
        <f t="shared" si="145"/>
        <v>-0.50472431543242624</v>
      </c>
    </row>
    <row r="4626" spans="1:11" x14ac:dyDescent="0.3">
      <c r="A4626">
        <v>1583</v>
      </c>
      <c r="B4626">
        <v>2</v>
      </c>
      <c r="C4626">
        <v>265</v>
      </c>
      <c r="D4626" t="str">
        <f>VLOOKUP($C4626,products!$A$1:$F$322,MATCH(order_items!$D$1,products!$A$1:$F$1,0),FALSE)</f>
        <v>Strider Strider 20 Sport - 2018</v>
      </c>
      <c r="E4626">
        <f>VLOOKUP($C4626,products!$A$1:$F$322,MATCH(order_items!$E$1,products!$A$1:$F$1,0),FALSE)</f>
        <v>1</v>
      </c>
      <c r="F4626" t="str">
        <f>VLOOKUP($E4626,categories!$A$1:$B$8,MATCH(order_items!$F$1,categories!$A$1:$B$1,0),FALSE)</f>
        <v>Children Bicycles</v>
      </c>
      <c r="G4626">
        <v>2</v>
      </c>
      <c r="H4626">
        <v>289.99</v>
      </c>
      <c r="I4626" s="5">
        <v>0.2</v>
      </c>
      <c r="J4626">
        <f t="shared" si="144"/>
        <v>463.98400000000004</v>
      </c>
      <c r="K4626" s="9">
        <f t="shared" si="145"/>
        <v>-0.68215314911510361</v>
      </c>
    </row>
    <row r="4627" spans="1:11" x14ac:dyDescent="0.3">
      <c r="A4627">
        <v>1584</v>
      </c>
      <c r="B4627">
        <v>1</v>
      </c>
      <c r="C4627">
        <v>45</v>
      </c>
      <c r="D4627" t="str">
        <f>VLOOKUP($C4627,products!$A$1:$F$322,MATCH(order_items!$D$1,products!$A$1:$F$1,0),FALSE)</f>
        <v>Haro SR 1.2 - 2017</v>
      </c>
      <c r="E4627">
        <f>VLOOKUP($C4627,products!$A$1:$F$322,MATCH(order_items!$E$1,products!$A$1:$F$1,0),FALSE)</f>
        <v>6</v>
      </c>
      <c r="F4627" t="str">
        <f>VLOOKUP($E4627,categories!$A$1:$B$8,MATCH(order_items!$F$1,categories!$A$1:$B$1,0),FALSE)</f>
        <v>Mountain Bikes</v>
      </c>
      <c r="G4627">
        <v>2</v>
      </c>
      <c r="H4627">
        <v>869.99</v>
      </c>
      <c r="I4627" s="5">
        <v>0.1</v>
      </c>
      <c r="J4627">
        <f t="shared" si="144"/>
        <v>1565.982</v>
      </c>
      <c r="K4627" s="9">
        <f t="shared" si="145"/>
        <v>-0.25336680104863324</v>
      </c>
    </row>
    <row r="4628" spans="1:11" x14ac:dyDescent="0.3">
      <c r="A4628">
        <v>1584</v>
      </c>
      <c r="B4628">
        <v>2</v>
      </c>
      <c r="C4628">
        <v>216</v>
      </c>
      <c r="D4628" t="str">
        <f>VLOOKUP($C4628,products!$A$1:$F$322,MATCH(order_items!$D$1,products!$A$1:$F$1,0),FALSE)</f>
        <v>Electra Super Moto 8i - 2018</v>
      </c>
      <c r="E4628">
        <f>VLOOKUP($C4628,products!$A$1:$F$322,MATCH(order_items!$E$1,products!$A$1:$F$1,0),FALSE)</f>
        <v>3</v>
      </c>
      <c r="F4628" t="str">
        <f>VLOOKUP($E4628,categories!$A$1:$B$8,MATCH(order_items!$F$1,categories!$A$1:$B$1,0),FALSE)</f>
        <v>Cruisers Bicycles</v>
      </c>
      <c r="G4628">
        <v>2</v>
      </c>
      <c r="H4628">
        <v>899.99</v>
      </c>
      <c r="I4628" s="5">
        <v>0.1</v>
      </c>
      <c r="J4628">
        <f t="shared" si="144"/>
        <v>1619.982</v>
      </c>
      <c r="K4628" s="9">
        <f t="shared" si="145"/>
        <v>-0.23118819683829855</v>
      </c>
    </row>
    <row r="4629" spans="1:11" x14ac:dyDescent="0.3">
      <c r="A4629">
        <v>1584</v>
      </c>
      <c r="B4629">
        <v>3</v>
      </c>
      <c r="C4629">
        <v>43</v>
      </c>
      <c r="D4629" t="str">
        <f>VLOOKUP($C4629,products!$A$1:$F$322,MATCH(order_items!$D$1,products!$A$1:$F$1,0),FALSE)</f>
        <v>Trek Fuel EX 9.8 27.5 Plus - 2017</v>
      </c>
      <c r="E4629">
        <f>VLOOKUP($C4629,products!$A$1:$F$322,MATCH(order_items!$E$1,products!$A$1:$F$1,0),FALSE)</f>
        <v>6</v>
      </c>
      <c r="F4629" t="str">
        <f>VLOOKUP($E4629,categories!$A$1:$B$8,MATCH(order_items!$F$1,categories!$A$1:$B$1,0),FALSE)</f>
        <v>Mountain Bikes</v>
      </c>
      <c r="G4629">
        <v>1</v>
      </c>
      <c r="H4629">
        <v>5299.99</v>
      </c>
      <c r="I4629" s="5">
        <v>0.2</v>
      </c>
      <c r="J4629">
        <f t="shared" si="144"/>
        <v>4239.9920000000002</v>
      </c>
      <c r="K4629" s="9">
        <f t="shared" si="145"/>
        <v>3.021673754010787</v>
      </c>
    </row>
    <row r="4630" spans="1:11" x14ac:dyDescent="0.3">
      <c r="A4630">
        <v>1584</v>
      </c>
      <c r="B4630">
        <v>4</v>
      </c>
      <c r="C4630">
        <v>187</v>
      </c>
      <c r="D4630" t="str">
        <f>VLOOKUP($C4630,products!$A$1:$F$322,MATCH(order_items!$D$1,products!$A$1:$F$1,0),FALSE)</f>
        <v>Trek Neko+ - 2018</v>
      </c>
      <c r="E4630">
        <f>VLOOKUP($C4630,products!$A$1:$F$322,MATCH(order_items!$E$1,products!$A$1:$F$1,0),FALSE)</f>
        <v>5</v>
      </c>
      <c r="F4630" t="str">
        <f>VLOOKUP($E4630,categories!$A$1:$B$8,MATCH(order_items!$F$1,categories!$A$1:$B$1,0),FALSE)</f>
        <v>Electric Bikes</v>
      </c>
      <c r="G4630">
        <v>1</v>
      </c>
      <c r="H4630">
        <v>2799.99</v>
      </c>
      <c r="I4630" s="5">
        <v>0.1</v>
      </c>
      <c r="J4630">
        <f t="shared" si="144"/>
        <v>2519.991</v>
      </c>
      <c r="K4630" s="9">
        <f t="shared" si="145"/>
        <v>1.1734567364828972</v>
      </c>
    </row>
    <row r="4631" spans="1:11" x14ac:dyDescent="0.3">
      <c r="A4631">
        <v>1584</v>
      </c>
      <c r="B4631">
        <v>5</v>
      </c>
      <c r="C4631">
        <v>147</v>
      </c>
      <c r="D4631" t="str">
        <f>VLOOKUP($C4631,products!$A$1:$F$322,MATCH(order_items!$D$1,products!$A$1:$F$1,0),FALSE)</f>
        <v>Trek Domane ALR 5 Gravel - 2018</v>
      </c>
      <c r="E4631">
        <f>VLOOKUP($C4631,products!$A$1:$F$322,MATCH(order_items!$E$1,products!$A$1:$F$1,0),FALSE)</f>
        <v>7</v>
      </c>
      <c r="F4631" t="str">
        <f>VLOOKUP($E4631,categories!$A$1:$B$8,MATCH(order_items!$F$1,categories!$A$1:$B$1,0),FALSE)</f>
        <v>Road Bikes</v>
      </c>
      <c r="G4631">
        <v>2</v>
      </c>
      <c r="H4631">
        <v>1799.99</v>
      </c>
      <c r="I4631" s="5">
        <v>7.0000000000000007E-2</v>
      </c>
      <c r="J4631">
        <f t="shared" si="144"/>
        <v>3347.9813999999997</v>
      </c>
      <c r="K4631" s="9">
        <f t="shared" si="145"/>
        <v>0.43416992947174166</v>
      </c>
    </row>
    <row r="4632" spans="1:11" x14ac:dyDescent="0.3">
      <c r="A4632">
        <v>1585</v>
      </c>
      <c r="B4632">
        <v>1</v>
      </c>
      <c r="C4632">
        <v>313</v>
      </c>
      <c r="D4632" t="str">
        <f>VLOOKUP($C4632,products!$A$1:$F$322,MATCH(order_items!$D$1,products!$A$1:$F$1,0),FALSE)</f>
        <v>Electra Townie Original 1 Ladies' - 2018</v>
      </c>
      <c r="E4632">
        <f>VLOOKUP($C4632,products!$A$1:$F$322,MATCH(order_items!$E$1,products!$A$1:$F$1,0),FALSE)</f>
        <v>2</v>
      </c>
      <c r="F4632" t="str">
        <f>VLOOKUP($E4632,categories!$A$1:$B$8,MATCH(order_items!$F$1,categories!$A$1:$B$1,0),FALSE)</f>
        <v>Comfort Bicycles</v>
      </c>
      <c r="G4632">
        <v>1</v>
      </c>
      <c r="H4632">
        <v>449.99</v>
      </c>
      <c r="I4632" s="5">
        <v>0.1</v>
      </c>
      <c r="J4632">
        <f t="shared" si="144"/>
        <v>404.99100000000004</v>
      </c>
      <c r="K4632" s="9">
        <f t="shared" si="145"/>
        <v>-0.56386725999331866</v>
      </c>
    </row>
    <row r="4633" spans="1:11" x14ac:dyDescent="0.3">
      <c r="A4633">
        <v>1585</v>
      </c>
      <c r="B4633">
        <v>2</v>
      </c>
      <c r="C4633">
        <v>106</v>
      </c>
      <c r="D4633" t="str">
        <f>VLOOKUP($C4633,products!$A$1:$F$322,MATCH(order_items!$D$1,products!$A$1:$F$1,0),FALSE)</f>
        <v>Sun Bicycles Cruz 3 - 2017</v>
      </c>
      <c r="E4633">
        <f>VLOOKUP($C4633,products!$A$1:$F$322,MATCH(order_items!$E$1,products!$A$1:$F$1,0),FALSE)</f>
        <v>2</v>
      </c>
      <c r="F4633" t="str">
        <f>VLOOKUP($E4633,categories!$A$1:$B$8,MATCH(order_items!$F$1,categories!$A$1:$B$1,0),FALSE)</f>
        <v>Comfort Bicycles</v>
      </c>
      <c r="G4633">
        <v>2</v>
      </c>
      <c r="H4633">
        <v>449.99</v>
      </c>
      <c r="I4633" s="5">
        <v>0.1</v>
      </c>
      <c r="J4633">
        <f t="shared" si="144"/>
        <v>809.98200000000008</v>
      </c>
      <c r="K4633" s="9">
        <f t="shared" si="145"/>
        <v>-0.56386725999331866</v>
      </c>
    </row>
    <row r="4634" spans="1:11" x14ac:dyDescent="0.3">
      <c r="A4634">
        <v>1585</v>
      </c>
      <c r="B4634">
        <v>3</v>
      </c>
      <c r="C4634">
        <v>207</v>
      </c>
      <c r="D4634" t="str">
        <f>VLOOKUP($C4634,products!$A$1:$F$322,MATCH(order_items!$D$1,products!$A$1:$F$1,0),FALSE)</f>
        <v>Trek Boone 7 Disc - 2018</v>
      </c>
      <c r="E4634">
        <f>VLOOKUP($C4634,products!$A$1:$F$322,MATCH(order_items!$E$1,products!$A$1:$F$1,0),FALSE)</f>
        <v>4</v>
      </c>
      <c r="F4634" t="str">
        <f>VLOOKUP($E4634,categories!$A$1:$B$8,MATCH(order_items!$F$1,categories!$A$1:$B$1,0),FALSE)</f>
        <v>Cyclocross Bicycles</v>
      </c>
      <c r="G4634">
        <v>2</v>
      </c>
      <c r="H4634">
        <v>3999.99</v>
      </c>
      <c r="I4634" s="5">
        <v>7.0000000000000007E-2</v>
      </c>
      <c r="J4634">
        <f t="shared" si="144"/>
        <v>7439.9813999999988</v>
      </c>
      <c r="K4634" s="9">
        <f t="shared" si="145"/>
        <v>2.0606009048962846</v>
      </c>
    </row>
    <row r="4635" spans="1:11" x14ac:dyDescent="0.3">
      <c r="A4635">
        <v>1585</v>
      </c>
      <c r="B4635">
        <v>4</v>
      </c>
      <c r="C4635">
        <v>95</v>
      </c>
      <c r="D4635" t="str">
        <f>VLOOKUP($C4635,products!$A$1:$F$322,MATCH(order_items!$D$1,products!$A$1:$F$1,0),FALSE)</f>
        <v>Electra Girl's Hawaii 1 16" - 2017</v>
      </c>
      <c r="E4635">
        <f>VLOOKUP($C4635,products!$A$1:$F$322,MATCH(order_items!$E$1,products!$A$1:$F$1,0),FALSE)</f>
        <v>1</v>
      </c>
      <c r="F4635" t="str">
        <f>VLOOKUP($E4635,categories!$A$1:$B$8,MATCH(order_items!$F$1,categories!$A$1:$B$1,0),FALSE)</f>
        <v>Children Bicycles</v>
      </c>
      <c r="G4635">
        <v>1</v>
      </c>
      <c r="H4635">
        <v>299.99</v>
      </c>
      <c r="I4635" s="5">
        <v>0.1</v>
      </c>
      <c r="J4635">
        <f t="shared" si="144"/>
        <v>269.99100000000004</v>
      </c>
      <c r="K4635" s="9">
        <f t="shared" si="145"/>
        <v>-0.67476028104499197</v>
      </c>
    </row>
    <row r="4636" spans="1:11" x14ac:dyDescent="0.3">
      <c r="A4636">
        <v>1585</v>
      </c>
      <c r="B4636">
        <v>5</v>
      </c>
      <c r="C4636">
        <v>191</v>
      </c>
      <c r="D4636" t="str">
        <f>VLOOKUP($C4636,products!$A$1:$F$322,MATCH(order_items!$D$1,products!$A$1:$F$1,0),FALSE)</f>
        <v>Electra Loft Go! 8i - 2018</v>
      </c>
      <c r="E4636">
        <f>VLOOKUP($C4636,products!$A$1:$F$322,MATCH(order_items!$E$1,products!$A$1:$F$1,0),FALSE)</f>
        <v>5</v>
      </c>
      <c r="F4636" t="str">
        <f>VLOOKUP($E4636,categories!$A$1:$B$8,MATCH(order_items!$F$1,categories!$A$1:$B$1,0),FALSE)</f>
        <v>Electric Bikes</v>
      </c>
      <c r="G4636">
        <v>1</v>
      </c>
      <c r="H4636">
        <v>2799.99</v>
      </c>
      <c r="I4636" s="5">
        <v>0.1</v>
      </c>
      <c r="J4636">
        <f t="shared" si="144"/>
        <v>2519.991</v>
      </c>
      <c r="K4636" s="9">
        <f t="shared" si="145"/>
        <v>1.1734567364828972</v>
      </c>
    </row>
    <row r="4637" spans="1:11" x14ac:dyDescent="0.3">
      <c r="A4637">
        <v>1586</v>
      </c>
      <c r="B4637">
        <v>1</v>
      </c>
      <c r="C4637">
        <v>22</v>
      </c>
      <c r="D4637" t="str">
        <f>VLOOKUP($C4637,products!$A$1:$F$322,MATCH(order_items!$D$1,products!$A$1:$F$1,0),FALSE)</f>
        <v>Electra Girl's Hawaii 1 (16-inch) - 2015/2016</v>
      </c>
      <c r="E4637">
        <f>VLOOKUP($C4637,products!$A$1:$F$322,MATCH(order_items!$E$1,products!$A$1:$F$1,0),FALSE)</f>
        <v>1</v>
      </c>
      <c r="F4637" t="str">
        <f>VLOOKUP($E4637,categories!$A$1:$B$8,MATCH(order_items!$F$1,categories!$A$1:$B$1,0),FALSE)</f>
        <v>Children Bicycles</v>
      </c>
      <c r="G4637">
        <v>2</v>
      </c>
      <c r="H4637">
        <v>269.99</v>
      </c>
      <c r="I4637" s="5">
        <v>0.1</v>
      </c>
      <c r="J4637">
        <f t="shared" si="144"/>
        <v>485.98200000000003</v>
      </c>
      <c r="K4637" s="9">
        <f t="shared" si="145"/>
        <v>-0.69693888525532666</v>
      </c>
    </row>
    <row r="4638" spans="1:11" x14ac:dyDescent="0.3">
      <c r="A4638">
        <v>1586</v>
      </c>
      <c r="B4638">
        <v>2</v>
      </c>
      <c r="C4638">
        <v>277</v>
      </c>
      <c r="D4638" t="str">
        <f>VLOOKUP($C4638,products!$A$1:$F$322,MATCH(order_items!$D$1,products!$A$1:$F$1,0),FALSE)</f>
        <v>Trek Precaliber 24 21-speed Boy's - 2018</v>
      </c>
      <c r="E4638">
        <f>VLOOKUP($C4638,products!$A$1:$F$322,MATCH(order_items!$E$1,products!$A$1:$F$1,0),FALSE)</f>
        <v>1</v>
      </c>
      <c r="F4638" t="str">
        <f>VLOOKUP($E4638,categories!$A$1:$B$8,MATCH(order_items!$F$1,categories!$A$1:$B$1,0),FALSE)</f>
        <v>Children Bicycles</v>
      </c>
      <c r="G4638">
        <v>1</v>
      </c>
      <c r="H4638">
        <v>369.99</v>
      </c>
      <c r="I4638" s="5">
        <v>7.0000000000000007E-2</v>
      </c>
      <c r="J4638">
        <f t="shared" si="144"/>
        <v>344.09069999999997</v>
      </c>
      <c r="K4638" s="9">
        <f t="shared" si="145"/>
        <v>-0.62301020455421108</v>
      </c>
    </row>
    <row r="4639" spans="1:11" x14ac:dyDescent="0.3">
      <c r="A4639">
        <v>1586</v>
      </c>
      <c r="B4639">
        <v>3</v>
      </c>
      <c r="C4639">
        <v>295</v>
      </c>
      <c r="D4639" t="str">
        <f>VLOOKUP($C4639,products!$A$1:$F$322,MATCH(order_items!$D$1,products!$A$1:$F$1,0),FALSE)</f>
        <v>Electra Treasure 1 20" - 2018</v>
      </c>
      <c r="E4639">
        <f>VLOOKUP($C4639,products!$A$1:$F$322,MATCH(order_items!$E$1,products!$A$1:$F$1,0),FALSE)</f>
        <v>1</v>
      </c>
      <c r="F4639" t="str">
        <f>VLOOKUP($E4639,categories!$A$1:$B$8,MATCH(order_items!$F$1,categories!$A$1:$B$1,0),FALSE)</f>
        <v>Children Bicycles</v>
      </c>
      <c r="G4639">
        <v>1</v>
      </c>
      <c r="H4639">
        <v>319.99</v>
      </c>
      <c r="I4639" s="5">
        <v>0.05</v>
      </c>
      <c r="J4639">
        <f t="shared" si="144"/>
        <v>303.9905</v>
      </c>
      <c r="K4639" s="9">
        <f t="shared" si="145"/>
        <v>-0.65997454490476892</v>
      </c>
    </row>
    <row r="4640" spans="1:11" x14ac:dyDescent="0.3">
      <c r="A4640">
        <v>1586</v>
      </c>
      <c r="B4640">
        <v>4</v>
      </c>
      <c r="C4640">
        <v>173</v>
      </c>
      <c r="D4640" t="str">
        <f>VLOOKUP($C4640,products!$A$1:$F$322,MATCH(order_items!$D$1,products!$A$1:$F$1,0),FALSE)</f>
        <v>Trek Domane ALR Frameset - 2018</v>
      </c>
      <c r="E4640">
        <f>VLOOKUP($C4640,products!$A$1:$F$322,MATCH(order_items!$E$1,products!$A$1:$F$1,0),FALSE)</f>
        <v>7</v>
      </c>
      <c r="F4640" t="str">
        <f>VLOOKUP($E4640,categories!$A$1:$B$8,MATCH(order_items!$F$1,categories!$A$1:$B$1,0),FALSE)</f>
        <v>Road Bikes</v>
      </c>
      <c r="G4640">
        <v>1</v>
      </c>
      <c r="H4640">
        <v>3199.99</v>
      </c>
      <c r="I4640" s="5">
        <v>0.2</v>
      </c>
      <c r="J4640">
        <f t="shared" si="144"/>
        <v>2559.9920000000002</v>
      </c>
      <c r="K4640" s="9">
        <f t="shared" si="145"/>
        <v>1.4691714592873595</v>
      </c>
    </row>
    <row r="4641" spans="1:11" x14ac:dyDescent="0.3">
      <c r="A4641">
        <v>1586</v>
      </c>
      <c r="B4641">
        <v>5</v>
      </c>
      <c r="C4641">
        <v>36</v>
      </c>
      <c r="D4641" t="str">
        <f>VLOOKUP($C4641,products!$A$1:$F$322,MATCH(order_items!$D$1,products!$A$1:$F$1,0),FALSE)</f>
        <v>Surly Troll Frameset - 2017</v>
      </c>
      <c r="E4641">
        <f>VLOOKUP($C4641,products!$A$1:$F$322,MATCH(order_items!$E$1,products!$A$1:$F$1,0),FALSE)</f>
        <v>6</v>
      </c>
      <c r="F4641" t="str">
        <f>VLOOKUP($E4641,categories!$A$1:$B$8,MATCH(order_items!$F$1,categories!$A$1:$B$1,0),FALSE)</f>
        <v>Mountain Bikes</v>
      </c>
      <c r="G4641">
        <v>1</v>
      </c>
      <c r="H4641">
        <v>832.99</v>
      </c>
      <c r="I4641" s="5">
        <v>0.1</v>
      </c>
      <c r="J4641">
        <f t="shared" si="144"/>
        <v>749.69100000000003</v>
      </c>
      <c r="K4641" s="9">
        <f t="shared" si="145"/>
        <v>-0.280720412908046</v>
      </c>
    </row>
    <row r="4642" spans="1:11" x14ac:dyDescent="0.3">
      <c r="A4642">
        <v>1587</v>
      </c>
      <c r="B4642">
        <v>1</v>
      </c>
      <c r="C4642">
        <v>104</v>
      </c>
      <c r="D4642" t="str">
        <f>VLOOKUP($C4642,products!$A$1:$F$322,MATCH(order_items!$D$1,products!$A$1:$F$1,0),FALSE)</f>
        <v>Sun Bicycles Streamway - 2017</v>
      </c>
      <c r="E4642">
        <f>VLOOKUP($C4642,products!$A$1:$F$322,MATCH(order_items!$E$1,products!$A$1:$F$1,0),FALSE)</f>
        <v>2</v>
      </c>
      <c r="F4642" t="str">
        <f>VLOOKUP($E4642,categories!$A$1:$B$8,MATCH(order_items!$F$1,categories!$A$1:$B$1,0),FALSE)</f>
        <v>Comfort Bicycles</v>
      </c>
      <c r="G4642">
        <v>1</v>
      </c>
      <c r="H4642">
        <v>481.99</v>
      </c>
      <c r="I4642" s="5">
        <v>0.1</v>
      </c>
      <c r="J4642">
        <f t="shared" si="144"/>
        <v>433.791</v>
      </c>
      <c r="K4642" s="9">
        <f t="shared" si="145"/>
        <v>-0.54021008216896171</v>
      </c>
    </row>
    <row r="4643" spans="1:11" x14ac:dyDescent="0.3">
      <c r="A4643">
        <v>1587</v>
      </c>
      <c r="B4643">
        <v>2</v>
      </c>
      <c r="C4643">
        <v>63</v>
      </c>
      <c r="D4643" t="str">
        <f>VLOOKUP($C4643,products!$A$1:$F$322,MATCH(order_items!$D$1,products!$A$1:$F$1,0),FALSE)</f>
        <v>Trek Boone Race Shop Limited - 2017</v>
      </c>
      <c r="E4643">
        <f>VLOOKUP($C4643,products!$A$1:$F$322,MATCH(order_items!$E$1,products!$A$1:$F$1,0),FALSE)</f>
        <v>4</v>
      </c>
      <c r="F4643" t="str">
        <f>VLOOKUP($E4643,categories!$A$1:$B$8,MATCH(order_items!$F$1,categories!$A$1:$B$1,0),FALSE)</f>
        <v>Cyclocross Bicycles</v>
      </c>
      <c r="G4643">
        <v>2</v>
      </c>
      <c r="H4643">
        <v>3499.99</v>
      </c>
      <c r="I4643" s="5">
        <v>0.05</v>
      </c>
      <c r="J4643">
        <f t="shared" si="144"/>
        <v>6649.9809999999989</v>
      </c>
      <c r="K4643" s="9">
        <f t="shared" si="145"/>
        <v>1.6909575013907066</v>
      </c>
    </row>
    <row r="4644" spans="1:11" x14ac:dyDescent="0.3">
      <c r="A4644">
        <v>1587</v>
      </c>
      <c r="B4644">
        <v>3</v>
      </c>
      <c r="C4644">
        <v>78</v>
      </c>
      <c r="D4644" t="str">
        <f>VLOOKUP($C4644,products!$A$1:$F$322,MATCH(order_items!$D$1,products!$A$1:$F$1,0),FALSE)</f>
        <v>Sun Bicycles Biscayne Tandem CB - 2017</v>
      </c>
      <c r="E4644">
        <f>VLOOKUP($C4644,products!$A$1:$F$322,MATCH(order_items!$E$1,products!$A$1:$F$1,0),FALSE)</f>
        <v>3</v>
      </c>
      <c r="F4644" t="str">
        <f>VLOOKUP($E4644,categories!$A$1:$B$8,MATCH(order_items!$F$1,categories!$A$1:$B$1,0),FALSE)</f>
        <v>Cruisers Bicycles</v>
      </c>
      <c r="G4644">
        <v>2</v>
      </c>
      <c r="H4644">
        <v>647.99</v>
      </c>
      <c r="I4644" s="5">
        <v>0.05</v>
      </c>
      <c r="J4644">
        <f t="shared" si="144"/>
        <v>1231.181</v>
      </c>
      <c r="K4644" s="9">
        <f t="shared" si="145"/>
        <v>-0.41748847220510982</v>
      </c>
    </row>
    <row r="4645" spans="1:11" x14ac:dyDescent="0.3">
      <c r="A4645">
        <v>1587</v>
      </c>
      <c r="B4645">
        <v>4</v>
      </c>
      <c r="C4645">
        <v>300</v>
      </c>
      <c r="D4645" t="str">
        <f>VLOOKUP($C4645,products!$A$1:$F$322,MATCH(order_items!$D$1,products!$A$1:$F$1,0),FALSE)</f>
        <v>Electra Townie Balloon 3i EQ Ladies' - 2018</v>
      </c>
      <c r="E4645">
        <f>VLOOKUP($C4645,products!$A$1:$F$322,MATCH(order_items!$E$1,products!$A$1:$F$1,0),FALSE)</f>
        <v>2</v>
      </c>
      <c r="F4645" t="str">
        <f>VLOOKUP($E4645,categories!$A$1:$B$8,MATCH(order_items!$F$1,categories!$A$1:$B$1,0),FALSE)</f>
        <v>Comfort Bicycles</v>
      </c>
      <c r="G4645">
        <v>2</v>
      </c>
      <c r="H4645">
        <v>799.99</v>
      </c>
      <c r="I4645" s="5">
        <v>7.0000000000000007E-2</v>
      </c>
      <c r="J4645">
        <f t="shared" si="144"/>
        <v>1487.9813999999999</v>
      </c>
      <c r="K4645" s="9">
        <f t="shared" si="145"/>
        <v>-0.30511687753941413</v>
      </c>
    </row>
    <row r="4646" spans="1:11" x14ac:dyDescent="0.3">
      <c r="A4646">
        <v>1588</v>
      </c>
      <c r="B4646">
        <v>1</v>
      </c>
      <c r="C4646">
        <v>93</v>
      </c>
      <c r="D4646" t="str">
        <f>VLOOKUP($C4646,products!$A$1:$F$322,MATCH(order_items!$D$1,products!$A$1:$F$1,0),FALSE)</f>
        <v>Haro Shredder 20 Girls - 2017</v>
      </c>
      <c r="E4646">
        <f>VLOOKUP($C4646,products!$A$1:$F$322,MATCH(order_items!$E$1,products!$A$1:$F$1,0),FALSE)</f>
        <v>1</v>
      </c>
      <c r="F4646" t="str">
        <f>VLOOKUP($E4646,categories!$A$1:$B$8,MATCH(order_items!$F$1,categories!$A$1:$B$1,0),FALSE)</f>
        <v>Children Bicycles</v>
      </c>
      <c r="G4646">
        <v>2</v>
      </c>
      <c r="H4646">
        <v>209.99</v>
      </c>
      <c r="I4646" s="5">
        <v>7.0000000000000007E-2</v>
      </c>
      <c r="J4646">
        <f t="shared" si="144"/>
        <v>390.58139999999997</v>
      </c>
      <c r="K4646" s="9">
        <f t="shared" si="145"/>
        <v>-0.74129609367599603</v>
      </c>
    </row>
    <row r="4647" spans="1:11" x14ac:dyDescent="0.3">
      <c r="A4647">
        <v>1589</v>
      </c>
      <c r="B4647">
        <v>1</v>
      </c>
      <c r="C4647">
        <v>246</v>
      </c>
      <c r="D4647" t="str">
        <f>VLOOKUP($C4647,products!$A$1:$F$322,MATCH(order_items!$D$1,products!$A$1:$F$1,0),FALSE)</f>
        <v>Electra Townie Original 3i EQ Ladies' - 2018</v>
      </c>
      <c r="E4647">
        <f>VLOOKUP($C4647,products!$A$1:$F$322,MATCH(order_items!$E$1,products!$A$1:$F$1,0),FALSE)</f>
        <v>3</v>
      </c>
      <c r="F4647" t="str">
        <f>VLOOKUP($E4647,categories!$A$1:$B$8,MATCH(order_items!$F$1,categories!$A$1:$B$1,0),FALSE)</f>
        <v>Cruisers Bicycles</v>
      </c>
      <c r="G4647">
        <v>2</v>
      </c>
      <c r="H4647">
        <v>639.99</v>
      </c>
      <c r="I4647" s="5">
        <v>0.05</v>
      </c>
      <c r="J4647">
        <f t="shared" si="144"/>
        <v>1215.981</v>
      </c>
      <c r="K4647" s="9">
        <f t="shared" si="145"/>
        <v>-0.42340276666119908</v>
      </c>
    </row>
    <row r="4648" spans="1:11" x14ac:dyDescent="0.3">
      <c r="A4648">
        <v>1589</v>
      </c>
      <c r="B4648">
        <v>2</v>
      </c>
      <c r="C4648">
        <v>260</v>
      </c>
      <c r="D4648" t="str">
        <f>VLOOKUP($C4648,products!$A$1:$F$322,MATCH(order_items!$D$1,products!$A$1:$F$1,0),FALSE)</f>
        <v>Electra Townie Balloon 3i EQ Ladies' - 2018</v>
      </c>
      <c r="E4648">
        <f>VLOOKUP($C4648,products!$A$1:$F$322,MATCH(order_items!$E$1,products!$A$1:$F$1,0),FALSE)</f>
        <v>3</v>
      </c>
      <c r="F4648" t="str">
        <f>VLOOKUP($E4648,categories!$A$1:$B$8,MATCH(order_items!$F$1,categories!$A$1:$B$1,0),FALSE)</f>
        <v>Cruisers Bicycles</v>
      </c>
      <c r="G4648">
        <v>1</v>
      </c>
      <c r="H4648">
        <v>799.99</v>
      </c>
      <c r="I4648" s="5">
        <v>0.2</v>
      </c>
      <c r="J4648">
        <f t="shared" si="144"/>
        <v>639.99200000000008</v>
      </c>
      <c r="K4648" s="9">
        <f t="shared" si="145"/>
        <v>-0.30511687753941413</v>
      </c>
    </row>
    <row r="4649" spans="1:11" x14ac:dyDescent="0.3">
      <c r="A4649">
        <v>1589</v>
      </c>
      <c r="B4649">
        <v>3</v>
      </c>
      <c r="C4649">
        <v>28</v>
      </c>
      <c r="D4649" t="str">
        <f>VLOOKUP($C4649,products!$A$1:$F$322,MATCH(order_items!$D$1,products!$A$1:$F$1,0),FALSE)</f>
        <v>Surly Karate Monkey 27.5+ Frameset - 2017</v>
      </c>
      <c r="E4649">
        <f>VLOOKUP($C4649,products!$A$1:$F$322,MATCH(order_items!$E$1,products!$A$1:$F$1,0),FALSE)</f>
        <v>6</v>
      </c>
      <c r="F4649" t="str">
        <f>VLOOKUP($E4649,categories!$A$1:$B$8,MATCH(order_items!$F$1,categories!$A$1:$B$1,0),FALSE)</f>
        <v>Mountain Bikes</v>
      </c>
      <c r="G4649">
        <v>2</v>
      </c>
      <c r="H4649">
        <v>2499.9899999999998</v>
      </c>
      <c r="I4649" s="5">
        <v>0.1</v>
      </c>
      <c r="J4649">
        <f t="shared" si="144"/>
        <v>4499.982</v>
      </c>
      <c r="K4649" s="9">
        <f t="shared" si="145"/>
        <v>0.95167069437955054</v>
      </c>
    </row>
    <row r="4650" spans="1:11" x14ac:dyDescent="0.3">
      <c r="A4650">
        <v>1590</v>
      </c>
      <c r="B4650">
        <v>1</v>
      </c>
      <c r="C4650">
        <v>175</v>
      </c>
      <c r="D4650" t="str">
        <f>VLOOKUP($C4650,products!$A$1:$F$322,MATCH(order_items!$D$1,products!$A$1:$F$1,0),FALSE)</f>
        <v>Trek Domane SLR Frameset - 2018</v>
      </c>
      <c r="E4650">
        <f>VLOOKUP($C4650,products!$A$1:$F$322,MATCH(order_items!$E$1,products!$A$1:$F$1,0),FALSE)</f>
        <v>7</v>
      </c>
      <c r="F4650" t="str">
        <f>VLOOKUP($E4650,categories!$A$1:$B$8,MATCH(order_items!$F$1,categories!$A$1:$B$1,0),FALSE)</f>
        <v>Road Bikes</v>
      </c>
      <c r="G4650">
        <v>2</v>
      </c>
      <c r="H4650">
        <v>3199.99</v>
      </c>
      <c r="I4650" s="5">
        <v>7.0000000000000007E-2</v>
      </c>
      <c r="J4650">
        <f t="shared" si="144"/>
        <v>5951.9813999999988</v>
      </c>
      <c r="K4650" s="9">
        <f t="shared" si="145"/>
        <v>1.4691714592873595</v>
      </c>
    </row>
    <row r="4651" spans="1:11" x14ac:dyDescent="0.3">
      <c r="A4651">
        <v>1590</v>
      </c>
      <c r="B4651">
        <v>2</v>
      </c>
      <c r="C4651">
        <v>248</v>
      </c>
      <c r="D4651" t="str">
        <f>VLOOKUP($C4651,products!$A$1:$F$322,MATCH(order_items!$D$1,products!$A$1:$F$1,0),FALSE)</f>
        <v>Electra Townie Original 7D EQ Ladies' - 2017/2018</v>
      </c>
      <c r="E4651">
        <f>VLOOKUP($C4651,products!$A$1:$F$322,MATCH(order_items!$E$1,products!$A$1:$F$1,0),FALSE)</f>
        <v>3</v>
      </c>
      <c r="F4651" t="str">
        <f>VLOOKUP($E4651,categories!$A$1:$B$8,MATCH(order_items!$F$1,categories!$A$1:$B$1,0),FALSE)</f>
        <v>Cruisers Bicycles</v>
      </c>
      <c r="G4651">
        <v>1</v>
      </c>
      <c r="H4651">
        <v>599.99</v>
      </c>
      <c r="I4651" s="5">
        <v>0.2</v>
      </c>
      <c r="J4651">
        <f t="shared" si="144"/>
        <v>479.99200000000002</v>
      </c>
      <c r="K4651" s="9">
        <f t="shared" si="145"/>
        <v>-0.45297423894164529</v>
      </c>
    </row>
    <row r="4652" spans="1:11" x14ac:dyDescent="0.3">
      <c r="A4652">
        <v>1590</v>
      </c>
      <c r="B4652">
        <v>3</v>
      </c>
      <c r="C4652">
        <v>23</v>
      </c>
      <c r="D4652" t="str">
        <f>VLOOKUP($C4652,products!$A$1:$F$322,MATCH(order_items!$D$1,products!$A$1:$F$1,0),FALSE)</f>
        <v>Electra Girl's Hawaii 1 (20-inch) - 2015/2016</v>
      </c>
      <c r="E4652">
        <f>VLOOKUP($C4652,products!$A$1:$F$322,MATCH(order_items!$E$1,products!$A$1:$F$1,0),FALSE)</f>
        <v>1</v>
      </c>
      <c r="F4652" t="str">
        <f>VLOOKUP($E4652,categories!$A$1:$B$8,MATCH(order_items!$F$1,categories!$A$1:$B$1,0),FALSE)</f>
        <v>Children Bicycles</v>
      </c>
      <c r="G4652">
        <v>1</v>
      </c>
      <c r="H4652">
        <v>299.99</v>
      </c>
      <c r="I4652" s="5">
        <v>7.0000000000000007E-2</v>
      </c>
      <c r="J4652">
        <f t="shared" si="144"/>
        <v>278.9907</v>
      </c>
      <c r="K4652" s="9">
        <f t="shared" si="145"/>
        <v>-0.67476028104499197</v>
      </c>
    </row>
    <row r="4653" spans="1:11" x14ac:dyDescent="0.3">
      <c r="A4653">
        <v>1591</v>
      </c>
      <c r="B4653">
        <v>1</v>
      </c>
      <c r="C4653">
        <v>286</v>
      </c>
      <c r="D4653" t="str">
        <f>VLOOKUP($C4653,products!$A$1:$F$322,MATCH(order_items!$D$1,products!$A$1:$F$1,0),FALSE)</f>
        <v>Electra Starship 1 16" - 2018</v>
      </c>
      <c r="E4653">
        <f>VLOOKUP($C4653,products!$A$1:$F$322,MATCH(order_items!$E$1,products!$A$1:$F$1,0),FALSE)</f>
        <v>1</v>
      </c>
      <c r="F4653" t="str">
        <f>VLOOKUP($E4653,categories!$A$1:$B$8,MATCH(order_items!$F$1,categories!$A$1:$B$1,0),FALSE)</f>
        <v>Children Bicycles</v>
      </c>
      <c r="G4653">
        <v>2</v>
      </c>
      <c r="H4653">
        <v>279.99</v>
      </c>
      <c r="I4653" s="5">
        <v>0.2</v>
      </c>
      <c r="J4653">
        <f t="shared" si="144"/>
        <v>447.98400000000004</v>
      </c>
      <c r="K4653" s="9">
        <f t="shared" si="145"/>
        <v>-0.68954601718521513</v>
      </c>
    </row>
    <row r="4654" spans="1:11" x14ac:dyDescent="0.3">
      <c r="A4654">
        <v>1591</v>
      </c>
      <c r="B4654">
        <v>2</v>
      </c>
      <c r="C4654">
        <v>126</v>
      </c>
      <c r="D4654" t="str">
        <f>VLOOKUP($C4654,products!$A$1:$F$322,MATCH(order_items!$D$1,products!$A$1:$F$1,0),FALSE)</f>
        <v>Surly Big Fat Dummy Frameset - 2018</v>
      </c>
      <c r="E4654">
        <f>VLOOKUP($C4654,products!$A$1:$F$322,MATCH(order_items!$E$1,products!$A$1:$F$1,0),FALSE)</f>
        <v>6</v>
      </c>
      <c r="F4654" t="str">
        <f>VLOOKUP($E4654,categories!$A$1:$B$8,MATCH(order_items!$F$1,categories!$A$1:$B$1,0),FALSE)</f>
        <v>Mountain Bikes</v>
      </c>
      <c r="G4654">
        <v>2</v>
      </c>
      <c r="H4654">
        <v>469.99</v>
      </c>
      <c r="I4654" s="5">
        <v>0.2</v>
      </c>
      <c r="J4654">
        <f t="shared" si="144"/>
        <v>751.98400000000004</v>
      </c>
      <c r="K4654" s="9">
        <f t="shared" si="145"/>
        <v>-0.5490815238530955</v>
      </c>
    </row>
    <row r="4655" spans="1:11" x14ac:dyDescent="0.3">
      <c r="A4655">
        <v>1591</v>
      </c>
      <c r="B4655">
        <v>3</v>
      </c>
      <c r="C4655">
        <v>97</v>
      </c>
      <c r="D4655" t="str">
        <f>VLOOKUP($C4655,products!$A$1:$F$322,MATCH(order_items!$D$1,products!$A$1:$F$1,0),FALSE)</f>
        <v>Electra Savannah 3i (20-inch) - Girl's - 2017</v>
      </c>
      <c r="E4655">
        <f>VLOOKUP($C4655,products!$A$1:$F$322,MATCH(order_items!$E$1,products!$A$1:$F$1,0),FALSE)</f>
        <v>1</v>
      </c>
      <c r="F4655" t="str">
        <f>VLOOKUP($E4655,categories!$A$1:$B$8,MATCH(order_items!$F$1,categories!$A$1:$B$1,0),FALSE)</f>
        <v>Children Bicycles</v>
      </c>
      <c r="G4655">
        <v>2</v>
      </c>
      <c r="H4655">
        <v>349.99</v>
      </c>
      <c r="I4655" s="5">
        <v>7.0000000000000007E-2</v>
      </c>
      <c r="J4655">
        <f t="shared" si="144"/>
        <v>650.98140000000001</v>
      </c>
      <c r="K4655" s="9">
        <f t="shared" si="145"/>
        <v>-0.63779594069443424</v>
      </c>
    </row>
    <row r="4656" spans="1:11" x14ac:dyDescent="0.3">
      <c r="A4656">
        <v>1591</v>
      </c>
      <c r="B4656">
        <v>4</v>
      </c>
      <c r="C4656">
        <v>138</v>
      </c>
      <c r="D4656" t="str">
        <f>VLOOKUP($C4656,products!$A$1:$F$322,MATCH(order_items!$D$1,products!$A$1:$F$1,0),FALSE)</f>
        <v>Trek Fuel EX 5 Plus - 2018</v>
      </c>
      <c r="E4656">
        <f>VLOOKUP($C4656,products!$A$1:$F$322,MATCH(order_items!$E$1,products!$A$1:$F$1,0),FALSE)</f>
        <v>6</v>
      </c>
      <c r="F4656" t="str">
        <f>VLOOKUP($E4656,categories!$A$1:$B$8,MATCH(order_items!$F$1,categories!$A$1:$B$1,0),FALSE)</f>
        <v>Mountain Bikes</v>
      </c>
      <c r="G4656">
        <v>2</v>
      </c>
      <c r="H4656">
        <v>2249.9899999999998</v>
      </c>
      <c r="I4656" s="5">
        <v>0.05</v>
      </c>
      <c r="J4656">
        <f t="shared" si="144"/>
        <v>4274.9809999999998</v>
      </c>
      <c r="K4656" s="9">
        <f t="shared" si="145"/>
        <v>0.76684899262676154</v>
      </c>
    </row>
    <row r="4657" spans="1:11" x14ac:dyDescent="0.3">
      <c r="A4657">
        <v>1591</v>
      </c>
      <c r="B4657">
        <v>5</v>
      </c>
      <c r="C4657">
        <v>265</v>
      </c>
      <c r="D4657" t="str">
        <f>VLOOKUP($C4657,products!$A$1:$F$322,MATCH(order_items!$D$1,products!$A$1:$F$1,0),FALSE)</f>
        <v>Strider Strider 20 Sport - 2018</v>
      </c>
      <c r="E4657">
        <f>VLOOKUP($C4657,products!$A$1:$F$322,MATCH(order_items!$E$1,products!$A$1:$F$1,0),FALSE)</f>
        <v>1</v>
      </c>
      <c r="F4657" t="str">
        <f>VLOOKUP($E4657,categories!$A$1:$B$8,MATCH(order_items!$F$1,categories!$A$1:$B$1,0),FALSE)</f>
        <v>Children Bicycles</v>
      </c>
      <c r="G4657">
        <v>1</v>
      </c>
      <c r="H4657">
        <v>289.99</v>
      </c>
      <c r="I4657" s="5">
        <v>0.2</v>
      </c>
      <c r="J4657">
        <f t="shared" si="144"/>
        <v>231.99200000000002</v>
      </c>
      <c r="K4657" s="9">
        <f t="shared" si="145"/>
        <v>-0.68215314911510361</v>
      </c>
    </row>
    <row r="4658" spans="1:11" x14ac:dyDescent="0.3">
      <c r="A4658">
        <v>1592</v>
      </c>
      <c r="B4658">
        <v>1</v>
      </c>
      <c r="C4658">
        <v>211</v>
      </c>
      <c r="D4658" t="str">
        <f>VLOOKUP($C4658,products!$A$1:$F$322,MATCH(order_items!$D$1,products!$A$1:$F$1,0),FALSE)</f>
        <v>Surly Straggler 650b - 2018</v>
      </c>
      <c r="E4658">
        <f>VLOOKUP($C4658,products!$A$1:$F$322,MATCH(order_items!$E$1,products!$A$1:$F$1,0),FALSE)</f>
        <v>4</v>
      </c>
      <c r="F4658" t="str">
        <f>VLOOKUP($E4658,categories!$A$1:$B$8,MATCH(order_items!$F$1,categories!$A$1:$B$1,0),FALSE)</f>
        <v>Cyclocross Bicycles</v>
      </c>
      <c r="G4658">
        <v>2</v>
      </c>
      <c r="H4658">
        <v>1549</v>
      </c>
      <c r="I4658" s="5">
        <v>0.05</v>
      </c>
      <c r="J4658">
        <f t="shared" si="144"/>
        <v>2943.1</v>
      </c>
      <c r="K4658" s="9">
        <f t="shared" si="145"/>
        <v>0.24861633378001166</v>
      </c>
    </row>
    <row r="4659" spans="1:11" x14ac:dyDescent="0.3">
      <c r="A4659">
        <v>1592</v>
      </c>
      <c r="B4659">
        <v>2</v>
      </c>
      <c r="C4659">
        <v>159</v>
      </c>
      <c r="D4659" t="str">
        <f>VLOOKUP($C4659,products!$A$1:$F$322,MATCH(order_items!$D$1,products!$A$1:$F$1,0),FALSE)</f>
        <v>Trek Emonda ALR 6 - 2018</v>
      </c>
      <c r="E4659">
        <f>VLOOKUP($C4659,products!$A$1:$F$322,MATCH(order_items!$E$1,products!$A$1:$F$1,0),FALSE)</f>
        <v>7</v>
      </c>
      <c r="F4659" t="str">
        <f>VLOOKUP($E4659,categories!$A$1:$B$8,MATCH(order_items!$F$1,categories!$A$1:$B$1,0),FALSE)</f>
        <v>Road Bikes</v>
      </c>
      <c r="G4659">
        <v>1</v>
      </c>
      <c r="H4659">
        <v>2299.9899999999998</v>
      </c>
      <c r="I4659" s="5">
        <v>7.0000000000000007E-2</v>
      </c>
      <c r="J4659">
        <f t="shared" si="144"/>
        <v>2138.9906999999998</v>
      </c>
      <c r="K4659" s="9">
        <f t="shared" si="145"/>
        <v>0.80381333297731938</v>
      </c>
    </row>
    <row r="4660" spans="1:11" x14ac:dyDescent="0.3">
      <c r="A4660">
        <v>1592</v>
      </c>
      <c r="B4660">
        <v>3</v>
      </c>
      <c r="C4660">
        <v>40</v>
      </c>
      <c r="D4660" t="str">
        <f>VLOOKUP($C4660,products!$A$1:$F$322,MATCH(order_items!$D$1,products!$A$1:$F$1,0),FALSE)</f>
        <v>Trek Fuel EX 9.8 29 - 2017</v>
      </c>
      <c r="E4660">
        <f>VLOOKUP($C4660,products!$A$1:$F$322,MATCH(order_items!$E$1,products!$A$1:$F$1,0),FALSE)</f>
        <v>6</v>
      </c>
      <c r="F4660" t="str">
        <f>VLOOKUP($E4660,categories!$A$1:$B$8,MATCH(order_items!$F$1,categories!$A$1:$B$1,0),FALSE)</f>
        <v>Mountain Bikes</v>
      </c>
      <c r="G4660">
        <v>2</v>
      </c>
      <c r="H4660">
        <v>4999.99</v>
      </c>
      <c r="I4660" s="5">
        <v>7.0000000000000007E-2</v>
      </c>
      <c r="J4660">
        <f t="shared" si="144"/>
        <v>9299.9813999999988</v>
      </c>
      <c r="K4660" s="9">
        <f t="shared" si="145"/>
        <v>2.7998877119074401</v>
      </c>
    </row>
    <row r="4661" spans="1:11" x14ac:dyDescent="0.3">
      <c r="A4661">
        <v>1592</v>
      </c>
      <c r="B4661">
        <v>4</v>
      </c>
      <c r="C4661">
        <v>9</v>
      </c>
      <c r="D4661" t="str">
        <f>VLOOKUP($C4661,products!$A$1:$F$322,MATCH(order_items!$D$1,products!$A$1:$F$1,0),FALSE)</f>
        <v>Trek Conduit+ - 2016</v>
      </c>
      <c r="E4661">
        <f>VLOOKUP($C4661,products!$A$1:$F$322,MATCH(order_items!$E$1,products!$A$1:$F$1,0),FALSE)</f>
        <v>5</v>
      </c>
      <c r="F4661" t="str">
        <f>VLOOKUP($E4661,categories!$A$1:$B$8,MATCH(order_items!$F$1,categories!$A$1:$B$1,0),FALSE)</f>
        <v>Electric Bikes</v>
      </c>
      <c r="G4661">
        <v>1</v>
      </c>
      <c r="H4661">
        <v>2999.99</v>
      </c>
      <c r="I4661" s="5">
        <v>0.2</v>
      </c>
      <c r="J4661">
        <f t="shared" si="144"/>
        <v>2399.9919999999997</v>
      </c>
      <c r="K4661" s="9">
        <f t="shared" si="145"/>
        <v>1.3213140978851283</v>
      </c>
    </row>
    <row r="4662" spans="1:11" x14ac:dyDescent="0.3">
      <c r="A4662">
        <v>1592</v>
      </c>
      <c r="B4662">
        <v>5</v>
      </c>
      <c r="C4662">
        <v>271</v>
      </c>
      <c r="D4662" t="str">
        <f>VLOOKUP($C4662,products!$A$1:$F$322,MATCH(order_items!$D$1,products!$A$1:$F$1,0),FALSE)</f>
        <v>Trek Precaliber 16 Girl's - 2018</v>
      </c>
      <c r="E4662">
        <f>VLOOKUP($C4662,products!$A$1:$F$322,MATCH(order_items!$E$1,products!$A$1:$F$1,0),FALSE)</f>
        <v>1</v>
      </c>
      <c r="F4662" t="str">
        <f>VLOOKUP($E4662,categories!$A$1:$B$8,MATCH(order_items!$F$1,categories!$A$1:$B$1,0),FALSE)</f>
        <v>Children Bicycles</v>
      </c>
      <c r="G4662">
        <v>2</v>
      </c>
      <c r="H4662">
        <v>209.99</v>
      </c>
      <c r="I4662" s="5">
        <v>0.05</v>
      </c>
      <c r="J4662">
        <f t="shared" si="144"/>
        <v>398.98099999999999</v>
      </c>
      <c r="K4662" s="9">
        <f t="shared" si="145"/>
        <v>-0.74129609367599603</v>
      </c>
    </row>
    <row r="4663" spans="1:11" x14ac:dyDescent="0.3">
      <c r="A4663">
        <v>1593</v>
      </c>
      <c r="B4663">
        <v>1</v>
      </c>
      <c r="C4663">
        <v>97</v>
      </c>
      <c r="D4663" t="str">
        <f>VLOOKUP($C4663,products!$A$1:$F$322,MATCH(order_items!$D$1,products!$A$1:$F$1,0),FALSE)</f>
        <v>Electra Savannah 3i (20-inch) - Girl's - 2017</v>
      </c>
      <c r="E4663">
        <f>VLOOKUP($C4663,products!$A$1:$F$322,MATCH(order_items!$E$1,products!$A$1:$F$1,0),FALSE)</f>
        <v>1</v>
      </c>
      <c r="F4663" t="str">
        <f>VLOOKUP($E4663,categories!$A$1:$B$8,MATCH(order_items!$F$1,categories!$A$1:$B$1,0),FALSE)</f>
        <v>Children Bicycles</v>
      </c>
      <c r="G4663">
        <v>2</v>
      </c>
      <c r="H4663">
        <v>349.99</v>
      </c>
      <c r="I4663" s="5">
        <v>0.2</v>
      </c>
      <c r="J4663">
        <f t="shared" si="144"/>
        <v>559.98400000000004</v>
      </c>
      <c r="K4663" s="9">
        <f t="shared" si="145"/>
        <v>-0.63779594069443424</v>
      </c>
    </row>
    <row r="4664" spans="1:11" x14ac:dyDescent="0.3">
      <c r="A4664">
        <v>1593</v>
      </c>
      <c r="B4664">
        <v>2</v>
      </c>
      <c r="C4664">
        <v>34</v>
      </c>
      <c r="D4664" t="str">
        <f>VLOOKUP($C4664,products!$A$1:$F$322,MATCH(order_items!$D$1,products!$A$1:$F$1,0),FALSE)</f>
        <v>Trek Session DH 27.5 Carbon Frameset - 2017</v>
      </c>
      <c r="E4664">
        <f>VLOOKUP($C4664,products!$A$1:$F$322,MATCH(order_items!$E$1,products!$A$1:$F$1,0),FALSE)</f>
        <v>6</v>
      </c>
      <c r="F4664" t="str">
        <f>VLOOKUP($E4664,categories!$A$1:$B$8,MATCH(order_items!$F$1,categories!$A$1:$B$1,0),FALSE)</f>
        <v>Mountain Bikes</v>
      </c>
      <c r="G4664">
        <v>1</v>
      </c>
      <c r="H4664">
        <v>469.99</v>
      </c>
      <c r="I4664" s="5">
        <v>7.0000000000000007E-2</v>
      </c>
      <c r="J4664">
        <f t="shared" si="144"/>
        <v>437.09069999999997</v>
      </c>
      <c r="K4664" s="9">
        <f t="shared" si="145"/>
        <v>-0.5490815238530955</v>
      </c>
    </row>
    <row r="4665" spans="1:11" x14ac:dyDescent="0.3">
      <c r="A4665">
        <v>1593</v>
      </c>
      <c r="B4665">
        <v>3</v>
      </c>
      <c r="C4665">
        <v>190</v>
      </c>
      <c r="D4665" t="str">
        <f>VLOOKUP($C4665,products!$A$1:$F$322,MATCH(order_items!$D$1,products!$A$1:$F$1,0),FALSE)</f>
        <v>Trek Dual Sport+ - 2018</v>
      </c>
      <c r="E4665">
        <f>VLOOKUP($C4665,products!$A$1:$F$322,MATCH(order_items!$E$1,products!$A$1:$F$1,0),FALSE)</f>
        <v>5</v>
      </c>
      <c r="F4665" t="str">
        <f>VLOOKUP($E4665,categories!$A$1:$B$8,MATCH(order_items!$F$1,categories!$A$1:$B$1,0),FALSE)</f>
        <v>Electric Bikes</v>
      </c>
      <c r="G4665">
        <v>2</v>
      </c>
      <c r="H4665">
        <v>2799.99</v>
      </c>
      <c r="I4665" s="5">
        <v>0.1</v>
      </c>
      <c r="J4665">
        <f t="shared" si="144"/>
        <v>5039.982</v>
      </c>
      <c r="K4665" s="9">
        <f t="shared" si="145"/>
        <v>1.1734567364828972</v>
      </c>
    </row>
    <row r="4666" spans="1:11" x14ac:dyDescent="0.3">
      <c r="A4666">
        <v>1593</v>
      </c>
      <c r="B4666">
        <v>4</v>
      </c>
      <c r="C4666">
        <v>107</v>
      </c>
      <c r="D4666" t="str">
        <f>VLOOKUP($C4666,products!$A$1:$F$322,MATCH(order_items!$D$1,products!$A$1:$F$1,0),FALSE)</f>
        <v>Sun Bicycles Cruz 7 - 2017</v>
      </c>
      <c r="E4666">
        <f>VLOOKUP($C4666,products!$A$1:$F$322,MATCH(order_items!$E$1,products!$A$1:$F$1,0),FALSE)</f>
        <v>2</v>
      </c>
      <c r="F4666" t="str">
        <f>VLOOKUP($E4666,categories!$A$1:$B$8,MATCH(order_items!$F$1,categories!$A$1:$B$1,0),FALSE)</f>
        <v>Comfort Bicycles</v>
      </c>
      <c r="G4666">
        <v>1</v>
      </c>
      <c r="H4666">
        <v>416.99</v>
      </c>
      <c r="I4666" s="5">
        <v>0.05</v>
      </c>
      <c r="J4666">
        <f t="shared" si="144"/>
        <v>396.14049999999997</v>
      </c>
      <c r="K4666" s="9">
        <f t="shared" si="145"/>
        <v>-0.58826372462468679</v>
      </c>
    </row>
    <row r="4667" spans="1:11" x14ac:dyDescent="0.3">
      <c r="A4667">
        <v>1593</v>
      </c>
      <c r="B4667">
        <v>5</v>
      </c>
      <c r="C4667">
        <v>169</v>
      </c>
      <c r="D4667" t="str">
        <f>VLOOKUP($C4667,products!$A$1:$F$322,MATCH(order_items!$D$1,products!$A$1:$F$1,0),FALSE)</f>
        <v>Trek Emonda SLR 8 - 2018</v>
      </c>
      <c r="E4667">
        <f>VLOOKUP($C4667,products!$A$1:$F$322,MATCH(order_items!$E$1,products!$A$1:$F$1,0),FALSE)</f>
        <v>7</v>
      </c>
      <c r="F4667" t="str">
        <f>VLOOKUP($E4667,categories!$A$1:$B$8,MATCH(order_items!$F$1,categories!$A$1:$B$1,0),FALSE)</f>
        <v>Road Bikes</v>
      </c>
      <c r="G4667">
        <v>2</v>
      </c>
      <c r="H4667">
        <v>6499.99</v>
      </c>
      <c r="I4667" s="5">
        <v>7.0000000000000007E-2</v>
      </c>
      <c r="J4667">
        <f t="shared" si="144"/>
        <v>12089.981399999999</v>
      </c>
      <c r="K4667" s="9">
        <f t="shared" si="145"/>
        <v>3.9088179224241739</v>
      </c>
    </row>
    <row r="4668" spans="1:11" x14ac:dyDescent="0.3">
      <c r="A4668">
        <v>1594</v>
      </c>
      <c r="B4668">
        <v>1</v>
      </c>
      <c r="C4668">
        <v>79</v>
      </c>
      <c r="D4668" t="str">
        <f>VLOOKUP($C4668,products!$A$1:$F$322,MATCH(order_items!$D$1,products!$A$1:$F$1,0),FALSE)</f>
        <v>Sun Bicycles Boardwalk (24-inch Wheels) - 2017</v>
      </c>
      <c r="E4668">
        <f>VLOOKUP($C4668,products!$A$1:$F$322,MATCH(order_items!$E$1,products!$A$1:$F$1,0),FALSE)</f>
        <v>3</v>
      </c>
      <c r="F4668" t="str">
        <f>VLOOKUP($E4668,categories!$A$1:$B$8,MATCH(order_items!$F$1,categories!$A$1:$B$1,0),FALSE)</f>
        <v>Cruisers Bicycles</v>
      </c>
      <c r="G4668">
        <v>2</v>
      </c>
      <c r="H4668">
        <v>402.99</v>
      </c>
      <c r="I4668" s="5">
        <v>0.1</v>
      </c>
      <c r="J4668">
        <f t="shared" si="144"/>
        <v>725.38200000000006</v>
      </c>
      <c r="K4668" s="9">
        <f t="shared" si="145"/>
        <v>-0.59861373992284295</v>
      </c>
    </row>
    <row r="4669" spans="1:11" x14ac:dyDescent="0.3">
      <c r="A4669">
        <v>1594</v>
      </c>
      <c r="B4669">
        <v>2</v>
      </c>
      <c r="C4669">
        <v>105</v>
      </c>
      <c r="D4669" t="str">
        <f>VLOOKUP($C4669,products!$A$1:$F$322,MATCH(order_items!$D$1,products!$A$1:$F$1,0),FALSE)</f>
        <v>Sun Bicycles Streamway 7 - 2017</v>
      </c>
      <c r="E4669">
        <f>VLOOKUP($C4669,products!$A$1:$F$322,MATCH(order_items!$E$1,products!$A$1:$F$1,0),FALSE)</f>
        <v>2</v>
      </c>
      <c r="F4669" t="str">
        <f>VLOOKUP($E4669,categories!$A$1:$B$8,MATCH(order_items!$F$1,categories!$A$1:$B$1,0),FALSE)</f>
        <v>Comfort Bicycles</v>
      </c>
      <c r="G4669">
        <v>1</v>
      </c>
      <c r="H4669">
        <v>533.99</v>
      </c>
      <c r="I4669" s="5">
        <v>0.1</v>
      </c>
      <c r="J4669">
        <f t="shared" si="144"/>
        <v>480.59100000000001</v>
      </c>
      <c r="K4669" s="9">
        <f t="shared" si="145"/>
        <v>-0.50176716820438161</v>
      </c>
    </row>
    <row r="4670" spans="1:11" x14ac:dyDescent="0.3">
      <c r="A4670">
        <v>1595</v>
      </c>
      <c r="B4670">
        <v>1</v>
      </c>
      <c r="C4670">
        <v>112</v>
      </c>
      <c r="D4670" t="str">
        <f>VLOOKUP($C4670,products!$A$1:$F$322,MATCH(order_items!$D$1,products!$A$1:$F$1,0),FALSE)</f>
        <v>Trek 820 - 2018</v>
      </c>
      <c r="E4670">
        <f>VLOOKUP($C4670,products!$A$1:$F$322,MATCH(order_items!$E$1,products!$A$1:$F$1,0),FALSE)</f>
        <v>6</v>
      </c>
      <c r="F4670" t="str">
        <f>VLOOKUP($E4670,categories!$A$1:$B$8,MATCH(order_items!$F$1,categories!$A$1:$B$1,0),FALSE)</f>
        <v>Mountain Bikes</v>
      </c>
      <c r="G4670">
        <v>1</v>
      </c>
      <c r="H4670">
        <v>379.99</v>
      </c>
      <c r="I4670" s="5">
        <v>0.2</v>
      </c>
      <c r="J4670">
        <f t="shared" si="144"/>
        <v>303.99200000000002</v>
      </c>
      <c r="K4670" s="9">
        <f t="shared" si="145"/>
        <v>-0.61561733648409955</v>
      </c>
    </row>
    <row r="4671" spans="1:11" x14ac:dyDescent="0.3">
      <c r="A4671">
        <v>1596</v>
      </c>
      <c r="B4671">
        <v>1</v>
      </c>
      <c r="C4671">
        <v>91</v>
      </c>
      <c r="D4671" t="str">
        <f>VLOOKUP($C4671,products!$A$1:$F$322,MATCH(order_items!$D$1,products!$A$1:$F$1,0),FALSE)</f>
        <v>Trek Precaliber 24 (21-Speed) - Girls - 2017</v>
      </c>
      <c r="E4671">
        <f>VLOOKUP($C4671,products!$A$1:$F$322,MATCH(order_items!$E$1,products!$A$1:$F$1,0),FALSE)</f>
        <v>1</v>
      </c>
      <c r="F4671" t="str">
        <f>VLOOKUP($E4671,categories!$A$1:$B$8,MATCH(order_items!$F$1,categories!$A$1:$B$1,0),FALSE)</f>
        <v>Children Bicycles</v>
      </c>
      <c r="G4671">
        <v>1</v>
      </c>
      <c r="H4671">
        <v>349.99</v>
      </c>
      <c r="I4671" s="5">
        <v>0.05</v>
      </c>
      <c r="J4671">
        <f t="shared" si="144"/>
        <v>332.4905</v>
      </c>
      <c r="K4671" s="9">
        <f t="shared" si="145"/>
        <v>-0.63779594069443424</v>
      </c>
    </row>
    <row r="4672" spans="1:11" x14ac:dyDescent="0.3">
      <c r="A4672">
        <v>1596</v>
      </c>
      <c r="B4672">
        <v>2</v>
      </c>
      <c r="C4672">
        <v>18</v>
      </c>
      <c r="D4672" t="str">
        <f>VLOOKUP($C4672,products!$A$1:$F$322,MATCH(order_items!$D$1,products!$A$1:$F$1,0),FALSE)</f>
        <v>Pure Cycles Western 3-Speed - Women's - 2015/2016</v>
      </c>
      <c r="E4672">
        <f>VLOOKUP($C4672,products!$A$1:$F$322,MATCH(order_items!$E$1,products!$A$1:$F$1,0),FALSE)</f>
        <v>3</v>
      </c>
      <c r="F4672" t="str">
        <f>VLOOKUP($E4672,categories!$A$1:$B$8,MATCH(order_items!$F$1,categories!$A$1:$B$1,0),FALSE)</f>
        <v>Cruisers Bicycles</v>
      </c>
      <c r="G4672">
        <v>1</v>
      </c>
      <c r="H4672">
        <v>449</v>
      </c>
      <c r="I4672" s="5">
        <v>0.1</v>
      </c>
      <c r="J4672">
        <f t="shared" si="144"/>
        <v>404.1</v>
      </c>
      <c r="K4672" s="9">
        <f t="shared" si="145"/>
        <v>-0.56459915393225968</v>
      </c>
    </row>
    <row r="4673" spans="1:11" x14ac:dyDescent="0.3">
      <c r="A4673">
        <v>1597</v>
      </c>
      <c r="B4673">
        <v>1</v>
      </c>
      <c r="C4673">
        <v>176</v>
      </c>
      <c r="D4673" t="str">
        <f>VLOOKUP($C4673,products!$A$1:$F$322,MATCH(order_items!$D$1,products!$A$1:$F$1,0),FALSE)</f>
        <v>Trek Madone 9 Frameset - 2018</v>
      </c>
      <c r="E4673">
        <f>VLOOKUP($C4673,products!$A$1:$F$322,MATCH(order_items!$E$1,products!$A$1:$F$1,0),FALSE)</f>
        <v>7</v>
      </c>
      <c r="F4673" t="str">
        <f>VLOOKUP($E4673,categories!$A$1:$B$8,MATCH(order_items!$F$1,categories!$A$1:$B$1,0),FALSE)</f>
        <v>Road Bikes</v>
      </c>
      <c r="G4673">
        <v>1</v>
      </c>
      <c r="H4673">
        <v>3199.99</v>
      </c>
      <c r="I4673" s="5">
        <v>7.0000000000000007E-2</v>
      </c>
      <c r="J4673">
        <f t="shared" si="144"/>
        <v>2975.9906999999994</v>
      </c>
      <c r="K4673" s="9">
        <f t="shared" si="145"/>
        <v>1.4691714592873595</v>
      </c>
    </row>
    <row r="4674" spans="1:11" x14ac:dyDescent="0.3">
      <c r="A4674">
        <v>1597</v>
      </c>
      <c r="B4674">
        <v>2</v>
      </c>
      <c r="C4674">
        <v>59</v>
      </c>
      <c r="D4674" t="str">
        <f>VLOOKUP($C4674,products!$A$1:$F$322,MATCH(order_items!$D$1,products!$A$1:$F$1,0),FALSE)</f>
        <v>Trek Domane S 5 Disc - 2017</v>
      </c>
      <c r="E4674">
        <f>VLOOKUP($C4674,products!$A$1:$F$322,MATCH(order_items!$E$1,products!$A$1:$F$1,0),FALSE)</f>
        <v>7</v>
      </c>
      <c r="F4674" t="str">
        <f>VLOOKUP($E4674,categories!$A$1:$B$8,MATCH(order_items!$F$1,categories!$A$1:$B$1,0),FALSE)</f>
        <v>Road Bikes</v>
      </c>
      <c r="G4674">
        <v>1</v>
      </c>
      <c r="H4674">
        <v>2599.9899999999998</v>
      </c>
      <c r="I4674" s="5">
        <v>7.0000000000000007E-2</v>
      </c>
      <c r="J4674">
        <f t="shared" ref="J4674:J4723" si="146">G4674*H4674*(1-I4674)</f>
        <v>2417.9906999999998</v>
      </c>
      <c r="K4674" s="9">
        <f t="shared" ref="K4674:K4723" si="147">($H4674-$M$7)/$M$9</f>
        <v>1.025599375080666</v>
      </c>
    </row>
    <row r="4675" spans="1:11" x14ac:dyDescent="0.3">
      <c r="A4675">
        <v>1598</v>
      </c>
      <c r="B4675">
        <v>1</v>
      </c>
      <c r="C4675">
        <v>247</v>
      </c>
      <c r="D4675" t="str">
        <f>VLOOKUP($C4675,products!$A$1:$F$322,MATCH(order_items!$D$1,products!$A$1:$F$1,0),FALSE)</f>
        <v>Electra Townie Original 7D EQ - 2018</v>
      </c>
      <c r="E4675">
        <f>VLOOKUP($C4675,products!$A$1:$F$322,MATCH(order_items!$E$1,products!$A$1:$F$1,0),FALSE)</f>
        <v>3</v>
      </c>
      <c r="F4675" t="str">
        <f>VLOOKUP($E4675,categories!$A$1:$B$8,MATCH(order_items!$F$1,categories!$A$1:$B$1,0),FALSE)</f>
        <v>Cruisers Bicycles</v>
      </c>
      <c r="G4675">
        <v>1</v>
      </c>
      <c r="H4675">
        <v>599.99</v>
      </c>
      <c r="I4675" s="5">
        <v>0.2</v>
      </c>
      <c r="J4675">
        <f t="shared" si="146"/>
        <v>479.99200000000002</v>
      </c>
      <c r="K4675" s="9">
        <f t="shared" si="147"/>
        <v>-0.45297423894164529</v>
      </c>
    </row>
    <row r="4676" spans="1:11" x14ac:dyDescent="0.3">
      <c r="A4676">
        <v>1598</v>
      </c>
      <c r="B4676">
        <v>2</v>
      </c>
      <c r="C4676">
        <v>49</v>
      </c>
      <c r="D4676" t="str">
        <f>VLOOKUP($C4676,products!$A$1:$F$322,MATCH(order_items!$D$1,products!$A$1:$F$1,0),FALSE)</f>
        <v>Trek Domane SL 6 - 2017</v>
      </c>
      <c r="E4676">
        <f>VLOOKUP($C4676,products!$A$1:$F$322,MATCH(order_items!$E$1,products!$A$1:$F$1,0),FALSE)</f>
        <v>7</v>
      </c>
      <c r="F4676" t="str">
        <f>VLOOKUP($E4676,categories!$A$1:$B$8,MATCH(order_items!$F$1,categories!$A$1:$B$1,0),FALSE)</f>
        <v>Road Bikes</v>
      </c>
      <c r="G4676">
        <v>2</v>
      </c>
      <c r="H4676">
        <v>3499.99</v>
      </c>
      <c r="I4676" s="5">
        <v>7.0000000000000007E-2</v>
      </c>
      <c r="J4676">
        <f t="shared" si="146"/>
        <v>6509.9813999999988</v>
      </c>
      <c r="K4676" s="9">
        <f t="shared" si="147"/>
        <v>1.6909575013907066</v>
      </c>
    </row>
    <row r="4677" spans="1:11" x14ac:dyDescent="0.3">
      <c r="A4677">
        <v>1598</v>
      </c>
      <c r="B4677">
        <v>3</v>
      </c>
      <c r="C4677">
        <v>88</v>
      </c>
      <c r="D4677" t="str">
        <f>VLOOKUP($C4677,products!$A$1:$F$322,MATCH(order_items!$D$1,products!$A$1:$F$1,0),FALSE)</f>
        <v>Trek Precaliber 12 Girls - 2017</v>
      </c>
      <c r="E4677">
        <f>VLOOKUP($C4677,products!$A$1:$F$322,MATCH(order_items!$E$1,products!$A$1:$F$1,0),FALSE)</f>
        <v>1</v>
      </c>
      <c r="F4677" t="str">
        <f>VLOOKUP($E4677,categories!$A$1:$B$8,MATCH(order_items!$F$1,categories!$A$1:$B$1,0),FALSE)</f>
        <v>Children Bicycles</v>
      </c>
      <c r="G4677">
        <v>1</v>
      </c>
      <c r="H4677">
        <v>189.99</v>
      </c>
      <c r="I4677" s="5">
        <v>0.2</v>
      </c>
      <c r="J4677">
        <f t="shared" si="146"/>
        <v>151.99200000000002</v>
      </c>
      <c r="K4677" s="9">
        <f t="shared" si="147"/>
        <v>-0.75608182981621919</v>
      </c>
    </row>
    <row r="4678" spans="1:11" x14ac:dyDescent="0.3">
      <c r="A4678">
        <v>1599</v>
      </c>
      <c r="B4678">
        <v>1</v>
      </c>
      <c r="C4678">
        <v>104</v>
      </c>
      <c r="D4678" t="str">
        <f>VLOOKUP($C4678,products!$A$1:$F$322,MATCH(order_items!$D$1,products!$A$1:$F$1,0),FALSE)</f>
        <v>Sun Bicycles Streamway - 2017</v>
      </c>
      <c r="E4678">
        <f>VLOOKUP($C4678,products!$A$1:$F$322,MATCH(order_items!$E$1,products!$A$1:$F$1,0),FALSE)</f>
        <v>2</v>
      </c>
      <c r="F4678" t="str">
        <f>VLOOKUP($E4678,categories!$A$1:$B$8,MATCH(order_items!$F$1,categories!$A$1:$B$1,0),FALSE)</f>
        <v>Comfort Bicycles</v>
      </c>
      <c r="G4678">
        <v>2</v>
      </c>
      <c r="H4678">
        <v>481.99</v>
      </c>
      <c r="I4678" s="5">
        <v>0.2</v>
      </c>
      <c r="J4678">
        <f t="shared" si="146"/>
        <v>771.18400000000008</v>
      </c>
      <c r="K4678" s="9">
        <f t="shared" si="147"/>
        <v>-0.54021008216896171</v>
      </c>
    </row>
    <row r="4679" spans="1:11" x14ac:dyDescent="0.3">
      <c r="A4679">
        <v>1600</v>
      </c>
      <c r="B4679">
        <v>1</v>
      </c>
      <c r="C4679">
        <v>146</v>
      </c>
      <c r="D4679" t="str">
        <f>VLOOKUP($C4679,products!$A$1:$F$322,MATCH(order_items!$D$1,products!$A$1:$F$1,0),FALSE)</f>
        <v>Trek Domane SLR 6 - 2018</v>
      </c>
      <c r="E4679">
        <f>VLOOKUP($C4679,products!$A$1:$F$322,MATCH(order_items!$E$1,products!$A$1:$F$1,0),FALSE)</f>
        <v>7</v>
      </c>
      <c r="F4679" t="str">
        <f>VLOOKUP($E4679,categories!$A$1:$B$8,MATCH(order_items!$F$1,categories!$A$1:$B$1,0),FALSE)</f>
        <v>Road Bikes</v>
      </c>
      <c r="G4679">
        <v>1</v>
      </c>
      <c r="H4679">
        <v>4999.99</v>
      </c>
      <c r="I4679" s="5">
        <v>0.1</v>
      </c>
      <c r="J4679">
        <f t="shared" si="146"/>
        <v>4499.991</v>
      </c>
      <c r="K4679" s="9">
        <f t="shared" si="147"/>
        <v>2.7998877119074401</v>
      </c>
    </row>
    <row r="4680" spans="1:11" x14ac:dyDescent="0.3">
      <c r="A4680">
        <v>1600</v>
      </c>
      <c r="B4680">
        <v>2</v>
      </c>
      <c r="C4680">
        <v>295</v>
      </c>
      <c r="D4680" t="str">
        <f>VLOOKUP($C4680,products!$A$1:$F$322,MATCH(order_items!$D$1,products!$A$1:$F$1,0),FALSE)</f>
        <v>Electra Treasure 1 20" - 2018</v>
      </c>
      <c r="E4680">
        <f>VLOOKUP($C4680,products!$A$1:$F$322,MATCH(order_items!$E$1,products!$A$1:$F$1,0),FALSE)</f>
        <v>1</v>
      </c>
      <c r="F4680" t="str">
        <f>VLOOKUP($E4680,categories!$A$1:$B$8,MATCH(order_items!$F$1,categories!$A$1:$B$1,0),FALSE)</f>
        <v>Children Bicycles</v>
      </c>
      <c r="G4680">
        <v>1</v>
      </c>
      <c r="H4680">
        <v>319.99</v>
      </c>
      <c r="I4680" s="5">
        <v>0.05</v>
      </c>
      <c r="J4680">
        <f t="shared" si="146"/>
        <v>303.9905</v>
      </c>
      <c r="K4680" s="9">
        <f t="shared" si="147"/>
        <v>-0.65997454490476892</v>
      </c>
    </row>
    <row r="4681" spans="1:11" x14ac:dyDescent="0.3">
      <c r="A4681">
        <v>1600</v>
      </c>
      <c r="B4681">
        <v>3</v>
      </c>
      <c r="C4681">
        <v>36</v>
      </c>
      <c r="D4681" t="str">
        <f>VLOOKUP($C4681,products!$A$1:$F$322,MATCH(order_items!$D$1,products!$A$1:$F$1,0),FALSE)</f>
        <v>Surly Troll Frameset - 2017</v>
      </c>
      <c r="E4681">
        <f>VLOOKUP($C4681,products!$A$1:$F$322,MATCH(order_items!$E$1,products!$A$1:$F$1,0),FALSE)</f>
        <v>6</v>
      </c>
      <c r="F4681" t="str">
        <f>VLOOKUP($E4681,categories!$A$1:$B$8,MATCH(order_items!$F$1,categories!$A$1:$B$1,0),FALSE)</f>
        <v>Mountain Bikes</v>
      </c>
      <c r="G4681">
        <v>1</v>
      </c>
      <c r="H4681">
        <v>832.99</v>
      </c>
      <c r="I4681" s="5">
        <v>0.2</v>
      </c>
      <c r="J4681">
        <f t="shared" si="146"/>
        <v>666.39200000000005</v>
      </c>
      <c r="K4681" s="9">
        <f t="shared" si="147"/>
        <v>-0.280720412908046</v>
      </c>
    </row>
    <row r="4682" spans="1:11" x14ac:dyDescent="0.3">
      <c r="A4682">
        <v>1601</v>
      </c>
      <c r="B4682">
        <v>1</v>
      </c>
      <c r="C4682">
        <v>114</v>
      </c>
      <c r="D4682" t="str">
        <f>VLOOKUP($C4682,products!$A$1:$F$322,MATCH(order_items!$D$1,products!$A$1:$F$1,0),FALSE)</f>
        <v>Trek Marlin 6 - 2018</v>
      </c>
      <c r="E4682">
        <f>VLOOKUP($C4682,products!$A$1:$F$322,MATCH(order_items!$E$1,products!$A$1:$F$1,0),FALSE)</f>
        <v>6</v>
      </c>
      <c r="F4682" t="str">
        <f>VLOOKUP($E4682,categories!$A$1:$B$8,MATCH(order_items!$F$1,categories!$A$1:$B$1,0),FALSE)</f>
        <v>Mountain Bikes</v>
      </c>
      <c r="G4682">
        <v>2</v>
      </c>
      <c r="H4682">
        <v>579.99</v>
      </c>
      <c r="I4682" s="5">
        <v>0.2</v>
      </c>
      <c r="J4682">
        <f t="shared" si="146"/>
        <v>927.98400000000004</v>
      </c>
      <c r="K4682" s="9">
        <f t="shared" si="147"/>
        <v>-0.4677599750818684</v>
      </c>
    </row>
    <row r="4683" spans="1:11" x14ac:dyDescent="0.3">
      <c r="A4683">
        <v>1601</v>
      </c>
      <c r="B4683">
        <v>2</v>
      </c>
      <c r="C4683">
        <v>10</v>
      </c>
      <c r="D4683" t="str">
        <f>VLOOKUP($C4683,products!$A$1:$F$322,MATCH(order_items!$D$1,products!$A$1:$F$1,0),FALSE)</f>
        <v>Surly Straggler - 2016</v>
      </c>
      <c r="E4683">
        <f>VLOOKUP($C4683,products!$A$1:$F$322,MATCH(order_items!$E$1,products!$A$1:$F$1,0),FALSE)</f>
        <v>4</v>
      </c>
      <c r="F4683" t="str">
        <f>VLOOKUP($E4683,categories!$A$1:$B$8,MATCH(order_items!$F$1,categories!$A$1:$B$1,0),FALSE)</f>
        <v>Cyclocross Bicycles</v>
      </c>
      <c r="G4683">
        <v>1</v>
      </c>
      <c r="H4683">
        <v>1549</v>
      </c>
      <c r="I4683" s="5">
        <v>0.2</v>
      </c>
      <c r="J4683">
        <f t="shared" si="146"/>
        <v>1239.2</v>
      </c>
      <c r="K4683" s="9">
        <f t="shared" si="147"/>
        <v>0.24861633378001166</v>
      </c>
    </row>
    <row r="4684" spans="1:11" x14ac:dyDescent="0.3">
      <c r="A4684">
        <v>1601</v>
      </c>
      <c r="B4684">
        <v>3</v>
      </c>
      <c r="C4684">
        <v>220</v>
      </c>
      <c r="D4684" t="str">
        <f>VLOOKUP($C4684,products!$A$1:$F$322,MATCH(order_items!$D$1,products!$A$1:$F$1,0),FALSE)</f>
        <v>Electra Cruiser 1 Ladies' - 2018</v>
      </c>
      <c r="E4684">
        <f>VLOOKUP($C4684,products!$A$1:$F$322,MATCH(order_items!$E$1,products!$A$1:$F$1,0),FALSE)</f>
        <v>3</v>
      </c>
      <c r="F4684" t="str">
        <f>VLOOKUP($E4684,categories!$A$1:$B$8,MATCH(order_items!$F$1,categories!$A$1:$B$1,0),FALSE)</f>
        <v>Cruisers Bicycles</v>
      </c>
      <c r="G4684">
        <v>2</v>
      </c>
      <c r="H4684">
        <v>269.99</v>
      </c>
      <c r="I4684" s="5">
        <v>7.0000000000000007E-2</v>
      </c>
      <c r="J4684">
        <f t="shared" si="146"/>
        <v>502.1814</v>
      </c>
      <c r="K4684" s="9">
        <f t="shared" si="147"/>
        <v>-0.69693888525532666</v>
      </c>
    </row>
    <row r="4685" spans="1:11" x14ac:dyDescent="0.3">
      <c r="A4685">
        <v>1601</v>
      </c>
      <c r="B4685">
        <v>4</v>
      </c>
      <c r="C4685">
        <v>7</v>
      </c>
      <c r="D4685" t="str">
        <f>VLOOKUP($C4685,products!$A$1:$F$322,MATCH(order_items!$D$1,products!$A$1:$F$1,0),FALSE)</f>
        <v>Trek Slash 8 27.5 - 2016</v>
      </c>
      <c r="E4685">
        <f>VLOOKUP($C4685,products!$A$1:$F$322,MATCH(order_items!$E$1,products!$A$1:$F$1,0),FALSE)</f>
        <v>6</v>
      </c>
      <c r="F4685" t="str">
        <f>VLOOKUP($E4685,categories!$A$1:$B$8,MATCH(order_items!$F$1,categories!$A$1:$B$1,0),FALSE)</f>
        <v>Mountain Bikes</v>
      </c>
      <c r="G4685">
        <v>2</v>
      </c>
      <c r="H4685">
        <v>3999.99</v>
      </c>
      <c r="I4685" s="5">
        <v>7.0000000000000007E-2</v>
      </c>
      <c r="J4685">
        <f t="shared" si="146"/>
        <v>7439.9813999999988</v>
      </c>
      <c r="K4685" s="9">
        <f t="shared" si="147"/>
        <v>2.0606009048962846</v>
      </c>
    </row>
    <row r="4686" spans="1:11" x14ac:dyDescent="0.3">
      <c r="A4686">
        <v>1601</v>
      </c>
      <c r="B4686">
        <v>5</v>
      </c>
      <c r="C4686">
        <v>180</v>
      </c>
      <c r="D4686" t="str">
        <f>VLOOKUP($C4686,products!$A$1:$F$322,MATCH(order_items!$D$1,products!$A$1:$F$1,0),FALSE)</f>
        <v>Trek Domane AL 3 Women's - 2018</v>
      </c>
      <c r="E4686">
        <f>VLOOKUP($C4686,products!$A$1:$F$322,MATCH(order_items!$E$1,products!$A$1:$F$1,0),FALSE)</f>
        <v>7</v>
      </c>
      <c r="F4686" t="str">
        <f>VLOOKUP($E4686,categories!$A$1:$B$8,MATCH(order_items!$F$1,categories!$A$1:$B$1,0),FALSE)</f>
        <v>Road Bikes</v>
      </c>
      <c r="G4686">
        <v>1</v>
      </c>
      <c r="H4686">
        <v>919.99</v>
      </c>
      <c r="I4686" s="5">
        <v>0.1</v>
      </c>
      <c r="J4686">
        <f t="shared" si="146"/>
        <v>827.99099999999999</v>
      </c>
      <c r="K4686" s="9">
        <f t="shared" si="147"/>
        <v>-0.21640246069807545</v>
      </c>
    </row>
    <row r="4687" spans="1:11" x14ac:dyDescent="0.3">
      <c r="A4687">
        <v>1602</v>
      </c>
      <c r="B4687">
        <v>1</v>
      </c>
      <c r="C4687">
        <v>71</v>
      </c>
      <c r="D4687" t="str">
        <f>VLOOKUP($C4687,products!$A$1:$F$322,MATCH(order_items!$D$1,products!$A$1:$F$1,0),FALSE)</f>
        <v>Sun Bicycles Atlas X-Type - 2017</v>
      </c>
      <c r="E4687">
        <f>VLOOKUP($C4687,products!$A$1:$F$322,MATCH(order_items!$E$1,products!$A$1:$F$1,0),FALSE)</f>
        <v>3</v>
      </c>
      <c r="F4687" t="str">
        <f>VLOOKUP($E4687,categories!$A$1:$B$8,MATCH(order_items!$F$1,categories!$A$1:$B$1,0),FALSE)</f>
        <v>Cruisers Bicycles</v>
      </c>
      <c r="G4687">
        <v>2</v>
      </c>
      <c r="H4687">
        <v>416.99</v>
      </c>
      <c r="I4687" s="5">
        <v>0.05</v>
      </c>
      <c r="J4687">
        <f t="shared" si="146"/>
        <v>792.28099999999995</v>
      </c>
      <c r="K4687" s="9">
        <f t="shared" si="147"/>
        <v>-0.58826372462468679</v>
      </c>
    </row>
    <row r="4688" spans="1:11" x14ac:dyDescent="0.3">
      <c r="A4688">
        <v>1602</v>
      </c>
      <c r="B4688">
        <v>2</v>
      </c>
      <c r="C4688">
        <v>37</v>
      </c>
      <c r="D4688" t="str">
        <f>VLOOKUP($C4688,products!$A$1:$F$322,MATCH(order_items!$D$1,products!$A$1:$F$1,0),FALSE)</f>
        <v>Haro Flightline One ST - 2017</v>
      </c>
      <c r="E4688">
        <f>VLOOKUP($C4688,products!$A$1:$F$322,MATCH(order_items!$E$1,products!$A$1:$F$1,0),FALSE)</f>
        <v>6</v>
      </c>
      <c r="F4688" t="str">
        <f>VLOOKUP($E4688,categories!$A$1:$B$8,MATCH(order_items!$F$1,categories!$A$1:$B$1,0),FALSE)</f>
        <v>Mountain Bikes</v>
      </c>
      <c r="G4688">
        <v>1</v>
      </c>
      <c r="H4688">
        <v>379.99</v>
      </c>
      <c r="I4688" s="5">
        <v>7.0000000000000007E-2</v>
      </c>
      <c r="J4688">
        <f t="shared" si="146"/>
        <v>353.39069999999998</v>
      </c>
      <c r="K4688" s="9">
        <f t="shared" si="147"/>
        <v>-0.61561733648409955</v>
      </c>
    </row>
    <row r="4689" spans="1:11" x14ac:dyDescent="0.3">
      <c r="A4689">
        <v>1602</v>
      </c>
      <c r="B4689">
        <v>3</v>
      </c>
      <c r="C4689">
        <v>275</v>
      </c>
      <c r="D4689" t="str">
        <f>VLOOKUP($C4689,products!$A$1:$F$322,MATCH(order_items!$D$1,products!$A$1:$F$1,0),FALSE)</f>
        <v>Trek Precaliber 20 Girl's - 2018</v>
      </c>
      <c r="E4689">
        <f>VLOOKUP($C4689,products!$A$1:$F$322,MATCH(order_items!$E$1,products!$A$1:$F$1,0),FALSE)</f>
        <v>1</v>
      </c>
      <c r="F4689" t="str">
        <f>VLOOKUP($E4689,categories!$A$1:$B$8,MATCH(order_items!$F$1,categories!$A$1:$B$1,0),FALSE)</f>
        <v>Children Bicycles</v>
      </c>
      <c r="G4689">
        <v>2</v>
      </c>
      <c r="H4689">
        <v>229.99</v>
      </c>
      <c r="I4689" s="5">
        <v>0.2</v>
      </c>
      <c r="J4689">
        <f t="shared" si="146"/>
        <v>367.98400000000004</v>
      </c>
      <c r="K4689" s="9">
        <f t="shared" si="147"/>
        <v>-0.72651035753577298</v>
      </c>
    </row>
    <row r="4690" spans="1:11" x14ac:dyDescent="0.3">
      <c r="A4690">
        <v>1602</v>
      </c>
      <c r="B4690">
        <v>4</v>
      </c>
      <c r="C4690">
        <v>257</v>
      </c>
      <c r="D4690" t="str">
        <f>VLOOKUP($C4690,products!$A$1:$F$322,MATCH(order_items!$D$1,products!$A$1:$F$1,0),FALSE)</f>
        <v>Electra Amsterdam Fashion 3i Ladies' - 2017/2018</v>
      </c>
      <c r="E4690">
        <f>VLOOKUP($C4690,products!$A$1:$F$322,MATCH(order_items!$E$1,products!$A$1:$F$1,0),FALSE)</f>
        <v>3</v>
      </c>
      <c r="F4690" t="str">
        <f>VLOOKUP($E4690,categories!$A$1:$B$8,MATCH(order_items!$F$1,categories!$A$1:$B$1,0),FALSE)</f>
        <v>Cruisers Bicycles</v>
      </c>
      <c r="G4690">
        <v>2</v>
      </c>
      <c r="H4690">
        <v>899.99</v>
      </c>
      <c r="I4690" s="5">
        <v>0.05</v>
      </c>
      <c r="J4690">
        <f t="shared" si="146"/>
        <v>1709.981</v>
      </c>
      <c r="K4690" s="9">
        <f t="shared" si="147"/>
        <v>-0.23118819683829855</v>
      </c>
    </row>
    <row r="4691" spans="1:11" x14ac:dyDescent="0.3">
      <c r="A4691">
        <v>1603</v>
      </c>
      <c r="B4691">
        <v>1</v>
      </c>
      <c r="C4691">
        <v>275</v>
      </c>
      <c r="D4691" t="str">
        <f>VLOOKUP($C4691,products!$A$1:$F$322,MATCH(order_items!$D$1,products!$A$1:$F$1,0),FALSE)</f>
        <v>Trek Precaliber 20 Girl's - 2018</v>
      </c>
      <c r="E4691">
        <f>VLOOKUP($C4691,products!$A$1:$F$322,MATCH(order_items!$E$1,products!$A$1:$F$1,0),FALSE)</f>
        <v>1</v>
      </c>
      <c r="F4691" t="str">
        <f>VLOOKUP($E4691,categories!$A$1:$B$8,MATCH(order_items!$F$1,categories!$A$1:$B$1,0),FALSE)</f>
        <v>Children Bicycles</v>
      </c>
      <c r="G4691">
        <v>2</v>
      </c>
      <c r="H4691">
        <v>229.99</v>
      </c>
      <c r="I4691" s="5">
        <v>0.05</v>
      </c>
      <c r="J4691">
        <f t="shared" si="146"/>
        <v>436.98099999999999</v>
      </c>
      <c r="K4691" s="9">
        <f t="shared" si="147"/>
        <v>-0.72651035753577298</v>
      </c>
    </row>
    <row r="4692" spans="1:11" x14ac:dyDescent="0.3">
      <c r="A4692">
        <v>1604</v>
      </c>
      <c r="B4692">
        <v>1</v>
      </c>
      <c r="C4692">
        <v>271</v>
      </c>
      <c r="D4692" t="str">
        <f>VLOOKUP($C4692,products!$A$1:$F$322,MATCH(order_items!$D$1,products!$A$1:$F$1,0),FALSE)</f>
        <v>Trek Precaliber 16 Girl's - 2018</v>
      </c>
      <c r="E4692">
        <f>VLOOKUP($C4692,products!$A$1:$F$322,MATCH(order_items!$E$1,products!$A$1:$F$1,0),FALSE)</f>
        <v>1</v>
      </c>
      <c r="F4692" t="str">
        <f>VLOOKUP($E4692,categories!$A$1:$B$8,MATCH(order_items!$F$1,categories!$A$1:$B$1,0),FALSE)</f>
        <v>Children Bicycles</v>
      </c>
      <c r="G4692">
        <v>1</v>
      </c>
      <c r="H4692">
        <v>209.99</v>
      </c>
      <c r="I4692" s="5">
        <v>0.1</v>
      </c>
      <c r="J4692">
        <f t="shared" si="146"/>
        <v>188.99100000000001</v>
      </c>
      <c r="K4692" s="9">
        <f t="shared" si="147"/>
        <v>-0.74129609367599603</v>
      </c>
    </row>
    <row r="4693" spans="1:11" x14ac:dyDescent="0.3">
      <c r="A4693">
        <v>1605</v>
      </c>
      <c r="B4693">
        <v>1</v>
      </c>
      <c r="C4693">
        <v>72</v>
      </c>
      <c r="D4693" t="str">
        <f>VLOOKUP($C4693,products!$A$1:$F$322,MATCH(order_items!$D$1,products!$A$1:$F$1,0),FALSE)</f>
        <v>Sun Bicycles Biscayne Tandem 7 - 2017</v>
      </c>
      <c r="E4693">
        <f>VLOOKUP($C4693,products!$A$1:$F$322,MATCH(order_items!$E$1,products!$A$1:$F$1,0),FALSE)</f>
        <v>3</v>
      </c>
      <c r="F4693" t="str">
        <f>VLOOKUP($E4693,categories!$A$1:$B$8,MATCH(order_items!$F$1,categories!$A$1:$B$1,0),FALSE)</f>
        <v>Cruisers Bicycles</v>
      </c>
      <c r="G4693">
        <v>1</v>
      </c>
      <c r="H4693">
        <v>619.99</v>
      </c>
      <c r="I4693" s="5">
        <v>0.1</v>
      </c>
      <c r="J4693">
        <f t="shared" si="146"/>
        <v>557.99099999999999</v>
      </c>
      <c r="K4693" s="9">
        <f t="shared" si="147"/>
        <v>-0.43818850280142219</v>
      </c>
    </row>
    <row r="4694" spans="1:11" x14ac:dyDescent="0.3">
      <c r="A4694">
        <v>1605</v>
      </c>
      <c r="B4694">
        <v>2</v>
      </c>
      <c r="C4694">
        <v>186</v>
      </c>
      <c r="D4694" t="str">
        <f>VLOOKUP($C4694,products!$A$1:$F$322,MATCH(order_items!$D$1,products!$A$1:$F$1,0),FALSE)</f>
        <v>Trek CrossRip+ - 2018</v>
      </c>
      <c r="E4694">
        <f>VLOOKUP($C4694,products!$A$1:$F$322,MATCH(order_items!$E$1,products!$A$1:$F$1,0),FALSE)</f>
        <v>5</v>
      </c>
      <c r="F4694" t="str">
        <f>VLOOKUP($E4694,categories!$A$1:$B$8,MATCH(order_items!$F$1,categories!$A$1:$B$1,0),FALSE)</f>
        <v>Electric Bikes</v>
      </c>
      <c r="G4694">
        <v>1</v>
      </c>
      <c r="H4694">
        <v>4499.99</v>
      </c>
      <c r="I4694" s="5">
        <v>0.2</v>
      </c>
      <c r="J4694">
        <f t="shared" si="146"/>
        <v>3599.9920000000002</v>
      </c>
      <c r="K4694" s="9">
        <f t="shared" si="147"/>
        <v>2.4302443084018623</v>
      </c>
    </row>
    <row r="4695" spans="1:11" x14ac:dyDescent="0.3">
      <c r="A4695">
        <v>1605</v>
      </c>
      <c r="B4695">
        <v>3</v>
      </c>
      <c r="C4695">
        <v>132</v>
      </c>
      <c r="D4695" t="str">
        <f>VLOOKUP($C4695,products!$A$1:$F$322,MATCH(order_items!$D$1,products!$A$1:$F$1,0),FALSE)</f>
        <v>Trek Procal AL Frameset - 2018</v>
      </c>
      <c r="E4695">
        <f>VLOOKUP($C4695,products!$A$1:$F$322,MATCH(order_items!$E$1,products!$A$1:$F$1,0),FALSE)</f>
        <v>6</v>
      </c>
      <c r="F4695" t="str">
        <f>VLOOKUP($E4695,categories!$A$1:$B$8,MATCH(order_items!$F$1,categories!$A$1:$B$1,0),FALSE)</f>
        <v>Mountain Bikes</v>
      </c>
      <c r="G4695">
        <v>2</v>
      </c>
      <c r="H4695">
        <v>1499.99</v>
      </c>
      <c r="I4695" s="5">
        <v>0.1</v>
      </c>
      <c r="J4695">
        <f t="shared" si="146"/>
        <v>2699.982</v>
      </c>
      <c r="K4695" s="9">
        <f t="shared" si="147"/>
        <v>0.21238388736839492</v>
      </c>
    </row>
    <row r="4696" spans="1:11" x14ac:dyDescent="0.3">
      <c r="A4696">
        <v>1605</v>
      </c>
      <c r="B4696">
        <v>4</v>
      </c>
      <c r="C4696">
        <v>301</v>
      </c>
      <c r="D4696" t="str">
        <f>VLOOKUP($C4696,products!$A$1:$F$322,MATCH(order_items!$D$1,products!$A$1:$F$1,0),FALSE)</f>
        <v>Electra Townie Balloon 7i EQ - 2018</v>
      </c>
      <c r="E4696">
        <f>VLOOKUP($C4696,products!$A$1:$F$322,MATCH(order_items!$E$1,products!$A$1:$F$1,0),FALSE)</f>
        <v>2</v>
      </c>
      <c r="F4696" t="str">
        <f>VLOOKUP($E4696,categories!$A$1:$B$8,MATCH(order_items!$F$1,categories!$A$1:$B$1,0),FALSE)</f>
        <v>Comfort Bicycles</v>
      </c>
      <c r="G4696">
        <v>1</v>
      </c>
      <c r="H4696">
        <v>899.99</v>
      </c>
      <c r="I4696" s="5">
        <v>0.1</v>
      </c>
      <c r="J4696">
        <f t="shared" si="146"/>
        <v>809.99099999999999</v>
      </c>
      <c r="K4696" s="9">
        <f t="shared" si="147"/>
        <v>-0.23118819683829855</v>
      </c>
    </row>
    <row r="4697" spans="1:11" x14ac:dyDescent="0.3">
      <c r="A4697">
        <v>1605</v>
      </c>
      <c r="B4697">
        <v>5</v>
      </c>
      <c r="C4697">
        <v>29</v>
      </c>
      <c r="D4697" t="str">
        <f>VLOOKUP($C4697,products!$A$1:$F$322,MATCH(order_items!$D$1,products!$A$1:$F$1,0),FALSE)</f>
        <v>Trek X-Caliber 8 - 2017</v>
      </c>
      <c r="E4697">
        <f>VLOOKUP($C4697,products!$A$1:$F$322,MATCH(order_items!$E$1,products!$A$1:$F$1,0),FALSE)</f>
        <v>6</v>
      </c>
      <c r="F4697" t="str">
        <f>VLOOKUP($E4697,categories!$A$1:$B$8,MATCH(order_items!$F$1,categories!$A$1:$B$1,0),FALSE)</f>
        <v>Mountain Bikes</v>
      </c>
      <c r="G4697">
        <v>1</v>
      </c>
      <c r="H4697">
        <v>999.99</v>
      </c>
      <c r="I4697" s="5">
        <v>7.0000000000000007E-2</v>
      </c>
      <c r="J4697">
        <f t="shared" si="146"/>
        <v>929.99069999999995</v>
      </c>
      <c r="K4697" s="9">
        <f t="shared" si="147"/>
        <v>-0.15725951613718298</v>
      </c>
    </row>
    <row r="4698" spans="1:11" x14ac:dyDescent="0.3">
      <c r="A4698">
        <v>1606</v>
      </c>
      <c r="B4698">
        <v>1</v>
      </c>
      <c r="C4698">
        <v>245</v>
      </c>
      <c r="D4698" t="str">
        <f>VLOOKUP($C4698,products!$A$1:$F$322,MATCH(order_items!$D$1,products!$A$1:$F$1,0),FALSE)</f>
        <v>Electra Townie Original 3i EQ - 2017/2018</v>
      </c>
      <c r="E4698">
        <f>VLOOKUP($C4698,products!$A$1:$F$322,MATCH(order_items!$E$1,products!$A$1:$F$1,0),FALSE)</f>
        <v>3</v>
      </c>
      <c r="F4698" t="str">
        <f>VLOOKUP($E4698,categories!$A$1:$B$8,MATCH(order_items!$F$1,categories!$A$1:$B$1,0),FALSE)</f>
        <v>Cruisers Bicycles</v>
      </c>
      <c r="G4698">
        <v>1</v>
      </c>
      <c r="H4698">
        <v>659.99</v>
      </c>
      <c r="I4698" s="5">
        <v>0.1</v>
      </c>
      <c r="J4698">
        <f t="shared" si="146"/>
        <v>593.99099999999999</v>
      </c>
      <c r="K4698" s="9">
        <f t="shared" si="147"/>
        <v>-0.40861703052097592</v>
      </c>
    </row>
    <row r="4699" spans="1:11" x14ac:dyDescent="0.3">
      <c r="A4699">
        <v>1606</v>
      </c>
      <c r="B4699">
        <v>2</v>
      </c>
      <c r="C4699">
        <v>271</v>
      </c>
      <c r="D4699" t="str">
        <f>VLOOKUP($C4699,products!$A$1:$F$322,MATCH(order_items!$D$1,products!$A$1:$F$1,0),FALSE)</f>
        <v>Trek Precaliber 16 Girl's - 2018</v>
      </c>
      <c r="E4699">
        <f>VLOOKUP($C4699,products!$A$1:$F$322,MATCH(order_items!$E$1,products!$A$1:$F$1,0),FALSE)</f>
        <v>1</v>
      </c>
      <c r="F4699" t="str">
        <f>VLOOKUP($E4699,categories!$A$1:$B$8,MATCH(order_items!$F$1,categories!$A$1:$B$1,0),FALSE)</f>
        <v>Children Bicycles</v>
      </c>
      <c r="G4699">
        <v>1</v>
      </c>
      <c r="H4699">
        <v>209.99</v>
      </c>
      <c r="I4699" s="5">
        <v>0.1</v>
      </c>
      <c r="J4699">
        <f t="shared" si="146"/>
        <v>188.99100000000001</v>
      </c>
      <c r="K4699" s="9">
        <f t="shared" si="147"/>
        <v>-0.74129609367599603</v>
      </c>
    </row>
    <row r="4700" spans="1:11" x14ac:dyDescent="0.3">
      <c r="A4700">
        <v>1607</v>
      </c>
      <c r="B4700">
        <v>1</v>
      </c>
      <c r="C4700">
        <v>29</v>
      </c>
      <c r="D4700" t="str">
        <f>VLOOKUP($C4700,products!$A$1:$F$322,MATCH(order_items!$D$1,products!$A$1:$F$1,0),FALSE)</f>
        <v>Trek X-Caliber 8 - 2017</v>
      </c>
      <c r="E4700">
        <f>VLOOKUP($C4700,products!$A$1:$F$322,MATCH(order_items!$E$1,products!$A$1:$F$1,0),FALSE)</f>
        <v>6</v>
      </c>
      <c r="F4700" t="str">
        <f>VLOOKUP($E4700,categories!$A$1:$B$8,MATCH(order_items!$F$1,categories!$A$1:$B$1,0),FALSE)</f>
        <v>Mountain Bikes</v>
      </c>
      <c r="G4700">
        <v>1</v>
      </c>
      <c r="H4700">
        <v>999.99</v>
      </c>
      <c r="I4700" s="5">
        <v>0.05</v>
      </c>
      <c r="J4700">
        <f t="shared" si="146"/>
        <v>949.9905</v>
      </c>
      <c r="K4700" s="9">
        <f t="shared" si="147"/>
        <v>-0.15725951613718298</v>
      </c>
    </row>
    <row r="4701" spans="1:11" x14ac:dyDescent="0.3">
      <c r="A4701">
        <v>1608</v>
      </c>
      <c r="B4701">
        <v>1</v>
      </c>
      <c r="C4701">
        <v>231</v>
      </c>
      <c r="D4701" t="str">
        <f>VLOOKUP($C4701,products!$A$1:$F$322,MATCH(order_items!$D$1,products!$A$1:$F$1,0),FALSE)</f>
        <v>Electra Cruiser Lux 3i Ladies' - 2018</v>
      </c>
      <c r="E4701">
        <f>VLOOKUP($C4701,products!$A$1:$F$322,MATCH(order_items!$E$1,products!$A$1:$F$1,0),FALSE)</f>
        <v>3</v>
      </c>
      <c r="F4701" t="str">
        <f>VLOOKUP($E4701,categories!$A$1:$B$8,MATCH(order_items!$F$1,categories!$A$1:$B$1,0),FALSE)</f>
        <v>Cruisers Bicycles</v>
      </c>
      <c r="G4701">
        <v>2</v>
      </c>
      <c r="H4701">
        <v>529.99</v>
      </c>
      <c r="I4701" s="5">
        <v>0.05</v>
      </c>
      <c r="J4701">
        <f t="shared" si="146"/>
        <v>1006.981</v>
      </c>
      <c r="K4701" s="9">
        <f t="shared" si="147"/>
        <v>-0.50472431543242624</v>
      </c>
    </row>
    <row r="4702" spans="1:11" x14ac:dyDescent="0.3">
      <c r="A4702">
        <v>1609</v>
      </c>
      <c r="B4702">
        <v>1</v>
      </c>
      <c r="C4702">
        <v>96</v>
      </c>
      <c r="D4702" t="str">
        <f>VLOOKUP($C4702,products!$A$1:$F$322,MATCH(order_items!$D$1,products!$A$1:$F$1,0),FALSE)</f>
        <v>Electra Moto 3i (20-inch) - Boy's - 2017</v>
      </c>
      <c r="E4702">
        <f>VLOOKUP($C4702,products!$A$1:$F$322,MATCH(order_items!$E$1,products!$A$1:$F$1,0),FALSE)</f>
        <v>1</v>
      </c>
      <c r="F4702" t="str">
        <f>VLOOKUP($E4702,categories!$A$1:$B$8,MATCH(order_items!$F$1,categories!$A$1:$B$1,0),FALSE)</f>
        <v>Children Bicycles</v>
      </c>
      <c r="G4702">
        <v>1</v>
      </c>
      <c r="H4702">
        <v>349.99</v>
      </c>
      <c r="I4702" s="5">
        <v>0.2</v>
      </c>
      <c r="J4702">
        <f t="shared" si="146"/>
        <v>279.99200000000002</v>
      </c>
      <c r="K4702" s="9">
        <f t="shared" si="147"/>
        <v>-0.63779594069443424</v>
      </c>
    </row>
    <row r="4703" spans="1:11" x14ac:dyDescent="0.3">
      <c r="A4703">
        <v>1609</v>
      </c>
      <c r="B4703">
        <v>2</v>
      </c>
      <c r="C4703">
        <v>238</v>
      </c>
      <c r="D4703" t="str">
        <f>VLOOKUP($C4703,products!$A$1:$F$322,MATCH(order_items!$D$1,products!$A$1:$F$1,0),FALSE)</f>
        <v>Electra Townie Balloon 8D EQ - 2016/2017/2018</v>
      </c>
      <c r="E4703">
        <f>VLOOKUP($C4703,products!$A$1:$F$322,MATCH(order_items!$E$1,products!$A$1:$F$1,0),FALSE)</f>
        <v>3</v>
      </c>
      <c r="F4703" t="str">
        <f>VLOOKUP($E4703,categories!$A$1:$B$8,MATCH(order_items!$F$1,categories!$A$1:$B$1,0),FALSE)</f>
        <v>Cruisers Bicycles</v>
      </c>
      <c r="G4703">
        <v>2</v>
      </c>
      <c r="H4703">
        <v>749.99</v>
      </c>
      <c r="I4703" s="5">
        <v>0.2</v>
      </c>
      <c r="J4703">
        <f t="shared" si="146"/>
        <v>1199.9840000000002</v>
      </c>
      <c r="K4703" s="9">
        <f t="shared" si="147"/>
        <v>-0.34208121788997192</v>
      </c>
    </row>
    <row r="4704" spans="1:11" x14ac:dyDescent="0.3">
      <c r="A4704">
        <v>1609</v>
      </c>
      <c r="B4704">
        <v>3</v>
      </c>
      <c r="C4704">
        <v>228</v>
      </c>
      <c r="D4704" t="str">
        <f>VLOOKUP($C4704,products!$A$1:$F$322,MATCH(order_items!$D$1,products!$A$1:$F$1,0),FALSE)</f>
        <v>Electra Cruiser 7D Tall - 2016/2018</v>
      </c>
      <c r="E4704">
        <f>VLOOKUP($C4704,products!$A$1:$F$322,MATCH(order_items!$E$1,products!$A$1:$F$1,0),FALSE)</f>
        <v>3</v>
      </c>
      <c r="F4704" t="str">
        <f>VLOOKUP($E4704,categories!$A$1:$B$8,MATCH(order_items!$F$1,categories!$A$1:$B$1,0),FALSE)</f>
        <v>Cruisers Bicycles</v>
      </c>
      <c r="G4704">
        <v>2</v>
      </c>
      <c r="H4704">
        <v>319.99</v>
      </c>
      <c r="I4704" s="5">
        <v>0.1</v>
      </c>
      <c r="J4704">
        <f t="shared" si="146"/>
        <v>575.98200000000008</v>
      </c>
      <c r="K4704" s="9">
        <f t="shared" si="147"/>
        <v>-0.65997454490476892</v>
      </c>
    </row>
    <row r="4705" spans="1:11" x14ac:dyDescent="0.3">
      <c r="A4705">
        <v>1609</v>
      </c>
      <c r="B4705">
        <v>4</v>
      </c>
      <c r="C4705">
        <v>105</v>
      </c>
      <c r="D4705" t="str">
        <f>VLOOKUP($C4705,products!$A$1:$F$322,MATCH(order_items!$D$1,products!$A$1:$F$1,0),FALSE)</f>
        <v>Sun Bicycles Streamway 7 - 2017</v>
      </c>
      <c r="E4705">
        <f>VLOOKUP($C4705,products!$A$1:$F$322,MATCH(order_items!$E$1,products!$A$1:$F$1,0),FALSE)</f>
        <v>2</v>
      </c>
      <c r="F4705" t="str">
        <f>VLOOKUP($E4705,categories!$A$1:$B$8,MATCH(order_items!$F$1,categories!$A$1:$B$1,0),FALSE)</f>
        <v>Comfort Bicycles</v>
      </c>
      <c r="G4705">
        <v>1</v>
      </c>
      <c r="H4705">
        <v>533.99</v>
      </c>
      <c r="I4705" s="5">
        <v>0.2</v>
      </c>
      <c r="J4705">
        <f t="shared" si="146"/>
        <v>427.19200000000001</v>
      </c>
      <c r="K4705" s="9">
        <f t="shared" si="147"/>
        <v>-0.50176716820438161</v>
      </c>
    </row>
    <row r="4706" spans="1:11" x14ac:dyDescent="0.3">
      <c r="A4706">
        <v>1610</v>
      </c>
      <c r="B4706">
        <v>1</v>
      </c>
      <c r="C4706">
        <v>36</v>
      </c>
      <c r="D4706" t="str">
        <f>VLOOKUP($C4706,products!$A$1:$F$322,MATCH(order_items!$D$1,products!$A$1:$F$1,0),FALSE)</f>
        <v>Surly Troll Frameset - 2017</v>
      </c>
      <c r="E4706">
        <f>VLOOKUP($C4706,products!$A$1:$F$322,MATCH(order_items!$E$1,products!$A$1:$F$1,0),FALSE)</f>
        <v>6</v>
      </c>
      <c r="F4706" t="str">
        <f>VLOOKUP($E4706,categories!$A$1:$B$8,MATCH(order_items!$F$1,categories!$A$1:$B$1,0),FALSE)</f>
        <v>Mountain Bikes</v>
      </c>
      <c r="G4706">
        <v>1</v>
      </c>
      <c r="H4706">
        <v>832.99</v>
      </c>
      <c r="I4706" s="5">
        <v>7.0000000000000007E-2</v>
      </c>
      <c r="J4706">
        <f t="shared" si="146"/>
        <v>774.6807</v>
      </c>
      <c r="K4706" s="9">
        <f t="shared" si="147"/>
        <v>-0.280720412908046</v>
      </c>
    </row>
    <row r="4707" spans="1:11" x14ac:dyDescent="0.3">
      <c r="A4707">
        <v>1610</v>
      </c>
      <c r="B4707">
        <v>2</v>
      </c>
      <c r="C4707">
        <v>173</v>
      </c>
      <c r="D4707" t="str">
        <f>VLOOKUP($C4707,products!$A$1:$F$322,MATCH(order_items!$D$1,products!$A$1:$F$1,0),FALSE)</f>
        <v>Trek Domane ALR Frameset - 2018</v>
      </c>
      <c r="E4707">
        <f>VLOOKUP($C4707,products!$A$1:$F$322,MATCH(order_items!$E$1,products!$A$1:$F$1,0),FALSE)</f>
        <v>7</v>
      </c>
      <c r="F4707" t="str">
        <f>VLOOKUP($E4707,categories!$A$1:$B$8,MATCH(order_items!$F$1,categories!$A$1:$B$1,0),FALSE)</f>
        <v>Road Bikes</v>
      </c>
      <c r="G4707">
        <v>2</v>
      </c>
      <c r="H4707">
        <v>3199.99</v>
      </c>
      <c r="I4707" s="5">
        <v>0.2</v>
      </c>
      <c r="J4707">
        <f t="shared" si="146"/>
        <v>5119.9840000000004</v>
      </c>
      <c r="K4707" s="9">
        <f t="shared" si="147"/>
        <v>1.4691714592873595</v>
      </c>
    </row>
    <row r="4708" spans="1:11" x14ac:dyDescent="0.3">
      <c r="A4708">
        <v>1611</v>
      </c>
      <c r="B4708">
        <v>1</v>
      </c>
      <c r="C4708">
        <v>191</v>
      </c>
      <c r="D4708" t="str">
        <f>VLOOKUP($C4708,products!$A$1:$F$322,MATCH(order_items!$D$1,products!$A$1:$F$1,0),FALSE)</f>
        <v>Electra Loft Go! 8i - 2018</v>
      </c>
      <c r="E4708">
        <f>VLOOKUP($C4708,products!$A$1:$F$322,MATCH(order_items!$E$1,products!$A$1:$F$1,0),FALSE)</f>
        <v>5</v>
      </c>
      <c r="F4708" t="str">
        <f>VLOOKUP($E4708,categories!$A$1:$B$8,MATCH(order_items!$F$1,categories!$A$1:$B$1,0),FALSE)</f>
        <v>Electric Bikes</v>
      </c>
      <c r="G4708">
        <v>1</v>
      </c>
      <c r="H4708">
        <v>2799.99</v>
      </c>
      <c r="I4708" s="5">
        <v>7.0000000000000007E-2</v>
      </c>
      <c r="J4708">
        <f t="shared" si="146"/>
        <v>2603.9906999999998</v>
      </c>
      <c r="K4708" s="9">
        <f t="shared" si="147"/>
        <v>1.1734567364828972</v>
      </c>
    </row>
    <row r="4709" spans="1:11" x14ac:dyDescent="0.3">
      <c r="A4709">
        <v>1611</v>
      </c>
      <c r="B4709">
        <v>2</v>
      </c>
      <c r="C4709">
        <v>171</v>
      </c>
      <c r="D4709" t="str">
        <f>VLOOKUP($C4709,products!$A$1:$F$322,MATCH(order_items!$D$1,products!$A$1:$F$1,0),FALSE)</f>
        <v>Trek Domane SL 6 - 2018</v>
      </c>
      <c r="E4709">
        <f>VLOOKUP($C4709,products!$A$1:$F$322,MATCH(order_items!$E$1,products!$A$1:$F$1,0),FALSE)</f>
        <v>7</v>
      </c>
      <c r="F4709" t="str">
        <f>VLOOKUP($E4709,categories!$A$1:$B$8,MATCH(order_items!$F$1,categories!$A$1:$B$1,0),FALSE)</f>
        <v>Road Bikes</v>
      </c>
      <c r="G4709">
        <v>2</v>
      </c>
      <c r="H4709">
        <v>3199.99</v>
      </c>
      <c r="I4709" s="5">
        <v>0.1</v>
      </c>
      <c r="J4709">
        <f t="shared" si="146"/>
        <v>5759.982</v>
      </c>
      <c r="K4709" s="9">
        <f t="shared" si="147"/>
        <v>1.4691714592873595</v>
      </c>
    </row>
    <row r="4710" spans="1:11" x14ac:dyDescent="0.3">
      <c r="A4710">
        <v>1611</v>
      </c>
      <c r="B4710">
        <v>3</v>
      </c>
      <c r="C4710">
        <v>236</v>
      </c>
      <c r="D4710" t="str">
        <f>VLOOKUP($C4710,products!$A$1:$F$322,MATCH(order_items!$D$1,products!$A$1:$F$1,0),FALSE)</f>
        <v>Electra Morningstar 3i Ladies' - 2018</v>
      </c>
      <c r="E4710">
        <f>VLOOKUP($C4710,products!$A$1:$F$322,MATCH(order_items!$E$1,products!$A$1:$F$1,0),FALSE)</f>
        <v>3</v>
      </c>
      <c r="F4710" t="str">
        <f>VLOOKUP($E4710,categories!$A$1:$B$8,MATCH(order_items!$F$1,categories!$A$1:$B$1,0),FALSE)</f>
        <v>Cruisers Bicycles</v>
      </c>
      <c r="G4710">
        <v>1</v>
      </c>
      <c r="H4710">
        <v>749.99</v>
      </c>
      <c r="I4710" s="5">
        <v>0.2</v>
      </c>
      <c r="J4710">
        <f t="shared" si="146"/>
        <v>599.99200000000008</v>
      </c>
      <c r="K4710" s="9">
        <f t="shared" si="147"/>
        <v>-0.34208121788997192</v>
      </c>
    </row>
    <row r="4711" spans="1:11" x14ac:dyDescent="0.3">
      <c r="A4711">
        <v>1612</v>
      </c>
      <c r="B4711">
        <v>1</v>
      </c>
      <c r="C4711">
        <v>242</v>
      </c>
      <c r="D4711" t="str">
        <f>VLOOKUP($C4711,products!$A$1:$F$322,MATCH(order_items!$D$1,products!$A$1:$F$1,0),FALSE)</f>
        <v>Electra Townie Commute 8D Ladies' - 2018</v>
      </c>
      <c r="E4711">
        <f>VLOOKUP($C4711,products!$A$1:$F$322,MATCH(order_items!$E$1,products!$A$1:$F$1,0),FALSE)</f>
        <v>3</v>
      </c>
      <c r="F4711" t="str">
        <f>VLOOKUP($E4711,categories!$A$1:$B$8,MATCH(order_items!$F$1,categories!$A$1:$B$1,0),FALSE)</f>
        <v>Cruisers Bicycles</v>
      </c>
      <c r="G4711">
        <v>1</v>
      </c>
      <c r="H4711">
        <v>699.99</v>
      </c>
      <c r="I4711" s="5">
        <v>0.1</v>
      </c>
      <c r="J4711">
        <f t="shared" si="146"/>
        <v>629.99099999999999</v>
      </c>
      <c r="K4711" s="9">
        <f t="shared" si="147"/>
        <v>-0.37904555824052971</v>
      </c>
    </row>
    <row r="4712" spans="1:11" x14ac:dyDescent="0.3">
      <c r="A4712">
        <v>1612</v>
      </c>
      <c r="B4712">
        <v>2</v>
      </c>
      <c r="C4712">
        <v>289</v>
      </c>
      <c r="D4712" t="str">
        <f>VLOOKUP($C4712,products!$A$1:$F$322,MATCH(order_items!$D$1,products!$A$1:$F$1,0),FALSE)</f>
        <v>Electra Superbolt 1 20" - 2018</v>
      </c>
      <c r="E4712">
        <f>VLOOKUP($C4712,products!$A$1:$F$322,MATCH(order_items!$E$1,products!$A$1:$F$1,0),FALSE)</f>
        <v>1</v>
      </c>
      <c r="F4712" t="str">
        <f>VLOOKUP($E4712,categories!$A$1:$B$8,MATCH(order_items!$F$1,categories!$A$1:$B$1,0),FALSE)</f>
        <v>Children Bicycles</v>
      </c>
      <c r="G4712">
        <v>2</v>
      </c>
      <c r="H4712">
        <v>319.99</v>
      </c>
      <c r="I4712" s="5">
        <v>0.05</v>
      </c>
      <c r="J4712">
        <f t="shared" si="146"/>
        <v>607.98099999999999</v>
      </c>
      <c r="K4712" s="9">
        <f t="shared" si="147"/>
        <v>-0.65997454490476892</v>
      </c>
    </row>
    <row r="4713" spans="1:11" x14ac:dyDescent="0.3">
      <c r="A4713">
        <v>1612</v>
      </c>
      <c r="B4713">
        <v>3</v>
      </c>
      <c r="C4713">
        <v>101</v>
      </c>
      <c r="D4713" t="str">
        <f>VLOOKUP($C4713,products!$A$1:$F$322,MATCH(order_items!$D$1,products!$A$1:$F$1,0),FALSE)</f>
        <v>Electra Townie 7D (20-inch) - Boys' - 2017</v>
      </c>
      <c r="E4713">
        <f>VLOOKUP($C4713,products!$A$1:$F$322,MATCH(order_items!$E$1,products!$A$1:$F$1,0),FALSE)</f>
        <v>1</v>
      </c>
      <c r="F4713" t="str">
        <f>VLOOKUP($E4713,categories!$A$1:$B$8,MATCH(order_items!$F$1,categories!$A$1:$B$1,0),FALSE)</f>
        <v>Children Bicycles</v>
      </c>
      <c r="G4713">
        <v>2</v>
      </c>
      <c r="H4713">
        <v>339.99</v>
      </c>
      <c r="I4713" s="5">
        <v>0.2</v>
      </c>
      <c r="J4713">
        <f t="shared" si="146"/>
        <v>543.98400000000004</v>
      </c>
      <c r="K4713" s="9">
        <f t="shared" si="147"/>
        <v>-0.64518880876454576</v>
      </c>
    </row>
    <row r="4714" spans="1:11" x14ac:dyDescent="0.3">
      <c r="A4714">
        <v>1612</v>
      </c>
      <c r="B4714">
        <v>4</v>
      </c>
      <c r="C4714">
        <v>293</v>
      </c>
      <c r="D4714" t="str">
        <f>VLOOKUP($C4714,products!$A$1:$F$322,MATCH(order_items!$D$1,products!$A$1:$F$1,0),FALSE)</f>
        <v>Electra Tiger Shark 1 (20-inch) - Boys' - 2018</v>
      </c>
      <c r="E4714">
        <f>VLOOKUP($C4714,products!$A$1:$F$322,MATCH(order_items!$E$1,products!$A$1:$F$1,0),FALSE)</f>
        <v>1</v>
      </c>
      <c r="F4714" t="str">
        <f>VLOOKUP($E4714,categories!$A$1:$B$8,MATCH(order_items!$F$1,categories!$A$1:$B$1,0),FALSE)</f>
        <v>Children Bicycles</v>
      </c>
      <c r="G4714">
        <v>2</v>
      </c>
      <c r="H4714">
        <v>319.99</v>
      </c>
      <c r="I4714" s="5">
        <v>7.0000000000000007E-2</v>
      </c>
      <c r="J4714">
        <f t="shared" si="146"/>
        <v>595.18139999999994</v>
      </c>
      <c r="K4714" s="9">
        <f t="shared" si="147"/>
        <v>-0.65997454490476892</v>
      </c>
    </row>
    <row r="4715" spans="1:11" x14ac:dyDescent="0.3">
      <c r="A4715">
        <v>1612</v>
      </c>
      <c r="B4715">
        <v>5</v>
      </c>
      <c r="C4715">
        <v>60</v>
      </c>
      <c r="D4715" t="str">
        <f>VLOOKUP($C4715,products!$A$1:$F$322,MATCH(order_items!$D$1,products!$A$1:$F$1,0),FALSE)</f>
        <v>Sun Bicycles ElectroLite - 2017</v>
      </c>
      <c r="E4715">
        <f>VLOOKUP($C4715,products!$A$1:$F$322,MATCH(order_items!$E$1,products!$A$1:$F$1,0),FALSE)</f>
        <v>5</v>
      </c>
      <c r="F4715" t="str">
        <f>VLOOKUP($E4715,categories!$A$1:$B$8,MATCH(order_items!$F$1,categories!$A$1:$B$1,0),FALSE)</f>
        <v>Electric Bikes</v>
      </c>
      <c r="G4715">
        <v>1</v>
      </c>
      <c r="H4715">
        <v>1559.99</v>
      </c>
      <c r="I4715" s="5">
        <v>0.1</v>
      </c>
      <c r="J4715">
        <f t="shared" si="146"/>
        <v>1403.991</v>
      </c>
      <c r="K4715" s="9">
        <f t="shared" si="147"/>
        <v>0.25674109578906423</v>
      </c>
    </row>
    <row r="4716" spans="1:11" x14ac:dyDescent="0.3">
      <c r="A4716">
        <v>1613</v>
      </c>
      <c r="B4716">
        <v>1</v>
      </c>
      <c r="C4716">
        <v>153</v>
      </c>
      <c r="D4716" t="str">
        <f>VLOOKUP($C4716,products!$A$1:$F$322,MATCH(order_items!$D$1,products!$A$1:$F$1,0),FALSE)</f>
        <v>Trek Domane SL 7 Women's - 2018</v>
      </c>
      <c r="E4716">
        <f>VLOOKUP($C4716,products!$A$1:$F$322,MATCH(order_items!$E$1,products!$A$1:$F$1,0),FALSE)</f>
        <v>7</v>
      </c>
      <c r="F4716" t="str">
        <f>VLOOKUP($E4716,categories!$A$1:$B$8,MATCH(order_items!$F$1,categories!$A$1:$B$1,0),FALSE)</f>
        <v>Road Bikes</v>
      </c>
      <c r="G4716">
        <v>1</v>
      </c>
      <c r="H4716">
        <v>4999.99</v>
      </c>
      <c r="I4716" s="5">
        <v>7.0000000000000007E-2</v>
      </c>
      <c r="J4716">
        <f t="shared" si="146"/>
        <v>4649.9906999999994</v>
      </c>
      <c r="K4716" s="9">
        <f t="shared" si="147"/>
        <v>2.7998877119074401</v>
      </c>
    </row>
    <row r="4717" spans="1:11" x14ac:dyDescent="0.3">
      <c r="A4717">
        <v>1613</v>
      </c>
      <c r="B4717">
        <v>2</v>
      </c>
      <c r="C4717">
        <v>283</v>
      </c>
      <c r="D4717" t="str">
        <f>VLOOKUP($C4717,products!$A$1:$F$322,MATCH(order_items!$D$1,products!$A$1:$F$1,0),FALSE)</f>
        <v>Electra Heartchya 1 (20-inch) - Girl's - 2018</v>
      </c>
      <c r="E4717">
        <f>VLOOKUP($C4717,products!$A$1:$F$322,MATCH(order_items!$E$1,products!$A$1:$F$1,0),FALSE)</f>
        <v>1</v>
      </c>
      <c r="F4717" t="str">
        <f>VLOOKUP($E4717,categories!$A$1:$B$8,MATCH(order_items!$F$1,categories!$A$1:$B$1,0),FALSE)</f>
        <v>Children Bicycles</v>
      </c>
      <c r="G4717">
        <v>2</v>
      </c>
      <c r="H4717">
        <v>319.99</v>
      </c>
      <c r="I4717" s="5">
        <v>0.05</v>
      </c>
      <c r="J4717">
        <f t="shared" si="146"/>
        <v>607.98099999999999</v>
      </c>
      <c r="K4717" s="9">
        <f t="shared" si="147"/>
        <v>-0.65997454490476892</v>
      </c>
    </row>
    <row r="4718" spans="1:11" x14ac:dyDescent="0.3">
      <c r="A4718">
        <v>1614</v>
      </c>
      <c r="B4718">
        <v>1</v>
      </c>
      <c r="C4718">
        <v>124</v>
      </c>
      <c r="D4718" t="str">
        <f>VLOOKUP($C4718,products!$A$1:$F$322,MATCH(order_items!$D$1,products!$A$1:$F$1,0),FALSE)</f>
        <v>Surly Krampus - 2018</v>
      </c>
      <c r="E4718">
        <f>VLOOKUP($C4718,products!$A$1:$F$322,MATCH(order_items!$E$1,products!$A$1:$F$1,0),FALSE)</f>
        <v>6</v>
      </c>
      <c r="F4718" t="str">
        <f>VLOOKUP($E4718,categories!$A$1:$B$8,MATCH(order_items!$F$1,categories!$A$1:$B$1,0),FALSE)</f>
        <v>Mountain Bikes</v>
      </c>
      <c r="G4718">
        <v>1</v>
      </c>
      <c r="H4718">
        <v>1499</v>
      </c>
      <c r="I4718" s="5">
        <v>7.0000000000000007E-2</v>
      </c>
      <c r="J4718">
        <f t="shared" si="146"/>
        <v>1394.07</v>
      </c>
      <c r="K4718" s="9">
        <f t="shared" si="147"/>
        <v>0.21165199342945387</v>
      </c>
    </row>
    <row r="4719" spans="1:11" x14ac:dyDescent="0.3">
      <c r="A4719">
        <v>1614</v>
      </c>
      <c r="B4719">
        <v>2</v>
      </c>
      <c r="C4719">
        <v>159</v>
      </c>
      <c r="D4719" t="str">
        <f>VLOOKUP($C4719,products!$A$1:$F$322,MATCH(order_items!$D$1,products!$A$1:$F$1,0),FALSE)</f>
        <v>Trek Emonda ALR 6 - 2018</v>
      </c>
      <c r="E4719">
        <f>VLOOKUP($C4719,products!$A$1:$F$322,MATCH(order_items!$E$1,products!$A$1:$F$1,0),FALSE)</f>
        <v>7</v>
      </c>
      <c r="F4719" t="str">
        <f>VLOOKUP($E4719,categories!$A$1:$B$8,MATCH(order_items!$F$1,categories!$A$1:$B$1,0),FALSE)</f>
        <v>Road Bikes</v>
      </c>
      <c r="G4719">
        <v>2</v>
      </c>
      <c r="H4719">
        <v>2299.9899999999998</v>
      </c>
      <c r="I4719" s="5">
        <v>7.0000000000000007E-2</v>
      </c>
      <c r="J4719">
        <f t="shared" si="146"/>
        <v>4277.9813999999997</v>
      </c>
      <c r="K4719" s="9">
        <f t="shared" si="147"/>
        <v>0.80381333297731938</v>
      </c>
    </row>
    <row r="4720" spans="1:11" x14ac:dyDescent="0.3">
      <c r="A4720">
        <v>1614</v>
      </c>
      <c r="B4720">
        <v>3</v>
      </c>
      <c r="C4720">
        <v>213</v>
      </c>
      <c r="D4720" t="str">
        <f>VLOOKUP($C4720,products!$A$1:$F$322,MATCH(order_items!$D$1,products!$A$1:$F$1,0),FALSE)</f>
        <v>Electra Cruiser 1 - 2016/2017/2018</v>
      </c>
      <c r="E4720">
        <f>VLOOKUP($C4720,products!$A$1:$F$322,MATCH(order_items!$E$1,products!$A$1:$F$1,0),FALSE)</f>
        <v>3</v>
      </c>
      <c r="F4720" t="str">
        <f>VLOOKUP($E4720,categories!$A$1:$B$8,MATCH(order_items!$F$1,categories!$A$1:$B$1,0),FALSE)</f>
        <v>Cruisers Bicycles</v>
      </c>
      <c r="G4720">
        <v>2</v>
      </c>
      <c r="H4720">
        <v>269.99</v>
      </c>
      <c r="I4720" s="5">
        <v>0.2</v>
      </c>
      <c r="J4720">
        <f t="shared" si="146"/>
        <v>431.98400000000004</v>
      </c>
      <c r="K4720" s="9">
        <f t="shared" si="147"/>
        <v>-0.69693888525532666</v>
      </c>
    </row>
    <row r="4721" spans="1:11" x14ac:dyDescent="0.3">
      <c r="A4721">
        <v>1615</v>
      </c>
      <c r="B4721">
        <v>1</v>
      </c>
      <c r="C4721">
        <v>197</v>
      </c>
      <c r="D4721" t="str">
        <f>VLOOKUP($C4721,products!$A$1:$F$322,MATCH(order_items!$D$1,products!$A$1:$F$1,0),FALSE)</f>
        <v>Trek Verve+ Lowstep - 2018</v>
      </c>
      <c r="E4721">
        <f>VLOOKUP($C4721,products!$A$1:$F$322,MATCH(order_items!$E$1,products!$A$1:$F$1,0),FALSE)</f>
        <v>5</v>
      </c>
      <c r="F4721" t="str">
        <f>VLOOKUP($E4721,categories!$A$1:$B$8,MATCH(order_items!$F$1,categories!$A$1:$B$1,0),FALSE)</f>
        <v>Electric Bikes</v>
      </c>
      <c r="G4721">
        <v>2</v>
      </c>
      <c r="H4721">
        <v>2299.9899999999998</v>
      </c>
      <c r="I4721" s="5">
        <v>0.2</v>
      </c>
      <c r="J4721">
        <f t="shared" si="146"/>
        <v>3679.9839999999999</v>
      </c>
      <c r="K4721" s="9">
        <f t="shared" si="147"/>
        <v>0.80381333297731938</v>
      </c>
    </row>
    <row r="4722" spans="1:11" x14ac:dyDescent="0.3">
      <c r="A4722">
        <v>1615</v>
      </c>
      <c r="B4722">
        <v>2</v>
      </c>
      <c r="C4722">
        <v>214</v>
      </c>
      <c r="D4722" t="str">
        <f>VLOOKUP($C4722,products!$A$1:$F$322,MATCH(order_items!$D$1,products!$A$1:$F$1,0),FALSE)</f>
        <v>Electra Tiger Shark 3i - 2018</v>
      </c>
      <c r="E4722">
        <f>VLOOKUP($C4722,products!$A$1:$F$322,MATCH(order_items!$E$1,products!$A$1:$F$1,0),FALSE)</f>
        <v>3</v>
      </c>
      <c r="F4722" t="str">
        <f>VLOOKUP($E4722,categories!$A$1:$B$8,MATCH(order_items!$F$1,categories!$A$1:$B$1,0),FALSE)</f>
        <v>Cruisers Bicycles</v>
      </c>
      <c r="G4722">
        <v>1</v>
      </c>
      <c r="H4722">
        <v>899.99</v>
      </c>
      <c r="I4722" s="5">
        <v>7.0000000000000007E-2</v>
      </c>
      <c r="J4722">
        <f t="shared" si="146"/>
        <v>836.99069999999995</v>
      </c>
      <c r="K4722" s="9">
        <f t="shared" si="147"/>
        <v>-0.23118819683829855</v>
      </c>
    </row>
    <row r="4723" spans="1:11" x14ac:dyDescent="0.3">
      <c r="A4723">
        <v>1615</v>
      </c>
      <c r="B4723">
        <v>3</v>
      </c>
      <c r="C4723">
        <v>182</v>
      </c>
      <c r="D4723" t="str">
        <f>VLOOKUP($C4723,products!$A$1:$F$322,MATCH(order_items!$D$1,products!$A$1:$F$1,0),FALSE)</f>
        <v>Trek Domane SL 5 Disc - 2018</v>
      </c>
      <c r="E4723">
        <f>VLOOKUP($C4723,products!$A$1:$F$322,MATCH(order_items!$E$1,products!$A$1:$F$1,0),FALSE)</f>
        <v>7</v>
      </c>
      <c r="F4723" t="str">
        <f>VLOOKUP($E4723,categories!$A$1:$B$8,MATCH(order_items!$F$1,categories!$A$1:$B$1,0),FALSE)</f>
        <v>Road Bikes</v>
      </c>
      <c r="G4723">
        <v>1</v>
      </c>
      <c r="H4723">
        <v>2499.9899999999998</v>
      </c>
      <c r="I4723" s="5">
        <v>0.2</v>
      </c>
      <c r="J4723">
        <f t="shared" si="146"/>
        <v>1999.992</v>
      </c>
      <c r="K4723" s="9">
        <f t="shared" si="147"/>
        <v>0.95167069437955054</v>
      </c>
    </row>
  </sheetData>
  <autoFilter ref="A1:K4723" xr:uid="{00000000-0001-0000-0400-000000000000}"/>
  <conditionalFormatting sqref="K1:K1048576">
    <cfRule type="cellIs" dxfId="1" priority="1" operator="lessThan">
      <formula>-3</formula>
    </cfRule>
    <cfRule type="cellIs" dxfId="0" priority="2" operator="greaterThan">
      <formula>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2"/>
  <sheetViews>
    <sheetView workbookViewId="0">
      <selection activeCell="B13" sqref="B13"/>
    </sheetView>
  </sheetViews>
  <sheetFormatPr defaultRowHeight="14.4" x14ac:dyDescent="0.3"/>
  <cols>
    <col min="1" max="1" width="10.21875" bestFit="1" customWidth="1"/>
    <col min="2" max="2" width="47.33203125" bestFit="1" customWidth="1"/>
    <col min="3" max="3" width="8.5546875" bestFit="1" customWidth="1"/>
    <col min="4" max="4" width="10.88671875" bestFit="1" customWidth="1"/>
    <col min="5" max="5" width="11" bestFit="1" customWidth="1"/>
    <col min="6" max="6" width="9" bestFit="1" customWidth="1"/>
  </cols>
  <sheetData>
    <row r="1" spans="1:6" x14ac:dyDescent="0.3">
      <c r="A1" s="1" t="s">
        <v>5267</v>
      </c>
      <c r="B1" s="1" t="s">
        <v>5271</v>
      </c>
      <c r="C1" s="1" t="s">
        <v>0</v>
      </c>
      <c r="D1" s="1" t="s">
        <v>11</v>
      </c>
      <c r="E1" s="1" t="s">
        <v>5272</v>
      </c>
      <c r="F1" s="1" t="s">
        <v>5269</v>
      </c>
    </row>
    <row r="2" spans="1:6" x14ac:dyDescent="0.3">
      <c r="A2">
        <v>1</v>
      </c>
      <c r="B2" t="s">
        <v>5273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5274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5275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5276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5277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5278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5279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5280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5281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5282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5283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5284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5285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5286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5287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5288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5289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5290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5291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5292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5285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5286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5293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5284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5294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5288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5295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5296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5297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5298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5299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5300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5301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5302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5303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5304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5305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5306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5307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5308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5309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5310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5311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5312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5313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5314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5315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5316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5317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5318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5319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5320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5321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5322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5323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5324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5325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5326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5327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5328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5329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5330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5331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5332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5333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5334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5335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5336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5337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5338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5339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5340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5341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5342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5343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5344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5345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5346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5347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5348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5349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5350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5351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5352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5353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5354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5355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5356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5357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5358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5359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5360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5361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5362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5344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5363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5364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5365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5366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5367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5368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5332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5369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5370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5371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5336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5337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5372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5373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5374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5375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5376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5377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5378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5379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5380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5381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5382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5383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5384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5385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5386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5387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5388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5389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5390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5391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5392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5393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5394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5395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5396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5397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5398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5399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5400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5401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5402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5403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5404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5405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5406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5407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5408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5409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5410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5411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5412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5413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5414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5415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5416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5417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5418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5419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5420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5421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5422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5423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5424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5425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5426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5427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5428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5429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5430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5431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5432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5433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5434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5435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5436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5437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5438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5439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5440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5441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5442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5443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5444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5445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5446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5447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5448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5449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5450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5451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5452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5453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5454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5455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5456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5457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5458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5459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5460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5461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5462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5463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5464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5465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5466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5467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5468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5469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5470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5471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5472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5473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5432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5428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5474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5475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5476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5477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5478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5479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5480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5481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5482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5483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5484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5485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5486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5487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5488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5489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5490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5491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5492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5493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5494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5495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5496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5497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5498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5499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5500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5501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5502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5503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5504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5505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5506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5507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5508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5509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5510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5511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5456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5462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5463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5459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5512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5513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5514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5515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5516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5517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5518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5519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5520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5521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5522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5523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5524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5525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5526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5527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5528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5529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5530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5531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5532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5533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5534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5535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5536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5537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5538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5489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5539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5540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5541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5542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5543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5544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5545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5546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5547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5548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5549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5550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5551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5552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5553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5554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5555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5474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5518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5519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5556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5456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5488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5512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5513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5500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5501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5514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5502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5503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5504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5557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5505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5506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5558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5559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5560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5561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5562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5563</v>
      </c>
      <c r="C322">
        <v>9</v>
      </c>
      <c r="D322">
        <v>7</v>
      </c>
      <c r="E322">
        <v>2019</v>
      </c>
      <c r="F322">
        <v>3199.99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J7" sqref="J7"/>
    </sheetView>
  </sheetViews>
  <sheetFormatPr defaultRowHeight="14.4" x14ac:dyDescent="0.3"/>
  <sheetData>
    <row r="1" spans="1:8" x14ac:dyDescent="0.3">
      <c r="A1" s="1" t="s">
        <v>5265</v>
      </c>
      <c r="B1" s="1" t="s">
        <v>21</v>
      </c>
      <c r="C1" s="1" t="s">
        <v>22</v>
      </c>
      <c r="D1" s="1" t="s">
        <v>24</v>
      </c>
      <c r="E1" s="1" t="s">
        <v>23</v>
      </c>
      <c r="F1" s="1" t="s">
        <v>5564</v>
      </c>
      <c r="G1" s="1" t="s">
        <v>5264</v>
      </c>
      <c r="H1" s="1" t="s">
        <v>5565</v>
      </c>
    </row>
    <row r="2" spans="1:8" x14ac:dyDescent="0.3">
      <c r="A2">
        <v>1</v>
      </c>
      <c r="B2" t="s">
        <v>5566</v>
      </c>
      <c r="C2" t="s">
        <v>272</v>
      </c>
      <c r="D2" t="s">
        <v>5567</v>
      </c>
      <c r="E2" t="s">
        <v>5568</v>
      </c>
      <c r="F2">
        <v>1</v>
      </c>
      <c r="G2">
        <v>1</v>
      </c>
      <c r="H2" t="s">
        <v>5611</v>
      </c>
    </row>
    <row r="3" spans="1:8" x14ac:dyDescent="0.3">
      <c r="A3">
        <v>2</v>
      </c>
      <c r="B3" t="s">
        <v>5569</v>
      </c>
      <c r="C3" t="s">
        <v>4577</v>
      </c>
      <c r="D3" t="s">
        <v>5570</v>
      </c>
      <c r="E3" t="s">
        <v>5571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5572</v>
      </c>
      <c r="C4" t="s">
        <v>5573</v>
      </c>
      <c r="D4" t="s">
        <v>5574</v>
      </c>
      <c r="E4" t="s">
        <v>5575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5576</v>
      </c>
      <c r="C5" t="s">
        <v>1440</v>
      </c>
      <c r="D5" t="s">
        <v>5577</v>
      </c>
      <c r="E5" t="s">
        <v>5578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5579</v>
      </c>
      <c r="C6" t="s">
        <v>5580</v>
      </c>
      <c r="D6" t="s">
        <v>5581</v>
      </c>
      <c r="E6" t="s">
        <v>5582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5583</v>
      </c>
      <c r="C7" t="s">
        <v>5584</v>
      </c>
      <c r="D7" t="s">
        <v>5585</v>
      </c>
      <c r="E7" t="s">
        <v>5586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5587</v>
      </c>
      <c r="C8" t="s">
        <v>432</v>
      </c>
      <c r="D8" t="s">
        <v>5588</v>
      </c>
      <c r="E8" t="s">
        <v>5589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5590</v>
      </c>
      <c r="C9" t="s">
        <v>446</v>
      </c>
      <c r="D9" t="s">
        <v>5591</v>
      </c>
      <c r="E9" t="s">
        <v>5592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5593</v>
      </c>
      <c r="C10" t="s">
        <v>3062</v>
      </c>
      <c r="D10" t="s">
        <v>5594</v>
      </c>
      <c r="E10" t="s">
        <v>5595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5596</v>
      </c>
      <c r="C11" t="s">
        <v>251</v>
      </c>
      <c r="D11" t="s">
        <v>5597</v>
      </c>
      <c r="E11" t="s">
        <v>5598</v>
      </c>
      <c r="F11">
        <v>1</v>
      </c>
      <c r="G11">
        <v>3</v>
      </c>
      <c r="H11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40"/>
  <sheetViews>
    <sheetView workbookViewId="0">
      <selection activeCell="G8" sqref="G8"/>
    </sheetView>
  </sheetViews>
  <sheetFormatPr defaultRowHeight="14.4" x14ac:dyDescent="0.3"/>
  <sheetData>
    <row r="1" spans="1:3" x14ac:dyDescent="0.3">
      <c r="A1" s="1" t="s">
        <v>5264</v>
      </c>
      <c r="B1" s="1" t="s">
        <v>5267</v>
      </c>
      <c r="C1" s="1" t="s">
        <v>5268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selection activeCell="D9" sqref="D9"/>
    </sheetView>
  </sheetViews>
  <sheetFormatPr defaultRowHeight="14.4" x14ac:dyDescent="0.3"/>
  <sheetData>
    <row r="1" spans="1:8" x14ac:dyDescent="0.3">
      <c r="A1" s="1" t="s">
        <v>5264</v>
      </c>
      <c r="B1" s="1" t="s">
        <v>5599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3">
      <c r="A2">
        <v>1</v>
      </c>
      <c r="B2" t="s">
        <v>5600</v>
      </c>
      <c r="C2" t="s">
        <v>5601</v>
      </c>
      <c r="D2" t="s">
        <v>5602</v>
      </c>
      <c r="E2" t="s">
        <v>5603</v>
      </c>
      <c r="F2" t="s">
        <v>927</v>
      </c>
      <c r="G2" t="s">
        <v>40</v>
      </c>
      <c r="H2">
        <v>95060</v>
      </c>
    </row>
    <row r="3" spans="1:8" x14ac:dyDescent="0.3">
      <c r="A3">
        <v>2</v>
      </c>
      <c r="B3" t="s">
        <v>5604</v>
      </c>
      <c r="C3" t="s">
        <v>5605</v>
      </c>
      <c r="D3" t="s">
        <v>5606</v>
      </c>
      <c r="E3" t="s">
        <v>5607</v>
      </c>
      <c r="F3" t="s">
        <v>74</v>
      </c>
      <c r="G3" t="s">
        <v>34</v>
      </c>
      <c r="H3">
        <v>11432</v>
      </c>
    </row>
    <row r="4" spans="1:8" x14ac:dyDescent="0.3">
      <c r="A4">
        <v>3</v>
      </c>
      <c r="B4" t="s">
        <v>5608</v>
      </c>
      <c r="C4" t="s">
        <v>5592</v>
      </c>
      <c r="D4" t="s">
        <v>5609</v>
      </c>
      <c r="E4" t="s">
        <v>5610</v>
      </c>
      <c r="F4" t="s">
        <v>367</v>
      </c>
      <c r="G4" t="s">
        <v>99</v>
      </c>
      <c r="H4">
        <v>75088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categories</vt:lpstr>
      <vt:lpstr>customers</vt:lpstr>
      <vt:lpstr>orders</vt:lpstr>
      <vt:lpstr>Pivot</vt:lpstr>
      <vt:lpstr>order_items</vt:lpstr>
      <vt:lpstr>products</vt:lpstr>
      <vt:lpstr>staffs</vt:lpstr>
      <vt:lpstr>stocks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2025-11-13T14:24:54Z</dcterms:created>
  <dcterms:modified xsi:type="dcterms:W3CDTF">2025-11-25T12:18:58Z</dcterms:modified>
</cp:coreProperties>
</file>